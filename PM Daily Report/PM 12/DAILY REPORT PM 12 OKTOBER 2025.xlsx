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updateLinks="always" codeName="ThisWorkbook" defaultThemeVersion="124226"/>
  <bookViews>
    <workbookView xWindow="-105" yWindow="-105" windowWidth="20730" windowHeight="11760" tabRatio="931" activeTab="10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4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Sheet1!$B$1:$F$106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Chem!$CY$6:$DK$15</definedName>
    <definedName name="_xlnm.Print_Area" localSheetId="4">Efficiency1!$A$3:$X$95</definedName>
    <definedName name="_xlnm.Print_Area" localSheetId="5">Efficiency2!$A$3:$X$95</definedName>
    <definedName name="_xlnm.Print_Area" localSheetId="2">Listrik!$A$2:$AE$40</definedName>
    <definedName name="_xlnm.Print_Area" localSheetId="0">Report1!$A$2:$BE$41</definedName>
  </definedNames>
  <calcPr calcId="144525" iterateDelta="1E-4"/>
</workbook>
</file>

<file path=xl/calcChain.xml><?xml version="1.0" encoding="utf-8"?>
<calcChain xmlns="http://schemas.openxmlformats.org/spreadsheetml/2006/main">
  <c r="P16" i="52" l="1"/>
  <c r="DM40" i="2" l="1"/>
  <c r="O40" i="2"/>
  <c r="AF3" i="50" l="1"/>
  <c r="Q11" i="54"/>
  <c r="R11" i="54"/>
  <c r="AU14" i="54"/>
  <c r="Z156" i="46"/>
  <c r="S156" i="46"/>
  <c r="N156" i="46"/>
  <c r="M156" i="46"/>
  <c r="J156" i="46"/>
  <c r="Z155" i="46"/>
  <c r="N155" i="46"/>
  <c r="J155" i="46"/>
  <c r="W152" i="46"/>
  <c r="M152" i="46"/>
  <c r="N152" i="46" s="1"/>
  <c r="J152" i="46"/>
  <c r="M151" i="46"/>
  <c r="N151" i="46" s="1"/>
  <c r="J151" i="46"/>
  <c r="M150" i="46"/>
  <c r="J150" i="46"/>
  <c r="Z156" i="54"/>
  <c r="Z155" i="54"/>
  <c r="W152" i="54"/>
  <c r="H106" i="47"/>
  <c r="O156" i="46" s="1"/>
  <c r="P156" i="46" s="1"/>
  <c r="G107" i="47"/>
  <c r="F106" i="47"/>
  <c r="E107" i="47"/>
  <c r="E106" i="47"/>
  <c r="G106" i="47" s="1"/>
  <c r="N37" i="43"/>
  <c r="I105" i="47"/>
  <c r="G105" i="47"/>
  <c r="H105" i="47" s="1"/>
  <c r="E105" i="47"/>
  <c r="K20" i="43"/>
  <c r="K22" i="43"/>
  <c r="W155" i="46" s="1"/>
  <c r="W155" i="54" l="1"/>
  <c r="W156" i="46"/>
  <c r="O155" i="54"/>
  <c r="O155" i="46"/>
  <c r="C155" i="46" s="1"/>
  <c r="O156" i="54"/>
  <c r="V156" i="46"/>
  <c r="T156" i="46"/>
  <c r="U156" i="46"/>
  <c r="N150" i="46"/>
  <c r="K155" i="46"/>
  <c r="C156" i="46"/>
  <c r="K156" i="46"/>
  <c r="U155" i="46" l="1"/>
  <c r="T155" i="46"/>
  <c r="V155" i="46"/>
  <c r="P155" i="46"/>
  <c r="X155" i="46"/>
  <c r="BF39" i="39" l="1"/>
  <c r="AR160" i="54"/>
  <c r="BA160" i="54" s="1"/>
  <c r="AM160" i="54"/>
  <c r="AR159" i="54"/>
  <c r="BA159" i="54" s="1"/>
  <c r="AM159" i="54"/>
  <c r="AR158" i="54"/>
  <c r="BA158" i="54" s="1"/>
  <c r="AM158" i="54"/>
  <c r="AR157" i="54"/>
  <c r="BA157" i="54" s="1"/>
  <c r="AM157" i="54"/>
  <c r="AR156" i="54"/>
  <c r="BA156" i="54" s="1"/>
  <c r="AM156" i="54"/>
  <c r="W156" i="54"/>
  <c r="S156" i="54"/>
  <c r="P156" i="54"/>
  <c r="M156" i="54"/>
  <c r="N156" i="54" s="1"/>
  <c r="J156" i="54"/>
  <c r="AR155" i="54"/>
  <c r="BA155" i="54" s="1"/>
  <c r="AM155" i="54"/>
  <c r="P155" i="54"/>
  <c r="N155" i="54"/>
  <c r="J155" i="54"/>
  <c r="AM160" i="46"/>
  <c r="AR160" i="46"/>
  <c r="BA160" i="46" s="1"/>
  <c r="AM159" i="46"/>
  <c r="AR159" i="46"/>
  <c r="BA159" i="46" s="1"/>
  <c r="AR158" i="46"/>
  <c r="BA158" i="46" s="1"/>
  <c r="AM158" i="46"/>
  <c r="AR157" i="46"/>
  <c r="BA157" i="46" s="1"/>
  <c r="AM157" i="46"/>
  <c r="AD157" i="46" s="1"/>
  <c r="AR156" i="46"/>
  <c r="BA156" i="46" s="1"/>
  <c r="AM156" i="46"/>
  <c r="AD156" i="46" s="1"/>
  <c r="AR155" i="46"/>
  <c r="BA155" i="46" s="1"/>
  <c r="AM155" i="46"/>
  <c r="AD155" i="46" s="1"/>
  <c r="AG4" i="50"/>
  <c r="AG3" i="50"/>
  <c r="Y155" i="46" s="1"/>
  <c r="AF12" i="50"/>
  <c r="I38" i="43"/>
  <c r="N38" i="43" s="1"/>
  <c r="I106" i="47" s="1"/>
  <c r="G42" i="43"/>
  <c r="I37" i="43" s="1"/>
  <c r="F42" i="43"/>
  <c r="G40" i="43"/>
  <c r="G39" i="43"/>
  <c r="P16" i="43"/>
  <c r="O16" i="43"/>
  <c r="R10" i="43"/>
  <c r="Q10" i="43"/>
  <c r="Q9" i="43"/>
  <c r="P9" i="43"/>
  <c r="P8" i="43"/>
  <c r="Q8" i="43" s="1"/>
  <c r="O10" i="43"/>
  <c r="O9" i="43"/>
  <c r="R9" i="43" s="1"/>
  <c r="O8" i="43"/>
  <c r="R8" i="43" s="1"/>
  <c r="N6" i="43"/>
  <c r="AD158" i="46" l="1"/>
  <c r="Y155" i="54"/>
  <c r="AD156" i="54"/>
  <c r="AD160" i="54"/>
  <c r="P11" i="43"/>
  <c r="AD155" i="54"/>
  <c r="AD158" i="54"/>
  <c r="AD160" i="46"/>
  <c r="V155" i="54"/>
  <c r="U155" i="54"/>
  <c r="C155" i="54"/>
  <c r="AA155" i="46"/>
  <c r="K155" i="54"/>
  <c r="AC155" i="46"/>
  <c r="T155" i="54"/>
  <c r="AD157" i="54"/>
  <c r="V156" i="54"/>
  <c r="K156" i="54"/>
  <c r="AD159" i="54"/>
  <c r="C156" i="54"/>
  <c r="U156" i="54"/>
  <c r="AA155" i="54" s="1"/>
  <c r="T156" i="54"/>
  <c r="AD159" i="46"/>
  <c r="Q11" i="43"/>
  <c r="Q12" i="43" s="1"/>
  <c r="R11" i="43"/>
  <c r="R12" i="43" l="1"/>
  <c r="X155" i="54"/>
  <c r="AC155" i="54"/>
  <c r="BH39" i="39"/>
  <c r="N39" i="39"/>
  <c r="AC156" i="54"/>
  <c r="AB155" i="54" s="1"/>
  <c r="A9" i="1"/>
  <c r="K29" i="4"/>
  <c r="K28" i="4"/>
  <c r="E103" i="47"/>
  <c r="H103" i="47" s="1"/>
  <c r="O152" i="46" s="1"/>
  <c r="F102" i="47"/>
  <c r="F101" i="47"/>
  <c r="E102" i="47"/>
  <c r="G102" i="47" s="1"/>
  <c r="E101" i="47"/>
  <c r="G101" i="47" s="1"/>
  <c r="I100" i="47"/>
  <c r="G100" i="47"/>
  <c r="H100" i="47" s="1"/>
  <c r="O150" i="46" s="1"/>
  <c r="E100" i="47"/>
  <c r="W151" i="46" l="1"/>
  <c r="W150" i="46"/>
  <c r="P150" i="46"/>
  <c r="U150" i="46"/>
  <c r="T150" i="46"/>
  <c r="C150" i="46"/>
  <c r="V150" i="46"/>
  <c r="K150" i="46"/>
  <c r="P152" i="46"/>
  <c r="T152" i="46"/>
  <c r="U152" i="46"/>
  <c r="K152" i="46"/>
  <c r="V152" i="46"/>
  <c r="C152" i="46"/>
  <c r="L39" i="39"/>
  <c r="AC156" i="46"/>
  <c r="AB155" i="46" s="1"/>
  <c r="O152" i="54"/>
  <c r="O150" i="54"/>
  <c r="H101" i="47"/>
  <c r="O151" i="46" s="1"/>
  <c r="BF38" i="39"/>
  <c r="P151" i="46" l="1"/>
  <c r="T151" i="46"/>
  <c r="U151" i="46"/>
  <c r="C151" i="46"/>
  <c r="V151" i="46"/>
  <c r="K151" i="46"/>
  <c r="X150" i="46" s="1"/>
  <c r="O151" i="54"/>
  <c r="AR153" i="54"/>
  <c r="BA153" i="54" s="1"/>
  <c r="AM153" i="54"/>
  <c r="AR152" i="54"/>
  <c r="BA152" i="54" s="1"/>
  <c r="AM152" i="54"/>
  <c r="M152" i="54"/>
  <c r="N152" i="54" s="1"/>
  <c r="K152" i="54" s="1"/>
  <c r="J152" i="54"/>
  <c r="AR151" i="54"/>
  <c r="BA151" i="54" s="1"/>
  <c r="AM151" i="54"/>
  <c r="W151" i="54"/>
  <c r="M151" i="54"/>
  <c r="N151" i="54" s="1"/>
  <c r="J151" i="54"/>
  <c r="AR150" i="54"/>
  <c r="BA150" i="54" s="1"/>
  <c r="AM150" i="54"/>
  <c r="W150" i="54"/>
  <c r="P150" i="54"/>
  <c r="M150" i="54"/>
  <c r="N150" i="54" s="1"/>
  <c r="J150" i="54"/>
  <c r="AM153" i="46"/>
  <c r="AR153" i="46"/>
  <c r="BA153" i="46" s="1"/>
  <c r="O25" i="4"/>
  <c r="R25" i="4" s="1"/>
  <c r="AR148" i="54"/>
  <c r="BA148" i="54" s="1"/>
  <c r="AM148" i="54"/>
  <c r="AR147" i="54"/>
  <c r="BA147" i="54" s="1"/>
  <c r="AM147" i="54"/>
  <c r="M147" i="54"/>
  <c r="N147" i="54" s="1"/>
  <c r="J147" i="54"/>
  <c r="AR146" i="54"/>
  <c r="BA146" i="54" s="1"/>
  <c r="AM146" i="54"/>
  <c r="M146" i="54"/>
  <c r="J146" i="54"/>
  <c r="AR152" i="46"/>
  <c r="BA152" i="46" s="1"/>
  <c r="AM152" i="46"/>
  <c r="AR151" i="46"/>
  <c r="BA151" i="46" s="1"/>
  <c r="AM151" i="46"/>
  <c r="AR150" i="46"/>
  <c r="BA150" i="46" s="1"/>
  <c r="AM150" i="46"/>
  <c r="N39" i="4"/>
  <c r="I103" i="47" s="1"/>
  <c r="I38" i="4"/>
  <c r="N38" i="4" s="1"/>
  <c r="I101" i="47" s="1"/>
  <c r="G39" i="4"/>
  <c r="P26" i="4"/>
  <c r="P27" i="4" s="1"/>
  <c r="O26" i="4"/>
  <c r="Q25" i="4"/>
  <c r="Q9" i="4"/>
  <c r="R9" i="4"/>
  <c r="R8" i="4"/>
  <c r="Q8" i="4"/>
  <c r="P10" i="4"/>
  <c r="O9" i="4"/>
  <c r="O8" i="4"/>
  <c r="N6" i="4"/>
  <c r="K151" i="54" l="1"/>
  <c r="AD150" i="54"/>
  <c r="AD152" i="54"/>
  <c r="AD148" i="54"/>
  <c r="AD150" i="46"/>
  <c r="Q10" i="4"/>
  <c r="Q11" i="4" s="1"/>
  <c r="AD151" i="54"/>
  <c r="AD153" i="46"/>
  <c r="N146" i="54"/>
  <c r="AD146" i="54"/>
  <c r="AD147" i="54"/>
  <c r="T151" i="54"/>
  <c r="AC151" i="54" s="1"/>
  <c r="V152" i="54"/>
  <c r="AC152" i="46"/>
  <c r="T152" i="54"/>
  <c r="AC152" i="54" s="1"/>
  <c r="T150" i="54"/>
  <c r="K150" i="54"/>
  <c r="X150" i="54" s="1"/>
  <c r="AD153" i="54"/>
  <c r="C150" i="54"/>
  <c r="U150" i="54"/>
  <c r="V150" i="54"/>
  <c r="P151" i="54"/>
  <c r="P152" i="54"/>
  <c r="C151" i="54"/>
  <c r="U151" i="54"/>
  <c r="C152" i="54"/>
  <c r="U152" i="54"/>
  <c r="V151" i="54"/>
  <c r="N38" i="39"/>
  <c r="AD151" i="46"/>
  <c r="AD152" i="46"/>
  <c r="Q26" i="4"/>
  <c r="Q27" i="4" s="1"/>
  <c r="Q28" i="4" s="1"/>
  <c r="R26" i="4"/>
  <c r="R27" i="4" s="1"/>
  <c r="R28" i="4" s="1"/>
  <c r="R10" i="4"/>
  <c r="R11" i="4" s="1"/>
  <c r="DM39" i="2"/>
  <c r="O39" i="2"/>
  <c r="AC151" i="46" l="1"/>
  <c r="L38" i="39"/>
  <c r="AC150" i="54"/>
  <c r="BH38" i="39"/>
  <c r="O38" i="2"/>
  <c r="AC150" i="46" l="1"/>
  <c r="DM38" i="2"/>
  <c r="N37" i="37" l="1"/>
  <c r="I96" i="47" s="1"/>
  <c r="E98" i="47"/>
  <c r="G98" i="47" s="1"/>
  <c r="F97" i="47"/>
  <c r="E97" i="47"/>
  <c r="H97" i="47" s="1"/>
  <c r="O147" i="54" s="1"/>
  <c r="E96" i="47"/>
  <c r="G96" i="47" s="1"/>
  <c r="H96" i="47" s="1"/>
  <c r="O146" i="54" s="1"/>
  <c r="C8" i="37"/>
  <c r="K28" i="37" s="1"/>
  <c r="C7" i="37"/>
  <c r="K27" i="37"/>
  <c r="W146" i="54" l="1"/>
  <c r="W147" i="54"/>
  <c r="P147" i="54"/>
  <c r="U147" i="54"/>
  <c r="C147" i="54"/>
  <c r="K147" i="54"/>
  <c r="T147" i="54"/>
  <c r="V147" i="54"/>
  <c r="P146" i="54"/>
  <c r="C146" i="54"/>
  <c r="T146" i="54"/>
  <c r="U146" i="54"/>
  <c r="V146" i="54"/>
  <c r="K146" i="54"/>
  <c r="AC146" i="54" s="1"/>
  <c r="O147" i="46"/>
  <c r="O146" i="46"/>
  <c r="G97" i="47"/>
  <c r="AC147" i="54" l="1"/>
  <c r="X146" i="54"/>
  <c r="BF37" i="39"/>
  <c r="W147" i="46"/>
  <c r="W146" i="46"/>
  <c r="M147" i="46"/>
  <c r="M146" i="46"/>
  <c r="N146" i="46" s="1"/>
  <c r="P147" i="46"/>
  <c r="J147" i="46"/>
  <c r="P146" i="46"/>
  <c r="J146" i="46"/>
  <c r="AR148" i="46"/>
  <c r="BA148" i="46" s="1"/>
  <c r="AM148" i="46"/>
  <c r="AR147" i="46"/>
  <c r="BA147" i="46" s="1"/>
  <c r="AM147" i="46"/>
  <c r="AR146" i="46"/>
  <c r="BA146" i="46" s="1"/>
  <c r="AD146" i="46" s="1"/>
  <c r="AM146" i="46"/>
  <c r="I38" i="37"/>
  <c r="N38" i="37" s="1"/>
  <c r="I97" i="47" s="1"/>
  <c r="G42" i="37"/>
  <c r="I37" i="37" s="1"/>
  <c r="F42" i="37"/>
  <c r="Q9" i="37"/>
  <c r="Q8" i="37"/>
  <c r="P10" i="37"/>
  <c r="O9" i="37"/>
  <c r="R9" i="37" s="1"/>
  <c r="O8" i="37"/>
  <c r="R8" i="37" s="1"/>
  <c r="N6" i="37"/>
  <c r="R10" i="37" l="1"/>
  <c r="R11" i="37" s="1"/>
  <c r="Q10" i="37"/>
  <c r="Q11" i="37" s="1"/>
  <c r="U147" i="46"/>
  <c r="BH37" i="39"/>
  <c r="T146" i="46"/>
  <c r="U146" i="46"/>
  <c r="AD148" i="46"/>
  <c r="AD147" i="46"/>
  <c r="C146" i="46"/>
  <c r="T147" i="46"/>
  <c r="N147" i="46"/>
  <c r="C147" i="46"/>
  <c r="K146" i="46"/>
  <c r="V146" i="46"/>
  <c r="AA12" i="50"/>
  <c r="W3" i="50"/>
  <c r="AA150" i="46" l="1"/>
  <c r="AB150" i="46" s="1"/>
  <c r="AA150" i="54"/>
  <c r="AB150" i="54" s="1"/>
  <c r="N37" i="39"/>
  <c r="AC146" i="46"/>
  <c r="V147" i="46"/>
  <c r="K147" i="46"/>
  <c r="AC147" i="46" s="1"/>
  <c r="F14" i="6"/>
  <c r="F23" i="6"/>
  <c r="E94" i="47"/>
  <c r="G94" i="47" s="1"/>
  <c r="H94" i="47" s="1"/>
  <c r="F93" i="47"/>
  <c r="E93" i="47"/>
  <c r="E92" i="47"/>
  <c r="G92" i="47" s="1"/>
  <c r="H92" i="47" s="1"/>
  <c r="O141" i="46" s="1"/>
  <c r="C26" i="6"/>
  <c r="K27" i="6" s="1"/>
  <c r="C25" i="6"/>
  <c r="C8" i="6"/>
  <c r="C7" i="6"/>
  <c r="K25" i="6" s="1"/>
  <c r="G93" i="47" l="1"/>
  <c r="H93" i="47" s="1"/>
  <c r="K26" i="6"/>
  <c r="L37" i="39"/>
  <c r="X146" i="46"/>
  <c r="O142" i="54"/>
  <c r="O142" i="46"/>
  <c r="O143" i="46"/>
  <c r="O143" i="54"/>
  <c r="O141" i="54"/>
  <c r="DM37" i="2"/>
  <c r="BF36" i="39" l="1"/>
  <c r="AR144" i="54"/>
  <c r="BA144" i="54" s="1"/>
  <c r="AM144" i="54"/>
  <c r="AR143" i="54"/>
  <c r="BA143" i="54" s="1"/>
  <c r="AM143" i="54"/>
  <c r="W143" i="54"/>
  <c r="M143" i="54"/>
  <c r="N143" i="54" s="1"/>
  <c r="K143" i="54" s="1"/>
  <c r="J143" i="54"/>
  <c r="AR142" i="54"/>
  <c r="BA142" i="54" s="1"/>
  <c r="AM142" i="54"/>
  <c r="W142" i="54"/>
  <c r="M142" i="54"/>
  <c r="T142" i="54" s="1"/>
  <c r="J142" i="54"/>
  <c r="AR141" i="54"/>
  <c r="BA141" i="54" s="1"/>
  <c r="AM141" i="54"/>
  <c r="W141" i="54"/>
  <c r="P141" i="54"/>
  <c r="M141" i="54"/>
  <c r="U141" i="54" s="1"/>
  <c r="J141" i="54"/>
  <c r="AM144" i="46"/>
  <c r="AR144" i="46"/>
  <c r="BA144" i="46"/>
  <c r="W143" i="46"/>
  <c r="W142" i="46"/>
  <c r="W141" i="46"/>
  <c r="M143" i="46"/>
  <c r="C143" i="46" s="1"/>
  <c r="M142" i="46"/>
  <c r="N142" i="46" s="1"/>
  <c r="K142" i="46" s="1"/>
  <c r="M141" i="46"/>
  <c r="N141" i="46" s="1"/>
  <c r="K141" i="46" s="1"/>
  <c r="J143" i="46"/>
  <c r="J142" i="46"/>
  <c r="AR143" i="46"/>
  <c r="BA143" i="46" s="1"/>
  <c r="AM143" i="46"/>
  <c r="AR142" i="46"/>
  <c r="BA142" i="46" s="1"/>
  <c r="AM142" i="46"/>
  <c r="AR141" i="46"/>
  <c r="BA141" i="46" s="1"/>
  <c r="AM141" i="46"/>
  <c r="J141" i="46"/>
  <c r="U143" i="54" l="1"/>
  <c r="AD141" i="54"/>
  <c r="AD142" i="54"/>
  <c r="AD142" i="46"/>
  <c r="AD141" i="46"/>
  <c r="AD143" i="54"/>
  <c r="N143" i="46"/>
  <c r="V143" i="46" s="1"/>
  <c r="N142" i="54"/>
  <c r="K142" i="54" s="1"/>
  <c r="AC142" i="54" s="1"/>
  <c r="AD144" i="54"/>
  <c r="N141" i="54"/>
  <c r="K141" i="54" s="1"/>
  <c r="AD143" i="46"/>
  <c r="V141" i="54"/>
  <c r="P142" i="54"/>
  <c r="P143" i="54"/>
  <c r="T143" i="54"/>
  <c r="AC143" i="54" s="1"/>
  <c r="C142" i="54"/>
  <c r="U142" i="54"/>
  <c r="C143" i="54"/>
  <c r="V143" i="54"/>
  <c r="T141" i="54"/>
  <c r="C141" i="54"/>
  <c r="C142" i="46"/>
  <c r="P142" i="46"/>
  <c r="U142" i="46"/>
  <c r="P143" i="46"/>
  <c r="T142" i="46"/>
  <c r="AC142" i="46" s="1"/>
  <c r="V142" i="46"/>
  <c r="T143" i="46"/>
  <c r="U143" i="46"/>
  <c r="AD144" i="46"/>
  <c r="P141" i="46"/>
  <c r="T141" i="46"/>
  <c r="AC141" i="46" s="1"/>
  <c r="U141" i="46"/>
  <c r="C141" i="46"/>
  <c r="V141" i="46"/>
  <c r="N39" i="6"/>
  <c r="I94" i="47" s="1"/>
  <c r="N37" i="6"/>
  <c r="I92" i="47" s="1"/>
  <c r="I38" i="6"/>
  <c r="N38" i="6" s="1"/>
  <c r="I93" i="47" s="1"/>
  <c r="G42" i="6"/>
  <c r="I37" i="6" s="1"/>
  <c r="F42" i="6"/>
  <c r="P27" i="6"/>
  <c r="Q27" i="6" s="1"/>
  <c r="P26" i="6"/>
  <c r="O27" i="6"/>
  <c r="O26" i="6"/>
  <c r="Q9" i="6"/>
  <c r="Q8" i="6"/>
  <c r="P10" i="6"/>
  <c r="O9" i="6"/>
  <c r="R9" i="6" s="1"/>
  <c r="O8" i="6"/>
  <c r="R8" i="6" s="1"/>
  <c r="N6" i="6"/>
  <c r="BH36" i="39" l="1"/>
  <c r="N36" i="39"/>
  <c r="AC141" i="54"/>
  <c r="K143" i="46"/>
  <c r="L36" i="39" s="1"/>
  <c r="V142" i="54"/>
  <c r="X141" i="54"/>
  <c r="R27" i="6"/>
  <c r="P28" i="6"/>
  <c r="R26" i="6"/>
  <c r="Q26" i="6"/>
  <c r="Q28" i="6" s="1"/>
  <c r="Q10" i="6"/>
  <c r="Q11" i="6" s="1"/>
  <c r="R10" i="6"/>
  <c r="R11" i="6" s="1"/>
  <c r="F90" i="47"/>
  <c r="E90" i="47"/>
  <c r="G90" i="47" s="1"/>
  <c r="H90" i="47" s="1"/>
  <c r="O136" i="46" s="1"/>
  <c r="Q29" i="6" l="1"/>
  <c r="R28" i="6"/>
  <c r="R29" i="6" s="1"/>
  <c r="AC143" i="46"/>
  <c r="X141" i="46"/>
  <c r="O136" i="54"/>
  <c r="BF35" i="39"/>
  <c r="DM36" i="2" l="1"/>
  <c r="O36" i="2" l="1"/>
  <c r="AR139" i="54" l="1"/>
  <c r="BA139" i="54" s="1"/>
  <c r="AM139" i="54"/>
  <c r="AR138" i="54"/>
  <c r="BA138" i="54" s="1"/>
  <c r="AM138" i="54"/>
  <c r="AR137" i="54"/>
  <c r="BA137" i="54" s="1"/>
  <c r="AM137" i="54"/>
  <c r="AR136" i="54"/>
  <c r="BA136" i="54" s="1"/>
  <c r="AM136" i="54"/>
  <c r="U136" i="54"/>
  <c r="T136" i="54"/>
  <c r="N136" i="54"/>
  <c r="V136" i="54" s="1"/>
  <c r="J136" i="54"/>
  <c r="C136" i="54"/>
  <c r="P136" i="46"/>
  <c r="U136" i="46"/>
  <c r="J136" i="46"/>
  <c r="AD138" i="54" l="1"/>
  <c r="AD136" i="54"/>
  <c r="AD139" i="54"/>
  <c r="AD137" i="54"/>
  <c r="K136" i="54"/>
  <c r="P136" i="54"/>
  <c r="T136" i="46"/>
  <c r="N136" i="46"/>
  <c r="C136" i="46"/>
  <c r="N35" i="39" s="1"/>
  <c r="AR139" i="46"/>
  <c r="BA139" i="46" s="1"/>
  <c r="AM139" i="46"/>
  <c r="AR138" i="46"/>
  <c r="BA138" i="46" s="1"/>
  <c r="AM138" i="46"/>
  <c r="AR137" i="46"/>
  <c r="BA137" i="46" s="1"/>
  <c r="AM137" i="46"/>
  <c r="AR136" i="46"/>
  <c r="BA136" i="46" s="1"/>
  <c r="AM136" i="46"/>
  <c r="F14" i="7"/>
  <c r="F23" i="7"/>
  <c r="I38" i="7"/>
  <c r="I90" i="47" s="1"/>
  <c r="F42" i="7"/>
  <c r="G40" i="7"/>
  <c r="G39" i="7"/>
  <c r="G38" i="7"/>
  <c r="O10" i="7"/>
  <c r="O9" i="7"/>
  <c r="O8" i="7"/>
  <c r="N6" i="7"/>
  <c r="AD138" i="46" l="1"/>
  <c r="G42" i="7"/>
  <c r="I37" i="7" s="1"/>
  <c r="AD136" i="46"/>
  <c r="AD137" i="46"/>
  <c r="AC136" i="54"/>
  <c r="BH35" i="39"/>
  <c r="AD139" i="46"/>
  <c r="V136" i="46"/>
  <c r="K136" i="46"/>
  <c r="L35" i="39" s="1"/>
  <c r="C8" i="28"/>
  <c r="AC136" i="46" l="1"/>
  <c r="Z132" i="54"/>
  <c r="Z131" i="54"/>
  <c r="Z114" i="54"/>
  <c r="Z75" i="54"/>
  <c r="Z44" i="54"/>
  <c r="Z43" i="54"/>
  <c r="Z42" i="54"/>
  <c r="Z37" i="54"/>
  <c r="W35" i="54"/>
  <c r="Z132" i="46" l="1"/>
  <c r="Z131" i="46"/>
  <c r="K24" i="8"/>
  <c r="E88" i="47"/>
  <c r="G88" i="47" s="1"/>
  <c r="H88" i="47" s="1"/>
  <c r="F86" i="47"/>
  <c r="E87" i="47"/>
  <c r="G87" i="47" s="1"/>
  <c r="E86" i="47"/>
  <c r="F83" i="47"/>
  <c r="E83" i="47"/>
  <c r="E84" i="47"/>
  <c r="G84" i="47" s="1"/>
  <c r="C26" i="8"/>
  <c r="K25" i="8" s="1"/>
  <c r="W132" i="54" l="1"/>
  <c r="W131" i="54"/>
  <c r="H83" i="47"/>
  <c r="O132" i="46"/>
  <c r="O132" i="54"/>
  <c r="O127" i="46"/>
  <c r="O127" i="54"/>
  <c r="H86" i="47"/>
  <c r="G86" i="47"/>
  <c r="G83" i="47"/>
  <c r="O131" i="46" l="1"/>
  <c r="O131" i="54"/>
  <c r="G34" i="2"/>
  <c r="G35" i="2"/>
  <c r="O35" i="2"/>
  <c r="DM35" i="2"/>
  <c r="DM34" i="2"/>
  <c r="BF34" i="39" l="1"/>
  <c r="BF33" i="39"/>
  <c r="AR134" i="54" l="1"/>
  <c r="BA134" i="54" s="1"/>
  <c r="AM134" i="54"/>
  <c r="AD134" i="54" s="1"/>
  <c r="AR133" i="54"/>
  <c r="BA133" i="54" s="1"/>
  <c r="AM133" i="54"/>
  <c r="AR132" i="54"/>
  <c r="BA132" i="54" s="1"/>
  <c r="AM132" i="54"/>
  <c r="P132" i="54"/>
  <c r="N132" i="54"/>
  <c r="K132" i="54" s="1"/>
  <c r="M132" i="54"/>
  <c r="J132" i="54"/>
  <c r="AR131" i="54"/>
  <c r="BA131" i="54" s="1"/>
  <c r="AM131" i="54"/>
  <c r="M131" i="54"/>
  <c r="U131" i="54" s="1"/>
  <c r="J131" i="54"/>
  <c r="AR129" i="54"/>
  <c r="BA129" i="54" s="1"/>
  <c r="AM129" i="54"/>
  <c r="AR128" i="54"/>
  <c r="BA128" i="54" s="1"/>
  <c r="AM128" i="54"/>
  <c r="AR127" i="54"/>
  <c r="BA127" i="54" s="1"/>
  <c r="AM127" i="54"/>
  <c r="P127" i="54"/>
  <c r="N127" i="54"/>
  <c r="J127" i="54"/>
  <c r="N131" i="54" l="1"/>
  <c r="AD127" i="54"/>
  <c r="AD129" i="54"/>
  <c r="K131" i="54"/>
  <c r="T132" i="54"/>
  <c r="AC132" i="54" s="1"/>
  <c r="U132" i="54"/>
  <c r="V132" i="54"/>
  <c r="C132" i="54"/>
  <c r="K127" i="54"/>
  <c r="T127" i="54"/>
  <c r="C127" i="54"/>
  <c r="U127" i="54"/>
  <c r="V127" i="54"/>
  <c r="AD132" i="54"/>
  <c r="AD133" i="54"/>
  <c r="AD128" i="54"/>
  <c r="AD131" i="54"/>
  <c r="P131" i="54"/>
  <c r="T131" i="54"/>
  <c r="C131" i="54"/>
  <c r="V131" i="54"/>
  <c r="W132" i="46"/>
  <c r="N127" i="46"/>
  <c r="M132" i="46"/>
  <c r="C132" i="46" s="1"/>
  <c r="M131" i="46"/>
  <c r="C131" i="46" s="1"/>
  <c r="J132" i="46"/>
  <c r="AR134" i="46"/>
  <c r="BA134" i="46" s="1"/>
  <c r="AM134" i="46"/>
  <c r="AR133" i="46"/>
  <c r="BA133" i="46" s="1"/>
  <c r="AM133" i="46"/>
  <c r="AR132" i="46"/>
  <c r="BA132" i="46" s="1"/>
  <c r="AM132" i="46"/>
  <c r="AR131" i="46"/>
  <c r="BA131" i="46" s="1"/>
  <c r="AM131" i="46"/>
  <c r="N131" i="46"/>
  <c r="J131" i="46"/>
  <c r="C127" i="46"/>
  <c r="N33" i="39" s="1"/>
  <c r="J127" i="46"/>
  <c r="AR129" i="46"/>
  <c r="BA129" i="46" s="1"/>
  <c r="AM129" i="46"/>
  <c r="AR128" i="46"/>
  <c r="BA128" i="46" s="1"/>
  <c r="AM128" i="46"/>
  <c r="AR127" i="46"/>
  <c r="BA127" i="46" s="1"/>
  <c r="AM127" i="46"/>
  <c r="N37" i="8"/>
  <c r="I86" i="47" s="1"/>
  <c r="I38" i="8"/>
  <c r="N38" i="8" s="1"/>
  <c r="I88" i="47" s="1"/>
  <c r="G39" i="8"/>
  <c r="G38" i="8"/>
  <c r="Q28" i="8"/>
  <c r="Q27" i="8"/>
  <c r="P29" i="8"/>
  <c r="O28" i="8"/>
  <c r="R28" i="8" s="1"/>
  <c r="O27" i="8"/>
  <c r="R27" i="8" s="1"/>
  <c r="O8" i="8"/>
  <c r="N6" i="8"/>
  <c r="AD127" i="46" l="1"/>
  <c r="AD131" i="46"/>
  <c r="N132" i="46"/>
  <c r="V132" i="46" s="1"/>
  <c r="BH34" i="39"/>
  <c r="X131" i="54"/>
  <c r="Q29" i="8"/>
  <c r="Q30" i="8" s="1"/>
  <c r="AC131" i="54"/>
  <c r="K131" i="46"/>
  <c r="V131" i="46"/>
  <c r="N34" i="39"/>
  <c r="V127" i="46"/>
  <c r="AC127" i="54"/>
  <c r="BH33" i="39"/>
  <c r="AD133" i="46"/>
  <c r="AD129" i="46"/>
  <c r="AD128" i="46"/>
  <c r="P132" i="46"/>
  <c r="T132" i="46"/>
  <c r="U132" i="46"/>
  <c r="K132" i="46"/>
  <c r="AC132" i="46" s="1"/>
  <c r="AD132" i="46"/>
  <c r="AD134" i="46"/>
  <c r="T131" i="46"/>
  <c r="P131" i="46"/>
  <c r="U131" i="46"/>
  <c r="K127" i="46"/>
  <c r="P127" i="46"/>
  <c r="T127" i="46"/>
  <c r="U127" i="46"/>
  <c r="R29" i="8"/>
  <c r="R30" i="8" s="1"/>
  <c r="AC131" i="46" l="1"/>
  <c r="L34" i="39"/>
  <c r="AC127" i="46"/>
  <c r="L33" i="39"/>
  <c r="F14" i="9"/>
  <c r="F23" i="9"/>
  <c r="I38" i="9"/>
  <c r="I83" i="47" s="1"/>
  <c r="G40" i="9"/>
  <c r="G39" i="9"/>
  <c r="G38" i="9"/>
  <c r="O10" i="9"/>
  <c r="O9" i="9"/>
  <c r="O8" i="9"/>
  <c r="N6" i="9"/>
  <c r="DM33" i="2" l="1"/>
  <c r="F79" i="47" l="1"/>
  <c r="E81" i="47"/>
  <c r="G81" i="47" s="1"/>
  <c r="E80" i="47"/>
  <c r="G80" i="47" s="1"/>
  <c r="E79" i="47"/>
  <c r="E78" i="47"/>
  <c r="G78" i="47" s="1"/>
  <c r="H78" i="47" s="1"/>
  <c r="O122" i="54" s="1"/>
  <c r="K24" i="10"/>
  <c r="K23" i="10"/>
  <c r="W123" i="54" l="1"/>
  <c r="W122" i="54"/>
  <c r="O122" i="46"/>
  <c r="H79" i="47"/>
  <c r="O123" i="54" s="1"/>
  <c r="G79" i="47"/>
  <c r="O123" i="46" l="1"/>
  <c r="BF32" i="39"/>
  <c r="AR125" i="54"/>
  <c r="BA125" i="54" s="1"/>
  <c r="AM125" i="54"/>
  <c r="AR124" i="54"/>
  <c r="BA124" i="54" s="1"/>
  <c r="AM124" i="54"/>
  <c r="AR123" i="54"/>
  <c r="BA123" i="54" s="1"/>
  <c r="AM123" i="54"/>
  <c r="N123" i="54"/>
  <c r="K123" i="54" s="1"/>
  <c r="J123" i="54"/>
  <c r="AR122" i="54"/>
  <c r="BA122" i="54" s="1"/>
  <c r="AM122" i="54"/>
  <c r="N122" i="54"/>
  <c r="V122" i="54" s="1"/>
  <c r="J122" i="54"/>
  <c r="AR125" i="46"/>
  <c r="BA125" i="46" s="1"/>
  <c r="AM125" i="46"/>
  <c r="W123" i="46"/>
  <c r="W122" i="46"/>
  <c r="C123" i="46"/>
  <c r="N123" i="46"/>
  <c r="J123" i="46"/>
  <c r="AR124" i="46"/>
  <c r="BA124" i="46" s="1"/>
  <c r="AM124" i="46"/>
  <c r="AR123" i="46"/>
  <c r="BA123" i="46" s="1"/>
  <c r="AD123" i="46" s="1"/>
  <c r="AM123" i="46"/>
  <c r="AR122" i="46"/>
  <c r="BA122" i="46" s="1"/>
  <c r="AM122" i="46"/>
  <c r="U122" i="46"/>
  <c r="N122" i="46"/>
  <c r="K122" i="46" s="1"/>
  <c r="J122" i="46"/>
  <c r="C122" i="46"/>
  <c r="N37" i="10"/>
  <c r="I78" i="47" s="1"/>
  <c r="I38" i="10"/>
  <c r="Q9" i="10"/>
  <c r="P10" i="10"/>
  <c r="Q10" i="10" s="1"/>
  <c r="O10" i="10"/>
  <c r="O9" i="10"/>
  <c r="R9" i="10" s="1"/>
  <c r="N6" i="10"/>
  <c r="AD123" i="54" l="1"/>
  <c r="N38" i="10"/>
  <c r="I79" i="47" s="1"/>
  <c r="AD122" i="46"/>
  <c r="AD122" i="54"/>
  <c r="AD125" i="46"/>
  <c r="AD125" i="54"/>
  <c r="R10" i="10"/>
  <c r="P11" i="10"/>
  <c r="AD124" i="54"/>
  <c r="N32" i="39"/>
  <c r="P123" i="54"/>
  <c r="K123" i="46"/>
  <c r="X122" i="46" s="1"/>
  <c r="T123" i="54"/>
  <c r="AC123" i="54" s="1"/>
  <c r="V123" i="46"/>
  <c r="U123" i="54"/>
  <c r="C123" i="54"/>
  <c r="V123" i="54"/>
  <c r="K122" i="54"/>
  <c r="X122" i="54" s="1"/>
  <c r="V122" i="46"/>
  <c r="P122" i="54"/>
  <c r="T122" i="54"/>
  <c r="P122" i="46"/>
  <c r="U122" i="54"/>
  <c r="T122" i="46"/>
  <c r="AC122" i="46" s="1"/>
  <c r="C122" i="54"/>
  <c r="AD124" i="46"/>
  <c r="T123" i="46"/>
  <c r="U123" i="46"/>
  <c r="P123" i="46"/>
  <c r="Q11" i="10"/>
  <c r="R11" i="10"/>
  <c r="R12" i="10" l="1"/>
  <c r="Q12" i="10"/>
  <c r="AC122" i="54"/>
  <c r="L32" i="39"/>
  <c r="AC123" i="46"/>
  <c r="BH32" i="39"/>
  <c r="G32" i="2"/>
  <c r="DM32" i="2" l="1"/>
  <c r="N118" i="46"/>
  <c r="J118" i="46"/>
  <c r="F76" i="47"/>
  <c r="E76" i="47"/>
  <c r="G76" i="47" l="1"/>
  <c r="H76" i="47" s="1"/>
  <c r="BF31" i="39"/>
  <c r="AH32" i="39"/>
  <c r="AH33" i="39"/>
  <c r="AH34" i="39"/>
  <c r="AH35" i="39"/>
  <c r="AH36" i="39"/>
  <c r="AH37" i="39"/>
  <c r="AH38" i="39"/>
  <c r="AH39" i="39"/>
  <c r="AR120" i="54"/>
  <c r="BA120" i="54" s="1"/>
  <c r="AM120" i="54"/>
  <c r="AR119" i="54"/>
  <c r="BA119" i="54" s="1"/>
  <c r="AM119" i="54"/>
  <c r="AD119" i="54" s="1"/>
  <c r="AR118" i="54"/>
  <c r="BA118" i="54" s="1"/>
  <c r="AM118" i="54"/>
  <c r="N118" i="54"/>
  <c r="J118" i="54"/>
  <c r="AR120" i="46"/>
  <c r="BA120" i="46" s="1"/>
  <c r="AM120" i="46"/>
  <c r="AR119" i="46"/>
  <c r="BA119" i="46" s="1"/>
  <c r="AM119" i="46"/>
  <c r="AR118" i="46"/>
  <c r="BA118" i="46" s="1"/>
  <c r="AM118" i="46"/>
  <c r="F14" i="11"/>
  <c r="F23" i="11"/>
  <c r="I38" i="11"/>
  <c r="I76" i="47" s="1"/>
  <c r="G40" i="11"/>
  <c r="G39" i="11"/>
  <c r="G38" i="11"/>
  <c r="O8" i="11"/>
  <c r="N6" i="11"/>
  <c r="AD118" i="54" l="1"/>
  <c r="AD120" i="54"/>
  <c r="AD118" i="46"/>
  <c r="AD119" i="46"/>
  <c r="O118" i="46"/>
  <c r="O118" i="54"/>
  <c r="K118" i="54" s="1"/>
  <c r="BH31" i="39" s="1"/>
  <c r="AD120" i="46"/>
  <c r="P118" i="54" l="1"/>
  <c r="U118" i="54"/>
  <c r="C118" i="54"/>
  <c r="V118" i="54"/>
  <c r="T118" i="54"/>
  <c r="AC118" i="54" s="1"/>
  <c r="C118" i="46"/>
  <c r="N31" i="39" s="1"/>
  <c r="K118" i="46"/>
  <c r="V118" i="46"/>
  <c r="P118" i="46"/>
  <c r="T118" i="46"/>
  <c r="U118" i="46"/>
  <c r="AC118" i="46" l="1"/>
  <c r="L31" i="39"/>
  <c r="DM31" i="2"/>
  <c r="G31" i="2" l="1"/>
  <c r="Z114" i="46"/>
  <c r="K23" i="12"/>
  <c r="K22" i="12"/>
  <c r="K20" i="12"/>
  <c r="F73" i="47"/>
  <c r="E74" i="47"/>
  <c r="G74" i="47" s="1"/>
  <c r="H74" i="47" s="1"/>
  <c r="E73" i="47"/>
  <c r="F72" i="47"/>
  <c r="E72" i="47"/>
  <c r="W113" i="54" l="1"/>
  <c r="W115" i="54"/>
  <c r="W114" i="54"/>
  <c r="O115" i="46"/>
  <c r="O115" i="54"/>
  <c r="G73" i="47"/>
  <c r="H73" i="47" s="1"/>
  <c r="G72" i="47"/>
  <c r="H72" i="47" s="1"/>
  <c r="BF30" i="39"/>
  <c r="AR116" i="54"/>
  <c r="BA116" i="54" s="1"/>
  <c r="AM116" i="54"/>
  <c r="AR115" i="54"/>
  <c r="BA115" i="54" s="1"/>
  <c r="AD115" i="54" s="1"/>
  <c r="AM115" i="54"/>
  <c r="M115" i="54"/>
  <c r="N115" i="54" s="1"/>
  <c r="V115" i="54" s="1"/>
  <c r="J115" i="54"/>
  <c r="AR114" i="54"/>
  <c r="BA114" i="54" s="1"/>
  <c r="AM114" i="54"/>
  <c r="M114" i="54"/>
  <c r="N114" i="54" s="1"/>
  <c r="J114" i="54"/>
  <c r="AR113" i="54"/>
  <c r="BA113" i="54" s="1"/>
  <c r="AD113" i="54" s="1"/>
  <c r="AM113" i="54"/>
  <c r="M113" i="54"/>
  <c r="N113" i="54" s="1"/>
  <c r="J113" i="54"/>
  <c r="AD114" i="54" l="1"/>
  <c r="AD116" i="54"/>
  <c r="O114" i="54"/>
  <c r="V114" i="54" s="1"/>
  <c r="O114" i="46"/>
  <c r="O113" i="54"/>
  <c r="U113" i="54" s="1"/>
  <c r="O113" i="46"/>
  <c r="K115" i="54"/>
  <c r="P115" i="54"/>
  <c r="T115" i="54"/>
  <c r="C115" i="54"/>
  <c r="U115" i="54"/>
  <c r="W115" i="46"/>
  <c r="W114" i="46"/>
  <c r="W113" i="46"/>
  <c r="M115" i="46"/>
  <c r="N115" i="46" s="1"/>
  <c r="M114" i="46"/>
  <c r="N114" i="46" s="1"/>
  <c r="M113" i="46"/>
  <c r="N113" i="46" s="1"/>
  <c r="J113" i="46"/>
  <c r="AR116" i="46"/>
  <c r="BA116" i="46" s="1"/>
  <c r="AM116" i="46"/>
  <c r="AR115" i="46"/>
  <c r="BA115" i="46" s="1"/>
  <c r="AM115" i="46"/>
  <c r="P115" i="46"/>
  <c r="J115" i="46"/>
  <c r="AR114" i="46"/>
  <c r="BA114" i="46" s="1"/>
  <c r="AM114" i="46"/>
  <c r="J114" i="46"/>
  <c r="AR113" i="46"/>
  <c r="BA113" i="46" s="1"/>
  <c r="AM113" i="46"/>
  <c r="N37" i="12"/>
  <c r="I72" i="47" s="1"/>
  <c r="N38" i="12"/>
  <c r="I73" i="47" s="1"/>
  <c r="I38" i="12"/>
  <c r="G40" i="12"/>
  <c r="O16" i="12"/>
  <c r="R16" i="12" s="1"/>
  <c r="Q17" i="12"/>
  <c r="O17" i="12"/>
  <c r="R17" i="12" s="1"/>
  <c r="Q16" i="12"/>
  <c r="P18" i="12"/>
  <c r="Q9" i="12"/>
  <c r="P8" i="12"/>
  <c r="Q8" i="12" s="1"/>
  <c r="O9" i="12"/>
  <c r="R9" i="12" s="1"/>
  <c r="O8" i="12"/>
  <c r="N6" i="12"/>
  <c r="U113" i="46" l="1"/>
  <c r="R8" i="12"/>
  <c r="P113" i="54"/>
  <c r="N39" i="12"/>
  <c r="I74" i="47" s="1"/>
  <c r="V113" i="54"/>
  <c r="Q10" i="12"/>
  <c r="P10" i="12"/>
  <c r="AD113" i="46"/>
  <c r="U114" i="54"/>
  <c r="AA113" i="54" s="1"/>
  <c r="K114" i="54"/>
  <c r="T114" i="54"/>
  <c r="C114" i="54"/>
  <c r="P114" i="54"/>
  <c r="AC115" i="54"/>
  <c r="T113" i="54"/>
  <c r="K113" i="54"/>
  <c r="C113" i="54"/>
  <c r="U115" i="46"/>
  <c r="V115" i="46"/>
  <c r="K115" i="46"/>
  <c r="K113" i="46"/>
  <c r="C113" i="46"/>
  <c r="T113" i="46"/>
  <c r="P113" i="46"/>
  <c r="AD115" i="46"/>
  <c r="AD114" i="46"/>
  <c r="P114" i="46"/>
  <c r="V113" i="46"/>
  <c r="V114" i="46"/>
  <c r="K114" i="46"/>
  <c r="AD116" i="46"/>
  <c r="T114" i="46"/>
  <c r="T115" i="46"/>
  <c r="U114" i="46"/>
  <c r="C115" i="46"/>
  <c r="C114" i="46"/>
  <c r="Q18" i="12"/>
  <c r="Q19" i="12" s="1"/>
  <c r="R18" i="12"/>
  <c r="R19" i="12" s="1"/>
  <c r="R10" i="12"/>
  <c r="R11" i="12" s="1"/>
  <c r="E70" i="47"/>
  <c r="E69" i="47"/>
  <c r="E68" i="47"/>
  <c r="G68" i="47" s="1"/>
  <c r="H68" i="47" s="1"/>
  <c r="O108" i="54" s="1"/>
  <c r="AC114" i="54" l="1"/>
  <c r="O108" i="46"/>
  <c r="AC113" i="54"/>
  <c r="X113" i="54"/>
  <c r="AC113" i="46"/>
  <c r="Q11" i="12"/>
  <c r="BH30" i="39"/>
  <c r="AB113" i="54"/>
  <c r="AA113" i="46"/>
  <c r="AC114" i="46"/>
  <c r="AC115" i="46"/>
  <c r="N30" i="39"/>
  <c r="L30" i="39"/>
  <c r="X113" i="46"/>
  <c r="G70" i="47"/>
  <c r="H70" i="47" s="1"/>
  <c r="G69" i="47"/>
  <c r="H69" i="47" s="1"/>
  <c r="AB113" i="46" l="1"/>
  <c r="O109" i="46"/>
  <c r="O109" i="54"/>
  <c r="O110" i="46"/>
  <c r="O110" i="54"/>
  <c r="C7" i="13"/>
  <c r="DM30" i="2"/>
  <c r="G30" i="2"/>
  <c r="BF29" i="39" l="1"/>
  <c r="AR111" i="54"/>
  <c r="BA111" i="54" s="1"/>
  <c r="AM111" i="54"/>
  <c r="AR110" i="54"/>
  <c r="BA110" i="54" s="1"/>
  <c r="AM110" i="54"/>
  <c r="P110" i="54"/>
  <c r="M110" i="54"/>
  <c r="U110" i="54" s="1"/>
  <c r="J110" i="54"/>
  <c r="AR109" i="54"/>
  <c r="BA109" i="54" s="1"/>
  <c r="AM109" i="54"/>
  <c r="M109" i="54"/>
  <c r="N109" i="54" s="1"/>
  <c r="J109" i="54"/>
  <c r="AR108" i="54"/>
  <c r="BA108" i="54" s="1"/>
  <c r="AM108" i="54"/>
  <c r="Q108" i="54"/>
  <c r="Q109" i="54" s="1"/>
  <c r="M108" i="54"/>
  <c r="J108" i="54"/>
  <c r="AM111" i="46"/>
  <c r="AR111" i="46"/>
  <c r="BA111" i="46" s="1"/>
  <c r="N39" i="13"/>
  <c r="N37" i="13"/>
  <c r="I68" i="47" s="1"/>
  <c r="I38" i="13"/>
  <c r="Q108" i="46"/>
  <c r="Q109" i="46" s="1"/>
  <c r="P110" i="46"/>
  <c r="M110" i="46"/>
  <c r="T110" i="46" s="1"/>
  <c r="J110" i="46"/>
  <c r="M109" i="46"/>
  <c r="N109" i="46" s="1"/>
  <c r="J109" i="46"/>
  <c r="AR110" i="46"/>
  <c r="BA110" i="46" s="1"/>
  <c r="AM110" i="46"/>
  <c r="AR109" i="46"/>
  <c r="BA109" i="46" s="1"/>
  <c r="AM109" i="46"/>
  <c r="AR108" i="46"/>
  <c r="BA108" i="46" s="1"/>
  <c r="AM108" i="46"/>
  <c r="M108" i="46"/>
  <c r="J108" i="46"/>
  <c r="K20" i="13"/>
  <c r="K19" i="13"/>
  <c r="K21" i="13"/>
  <c r="F14" i="13"/>
  <c r="F23" i="13"/>
  <c r="F42" i="13"/>
  <c r="G40" i="13"/>
  <c r="G39" i="13"/>
  <c r="G38" i="13"/>
  <c r="G42" i="13" s="1"/>
  <c r="I37" i="13" s="1"/>
  <c r="O11" i="13"/>
  <c r="O10" i="13"/>
  <c r="P9" i="13"/>
  <c r="P10" i="13" s="1"/>
  <c r="O9" i="13"/>
  <c r="N6" i="13"/>
  <c r="W108" i="54" l="1"/>
  <c r="W109" i="54"/>
  <c r="W110" i="54"/>
  <c r="AD111" i="54"/>
  <c r="T108" i="46"/>
  <c r="N38" i="13"/>
  <c r="I69" i="47" s="1"/>
  <c r="I70" i="47"/>
  <c r="N110" i="54"/>
  <c r="K110" i="54" s="1"/>
  <c r="W108" i="46"/>
  <c r="AD110" i="54"/>
  <c r="U110" i="46"/>
  <c r="N110" i="46"/>
  <c r="N108" i="46"/>
  <c r="K108" i="46" s="1"/>
  <c r="AC108" i="46" s="1"/>
  <c r="AD109" i="54"/>
  <c r="AD108" i="46"/>
  <c r="C110" i="46"/>
  <c r="P108" i="54"/>
  <c r="W110" i="46"/>
  <c r="W109" i="46"/>
  <c r="U108" i="54"/>
  <c r="U108" i="46"/>
  <c r="V109" i="54"/>
  <c r="K109" i="54"/>
  <c r="P109" i="54"/>
  <c r="AD108" i="54"/>
  <c r="N108" i="54"/>
  <c r="C109" i="54"/>
  <c r="T109" i="54"/>
  <c r="T110" i="54"/>
  <c r="U109" i="54"/>
  <c r="C110" i="54"/>
  <c r="C108" i="54"/>
  <c r="T108" i="54"/>
  <c r="AD111" i="46"/>
  <c r="AD109" i="46"/>
  <c r="P109" i="46"/>
  <c r="K109" i="46"/>
  <c r="V109" i="46"/>
  <c r="T109" i="46"/>
  <c r="C109" i="46"/>
  <c r="U109" i="46"/>
  <c r="AD110" i="46"/>
  <c r="P108" i="46"/>
  <c r="C108" i="46"/>
  <c r="V110" i="54" l="1"/>
  <c r="V110" i="46"/>
  <c r="K110" i="46"/>
  <c r="AC110" i="46" s="1"/>
  <c r="V108" i="46"/>
  <c r="AC110" i="54"/>
  <c r="N29" i="39"/>
  <c r="AC109" i="54"/>
  <c r="AC109" i="46"/>
  <c r="V108" i="54"/>
  <c r="K108" i="54"/>
  <c r="X108" i="54" s="1"/>
  <c r="F66" i="47"/>
  <c r="E66" i="47"/>
  <c r="DM29" i="2"/>
  <c r="G29" i="2"/>
  <c r="X108" i="46" l="1"/>
  <c r="G66" i="47"/>
  <c r="H66" i="47" s="1"/>
  <c r="O104" i="54" s="1"/>
  <c r="L29" i="39"/>
  <c r="O104" i="46"/>
  <c r="BH29" i="39"/>
  <c r="AC108" i="54"/>
  <c r="BF28" i="39"/>
  <c r="AR106" i="54" l="1"/>
  <c r="BA106" i="54" s="1"/>
  <c r="AM106" i="54"/>
  <c r="AR105" i="54"/>
  <c r="BA105" i="54" s="1"/>
  <c r="AM105" i="54"/>
  <c r="AD105" i="54" s="1"/>
  <c r="AR104" i="54"/>
  <c r="BA104" i="54" s="1"/>
  <c r="AM104" i="54"/>
  <c r="P104" i="54"/>
  <c r="M104" i="54"/>
  <c r="C104" i="54" s="1"/>
  <c r="J104" i="54"/>
  <c r="J104" i="46"/>
  <c r="M104" i="46"/>
  <c r="U104" i="46" s="1"/>
  <c r="P104" i="46"/>
  <c r="T104" i="46"/>
  <c r="AM104" i="46"/>
  <c r="AR104" i="46"/>
  <c r="BA104" i="46" s="1"/>
  <c r="AM105" i="46"/>
  <c r="AR105" i="46"/>
  <c r="BA105" i="46"/>
  <c r="AM106" i="46"/>
  <c r="AR106" i="46"/>
  <c r="BA106" i="46"/>
  <c r="F14" i="14"/>
  <c r="F23" i="14"/>
  <c r="I38" i="14"/>
  <c r="I66" i="47" s="1"/>
  <c r="G40" i="14"/>
  <c r="G39" i="14"/>
  <c r="G38" i="14"/>
  <c r="O8" i="14"/>
  <c r="N6" i="14"/>
  <c r="AD104" i="54" l="1"/>
  <c r="N104" i="46"/>
  <c r="V104" i="46" s="1"/>
  <c r="AD106" i="54"/>
  <c r="N104" i="54"/>
  <c r="K104" i="54" s="1"/>
  <c r="BH28" i="39" s="1"/>
  <c r="K104" i="46"/>
  <c r="AC104" i="46" s="1"/>
  <c r="T104" i="54"/>
  <c r="U104" i="54"/>
  <c r="C104" i="46"/>
  <c r="N28" i="39" s="1"/>
  <c r="AD105" i="46"/>
  <c r="AD106" i="46"/>
  <c r="AD104" i="46"/>
  <c r="AC104" i="54" l="1"/>
  <c r="V104" i="54"/>
  <c r="L28" i="39"/>
  <c r="F64" i="47"/>
  <c r="F62" i="47"/>
  <c r="E64" i="47"/>
  <c r="G64" i="47" s="1"/>
  <c r="H64" i="47" s="1"/>
  <c r="E62" i="47"/>
  <c r="G62" i="47" s="1"/>
  <c r="H62" i="47" s="1"/>
  <c r="O95" i="46" s="1"/>
  <c r="DM28" i="2"/>
  <c r="DM27" i="2"/>
  <c r="G28" i="2"/>
  <c r="G27" i="2"/>
  <c r="O100" i="54" l="1"/>
  <c r="O100" i="46"/>
  <c r="O95" i="54"/>
  <c r="BF27" i="39"/>
  <c r="BF26" i="39"/>
  <c r="AR102" i="54" l="1"/>
  <c r="BA102" i="54" s="1"/>
  <c r="AM102" i="54"/>
  <c r="AR101" i="54"/>
  <c r="BA101" i="54" s="1"/>
  <c r="AM101" i="54"/>
  <c r="AD101" i="54" s="1"/>
  <c r="AR100" i="54"/>
  <c r="BA100" i="54" s="1"/>
  <c r="AM100" i="54"/>
  <c r="AD100" i="54" s="1"/>
  <c r="P100" i="54"/>
  <c r="M100" i="54"/>
  <c r="N100" i="54" s="1"/>
  <c r="J100" i="54"/>
  <c r="AR98" i="54"/>
  <c r="BA98" i="54" s="1"/>
  <c r="AM98" i="54"/>
  <c r="AM98" i="46"/>
  <c r="AR102" i="46"/>
  <c r="BA102" i="46" s="1"/>
  <c r="AM102" i="46"/>
  <c r="AR101" i="46"/>
  <c r="BA101" i="46" s="1"/>
  <c r="AM101" i="46"/>
  <c r="AR100" i="46"/>
  <c r="BA100" i="46" s="1"/>
  <c r="AM100" i="46"/>
  <c r="P100" i="46"/>
  <c r="M100" i="46"/>
  <c r="T100" i="46" s="1"/>
  <c r="J100" i="46"/>
  <c r="C100" i="46"/>
  <c r="N27" i="39" s="1"/>
  <c r="F14" i="15"/>
  <c r="F23" i="15"/>
  <c r="I38" i="15"/>
  <c r="I64" i="47" s="1"/>
  <c r="G40" i="15"/>
  <c r="G39" i="15"/>
  <c r="G38" i="15"/>
  <c r="O8" i="15"/>
  <c r="N6" i="15"/>
  <c r="AR97" i="54"/>
  <c r="BA97" i="54" s="1"/>
  <c r="AM97" i="54"/>
  <c r="AR96" i="54"/>
  <c r="BA96" i="54" s="1"/>
  <c r="AM96" i="54"/>
  <c r="AR95" i="54"/>
  <c r="BA95" i="54" s="1"/>
  <c r="AM95" i="54"/>
  <c r="P95" i="54"/>
  <c r="M95" i="54"/>
  <c r="N95" i="54" s="1"/>
  <c r="J95" i="54"/>
  <c r="AR98" i="46"/>
  <c r="BA98" i="46" s="1"/>
  <c r="P95" i="46"/>
  <c r="M95" i="46"/>
  <c r="N95" i="46" s="1"/>
  <c r="K95" i="46" s="1"/>
  <c r="J95" i="46"/>
  <c r="AR97" i="46"/>
  <c r="BA97" i="46" s="1"/>
  <c r="AM97" i="46"/>
  <c r="AR96" i="46"/>
  <c r="BA96" i="46" s="1"/>
  <c r="AM96" i="46"/>
  <c r="AR95" i="46"/>
  <c r="BA95" i="46" s="1"/>
  <c r="AM95" i="46"/>
  <c r="F14" i="16"/>
  <c r="F23" i="16"/>
  <c r="I38" i="16"/>
  <c r="I62" i="47" s="1"/>
  <c r="F42" i="16"/>
  <c r="G40" i="16"/>
  <c r="G39" i="16"/>
  <c r="O16" i="16"/>
  <c r="P15" i="16"/>
  <c r="P17" i="16" s="1"/>
  <c r="O15" i="16"/>
  <c r="AD102" i="54" l="1"/>
  <c r="AD97" i="54"/>
  <c r="G42" i="16"/>
  <c r="I37" i="16" s="1"/>
  <c r="AD96" i="54"/>
  <c r="AD101" i="46"/>
  <c r="AD95" i="54"/>
  <c r="AD100" i="46"/>
  <c r="AD96" i="46"/>
  <c r="AD97" i="46"/>
  <c r="AD98" i="46"/>
  <c r="AD98" i="54"/>
  <c r="N100" i="46"/>
  <c r="AD102" i="46"/>
  <c r="U100" i="46"/>
  <c r="T95" i="46"/>
  <c r="AC95" i="46"/>
  <c r="C95" i="46"/>
  <c r="N26" i="39" s="1"/>
  <c r="T95" i="54"/>
  <c r="C95" i="54"/>
  <c r="U95" i="54"/>
  <c r="K95" i="54"/>
  <c r="V95" i="54"/>
  <c r="L26" i="39"/>
  <c r="K100" i="54"/>
  <c r="V100" i="54"/>
  <c r="C100" i="54"/>
  <c r="U100" i="54"/>
  <c r="T100" i="54"/>
  <c r="AD95" i="46"/>
  <c r="U95" i="46"/>
  <c r="V95" i="46"/>
  <c r="G26" i="2"/>
  <c r="AC95" i="54" l="1"/>
  <c r="V100" i="46"/>
  <c r="K100" i="46"/>
  <c r="BH26" i="39"/>
  <c r="BH27" i="39"/>
  <c r="AC100" i="54"/>
  <c r="DM26" i="2"/>
  <c r="L27" i="39" l="1"/>
  <c r="AC100" i="46"/>
  <c r="AR93" i="54"/>
  <c r="BA93" i="54" s="1"/>
  <c r="AM93" i="54"/>
  <c r="AM93" i="46"/>
  <c r="AR93" i="46"/>
  <c r="BA93" i="46" s="1"/>
  <c r="F60" i="47"/>
  <c r="F59" i="47"/>
  <c r="E60" i="47"/>
  <c r="F58" i="47"/>
  <c r="E58" i="47"/>
  <c r="G58" i="47" s="1"/>
  <c r="E59" i="47"/>
  <c r="E57" i="47"/>
  <c r="G57" i="47" s="1"/>
  <c r="C16" i="17"/>
  <c r="K21" i="17" s="1"/>
  <c r="C7" i="17"/>
  <c r="K20" i="17" s="1"/>
  <c r="W90" i="54" l="1"/>
  <c r="W89" i="54"/>
  <c r="H59" i="47"/>
  <c r="G60" i="47"/>
  <c r="O90" i="54"/>
  <c r="O90" i="46"/>
  <c r="G59" i="47"/>
  <c r="H57" i="47"/>
  <c r="AD93" i="54"/>
  <c r="AD93" i="46"/>
  <c r="BF25" i="39"/>
  <c r="AR92" i="54"/>
  <c r="BA92" i="54" s="1"/>
  <c r="AM92" i="54"/>
  <c r="AR91" i="54"/>
  <c r="BA91" i="54" s="1"/>
  <c r="AM91" i="54"/>
  <c r="AR90" i="54"/>
  <c r="BA90" i="54" s="1"/>
  <c r="AM90" i="54"/>
  <c r="S90" i="54"/>
  <c r="M90" i="54"/>
  <c r="N90" i="54" s="1"/>
  <c r="J90" i="54"/>
  <c r="AR89" i="54"/>
  <c r="BA89" i="54" s="1"/>
  <c r="AM89" i="54"/>
  <c r="M89" i="54"/>
  <c r="N89" i="54" s="1"/>
  <c r="J89" i="54"/>
  <c r="AM92" i="46"/>
  <c r="AR92" i="46"/>
  <c r="BA92" i="46" s="1"/>
  <c r="W90" i="46"/>
  <c r="W89" i="46"/>
  <c r="S90" i="46"/>
  <c r="P90" i="46"/>
  <c r="M90" i="46"/>
  <c r="J90" i="46"/>
  <c r="F42" i="17"/>
  <c r="AR91" i="46"/>
  <c r="BA91" i="46" s="1"/>
  <c r="AM91" i="46"/>
  <c r="AR90" i="46"/>
  <c r="BA90" i="46" s="1"/>
  <c r="AM90" i="46"/>
  <c r="AR89" i="46"/>
  <c r="BA89" i="46" s="1"/>
  <c r="AM89" i="46"/>
  <c r="M89" i="46"/>
  <c r="N89" i="46" s="1"/>
  <c r="J89" i="46"/>
  <c r="N37" i="17"/>
  <c r="I57" i="47" s="1"/>
  <c r="I38" i="17"/>
  <c r="G40" i="17"/>
  <c r="G39" i="17"/>
  <c r="G38" i="17"/>
  <c r="G42" i="17" s="1"/>
  <c r="I37" i="17" s="1"/>
  <c r="O9" i="17"/>
  <c r="O8" i="17"/>
  <c r="N6" i="17"/>
  <c r="T90" i="46" l="1"/>
  <c r="AD90" i="54"/>
  <c r="AD89" i="54"/>
  <c r="N38" i="17"/>
  <c r="I59" i="47" s="1"/>
  <c r="AD91" i="46"/>
  <c r="AD91" i="54"/>
  <c r="AD92" i="54"/>
  <c r="N90" i="46"/>
  <c r="V90" i="46" s="1"/>
  <c r="V90" i="54"/>
  <c r="O89" i="54"/>
  <c r="C89" i="54" s="1"/>
  <c r="O89" i="46"/>
  <c r="P89" i="46" s="1"/>
  <c r="C90" i="46"/>
  <c r="U90" i="54"/>
  <c r="P90" i="54"/>
  <c r="U90" i="46"/>
  <c r="C90" i="54"/>
  <c r="T90" i="54"/>
  <c r="K90" i="54"/>
  <c r="AD92" i="46"/>
  <c r="AD89" i="46"/>
  <c r="AD90" i="46"/>
  <c r="K90" i="46" l="1"/>
  <c r="AC90" i="46" s="1"/>
  <c r="U89" i="46"/>
  <c r="C89" i="46"/>
  <c r="N25" i="39" s="1"/>
  <c r="K89" i="46"/>
  <c r="AC89" i="46" s="1"/>
  <c r="T89" i="46"/>
  <c r="V89" i="46"/>
  <c r="V89" i="54"/>
  <c r="U89" i="54"/>
  <c r="P89" i="54"/>
  <c r="K89" i="54"/>
  <c r="X89" i="54" s="1"/>
  <c r="T89" i="54"/>
  <c r="AC90" i="54"/>
  <c r="X89" i="46" l="1"/>
  <c r="L25" i="39"/>
  <c r="AC89" i="54"/>
  <c r="BH25" i="39"/>
  <c r="AC85" i="54"/>
  <c r="M84" i="54"/>
  <c r="N84" i="54" s="1"/>
  <c r="J84" i="54"/>
  <c r="M84" i="46"/>
  <c r="G40" i="18"/>
  <c r="G39" i="18"/>
  <c r="G38" i="18"/>
  <c r="DM25" i="2" l="1"/>
  <c r="F55" i="47" l="1"/>
  <c r="E55" i="47"/>
  <c r="K20" i="18"/>
  <c r="W84" i="54" l="1"/>
  <c r="W84" i="46"/>
  <c r="G55" i="47"/>
  <c r="H55" i="47" s="1"/>
  <c r="BF24" i="39"/>
  <c r="O84" i="54" l="1"/>
  <c r="O84" i="46"/>
  <c r="P84" i="46" s="1"/>
  <c r="AR87" i="54"/>
  <c r="BA87" i="54" s="1"/>
  <c r="AM87" i="54"/>
  <c r="AR86" i="54"/>
  <c r="BA86" i="54" s="1"/>
  <c r="AM86" i="54"/>
  <c r="AD86" i="54" s="1"/>
  <c r="AR85" i="54"/>
  <c r="BA85" i="54" s="1"/>
  <c r="AM85" i="54"/>
  <c r="AR84" i="54"/>
  <c r="BA84" i="54" s="1"/>
  <c r="AM84" i="54"/>
  <c r="N84" i="46"/>
  <c r="J84" i="46"/>
  <c r="AM84" i="46"/>
  <c r="AR84" i="46"/>
  <c r="BA84" i="46"/>
  <c r="AM85" i="46"/>
  <c r="AD85" i="46" s="1"/>
  <c r="AR85" i="46"/>
  <c r="BA85" i="46"/>
  <c r="AM86" i="46"/>
  <c r="AR86" i="46"/>
  <c r="BA86" i="46"/>
  <c r="AM87" i="46"/>
  <c r="AR87" i="46"/>
  <c r="BA87" i="46"/>
  <c r="I38" i="18"/>
  <c r="I55" i="47" s="1"/>
  <c r="G42" i="18"/>
  <c r="I37" i="18" s="1"/>
  <c r="F42" i="18"/>
  <c r="O8" i="18"/>
  <c r="N6" i="18"/>
  <c r="AD85" i="54" l="1"/>
  <c r="AD86" i="46"/>
  <c r="AD84" i="46"/>
  <c r="AD87" i="54"/>
  <c r="AD84" i="54"/>
  <c r="AD87" i="46"/>
  <c r="P84" i="54"/>
  <c r="K84" i="54"/>
  <c r="X84" i="54" s="1"/>
  <c r="V84" i="54"/>
  <c r="C84" i="54"/>
  <c r="T84" i="54"/>
  <c r="U84" i="54"/>
  <c r="AC85" i="46"/>
  <c r="U84" i="46"/>
  <c r="T84" i="46"/>
  <c r="C84" i="46"/>
  <c r="J45" i="54"/>
  <c r="J44" i="54"/>
  <c r="J43" i="54"/>
  <c r="J42" i="54"/>
  <c r="Z75" i="46"/>
  <c r="Z44" i="46"/>
  <c r="Z43" i="46"/>
  <c r="Z42" i="46"/>
  <c r="Z37" i="46"/>
  <c r="W35" i="46"/>
  <c r="F53" i="47"/>
  <c r="E53" i="47"/>
  <c r="F52" i="47"/>
  <c r="E52" i="47"/>
  <c r="G52" i="47" s="1"/>
  <c r="H52" i="47" s="1"/>
  <c r="O80" i="54" s="1"/>
  <c r="E51" i="47"/>
  <c r="G51" i="47" s="1"/>
  <c r="H51" i="47" s="1"/>
  <c r="O79" i="54" s="1"/>
  <c r="C26" i="19"/>
  <c r="C25" i="19"/>
  <c r="K20" i="19" s="1"/>
  <c r="C8" i="19"/>
  <c r="C7" i="19"/>
  <c r="K16" i="19" s="1"/>
  <c r="W81" i="54" l="1"/>
  <c r="K19" i="19"/>
  <c r="W79" i="54"/>
  <c r="W79" i="46"/>
  <c r="W81" i="46"/>
  <c r="O80" i="46"/>
  <c r="O79" i="46"/>
  <c r="G53" i="47"/>
  <c r="H53" i="47" s="1"/>
  <c r="AC84" i="54"/>
  <c r="N24" i="39"/>
  <c r="BH24" i="39"/>
  <c r="K84" i="46"/>
  <c r="V84" i="46"/>
  <c r="BF23" i="39"/>
  <c r="AR82" i="54"/>
  <c r="BA82" i="54" s="1"/>
  <c r="AM82" i="54"/>
  <c r="AR81" i="54"/>
  <c r="BA81" i="54" s="1"/>
  <c r="AM81" i="54"/>
  <c r="M81" i="54"/>
  <c r="N81" i="54" s="1"/>
  <c r="J81" i="54"/>
  <c r="AR80" i="54"/>
  <c r="BA80" i="54" s="1"/>
  <c r="AM80" i="54"/>
  <c r="T80" i="54"/>
  <c r="P80" i="54"/>
  <c r="M80" i="54"/>
  <c r="C80" i="54" s="1"/>
  <c r="J80" i="54"/>
  <c r="AR79" i="54"/>
  <c r="BA79" i="54" s="1"/>
  <c r="AM79" i="54"/>
  <c r="M79" i="54"/>
  <c r="N79" i="54" s="1"/>
  <c r="K79" i="54" s="1"/>
  <c r="J79" i="54"/>
  <c r="M81" i="46"/>
  <c r="N81" i="46" s="1"/>
  <c r="M80" i="46"/>
  <c r="N80" i="46" s="1"/>
  <c r="M79" i="46"/>
  <c r="J81" i="46"/>
  <c r="J80" i="46"/>
  <c r="J79" i="46"/>
  <c r="AR82" i="46"/>
  <c r="BA82" i="46" s="1"/>
  <c r="AM82" i="46"/>
  <c r="AR81" i="46"/>
  <c r="BA81" i="46" s="1"/>
  <c r="AM81" i="46"/>
  <c r="AR80" i="46"/>
  <c r="BA80" i="46" s="1"/>
  <c r="AM80" i="46"/>
  <c r="AR79" i="46"/>
  <c r="BA79" i="46" s="1"/>
  <c r="AM79" i="46"/>
  <c r="F14" i="19"/>
  <c r="F23" i="19"/>
  <c r="P12" i="50"/>
  <c r="N37" i="19"/>
  <c r="I51" i="47" s="1"/>
  <c r="N39" i="19"/>
  <c r="I53" i="47" s="1"/>
  <c r="I38" i="19"/>
  <c r="G42" i="19"/>
  <c r="I37" i="19" s="1"/>
  <c r="F42" i="19"/>
  <c r="P17" i="19"/>
  <c r="P18" i="19" s="1"/>
  <c r="O16" i="19"/>
  <c r="R16" i="19" s="1"/>
  <c r="O17" i="19"/>
  <c r="Q16" i="19"/>
  <c r="Q10" i="19"/>
  <c r="Q9" i="19"/>
  <c r="P11" i="19"/>
  <c r="O10" i="19"/>
  <c r="R10" i="19" s="1"/>
  <c r="O9" i="19"/>
  <c r="R9" i="19" s="1"/>
  <c r="R11" i="19" s="1"/>
  <c r="R12" i="19" s="1"/>
  <c r="W80" i="54" l="1"/>
  <c r="W80" i="46"/>
  <c r="N38" i="19"/>
  <c r="I52" i="47" s="1"/>
  <c r="AD82" i="54"/>
  <c r="C80" i="46"/>
  <c r="AD80" i="54"/>
  <c r="U79" i="46"/>
  <c r="K80" i="46"/>
  <c r="AD81" i="46"/>
  <c r="AD79" i="54"/>
  <c r="N80" i="54"/>
  <c r="K80" i="54" s="1"/>
  <c r="AC80" i="54" s="1"/>
  <c r="AD81" i="54"/>
  <c r="N79" i="46"/>
  <c r="K79" i="46" s="1"/>
  <c r="U80" i="54"/>
  <c r="AD82" i="46"/>
  <c r="V80" i="46"/>
  <c r="P80" i="46"/>
  <c r="U80" i="46"/>
  <c r="O81" i="54"/>
  <c r="V81" i="54" s="1"/>
  <c r="O81" i="46"/>
  <c r="L24" i="39"/>
  <c r="X84" i="46"/>
  <c r="AD80" i="46"/>
  <c r="AC84" i="46"/>
  <c r="P79" i="46"/>
  <c r="V79" i="54"/>
  <c r="U79" i="54"/>
  <c r="T79" i="46"/>
  <c r="V79" i="46"/>
  <c r="C79" i="46"/>
  <c r="C79" i="54"/>
  <c r="P79" i="54"/>
  <c r="T79" i="54"/>
  <c r="AC79" i="54" s="1"/>
  <c r="AD79" i="46"/>
  <c r="T80" i="46"/>
  <c r="R17" i="19"/>
  <c r="R18" i="19" s="1"/>
  <c r="R19" i="19" s="1"/>
  <c r="Q17" i="19"/>
  <c r="Q18" i="19" s="1"/>
  <c r="Q19" i="19" s="1"/>
  <c r="Q11" i="19"/>
  <c r="Q12" i="19" s="1"/>
  <c r="N6" i="19"/>
  <c r="V80" i="54" l="1"/>
  <c r="AC80" i="46"/>
  <c r="T81" i="46"/>
  <c r="P81" i="46"/>
  <c r="K81" i="46"/>
  <c r="X79" i="46" s="1"/>
  <c r="C81" i="46"/>
  <c r="N23" i="39" s="1"/>
  <c r="U81" i="46"/>
  <c r="C81" i="54"/>
  <c r="U81" i="54"/>
  <c r="T81" i="54"/>
  <c r="P81" i="54"/>
  <c r="V81" i="46"/>
  <c r="K81" i="54"/>
  <c r="X79" i="54" s="1"/>
  <c r="AC79" i="46"/>
  <c r="AC81" i="46" l="1"/>
  <c r="AC81" i="54"/>
  <c r="BH23" i="39"/>
  <c r="L23" i="39"/>
  <c r="DM23" i="2" l="1"/>
  <c r="E48" i="47" l="1"/>
  <c r="G48" i="47" s="1"/>
  <c r="H48" i="47" s="1"/>
  <c r="O74" i="46" s="1"/>
  <c r="F49" i="47"/>
  <c r="E49" i="47"/>
  <c r="G49" i="47" s="1"/>
  <c r="H49" i="47" s="1"/>
  <c r="C17" i="20"/>
  <c r="K16" i="20" s="1"/>
  <c r="C16" i="20"/>
  <c r="K18" i="20" s="1"/>
  <c r="W75" i="54" l="1"/>
  <c r="W74" i="54"/>
  <c r="W75" i="46"/>
  <c r="W74" i="46"/>
  <c r="O75" i="54"/>
  <c r="O75" i="46"/>
  <c r="O74" i="54"/>
  <c r="P74" i="54" s="1"/>
  <c r="BF22" i="39"/>
  <c r="AR77" i="54"/>
  <c r="BA77" i="54" s="1"/>
  <c r="AM77" i="54"/>
  <c r="AR76" i="54"/>
  <c r="BA76" i="54" s="1"/>
  <c r="AM76" i="54"/>
  <c r="AR75" i="54"/>
  <c r="BA75" i="54" s="1"/>
  <c r="AM75" i="54"/>
  <c r="M75" i="54"/>
  <c r="N75" i="54" s="1"/>
  <c r="J75" i="54"/>
  <c r="AR74" i="54"/>
  <c r="BA74" i="54" s="1"/>
  <c r="AM74" i="54"/>
  <c r="M74" i="54"/>
  <c r="N74" i="54" s="1"/>
  <c r="J74" i="54"/>
  <c r="M75" i="46"/>
  <c r="N75" i="46" s="1"/>
  <c r="O9" i="20"/>
  <c r="R9" i="20" s="1"/>
  <c r="M74" i="46"/>
  <c r="N74" i="46" s="1"/>
  <c r="J75" i="46"/>
  <c r="J74" i="46"/>
  <c r="P74" i="46"/>
  <c r="AM74" i="46"/>
  <c r="AR74" i="46"/>
  <c r="BA74" i="46" s="1"/>
  <c r="AM75" i="46"/>
  <c r="AR75" i="46"/>
  <c r="BA75" i="46"/>
  <c r="AM76" i="46"/>
  <c r="AR76" i="46"/>
  <c r="BA76" i="46" s="1"/>
  <c r="AM77" i="46"/>
  <c r="AR77" i="46"/>
  <c r="BA77" i="46" s="1"/>
  <c r="F14" i="20"/>
  <c r="F23" i="20"/>
  <c r="N38" i="20"/>
  <c r="I38" i="20"/>
  <c r="Q9" i="20"/>
  <c r="P8" i="20"/>
  <c r="Q8" i="20" s="1"/>
  <c r="O8" i="20"/>
  <c r="N6" i="20"/>
  <c r="R8" i="20" l="1"/>
  <c r="R10" i="20" s="1"/>
  <c r="AD77" i="54"/>
  <c r="AD75" i="54"/>
  <c r="T75" i="46"/>
  <c r="U75" i="54"/>
  <c r="U74" i="46"/>
  <c r="C74" i="46"/>
  <c r="AD74" i="54"/>
  <c r="V74" i="46"/>
  <c r="K74" i="46"/>
  <c r="AD76" i="54"/>
  <c r="AD74" i="46"/>
  <c r="AD76" i="46"/>
  <c r="P10" i="20"/>
  <c r="N37" i="20"/>
  <c r="I48" i="47" s="1"/>
  <c r="I49" i="47"/>
  <c r="T74" i="46"/>
  <c r="K75" i="54"/>
  <c r="C75" i="54"/>
  <c r="P75" i="46"/>
  <c r="U74" i="54"/>
  <c r="V75" i="54"/>
  <c r="P75" i="54"/>
  <c r="C74" i="54"/>
  <c r="V74" i="54"/>
  <c r="K74" i="54"/>
  <c r="AD75" i="46"/>
  <c r="U75" i="46"/>
  <c r="C75" i="46"/>
  <c r="T74" i="54"/>
  <c r="T75" i="54"/>
  <c r="AD77" i="46"/>
  <c r="K75" i="46"/>
  <c r="V75" i="46"/>
  <c r="Q10" i="20"/>
  <c r="DM22" i="2"/>
  <c r="X74" i="54" l="1"/>
  <c r="Q11" i="20"/>
  <c r="AC74" i="46"/>
  <c r="L22" i="39"/>
  <c r="AC74" i="54"/>
  <c r="N22" i="39"/>
  <c r="R11" i="20"/>
  <c r="BH22" i="39"/>
  <c r="X74" i="46"/>
  <c r="E46" i="47" l="1"/>
  <c r="G46" i="47" s="1"/>
  <c r="H46" i="47" s="1"/>
  <c r="O68" i="54" l="1"/>
  <c r="O68" i="46"/>
  <c r="BF21" i="39"/>
  <c r="AR72" i="54"/>
  <c r="BA72" i="54" s="1"/>
  <c r="AM72" i="54"/>
  <c r="AR71" i="54"/>
  <c r="BA71" i="54" s="1"/>
  <c r="AM71" i="54"/>
  <c r="AR70" i="54"/>
  <c r="BA70" i="54" s="1"/>
  <c r="AM70" i="54"/>
  <c r="AR69" i="54"/>
  <c r="BA69" i="54" s="1"/>
  <c r="AM69" i="54"/>
  <c r="AR68" i="54"/>
  <c r="BA68" i="54" s="1"/>
  <c r="AM68" i="54"/>
  <c r="R68" i="54"/>
  <c r="T68" i="54"/>
  <c r="N68" i="54"/>
  <c r="K68" i="54" s="1"/>
  <c r="BH21" i="39" s="1"/>
  <c r="J68" i="54"/>
  <c r="AR71" i="46"/>
  <c r="BA71" i="46" s="1"/>
  <c r="AR72" i="46"/>
  <c r="BA72" i="46" s="1"/>
  <c r="AM71" i="46"/>
  <c r="AM72" i="46"/>
  <c r="R68" i="46"/>
  <c r="U68" i="46" s="1"/>
  <c r="AR70" i="46"/>
  <c r="BA70" i="46" s="1"/>
  <c r="AM70" i="46"/>
  <c r="AR69" i="46"/>
  <c r="BA69" i="46" s="1"/>
  <c r="AM69" i="46"/>
  <c r="AR68" i="46"/>
  <c r="BA68" i="46" s="1"/>
  <c r="AM68" i="46"/>
  <c r="T68" i="46"/>
  <c r="P68" i="46"/>
  <c r="N68" i="46"/>
  <c r="V68" i="46" s="1"/>
  <c r="J68" i="46"/>
  <c r="C68" i="46"/>
  <c r="N21" i="39" s="1"/>
  <c r="I38" i="22"/>
  <c r="I46" i="47" s="1"/>
  <c r="F42" i="22"/>
  <c r="G40" i="22"/>
  <c r="G39" i="22"/>
  <c r="G38" i="22"/>
  <c r="O11" i="22"/>
  <c r="O10" i="22"/>
  <c r="P10" i="22"/>
  <c r="P9" i="22"/>
  <c r="P12" i="22" s="1"/>
  <c r="O9" i="22"/>
  <c r="N6" i="22"/>
  <c r="G42" i="22" l="1"/>
  <c r="I37" i="22" s="1"/>
  <c r="AD68" i="54"/>
  <c r="AD72" i="54"/>
  <c r="AD72" i="46"/>
  <c r="K68" i="46"/>
  <c r="AC68" i="46" s="1"/>
  <c r="AD70" i="54"/>
  <c r="AD71" i="54"/>
  <c r="AD69" i="54"/>
  <c r="AD70" i="46"/>
  <c r="AC68" i="54"/>
  <c r="P68" i="54"/>
  <c r="C68" i="54"/>
  <c r="U68" i="54"/>
  <c r="V68" i="54"/>
  <c r="AD71" i="46"/>
  <c r="AD68" i="46"/>
  <c r="AD69" i="46"/>
  <c r="L21" i="39" l="1"/>
  <c r="DM21" i="2"/>
  <c r="DM20" i="2"/>
  <c r="F44" i="47" l="1"/>
  <c r="E44" i="47"/>
  <c r="F42" i="47"/>
  <c r="E42" i="47"/>
  <c r="G42" i="47" s="1"/>
  <c r="H42" i="47" s="1"/>
  <c r="I40" i="47"/>
  <c r="E41" i="47"/>
  <c r="G41" i="47" s="1"/>
  <c r="E40" i="47"/>
  <c r="H40" i="47" s="1"/>
  <c r="O57" i="54" s="1"/>
  <c r="C8" i="23"/>
  <c r="K18" i="23" s="1"/>
  <c r="C7" i="23"/>
  <c r="K17" i="23" s="1"/>
  <c r="W58" i="54" l="1"/>
  <c r="W57" i="54"/>
  <c r="G44" i="47"/>
  <c r="H44" i="47" s="1"/>
  <c r="O62" i="54" s="1"/>
  <c r="W57" i="46"/>
  <c r="W58" i="46"/>
  <c r="O58" i="46"/>
  <c r="O58" i="54"/>
  <c r="O57" i="46"/>
  <c r="O62" i="46"/>
  <c r="G40" i="47"/>
  <c r="BF20" i="39" l="1"/>
  <c r="BF19" i="39"/>
  <c r="AR66" i="54" l="1"/>
  <c r="BA66" i="54" s="1"/>
  <c r="AM66" i="54"/>
  <c r="AR65" i="54"/>
  <c r="BA65" i="54" s="1"/>
  <c r="AM65" i="54"/>
  <c r="AD65" i="54" s="1"/>
  <c r="AR64" i="54"/>
  <c r="BA64" i="54" s="1"/>
  <c r="AM64" i="54"/>
  <c r="AR63" i="54"/>
  <c r="BA63" i="54" s="1"/>
  <c r="AM63" i="54"/>
  <c r="AR62" i="54"/>
  <c r="BA62" i="54" s="1"/>
  <c r="AM62" i="54"/>
  <c r="AD62" i="54" s="1"/>
  <c r="C62" i="54"/>
  <c r="N62" i="54"/>
  <c r="K62" i="54" s="1"/>
  <c r="J62" i="54"/>
  <c r="AR60" i="54"/>
  <c r="BA60" i="54" s="1"/>
  <c r="AM60" i="54"/>
  <c r="BA59" i="54"/>
  <c r="AR59" i="54"/>
  <c r="AM59" i="54"/>
  <c r="AR58" i="54"/>
  <c r="BA58" i="54" s="1"/>
  <c r="AM58" i="54"/>
  <c r="U58" i="54"/>
  <c r="N58" i="54"/>
  <c r="K58" i="54" s="1"/>
  <c r="J58" i="54"/>
  <c r="C58" i="54"/>
  <c r="AR57" i="54"/>
  <c r="BA57" i="54" s="1"/>
  <c r="AM57" i="54"/>
  <c r="N57" i="54"/>
  <c r="V57" i="54" s="1"/>
  <c r="J57" i="54"/>
  <c r="AM66" i="46"/>
  <c r="AR66" i="46"/>
  <c r="BA66" i="46" s="1"/>
  <c r="U62" i="46"/>
  <c r="T62" i="46"/>
  <c r="P62" i="46"/>
  <c r="N62" i="46"/>
  <c r="V62" i="46" s="1"/>
  <c r="J62" i="46"/>
  <c r="C62" i="46"/>
  <c r="N20" i="39" s="1"/>
  <c r="AR65" i="46"/>
  <c r="BA65" i="46" s="1"/>
  <c r="AM65" i="46"/>
  <c r="AR64" i="46"/>
  <c r="BA64" i="46" s="1"/>
  <c r="AM64" i="46"/>
  <c r="AR63" i="46"/>
  <c r="BA63" i="46" s="1"/>
  <c r="AM63" i="46"/>
  <c r="AR62" i="46"/>
  <c r="BA62" i="46" s="1"/>
  <c r="AM62" i="46"/>
  <c r="N57" i="46"/>
  <c r="V57" i="46" s="1"/>
  <c r="J57" i="46"/>
  <c r="C57" i="46"/>
  <c r="AR60" i="46"/>
  <c r="BA60" i="46" s="1"/>
  <c r="AM60" i="46"/>
  <c r="AR59" i="46"/>
  <c r="BA59" i="46" s="1"/>
  <c r="AM59" i="46"/>
  <c r="AR58" i="46"/>
  <c r="BA58" i="46" s="1"/>
  <c r="AM58" i="46"/>
  <c r="C58" i="46"/>
  <c r="N58" i="46"/>
  <c r="V58" i="46" s="1"/>
  <c r="J58" i="46"/>
  <c r="AR57" i="46"/>
  <c r="BA57" i="46" s="1"/>
  <c r="AM57" i="46"/>
  <c r="U57" i="46"/>
  <c r="T57" i="46"/>
  <c r="P57" i="46"/>
  <c r="F14" i="21"/>
  <c r="I38" i="21"/>
  <c r="I44" i="47" s="1"/>
  <c r="F42" i="21"/>
  <c r="G40" i="21"/>
  <c r="G42" i="21" s="1"/>
  <c r="I37" i="21" s="1"/>
  <c r="O26" i="21"/>
  <c r="F18" i="21"/>
  <c r="F23" i="21" s="1"/>
  <c r="P17" i="21"/>
  <c r="P19" i="21" s="1"/>
  <c r="Q18" i="21"/>
  <c r="O18" i="21"/>
  <c r="R18" i="21" s="1"/>
  <c r="O17" i="21"/>
  <c r="P10" i="21"/>
  <c r="P9" i="21"/>
  <c r="Q9" i="21" s="1"/>
  <c r="O10" i="21"/>
  <c r="O9" i="21"/>
  <c r="N6" i="21"/>
  <c r="F14" i="23"/>
  <c r="F23" i="23"/>
  <c r="P19" i="23"/>
  <c r="Q19" i="23" s="1"/>
  <c r="O19" i="23"/>
  <c r="P18" i="23"/>
  <c r="Q18" i="23" s="1"/>
  <c r="P15" i="23"/>
  <c r="Q15" i="23" s="1"/>
  <c r="I38" i="23"/>
  <c r="N38" i="23" s="1"/>
  <c r="I42" i="47" s="1"/>
  <c r="G42" i="23"/>
  <c r="I37" i="23" s="1"/>
  <c r="F42" i="23"/>
  <c r="P27" i="23"/>
  <c r="Q27" i="23" s="1"/>
  <c r="P26" i="23"/>
  <c r="Q26" i="23" s="1"/>
  <c r="O26" i="23"/>
  <c r="O27" i="23"/>
  <c r="O15" i="23"/>
  <c r="O18" i="23"/>
  <c r="Q17" i="23"/>
  <c r="O17" i="23"/>
  <c r="R17" i="23" s="1"/>
  <c r="Q16" i="23"/>
  <c r="O16" i="23"/>
  <c r="R16" i="23" s="1"/>
  <c r="Q10" i="23"/>
  <c r="K62" i="46" l="1"/>
  <c r="AD62" i="46"/>
  <c r="AD57" i="46"/>
  <c r="P11" i="21"/>
  <c r="AD60" i="54"/>
  <c r="R10" i="21"/>
  <c r="K57" i="46"/>
  <c r="AC57" i="46" s="1"/>
  <c r="R19" i="23"/>
  <c r="R9" i="21"/>
  <c r="AD60" i="46"/>
  <c r="K57" i="54"/>
  <c r="X57" i="54" s="1"/>
  <c r="AD58" i="54"/>
  <c r="AD65" i="46"/>
  <c r="AD57" i="54"/>
  <c r="AD64" i="54"/>
  <c r="AD59" i="54"/>
  <c r="AD66" i="54"/>
  <c r="AD63" i="46"/>
  <c r="AD64" i="46"/>
  <c r="L20" i="39"/>
  <c r="AD59" i="46"/>
  <c r="BH20" i="39"/>
  <c r="K58" i="46"/>
  <c r="N19" i="39"/>
  <c r="V58" i="54"/>
  <c r="AD63" i="54"/>
  <c r="P57" i="54"/>
  <c r="T57" i="54"/>
  <c r="P62" i="54"/>
  <c r="U57" i="54"/>
  <c r="P58" i="54"/>
  <c r="T62" i="54"/>
  <c r="AC62" i="54" s="1"/>
  <c r="C57" i="54"/>
  <c r="T58" i="54"/>
  <c r="AC58" i="54" s="1"/>
  <c r="U62" i="54"/>
  <c r="V62" i="54"/>
  <c r="AD66" i="46"/>
  <c r="AC62" i="46"/>
  <c r="AD58" i="46"/>
  <c r="P58" i="46"/>
  <c r="T58" i="46"/>
  <c r="U58" i="46"/>
  <c r="R17" i="21"/>
  <c r="R19" i="21" s="1"/>
  <c r="R20" i="21" s="1"/>
  <c r="Q17" i="21"/>
  <c r="Q19" i="21" s="1"/>
  <c r="Q20" i="21" s="1"/>
  <c r="Q10" i="21"/>
  <c r="Q11" i="21" s="1"/>
  <c r="Q12" i="21" s="1"/>
  <c r="R18" i="23"/>
  <c r="P20" i="23"/>
  <c r="R15" i="23"/>
  <c r="R27" i="23"/>
  <c r="Q28" i="23"/>
  <c r="P28" i="23"/>
  <c r="R26" i="23"/>
  <c r="Q20" i="23"/>
  <c r="R9" i="23"/>
  <c r="Q9" i="23"/>
  <c r="Q11" i="23" s="1"/>
  <c r="P11" i="23"/>
  <c r="O10" i="23"/>
  <c r="R10" i="23" s="1"/>
  <c r="O9" i="23"/>
  <c r="N6" i="23"/>
  <c r="X57" i="46" l="1"/>
  <c r="R20" i="23"/>
  <c r="R11" i="21"/>
  <c r="R12" i="21" s="1"/>
  <c r="Q29" i="23"/>
  <c r="R28" i="23"/>
  <c r="R29" i="23" s="1"/>
  <c r="Q21" i="23"/>
  <c r="AC57" i="54"/>
  <c r="L19" i="39"/>
  <c r="Q12" i="23"/>
  <c r="R11" i="23"/>
  <c r="R12" i="23" s="1"/>
  <c r="BH19" i="39"/>
  <c r="AC58" i="46"/>
  <c r="R21" i="23"/>
  <c r="DM19" i="2"/>
  <c r="N37" i="24" l="1"/>
  <c r="E38" i="47"/>
  <c r="G38" i="47" s="1"/>
  <c r="E37" i="47"/>
  <c r="H37" i="47" s="1"/>
  <c r="O53" i="54" s="1"/>
  <c r="I36" i="47"/>
  <c r="F36" i="47"/>
  <c r="E36" i="47"/>
  <c r="C25" i="24"/>
  <c r="G36" i="47" l="1"/>
  <c r="O53" i="46"/>
  <c r="G37" i="47"/>
  <c r="H36" i="47"/>
  <c r="BF18" i="39"/>
  <c r="AR55" i="54"/>
  <c r="BA55" i="54" s="1"/>
  <c r="AM55" i="54"/>
  <c r="AR54" i="54"/>
  <c r="BA54" i="54" s="1"/>
  <c r="AM54" i="54"/>
  <c r="AR53" i="54"/>
  <c r="BA53" i="54" s="1"/>
  <c r="AM53" i="54"/>
  <c r="N53" i="54"/>
  <c r="V53" i="54" s="1"/>
  <c r="K53" i="54"/>
  <c r="J53" i="54"/>
  <c r="AR52" i="54"/>
  <c r="BA52" i="54" s="1"/>
  <c r="AM52" i="54"/>
  <c r="N52" i="54"/>
  <c r="J52" i="54"/>
  <c r="U53" i="46"/>
  <c r="N53" i="46"/>
  <c r="V53" i="46" s="1"/>
  <c r="J53" i="46"/>
  <c r="N52" i="46"/>
  <c r="J52" i="46"/>
  <c r="AR55" i="46"/>
  <c r="BA55" i="46" s="1"/>
  <c r="AM55" i="46"/>
  <c r="AR54" i="46"/>
  <c r="BA54" i="46" s="1"/>
  <c r="AM54" i="46"/>
  <c r="AR53" i="46"/>
  <c r="BA53" i="46" s="1"/>
  <c r="AM53" i="46"/>
  <c r="AR52" i="46"/>
  <c r="BA52" i="46" s="1"/>
  <c r="AM52" i="46"/>
  <c r="K17" i="24"/>
  <c r="K16" i="24"/>
  <c r="F14" i="24"/>
  <c r="F23" i="24"/>
  <c r="I38" i="24"/>
  <c r="N38" i="24" s="1"/>
  <c r="I37" i="47" s="1"/>
  <c r="P17" i="24"/>
  <c r="Q17" i="24" s="1"/>
  <c r="P16" i="24"/>
  <c r="Q16" i="24" s="1"/>
  <c r="F42" i="24"/>
  <c r="G42" i="24"/>
  <c r="I37" i="24" s="1"/>
  <c r="P28" i="24"/>
  <c r="P29" i="24"/>
  <c r="Q28" i="24"/>
  <c r="O28" i="24"/>
  <c r="R28" i="24" s="1"/>
  <c r="Q27" i="24"/>
  <c r="O27" i="24"/>
  <c r="R27" i="24" s="1"/>
  <c r="O17" i="24"/>
  <c r="O16" i="24"/>
  <c r="O8" i="24"/>
  <c r="N6" i="24"/>
  <c r="W53" i="54" l="1"/>
  <c r="W52" i="54"/>
  <c r="AD52" i="54"/>
  <c r="AD53" i="54"/>
  <c r="AD55" i="54"/>
  <c r="AD52" i="46"/>
  <c r="AD54" i="54"/>
  <c r="W52" i="46"/>
  <c r="W53" i="46"/>
  <c r="O52" i="54"/>
  <c r="T52" i="54" s="1"/>
  <c r="O52" i="46"/>
  <c r="K52" i="46" s="1"/>
  <c r="P53" i="54"/>
  <c r="T53" i="54"/>
  <c r="AC53" i="54" s="1"/>
  <c r="U53" i="54"/>
  <c r="C53" i="54"/>
  <c r="T53" i="46"/>
  <c r="AD55" i="46"/>
  <c r="AD53" i="46"/>
  <c r="P53" i="46"/>
  <c r="C53" i="46"/>
  <c r="K53" i="46"/>
  <c r="AD54" i="46"/>
  <c r="R17" i="24"/>
  <c r="Q18" i="24"/>
  <c r="P18" i="24"/>
  <c r="Q19" i="24" s="1"/>
  <c r="R16" i="24"/>
  <c r="R18" i="24" s="1"/>
  <c r="R19" i="24" s="1"/>
  <c r="R29" i="24"/>
  <c r="R30" i="24" s="1"/>
  <c r="Q29" i="24"/>
  <c r="Q30" i="24" s="1"/>
  <c r="P52" i="46" l="1"/>
  <c r="AC53" i="46"/>
  <c r="U52" i="46"/>
  <c r="AA52" i="46" s="1"/>
  <c r="P52" i="54"/>
  <c r="K52" i="54"/>
  <c r="V52" i="46"/>
  <c r="C52" i="54"/>
  <c r="T52" i="46"/>
  <c r="AC52" i="46" s="1"/>
  <c r="V52" i="54"/>
  <c r="C52" i="46"/>
  <c r="N18" i="39" s="1"/>
  <c r="U52" i="54"/>
  <c r="AA52" i="54" s="1"/>
  <c r="X52" i="46"/>
  <c r="L18" i="39"/>
  <c r="AB52" i="46" l="1"/>
  <c r="AC52" i="54"/>
  <c r="X52" i="54"/>
  <c r="AB52" i="54"/>
  <c r="BH18" i="39"/>
  <c r="I34" i="47"/>
  <c r="I33" i="47"/>
  <c r="I32" i="47"/>
  <c r="E34" i="47"/>
  <c r="H34" i="47" s="1"/>
  <c r="O49" i="54" s="1"/>
  <c r="E33" i="47"/>
  <c r="H33" i="47" s="1"/>
  <c r="O48" i="54" s="1"/>
  <c r="F32" i="47"/>
  <c r="K13" i="25"/>
  <c r="C27" i="25"/>
  <c r="K16" i="25" s="1"/>
  <c r="C25" i="25"/>
  <c r="K15" i="25" s="1"/>
  <c r="W49" i="54" l="1"/>
  <c r="W47" i="54"/>
  <c r="W48" i="54"/>
  <c r="W47" i="46"/>
  <c r="W49" i="46"/>
  <c r="W48" i="46"/>
  <c r="O48" i="46"/>
  <c r="O49" i="46"/>
  <c r="G34" i="47"/>
  <c r="G33" i="47"/>
  <c r="DM18" i="2"/>
  <c r="E32" i="47" l="1"/>
  <c r="H32" i="47" s="1"/>
  <c r="O47" i="46" l="1"/>
  <c r="O47" i="54"/>
  <c r="G32" i="47"/>
  <c r="BF17" i="39"/>
  <c r="AR50" i="54" l="1"/>
  <c r="BA50" i="54" s="1"/>
  <c r="AM50" i="54"/>
  <c r="AD50" i="54" s="1"/>
  <c r="AR49" i="54"/>
  <c r="BA49" i="54" s="1"/>
  <c r="AM49" i="54"/>
  <c r="Q49" i="54"/>
  <c r="M49" i="54"/>
  <c r="N49" i="54" s="1"/>
  <c r="J49" i="54"/>
  <c r="AR48" i="54"/>
  <c r="BA48" i="54" s="1"/>
  <c r="AM48" i="54"/>
  <c r="Q48" i="54"/>
  <c r="P48" i="54" s="1"/>
  <c r="M48" i="54"/>
  <c r="T48" i="54" s="1"/>
  <c r="J48" i="54"/>
  <c r="AR47" i="54"/>
  <c r="BA47" i="54" s="1"/>
  <c r="AM47" i="54"/>
  <c r="U47" i="54"/>
  <c r="T47" i="54"/>
  <c r="P47" i="54"/>
  <c r="N47" i="54"/>
  <c r="K47" i="54" s="1"/>
  <c r="J47" i="54"/>
  <c r="C47" i="54"/>
  <c r="Q48" i="46"/>
  <c r="P48" i="46" s="1"/>
  <c r="Q49" i="46"/>
  <c r="M49" i="46"/>
  <c r="N49" i="46" s="1"/>
  <c r="M48" i="46"/>
  <c r="P9" i="25"/>
  <c r="J49" i="46"/>
  <c r="J48" i="46"/>
  <c r="P47" i="46"/>
  <c r="N47" i="46"/>
  <c r="J47" i="46"/>
  <c r="AM47" i="46"/>
  <c r="AR47" i="46"/>
  <c r="BA47" i="46" s="1"/>
  <c r="AM48" i="46"/>
  <c r="AR48" i="46"/>
  <c r="BA48" i="46" s="1"/>
  <c r="AM49" i="46"/>
  <c r="AR49" i="46"/>
  <c r="BA49" i="46" s="1"/>
  <c r="AM50" i="46"/>
  <c r="AR50" i="46"/>
  <c r="BA50" i="46" s="1"/>
  <c r="T49" i="46" l="1"/>
  <c r="C49" i="54"/>
  <c r="AD47" i="54"/>
  <c r="AD47" i="46"/>
  <c r="U48" i="54"/>
  <c r="U48" i="46"/>
  <c r="K49" i="46"/>
  <c r="AC49" i="46" s="1"/>
  <c r="AD49" i="54"/>
  <c r="AD48" i="54"/>
  <c r="C48" i="54"/>
  <c r="N48" i="54"/>
  <c r="V48" i="54" s="1"/>
  <c r="AD50" i="46"/>
  <c r="V47" i="54"/>
  <c r="C49" i="46"/>
  <c r="P49" i="46"/>
  <c r="U49" i="46"/>
  <c r="P49" i="54"/>
  <c r="T49" i="54"/>
  <c r="U49" i="54"/>
  <c r="K49" i="54"/>
  <c r="V49" i="54"/>
  <c r="AC47" i="54"/>
  <c r="AD49" i="46"/>
  <c r="AD48" i="46"/>
  <c r="V49" i="46"/>
  <c r="N48" i="46"/>
  <c r="C48" i="46"/>
  <c r="T48" i="46"/>
  <c r="K47" i="46"/>
  <c r="V47" i="46"/>
  <c r="T47" i="46"/>
  <c r="C47" i="46"/>
  <c r="U47" i="46"/>
  <c r="I38" i="25"/>
  <c r="P27" i="25"/>
  <c r="P26" i="25"/>
  <c r="P28" i="25"/>
  <c r="Q27" i="25"/>
  <c r="O27" i="25"/>
  <c r="R27" i="25" s="1"/>
  <c r="Q26" i="25"/>
  <c r="Q28" i="25" s="1"/>
  <c r="Q29" i="25" s="1"/>
  <c r="O26" i="25"/>
  <c r="P17" i="25"/>
  <c r="P19" i="25" s="1"/>
  <c r="Q18" i="25"/>
  <c r="O18" i="25"/>
  <c r="R18" i="25" s="1"/>
  <c r="O17" i="25"/>
  <c r="P10" i="25"/>
  <c r="Q9" i="25"/>
  <c r="Q8" i="25"/>
  <c r="O9" i="25"/>
  <c r="R9" i="25" s="1"/>
  <c r="O8" i="25"/>
  <c r="R8" i="25" s="1"/>
  <c r="N6" i="25"/>
  <c r="R26" i="25" l="1"/>
  <c r="Q10" i="25"/>
  <c r="Q11" i="25" s="1"/>
  <c r="R17" i="25"/>
  <c r="K48" i="54"/>
  <c r="R10" i="25"/>
  <c r="R11" i="25" s="1"/>
  <c r="N17" i="39"/>
  <c r="Q17" i="25"/>
  <c r="Q19" i="25" s="1"/>
  <c r="Q20" i="25" s="1"/>
  <c r="AC49" i="54"/>
  <c r="AC47" i="46"/>
  <c r="V48" i="46"/>
  <c r="K48" i="46"/>
  <c r="L17" i="39" s="1"/>
  <c r="R28" i="25"/>
  <c r="R29" i="25" s="1"/>
  <c r="R19" i="25"/>
  <c r="R20" i="25" s="1"/>
  <c r="F14" i="25"/>
  <c r="F23" i="25"/>
  <c r="AC48" i="54" l="1"/>
  <c r="X47" i="54"/>
  <c r="BH17" i="39"/>
  <c r="X47" i="46"/>
  <c r="AC48" i="46"/>
  <c r="DM17" i="2"/>
  <c r="G17" i="2" l="1"/>
  <c r="M45" i="54"/>
  <c r="N45" i="54" s="1"/>
  <c r="M44" i="54"/>
  <c r="N44" i="54" s="1"/>
  <c r="Q43" i="54"/>
  <c r="M43" i="54"/>
  <c r="M42" i="54"/>
  <c r="I30" i="47"/>
  <c r="F29" i="47"/>
  <c r="E30" i="47"/>
  <c r="H30" i="47" s="1"/>
  <c r="E29" i="47"/>
  <c r="F28" i="47"/>
  <c r="E28" i="47"/>
  <c r="F27" i="47"/>
  <c r="E27" i="47"/>
  <c r="H27" i="47" s="1"/>
  <c r="O43" i="54" s="1"/>
  <c r="E26" i="47"/>
  <c r="H26" i="47" s="1"/>
  <c r="O42" i="46" s="1"/>
  <c r="H28" i="47" l="1"/>
  <c r="O44" i="46" s="1"/>
  <c r="G29" i="47"/>
  <c r="O45" i="54"/>
  <c r="U45" i="54" s="1"/>
  <c r="O45" i="46"/>
  <c r="O43" i="46"/>
  <c r="O44" i="54"/>
  <c r="U44" i="54" s="1"/>
  <c r="T45" i="54"/>
  <c r="K44" i="54"/>
  <c r="O42" i="54"/>
  <c r="P42" i="54" s="1"/>
  <c r="G28" i="47"/>
  <c r="T43" i="54"/>
  <c r="P45" i="54"/>
  <c r="C45" i="54"/>
  <c r="P43" i="54"/>
  <c r="C43" i="54"/>
  <c r="N42" i="54"/>
  <c r="U43" i="54"/>
  <c r="N43" i="54"/>
  <c r="K43" i="54" s="1"/>
  <c r="G27" i="47"/>
  <c r="G30" i="47"/>
  <c r="G26" i="47"/>
  <c r="C26" i="26"/>
  <c r="C25" i="26"/>
  <c r="C17" i="26"/>
  <c r="C16" i="26"/>
  <c r="C8" i="26"/>
  <c r="C7" i="26"/>
  <c r="V45" i="54" l="1"/>
  <c r="V44" i="54"/>
  <c r="K45" i="54"/>
  <c r="C44" i="54"/>
  <c r="T42" i="54"/>
  <c r="C42" i="54"/>
  <c r="U42" i="54"/>
  <c r="K42" i="54"/>
  <c r="P44" i="54"/>
  <c r="T44" i="54"/>
  <c r="V43" i="54"/>
  <c r="V42" i="54"/>
  <c r="BF16" i="39" l="1"/>
  <c r="AR45" i="54" l="1"/>
  <c r="BA45" i="54" s="1"/>
  <c r="AM45" i="54"/>
  <c r="AD45" i="54" s="1"/>
  <c r="AR44" i="54"/>
  <c r="BA44" i="54" s="1"/>
  <c r="AM44" i="54"/>
  <c r="AR43" i="54"/>
  <c r="BA43" i="54" s="1"/>
  <c r="AM43" i="54"/>
  <c r="AR42" i="54"/>
  <c r="BA42" i="54" s="1"/>
  <c r="AM42" i="54"/>
  <c r="F14" i="26"/>
  <c r="F23" i="26"/>
  <c r="Q43" i="46"/>
  <c r="M45" i="46"/>
  <c r="U45" i="46" s="1"/>
  <c r="M44" i="46"/>
  <c r="M43" i="46"/>
  <c r="N43" i="46" s="1"/>
  <c r="K43" i="46" s="1"/>
  <c r="M42" i="46"/>
  <c r="J45" i="46"/>
  <c r="P44" i="46"/>
  <c r="J44" i="46"/>
  <c r="J43" i="46"/>
  <c r="P42" i="46"/>
  <c r="J42" i="46"/>
  <c r="AM42" i="46"/>
  <c r="AR42" i="46"/>
  <c r="BA42" i="46" s="1"/>
  <c r="AM43" i="46"/>
  <c r="AR43" i="46"/>
  <c r="BA43" i="46"/>
  <c r="AM44" i="46"/>
  <c r="AR44" i="46"/>
  <c r="BA44" i="46" s="1"/>
  <c r="AM45" i="46"/>
  <c r="AR45" i="46"/>
  <c r="BA45" i="46"/>
  <c r="K15" i="26"/>
  <c r="K14" i="26"/>
  <c r="K13" i="26"/>
  <c r="K12" i="26"/>
  <c r="I10" i="50"/>
  <c r="W45" i="54" l="1"/>
  <c r="W42" i="54"/>
  <c r="X42" i="54" s="1"/>
  <c r="W43" i="54"/>
  <c r="W44" i="54"/>
  <c r="AD42" i="54"/>
  <c r="AD45" i="46"/>
  <c r="AD42" i="46"/>
  <c r="AD43" i="54"/>
  <c r="AD44" i="46"/>
  <c r="T45" i="46"/>
  <c r="N45" i="46"/>
  <c r="V45" i="46" s="1"/>
  <c r="C45" i="46"/>
  <c r="AD44" i="54"/>
  <c r="W43" i="46"/>
  <c r="W44" i="46"/>
  <c r="W45" i="46"/>
  <c r="W42" i="46"/>
  <c r="AD43" i="46"/>
  <c r="C44" i="46"/>
  <c r="P45" i="46"/>
  <c r="U44" i="46"/>
  <c r="T44" i="46"/>
  <c r="V43" i="46"/>
  <c r="C43" i="46"/>
  <c r="U42" i="46"/>
  <c r="AC42" i="54"/>
  <c r="AC43" i="54"/>
  <c r="P43" i="46"/>
  <c r="U43" i="46"/>
  <c r="T43" i="46"/>
  <c r="AC43" i="46" s="1"/>
  <c r="N44" i="46"/>
  <c r="N42" i="46"/>
  <c r="T42" i="46"/>
  <c r="C42" i="46"/>
  <c r="N39" i="26"/>
  <c r="I28" i="47" s="1"/>
  <c r="N37" i="26"/>
  <c r="I26" i="47" s="1"/>
  <c r="I38" i="26"/>
  <c r="P26" i="26"/>
  <c r="P25" i="26"/>
  <c r="P27" i="26" s="1"/>
  <c r="Q26" i="26"/>
  <c r="O26" i="26"/>
  <c r="O25" i="26"/>
  <c r="P18" i="26"/>
  <c r="Q17" i="26"/>
  <c r="O17" i="26"/>
  <c r="R17" i="26" s="1"/>
  <c r="Q16" i="26"/>
  <c r="Q18" i="26" s="1"/>
  <c r="O16" i="26"/>
  <c r="R16" i="26" s="1"/>
  <c r="Q9" i="26"/>
  <c r="Q8" i="26"/>
  <c r="P10" i="26"/>
  <c r="O9" i="26"/>
  <c r="R9" i="26" s="1"/>
  <c r="O8" i="26"/>
  <c r="R8" i="26" s="1"/>
  <c r="N6" i="26"/>
  <c r="Q19" i="26" l="1"/>
  <c r="K45" i="46"/>
  <c r="N38" i="26"/>
  <c r="I27" i="47" s="1"/>
  <c r="R26" i="26"/>
  <c r="N16" i="39"/>
  <c r="AA42" i="54"/>
  <c r="AB42" i="54" s="1"/>
  <c r="BH16" i="39"/>
  <c r="AA42" i="46"/>
  <c r="K44" i="46"/>
  <c r="V44" i="46"/>
  <c r="K42" i="46"/>
  <c r="V42" i="46"/>
  <c r="R25" i="26"/>
  <c r="R27" i="26" s="1"/>
  <c r="R28" i="26" s="1"/>
  <c r="Q25" i="26"/>
  <c r="Q27" i="26" s="1"/>
  <c r="Q28" i="26" s="1"/>
  <c r="R18" i="26"/>
  <c r="R19" i="26" s="1"/>
  <c r="Q10" i="26"/>
  <c r="Q11" i="26" s="1"/>
  <c r="R10" i="26"/>
  <c r="R11" i="26" s="1"/>
  <c r="N37" i="28"/>
  <c r="I23" i="47" s="1"/>
  <c r="F24" i="47"/>
  <c r="E24" i="47"/>
  <c r="H24" i="47"/>
  <c r="E23" i="47"/>
  <c r="G23" i="47" s="1"/>
  <c r="H23" i="47" s="1"/>
  <c r="K12" i="28"/>
  <c r="K11" i="28"/>
  <c r="DM16" i="2"/>
  <c r="W38" i="54" l="1"/>
  <c r="W37" i="54"/>
  <c r="G24" i="47"/>
  <c r="X42" i="46"/>
  <c r="W37" i="46"/>
  <c r="W38" i="46"/>
  <c r="AC42" i="46"/>
  <c r="AB42" i="46" s="1"/>
  <c r="L16" i="39"/>
  <c r="G16" i="2"/>
  <c r="BF15" i="39" l="1"/>
  <c r="AR40" i="54"/>
  <c r="BA40" i="54" s="1"/>
  <c r="AM40" i="54"/>
  <c r="AR39" i="54"/>
  <c r="BA39" i="54" s="1"/>
  <c r="AM39" i="54"/>
  <c r="AR38" i="54"/>
  <c r="BA38" i="54" s="1"/>
  <c r="AM38" i="54"/>
  <c r="O38" i="54"/>
  <c r="P38" i="54" s="1"/>
  <c r="M38" i="54"/>
  <c r="J38" i="54"/>
  <c r="AR37" i="54"/>
  <c r="BA37" i="54" s="1"/>
  <c r="AM37" i="54"/>
  <c r="O37" i="54"/>
  <c r="P37" i="54" s="1"/>
  <c r="M37" i="54"/>
  <c r="N37" i="54" s="1"/>
  <c r="J37" i="54"/>
  <c r="M38" i="46"/>
  <c r="N38" i="46" s="1"/>
  <c r="O37" i="46"/>
  <c r="P37" i="46" s="1"/>
  <c r="M37" i="46"/>
  <c r="U37" i="46" s="1"/>
  <c r="J37" i="46"/>
  <c r="AM37" i="46"/>
  <c r="AR37" i="46"/>
  <c r="BA37" i="46" s="1"/>
  <c r="J38" i="46"/>
  <c r="O38" i="46"/>
  <c r="AM38" i="46"/>
  <c r="AR38" i="46"/>
  <c r="BA38" i="46" s="1"/>
  <c r="AM39" i="46"/>
  <c r="AR39" i="46"/>
  <c r="BA39" i="46" s="1"/>
  <c r="AM40" i="46"/>
  <c r="AR40" i="46"/>
  <c r="BA40" i="46"/>
  <c r="I38" i="28"/>
  <c r="N38" i="28" s="1"/>
  <c r="I24" i="47" s="1"/>
  <c r="G40" i="28"/>
  <c r="G39" i="28"/>
  <c r="P9" i="28"/>
  <c r="Q9" i="28" s="1"/>
  <c r="P8" i="28"/>
  <c r="Q8" i="28" s="1"/>
  <c r="O9" i="28"/>
  <c r="O8" i="28"/>
  <c r="R8" i="28" s="1"/>
  <c r="N6" i="28"/>
  <c r="T38" i="46" l="1"/>
  <c r="AD38" i="54"/>
  <c r="AD37" i="46"/>
  <c r="AD40" i="54"/>
  <c r="AD37" i="54"/>
  <c r="P10" i="28"/>
  <c r="R9" i="28"/>
  <c r="R10" i="28" s="1"/>
  <c r="R11" i="28" s="1"/>
  <c r="AD40" i="46"/>
  <c r="AD39" i="54"/>
  <c r="AD38" i="46"/>
  <c r="AD39" i="46"/>
  <c r="K38" i="46"/>
  <c r="P38" i="46"/>
  <c r="C38" i="46"/>
  <c r="T38" i="54"/>
  <c r="V38" i="46"/>
  <c r="K37" i="54"/>
  <c r="V37" i="54"/>
  <c r="C38" i="54"/>
  <c r="U38" i="54"/>
  <c r="T37" i="54"/>
  <c r="C37" i="54"/>
  <c r="U37" i="54"/>
  <c r="N38" i="54"/>
  <c r="U38" i="46"/>
  <c r="AA37" i="46" s="1"/>
  <c r="N37" i="46"/>
  <c r="T37" i="46"/>
  <c r="C37" i="46"/>
  <c r="Q10" i="28"/>
  <c r="AC38" i="46" l="1"/>
  <c r="Q11" i="28"/>
  <c r="N15" i="39"/>
  <c r="AA37" i="54"/>
  <c r="AC37" i="54"/>
  <c r="K38" i="54"/>
  <c r="AC38" i="54" s="1"/>
  <c r="V38" i="54"/>
  <c r="K37" i="46"/>
  <c r="V37" i="46"/>
  <c r="X37" i="54" l="1"/>
  <c r="L15" i="39"/>
  <c r="X37" i="46"/>
  <c r="AB37" i="54"/>
  <c r="BH15" i="39"/>
  <c r="AC37" i="46"/>
  <c r="AB37" i="46" s="1"/>
  <c r="K8" i="27" l="1"/>
  <c r="K10" i="27"/>
  <c r="C25" i="27"/>
  <c r="K9" i="27" s="1"/>
  <c r="W32" i="54" l="1"/>
  <c r="W33" i="54"/>
  <c r="W34" i="54"/>
  <c r="W32" i="46"/>
  <c r="W33" i="46"/>
  <c r="W34" i="46"/>
  <c r="N37" i="27"/>
  <c r="I17" i="47" s="1"/>
  <c r="I20" i="47"/>
  <c r="N40" i="27"/>
  <c r="I21" i="47" s="1"/>
  <c r="N38" i="27"/>
  <c r="I19" i="47" s="1"/>
  <c r="E21" i="47"/>
  <c r="H21" i="47" s="1"/>
  <c r="F17" i="47"/>
  <c r="E19" i="47"/>
  <c r="G19" i="47" s="1"/>
  <c r="H19" i="47" s="1"/>
  <c r="E20" i="47"/>
  <c r="G20" i="47" s="1"/>
  <c r="H20" i="47" s="1"/>
  <c r="E18" i="47"/>
  <c r="G18" i="47" s="1"/>
  <c r="E14" i="47"/>
  <c r="E17" i="47"/>
  <c r="G17" i="47" l="1"/>
  <c r="G21" i="47"/>
  <c r="H17" i="47"/>
  <c r="O33" i="54"/>
  <c r="O33" i="46"/>
  <c r="O32" i="54"/>
  <c r="O32" i="46"/>
  <c r="O34" i="54"/>
  <c r="O34" i="46"/>
  <c r="O35" i="54"/>
  <c r="O35" i="46"/>
  <c r="G15" i="2"/>
  <c r="DM15" i="2" l="1"/>
  <c r="BF14" i="39" l="1"/>
  <c r="AR35" i="54"/>
  <c r="BA35" i="54" s="1"/>
  <c r="AM35" i="54"/>
  <c r="P35" i="54"/>
  <c r="M35" i="54"/>
  <c r="T35" i="54" s="1"/>
  <c r="J35" i="54"/>
  <c r="AR34" i="54"/>
  <c r="BA34" i="54" s="1"/>
  <c r="AM34" i="54"/>
  <c r="P34" i="54"/>
  <c r="M34" i="54"/>
  <c r="J34" i="54"/>
  <c r="AR33" i="54"/>
  <c r="BA33" i="54" s="1"/>
  <c r="AM33" i="54"/>
  <c r="P33" i="54"/>
  <c r="M33" i="54"/>
  <c r="J33" i="54"/>
  <c r="AR32" i="54"/>
  <c r="BA32" i="54" s="1"/>
  <c r="AM32" i="54"/>
  <c r="AD32" i="54" s="1"/>
  <c r="P32" i="54"/>
  <c r="M32" i="54"/>
  <c r="J32" i="54"/>
  <c r="P35" i="46"/>
  <c r="M35" i="46"/>
  <c r="J35" i="46"/>
  <c r="M34" i="46"/>
  <c r="U34" i="46" s="1"/>
  <c r="J34" i="46"/>
  <c r="P32" i="46"/>
  <c r="M32" i="46"/>
  <c r="J32" i="46"/>
  <c r="AR35" i="46"/>
  <c r="BA35" i="46" s="1"/>
  <c r="AM35" i="46"/>
  <c r="AR34" i="46"/>
  <c r="BA34" i="46" s="1"/>
  <c r="AM34" i="46"/>
  <c r="AR33" i="46"/>
  <c r="BA33" i="46" s="1"/>
  <c r="AM33" i="46"/>
  <c r="P33" i="46"/>
  <c r="M33" i="46"/>
  <c r="J33" i="46"/>
  <c r="AR32" i="46"/>
  <c r="BA32" i="46" s="1"/>
  <c r="AM32" i="46"/>
  <c r="P28" i="27"/>
  <c r="P26" i="27"/>
  <c r="P25" i="27"/>
  <c r="O26" i="27"/>
  <c r="O27" i="27"/>
  <c r="O28" i="27"/>
  <c r="O25" i="27"/>
  <c r="F42" i="27"/>
  <c r="G40" i="27"/>
  <c r="G39" i="27"/>
  <c r="G38" i="27"/>
  <c r="O8" i="27"/>
  <c r="N6" i="27"/>
  <c r="G42" i="27" l="1"/>
  <c r="I37" i="27" s="1"/>
  <c r="P29" i="27"/>
  <c r="AD35" i="54"/>
  <c r="N34" i="46"/>
  <c r="K34" i="46" s="1"/>
  <c r="AD33" i="46"/>
  <c r="AD33" i="54"/>
  <c r="AD34" i="54"/>
  <c r="U35" i="46"/>
  <c r="T34" i="54"/>
  <c r="C33" i="46"/>
  <c r="T33" i="54"/>
  <c r="C32" i="46"/>
  <c r="U32" i="54"/>
  <c r="N32" i="54"/>
  <c r="C33" i="54"/>
  <c r="U33" i="54"/>
  <c r="C34" i="54"/>
  <c r="U34" i="54"/>
  <c r="C35" i="54"/>
  <c r="U35" i="54"/>
  <c r="T32" i="54"/>
  <c r="C32" i="54"/>
  <c r="N33" i="54"/>
  <c r="N34" i="54"/>
  <c r="N35" i="54"/>
  <c r="AD35" i="46"/>
  <c r="AD34" i="46"/>
  <c r="AD32" i="46"/>
  <c r="P34" i="46"/>
  <c r="T34" i="46"/>
  <c r="N35" i="46"/>
  <c r="C34" i="46"/>
  <c r="T35" i="46"/>
  <c r="C35" i="46"/>
  <c r="T32" i="46"/>
  <c r="N32" i="46"/>
  <c r="U32" i="46"/>
  <c r="U33" i="46"/>
  <c r="N33" i="46"/>
  <c r="T33" i="46"/>
  <c r="AC34" i="46" l="1"/>
  <c r="V34" i="46"/>
  <c r="N14" i="39"/>
  <c r="K35" i="54"/>
  <c r="AC35" i="54" s="1"/>
  <c r="V35" i="54"/>
  <c r="K34" i="54"/>
  <c r="AC34" i="54" s="1"/>
  <c r="V34" i="54"/>
  <c r="K32" i="54"/>
  <c r="X32" i="54" s="1"/>
  <c r="V32" i="54"/>
  <c r="V33" i="54"/>
  <c r="K33" i="54"/>
  <c r="AC33" i="54" s="1"/>
  <c r="V35" i="46"/>
  <c r="K35" i="46"/>
  <c r="AC35" i="46" s="1"/>
  <c r="K32" i="46"/>
  <c r="V32" i="46"/>
  <c r="K33" i="46"/>
  <c r="AC33" i="46" s="1"/>
  <c r="V33" i="46"/>
  <c r="X32" i="46" l="1"/>
  <c r="BH14" i="39"/>
  <c r="L14" i="39"/>
  <c r="AC32" i="54"/>
  <c r="AC32" i="46"/>
  <c r="I38" i="27" l="1"/>
  <c r="K9" i="29" l="1"/>
  <c r="K8" i="29"/>
  <c r="K7" i="29"/>
  <c r="G14" i="47"/>
  <c r="H14" i="47" s="1"/>
  <c r="E15" i="47"/>
  <c r="G15" i="47" s="1"/>
  <c r="H15" i="47" s="1"/>
  <c r="E13" i="47"/>
  <c r="G13" i="47" s="1"/>
  <c r="H13" i="47" s="1"/>
  <c r="O26" i="54" s="1"/>
  <c r="E11" i="47"/>
  <c r="W26" i="54" l="1"/>
  <c r="W28" i="54"/>
  <c r="W27" i="54"/>
  <c r="W28" i="46"/>
  <c r="W26" i="46"/>
  <c r="W27" i="46"/>
  <c r="O26" i="46"/>
  <c r="O27" i="46"/>
  <c r="O27" i="54"/>
  <c r="G11" i="47"/>
  <c r="H11" i="47" s="1"/>
  <c r="O21" i="54" l="1"/>
  <c r="O21" i="46"/>
  <c r="DM14" i="2"/>
  <c r="DM13" i="2"/>
  <c r="BF13" i="39" l="1"/>
  <c r="BF12" i="39"/>
  <c r="AR30" i="54"/>
  <c r="BA30" i="54" s="1"/>
  <c r="AM30" i="54"/>
  <c r="AR29" i="54"/>
  <c r="BA29" i="54" s="1"/>
  <c r="AM29" i="54"/>
  <c r="AR28" i="54"/>
  <c r="BA28" i="54" s="1"/>
  <c r="AM28" i="54"/>
  <c r="AR27" i="54"/>
  <c r="BA27" i="54" s="1"/>
  <c r="AM27" i="54"/>
  <c r="M27" i="54"/>
  <c r="U27" i="54" s="1"/>
  <c r="J27" i="54"/>
  <c r="AR26" i="54"/>
  <c r="BA26" i="54" s="1"/>
  <c r="AM26" i="54"/>
  <c r="U26" i="54"/>
  <c r="P26" i="54"/>
  <c r="M26" i="54"/>
  <c r="T26" i="54" s="1"/>
  <c r="J26" i="54"/>
  <c r="C26" i="54"/>
  <c r="AR24" i="54"/>
  <c r="BA24" i="54" s="1"/>
  <c r="AM24" i="54"/>
  <c r="AR23" i="54"/>
  <c r="BA23" i="54" s="1"/>
  <c r="AM23" i="54"/>
  <c r="AR22" i="54"/>
  <c r="BA22" i="54" s="1"/>
  <c r="AM22" i="54"/>
  <c r="AR21" i="54"/>
  <c r="BA21" i="54" s="1"/>
  <c r="AM21" i="54"/>
  <c r="P21" i="54"/>
  <c r="M21" i="54"/>
  <c r="J21" i="54"/>
  <c r="AM30" i="46"/>
  <c r="AR30" i="46"/>
  <c r="BA30" i="46" s="1"/>
  <c r="AM29" i="46"/>
  <c r="AR29" i="46"/>
  <c r="BA29" i="46"/>
  <c r="AD29" i="46" s="1"/>
  <c r="P27" i="46"/>
  <c r="M27" i="46"/>
  <c r="U27" i="46" s="1"/>
  <c r="J27" i="46"/>
  <c r="F11" i="50"/>
  <c r="F18" i="50"/>
  <c r="N38" i="29"/>
  <c r="I14" i="47" s="1"/>
  <c r="I38" i="29"/>
  <c r="F42" i="29"/>
  <c r="G39" i="29"/>
  <c r="G38" i="29"/>
  <c r="G40" i="29"/>
  <c r="P9" i="29"/>
  <c r="P8" i="29"/>
  <c r="O9" i="29"/>
  <c r="O8" i="29"/>
  <c r="N6" i="29"/>
  <c r="AR28" i="46"/>
  <c r="BA28" i="46" s="1"/>
  <c r="AM28" i="46"/>
  <c r="AR27" i="46"/>
  <c r="BA27" i="46" s="1"/>
  <c r="AM27" i="46"/>
  <c r="AR26" i="46"/>
  <c r="BA26" i="46" s="1"/>
  <c r="AD26" i="46" s="1"/>
  <c r="AM26" i="46"/>
  <c r="M26" i="46"/>
  <c r="J26" i="46"/>
  <c r="P21" i="46"/>
  <c r="M21" i="46"/>
  <c r="J21" i="46"/>
  <c r="E11" i="50"/>
  <c r="E12" i="50"/>
  <c r="AR24" i="46"/>
  <c r="BA24" i="46" s="1"/>
  <c r="AM24" i="46"/>
  <c r="AR23" i="46"/>
  <c r="BA23" i="46" s="1"/>
  <c r="AM23" i="46"/>
  <c r="AR22" i="46"/>
  <c r="BA22" i="46" s="1"/>
  <c r="AM22" i="46"/>
  <c r="AR21" i="46"/>
  <c r="BA21" i="46" s="1"/>
  <c r="AM21" i="46"/>
  <c r="I38" i="30"/>
  <c r="I11" i="47" s="1"/>
  <c r="F42" i="30"/>
  <c r="G40" i="30"/>
  <c r="G39" i="30"/>
  <c r="G38" i="30"/>
  <c r="P11" i="30"/>
  <c r="P9" i="30"/>
  <c r="P12" i="30" s="1"/>
  <c r="F28" i="30"/>
  <c r="O9" i="30"/>
  <c r="N6" i="30"/>
  <c r="G42" i="30" l="1"/>
  <c r="I37" i="30" s="1"/>
  <c r="P10" i="29"/>
  <c r="AD23" i="54"/>
  <c r="G42" i="29"/>
  <c r="I37" i="29" s="1"/>
  <c r="AD24" i="54"/>
  <c r="AD28" i="54"/>
  <c r="AD26" i="54"/>
  <c r="AD21" i="54"/>
  <c r="AD30" i="54"/>
  <c r="T27" i="54"/>
  <c r="N37" i="29"/>
  <c r="I13" i="47" s="1"/>
  <c r="AD22" i="54"/>
  <c r="N26" i="54"/>
  <c r="K26" i="54" s="1"/>
  <c r="AD27" i="46"/>
  <c r="T21" i="54"/>
  <c r="U21" i="46"/>
  <c r="U21" i="54"/>
  <c r="AD27" i="54"/>
  <c r="AD29" i="54"/>
  <c r="N21" i="54"/>
  <c r="N27" i="54"/>
  <c r="C21" i="54"/>
  <c r="P27" i="54"/>
  <c r="C27" i="54"/>
  <c r="AD30" i="46"/>
  <c r="AD28" i="46"/>
  <c r="U26" i="46"/>
  <c r="P26" i="46"/>
  <c r="N27" i="46"/>
  <c r="T27" i="46"/>
  <c r="C27" i="46"/>
  <c r="T26" i="46"/>
  <c r="N26" i="46"/>
  <c r="C26" i="46"/>
  <c r="AD24" i="46"/>
  <c r="AD22" i="46"/>
  <c r="AD21" i="46"/>
  <c r="N21" i="46"/>
  <c r="T21" i="46"/>
  <c r="C21" i="46"/>
  <c r="N12" i="39" s="1"/>
  <c r="AD23" i="46"/>
  <c r="F11" i="30"/>
  <c r="N13" i="39" l="1"/>
  <c r="AC26" i="54"/>
  <c r="V26" i="54"/>
  <c r="K27" i="54"/>
  <c r="X26" i="54" s="1"/>
  <c r="V27" i="54"/>
  <c r="K21" i="54"/>
  <c r="V21" i="54"/>
  <c r="K27" i="46"/>
  <c r="AC27" i="46" s="1"/>
  <c r="V27" i="46"/>
  <c r="V26" i="46"/>
  <c r="K26" i="46"/>
  <c r="K21" i="46"/>
  <c r="V21" i="46"/>
  <c r="EJ39" i="1"/>
  <c r="EJ38" i="1"/>
  <c r="EJ37" i="1"/>
  <c r="EJ36" i="1"/>
  <c r="EJ35" i="1"/>
  <c r="EJ34" i="1"/>
  <c r="EJ33" i="1"/>
  <c r="EJ32" i="1"/>
  <c r="EJ31" i="1"/>
  <c r="EJ30" i="1"/>
  <c r="EJ29" i="1"/>
  <c r="EJ28" i="1"/>
  <c r="EJ27" i="1"/>
  <c r="EJ26" i="1"/>
  <c r="EJ25" i="1"/>
  <c r="EJ24" i="1"/>
  <c r="EJ23" i="1"/>
  <c r="EJ22" i="1"/>
  <c r="EJ21" i="1"/>
  <c r="EJ20" i="1"/>
  <c r="EJ19" i="1"/>
  <c r="EJ18" i="1"/>
  <c r="EJ17" i="1"/>
  <c r="EJ16" i="1"/>
  <c r="EJ15" i="1"/>
  <c r="EJ14" i="1"/>
  <c r="EJ13" i="1"/>
  <c r="EJ12" i="1"/>
  <c r="EJ11" i="1"/>
  <c r="EJ10" i="1"/>
  <c r="EJ9" i="1"/>
  <c r="X26" i="46" l="1"/>
  <c r="BH12" i="39"/>
  <c r="BH13" i="39"/>
  <c r="L13" i="39"/>
  <c r="AC21" i="46"/>
  <c r="L12" i="39"/>
  <c r="AC21" i="54"/>
  <c r="AC27" i="54"/>
  <c r="AC26" i="46"/>
  <c r="K8" i="31"/>
  <c r="K7" i="31"/>
  <c r="N37" i="31"/>
  <c r="I8" i="47" s="1"/>
  <c r="E9" i="47"/>
  <c r="G9" i="47" s="1"/>
  <c r="H9" i="47" s="1"/>
  <c r="DM12" i="2"/>
  <c r="W16" i="54" l="1"/>
  <c r="W17" i="54"/>
  <c r="W17" i="46"/>
  <c r="W16" i="46"/>
  <c r="O17" i="54"/>
  <c r="P17" i="54" s="1"/>
  <c r="O17" i="46"/>
  <c r="BF11" i="39"/>
  <c r="E8" i="47"/>
  <c r="G8" i="47" s="1"/>
  <c r="H8" i="47" s="1"/>
  <c r="AR19" i="54"/>
  <c r="BA19" i="54" s="1"/>
  <c r="AM19" i="54"/>
  <c r="AR18" i="54"/>
  <c r="BA18" i="54" s="1"/>
  <c r="AM18" i="54"/>
  <c r="AR17" i="54"/>
  <c r="BA17" i="54" s="1"/>
  <c r="AM17" i="54"/>
  <c r="M17" i="54"/>
  <c r="N17" i="54" s="1"/>
  <c r="J17" i="54"/>
  <c r="AR16" i="54"/>
  <c r="BA16" i="54" s="1"/>
  <c r="AM16" i="54"/>
  <c r="M16" i="54"/>
  <c r="N16" i="54" s="1"/>
  <c r="J16" i="54"/>
  <c r="M17" i="46"/>
  <c r="M16" i="46"/>
  <c r="N16" i="46" s="1"/>
  <c r="N17" i="46"/>
  <c r="J17" i="46"/>
  <c r="J16" i="46"/>
  <c r="AM16" i="46"/>
  <c r="AR16" i="46"/>
  <c r="BA16" i="46" s="1"/>
  <c r="AM17" i="46"/>
  <c r="AR17" i="46"/>
  <c r="BA17" i="46" s="1"/>
  <c r="AM18" i="46"/>
  <c r="AR18" i="46"/>
  <c r="BA18" i="46" s="1"/>
  <c r="AD18" i="46" s="1"/>
  <c r="AM19" i="46"/>
  <c r="AR19" i="46"/>
  <c r="BA19" i="46" s="1"/>
  <c r="F42" i="31"/>
  <c r="G40" i="31"/>
  <c r="G39" i="31"/>
  <c r="G38" i="31"/>
  <c r="G42" i="31" s="1"/>
  <c r="I37" i="31" s="1"/>
  <c r="P10" i="31"/>
  <c r="O9" i="31"/>
  <c r="O8" i="31"/>
  <c r="N6" i="31"/>
  <c r="V17" i="46" l="1"/>
  <c r="AD17" i="54"/>
  <c r="AD19" i="54"/>
  <c r="C17" i="46"/>
  <c r="O16" i="54"/>
  <c r="P16" i="54" s="1"/>
  <c r="O16" i="46"/>
  <c r="P16" i="46" s="1"/>
  <c r="U16" i="54"/>
  <c r="T17" i="54"/>
  <c r="AD16" i="54"/>
  <c r="AD18" i="54"/>
  <c r="C17" i="54"/>
  <c r="U17" i="54"/>
  <c r="V17" i="54"/>
  <c r="K17" i="54"/>
  <c r="AD19" i="46"/>
  <c r="AD17" i="46"/>
  <c r="AD16" i="46"/>
  <c r="P17" i="46"/>
  <c r="T17" i="46"/>
  <c r="U17" i="46"/>
  <c r="K17" i="46"/>
  <c r="K16" i="54" l="1"/>
  <c r="X16" i="54" s="1"/>
  <c r="AC17" i="54"/>
  <c r="K16" i="46"/>
  <c r="X16" i="46" s="1"/>
  <c r="C16" i="54"/>
  <c r="U16" i="46"/>
  <c r="V16" i="46"/>
  <c r="V16" i="54"/>
  <c r="T16" i="54"/>
  <c r="AC16" i="54" s="1"/>
  <c r="C16" i="46"/>
  <c r="N11" i="39" s="1"/>
  <c r="T16" i="46"/>
  <c r="BH11" i="39"/>
  <c r="AC17" i="46"/>
  <c r="L11" i="39" l="1"/>
  <c r="AC16" i="46"/>
  <c r="I38" i="31"/>
  <c r="N38" i="31" s="1"/>
  <c r="I9" i="47" s="1"/>
  <c r="KS39" i="1" l="1"/>
  <c r="KS38" i="1"/>
  <c r="KS37" i="1"/>
  <c r="KS36" i="1"/>
  <c r="KS35" i="1"/>
  <c r="KS34" i="1"/>
  <c r="KS33" i="1"/>
  <c r="KS32" i="1"/>
  <c r="KS31" i="1"/>
  <c r="KS30" i="1"/>
  <c r="KS29" i="1"/>
  <c r="KS28" i="1"/>
  <c r="KS27" i="1"/>
  <c r="KS26" i="1"/>
  <c r="KS25" i="1"/>
  <c r="KS24" i="1"/>
  <c r="KS23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E6" i="47" l="1"/>
  <c r="G6" i="47" s="1"/>
  <c r="H6" i="47" s="1"/>
  <c r="O11" i="54" s="1"/>
  <c r="O11" i="46" l="1"/>
  <c r="DM11" i="2"/>
  <c r="BF10" i="39" l="1"/>
  <c r="AR14" i="54"/>
  <c r="BA14" i="54" s="1"/>
  <c r="AM14" i="54"/>
  <c r="AR13" i="54"/>
  <c r="BA13" i="54" s="1"/>
  <c r="AM13" i="54"/>
  <c r="AR12" i="54"/>
  <c r="BA12" i="54" s="1"/>
  <c r="AM12" i="54"/>
  <c r="AR11" i="54"/>
  <c r="BA11" i="54" s="1"/>
  <c r="AM11" i="54"/>
  <c r="U11" i="54"/>
  <c r="P11" i="54"/>
  <c r="N11" i="54"/>
  <c r="K11" i="54" s="1"/>
  <c r="J11" i="54"/>
  <c r="C11" i="54"/>
  <c r="C11" i="46"/>
  <c r="N10" i="39" s="1"/>
  <c r="J11" i="46"/>
  <c r="N11" i="46"/>
  <c r="V11" i="46" s="1"/>
  <c r="P11" i="46"/>
  <c r="T11" i="46"/>
  <c r="U11" i="46"/>
  <c r="AM11" i="46"/>
  <c r="AR11" i="46"/>
  <c r="BA11" i="46" s="1"/>
  <c r="AM12" i="46"/>
  <c r="AR12" i="46"/>
  <c r="BA12" i="46" s="1"/>
  <c r="AM13" i="46"/>
  <c r="AR13" i="46"/>
  <c r="BA13" i="46" s="1"/>
  <c r="AM14" i="46"/>
  <c r="AR14" i="46"/>
  <c r="BA14" i="46" s="1"/>
  <c r="I38" i="32"/>
  <c r="I6" i="47" s="1"/>
  <c r="F42" i="32"/>
  <c r="F10" i="32"/>
  <c r="P9" i="32"/>
  <c r="P11" i="32" s="1"/>
  <c r="Q8" i="32"/>
  <c r="O10" i="32"/>
  <c r="R10" i="32" s="1"/>
  <c r="O9" i="32"/>
  <c r="O8" i="32"/>
  <c r="R8" i="32" s="1"/>
  <c r="G40" i="32"/>
  <c r="G42" i="32" s="1"/>
  <c r="I37" i="32" s="1"/>
  <c r="O24" i="32"/>
  <c r="P18" i="32"/>
  <c r="Q18" i="32" s="1"/>
  <c r="P17" i="32"/>
  <c r="Q17" i="32" s="1"/>
  <c r="O17" i="32"/>
  <c r="O18" i="32"/>
  <c r="R17" i="32" l="1"/>
  <c r="R18" i="32"/>
  <c r="R19" i="32" s="1"/>
  <c r="AD11" i="46"/>
  <c r="P19" i="32"/>
  <c r="R20" i="32" s="1"/>
  <c r="AD14" i="54"/>
  <c r="Q19" i="32"/>
  <c r="Q20" i="32" s="1"/>
  <c r="BH10" i="39"/>
  <c r="AD12" i="54"/>
  <c r="AD13" i="46"/>
  <c r="AD12" i="46"/>
  <c r="K11" i="46"/>
  <c r="AD11" i="54"/>
  <c r="AD13" i="54"/>
  <c r="T11" i="54"/>
  <c r="AC11" i="54" s="1"/>
  <c r="V11" i="54"/>
  <c r="AD14" i="46"/>
  <c r="Q9" i="32"/>
  <c r="R9" i="32"/>
  <c r="R11" i="32" s="1"/>
  <c r="R12" i="32" s="1"/>
  <c r="Q10" i="32"/>
  <c r="N6" i="32"/>
  <c r="Q11" i="32" l="1"/>
  <c r="Q12" i="32" s="1"/>
  <c r="AC11" i="46"/>
  <c r="L10" i="39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Z38" i="45"/>
  <c r="Z37" i="45"/>
  <c r="Z36" i="45"/>
  <c r="Z35" i="45"/>
  <c r="Z34" i="45"/>
  <c r="Z33" i="45"/>
  <c r="Z32" i="45"/>
  <c r="Z31" i="45"/>
  <c r="Z30" i="45"/>
  <c r="Z29" i="45"/>
  <c r="Z28" i="45"/>
  <c r="Z27" i="45"/>
  <c r="Z26" i="45"/>
  <c r="Z25" i="45"/>
  <c r="Z24" i="45"/>
  <c r="Z23" i="45"/>
  <c r="Z22" i="45"/>
  <c r="Z21" i="45"/>
  <c r="Z20" i="45"/>
  <c r="Z19" i="45"/>
  <c r="Z18" i="45"/>
  <c r="Z17" i="45"/>
  <c r="Z16" i="45"/>
  <c r="Z15" i="45"/>
  <c r="Z14" i="45"/>
  <c r="Z13" i="45"/>
  <c r="Z12" i="45"/>
  <c r="Z11" i="45"/>
  <c r="Z10" i="45"/>
  <c r="Z9" i="45"/>
  <c r="Z8" i="45"/>
  <c r="V38" i="45"/>
  <c r="V37" i="45"/>
  <c r="V36" i="45"/>
  <c r="V35" i="45"/>
  <c r="V34" i="45"/>
  <c r="V33" i="45"/>
  <c r="V32" i="45"/>
  <c r="V31" i="45"/>
  <c r="V30" i="45"/>
  <c r="V29" i="45"/>
  <c r="V28" i="45"/>
  <c r="V27" i="45"/>
  <c r="V26" i="45"/>
  <c r="V25" i="45"/>
  <c r="V24" i="45"/>
  <c r="V23" i="45"/>
  <c r="V22" i="45"/>
  <c r="V21" i="45"/>
  <c r="V20" i="45"/>
  <c r="V19" i="45"/>
  <c r="V18" i="45"/>
  <c r="V17" i="45"/>
  <c r="V16" i="45"/>
  <c r="V15" i="45"/>
  <c r="V14" i="45"/>
  <c r="V13" i="45"/>
  <c r="V12" i="45"/>
  <c r="V11" i="45"/>
  <c r="V10" i="45"/>
  <c r="V9" i="45"/>
  <c r="V8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10" i="45"/>
  <c r="R9" i="45"/>
  <c r="R8" i="45"/>
  <c r="N38" i="45"/>
  <c r="N37" i="45"/>
  <c r="N36" i="45"/>
  <c r="N35" i="45"/>
  <c r="N34" i="45"/>
  <c r="N33" i="45"/>
  <c r="N32" i="45"/>
  <c r="N31" i="45"/>
  <c r="N30" i="45"/>
  <c r="N29" i="45"/>
  <c r="N28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15" i="45"/>
  <c r="N14" i="45"/>
  <c r="N13" i="45"/>
  <c r="N12" i="45"/>
  <c r="N11" i="45"/>
  <c r="N10" i="45"/>
  <c r="N9" i="45"/>
  <c r="N8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AU9" i="54" l="1"/>
  <c r="Q6" i="54"/>
  <c r="R6" i="54"/>
  <c r="I4" i="47"/>
  <c r="K6" i="47" s="1"/>
  <c r="E4" i="47"/>
  <c r="G4" i="47" l="1"/>
  <c r="H4" i="47"/>
  <c r="O6" i="54" s="1"/>
  <c r="BF9" i="39"/>
  <c r="AR9" i="54"/>
  <c r="BA9" i="54" s="1"/>
  <c r="AM9" i="54"/>
  <c r="AR8" i="54"/>
  <c r="BA8" i="54" s="1"/>
  <c r="AM8" i="54"/>
  <c r="AR7" i="54"/>
  <c r="BA7" i="54" s="1"/>
  <c r="AM7" i="54"/>
  <c r="AR6" i="54"/>
  <c r="BA6" i="54" s="1"/>
  <c r="AM6" i="54"/>
  <c r="M6" i="54"/>
  <c r="N6" i="54" s="1"/>
  <c r="J6" i="54"/>
  <c r="A6" i="54"/>
  <c r="AM9" i="46"/>
  <c r="AR9" i="46"/>
  <c r="BA9" i="46" s="1"/>
  <c r="M6" i="46"/>
  <c r="AD7" i="54" l="1"/>
  <c r="AD9" i="46"/>
  <c r="AD6" i="54"/>
  <c r="AD8" i="54"/>
  <c r="AD9" i="54"/>
  <c r="A6" i="46" l="1"/>
  <c r="N6" i="46"/>
  <c r="J6" i="46"/>
  <c r="BF163" i="46" l="1"/>
  <c r="BE163" i="46"/>
  <c r="BD163" i="46"/>
  <c r="BF163" i="54" l="1"/>
  <c r="BE163" i="54"/>
  <c r="BD163" i="54"/>
  <c r="F32" i="31" l="1"/>
  <c r="F23" i="31"/>
  <c r="F14" i="31"/>
  <c r="F32" i="32"/>
  <c r="F23" i="32"/>
  <c r="F14" i="32"/>
  <c r="J10" i="32"/>
  <c r="J11" i="32"/>
  <c r="J12" i="32"/>
  <c r="J13" i="32"/>
  <c r="J14" i="32"/>
  <c r="J15" i="32"/>
  <c r="J16" i="32"/>
  <c r="F34" i="31" l="1"/>
  <c r="F34" i="32"/>
  <c r="K7" i="33" l="1"/>
  <c r="AA38" i="2"/>
  <c r="AM38" i="2"/>
  <c r="AV38" i="2"/>
  <c r="CU38" i="2"/>
  <c r="AA39" i="2"/>
  <c r="AM39" i="2"/>
  <c r="AV39" i="2"/>
  <c r="CU39" i="2"/>
  <c r="AA40" i="2"/>
  <c r="AM40" i="2"/>
  <c r="AV40" i="2"/>
  <c r="CU40" i="2"/>
  <c r="W6" i="54" l="1"/>
  <c r="W6" i="46"/>
  <c r="DG40" i="2"/>
  <c r="DG39" i="2"/>
  <c r="DG38" i="2"/>
  <c r="BP38" i="2" l="1"/>
  <c r="H38" i="2"/>
  <c r="AB38" i="2"/>
  <c r="CB38" i="2"/>
  <c r="CV38" i="2"/>
  <c r="T38" i="2"/>
  <c r="BH38" i="2"/>
  <c r="CN38" i="2"/>
  <c r="AN38" i="2"/>
  <c r="L38" i="2"/>
  <c r="AF38" i="2"/>
  <c r="AZ38" i="2"/>
  <c r="CF38" i="2"/>
  <c r="CZ38" i="2"/>
  <c r="AR38" i="2"/>
  <c r="BX38" i="2"/>
  <c r="X38" i="2"/>
  <c r="BL38" i="2"/>
  <c r="CR38" i="2"/>
  <c r="P38" i="2"/>
  <c r="AJ38" i="2"/>
  <c r="BD38" i="2"/>
  <c r="CJ38" i="2"/>
  <c r="DD38" i="2"/>
  <c r="BT38" i="2"/>
  <c r="BP39" i="2"/>
  <c r="CB39" i="2"/>
  <c r="CV39" i="2"/>
  <c r="H39" i="2"/>
  <c r="AB39" i="2"/>
  <c r="BT39" i="2"/>
  <c r="T39" i="2"/>
  <c r="BH39" i="2"/>
  <c r="CN39" i="2"/>
  <c r="L39" i="2"/>
  <c r="AF39" i="2"/>
  <c r="AZ39" i="2"/>
  <c r="CF39" i="2"/>
  <c r="CZ39" i="2"/>
  <c r="AR39" i="2"/>
  <c r="X39" i="2"/>
  <c r="BL39" i="2"/>
  <c r="CR39" i="2"/>
  <c r="BX39" i="2"/>
  <c r="P39" i="2"/>
  <c r="AJ39" i="2"/>
  <c r="BD39" i="2"/>
  <c r="CJ39" i="2"/>
  <c r="DD39" i="2"/>
  <c r="AN39" i="2"/>
  <c r="H40" i="2"/>
  <c r="AB40" i="2"/>
  <c r="CB40" i="2"/>
  <c r="CV40" i="2"/>
  <c r="BX40" i="2"/>
  <c r="T40" i="2"/>
  <c r="BH40" i="2"/>
  <c r="CN40" i="2"/>
  <c r="AN40" i="2"/>
  <c r="L40" i="2"/>
  <c r="AF40" i="2"/>
  <c r="AZ40" i="2"/>
  <c r="CF40" i="2"/>
  <c r="CZ40" i="2"/>
  <c r="X40" i="2"/>
  <c r="CR40" i="2"/>
  <c r="AR40" i="2"/>
  <c r="BL40" i="2"/>
  <c r="P40" i="2"/>
  <c r="AJ40" i="2"/>
  <c r="BD40" i="2"/>
  <c r="CJ40" i="2"/>
  <c r="DD40" i="2"/>
  <c r="BP40" i="2"/>
  <c r="BT40" i="2"/>
  <c r="U6" i="54" l="1"/>
  <c r="AA6" i="54" s="1"/>
  <c r="K6" i="54"/>
  <c r="X6" i="54" s="1"/>
  <c r="T6" i="54"/>
  <c r="V6" i="54"/>
  <c r="P6" i="54"/>
  <c r="C6" i="54"/>
  <c r="O6" i="46"/>
  <c r="AC6" i="54" l="1"/>
  <c r="AB6" i="54" s="1"/>
  <c r="P6" i="46"/>
  <c r="K6" i="46"/>
  <c r="X6" i="46" s="1"/>
  <c r="C6" i="46"/>
  <c r="CU10" i="2" l="1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O42" i="2"/>
  <c r="K42" i="2"/>
  <c r="K48" i="2" s="1"/>
  <c r="G42" i="2"/>
  <c r="S42" i="2"/>
  <c r="W42" i="2"/>
  <c r="U10" i="2"/>
  <c r="U11" i="2" s="1"/>
  <c r="CQ42" i="2"/>
  <c r="CM42" i="2"/>
  <c r="CI42" i="2"/>
  <c r="CE42" i="2"/>
  <c r="CA42" i="2"/>
  <c r="BW42" i="2"/>
  <c r="BS42" i="2"/>
  <c r="BO42" i="2"/>
  <c r="BK42" i="2"/>
  <c r="BG42" i="2"/>
  <c r="BC42" i="2"/>
  <c r="AY42" i="2"/>
  <c r="AU42" i="2"/>
  <c r="AQ42" i="2"/>
  <c r="AI42" i="2"/>
  <c r="AE42" i="2"/>
  <c r="CU37" i="2"/>
  <c r="AV37" i="2"/>
  <c r="AM37" i="2"/>
  <c r="CU36" i="2"/>
  <c r="AV36" i="2"/>
  <c r="AM36" i="2"/>
  <c r="AA36" i="2"/>
  <c r="CU35" i="2"/>
  <c r="AV35" i="2"/>
  <c r="AM35" i="2"/>
  <c r="AA35" i="2"/>
  <c r="CU34" i="2"/>
  <c r="AV34" i="2"/>
  <c r="AM34" i="2"/>
  <c r="AA34" i="2"/>
  <c r="CU33" i="2"/>
  <c r="AV33" i="2"/>
  <c r="AM33" i="2"/>
  <c r="AA33" i="2"/>
  <c r="CU32" i="2"/>
  <c r="AV32" i="2"/>
  <c r="AM32" i="2"/>
  <c r="AA32" i="2"/>
  <c r="DC42" i="2"/>
  <c r="CU31" i="2"/>
  <c r="AV31" i="2"/>
  <c r="AM31" i="2"/>
  <c r="AA31" i="2"/>
  <c r="AV30" i="2"/>
  <c r="AM30" i="2"/>
  <c r="AV29" i="2"/>
  <c r="AM29" i="2"/>
  <c r="AA29" i="2"/>
  <c r="AV28" i="2"/>
  <c r="AM28" i="2"/>
  <c r="AA28" i="2"/>
  <c r="AV27" i="2"/>
  <c r="AM27" i="2"/>
  <c r="AV26" i="2"/>
  <c r="AM26" i="2"/>
  <c r="AV25" i="2"/>
  <c r="AM25" i="2"/>
  <c r="AA25" i="2"/>
  <c r="AV24" i="2"/>
  <c r="AM24" i="2"/>
  <c r="AA24" i="2"/>
  <c r="AV23" i="2"/>
  <c r="AM23" i="2"/>
  <c r="AA23" i="2"/>
  <c r="AV22" i="2"/>
  <c r="AM22" i="2"/>
  <c r="AA22" i="2"/>
  <c r="AV21" i="2"/>
  <c r="AM21" i="2"/>
  <c r="AV20" i="2"/>
  <c r="AM20" i="2"/>
  <c r="AA20" i="2"/>
  <c r="AV19" i="2"/>
  <c r="AM19" i="2"/>
  <c r="AA19" i="2"/>
  <c r="AV18" i="2"/>
  <c r="AM18" i="2"/>
  <c r="AA18" i="2"/>
  <c r="AV17" i="2"/>
  <c r="AM17" i="2"/>
  <c r="AV16" i="2"/>
  <c r="AM16" i="2"/>
  <c r="AA16" i="2"/>
  <c r="AV15" i="2"/>
  <c r="AM15" i="2"/>
  <c r="AA15" i="2"/>
  <c r="AV14" i="2"/>
  <c r="AM14" i="2"/>
  <c r="AA14" i="2"/>
  <c r="AV13" i="2"/>
  <c r="AM13" i="2"/>
  <c r="AA13" i="2"/>
  <c r="AV12" i="2"/>
  <c r="AM12" i="2"/>
  <c r="AA12" i="2"/>
  <c r="AV11" i="2"/>
  <c r="AM11" i="2"/>
  <c r="AA11" i="2"/>
  <c r="DE10" i="2"/>
  <c r="CY42" i="2"/>
  <c r="CS10" i="2"/>
  <c r="CS11" i="2" s="1"/>
  <c r="CO10" i="2"/>
  <c r="CO11" i="2" s="1"/>
  <c r="CO12" i="2" s="1"/>
  <c r="CK10" i="2"/>
  <c r="CK11" i="2" s="1"/>
  <c r="CG10" i="2"/>
  <c r="CG11" i="2" s="1"/>
  <c r="CC10" i="2"/>
  <c r="CC11" i="2" s="1"/>
  <c r="CC12" i="2" s="1"/>
  <c r="BY10" i="2"/>
  <c r="BY11" i="2" s="1"/>
  <c r="BU10" i="2"/>
  <c r="BU11" i="2" s="1"/>
  <c r="BQ10" i="2"/>
  <c r="BQ11" i="2" s="1"/>
  <c r="BM10" i="2"/>
  <c r="BM11" i="2" s="1"/>
  <c r="BI10" i="2"/>
  <c r="BI11" i="2" s="1"/>
  <c r="BE10" i="2"/>
  <c r="BE11" i="2" s="1"/>
  <c r="BA10" i="2"/>
  <c r="BA11" i="2" s="1"/>
  <c r="BA12" i="2" s="1"/>
  <c r="AW10" i="2"/>
  <c r="AX10" i="2" s="1"/>
  <c r="AV10" i="2"/>
  <c r="AS10" i="2"/>
  <c r="AS11" i="2" s="1"/>
  <c r="AS12" i="2" s="1"/>
  <c r="AM10" i="2"/>
  <c r="AO10" i="2" s="1"/>
  <c r="AK10" i="2"/>
  <c r="AK11" i="2" s="1"/>
  <c r="AG10" i="2"/>
  <c r="AG11" i="2" s="1"/>
  <c r="AG12" i="2" s="1"/>
  <c r="Y10" i="2"/>
  <c r="Y11" i="2" s="1"/>
  <c r="Q10" i="2"/>
  <c r="Q11" i="2" s="1"/>
  <c r="M10" i="2"/>
  <c r="M11" i="2" s="1"/>
  <c r="M12" i="2" s="1"/>
  <c r="AO11" i="2" l="1"/>
  <c r="DG32" i="2"/>
  <c r="BT32" i="2" s="1"/>
  <c r="DG34" i="2"/>
  <c r="AZ34" i="2" s="1"/>
  <c r="DG14" i="2"/>
  <c r="DD14" i="2" s="1"/>
  <c r="AW11" i="2"/>
  <c r="AW12" i="2" s="1"/>
  <c r="AX12" i="2" s="1"/>
  <c r="DG13" i="2"/>
  <c r="BH13" i="2" s="1"/>
  <c r="DG18" i="2"/>
  <c r="DG24" i="2"/>
  <c r="X24" i="2" s="1"/>
  <c r="DG20" i="2"/>
  <c r="AN20" i="2" s="1"/>
  <c r="DG11" i="2"/>
  <c r="BX11" i="2" s="1"/>
  <c r="DG22" i="2"/>
  <c r="CN22" i="2" s="1"/>
  <c r="CF34" i="2"/>
  <c r="CV32" i="2"/>
  <c r="AK12" i="2"/>
  <c r="BE12" i="2"/>
  <c r="CO13" i="2"/>
  <c r="BI12" i="2"/>
  <c r="BA13" i="2"/>
  <c r="BM12" i="2"/>
  <c r="CS12" i="2"/>
  <c r="AG13" i="2"/>
  <c r="Q12" i="2"/>
  <c r="BU12" i="2"/>
  <c r="CC13" i="2"/>
  <c r="U12" i="2"/>
  <c r="AO12" i="2"/>
  <c r="BQ12" i="2"/>
  <c r="Y12" i="2"/>
  <c r="AS13" i="2"/>
  <c r="CG12" i="2"/>
  <c r="M13" i="2"/>
  <c r="DA10" i="2"/>
  <c r="DE11" i="2"/>
  <c r="BY12" i="2"/>
  <c r="CK12" i="2"/>
  <c r="DG12" i="2"/>
  <c r="AN12" i="2" s="1"/>
  <c r="DG16" i="2"/>
  <c r="AN16" i="2" s="1"/>
  <c r="G48" i="2"/>
  <c r="G44" i="2"/>
  <c r="AA10" i="2"/>
  <c r="CU42" i="2"/>
  <c r="DG15" i="2"/>
  <c r="CV15" i="2" s="1"/>
  <c r="I10" i="2"/>
  <c r="AM42" i="2"/>
  <c r="CW10" i="2"/>
  <c r="CW11" i="2" s="1"/>
  <c r="DG28" i="2"/>
  <c r="CV28" i="2" s="1"/>
  <c r="DG29" i="2"/>
  <c r="H29" i="2" s="1"/>
  <c r="DG19" i="2"/>
  <c r="AB19" i="2" s="1"/>
  <c r="DG23" i="2"/>
  <c r="AA17" i="2"/>
  <c r="AA21" i="2"/>
  <c r="DG31" i="2"/>
  <c r="AB31" i="2" s="1"/>
  <c r="AA26" i="2"/>
  <c r="DG25" i="2"/>
  <c r="H25" i="2" s="1"/>
  <c r="X32" i="2"/>
  <c r="AF32" i="2"/>
  <c r="BL34" i="2"/>
  <c r="CZ34" i="2"/>
  <c r="AA30" i="2"/>
  <c r="L34" i="2"/>
  <c r="AA27" i="2"/>
  <c r="BX32" i="2"/>
  <c r="BT34" i="2"/>
  <c r="AN34" i="2"/>
  <c r="CN34" i="2"/>
  <c r="BH34" i="2"/>
  <c r="T34" i="2"/>
  <c r="CB34" i="2"/>
  <c r="H34" i="2"/>
  <c r="BP34" i="2"/>
  <c r="DD34" i="2"/>
  <c r="CJ34" i="2"/>
  <c r="BD34" i="2"/>
  <c r="AJ34" i="2"/>
  <c r="P34" i="2"/>
  <c r="BX34" i="2"/>
  <c r="AR34" i="2"/>
  <c r="CR34" i="2"/>
  <c r="DG35" i="2"/>
  <c r="DG33" i="2"/>
  <c r="AN33" i="2" s="1"/>
  <c r="DG36" i="2"/>
  <c r="AB36" i="2" s="1"/>
  <c r="AA37" i="2"/>
  <c r="AB34" i="2"/>
  <c r="CV34" i="2"/>
  <c r="AF34" i="2" l="1"/>
  <c r="BH20" i="2"/>
  <c r="CJ20" i="2"/>
  <c r="BP20" i="2"/>
  <c r="L20" i="2"/>
  <c r="AJ20" i="2"/>
  <c r="CB20" i="2"/>
  <c r="CZ20" i="2"/>
  <c r="CN13" i="2"/>
  <c r="AW13" i="2"/>
  <c r="CB32" i="2"/>
  <c r="X18" i="2"/>
  <c r="BL24" i="2"/>
  <c r="CN24" i="2"/>
  <c r="AR20" i="2"/>
  <c r="BP24" i="2"/>
  <c r="AN24" i="2"/>
  <c r="AZ24" i="2"/>
  <c r="CR24" i="2"/>
  <c r="L14" i="2"/>
  <c r="AR14" i="2"/>
  <c r="AF20" i="2"/>
  <c r="BD20" i="2"/>
  <c r="BL14" i="2"/>
  <c r="AZ20" i="2"/>
  <c r="CR20" i="2"/>
  <c r="X14" i="2"/>
  <c r="P24" i="2"/>
  <c r="CB22" i="2"/>
  <c r="BD14" i="2"/>
  <c r="CZ11" i="2"/>
  <c r="BT24" i="2"/>
  <c r="BX24" i="2"/>
  <c r="BX18" i="2"/>
  <c r="T14" i="2"/>
  <c r="BX14" i="2"/>
  <c r="L24" i="2"/>
  <c r="L22" i="2"/>
  <c r="H15" i="2"/>
  <c r="CV14" i="2"/>
  <c r="P14" i="2"/>
  <c r="T24" i="2"/>
  <c r="AF24" i="2"/>
  <c r="DD24" i="2"/>
  <c r="BD24" i="2"/>
  <c r="BD22" i="2"/>
  <c r="AN14" i="2"/>
  <c r="AB15" i="2"/>
  <c r="BT14" i="2"/>
  <c r="AJ14" i="2"/>
  <c r="AJ24" i="2"/>
  <c r="CF24" i="2"/>
  <c r="BH24" i="2"/>
  <c r="H24" i="2"/>
  <c r="CB14" i="2"/>
  <c r="AF14" i="2"/>
  <c r="BP14" i="2"/>
  <c r="CV24" i="2"/>
  <c r="CZ24" i="2"/>
  <c r="AR24" i="2"/>
  <c r="CJ24" i="2"/>
  <c r="H14" i="2"/>
  <c r="AZ14" i="2"/>
  <c r="CB24" i="2"/>
  <c r="AB24" i="2"/>
  <c r="BH14" i="2"/>
  <c r="AB14" i="2"/>
  <c r="CN14" i="2"/>
  <c r="CF14" i="2"/>
  <c r="CJ14" i="2"/>
  <c r="BD32" i="2"/>
  <c r="AR32" i="2"/>
  <c r="AZ32" i="2"/>
  <c r="CF32" i="2"/>
  <c r="CJ11" i="2"/>
  <c r="CR14" i="2"/>
  <c r="CZ14" i="2"/>
  <c r="H32" i="2"/>
  <c r="CN32" i="2"/>
  <c r="CZ32" i="2"/>
  <c r="BP11" i="2"/>
  <c r="BH32" i="2"/>
  <c r="BL32" i="2"/>
  <c r="P32" i="2"/>
  <c r="AJ32" i="2"/>
  <c r="T32" i="2"/>
  <c r="BP32" i="2"/>
  <c r="CR32" i="2"/>
  <c r="H11" i="2"/>
  <c r="DD32" i="2"/>
  <c r="CJ32" i="2"/>
  <c r="L32" i="2"/>
  <c r="CR11" i="2"/>
  <c r="AN32" i="2"/>
  <c r="AB32" i="2"/>
  <c r="X34" i="2"/>
  <c r="AZ13" i="2"/>
  <c r="AF11" i="2"/>
  <c r="BT11" i="2"/>
  <c r="T20" i="2"/>
  <c r="CB11" i="2"/>
  <c r="P13" i="2"/>
  <c r="DD13" i="2"/>
  <c r="CF11" i="2"/>
  <c r="CJ13" i="2"/>
  <c r="AR11" i="2"/>
  <c r="T11" i="2"/>
  <c r="DD11" i="2"/>
  <c r="AZ11" i="2"/>
  <c r="BL11" i="2"/>
  <c r="L11" i="2"/>
  <c r="X11" i="2"/>
  <c r="AJ11" i="2"/>
  <c r="CN11" i="2"/>
  <c r="CV11" i="2"/>
  <c r="BH11" i="2"/>
  <c r="AB11" i="2"/>
  <c r="T18" i="2"/>
  <c r="T13" i="2"/>
  <c r="CF18" i="2"/>
  <c r="BL13" i="2"/>
  <c r="CV18" i="2"/>
  <c r="CV20" i="2"/>
  <c r="BL20" i="2"/>
  <c r="CN20" i="2"/>
  <c r="CN18" i="2"/>
  <c r="CR18" i="2"/>
  <c r="AJ18" i="2"/>
  <c r="CR13" i="2"/>
  <c r="BT13" i="2"/>
  <c r="H13" i="2"/>
  <c r="BP18" i="2"/>
  <c r="AN18" i="2"/>
  <c r="BH18" i="2"/>
  <c r="L13" i="2"/>
  <c r="AF13" i="2"/>
  <c r="BT18" i="2"/>
  <c r="X13" i="2"/>
  <c r="P18" i="2"/>
  <c r="AJ13" i="2"/>
  <c r="AF18" i="2"/>
  <c r="P20" i="2"/>
  <c r="BX20" i="2"/>
  <c r="DD20" i="2"/>
  <c r="AR18" i="2"/>
  <c r="AB18" i="2"/>
  <c r="BD18" i="2"/>
  <c r="AR13" i="2"/>
  <c r="BD13" i="2"/>
  <c r="CZ13" i="2"/>
  <c r="CB18" i="2"/>
  <c r="H18" i="2"/>
  <c r="AN28" i="2"/>
  <c r="CV13" i="2"/>
  <c r="CZ18" i="2"/>
  <c r="AZ18" i="2"/>
  <c r="CJ18" i="2"/>
  <c r="BX13" i="2"/>
  <c r="AN13" i="2"/>
  <c r="CF13" i="2"/>
  <c r="AX11" i="2"/>
  <c r="AB20" i="2"/>
  <c r="X20" i="2"/>
  <c r="CF20" i="2"/>
  <c r="L18" i="2"/>
  <c r="BL18" i="2"/>
  <c r="DD18" i="2"/>
  <c r="CB13" i="2"/>
  <c r="AB13" i="2"/>
  <c r="BP13" i="2"/>
  <c r="CR22" i="2"/>
  <c r="BL22" i="2"/>
  <c r="AF22" i="2"/>
  <c r="CJ22" i="2"/>
  <c r="AN22" i="2"/>
  <c r="T22" i="2"/>
  <c r="AZ22" i="2"/>
  <c r="DD22" i="2"/>
  <c r="AR22" i="2"/>
  <c r="CV22" i="2"/>
  <c r="CF22" i="2"/>
  <c r="BP22" i="2"/>
  <c r="H20" i="2"/>
  <c r="BT20" i="2"/>
  <c r="AN36" i="2"/>
  <c r="BT22" i="2"/>
  <c r="CZ22" i="2"/>
  <c r="AN11" i="2"/>
  <c r="BD11" i="2"/>
  <c r="X22" i="2"/>
  <c r="AB22" i="2"/>
  <c r="H22" i="2"/>
  <c r="P11" i="2"/>
  <c r="BH22" i="2"/>
  <c r="P22" i="2"/>
  <c r="AN19" i="2"/>
  <c r="BX22" i="2"/>
  <c r="AJ22" i="2"/>
  <c r="CV33" i="2"/>
  <c r="AB33" i="2"/>
  <c r="AN31" i="2"/>
  <c r="CV29" i="2"/>
  <c r="CV31" i="2"/>
  <c r="AN29" i="2"/>
  <c r="AB28" i="2"/>
  <c r="AB29" i="2"/>
  <c r="CW12" i="2"/>
  <c r="CN35" i="2"/>
  <c r="BH35" i="2"/>
  <c r="T35" i="2"/>
  <c r="CV35" i="2"/>
  <c r="CB35" i="2"/>
  <c r="H35" i="2"/>
  <c r="BP35" i="2"/>
  <c r="DD35" i="2"/>
  <c r="CJ35" i="2"/>
  <c r="BD35" i="2"/>
  <c r="AJ35" i="2"/>
  <c r="P35" i="2"/>
  <c r="BX35" i="2"/>
  <c r="AR35" i="2"/>
  <c r="CR35" i="2"/>
  <c r="BL35" i="2"/>
  <c r="X35" i="2"/>
  <c r="CZ35" i="2"/>
  <c r="CF35" i="2"/>
  <c r="AZ35" i="2"/>
  <c r="AF35" i="2"/>
  <c r="L35" i="2"/>
  <c r="BT35" i="2"/>
  <c r="AN35" i="2"/>
  <c r="BX23" i="2"/>
  <c r="AR23" i="2"/>
  <c r="CR23" i="2"/>
  <c r="BL23" i="2"/>
  <c r="X23" i="2"/>
  <c r="CN23" i="2"/>
  <c r="BH23" i="2"/>
  <c r="T23" i="2"/>
  <c r="CJ23" i="2"/>
  <c r="AZ23" i="2"/>
  <c r="CV23" i="2"/>
  <c r="CF23" i="2"/>
  <c r="BP23" i="2"/>
  <c r="AJ23" i="2"/>
  <c r="CB23" i="2"/>
  <c r="AF23" i="2"/>
  <c r="P23" i="2"/>
  <c r="L23" i="2"/>
  <c r="DD23" i="2"/>
  <c r="AN23" i="2"/>
  <c r="CZ23" i="2"/>
  <c r="H23" i="2"/>
  <c r="BT23" i="2"/>
  <c r="BD23" i="2"/>
  <c r="DD19" i="2"/>
  <c r="CR19" i="2"/>
  <c r="BL19" i="2"/>
  <c r="X19" i="2"/>
  <c r="CZ19" i="2"/>
  <c r="CN19" i="2"/>
  <c r="CB19" i="2"/>
  <c r="BP19" i="2"/>
  <c r="BD19" i="2"/>
  <c r="AR19" i="2"/>
  <c r="AF19" i="2"/>
  <c r="T19" i="2"/>
  <c r="AZ19" i="2"/>
  <c r="CJ19" i="2"/>
  <c r="BX19" i="2"/>
  <c r="P19" i="2"/>
  <c r="CF19" i="2"/>
  <c r="BT19" i="2"/>
  <c r="BH19" i="2"/>
  <c r="AJ19" i="2"/>
  <c r="L19" i="2"/>
  <c r="BY13" i="2"/>
  <c r="U13" i="2"/>
  <c r="DG30" i="2"/>
  <c r="AB30" i="2" s="1"/>
  <c r="AA42" i="2"/>
  <c r="DG10" i="2"/>
  <c r="AB10" i="2" s="1"/>
  <c r="AC10" i="2"/>
  <c r="M14" i="2"/>
  <c r="BQ13" i="2"/>
  <c r="AG14" i="2"/>
  <c r="CZ25" i="2"/>
  <c r="BH25" i="2"/>
  <c r="T25" i="2"/>
  <c r="CN25" i="2"/>
  <c r="CB25" i="2"/>
  <c r="CJ25" i="2"/>
  <c r="BX25" i="2"/>
  <c r="AR25" i="2"/>
  <c r="DD25" i="2"/>
  <c r="BD25" i="2"/>
  <c r="L25" i="2"/>
  <c r="BT25" i="2"/>
  <c r="AN25" i="2"/>
  <c r="BP25" i="2"/>
  <c r="AZ25" i="2"/>
  <c r="X25" i="2"/>
  <c r="CV25" i="2"/>
  <c r="CF25" i="2"/>
  <c r="BL25" i="2"/>
  <c r="AJ25" i="2"/>
  <c r="CR25" i="2"/>
  <c r="P25" i="2"/>
  <c r="AF25" i="2"/>
  <c r="I11" i="2"/>
  <c r="DE12" i="2"/>
  <c r="DA11" i="2"/>
  <c r="CC14" i="2"/>
  <c r="AX13" i="2"/>
  <c r="AW14" i="2"/>
  <c r="CZ33" i="2"/>
  <c r="CF33" i="2"/>
  <c r="AZ33" i="2"/>
  <c r="BT33" i="2"/>
  <c r="CN33" i="2"/>
  <c r="BH33" i="2"/>
  <c r="T33" i="2"/>
  <c r="CB33" i="2"/>
  <c r="H33" i="2"/>
  <c r="BP33" i="2"/>
  <c r="DD33" i="2"/>
  <c r="CJ33" i="2"/>
  <c r="BD33" i="2"/>
  <c r="AJ33" i="2"/>
  <c r="BX33" i="2"/>
  <c r="L33" i="2"/>
  <c r="AR33" i="2"/>
  <c r="X33" i="2"/>
  <c r="BL33" i="2"/>
  <c r="CR33" i="2"/>
  <c r="P33" i="2"/>
  <c r="AF33" i="2"/>
  <c r="AB25" i="2"/>
  <c r="DG26" i="2"/>
  <c r="CJ31" i="2"/>
  <c r="BD31" i="2"/>
  <c r="AJ31" i="2"/>
  <c r="P31" i="2"/>
  <c r="BX31" i="2"/>
  <c r="AR31" i="2"/>
  <c r="BH31" i="2"/>
  <c r="AF31" i="2"/>
  <c r="T31" i="2"/>
  <c r="BT31" i="2"/>
  <c r="DD31" i="2"/>
  <c r="CR31" i="2"/>
  <c r="BP31" i="2"/>
  <c r="AZ31" i="2"/>
  <c r="CB31" i="2"/>
  <c r="BL31" i="2"/>
  <c r="X31" i="2"/>
  <c r="CZ31" i="2"/>
  <c r="CN31" i="2"/>
  <c r="H31" i="2"/>
  <c r="CF31" i="2"/>
  <c r="L31" i="2"/>
  <c r="CV19" i="2"/>
  <c r="DD29" i="2"/>
  <c r="CJ29" i="2"/>
  <c r="BD29" i="2"/>
  <c r="AJ29" i="2"/>
  <c r="P29" i="2"/>
  <c r="CR29" i="2"/>
  <c r="BL29" i="2"/>
  <c r="X29" i="2"/>
  <c r="BT29" i="2"/>
  <c r="CB29" i="2"/>
  <c r="BH29" i="2"/>
  <c r="T29" i="2"/>
  <c r="CN29" i="2"/>
  <c r="AF29" i="2"/>
  <c r="L29" i="2"/>
  <c r="BP29" i="2"/>
  <c r="AZ29" i="2"/>
  <c r="CF29" i="2"/>
  <c r="BX29" i="2"/>
  <c r="AR29" i="2"/>
  <c r="CZ29" i="2"/>
  <c r="CB28" i="2"/>
  <c r="H28" i="2"/>
  <c r="DD28" i="2"/>
  <c r="CJ28" i="2"/>
  <c r="BD28" i="2"/>
  <c r="AJ28" i="2"/>
  <c r="P28" i="2"/>
  <c r="CR28" i="2"/>
  <c r="BL28" i="2"/>
  <c r="X28" i="2"/>
  <c r="BT28" i="2"/>
  <c r="BX28" i="2"/>
  <c r="AZ28" i="2"/>
  <c r="CN28" i="2"/>
  <c r="BH28" i="2"/>
  <c r="CF28" i="2"/>
  <c r="AR28" i="2"/>
  <c r="T28" i="2"/>
  <c r="CZ28" i="2"/>
  <c r="L28" i="2"/>
  <c r="BP28" i="2"/>
  <c r="AF28" i="2"/>
  <c r="AO13" i="2"/>
  <c r="BA14" i="2"/>
  <c r="DG21" i="2"/>
  <c r="AB21" i="2" s="1"/>
  <c r="H19" i="2"/>
  <c r="CR16" i="2"/>
  <c r="BL16" i="2"/>
  <c r="CZ16" i="2"/>
  <c r="CF16" i="2"/>
  <c r="AZ16" i="2"/>
  <c r="AF16" i="2"/>
  <c r="L16" i="2"/>
  <c r="BT16" i="2"/>
  <c r="CN16" i="2"/>
  <c r="BH16" i="2"/>
  <c r="T16" i="2"/>
  <c r="BP16" i="2"/>
  <c r="DD16" i="2"/>
  <c r="CJ16" i="2"/>
  <c r="BD16" i="2"/>
  <c r="AJ16" i="2"/>
  <c r="P16" i="2"/>
  <c r="AR16" i="2"/>
  <c r="CB16" i="2"/>
  <c r="BX16" i="2"/>
  <c r="H16" i="2"/>
  <c r="X16" i="2"/>
  <c r="CV16" i="2"/>
  <c r="AB16" i="2"/>
  <c r="AS14" i="2"/>
  <c r="BU13" i="2"/>
  <c r="BI13" i="2"/>
  <c r="BE13" i="2"/>
  <c r="DG17" i="2"/>
  <c r="AB17" i="2" s="1"/>
  <c r="BX12" i="2"/>
  <c r="AR12" i="2"/>
  <c r="AJ12" i="2"/>
  <c r="X12" i="2"/>
  <c r="L12" i="2"/>
  <c r="BD12" i="2"/>
  <c r="CZ12" i="2"/>
  <c r="CN12" i="2"/>
  <c r="CB12" i="2"/>
  <c r="AF12" i="2"/>
  <c r="BP12" i="2"/>
  <c r="T12" i="2"/>
  <c r="H12" i="2"/>
  <c r="CR12" i="2"/>
  <c r="BH12" i="2"/>
  <c r="BL12" i="2"/>
  <c r="AZ12" i="2"/>
  <c r="CF12" i="2"/>
  <c r="CJ12" i="2"/>
  <c r="AB12" i="2"/>
  <c r="DD12" i="2"/>
  <c r="BT12" i="2"/>
  <c r="P12" i="2"/>
  <c r="CS13" i="2"/>
  <c r="AB35" i="2"/>
  <c r="DG27" i="2"/>
  <c r="AB23" i="2"/>
  <c r="CV12" i="2"/>
  <c r="Q13" i="2"/>
  <c r="AK13" i="2"/>
  <c r="DG37" i="2"/>
  <c r="AB37" i="2" s="1"/>
  <c r="BP36" i="2"/>
  <c r="DD36" i="2"/>
  <c r="CJ36" i="2"/>
  <c r="BD36" i="2"/>
  <c r="AJ36" i="2"/>
  <c r="P36" i="2"/>
  <c r="BX36" i="2"/>
  <c r="AR36" i="2"/>
  <c r="CR36" i="2"/>
  <c r="BL36" i="2"/>
  <c r="X36" i="2"/>
  <c r="CZ36" i="2"/>
  <c r="CF36" i="2"/>
  <c r="AZ36" i="2"/>
  <c r="AF36" i="2"/>
  <c r="L36" i="2"/>
  <c r="BT36" i="2"/>
  <c r="CN36" i="2"/>
  <c r="BH36" i="2"/>
  <c r="T36" i="2"/>
  <c r="CV36" i="2"/>
  <c r="CB36" i="2"/>
  <c r="H36" i="2"/>
  <c r="BX15" i="2"/>
  <c r="AR15" i="2"/>
  <c r="CR15" i="2"/>
  <c r="BL15" i="2"/>
  <c r="X15" i="2"/>
  <c r="CZ15" i="2"/>
  <c r="CF15" i="2"/>
  <c r="AZ15" i="2"/>
  <c r="AF15" i="2"/>
  <c r="L15" i="2"/>
  <c r="CN15" i="2"/>
  <c r="BH15" i="2"/>
  <c r="T15" i="2"/>
  <c r="CB15" i="2"/>
  <c r="BD15" i="2"/>
  <c r="AJ15" i="2"/>
  <c r="DD15" i="2"/>
  <c r="BT15" i="2"/>
  <c r="BP15" i="2"/>
  <c r="AN15" i="2"/>
  <c r="P15" i="2"/>
  <c r="CJ15" i="2"/>
  <c r="CK13" i="2"/>
  <c r="CG13" i="2"/>
  <c r="Y13" i="2"/>
  <c r="BM13" i="2"/>
  <c r="CO14" i="2"/>
  <c r="CN27" i="2" l="1"/>
  <c r="BH27" i="2"/>
  <c r="T27" i="2"/>
  <c r="BP27" i="2"/>
  <c r="BX27" i="2"/>
  <c r="AR27" i="2"/>
  <c r="CZ27" i="2"/>
  <c r="CF27" i="2"/>
  <c r="AZ27" i="2"/>
  <c r="AF27" i="2"/>
  <c r="L27" i="2"/>
  <c r="CR27" i="2"/>
  <c r="AJ27" i="2"/>
  <c r="P27" i="2"/>
  <c r="BT27" i="2"/>
  <c r="BL27" i="2"/>
  <c r="CJ27" i="2"/>
  <c r="BD27" i="2"/>
  <c r="X27" i="2"/>
  <c r="DD27" i="2"/>
  <c r="CB27" i="2"/>
  <c r="AN27" i="2"/>
  <c r="CV27" i="2"/>
  <c r="H27" i="2"/>
  <c r="Y14" i="2"/>
  <c r="CS14" i="2"/>
  <c r="CZ26" i="2"/>
  <c r="CF26" i="2"/>
  <c r="AZ26" i="2"/>
  <c r="AF26" i="2"/>
  <c r="L26" i="2"/>
  <c r="CN26" i="2"/>
  <c r="BH26" i="2"/>
  <c r="BP26" i="2"/>
  <c r="BX26" i="2"/>
  <c r="AR26" i="2"/>
  <c r="AN26" i="2"/>
  <c r="P26" i="2"/>
  <c r="CR26" i="2"/>
  <c r="BD26" i="2"/>
  <c r="CJ26" i="2"/>
  <c r="AJ26" i="2"/>
  <c r="DD26" i="2"/>
  <c r="CB26" i="2"/>
  <c r="BT26" i="2"/>
  <c r="CV26" i="2"/>
  <c r="BL26" i="2"/>
  <c r="X26" i="2"/>
  <c r="T26" i="2"/>
  <c r="H26" i="2"/>
  <c r="DG42" i="2"/>
  <c r="DE13" i="2"/>
  <c r="CG14" i="2"/>
  <c r="CR37" i="2"/>
  <c r="BL37" i="2"/>
  <c r="X37" i="2"/>
  <c r="CZ37" i="2"/>
  <c r="CF37" i="2"/>
  <c r="AZ37" i="2"/>
  <c r="AF37" i="2"/>
  <c r="BT37" i="2"/>
  <c r="L37" i="2"/>
  <c r="CN37" i="2"/>
  <c r="BH37" i="2"/>
  <c r="CB37" i="2"/>
  <c r="BP37" i="2"/>
  <c r="DD37" i="2"/>
  <c r="CJ37" i="2"/>
  <c r="BD37" i="2"/>
  <c r="AJ37" i="2"/>
  <c r="AR37" i="2"/>
  <c r="BX37" i="2"/>
  <c r="P37" i="2"/>
  <c r="AN37" i="2"/>
  <c r="CV37" i="2"/>
  <c r="T37" i="2"/>
  <c r="H37" i="2"/>
  <c r="BU14" i="2"/>
  <c r="CN21" i="2"/>
  <c r="BH21" i="2"/>
  <c r="T21" i="2"/>
  <c r="BX21" i="2"/>
  <c r="AR21" i="2"/>
  <c r="BT21" i="2"/>
  <c r="AF21" i="2"/>
  <c r="DD21" i="2"/>
  <c r="CB21" i="2"/>
  <c r="AZ21" i="2"/>
  <c r="BL21" i="2"/>
  <c r="L21" i="2"/>
  <c r="AJ21" i="2"/>
  <c r="P21" i="2"/>
  <c r="CJ21" i="2"/>
  <c r="CF21" i="2"/>
  <c r="BD21" i="2"/>
  <c r="CZ21" i="2"/>
  <c r="CV21" i="2"/>
  <c r="X21" i="2"/>
  <c r="CR21" i="2"/>
  <c r="BP21" i="2"/>
  <c r="AN21" i="2"/>
  <c r="H21" i="2"/>
  <c r="AW15" i="2"/>
  <c r="AX14" i="2"/>
  <c r="BQ14" i="2"/>
  <c r="AB27" i="2"/>
  <c r="BA15" i="2"/>
  <c r="M15" i="2"/>
  <c r="DD30" i="2"/>
  <c r="BX30" i="2"/>
  <c r="AR30" i="2"/>
  <c r="CR30" i="2"/>
  <c r="BL30" i="2"/>
  <c r="X30" i="2"/>
  <c r="CZ30" i="2"/>
  <c r="BT30" i="2"/>
  <c r="CB30" i="2"/>
  <c r="CV30" i="2"/>
  <c r="BP30" i="2"/>
  <c r="CJ30" i="2"/>
  <c r="BD30" i="2"/>
  <c r="AJ30" i="2"/>
  <c r="P30" i="2"/>
  <c r="CF30" i="2"/>
  <c r="T30" i="2"/>
  <c r="BH30" i="2"/>
  <c r="L30" i="2"/>
  <c r="AZ30" i="2"/>
  <c r="CN30" i="2"/>
  <c r="AF30" i="2"/>
  <c r="H30" i="2"/>
  <c r="AN30" i="2"/>
  <c r="CO15" i="2"/>
  <c r="CK14" i="2"/>
  <c r="AK14" i="2"/>
  <c r="BT17" i="2"/>
  <c r="AN17" i="2"/>
  <c r="CN17" i="2"/>
  <c r="BH17" i="2"/>
  <c r="T17" i="2"/>
  <c r="CB17" i="2"/>
  <c r="BP17" i="2"/>
  <c r="BX17" i="2"/>
  <c r="AR17" i="2"/>
  <c r="CR17" i="2"/>
  <c r="BL17" i="2"/>
  <c r="X17" i="2"/>
  <c r="DD17" i="2"/>
  <c r="CZ17" i="2"/>
  <c r="AJ17" i="2"/>
  <c r="AF17" i="2"/>
  <c r="BD17" i="2"/>
  <c r="AZ17" i="2"/>
  <c r="CJ17" i="2"/>
  <c r="P17" i="2"/>
  <c r="CF17" i="2"/>
  <c r="L17" i="2"/>
  <c r="H17" i="2"/>
  <c r="CV17" i="2"/>
  <c r="AS15" i="2"/>
  <c r="CC15" i="2"/>
  <c r="I12" i="2"/>
  <c r="AO14" i="2"/>
  <c r="U14" i="2"/>
  <c r="CW13" i="2"/>
  <c r="BM14" i="2"/>
  <c r="Q14" i="2"/>
  <c r="BE14" i="2"/>
  <c r="AC11" i="2"/>
  <c r="BI14" i="2"/>
  <c r="AB26" i="2"/>
  <c r="DA12" i="2"/>
  <c r="AG15" i="2"/>
  <c r="BT10" i="2"/>
  <c r="AN10" i="2"/>
  <c r="CB10" i="2"/>
  <c r="CN10" i="2"/>
  <c r="BH10" i="2"/>
  <c r="T10" i="2"/>
  <c r="DD10" i="2"/>
  <c r="BP10" i="2"/>
  <c r="CV10" i="2"/>
  <c r="CJ10" i="2"/>
  <c r="BD10" i="2"/>
  <c r="AJ10" i="2"/>
  <c r="P10" i="2"/>
  <c r="BX10" i="2"/>
  <c r="DH10" i="2"/>
  <c r="CF10" i="2"/>
  <c r="AZ10" i="2"/>
  <c r="AF10" i="2"/>
  <c r="AR10" i="2"/>
  <c r="H10" i="2"/>
  <c r="CR10" i="2"/>
  <c r="BL10" i="2"/>
  <c r="X10" i="2"/>
  <c r="L10" i="2"/>
  <c r="CZ10" i="2"/>
  <c r="BY14" i="2"/>
  <c r="AB42" i="2" l="1"/>
  <c r="L42" i="2"/>
  <c r="P42" i="2"/>
  <c r="X42" i="2"/>
  <c r="T42" i="2"/>
  <c r="H42" i="2"/>
  <c r="CD10" i="2"/>
  <c r="BF10" i="2"/>
  <c r="R10" i="2"/>
  <c r="AH10" i="2"/>
  <c r="AL10" i="2"/>
  <c r="BB10" i="2"/>
  <c r="CL10" i="2"/>
  <c r="CH10" i="2"/>
  <c r="N10" i="2"/>
  <c r="CP10" i="2"/>
  <c r="BJ10" i="2"/>
  <c r="V10" i="2"/>
  <c r="BV10" i="2"/>
  <c r="Z10" i="2"/>
  <c r="BZ10" i="2"/>
  <c r="BN10" i="2"/>
  <c r="DF10" i="2"/>
  <c r="CT10" i="2"/>
  <c r="DH11" i="2"/>
  <c r="AD11" i="2" s="1"/>
  <c r="AT10" i="2"/>
  <c r="AP10" i="2"/>
  <c r="BR10" i="2"/>
  <c r="CX10" i="2"/>
  <c r="J10" i="2"/>
  <c r="DB10" i="2"/>
  <c r="AG16" i="2"/>
  <c r="AS16" i="2"/>
  <c r="BU15" i="2"/>
  <c r="Q15" i="2"/>
  <c r="CG15" i="2"/>
  <c r="CS15" i="2"/>
  <c r="BY15" i="2"/>
  <c r="AW16" i="2"/>
  <c r="AX15" i="2"/>
  <c r="BI15" i="2"/>
  <c r="BM15" i="2"/>
  <c r="I13" i="2"/>
  <c r="AK15" i="2"/>
  <c r="M16" i="2"/>
  <c r="AC12" i="2"/>
  <c r="CW14" i="2"/>
  <c r="DE14" i="2"/>
  <c r="AD10" i="2"/>
  <c r="CC16" i="2"/>
  <c r="CK15" i="2"/>
  <c r="BA16" i="2"/>
  <c r="CO16" i="2"/>
  <c r="CJ42" i="2"/>
  <c r="BT42" i="2"/>
  <c r="BD42" i="2"/>
  <c r="G45" i="2"/>
  <c r="G46" i="2" s="1"/>
  <c r="DH42" i="2"/>
  <c r="BX42" i="2"/>
  <c r="AR42" i="2"/>
  <c r="CN42" i="2"/>
  <c r="BH42" i="2"/>
  <c r="CF42" i="2"/>
  <c r="BL42" i="2"/>
  <c r="AV42" i="2"/>
  <c r="CR42" i="2"/>
  <c r="AZ42" i="2"/>
  <c r="BP42" i="2"/>
  <c r="CZ42" i="2"/>
  <c r="CB42" i="2"/>
  <c r="DD42" i="2"/>
  <c r="AF42" i="2"/>
  <c r="AJ42" i="2"/>
  <c r="CV42" i="2"/>
  <c r="AN42" i="2"/>
  <c r="Y15" i="2"/>
  <c r="BE15" i="2"/>
  <c r="U15" i="2"/>
  <c r="DA13" i="2"/>
  <c r="AO15" i="2"/>
  <c r="BQ15" i="2"/>
  <c r="BE16" i="2" l="1"/>
  <c r="CK16" i="2"/>
  <c r="BQ16" i="2"/>
  <c r="I14" i="2"/>
  <c r="BY16" i="2"/>
  <c r="AW17" i="2"/>
  <c r="AX16" i="2"/>
  <c r="AC13" i="2"/>
  <c r="BU16" i="2"/>
  <c r="CW15" i="2"/>
  <c r="AO16" i="2"/>
  <c r="Y16" i="2"/>
  <c r="CC17" i="2"/>
  <c r="AS17" i="2"/>
  <c r="DA14" i="2"/>
  <c r="CO17" i="2"/>
  <c r="M17" i="2"/>
  <c r="BI16" i="2"/>
  <c r="AL11" i="2"/>
  <c r="R11" i="2"/>
  <c r="V11" i="2"/>
  <c r="BN11" i="2"/>
  <c r="Z11" i="2"/>
  <c r="AH11" i="2"/>
  <c r="BF11" i="2"/>
  <c r="BJ11" i="2"/>
  <c r="BV11" i="2"/>
  <c r="AT11" i="2"/>
  <c r="CT11" i="2"/>
  <c r="AP11" i="2"/>
  <c r="BB11" i="2"/>
  <c r="N11" i="2"/>
  <c r="CH11" i="2"/>
  <c r="CL11" i="2"/>
  <c r="BZ11" i="2"/>
  <c r="CD11" i="2"/>
  <c r="CP11" i="2"/>
  <c r="BR11" i="2"/>
  <c r="CX11" i="2"/>
  <c r="DH12" i="2"/>
  <c r="AD12" i="2" s="1"/>
  <c r="DF11" i="2"/>
  <c r="DB11" i="2"/>
  <c r="J11" i="2"/>
  <c r="BM16" i="2"/>
  <c r="U16" i="2"/>
  <c r="DE15" i="2"/>
  <c r="CG16" i="2"/>
  <c r="AG17" i="2"/>
  <c r="CS16" i="2"/>
  <c r="BA17" i="2"/>
  <c r="AK16" i="2"/>
  <c r="Q16" i="2"/>
  <c r="BE17" i="2" l="1"/>
  <c r="U17" i="2"/>
  <c r="Q17" i="2"/>
  <c r="BM17" i="2"/>
  <c r="CO18" i="2"/>
  <c r="CC18" i="2"/>
  <c r="BU17" i="2"/>
  <c r="I15" i="2"/>
  <c r="M18" i="2"/>
  <c r="BY17" i="2"/>
  <c r="AG18" i="2"/>
  <c r="DA15" i="2"/>
  <c r="Y17" i="2"/>
  <c r="AC14" i="2"/>
  <c r="BQ17" i="2"/>
  <c r="AK17" i="2"/>
  <c r="AS18" i="2"/>
  <c r="AO17" i="2"/>
  <c r="BA18" i="2"/>
  <c r="DE16" i="2"/>
  <c r="CP12" i="2"/>
  <c r="AT12" i="2"/>
  <c r="CD12" i="2"/>
  <c r="BB12" i="2"/>
  <c r="DH13" i="2"/>
  <c r="AH12" i="2"/>
  <c r="N12" i="2"/>
  <c r="CT12" i="2"/>
  <c r="Z12" i="2"/>
  <c r="BF12" i="2"/>
  <c r="V12" i="2"/>
  <c r="AP12" i="2"/>
  <c r="R12" i="2"/>
  <c r="BN12" i="2"/>
  <c r="AL12" i="2"/>
  <c r="CL12" i="2"/>
  <c r="BV12" i="2"/>
  <c r="BR12" i="2"/>
  <c r="CH12" i="2"/>
  <c r="BZ12" i="2"/>
  <c r="BJ12" i="2"/>
  <c r="CX12" i="2"/>
  <c r="DF12" i="2"/>
  <c r="DB12" i="2"/>
  <c r="J12" i="2"/>
  <c r="BI17" i="2"/>
  <c r="AX17" i="2"/>
  <c r="AW18" i="2"/>
  <c r="CK17" i="2"/>
  <c r="CG17" i="2"/>
  <c r="CS17" i="2"/>
  <c r="CW16" i="2"/>
  <c r="I16" i="2" l="1"/>
  <c r="DE17" i="2"/>
  <c r="AK18" i="2"/>
  <c r="DA16" i="2"/>
  <c r="BM18" i="2"/>
  <c r="CG18" i="2"/>
  <c r="CO19" i="2"/>
  <c r="CK18" i="2"/>
  <c r="AX18" i="2"/>
  <c r="AW19" i="2"/>
  <c r="DH14" i="2"/>
  <c r="AD14" i="2" s="1"/>
  <c r="CD13" i="2"/>
  <c r="N13" i="2"/>
  <c r="BB13" i="2"/>
  <c r="AT13" i="2"/>
  <c r="CP13" i="2"/>
  <c r="AH13" i="2"/>
  <c r="R13" i="2"/>
  <c r="BR13" i="2"/>
  <c r="BF13" i="2"/>
  <c r="V13" i="2"/>
  <c r="Z13" i="2"/>
  <c r="BV13" i="2"/>
  <c r="CL13" i="2"/>
  <c r="CH13" i="2"/>
  <c r="BN13" i="2"/>
  <c r="AL13" i="2"/>
  <c r="BJ13" i="2"/>
  <c r="CT13" i="2"/>
  <c r="AP13" i="2"/>
  <c r="BZ13" i="2"/>
  <c r="CX13" i="2"/>
  <c r="DF13" i="2"/>
  <c r="DB13" i="2"/>
  <c r="J13" i="2"/>
  <c r="AG19" i="2"/>
  <c r="BU18" i="2"/>
  <c r="BE18" i="2"/>
  <c r="CW17" i="2"/>
  <c r="BA19" i="2"/>
  <c r="BQ18" i="2"/>
  <c r="Q18" i="2"/>
  <c r="Y18" i="2"/>
  <c r="CC19" i="2"/>
  <c r="CS18" i="2"/>
  <c r="AD13" i="2"/>
  <c r="U18" i="2"/>
  <c r="AS19" i="2"/>
  <c r="AO18" i="2"/>
  <c r="AC15" i="2"/>
  <c r="BY18" i="2"/>
  <c r="BI18" i="2"/>
  <c r="M19" i="2"/>
  <c r="CC20" i="2" l="1"/>
  <c r="CK19" i="2"/>
  <c r="DA17" i="2"/>
  <c r="CO20" i="2"/>
  <c r="AK19" i="2"/>
  <c r="AS20" i="2"/>
  <c r="BI19" i="2"/>
  <c r="Y19" i="2"/>
  <c r="AG20" i="2"/>
  <c r="BY19" i="2"/>
  <c r="U19" i="2"/>
  <c r="CW18" i="2"/>
  <c r="DH15" i="2"/>
  <c r="AD15" i="2" s="1"/>
  <c r="CP14" i="2"/>
  <c r="AT14" i="2"/>
  <c r="AH14" i="2"/>
  <c r="BB14" i="2"/>
  <c r="CD14" i="2"/>
  <c r="N14" i="2"/>
  <c r="V14" i="2"/>
  <c r="BJ14" i="2"/>
  <c r="CH14" i="2"/>
  <c r="CT14" i="2"/>
  <c r="BN14" i="2"/>
  <c r="R14" i="2"/>
  <c r="BR14" i="2"/>
  <c r="BZ14" i="2"/>
  <c r="Z14" i="2"/>
  <c r="AP14" i="2"/>
  <c r="BV14" i="2"/>
  <c r="CL14" i="2"/>
  <c r="BF14" i="2"/>
  <c r="AL14" i="2"/>
  <c r="DF14" i="2"/>
  <c r="CX14" i="2"/>
  <c r="DB14" i="2"/>
  <c r="J14" i="2"/>
  <c r="AC16" i="2"/>
  <c r="CG19" i="2"/>
  <c r="DE18" i="2"/>
  <c r="AO19" i="2"/>
  <c r="BU19" i="2"/>
  <c r="Q19" i="2"/>
  <c r="BQ19" i="2"/>
  <c r="BE19" i="2"/>
  <c r="AW20" i="2"/>
  <c r="AX19" i="2"/>
  <c r="M20" i="2"/>
  <c r="BA20" i="2"/>
  <c r="CS19" i="2"/>
  <c r="BM19" i="2"/>
  <c r="I17" i="2"/>
  <c r="CG20" i="2" l="1"/>
  <c r="U20" i="2"/>
  <c r="BU20" i="2"/>
  <c r="BY20" i="2"/>
  <c r="M21" i="2"/>
  <c r="AC17" i="2"/>
  <c r="AW21" i="2"/>
  <c r="AX20" i="2"/>
  <c r="AS21" i="2"/>
  <c r="DA18" i="2"/>
  <c r="I18" i="2"/>
  <c r="BI20" i="2"/>
  <c r="BM20" i="2"/>
  <c r="CS20" i="2"/>
  <c r="BE20" i="2"/>
  <c r="AO20" i="2"/>
  <c r="DH16" i="2"/>
  <c r="AD16" i="2" s="1"/>
  <c r="N15" i="2"/>
  <c r="BB15" i="2"/>
  <c r="AH15" i="2"/>
  <c r="CP15" i="2"/>
  <c r="AT15" i="2"/>
  <c r="CD15" i="2"/>
  <c r="BF15" i="2"/>
  <c r="BZ15" i="2"/>
  <c r="V15" i="2"/>
  <c r="BJ15" i="2"/>
  <c r="AP15" i="2"/>
  <c r="BR15" i="2"/>
  <c r="CL15" i="2"/>
  <c r="Z15" i="2"/>
  <c r="CH15" i="2"/>
  <c r="AL15" i="2"/>
  <c r="BV15" i="2"/>
  <c r="BN15" i="2"/>
  <c r="R15" i="2"/>
  <c r="CT15" i="2"/>
  <c r="DF15" i="2"/>
  <c r="CX15" i="2"/>
  <c r="J15" i="2"/>
  <c r="DB15" i="2"/>
  <c r="AK20" i="2"/>
  <c r="CK20" i="2"/>
  <c r="AG21" i="2"/>
  <c r="Q20" i="2"/>
  <c r="BA21" i="2"/>
  <c r="BQ20" i="2"/>
  <c r="DE19" i="2"/>
  <c r="Y20" i="2"/>
  <c r="CO21" i="2"/>
  <c r="CW19" i="2"/>
  <c r="CC21" i="2"/>
  <c r="DE20" i="2" l="1"/>
  <c r="AG22" i="2"/>
  <c r="AO21" i="2"/>
  <c r="BI21" i="2"/>
  <c r="AX21" i="2"/>
  <c r="AW22" i="2"/>
  <c r="BU21" i="2"/>
  <c r="I19" i="2"/>
  <c r="AC18" i="2"/>
  <c r="CC22" i="2"/>
  <c r="CW20" i="2"/>
  <c r="BQ21" i="2"/>
  <c r="CK21" i="2"/>
  <c r="BE21" i="2"/>
  <c r="CS21" i="2"/>
  <c r="AK21" i="2"/>
  <c r="CO22" i="2"/>
  <c r="M22" i="2"/>
  <c r="DH17" i="2"/>
  <c r="AD17" i="2" s="1"/>
  <c r="N16" i="2"/>
  <c r="BB16" i="2"/>
  <c r="AT16" i="2"/>
  <c r="CD16" i="2"/>
  <c r="CP16" i="2"/>
  <c r="AH16" i="2"/>
  <c r="BF16" i="2"/>
  <c r="Z16" i="2"/>
  <c r="CH16" i="2"/>
  <c r="AP16" i="2"/>
  <c r="V16" i="2"/>
  <c r="BJ16" i="2"/>
  <c r="BZ16" i="2"/>
  <c r="CT16" i="2"/>
  <c r="BV16" i="2"/>
  <c r="BN16" i="2"/>
  <c r="AL16" i="2"/>
  <c r="R16" i="2"/>
  <c r="BR16" i="2"/>
  <c r="CL16" i="2"/>
  <c r="CX16" i="2"/>
  <c r="DF16" i="2"/>
  <c r="J16" i="2"/>
  <c r="DB16" i="2"/>
  <c r="BM21" i="2"/>
  <c r="AS22" i="2"/>
  <c r="BY21" i="2"/>
  <c r="BA22" i="2"/>
  <c r="DA19" i="2"/>
  <c r="U21" i="2"/>
  <c r="Y21" i="2"/>
  <c r="Q21" i="2"/>
  <c r="CG21" i="2"/>
  <c r="U22" i="2" l="1"/>
  <c r="AC19" i="2"/>
  <c r="Q22" i="2"/>
  <c r="BA23" i="2"/>
  <c r="DH18" i="2"/>
  <c r="AD18" i="2" s="1"/>
  <c r="CP17" i="2"/>
  <c r="AT17" i="2"/>
  <c r="CD17" i="2"/>
  <c r="AH17" i="2"/>
  <c r="BB17" i="2"/>
  <c r="N17" i="2"/>
  <c r="BF17" i="2"/>
  <c r="BR17" i="2"/>
  <c r="AP17" i="2"/>
  <c r="BN17" i="2"/>
  <c r="CT17" i="2"/>
  <c r="BV17" i="2"/>
  <c r="CH17" i="2"/>
  <c r="R17" i="2"/>
  <c r="Z17" i="2"/>
  <c r="AL17" i="2"/>
  <c r="V17" i="2"/>
  <c r="BZ17" i="2"/>
  <c r="CL17" i="2"/>
  <c r="BJ17" i="2"/>
  <c r="DF17" i="2"/>
  <c r="CX17" i="2"/>
  <c r="DB17" i="2"/>
  <c r="J17" i="2"/>
  <c r="AO22" i="2"/>
  <c r="CG22" i="2"/>
  <c r="AK22" i="2"/>
  <c r="CS22" i="2"/>
  <c r="CW21" i="2"/>
  <c r="I20" i="2"/>
  <c r="AG23" i="2"/>
  <c r="BQ22" i="2"/>
  <c r="DA20" i="2"/>
  <c r="Y22" i="2"/>
  <c r="BE22" i="2"/>
  <c r="CC23" i="2"/>
  <c r="BU22" i="2"/>
  <c r="BI22" i="2"/>
  <c r="BM22" i="2"/>
  <c r="BY22" i="2"/>
  <c r="M23" i="2"/>
  <c r="CK22" i="2"/>
  <c r="AW23" i="2"/>
  <c r="AX22" i="2"/>
  <c r="AS23" i="2"/>
  <c r="CO23" i="2"/>
  <c r="DE21" i="2"/>
  <c r="AS24" i="2" l="1"/>
  <c r="BM23" i="2"/>
  <c r="BE23" i="2"/>
  <c r="AK23" i="2"/>
  <c r="BA24" i="2"/>
  <c r="DE22" i="2"/>
  <c r="AG24" i="2"/>
  <c r="CO24" i="2"/>
  <c r="BI23" i="2"/>
  <c r="Y23" i="2"/>
  <c r="CG23" i="2"/>
  <c r="I21" i="2"/>
  <c r="Q23" i="2"/>
  <c r="AO23" i="2"/>
  <c r="AC20" i="2"/>
  <c r="CK23" i="2"/>
  <c r="M24" i="2"/>
  <c r="DA21" i="2"/>
  <c r="BQ23" i="2"/>
  <c r="DH19" i="2"/>
  <c r="AD19" i="2" s="1"/>
  <c r="N18" i="2"/>
  <c r="BB18" i="2"/>
  <c r="CD18" i="2"/>
  <c r="CP18" i="2"/>
  <c r="AT18" i="2"/>
  <c r="AH18" i="2"/>
  <c r="Z18" i="2"/>
  <c r="BR18" i="2"/>
  <c r="AP18" i="2"/>
  <c r="CT18" i="2"/>
  <c r="CL18" i="2"/>
  <c r="AL18" i="2"/>
  <c r="BF18" i="2"/>
  <c r="CH18" i="2"/>
  <c r="BZ18" i="2"/>
  <c r="BV18" i="2"/>
  <c r="BN18" i="2"/>
  <c r="BJ18" i="2"/>
  <c r="R18" i="2"/>
  <c r="V18" i="2"/>
  <c r="CX18" i="2"/>
  <c r="DF18" i="2"/>
  <c r="DB18" i="2"/>
  <c r="J18" i="2"/>
  <c r="CW22" i="2"/>
  <c r="BU23" i="2"/>
  <c r="AW24" i="2"/>
  <c r="AX23" i="2"/>
  <c r="BY23" i="2"/>
  <c r="CC24" i="2"/>
  <c r="CS23" i="2"/>
  <c r="U23" i="2"/>
  <c r="AC21" i="2" l="1"/>
  <c r="AG25" i="2"/>
  <c r="BQ24" i="2"/>
  <c r="CG24" i="2"/>
  <c r="BE24" i="2"/>
  <c r="U24" i="2"/>
  <c r="AO24" i="2"/>
  <c r="AW25" i="2"/>
  <c r="AX24" i="2"/>
  <c r="CS24" i="2"/>
  <c r="BU24" i="2"/>
  <c r="DA22" i="2"/>
  <c r="Y24" i="2"/>
  <c r="DE23" i="2"/>
  <c r="BI24" i="2"/>
  <c r="BA25" i="2"/>
  <c r="CC25" i="2"/>
  <c r="CW23" i="2"/>
  <c r="Q24" i="2"/>
  <c r="BM24" i="2"/>
  <c r="BY24" i="2"/>
  <c r="DH20" i="2"/>
  <c r="CP19" i="2"/>
  <c r="BB19" i="2"/>
  <c r="CD19" i="2"/>
  <c r="AH19" i="2"/>
  <c r="AT19" i="2"/>
  <c r="N19" i="2"/>
  <c r="BZ19" i="2"/>
  <c r="BN19" i="2"/>
  <c r="R19" i="2"/>
  <c r="AL19" i="2"/>
  <c r="CH19" i="2"/>
  <c r="Z19" i="2"/>
  <c r="CT19" i="2"/>
  <c r="V19" i="2"/>
  <c r="BF19" i="2"/>
  <c r="CL19" i="2"/>
  <c r="BR19" i="2"/>
  <c r="AP19" i="2"/>
  <c r="BV19" i="2"/>
  <c r="BJ19" i="2"/>
  <c r="DF19" i="2"/>
  <c r="CX19" i="2"/>
  <c r="DB19" i="2"/>
  <c r="J19" i="2"/>
  <c r="CK24" i="2"/>
  <c r="I22" i="2"/>
  <c r="M25" i="2"/>
  <c r="CO25" i="2"/>
  <c r="AK24" i="2"/>
  <c r="AS25" i="2"/>
  <c r="AS26" i="2" l="1"/>
  <c r="CG25" i="2"/>
  <c r="BM25" i="2"/>
  <c r="BA26" i="2"/>
  <c r="Y25" i="2"/>
  <c r="AW26" i="2"/>
  <c r="AX25" i="2"/>
  <c r="DA23" i="2"/>
  <c r="AO25" i="2"/>
  <c r="BQ25" i="2"/>
  <c r="I23" i="2"/>
  <c r="AK25" i="2"/>
  <c r="CK25" i="2"/>
  <c r="Q25" i="2"/>
  <c r="BI25" i="2"/>
  <c r="DH21" i="2"/>
  <c r="AD21" i="2" s="1"/>
  <c r="AT20" i="2"/>
  <c r="CP20" i="2"/>
  <c r="BB20" i="2"/>
  <c r="N20" i="2"/>
  <c r="AH20" i="2"/>
  <c r="CD20" i="2"/>
  <c r="CL20" i="2"/>
  <c r="V20" i="2"/>
  <c r="BV20" i="2"/>
  <c r="BZ20" i="2"/>
  <c r="BF20" i="2"/>
  <c r="CH20" i="2"/>
  <c r="Z20" i="2"/>
  <c r="AL20" i="2"/>
  <c r="AP20" i="2"/>
  <c r="R20" i="2"/>
  <c r="BJ20" i="2"/>
  <c r="BR20" i="2"/>
  <c r="BN20" i="2"/>
  <c r="CT20" i="2"/>
  <c r="CX20" i="2"/>
  <c r="DF20" i="2"/>
  <c r="J20" i="2"/>
  <c r="DB20" i="2"/>
  <c r="AG26" i="2"/>
  <c r="U25" i="2"/>
  <c r="AC22" i="2"/>
  <c r="CW24" i="2"/>
  <c r="CO26" i="2"/>
  <c r="BU25" i="2"/>
  <c r="M26" i="2"/>
  <c r="BY25" i="2"/>
  <c r="CC26" i="2"/>
  <c r="DE24" i="2"/>
  <c r="CS25" i="2"/>
  <c r="BE25" i="2"/>
  <c r="AD20" i="2"/>
  <c r="BE26" i="2" l="1"/>
  <c r="BY26" i="2"/>
  <c r="CW25" i="2"/>
  <c r="AG27" i="2"/>
  <c r="BA27" i="2"/>
  <c r="CK26" i="2"/>
  <c r="AC23" i="2"/>
  <c r="DH22" i="2"/>
  <c r="CP21" i="2"/>
  <c r="AT21" i="2"/>
  <c r="AH21" i="2"/>
  <c r="N21" i="2"/>
  <c r="CD21" i="2"/>
  <c r="BB21" i="2"/>
  <c r="BR21" i="2"/>
  <c r="V21" i="2"/>
  <c r="CT21" i="2"/>
  <c r="BZ21" i="2"/>
  <c r="AP21" i="2"/>
  <c r="BV21" i="2"/>
  <c r="CH21" i="2"/>
  <c r="Z21" i="2"/>
  <c r="BJ21" i="2"/>
  <c r="R21" i="2"/>
  <c r="CL21" i="2"/>
  <c r="BN21" i="2"/>
  <c r="AL21" i="2"/>
  <c r="BF21" i="2"/>
  <c r="CX21" i="2"/>
  <c r="DF21" i="2"/>
  <c r="DB21" i="2"/>
  <c r="J21" i="2"/>
  <c r="AO26" i="2"/>
  <c r="CS26" i="2"/>
  <c r="M27" i="2"/>
  <c r="AK26" i="2"/>
  <c r="DA24" i="2"/>
  <c r="BM26" i="2"/>
  <c r="U26" i="2"/>
  <c r="BI26" i="2"/>
  <c r="I24" i="2"/>
  <c r="DE25" i="2"/>
  <c r="AW27" i="2"/>
  <c r="AX26" i="2"/>
  <c r="CG26" i="2"/>
  <c r="CO27" i="2"/>
  <c r="Q26" i="2"/>
  <c r="BU26" i="2"/>
  <c r="CC27" i="2"/>
  <c r="BQ26" i="2"/>
  <c r="Y26" i="2"/>
  <c r="AS27" i="2"/>
  <c r="CG27" i="2" l="1"/>
  <c r="AK27" i="2"/>
  <c r="DH23" i="2"/>
  <c r="AD23" i="2" s="1"/>
  <c r="AT22" i="2"/>
  <c r="N22" i="2"/>
  <c r="CD22" i="2"/>
  <c r="CP22" i="2"/>
  <c r="BB22" i="2"/>
  <c r="AH22" i="2"/>
  <c r="CL22" i="2"/>
  <c r="BZ22" i="2"/>
  <c r="AL22" i="2"/>
  <c r="BV22" i="2"/>
  <c r="BJ22" i="2"/>
  <c r="BN22" i="2"/>
  <c r="R22" i="2"/>
  <c r="AP22" i="2"/>
  <c r="Z22" i="2"/>
  <c r="CT22" i="2"/>
  <c r="V22" i="2"/>
  <c r="BF22" i="2"/>
  <c r="CH22" i="2"/>
  <c r="BR22" i="2"/>
  <c r="CX22" i="2"/>
  <c r="DF22" i="2"/>
  <c r="J22" i="2"/>
  <c r="DB22" i="2"/>
  <c r="AG28" i="2"/>
  <c r="BI27" i="2"/>
  <c r="M28" i="2"/>
  <c r="AC24" i="2"/>
  <c r="CW26" i="2"/>
  <c r="Q27" i="2"/>
  <c r="Y27" i="2"/>
  <c r="AX27" i="2"/>
  <c r="AW28" i="2"/>
  <c r="U27" i="2"/>
  <c r="AD22" i="2"/>
  <c r="BQ27" i="2"/>
  <c r="BM27" i="2"/>
  <c r="BU27" i="2"/>
  <c r="CS27" i="2"/>
  <c r="BY27" i="2"/>
  <c r="CO28" i="2"/>
  <c r="DA25" i="2"/>
  <c r="AO27" i="2"/>
  <c r="BA28" i="2"/>
  <c r="AS28" i="2"/>
  <c r="DE26" i="2"/>
  <c r="CK27" i="2"/>
  <c r="CC28" i="2"/>
  <c r="I25" i="2"/>
  <c r="BE27" i="2"/>
  <c r="DE27" i="2" l="1"/>
  <c r="DA26" i="2"/>
  <c r="U28" i="2"/>
  <c r="CW27" i="2"/>
  <c r="I26" i="2"/>
  <c r="AS29" i="2"/>
  <c r="BU28" i="2"/>
  <c r="AX28" i="2"/>
  <c r="AW29" i="2"/>
  <c r="DH24" i="2"/>
  <c r="AD24" i="2" s="1"/>
  <c r="AT23" i="2"/>
  <c r="CP23" i="2"/>
  <c r="CD23" i="2"/>
  <c r="BB23" i="2"/>
  <c r="N23" i="2"/>
  <c r="AH23" i="2"/>
  <c r="V23" i="2"/>
  <c r="BF23" i="2"/>
  <c r="CT23" i="2"/>
  <c r="BZ23" i="2"/>
  <c r="BV23" i="2"/>
  <c r="BR23" i="2"/>
  <c r="AP23" i="2"/>
  <c r="AL23" i="2"/>
  <c r="BJ23" i="2"/>
  <c r="R23" i="2"/>
  <c r="CL23" i="2"/>
  <c r="CH23" i="2"/>
  <c r="Z23" i="2"/>
  <c r="BN23" i="2"/>
  <c r="DF23" i="2"/>
  <c r="CX23" i="2"/>
  <c r="DB23" i="2"/>
  <c r="J23" i="2"/>
  <c r="BY28" i="2"/>
  <c r="AC25" i="2"/>
  <c r="BA29" i="2"/>
  <c r="BM28" i="2"/>
  <c r="BE28" i="2"/>
  <c r="AG29" i="2"/>
  <c r="CC29" i="2"/>
  <c r="Y28" i="2"/>
  <c r="M29" i="2"/>
  <c r="CK28" i="2"/>
  <c r="CS28" i="2"/>
  <c r="BI28" i="2"/>
  <c r="CG28" i="2"/>
  <c r="CO29" i="2"/>
  <c r="AO28" i="2"/>
  <c r="BQ28" i="2"/>
  <c r="AK28" i="2"/>
  <c r="Q28" i="2"/>
  <c r="CC30" i="2" l="1"/>
  <c r="Q29" i="2"/>
  <c r="AC26" i="2"/>
  <c r="BU29" i="2"/>
  <c r="CK29" i="2"/>
  <c r="U29" i="2"/>
  <c r="AO29" i="2"/>
  <c r="DA27" i="2"/>
  <c r="CS29" i="2"/>
  <c r="AG30" i="2"/>
  <c r="AK29" i="2"/>
  <c r="CG29" i="2"/>
  <c r="M30" i="2"/>
  <c r="BE29" i="2"/>
  <c r="BY29" i="2"/>
  <c r="AS30" i="2"/>
  <c r="AX29" i="2"/>
  <c r="AW30" i="2"/>
  <c r="Y29" i="2"/>
  <c r="DH25" i="2"/>
  <c r="AH24" i="2"/>
  <c r="CP24" i="2"/>
  <c r="CD24" i="2"/>
  <c r="N24" i="2"/>
  <c r="AT24" i="2"/>
  <c r="BB24" i="2"/>
  <c r="R24" i="2"/>
  <c r="Z24" i="2"/>
  <c r="BR24" i="2"/>
  <c r="BJ24" i="2"/>
  <c r="V24" i="2"/>
  <c r="CH24" i="2"/>
  <c r="BV24" i="2"/>
  <c r="BZ24" i="2"/>
  <c r="CT24" i="2"/>
  <c r="BN24" i="2"/>
  <c r="AL24" i="2"/>
  <c r="AP24" i="2"/>
  <c r="CL24" i="2"/>
  <c r="BF24" i="2"/>
  <c r="DF24" i="2"/>
  <c r="CX24" i="2"/>
  <c r="DB24" i="2"/>
  <c r="J24" i="2"/>
  <c r="CW28" i="2"/>
  <c r="BA30" i="2"/>
  <c r="CO30" i="2"/>
  <c r="BQ29" i="2"/>
  <c r="BI29" i="2"/>
  <c r="BM29" i="2"/>
  <c r="I27" i="2"/>
  <c r="DE28" i="2"/>
  <c r="AS31" i="2" l="1"/>
  <c r="CG30" i="2"/>
  <c r="DH26" i="2"/>
  <c r="CP25" i="2"/>
  <c r="AH25" i="2"/>
  <c r="AT25" i="2"/>
  <c r="CD25" i="2"/>
  <c r="N25" i="2"/>
  <c r="BB25" i="2"/>
  <c r="AP25" i="2"/>
  <c r="BF25" i="2"/>
  <c r="BR25" i="2"/>
  <c r="AL25" i="2"/>
  <c r="BZ25" i="2"/>
  <c r="CL25" i="2"/>
  <c r="CT25" i="2"/>
  <c r="BN25" i="2"/>
  <c r="Z25" i="2"/>
  <c r="R25" i="2"/>
  <c r="V25" i="2"/>
  <c r="CH25" i="2"/>
  <c r="BJ25" i="2"/>
  <c r="BV25" i="2"/>
  <c r="DF25" i="2"/>
  <c r="CX25" i="2"/>
  <c r="J25" i="2"/>
  <c r="DB25" i="2"/>
  <c r="AK30" i="2"/>
  <c r="AO30" i="2"/>
  <c r="AC27" i="2"/>
  <c r="BQ30" i="2"/>
  <c r="BY30" i="2"/>
  <c r="AD25" i="2"/>
  <c r="Y30" i="2"/>
  <c r="BE30" i="2"/>
  <c r="Q30" i="2"/>
  <c r="BU30" i="2"/>
  <c r="BM30" i="2"/>
  <c r="AG31" i="2"/>
  <c r="U30" i="2"/>
  <c r="CW29" i="2"/>
  <c r="DA28" i="2"/>
  <c r="I28" i="2"/>
  <c r="AX30" i="2"/>
  <c r="AW31" i="2"/>
  <c r="CS30" i="2"/>
  <c r="CK30" i="2"/>
  <c r="CC31" i="2"/>
  <c r="DE29" i="2"/>
  <c r="CO31" i="2"/>
  <c r="BI30" i="2"/>
  <c r="BA31" i="2"/>
  <c r="M31" i="2"/>
  <c r="AG32" i="2" l="1"/>
  <c r="BY31" i="2"/>
  <c r="AK31" i="2"/>
  <c r="Q31" i="2"/>
  <c r="DH27" i="2"/>
  <c r="AD27" i="2" s="1"/>
  <c r="BB26" i="2"/>
  <c r="CP26" i="2"/>
  <c r="CD26" i="2"/>
  <c r="N26" i="2"/>
  <c r="AH26" i="2"/>
  <c r="AT26" i="2"/>
  <c r="CH26" i="2"/>
  <c r="BJ26" i="2"/>
  <c r="BF26" i="2"/>
  <c r="V26" i="2"/>
  <c r="R26" i="2"/>
  <c r="BR26" i="2"/>
  <c r="AP26" i="2"/>
  <c r="CT26" i="2"/>
  <c r="CL26" i="2"/>
  <c r="AL26" i="2"/>
  <c r="Z26" i="2"/>
  <c r="BZ26" i="2"/>
  <c r="BN26" i="2"/>
  <c r="BV26" i="2"/>
  <c r="DF26" i="2"/>
  <c r="CX26" i="2"/>
  <c r="J26" i="2"/>
  <c r="DB26" i="2"/>
  <c r="BA32" i="2"/>
  <c r="BQ31" i="2"/>
  <c r="BE31" i="2"/>
  <c r="AC28" i="2"/>
  <c r="U31" i="2"/>
  <c r="AD26" i="2"/>
  <c r="CG31" i="2"/>
  <c r="I29" i="2"/>
  <c r="CK31" i="2"/>
  <c r="CS31" i="2"/>
  <c r="BM31" i="2"/>
  <c r="Y31" i="2"/>
  <c r="AO31" i="2"/>
  <c r="CC32" i="2"/>
  <c r="BI31" i="2"/>
  <c r="DA29" i="2"/>
  <c r="CW30" i="2"/>
  <c r="CO32" i="2"/>
  <c r="M32" i="2"/>
  <c r="DE30" i="2"/>
  <c r="AW32" i="2"/>
  <c r="AX31" i="2"/>
  <c r="BU31" i="2"/>
  <c r="AS32" i="2"/>
  <c r="Q32" i="2" l="1"/>
  <c r="M33" i="2"/>
  <c r="CS32" i="2"/>
  <c r="AK32" i="2"/>
  <c r="BI32" i="2"/>
  <c r="BU32" i="2"/>
  <c r="AO32" i="2"/>
  <c r="U32" i="2"/>
  <c r="BQ32" i="2"/>
  <c r="AW33" i="2"/>
  <c r="AX32" i="2"/>
  <c r="CK32" i="2"/>
  <c r="CW31" i="2"/>
  <c r="I30" i="2"/>
  <c r="AC29" i="2"/>
  <c r="BA33" i="2"/>
  <c r="BY32" i="2"/>
  <c r="CC33" i="2"/>
  <c r="DE31" i="2"/>
  <c r="DA30" i="2"/>
  <c r="Y32" i="2"/>
  <c r="BE32" i="2"/>
  <c r="DH28" i="2"/>
  <c r="AT27" i="2"/>
  <c r="N27" i="2"/>
  <c r="CD27" i="2"/>
  <c r="BB27" i="2"/>
  <c r="CP27" i="2"/>
  <c r="AH27" i="2"/>
  <c r="Z27" i="2"/>
  <c r="BJ27" i="2"/>
  <c r="BR27" i="2"/>
  <c r="CH27" i="2"/>
  <c r="CL27" i="2"/>
  <c r="AP27" i="2"/>
  <c r="R27" i="2"/>
  <c r="BN27" i="2"/>
  <c r="CT27" i="2"/>
  <c r="BZ27" i="2"/>
  <c r="BF27" i="2"/>
  <c r="AL27" i="2"/>
  <c r="V27" i="2"/>
  <c r="BV27" i="2"/>
  <c r="CX27" i="2"/>
  <c r="DF27" i="2"/>
  <c r="DB27" i="2"/>
  <c r="J27" i="2"/>
  <c r="BM32" i="2"/>
  <c r="CO33" i="2"/>
  <c r="AS33" i="2"/>
  <c r="CG32" i="2"/>
  <c r="AG33" i="2"/>
  <c r="AG34" i="2" l="1"/>
  <c r="AO33" i="2"/>
  <c r="CS33" i="2"/>
  <c r="DA31" i="2"/>
  <c r="BA34" i="2"/>
  <c r="CK33" i="2"/>
  <c r="BM33" i="2"/>
  <c r="DH29" i="2"/>
  <c r="BB28" i="2"/>
  <c r="CP28" i="2"/>
  <c r="CD28" i="2"/>
  <c r="N28" i="2"/>
  <c r="AT28" i="2"/>
  <c r="AH28" i="2"/>
  <c r="CL28" i="2"/>
  <c r="CT28" i="2"/>
  <c r="BJ28" i="2"/>
  <c r="R28" i="2"/>
  <c r="BF28" i="2"/>
  <c r="Z28" i="2"/>
  <c r="BN28" i="2"/>
  <c r="BR28" i="2"/>
  <c r="V28" i="2"/>
  <c r="AP28" i="2"/>
  <c r="AL28" i="2"/>
  <c r="BZ28" i="2"/>
  <c r="CH28" i="2"/>
  <c r="BV28" i="2"/>
  <c r="CX28" i="2"/>
  <c r="DF28" i="2"/>
  <c r="J28" i="2"/>
  <c r="DB28" i="2"/>
  <c r="AC30" i="2"/>
  <c r="DE32" i="2"/>
  <c r="AD28" i="2"/>
  <c r="AW34" i="2"/>
  <c r="AX33" i="2"/>
  <c r="BU33" i="2"/>
  <c r="M34" i="2"/>
  <c r="CG33" i="2"/>
  <c r="BE33" i="2"/>
  <c r="I31" i="2"/>
  <c r="Q33" i="2"/>
  <c r="CC34" i="2"/>
  <c r="BQ33" i="2"/>
  <c r="BI33" i="2"/>
  <c r="Y33" i="2"/>
  <c r="CW32" i="2"/>
  <c r="AS34" i="2"/>
  <c r="CO34" i="2"/>
  <c r="BY33" i="2"/>
  <c r="U33" i="2"/>
  <c r="AK33" i="2"/>
  <c r="BI34" i="2" l="1"/>
  <c r="BU34" i="2"/>
  <c r="DH30" i="2"/>
  <c r="AD30" i="2" s="1"/>
  <c r="CD29" i="2"/>
  <c r="CP29" i="2"/>
  <c r="N29" i="2"/>
  <c r="BB29" i="2"/>
  <c r="AH29" i="2"/>
  <c r="AT29" i="2"/>
  <c r="AP29" i="2"/>
  <c r="V29" i="2"/>
  <c r="CT29" i="2"/>
  <c r="BV29" i="2"/>
  <c r="Z29" i="2"/>
  <c r="BN29" i="2"/>
  <c r="BJ29" i="2"/>
  <c r="BZ29" i="2"/>
  <c r="CH29" i="2"/>
  <c r="R29" i="2"/>
  <c r="BF29" i="2"/>
  <c r="CL29" i="2"/>
  <c r="BR29" i="2"/>
  <c r="AL29" i="2"/>
  <c r="CX29" i="2"/>
  <c r="DF29" i="2"/>
  <c r="J29" i="2"/>
  <c r="DB29" i="2"/>
  <c r="DA32" i="2"/>
  <c r="U34" i="2"/>
  <c r="CG34" i="2"/>
  <c r="CS34" i="2"/>
  <c r="BM34" i="2"/>
  <c r="BY34" i="2"/>
  <c r="CC35" i="2"/>
  <c r="DE33" i="2"/>
  <c r="BQ34" i="2"/>
  <c r="Y34" i="2"/>
  <c r="CK34" i="2"/>
  <c r="AO34" i="2"/>
  <c r="CO35" i="2"/>
  <c r="Q34" i="2"/>
  <c r="M35" i="2"/>
  <c r="AC31" i="2"/>
  <c r="AG35" i="2"/>
  <c r="AS35" i="2"/>
  <c r="BE34" i="2"/>
  <c r="AW35" i="2"/>
  <c r="AX34" i="2"/>
  <c r="CW33" i="2"/>
  <c r="AK34" i="2"/>
  <c r="I32" i="2"/>
  <c r="AD29" i="2"/>
  <c r="BA35" i="2"/>
  <c r="BA36" i="2" l="1"/>
  <c r="AC32" i="2"/>
  <c r="BQ35" i="2"/>
  <c r="BM35" i="2"/>
  <c r="DA33" i="2"/>
  <c r="AO35" i="2"/>
  <c r="DH31" i="2"/>
  <c r="AH30" i="2"/>
  <c r="AT30" i="2"/>
  <c r="CP30" i="2"/>
  <c r="BB30" i="2"/>
  <c r="N30" i="2"/>
  <c r="CD30" i="2"/>
  <c r="BF30" i="2"/>
  <c r="BN30" i="2"/>
  <c r="BJ30" i="2"/>
  <c r="CL30" i="2"/>
  <c r="Z30" i="2"/>
  <c r="CT30" i="2"/>
  <c r="BZ30" i="2"/>
  <c r="AP30" i="2"/>
  <c r="BV30" i="2"/>
  <c r="AL30" i="2"/>
  <c r="BR30" i="2"/>
  <c r="V30" i="2"/>
  <c r="R30" i="2"/>
  <c r="CH30" i="2"/>
  <c r="CX30" i="2"/>
  <c r="DF30" i="2"/>
  <c r="DB30" i="2"/>
  <c r="J30" i="2"/>
  <c r="M36" i="2"/>
  <c r="DE34" i="2"/>
  <c r="CS35" i="2"/>
  <c r="BU35" i="2"/>
  <c r="AK35" i="2"/>
  <c r="CK35" i="2"/>
  <c r="CG35" i="2"/>
  <c r="BE35" i="2"/>
  <c r="AS36" i="2"/>
  <c r="CC36" i="2"/>
  <c r="CW34" i="2"/>
  <c r="CO36" i="2"/>
  <c r="AW36" i="2"/>
  <c r="AX35" i="2"/>
  <c r="I33" i="2"/>
  <c r="Q35" i="2"/>
  <c r="AG36" i="2"/>
  <c r="Y35" i="2"/>
  <c r="BY35" i="2"/>
  <c r="U35" i="2"/>
  <c r="BI35" i="2"/>
  <c r="BI36" i="2" l="1"/>
  <c r="M37" i="2"/>
  <c r="M38" i="2" s="1"/>
  <c r="M39" i="2" s="1"/>
  <c r="M40" i="2" s="1"/>
  <c r="BM36" i="2"/>
  <c r="DH32" i="2"/>
  <c r="N31" i="2"/>
  <c r="AH31" i="2"/>
  <c r="BB31" i="2"/>
  <c r="CD31" i="2"/>
  <c r="CP31" i="2"/>
  <c r="AT31" i="2"/>
  <c r="Z31" i="2"/>
  <c r="AL31" i="2"/>
  <c r="V31" i="2"/>
  <c r="BZ31" i="2"/>
  <c r="CH31" i="2"/>
  <c r="BN31" i="2"/>
  <c r="R31" i="2"/>
  <c r="BF31" i="2"/>
  <c r="BJ31" i="2"/>
  <c r="BR31" i="2"/>
  <c r="BV31" i="2"/>
  <c r="CT31" i="2"/>
  <c r="AP31" i="2"/>
  <c r="CL31" i="2"/>
  <c r="DF31" i="2"/>
  <c r="CX31" i="2"/>
  <c r="J31" i="2"/>
  <c r="DB31" i="2"/>
  <c r="BE36" i="2"/>
  <c r="CG36" i="2"/>
  <c r="BQ36" i="2"/>
  <c r="U36" i="2"/>
  <c r="AO36" i="2"/>
  <c r="AC33" i="2"/>
  <c r="AG37" i="2"/>
  <c r="AG38" i="2" s="1"/>
  <c r="AG39" i="2" s="1"/>
  <c r="AG40" i="2" s="1"/>
  <c r="CW35" i="2"/>
  <c r="BY36" i="2"/>
  <c r="I34" i="2"/>
  <c r="CC37" i="2"/>
  <c r="CC38" i="2" s="1"/>
  <c r="CC39" i="2" s="1"/>
  <c r="CC40" i="2" s="1"/>
  <c r="CK36" i="2"/>
  <c r="CS36" i="2"/>
  <c r="AD31" i="2"/>
  <c r="CO37" i="2"/>
  <c r="CO38" i="2" s="1"/>
  <c r="CO39" i="2" s="1"/>
  <c r="CO40" i="2" s="1"/>
  <c r="BU36" i="2"/>
  <c r="Q36" i="2"/>
  <c r="Y36" i="2"/>
  <c r="AW37" i="2"/>
  <c r="AX36" i="2"/>
  <c r="AS37" i="2"/>
  <c r="AS38" i="2" s="1"/>
  <c r="AS39" i="2" s="1"/>
  <c r="AS40" i="2" s="1"/>
  <c r="AK36" i="2"/>
  <c r="DE35" i="2"/>
  <c r="DA34" i="2"/>
  <c r="BA37" i="2"/>
  <c r="BA38" i="2" s="1"/>
  <c r="BA39" i="2" s="1"/>
  <c r="BA40" i="2" s="1"/>
  <c r="AX37" i="2" l="1"/>
  <c r="AW38" i="2"/>
  <c r="BU37" i="2"/>
  <c r="BU38" i="2" s="1"/>
  <c r="BU39" i="2" s="1"/>
  <c r="BU40" i="2" s="1"/>
  <c r="BQ37" i="2"/>
  <c r="BQ38" i="2" s="1"/>
  <c r="BQ39" i="2" s="1"/>
  <c r="BQ40" i="2" s="1"/>
  <c r="DH33" i="2"/>
  <c r="CP32" i="2"/>
  <c r="AT32" i="2"/>
  <c r="AH32" i="2"/>
  <c r="CD32" i="2"/>
  <c r="N32" i="2"/>
  <c r="BB32" i="2"/>
  <c r="BV32" i="2"/>
  <c r="BJ32" i="2"/>
  <c r="Z32" i="2"/>
  <c r="BF32" i="2"/>
  <c r="BZ32" i="2"/>
  <c r="BR32" i="2"/>
  <c r="AL32" i="2"/>
  <c r="R32" i="2"/>
  <c r="V32" i="2"/>
  <c r="AP32" i="2"/>
  <c r="CL32" i="2"/>
  <c r="CH32" i="2"/>
  <c r="BN32" i="2"/>
  <c r="CT32" i="2"/>
  <c r="CX32" i="2"/>
  <c r="DF32" i="2"/>
  <c r="DB32" i="2"/>
  <c r="J32" i="2"/>
  <c r="AD33" i="2"/>
  <c r="AC34" i="2"/>
  <c r="I35" i="2"/>
  <c r="AD32" i="2"/>
  <c r="BM37" i="2"/>
  <c r="BM38" i="2" s="1"/>
  <c r="BM39" i="2" s="1"/>
  <c r="BM40" i="2" s="1"/>
  <c r="DA35" i="2"/>
  <c r="DE36" i="2"/>
  <c r="Y37" i="2"/>
  <c r="Y38" i="2" s="1"/>
  <c r="Y39" i="2" s="1"/>
  <c r="Y40" i="2" s="1"/>
  <c r="AO37" i="2"/>
  <c r="AO38" i="2" s="1"/>
  <c r="AO39" i="2" s="1"/>
  <c r="AO40" i="2" s="1"/>
  <c r="CS37" i="2"/>
  <c r="CS38" i="2" s="1"/>
  <c r="BY37" i="2"/>
  <c r="BY38" i="2" s="1"/>
  <c r="BY39" i="2" s="1"/>
  <c r="BY40" i="2" s="1"/>
  <c r="CG37" i="2"/>
  <c r="CG38" i="2" s="1"/>
  <c r="CG39" i="2" s="1"/>
  <c r="CG40" i="2" s="1"/>
  <c r="AK37" i="2"/>
  <c r="AK38" i="2" s="1"/>
  <c r="AK39" i="2" s="1"/>
  <c r="AK40" i="2" s="1"/>
  <c r="Q37" i="2"/>
  <c r="Q38" i="2" s="1"/>
  <c r="Q39" i="2" s="1"/>
  <c r="Q40" i="2" s="1"/>
  <c r="CK37" i="2"/>
  <c r="CK38" i="2" s="1"/>
  <c r="CK39" i="2" s="1"/>
  <c r="CK40" i="2" s="1"/>
  <c r="CW36" i="2"/>
  <c r="U37" i="2"/>
  <c r="U38" i="2" s="1"/>
  <c r="U39" i="2" s="1"/>
  <c r="U40" i="2" s="1"/>
  <c r="BE37" i="2"/>
  <c r="BE38" i="2" s="1"/>
  <c r="BE39" i="2" s="1"/>
  <c r="BE40" i="2" s="1"/>
  <c r="BI37" i="2"/>
  <c r="BI38" i="2" s="1"/>
  <c r="BI39" i="2" s="1"/>
  <c r="BI40" i="2" s="1"/>
  <c r="AW39" i="2" l="1"/>
  <c r="AX38" i="2"/>
  <c r="CS39" i="2"/>
  <c r="DH34" i="2"/>
  <c r="AH33" i="2"/>
  <c r="AT33" i="2"/>
  <c r="CP33" i="2"/>
  <c r="BB33" i="2"/>
  <c r="N33" i="2"/>
  <c r="CD33" i="2"/>
  <c r="BJ33" i="2"/>
  <c r="V33" i="2"/>
  <c r="BZ33" i="2"/>
  <c r="Z33" i="2"/>
  <c r="BV33" i="2"/>
  <c r="CH33" i="2"/>
  <c r="CL33" i="2"/>
  <c r="R33" i="2"/>
  <c r="AL33" i="2"/>
  <c r="AP33" i="2"/>
  <c r="CT33" i="2"/>
  <c r="BF33" i="2"/>
  <c r="BN33" i="2"/>
  <c r="BR33" i="2"/>
  <c r="DF33" i="2"/>
  <c r="CX33" i="2"/>
  <c r="J33" i="2"/>
  <c r="DB33" i="2"/>
  <c r="CW37" i="2"/>
  <c r="CW38" i="2" s="1"/>
  <c r="DA36" i="2"/>
  <c r="I36" i="2"/>
  <c r="DE37" i="2"/>
  <c r="DE38" i="2" s="1"/>
  <c r="DE39" i="2" s="1"/>
  <c r="DE40" i="2" s="1"/>
  <c r="AC35" i="2"/>
  <c r="AW40" i="2" l="1"/>
  <c r="AX40" i="2" s="1"/>
  <c r="AX39" i="2"/>
  <c r="CW39" i="2"/>
  <c r="CS40" i="2"/>
  <c r="DH35" i="2"/>
  <c r="AD35" i="2" s="1"/>
  <c r="CP34" i="2"/>
  <c r="BB34" i="2"/>
  <c r="AH34" i="2"/>
  <c r="CD34" i="2"/>
  <c r="AT34" i="2"/>
  <c r="N34" i="2"/>
  <c r="BZ34" i="2"/>
  <c r="AL34" i="2"/>
  <c r="Z34" i="2"/>
  <c r="V34" i="2"/>
  <c r="R34" i="2"/>
  <c r="AP34" i="2"/>
  <c r="CT34" i="2"/>
  <c r="CL34" i="2"/>
  <c r="BR34" i="2"/>
  <c r="CH34" i="2"/>
  <c r="BJ34" i="2"/>
  <c r="BN34" i="2"/>
  <c r="BV34" i="2"/>
  <c r="BF34" i="2"/>
  <c r="CX34" i="2"/>
  <c r="DF34" i="2"/>
  <c r="J34" i="2"/>
  <c r="DB34" i="2"/>
  <c r="AC36" i="2"/>
  <c r="AD34" i="2"/>
  <c r="DA37" i="2"/>
  <c r="DA38" i="2" s="1"/>
  <c r="DA39" i="2" s="1"/>
  <c r="DA40" i="2" s="1"/>
  <c r="I37" i="2"/>
  <c r="I38" i="2" s="1"/>
  <c r="I39" i="2" s="1"/>
  <c r="I40" i="2" s="1"/>
  <c r="CW40" i="2" l="1"/>
  <c r="DH36" i="2"/>
  <c r="AD36" i="2" s="1"/>
  <c r="BB35" i="2"/>
  <c r="AT35" i="2"/>
  <c r="CD35" i="2"/>
  <c r="N35" i="2"/>
  <c r="CP35" i="2"/>
  <c r="AH35" i="2"/>
  <c r="BV35" i="2"/>
  <c r="R35" i="2"/>
  <c r="Z35" i="2"/>
  <c r="BJ35" i="2"/>
  <c r="BF35" i="2"/>
  <c r="V35" i="2"/>
  <c r="CL35" i="2"/>
  <c r="AP35" i="2"/>
  <c r="AL35" i="2"/>
  <c r="CH35" i="2"/>
  <c r="BZ35" i="2"/>
  <c r="CT35" i="2"/>
  <c r="BN35" i="2"/>
  <c r="BR35" i="2"/>
  <c r="CX35" i="2"/>
  <c r="DF35" i="2"/>
  <c r="J35" i="2"/>
  <c r="DB35" i="2"/>
  <c r="AC37" i="2"/>
  <c r="AC38" i="2" s="1"/>
  <c r="AC39" i="2" s="1"/>
  <c r="AC40" i="2" s="1"/>
  <c r="DH37" i="2" l="1"/>
  <c r="BB36" i="2"/>
  <c r="CD36" i="2"/>
  <c r="CP36" i="2"/>
  <c r="AT36" i="2"/>
  <c r="N36" i="2"/>
  <c r="AH36" i="2"/>
  <c r="CL36" i="2"/>
  <c r="BJ36" i="2"/>
  <c r="AL36" i="2"/>
  <c r="V36" i="2"/>
  <c r="BV36" i="2"/>
  <c r="AP36" i="2"/>
  <c r="CT36" i="2"/>
  <c r="BZ36" i="2"/>
  <c r="BR36" i="2"/>
  <c r="R36" i="2"/>
  <c r="BF36" i="2"/>
  <c r="Z36" i="2"/>
  <c r="BN36" i="2"/>
  <c r="CH36" i="2"/>
  <c r="CX36" i="2"/>
  <c r="DF36" i="2"/>
  <c r="DB36" i="2"/>
  <c r="J36" i="2"/>
  <c r="AD37" i="2" l="1"/>
  <c r="DH38" i="2"/>
  <c r="N37" i="2"/>
  <c r="CP37" i="2"/>
  <c r="AH37" i="2"/>
  <c r="BB37" i="2"/>
  <c r="AT37" i="2"/>
  <c r="CD37" i="2"/>
  <c r="Z37" i="2"/>
  <c r="CT37" i="2"/>
  <c r="BN37" i="2"/>
  <c r="CH37" i="2"/>
  <c r="BJ37" i="2"/>
  <c r="BR37" i="2"/>
  <c r="BZ37" i="2"/>
  <c r="R37" i="2"/>
  <c r="CL37" i="2"/>
  <c r="BF37" i="2"/>
  <c r="BV37" i="2"/>
  <c r="AP37" i="2"/>
  <c r="AL37" i="2"/>
  <c r="V37" i="2"/>
  <c r="DF37" i="2"/>
  <c r="CX37" i="2"/>
  <c r="J37" i="2"/>
  <c r="DB37" i="2"/>
  <c r="DH39" i="2" l="1"/>
  <c r="R38" i="2"/>
  <c r="BV38" i="2"/>
  <c r="BR38" i="2"/>
  <c r="BZ38" i="2"/>
  <c r="AL38" i="2"/>
  <c r="BF38" i="2"/>
  <c r="AH38" i="2"/>
  <c r="BN38" i="2"/>
  <c r="DB38" i="2"/>
  <c r="CL38" i="2"/>
  <c r="CH38" i="2"/>
  <c r="CP38" i="2"/>
  <c r="AP38" i="2"/>
  <c r="DF38" i="2"/>
  <c r="BB38" i="2"/>
  <c r="Z38" i="2"/>
  <c r="J38" i="2"/>
  <c r="CD38" i="2"/>
  <c r="V38" i="2"/>
  <c r="AD38" i="2"/>
  <c r="N38" i="2"/>
  <c r="BJ38" i="2"/>
  <c r="AT38" i="2"/>
  <c r="CT38" i="2"/>
  <c r="CX38" i="2"/>
  <c r="BH9" i="39"/>
  <c r="V6" i="46"/>
  <c r="DH40" i="2" l="1"/>
  <c r="CL39" i="2"/>
  <c r="BB39" i="2"/>
  <c r="V39" i="2"/>
  <c r="AT39" i="2"/>
  <c r="DF39" i="2"/>
  <c r="BZ39" i="2"/>
  <c r="CD39" i="2"/>
  <c r="CP39" i="2"/>
  <c r="AD39" i="2"/>
  <c r="J39" i="2"/>
  <c r="CH39" i="2"/>
  <c r="BN39" i="2"/>
  <c r="DB39" i="2"/>
  <c r="BV39" i="2"/>
  <c r="AP39" i="2"/>
  <c r="R39" i="2"/>
  <c r="N39" i="2"/>
  <c r="BJ39" i="2"/>
  <c r="AL39" i="2"/>
  <c r="Z39" i="2"/>
  <c r="BF39" i="2"/>
  <c r="AH39" i="2"/>
  <c r="BR39" i="2"/>
  <c r="CT39" i="2"/>
  <c r="CX39" i="2"/>
  <c r="T6" i="46"/>
  <c r="U6" i="46"/>
  <c r="AP40" i="2" l="1"/>
  <c r="AD40" i="2"/>
  <c r="J40" i="2"/>
  <c r="AH40" i="2"/>
  <c r="AT40" i="2"/>
  <c r="CD40" i="2"/>
  <c r="V40" i="2"/>
  <c r="BZ40" i="2"/>
  <c r="CH40" i="2"/>
  <c r="BN40" i="2"/>
  <c r="AL40" i="2"/>
  <c r="BV40" i="2"/>
  <c r="BR40" i="2"/>
  <c r="BB40" i="2"/>
  <c r="BJ40" i="2"/>
  <c r="DB40" i="2"/>
  <c r="N40" i="2"/>
  <c r="R40" i="2"/>
  <c r="BF40" i="2"/>
  <c r="CP40" i="2"/>
  <c r="DF40" i="2"/>
  <c r="CL40" i="2"/>
  <c r="Z40" i="2"/>
  <c r="CT40" i="2"/>
  <c r="CX40" i="2"/>
  <c r="G42" i="33" l="1"/>
  <c r="I37" i="33" s="1"/>
  <c r="F42" i="33"/>
  <c r="B1" i="47" l="1"/>
  <c r="F32" i="27" l="1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E32" i="31"/>
  <c r="D32" i="31"/>
  <c r="C32" i="31"/>
  <c r="E23" i="31"/>
  <c r="D23" i="31"/>
  <c r="C23" i="31"/>
  <c r="E14" i="31"/>
  <c r="D14" i="31"/>
  <c r="C14" i="31"/>
  <c r="J9" i="32"/>
  <c r="J8" i="32"/>
  <c r="E24" i="27" l="1"/>
  <c r="C24" i="29"/>
  <c r="C24" i="30"/>
  <c r="E33" i="29"/>
  <c r="E24" i="30"/>
  <c r="E34" i="30"/>
  <c r="F34" i="30"/>
  <c r="D34" i="31"/>
  <c r="Z17" i="54" s="1"/>
  <c r="E33" i="31"/>
  <c r="C34" i="31"/>
  <c r="D15" i="30"/>
  <c r="C24" i="27"/>
  <c r="E15" i="30"/>
  <c r="E33" i="30"/>
  <c r="E15" i="29"/>
  <c r="D24" i="27"/>
  <c r="D24" i="30"/>
  <c r="D34" i="30"/>
  <c r="Z21" i="54" s="1"/>
  <c r="E24" i="29"/>
  <c r="D15" i="27"/>
  <c r="C15" i="27"/>
  <c r="C34" i="29"/>
  <c r="E34" i="27"/>
  <c r="D33" i="27"/>
  <c r="D24" i="29"/>
  <c r="D34" i="29"/>
  <c r="C33" i="29"/>
  <c r="F34" i="27"/>
  <c r="E33" i="27"/>
  <c r="C34" i="30"/>
  <c r="K8" i="30" s="1"/>
  <c r="C15" i="30"/>
  <c r="C33" i="30"/>
  <c r="D33" i="29"/>
  <c r="E15" i="27"/>
  <c r="C34" i="27"/>
  <c r="C15" i="31"/>
  <c r="F34" i="29"/>
  <c r="D34" i="27"/>
  <c r="C33" i="31"/>
  <c r="C15" i="29"/>
  <c r="D33" i="30"/>
  <c r="D33" i="31"/>
  <c r="D15" i="29"/>
  <c r="C33" i="27"/>
  <c r="C24" i="31"/>
  <c r="E15" i="31"/>
  <c r="E24" i="31"/>
  <c r="D15" i="31"/>
  <c r="D24" i="31"/>
  <c r="E34" i="31"/>
  <c r="Z26" i="54" l="1"/>
  <c r="Z26" i="46"/>
  <c r="Z21" i="46"/>
  <c r="Z17" i="46"/>
  <c r="AA16" i="54"/>
  <c r="AB16" i="54" s="1"/>
  <c r="AA16" i="46"/>
  <c r="AB16" i="46" s="1"/>
  <c r="D35" i="31"/>
  <c r="D35" i="27"/>
  <c r="AA26" i="54"/>
  <c r="AB26" i="54" s="1"/>
  <c r="AA26" i="46"/>
  <c r="AB26" i="46" s="1"/>
  <c r="D35" i="29"/>
  <c r="D35" i="30"/>
  <c r="E35" i="27"/>
  <c r="C35" i="30"/>
  <c r="E35" i="29"/>
  <c r="C35" i="29"/>
  <c r="E35" i="30"/>
  <c r="C35" i="27"/>
  <c r="E35" i="31"/>
  <c r="C35" i="31"/>
  <c r="AA32" i="46" l="1"/>
  <c r="AB32" i="46" s="1"/>
  <c r="AA32" i="54"/>
  <c r="AB32" i="54" s="1"/>
  <c r="F23" i="33"/>
  <c r="F14" i="33"/>
  <c r="M39" i="52" l="1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E3" i="52"/>
  <c r="F3" i="52" s="1"/>
  <c r="G3" i="52" s="1"/>
  <c r="H3" i="52" s="1"/>
  <c r="M3" i="52" s="1"/>
  <c r="N3" i="52" s="1"/>
  <c r="O3" i="52" s="1"/>
  <c r="P3" i="52" s="1"/>
  <c r="Q3" i="52" s="1"/>
  <c r="M40" i="52" l="1"/>
  <c r="D40" i="52"/>
  <c r="F32" i="37" l="1"/>
  <c r="F34" i="37" s="1"/>
  <c r="E32" i="37"/>
  <c r="D32" i="37"/>
  <c r="C32" i="37"/>
  <c r="C33" i="37" s="1"/>
  <c r="E23" i="37"/>
  <c r="D23" i="37"/>
  <c r="C23" i="37"/>
  <c r="E14" i="37"/>
  <c r="D14" i="37"/>
  <c r="C14" i="37"/>
  <c r="F32" i="6"/>
  <c r="F34" i="6" s="1"/>
  <c r="E32" i="6"/>
  <c r="D32" i="6"/>
  <c r="C32" i="6"/>
  <c r="E23" i="6"/>
  <c r="D23" i="6"/>
  <c r="C23" i="6"/>
  <c r="E14" i="6"/>
  <c r="D14" i="6"/>
  <c r="C14" i="6"/>
  <c r="F32" i="7"/>
  <c r="F34" i="7" s="1"/>
  <c r="E32" i="7"/>
  <c r="D32" i="7"/>
  <c r="C32" i="7"/>
  <c r="E23" i="7"/>
  <c r="D23" i="7"/>
  <c r="C23" i="7"/>
  <c r="E14" i="7"/>
  <c r="D14" i="7"/>
  <c r="C14" i="7"/>
  <c r="F32" i="8"/>
  <c r="F34" i="8" s="1"/>
  <c r="E32" i="8"/>
  <c r="D32" i="8"/>
  <c r="C32" i="8"/>
  <c r="E23" i="8"/>
  <c r="D23" i="8"/>
  <c r="C23" i="8"/>
  <c r="E14" i="8"/>
  <c r="D14" i="8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F34" i="11" s="1"/>
  <c r="E32" i="11"/>
  <c r="D32" i="11"/>
  <c r="C32" i="11"/>
  <c r="E23" i="11"/>
  <c r="D23" i="11"/>
  <c r="C23" i="11"/>
  <c r="D24" i="11" s="1"/>
  <c r="E14" i="11"/>
  <c r="D14" i="11"/>
  <c r="C14" i="11"/>
  <c r="F32" i="12"/>
  <c r="F34" i="12" s="1"/>
  <c r="E32" i="12"/>
  <c r="D32" i="12"/>
  <c r="C32" i="12"/>
  <c r="E23" i="12"/>
  <c r="D23" i="12"/>
  <c r="C23" i="12"/>
  <c r="E14" i="12"/>
  <c r="D14" i="12"/>
  <c r="C14" i="12"/>
  <c r="F32" i="13"/>
  <c r="E32" i="13"/>
  <c r="D32" i="13"/>
  <c r="C32" i="13"/>
  <c r="E23" i="13"/>
  <c r="D23" i="13"/>
  <c r="C23" i="13"/>
  <c r="E14" i="13"/>
  <c r="D14" i="13"/>
  <c r="C14" i="13"/>
  <c r="F32" i="14"/>
  <c r="F34" i="14" s="1"/>
  <c r="E32" i="14"/>
  <c r="D32" i="14"/>
  <c r="C32" i="14"/>
  <c r="E23" i="14"/>
  <c r="D23" i="14"/>
  <c r="C23" i="14"/>
  <c r="E14" i="14"/>
  <c r="D14" i="14"/>
  <c r="C14" i="14"/>
  <c r="F32" i="15"/>
  <c r="F34" i="15" s="1"/>
  <c r="E32" i="15"/>
  <c r="D32" i="15"/>
  <c r="C32" i="15"/>
  <c r="E23" i="15"/>
  <c r="D23" i="15"/>
  <c r="C23" i="15"/>
  <c r="E14" i="15"/>
  <c r="D14" i="15"/>
  <c r="C14" i="15"/>
  <c r="F32" i="16"/>
  <c r="F34" i="16" s="1"/>
  <c r="E32" i="16"/>
  <c r="D32" i="16"/>
  <c r="C32" i="16"/>
  <c r="E23" i="16"/>
  <c r="D23" i="16"/>
  <c r="C23" i="16"/>
  <c r="E14" i="16"/>
  <c r="D14" i="16"/>
  <c r="C14" i="16"/>
  <c r="F32" i="17"/>
  <c r="E32" i="17"/>
  <c r="D32" i="17"/>
  <c r="C32" i="17"/>
  <c r="E23" i="17"/>
  <c r="D23" i="17"/>
  <c r="C23" i="17"/>
  <c r="E14" i="17"/>
  <c r="D14" i="17"/>
  <c r="C14" i="17"/>
  <c r="F32" i="18"/>
  <c r="F34" i="18" s="1"/>
  <c r="E32" i="18"/>
  <c r="D32" i="18"/>
  <c r="C32" i="18"/>
  <c r="E23" i="18"/>
  <c r="D23" i="18"/>
  <c r="C23" i="18"/>
  <c r="E14" i="18"/>
  <c r="D14" i="18"/>
  <c r="C14" i="18"/>
  <c r="F32" i="19"/>
  <c r="F34" i="19" s="1"/>
  <c r="E32" i="19"/>
  <c r="D32" i="19"/>
  <c r="C32" i="19"/>
  <c r="E23" i="19"/>
  <c r="D23" i="19"/>
  <c r="C23" i="19"/>
  <c r="E14" i="19"/>
  <c r="D14" i="19"/>
  <c r="C14" i="19"/>
  <c r="F32" i="20"/>
  <c r="F34" i="20" s="1"/>
  <c r="E32" i="20"/>
  <c r="D32" i="20"/>
  <c r="C32" i="20"/>
  <c r="E23" i="20"/>
  <c r="D23" i="20"/>
  <c r="C23" i="20"/>
  <c r="E14" i="20"/>
  <c r="D14" i="20"/>
  <c r="C14" i="20"/>
  <c r="F32" i="22"/>
  <c r="F34" i="22" s="1"/>
  <c r="E32" i="22"/>
  <c r="D32" i="22"/>
  <c r="C32" i="22"/>
  <c r="E23" i="22"/>
  <c r="D23" i="22"/>
  <c r="C23" i="22"/>
  <c r="E14" i="22"/>
  <c r="D14" i="22"/>
  <c r="C14" i="22"/>
  <c r="F32" i="21"/>
  <c r="F34" i="21" s="1"/>
  <c r="E32" i="21"/>
  <c r="D32" i="21"/>
  <c r="C32" i="21"/>
  <c r="C33" i="21" s="1"/>
  <c r="E23" i="21"/>
  <c r="D23" i="21"/>
  <c r="C23" i="21"/>
  <c r="E14" i="21"/>
  <c r="D14" i="21"/>
  <c r="C14" i="21"/>
  <c r="F32" i="23"/>
  <c r="F34" i="23" s="1"/>
  <c r="E32" i="23"/>
  <c r="D32" i="23"/>
  <c r="C32" i="23"/>
  <c r="E23" i="23"/>
  <c r="D23" i="23"/>
  <c r="C23" i="23"/>
  <c r="E14" i="23"/>
  <c r="D14" i="23"/>
  <c r="C14" i="23"/>
  <c r="F32" i="24"/>
  <c r="E32" i="24"/>
  <c r="D32" i="24"/>
  <c r="C32" i="24"/>
  <c r="E23" i="24"/>
  <c r="D23" i="24"/>
  <c r="C23" i="24"/>
  <c r="E14" i="24"/>
  <c r="D14" i="24"/>
  <c r="C14" i="24"/>
  <c r="F32" i="25"/>
  <c r="F34" i="25" s="1"/>
  <c r="E32" i="25"/>
  <c r="D32" i="25"/>
  <c r="C32" i="25"/>
  <c r="E23" i="25"/>
  <c r="D23" i="25"/>
  <c r="C23" i="25"/>
  <c r="E14" i="25"/>
  <c r="D14" i="25"/>
  <c r="C14" i="25"/>
  <c r="F32" i="26"/>
  <c r="E32" i="26"/>
  <c r="D32" i="26"/>
  <c r="C32" i="26"/>
  <c r="E23" i="26"/>
  <c r="D23" i="26"/>
  <c r="C23" i="26"/>
  <c r="E14" i="26"/>
  <c r="D14" i="26"/>
  <c r="C14" i="26"/>
  <c r="F32" i="28"/>
  <c r="F34" i="28" s="1"/>
  <c r="E32" i="28"/>
  <c r="D32" i="28"/>
  <c r="C32" i="28"/>
  <c r="E23" i="28"/>
  <c r="D23" i="28"/>
  <c r="C23" i="28"/>
  <c r="E14" i="28"/>
  <c r="D14" i="28"/>
  <c r="C14" i="28"/>
  <c r="E32" i="32"/>
  <c r="D32" i="32"/>
  <c r="C32" i="32"/>
  <c r="E23" i="32"/>
  <c r="D23" i="32"/>
  <c r="C23" i="32"/>
  <c r="E14" i="32"/>
  <c r="D14" i="32"/>
  <c r="C14" i="32"/>
  <c r="E34" i="19" l="1"/>
  <c r="E34" i="21"/>
  <c r="D33" i="13"/>
  <c r="C34" i="18"/>
  <c r="D33" i="19"/>
  <c r="E24" i="24"/>
  <c r="C34" i="25"/>
  <c r="D24" i="37"/>
  <c r="D24" i="28"/>
  <c r="E15" i="26"/>
  <c r="E33" i="25"/>
  <c r="C33" i="24"/>
  <c r="C33" i="17"/>
  <c r="D24" i="26"/>
  <c r="D34" i="25"/>
  <c r="C24" i="21"/>
  <c r="C33" i="13"/>
  <c r="D15" i="24"/>
  <c r="E33" i="23"/>
  <c r="E33" i="16"/>
  <c r="C33" i="23"/>
  <c r="C33" i="6"/>
  <c r="D33" i="23"/>
  <c r="E33" i="13"/>
  <c r="D33" i="26"/>
  <c r="E33" i="19"/>
  <c r="D34" i="10"/>
  <c r="E33" i="26"/>
  <c r="E15" i="16"/>
  <c r="E24" i="13"/>
  <c r="C24" i="23"/>
  <c r="D33" i="22"/>
  <c r="E15" i="17"/>
  <c r="C24" i="16"/>
  <c r="D24" i="10"/>
  <c r="D34" i="22"/>
  <c r="E24" i="21"/>
  <c r="E34" i="22"/>
  <c r="C34" i="20"/>
  <c r="E33" i="20"/>
  <c r="E34" i="18"/>
  <c r="D34" i="12"/>
  <c r="C24" i="37"/>
  <c r="D24" i="23"/>
  <c r="D15" i="22"/>
  <c r="D34" i="20"/>
  <c r="C34" i="14"/>
  <c r="K21" i="14" s="1"/>
  <c r="E33" i="14"/>
  <c r="E33" i="22"/>
  <c r="E24" i="14"/>
  <c r="C34" i="12"/>
  <c r="D34" i="15"/>
  <c r="D34" i="14"/>
  <c r="C34" i="11"/>
  <c r="K23" i="11" s="1"/>
  <c r="E34" i="9"/>
  <c r="C34" i="37"/>
  <c r="D33" i="37"/>
  <c r="D34" i="18"/>
  <c r="E24" i="11"/>
  <c r="D34" i="23"/>
  <c r="D15" i="20"/>
  <c r="C34" i="19"/>
  <c r="C34" i="16"/>
  <c r="K21" i="16" s="1"/>
  <c r="E24" i="15"/>
  <c r="C15" i="13"/>
  <c r="D34" i="11"/>
  <c r="C24" i="9"/>
  <c r="D34" i="8"/>
  <c r="D34" i="37"/>
  <c r="Z146" i="54" s="1"/>
  <c r="AA146" i="54" s="1"/>
  <c r="AB146" i="54" s="1"/>
  <c r="E33" i="37"/>
  <c r="D33" i="12"/>
  <c r="E34" i="7"/>
  <c r="D24" i="24"/>
  <c r="E34" i="23"/>
  <c r="C15" i="21"/>
  <c r="C33" i="18"/>
  <c r="D34" i="16"/>
  <c r="C33" i="15"/>
  <c r="D24" i="14"/>
  <c r="E24" i="12"/>
  <c r="D33" i="10"/>
  <c r="E34" i="8"/>
  <c r="D33" i="7"/>
  <c r="E15" i="37"/>
  <c r="E34" i="28"/>
  <c r="D33" i="24"/>
  <c r="E24" i="23"/>
  <c r="E33" i="21"/>
  <c r="E24" i="22"/>
  <c r="E34" i="20"/>
  <c r="D33" i="18"/>
  <c r="D33" i="15"/>
  <c r="D15" i="14"/>
  <c r="C24" i="13"/>
  <c r="D15" i="11"/>
  <c r="E24" i="10"/>
  <c r="D34" i="9"/>
  <c r="C34" i="7"/>
  <c r="K25" i="7" s="1"/>
  <c r="D33" i="6"/>
  <c r="C24" i="28"/>
  <c r="E15" i="24"/>
  <c r="E33" i="24"/>
  <c r="D24" i="21"/>
  <c r="C34" i="21"/>
  <c r="K18" i="21" s="1"/>
  <c r="C33" i="22"/>
  <c r="C24" i="18"/>
  <c r="C15" i="17"/>
  <c r="E33" i="17"/>
  <c r="D24" i="16"/>
  <c r="C34" i="15"/>
  <c r="K21" i="15" s="1"/>
  <c r="E33" i="15"/>
  <c r="E33" i="12"/>
  <c r="E33" i="10"/>
  <c r="E33" i="8"/>
  <c r="D24" i="7"/>
  <c r="C34" i="6"/>
  <c r="E33" i="6"/>
  <c r="E34" i="37"/>
  <c r="D34" i="21"/>
  <c r="E24" i="18"/>
  <c r="E34" i="16"/>
  <c r="C34" i="10"/>
  <c r="E24" i="28"/>
  <c r="C24" i="24"/>
  <c r="C34" i="23"/>
  <c r="C34" i="22"/>
  <c r="K18" i="22" s="1"/>
  <c r="E24" i="20"/>
  <c r="D34" i="19"/>
  <c r="D15" i="13"/>
  <c r="D15" i="12"/>
  <c r="D24" i="9"/>
  <c r="C33" i="7"/>
  <c r="E34" i="25"/>
  <c r="C33" i="25"/>
  <c r="D33" i="20"/>
  <c r="D24" i="17"/>
  <c r="C33" i="16"/>
  <c r="D24" i="15"/>
  <c r="C33" i="14"/>
  <c r="E15" i="13"/>
  <c r="D24" i="12"/>
  <c r="E33" i="11"/>
  <c r="E24" i="9"/>
  <c r="C34" i="8"/>
  <c r="D33" i="25"/>
  <c r="D24" i="19"/>
  <c r="E33" i="18"/>
  <c r="D33" i="16"/>
  <c r="D33" i="14"/>
  <c r="D33" i="11"/>
  <c r="D15" i="10"/>
  <c r="D24" i="8"/>
  <c r="D34" i="7"/>
  <c r="E33" i="7"/>
  <c r="C24" i="6"/>
  <c r="C34" i="28"/>
  <c r="E33" i="28"/>
  <c r="C33" i="26"/>
  <c r="D24" i="25"/>
  <c r="E34" i="6"/>
  <c r="D34" i="28"/>
  <c r="E24" i="25"/>
  <c r="C15" i="24"/>
  <c r="D33" i="21"/>
  <c r="E24" i="19"/>
  <c r="D33" i="17"/>
  <c r="D24" i="13"/>
  <c r="C33" i="12"/>
  <c r="C34" i="9"/>
  <c r="K24" i="9" s="1"/>
  <c r="E33" i="9"/>
  <c r="E15" i="7"/>
  <c r="E15" i="32"/>
  <c r="E24" i="32"/>
  <c r="C15" i="32"/>
  <c r="D15" i="32"/>
  <c r="C15" i="37"/>
  <c r="E24" i="37"/>
  <c r="D15" i="37"/>
  <c r="D24" i="6"/>
  <c r="C15" i="6"/>
  <c r="E24" i="6"/>
  <c r="D15" i="6"/>
  <c r="E15" i="6"/>
  <c r="D34" i="6"/>
  <c r="C24" i="7"/>
  <c r="C15" i="7"/>
  <c r="E24" i="7"/>
  <c r="D15" i="7"/>
  <c r="C33" i="8"/>
  <c r="C24" i="8"/>
  <c r="D33" i="8"/>
  <c r="C15" i="8"/>
  <c r="E24" i="8"/>
  <c r="D15" i="8"/>
  <c r="E15" i="8"/>
  <c r="C33" i="9"/>
  <c r="D33" i="9"/>
  <c r="C15" i="9"/>
  <c r="D15" i="9"/>
  <c r="E15" i="9"/>
  <c r="E15" i="10"/>
  <c r="E34" i="10"/>
  <c r="C33" i="10"/>
  <c r="C24" i="10"/>
  <c r="C15" i="10"/>
  <c r="E15" i="11"/>
  <c r="E34" i="11"/>
  <c r="C33" i="11"/>
  <c r="C24" i="11"/>
  <c r="C15" i="11"/>
  <c r="E15" i="12"/>
  <c r="E34" i="12"/>
  <c r="C24" i="12"/>
  <c r="C15" i="12"/>
  <c r="E15" i="14"/>
  <c r="E34" i="14"/>
  <c r="C24" i="14"/>
  <c r="C15" i="14"/>
  <c r="D15" i="15"/>
  <c r="E15" i="15"/>
  <c r="E34" i="15"/>
  <c r="C24" i="15"/>
  <c r="C15" i="15"/>
  <c r="C15" i="16"/>
  <c r="E24" i="16"/>
  <c r="D15" i="16"/>
  <c r="C24" i="17"/>
  <c r="E24" i="17"/>
  <c r="D15" i="17"/>
  <c r="D24" i="18"/>
  <c r="C15" i="18"/>
  <c r="D15" i="18"/>
  <c r="E15" i="18"/>
  <c r="C33" i="19"/>
  <c r="C24" i="19"/>
  <c r="C15" i="19"/>
  <c r="D15" i="19"/>
  <c r="E15" i="19"/>
  <c r="C33" i="20"/>
  <c r="C24" i="20"/>
  <c r="D24" i="20"/>
  <c r="C15" i="20"/>
  <c r="E15" i="20"/>
  <c r="C24" i="22"/>
  <c r="C15" i="22"/>
  <c r="D24" i="22"/>
  <c r="E15" i="22"/>
  <c r="D15" i="21"/>
  <c r="E15" i="21"/>
  <c r="C15" i="23"/>
  <c r="D15" i="23"/>
  <c r="E15" i="23"/>
  <c r="C24" i="25"/>
  <c r="C15" i="25"/>
  <c r="D15" i="25"/>
  <c r="E15" i="25"/>
  <c r="C15" i="26"/>
  <c r="E24" i="26"/>
  <c r="D15" i="26"/>
  <c r="C24" i="26"/>
  <c r="C33" i="28"/>
  <c r="D33" i="28"/>
  <c r="C15" i="28"/>
  <c r="D15" i="28"/>
  <c r="E15" i="28"/>
  <c r="C24" i="32"/>
  <c r="D24" i="32"/>
  <c r="C33" i="32"/>
  <c r="E33" i="32"/>
  <c r="D33" i="32"/>
  <c r="Z146" i="46" l="1"/>
  <c r="AA146" i="46" s="1"/>
  <c r="AB146" i="46" s="1"/>
  <c r="Z118" i="54"/>
  <c r="Z118" i="46"/>
  <c r="Z84" i="54"/>
  <c r="AA84" i="54" s="1"/>
  <c r="AB84" i="54" s="1"/>
  <c r="Z84" i="46"/>
  <c r="AA84" i="46" s="1"/>
  <c r="AB84" i="46" s="1"/>
  <c r="Z136" i="54"/>
  <c r="Z136" i="46"/>
  <c r="Z80" i="54"/>
  <c r="Z80" i="46"/>
  <c r="Z62" i="54"/>
  <c r="Z62" i="46"/>
  <c r="Z47" i="54"/>
  <c r="AA47" i="54" s="1"/>
  <c r="AB47" i="54" s="1"/>
  <c r="Z47" i="46"/>
  <c r="AA47" i="46" s="1"/>
  <c r="AB47" i="46" s="1"/>
  <c r="Z95" i="54"/>
  <c r="Z95" i="46"/>
  <c r="Z104" i="54"/>
  <c r="Z104" i="46"/>
  <c r="C35" i="6"/>
  <c r="Z58" i="54"/>
  <c r="AA57" i="54" s="1"/>
  <c r="AB57" i="54" s="1"/>
  <c r="Z58" i="46"/>
  <c r="AA57" i="46" s="1"/>
  <c r="AB57" i="46" s="1"/>
  <c r="Z68" i="54"/>
  <c r="Z68" i="46"/>
  <c r="Z123" i="54"/>
  <c r="AA122" i="54" s="1"/>
  <c r="AB122" i="54" s="1"/>
  <c r="Z123" i="46"/>
  <c r="AA122" i="46" s="1"/>
  <c r="AB122" i="46" s="1"/>
  <c r="W131" i="46"/>
  <c r="E35" i="6"/>
  <c r="D35" i="6"/>
  <c r="P9" i="39"/>
  <c r="AC9" i="39"/>
  <c r="AH9" i="39"/>
  <c r="AO9" i="39"/>
  <c r="X131" i="46" l="1"/>
  <c r="AA131" i="46"/>
  <c r="AB131" i="46" s="1"/>
  <c r="AA131" i="54"/>
  <c r="AB131" i="54" s="1"/>
  <c r="AA74" i="46"/>
  <c r="AB74" i="46" s="1"/>
  <c r="AA74" i="54"/>
  <c r="AB74" i="54" s="1"/>
  <c r="AJ9" i="39"/>
  <c r="Q9" i="39"/>
  <c r="AE9" i="39" s="1"/>
  <c r="AP9" i="39"/>
  <c r="AD9" i="39"/>
  <c r="AI9" i="39"/>
  <c r="AK9" i="39" l="1"/>
  <c r="AQ9" i="39"/>
  <c r="V22" i="37" l="1"/>
  <c r="W21" i="37"/>
  <c r="X21" i="37" s="1"/>
  <c r="V21" i="37"/>
  <c r="Y21" i="37" s="1"/>
  <c r="W20" i="37"/>
  <c r="W23" i="37" s="1"/>
  <c r="V20" i="37"/>
  <c r="Y20" i="37" s="1"/>
  <c r="X22" i="37"/>
  <c r="Y22" i="37"/>
  <c r="Y23" i="37" l="1"/>
  <c r="Y24" i="37" s="1"/>
  <c r="X20" i="37"/>
  <c r="X23" i="37" s="1"/>
  <c r="X24" i="37" s="1"/>
  <c r="GL35" i="1" l="1"/>
  <c r="GO35" i="1"/>
  <c r="GR35" i="1"/>
  <c r="GU35" i="1"/>
  <c r="GX35" i="1"/>
  <c r="GL36" i="1"/>
  <c r="GO36" i="1"/>
  <c r="GR36" i="1"/>
  <c r="GU36" i="1"/>
  <c r="GX36" i="1"/>
  <c r="GL37" i="1"/>
  <c r="GO37" i="1"/>
  <c r="GR37" i="1"/>
  <c r="GU37" i="1"/>
  <c r="GX37" i="1"/>
  <c r="GL38" i="1"/>
  <c r="GO38" i="1"/>
  <c r="GR38" i="1"/>
  <c r="GU38" i="1"/>
  <c r="GX38" i="1"/>
  <c r="GL39" i="1"/>
  <c r="GO39" i="1"/>
  <c r="GR39" i="1"/>
  <c r="GU39" i="1"/>
  <c r="GX39" i="1"/>
  <c r="GL33" i="1" l="1"/>
  <c r="GO33" i="1"/>
  <c r="GR33" i="1"/>
  <c r="GU33" i="1"/>
  <c r="GX33" i="1"/>
  <c r="GL34" i="1"/>
  <c r="GO34" i="1"/>
  <c r="GR34" i="1"/>
  <c r="GU34" i="1"/>
  <c r="GX34" i="1"/>
  <c r="F42" i="8" l="1"/>
  <c r="G42" i="8"/>
  <c r="I37" i="8" s="1"/>
  <c r="G42" i="10" l="1"/>
  <c r="I37" i="10" s="1"/>
  <c r="F42" i="10"/>
  <c r="GL30" i="1" l="1"/>
  <c r="GO30" i="1"/>
  <c r="GR30" i="1"/>
  <c r="GU30" i="1"/>
  <c r="GX30" i="1"/>
  <c r="HA30" i="1"/>
  <c r="GL31" i="1"/>
  <c r="GO31" i="1"/>
  <c r="GR31" i="1"/>
  <c r="GU31" i="1"/>
  <c r="GX31" i="1"/>
  <c r="HA31" i="1"/>
  <c r="GL32" i="1"/>
  <c r="GO32" i="1"/>
  <c r="GR32" i="1"/>
  <c r="GU32" i="1"/>
  <c r="GX32" i="1"/>
  <c r="HA32" i="1"/>
  <c r="AH31" i="39" l="1"/>
  <c r="AH30" i="39" l="1"/>
  <c r="GO29" i="1" l="1"/>
  <c r="GR29" i="1"/>
  <c r="GU29" i="1"/>
  <c r="GX29" i="1"/>
  <c r="HA29" i="1"/>
  <c r="HD29" i="1"/>
  <c r="HG29" i="1"/>
  <c r="HJ29" i="1"/>
  <c r="HD30" i="1"/>
  <c r="HG30" i="1"/>
  <c r="HJ30" i="1"/>
  <c r="HD31" i="1"/>
  <c r="HG31" i="1"/>
  <c r="HJ31" i="1"/>
  <c r="HD32" i="1"/>
  <c r="HG32" i="1"/>
  <c r="HJ32" i="1"/>
  <c r="AH29" i="39" l="1"/>
  <c r="GU28" i="1" l="1"/>
  <c r="GR28" i="1"/>
  <c r="GO28" i="1"/>
  <c r="GL28" i="1"/>
  <c r="GU27" i="1"/>
  <c r="GR27" i="1"/>
  <c r="GO27" i="1"/>
  <c r="GL27" i="1"/>
  <c r="GU26" i="1"/>
  <c r="GR26" i="1"/>
  <c r="GO26" i="1"/>
  <c r="GL26" i="1"/>
  <c r="AH28" i="39" l="1"/>
  <c r="F42" i="15" l="1"/>
  <c r="AH27" i="39"/>
  <c r="AH26" i="39"/>
  <c r="G42" i="15" l="1"/>
  <c r="I37" i="15" s="1"/>
  <c r="AH25" i="39" l="1"/>
  <c r="AH24" i="39" l="1"/>
  <c r="AH22" i="45" l="1"/>
  <c r="AC22" i="45"/>
  <c r="AH23" i="39" l="1"/>
  <c r="AH22" i="39" l="1"/>
  <c r="G42" i="20"/>
  <c r="I37" i="20" s="1"/>
  <c r="F42" i="20"/>
  <c r="AH21" i="39" l="1"/>
  <c r="P20" i="39" l="1"/>
  <c r="AH20" i="39" l="1"/>
  <c r="AH19" i="39"/>
  <c r="AH18" i="39" l="1"/>
  <c r="C41" i="24"/>
  <c r="F42" i="25" l="1"/>
  <c r="F42" i="26"/>
  <c r="AH17" i="39"/>
  <c r="G42" i="25" l="1"/>
  <c r="I37" i="25" s="1"/>
  <c r="G42" i="26"/>
  <c r="I37" i="26" s="1"/>
  <c r="AH16" i="39" l="1"/>
  <c r="AH15" i="39" l="1"/>
  <c r="AH14" i="39" l="1"/>
  <c r="AH13" i="39" l="1"/>
  <c r="AH12" i="39"/>
  <c r="AH11" i="39" l="1"/>
  <c r="AH10" i="39" l="1"/>
  <c r="N9" i="39" l="1"/>
  <c r="L9" i="39" l="1"/>
  <c r="X193" i="54" l="1"/>
  <c r="BC163" i="54"/>
  <c r="BB163" i="54"/>
  <c r="AZ163" i="54"/>
  <c r="AY163" i="54"/>
  <c r="AX163" i="54"/>
  <c r="AW163" i="54"/>
  <c r="AV163" i="54"/>
  <c r="AU163" i="54"/>
  <c r="AT163" i="54"/>
  <c r="AS163" i="54"/>
  <c r="AQ163" i="54"/>
  <c r="AP163" i="54"/>
  <c r="AO163" i="54"/>
  <c r="AN163" i="54"/>
  <c r="AL163" i="54"/>
  <c r="AK163" i="54"/>
  <c r="AJ163" i="54"/>
  <c r="AI163" i="54"/>
  <c r="AH163" i="54"/>
  <c r="AG163" i="54"/>
  <c r="AF163" i="54"/>
  <c r="Y163" i="54"/>
  <c r="Y165" i="54" s="1"/>
  <c r="S163" i="54"/>
  <c r="R163" i="54"/>
  <c r="Q163" i="54"/>
  <c r="Q164" i="54" s="1"/>
  <c r="AR162" i="54"/>
  <c r="AM162" i="54"/>
  <c r="AC162" i="54"/>
  <c r="AA162" i="54"/>
  <c r="BE165" i="54" l="1"/>
  <c r="BD165" i="54"/>
  <c r="BF165" i="54"/>
  <c r="BB165" i="54"/>
  <c r="BC165" i="54"/>
  <c r="S164" i="54"/>
  <c r="R164" i="54"/>
  <c r="AR163" i="54"/>
  <c r="BA163" i="54"/>
  <c r="AM163" i="54"/>
  <c r="S165" i="54" s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R41" i="1"/>
  <c r="IO41" i="1"/>
  <c r="IL41" i="1"/>
  <c r="II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C41" i="1"/>
  <c r="BZ41" i="1"/>
  <c r="BW41" i="1"/>
  <c r="BT41" i="1"/>
  <c r="BQ41" i="1"/>
  <c r="BN41" i="1"/>
  <c r="BK41" i="1"/>
  <c r="BH41" i="1"/>
  <c r="BE41" i="1"/>
  <c r="BB41" i="1"/>
  <c r="AY41" i="1"/>
  <c r="AS41" i="1"/>
  <c r="AP41" i="1"/>
  <c r="AJ41" i="1"/>
  <c r="AG41" i="1"/>
  <c r="AD41" i="1"/>
  <c r="AA41" i="1"/>
  <c r="X41" i="1"/>
  <c r="R41" i="1"/>
  <c r="O41" i="1"/>
  <c r="L41" i="1"/>
  <c r="I41" i="1"/>
  <c r="F41" i="1"/>
  <c r="KO39" i="1"/>
  <c r="KL39" i="1"/>
  <c r="KI39" i="1"/>
  <c r="KF39" i="1"/>
  <c r="KC39" i="1"/>
  <c r="JZ39" i="1"/>
  <c r="JW39" i="1"/>
  <c r="JT39" i="1"/>
  <c r="JQ39" i="1"/>
  <c r="JN39" i="1"/>
  <c r="JK39" i="1"/>
  <c r="JH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O38" i="1"/>
  <c r="KL38" i="1"/>
  <c r="KI38" i="1"/>
  <c r="KF38" i="1"/>
  <c r="KC38" i="1"/>
  <c r="JZ38" i="1"/>
  <c r="JW38" i="1"/>
  <c r="JT38" i="1"/>
  <c r="JQ38" i="1"/>
  <c r="JN38" i="1"/>
  <c r="JK38" i="1"/>
  <c r="JH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O37" i="1"/>
  <c r="KL37" i="1"/>
  <c r="KI37" i="1"/>
  <c r="KF37" i="1"/>
  <c r="KC37" i="1"/>
  <c r="JZ37" i="1"/>
  <c r="JW37" i="1"/>
  <c r="JT37" i="1"/>
  <c r="JQ37" i="1"/>
  <c r="JN37" i="1"/>
  <c r="JK37" i="1"/>
  <c r="JH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O36" i="1"/>
  <c r="KL36" i="1"/>
  <c r="KI36" i="1"/>
  <c r="KF36" i="1"/>
  <c r="KC36" i="1"/>
  <c r="JZ36" i="1"/>
  <c r="JW36" i="1"/>
  <c r="JT36" i="1"/>
  <c r="JQ36" i="1"/>
  <c r="JN36" i="1"/>
  <c r="JK36" i="1"/>
  <c r="JH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O35" i="1"/>
  <c r="KL35" i="1"/>
  <c r="KI35" i="1"/>
  <c r="KF35" i="1"/>
  <c r="KC35" i="1"/>
  <c r="JZ35" i="1"/>
  <c r="JW35" i="1"/>
  <c r="JT35" i="1"/>
  <c r="JQ35" i="1"/>
  <c r="JN35" i="1"/>
  <c r="JK35" i="1"/>
  <c r="JH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O34" i="1"/>
  <c r="KL34" i="1"/>
  <c r="KI34" i="1"/>
  <c r="KF34" i="1"/>
  <c r="KC34" i="1"/>
  <c r="JZ34" i="1"/>
  <c r="JW34" i="1"/>
  <c r="JT34" i="1"/>
  <c r="JQ34" i="1"/>
  <c r="JN34" i="1"/>
  <c r="JK34" i="1"/>
  <c r="JH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O33" i="1"/>
  <c r="KL33" i="1"/>
  <c r="KI33" i="1"/>
  <c r="KF33" i="1"/>
  <c r="KC33" i="1"/>
  <c r="JZ33" i="1"/>
  <c r="JW33" i="1"/>
  <c r="JT33" i="1"/>
  <c r="JQ33" i="1"/>
  <c r="JN33" i="1"/>
  <c r="JK33" i="1"/>
  <c r="JH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O32" i="1"/>
  <c r="KL32" i="1"/>
  <c r="KI32" i="1"/>
  <c r="KF32" i="1"/>
  <c r="KC32" i="1"/>
  <c r="JZ32" i="1"/>
  <c r="JW32" i="1"/>
  <c r="JT32" i="1"/>
  <c r="JQ32" i="1"/>
  <c r="JN32" i="1"/>
  <c r="JK32" i="1"/>
  <c r="JH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O31" i="1"/>
  <c r="KL31" i="1"/>
  <c r="KI31" i="1"/>
  <c r="KF31" i="1"/>
  <c r="KC31" i="1"/>
  <c r="JZ31" i="1"/>
  <c r="JW31" i="1"/>
  <c r="JT31" i="1"/>
  <c r="JQ31" i="1"/>
  <c r="JN31" i="1"/>
  <c r="JK31" i="1"/>
  <c r="JH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O30" i="1"/>
  <c r="KL30" i="1"/>
  <c r="KI30" i="1"/>
  <c r="KF30" i="1"/>
  <c r="KC30" i="1"/>
  <c r="JZ30" i="1"/>
  <c r="JW30" i="1"/>
  <c r="JT30" i="1"/>
  <c r="JQ30" i="1"/>
  <c r="JN30" i="1"/>
  <c r="JK30" i="1"/>
  <c r="JH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O29" i="1"/>
  <c r="KL29" i="1"/>
  <c r="KI29" i="1"/>
  <c r="KF29" i="1"/>
  <c r="KC29" i="1"/>
  <c r="JZ29" i="1"/>
  <c r="JW29" i="1"/>
  <c r="JT29" i="1"/>
  <c r="JQ29" i="1"/>
  <c r="JN29" i="1"/>
  <c r="JK29" i="1"/>
  <c r="JH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O28" i="1"/>
  <c r="KL28" i="1"/>
  <c r="KI28" i="1"/>
  <c r="KF28" i="1"/>
  <c r="KC28" i="1"/>
  <c r="JZ28" i="1"/>
  <c r="JW28" i="1"/>
  <c r="JT28" i="1"/>
  <c r="JQ28" i="1"/>
  <c r="JN28" i="1"/>
  <c r="JK28" i="1"/>
  <c r="JH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O27" i="1"/>
  <c r="KL27" i="1"/>
  <c r="KI27" i="1"/>
  <c r="KF27" i="1"/>
  <c r="KC27" i="1"/>
  <c r="JZ27" i="1"/>
  <c r="JW27" i="1"/>
  <c r="JT27" i="1"/>
  <c r="JQ27" i="1"/>
  <c r="JN27" i="1"/>
  <c r="JK27" i="1"/>
  <c r="JH27" i="1"/>
  <c r="JF27" i="1"/>
  <c r="JC27" i="1"/>
  <c r="IZ27" i="1"/>
  <c r="IW27" i="1"/>
  <c r="IT27" i="1"/>
  <c r="IQ27" i="1"/>
  <c r="IN27" i="1"/>
  <c r="IK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O26" i="1"/>
  <c r="KL26" i="1"/>
  <c r="KI26" i="1"/>
  <c r="KF26" i="1"/>
  <c r="KC26" i="1"/>
  <c r="JZ26" i="1"/>
  <c r="JW26" i="1"/>
  <c r="JT26" i="1"/>
  <c r="JQ26" i="1"/>
  <c r="JN26" i="1"/>
  <c r="JK26" i="1"/>
  <c r="JH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O25" i="1"/>
  <c r="KL25" i="1"/>
  <c r="KI25" i="1"/>
  <c r="KF25" i="1"/>
  <c r="KC25" i="1"/>
  <c r="JZ25" i="1"/>
  <c r="JW25" i="1"/>
  <c r="JT25" i="1"/>
  <c r="JQ25" i="1"/>
  <c r="JN25" i="1"/>
  <c r="JK25" i="1"/>
  <c r="JH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O24" i="1"/>
  <c r="KL24" i="1"/>
  <c r="KI24" i="1"/>
  <c r="KF24" i="1"/>
  <c r="KC24" i="1"/>
  <c r="JZ24" i="1"/>
  <c r="JW24" i="1"/>
  <c r="JT24" i="1"/>
  <c r="JQ24" i="1"/>
  <c r="JN24" i="1"/>
  <c r="JK24" i="1"/>
  <c r="JH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O23" i="1"/>
  <c r="KL23" i="1"/>
  <c r="KI23" i="1"/>
  <c r="KF23" i="1"/>
  <c r="KC23" i="1"/>
  <c r="JZ23" i="1"/>
  <c r="JW23" i="1"/>
  <c r="JT23" i="1"/>
  <c r="JQ23" i="1"/>
  <c r="JN23" i="1"/>
  <c r="JK23" i="1"/>
  <c r="JH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O22" i="1"/>
  <c r="KL22" i="1"/>
  <c r="KI22" i="1"/>
  <c r="KF22" i="1"/>
  <c r="KC22" i="1"/>
  <c r="JZ22" i="1"/>
  <c r="JW22" i="1"/>
  <c r="JT22" i="1"/>
  <c r="JQ22" i="1"/>
  <c r="JN22" i="1"/>
  <c r="JK22" i="1"/>
  <c r="JH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T22" i="1"/>
  <c r="Q22" i="1"/>
  <c r="N22" i="1"/>
  <c r="K22" i="1"/>
  <c r="H22" i="1"/>
  <c r="KO21" i="1"/>
  <c r="KL21" i="1"/>
  <c r="KI21" i="1"/>
  <c r="KF21" i="1"/>
  <c r="KC21" i="1"/>
  <c r="JZ21" i="1"/>
  <c r="JW21" i="1"/>
  <c r="JT21" i="1"/>
  <c r="JQ21" i="1"/>
  <c r="JN21" i="1"/>
  <c r="JK21" i="1"/>
  <c r="JH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O20" i="1"/>
  <c r="KL20" i="1"/>
  <c r="KI20" i="1"/>
  <c r="KF20" i="1"/>
  <c r="KC20" i="1"/>
  <c r="JZ20" i="1"/>
  <c r="JW20" i="1"/>
  <c r="JT20" i="1"/>
  <c r="JQ20" i="1"/>
  <c r="JN20" i="1"/>
  <c r="JK20" i="1"/>
  <c r="JH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O19" i="1"/>
  <c r="KL19" i="1"/>
  <c r="KI19" i="1"/>
  <c r="KF19" i="1"/>
  <c r="KC19" i="1"/>
  <c r="JZ19" i="1"/>
  <c r="JW19" i="1"/>
  <c r="JT19" i="1"/>
  <c r="JQ19" i="1"/>
  <c r="JN19" i="1"/>
  <c r="JK19" i="1"/>
  <c r="JH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O18" i="1"/>
  <c r="KL18" i="1"/>
  <c r="KI18" i="1"/>
  <c r="KF18" i="1"/>
  <c r="KC18" i="1"/>
  <c r="JZ18" i="1"/>
  <c r="JW18" i="1"/>
  <c r="JT18" i="1"/>
  <c r="JQ18" i="1"/>
  <c r="JN18" i="1"/>
  <c r="JK18" i="1"/>
  <c r="JH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O17" i="1"/>
  <c r="KL17" i="1"/>
  <c r="KI17" i="1"/>
  <c r="KF17" i="1"/>
  <c r="KC17" i="1"/>
  <c r="JZ17" i="1"/>
  <c r="JW17" i="1"/>
  <c r="JT17" i="1"/>
  <c r="JQ17" i="1"/>
  <c r="JN17" i="1"/>
  <c r="JK17" i="1"/>
  <c r="JH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O16" i="1"/>
  <c r="KL16" i="1"/>
  <c r="KI16" i="1"/>
  <c r="KF16" i="1"/>
  <c r="KC16" i="1"/>
  <c r="JZ16" i="1"/>
  <c r="JW16" i="1"/>
  <c r="JT16" i="1"/>
  <c r="JQ16" i="1"/>
  <c r="JN16" i="1"/>
  <c r="JK16" i="1"/>
  <c r="JH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O15" i="1"/>
  <c r="KL15" i="1"/>
  <c r="KI15" i="1"/>
  <c r="KF15" i="1"/>
  <c r="KC15" i="1"/>
  <c r="JZ15" i="1"/>
  <c r="JW15" i="1"/>
  <c r="JT15" i="1"/>
  <c r="JQ15" i="1"/>
  <c r="JN15" i="1"/>
  <c r="JK15" i="1"/>
  <c r="JH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O14" i="1"/>
  <c r="KL14" i="1"/>
  <c r="KI14" i="1"/>
  <c r="KF14" i="1"/>
  <c r="KC14" i="1"/>
  <c r="JZ14" i="1"/>
  <c r="JW14" i="1"/>
  <c r="JT14" i="1"/>
  <c r="JQ14" i="1"/>
  <c r="JN14" i="1"/>
  <c r="JK14" i="1"/>
  <c r="JH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O13" i="1"/>
  <c r="KL13" i="1"/>
  <c r="KI13" i="1"/>
  <c r="KF13" i="1"/>
  <c r="KC13" i="1"/>
  <c r="JZ13" i="1"/>
  <c r="JW13" i="1"/>
  <c r="JT13" i="1"/>
  <c r="JQ13" i="1"/>
  <c r="JN13" i="1"/>
  <c r="JK13" i="1"/>
  <c r="JH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O12" i="1"/>
  <c r="KL12" i="1"/>
  <c r="KI12" i="1"/>
  <c r="KF12" i="1"/>
  <c r="KC12" i="1"/>
  <c r="JZ12" i="1"/>
  <c r="JW12" i="1"/>
  <c r="JT12" i="1"/>
  <c r="JQ12" i="1"/>
  <c r="JN12" i="1"/>
  <c r="JK12" i="1"/>
  <c r="JH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O11" i="1"/>
  <c r="KL11" i="1"/>
  <c r="KI11" i="1"/>
  <c r="KF11" i="1"/>
  <c r="KC11" i="1"/>
  <c r="JZ11" i="1"/>
  <c r="JW11" i="1"/>
  <c r="JT11" i="1"/>
  <c r="JQ11" i="1"/>
  <c r="JN11" i="1"/>
  <c r="JK11" i="1"/>
  <c r="JH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L11" i="1"/>
  <c r="AI11" i="1"/>
  <c r="AF11" i="1"/>
  <c r="AC11" i="1"/>
  <c r="Z11" i="1"/>
  <c r="W11" i="1"/>
  <c r="T11" i="1"/>
  <c r="Q11" i="1"/>
  <c r="N11" i="1"/>
  <c r="K11" i="1"/>
  <c r="H11" i="1"/>
  <c r="KO10" i="1"/>
  <c r="KL10" i="1"/>
  <c r="KI10" i="1"/>
  <c r="KF10" i="1"/>
  <c r="KC10" i="1"/>
  <c r="JZ10" i="1"/>
  <c r="JW10" i="1"/>
  <c r="JT10" i="1"/>
  <c r="JQ10" i="1"/>
  <c r="JN10" i="1"/>
  <c r="JK10" i="1"/>
  <c r="JH10" i="1"/>
  <c r="JF10" i="1"/>
  <c r="JC10" i="1"/>
  <c r="IZ10" i="1"/>
  <c r="IW10" i="1"/>
  <c r="IT10" i="1"/>
  <c r="IQ10" i="1"/>
  <c r="IN10" i="1"/>
  <c r="IK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O9" i="1"/>
  <c r="KL9" i="1"/>
  <c r="KI9" i="1"/>
  <c r="KF9" i="1"/>
  <c r="KC9" i="1"/>
  <c r="JZ9" i="1"/>
  <c r="JW9" i="1"/>
  <c r="JT9" i="1"/>
  <c r="JQ9" i="1"/>
  <c r="JN9" i="1"/>
  <c r="JK9" i="1"/>
  <c r="JH9" i="1"/>
  <c r="JF9" i="1"/>
  <c r="JC9" i="1"/>
  <c r="IZ9" i="1"/>
  <c r="IT9" i="1"/>
  <c r="IQ9" i="1"/>
  <c r="IN9" i="1"/>
  <c r="IK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P37" i="1"/>
  <c r="KM35" i="1"/>
  <c r="KJ33" i="1"/>
  <c r="KG39" i="1"/>
  <c r="KD37" i="1"/>
  <c r="KA35" i="1"/>
  <c r="JX33" i="1"/>
  <c r="JU39" i="1"/>
  <c r="JR37" i="1"/>
  <c r="JO35" i="1"/>
  <c r="JL33" i="1"/>
  <c r="JI39" i="1"/>
  <c r="BC163" i="46"/>
  <c r="BB163" i="46"/>
  <c r="AZ163" i="46"/>
  <c r="AY163" i="46"/>
  <c r="AX163" i="46"/>
  <c r="AW163" i="46"/>
  <c r="AV163" i="46"/>
  <c r="AU163" i="46"/>
  <c r="AT163" i="46"/>
  <c r="AS163" i="46"/>
  <c r="AQ163" i="46"/>
  <c r="AP163" i="46"/>
  <c r="AO163" i="46"/>
  <c r="AN163" i="46"/>
  <c r="AL163" i="46"/>
  <c r="AK163" i="46"/>
  <c r="AJ163" i="46"/>
  <c r="AI163" i="46"/>
  <c r="AH163" i="46"/>
  <c r="AG163" i="46"/>
  <c r="AF163" i="46"/>
  <c r="AR8" i="46"/>
  <c r="BA8" i="46" s="1"/>
  <c r="AM8" i="46"/>
  <c r="AR7" i="46"/>
  <c r="BA7" i="46" s="1"/>
  <c r="AM7" i="46"/>
  <c r="AR6" i="46"/>
  <c r="AM6" i="46"/>
  <c r="JT41" i="1" l="1"/>
  <c r="Z41" i="1"/>
  <c r="K41" i="1"/>
  <c r="Q41" i="1"/>
  <c r="BM41" i="1"/>
  <c r="T41" i="1"/>
  <c r="KQ38" i="1"/>
  <c r="BV41" i="1"/>
  <c r="CT41" i="1"/>
  <c r="DR41" i="1"/>
  <c r="EP41" i="1"/>
  <c r="FN41" i="1"/>
  <c r="GL41" i="1"/>
  <c r="HJ41" i="1"/>
  <c r="JC41" i="1"/>
  <c r="CK41" i="1"/>
  <c r="DI41" i="1"/>
  <c r="EG41" i="1"/>
  <c r="BR41" i="1"/>
  <c r="HF41" i="1"/>
  <c r="AD7" i="46"/>
  <c r="AM163" i="46"/>
  <c r="KQ9" i="1"/>
  <c r="AD8" i="46"/>
  <c r="AR163" i="46"/>
  <c r="KQ19" i="1"/>
  <c r="KQ17" i="1"/>
  <c r="KQ14" i="1"/>
  <c r="KQ15" i="1"/>
  <c r="KQ16" i="1"/>
  <c r="KQ20" i="1"/>
  <c r="KQ18" i="1"/>
  <c r="KQ24" i="1"/>
  <c r="KQ25" i="1"/>
  <c r="KQ30" i="1"/>
  <c r="KQ26" i="1"/>
  <c r="KQ23" i="1"/>
  <c r="KQ21" i="1"/>
  <c r="KQ28" i="1"/>
  <c r="KQ27" i="1"/>
  <c r="KQ29" i="1"/>
  <c r="KQ32" i="1"/>
  <c r="KQ34" i="1"/>
  <c r="KQ31" i="1"/>
  <c r="KQ35" i="1"/>
  <c r="KQ39" i="1"/>
  <c r="FE41" i="1"/>
  <c r="GC41" i="1"/>
  <c r="HA41" i="1"/>
  <c r="HY41" i="1"/>
  <c r="IT41" i="1"/>
  <c r="KQ36" i="1"/>
  <c r="AR41" i="1"/>
  <c r="BP41" i="1"/>
  <c r="CN41" i="1"/>
  <c r="DL41" i="1"/>
  <c r="EJ41" i="1"/>
  <c r="FH41" i="1"/>
  <c r="GF41" i="1"/>
  <c r="HD41" i="1"/>
  <c r="IB41" i="1"/>
  <c r="AB41" i="1"/>
  <c r="AZ41" i="1"/>
  <c r="BX41" i="1"/>
  <c r="CV41" i="1"/>
  <c r="DT41" i="1"/>
  <c r="ER41" i="1"/>
  <c r="FP41" i="1"/>
  <c r="GN41" i="1"/>
  <c r="HL41" i="1"/>
  <c r="JE41" i="1"/>
  <c r="KC41" i="1"/>
  <c r="G41" i="1"/>
  <c r="KQ37" i="1"/>
  <c r="AH41" i="1"/>
  <c r="HS41" i="1"/>
  <c r="IN41" i="1"/>
  <c r="AL41" i="1"/>
  <c r="BJ41" i="1"/>
  <c r="DF41" i="1"/>
  <c r="ED41" i="1"/>
  <c r="FB41" i="1"/>
  <c r="FZ41" i="1"/>
  <c r="GX41" i="1"/>
  <c r="HV41" i="1"/>
  <c r="IQ41" i="1"/>
  <c r="AD163" i="54"/>
  <c r="T9" i="53" s="1"/>
  <c r="R165" i="54"/>
  <c r="KJ10" i="1"/>
  <c r="JU41" i="1"/>
  <c r="JU9" i="1"/>
  <c r="KJ11" i="1"/>
  <c r="KQ12" i="1"/>
  <c r="KA41" i="1"/>
  <c r="JI9" i="1"/>
  <c r="KD9" i="1"/>
  <c r="KD10" i="1"/>
  <c r="JI11" i="1"/>
  <c r="KQ13" i="1"/>
  <c r="JL41" i="1"/>
  <c r="KJ41" i="1"/>
  <c r="JL10" i="1"/>
  <c r="JI12" i="1"/>
  <c r="JO41" i="1"/>
  <c r="KM41" i="1"/>
  <c r="KG9" i="1"/>
  <c r="JL11" i="1"/>
  <c r="KG11" i="1"/>
  <c r="KG12" i="1"/>
  <c r="JR41" i="1"/>
  <c r="KP41" i="1"/>
  <c r="JU12" i="1"/>
  <c r="KJ9" i="1"/>
  <c r="JI10" i="1"/>
  <c r="JU10" i="1"/>
  <c r="KG10" i="1"/>
  <c r="JL12" i="1"/>
  <c r="JX12" i="1"/>
  <c r="KJ12" i="1"/>
  <c r="JO14" i="1"/>
  <c r="KA14" i="1"/>
  <c r="KM14" i="1"/>
  <c r="JR16" i="1"/>
  <c r="KD16" i="1"/>
  <c r="KP16" i="1"/>
  <c r="JI18" i="1"/>
  <c r="JU18" i="1"/>
  <c r="KG18" i="1"/>
  <c r="JL20" i="1"/>
  <c r="JX20" i="1"/>
  <c r="KJ20" i="1"/>
  <c r="JO22" i="1"/>
  <c r="KA22" i="1"/>
  <c r="KM22" i="1"/>
  <c r="JR24" i="1"/>
  <c r="KD24" i="1"/>
  <c r="KP24" i="1"/>
  <c r="JI26" i="1"/>
  <c r="JU26" i="1"/>
  <c r="KG26" i="1"/>
  <c r="JL28" i="1"/>
  <c r="JX28" i="1"/>
  <c r="KJ28" i="1"/>
  <c r="JO30" i="1"/>
  <c r="KA30" i="1"/>
  <c r="KM30" i="1"/>
  <c r="JR32" i="1"/>
  <c r="KD32" i="1"/>
  <c r="KP32" i="1"/>
  <c r="JI34" i="1"/>
  <c r="JU34" i="1"/>
  <c r="KG34" i="1"/>
  <c r="JL36" i="1"/>
  <c r="JX36" i="1"/>
  <c r="KJ36" i="1"/>
  <c r="JO38" i="1"/>
  <c r="KA38" i="1"/>
  <c r="KM38" i="1"/>
  <c r="M41" i="1"/>
  <c r="AC41" i="1"/>
  <c r="AK41" i="1"/>
  <c r="BA41" i="1"/>
  <c r="BI41" i="1"/>
  <c r="BY41" i="1"/>
  <c r="CW41" i="1"/>
  <c r="DE41" i="1"/>
  <c r="DU41" i="1"/>
  <c r="EC41" i="1"/>
  <c r="ES41" i="1"/>
  <c r="FA41" i="1"/>
  <c r="FQ41" i="1"/>
  <c r="FY41" i="1"/>
  <c r="GO41" i="1"/>
  <c r="GW41" i="1"/>
  <c r="HM41" i="1"/>
  <c r="HU41" i="1"/>
  <c r="IP41" i="1"/>
  <c r="JF41" i="1"/>
  <c r="JN41" i="1"/>
  <c r="KD41" i="1"/>
  <c r="KL41" i="1"/>
  <c r="JO9" i="1"/>
  <c r="KA9" i="1"/>
  <c r="KM9" i="1"/>
  <c r="JR11" i="1"/>
  <c r="KD11" i="1"/>
  <c r="KP11" i="1"/>
  <c r="JI13" i="1"/>
  <c r="JU13" i="1"/>
  <c r="KG13" i="1"/>
  <c r="JL15" i="1"/>
  <c r="JX15" i="1"/>
  <c r="KJ15" i="1"/>
  <c r="JO17" i="1"/>
  <c r="KA17" i="1"/>
  <c r="KM17" i="1"/>
  <c r="JR19" i="1"/>
  <c r="KD19" i="1"/>
  <c r="KP19" i="1"/>
  <c r="JI21" i="1"/>
  <c r="JU21" i="1"/>
  <c r="KG21" i="1"/>
  <c r="JL23" i="1"/>
  <c r="JX23" i="1"/>
  <c r="KJ23" i="1"/>
  <c r="JO25" i="1"/>
  <c r="KA25" i="1"/>
  <c r="KM25" i="1"/>
  <c r="JR27" i="1"/>
  <c r="KD27" i="1"/>
  <c r="KP27" i="1"/>
  <c r="JI29" i="1"/>
  <c r="JU29" i="1"/>
  <c r="KG29" i="1"/>
  <c r="JL31" i="1"/>
  <c r="JX31" i="1"/>
  <c r="KJ31" i="1"/>
  <c r="JO33" i="1"/>
  <c r="KA33" i="1"/>
  <c r="KM33" i="1"/>
  <c r="JR35" i="1"/>
  <c r="KD35" i="1"/>
  <c r="KP35" i="1"/>
  <c r="JI37" i="1"/>
  <c r="JU37" i="1"/>
  <c r="KG37" i="1"/>
  <c r="JL39" i="1"/>
  <c r="JX39" i="1"/>
  <c r="KJ39" i="1"/>
  <c r="N41" i="1"/>
  <c r="AT41" i="1"/>
  <c r="CP41" i="1"/>
  <c r="DN41" i="1"/>
  <c r="EL41" i="1"/>
  <c r="FJ41" i="1"/>
  <c r="GH41" i="1"/>
  <c r="ID41" i="1"/>
  <c r="IY41" i="1"/>
  <c r="JW41" i="1"/>
  <c r="JX10" i="1"/>
  <c r="JO12" i="1"/>
  <c r="KA12" i="1"/>
  <c r="KM12" i="1"/>
  <c r="JR14" i="1"/>
  <c r="KD14" i="1"/>
  <c r="KP14" i="1"/>
  <c r="JI16" i="1"/>
  <c r="JU16" i="1"/>
  <c r="KG16" i="1"/>
  <c r="JL18" i="1"/>
  <c r="JX18" i="1"/>
  <c r="KJ18" i="1"/>
  <c r="JO20" i="1"/>
  <c r="KA20" i="1"/>
  <c r="KM20" i="1"/>
  <c r="JR22" i="1"/>
  <c r="KD22" i="1"/>
  <c r="KP22" i="1"/>
  <c r="JI24" i="1"/>
  <c r="JU24" i="1"/>
  <c r="KG24" i="1"/>
  <c r="JL26" i="1"/>
  <c r="JX26" i="1"/>
  <c r="KJ26" i="1"/>
  <c r="JO28" i="1"/>
  <c r="KA28" i="1"/>
  <c r="KM28" i="1"/>
  <c r="JR30" i="1"/>
  <c r="KD30" i="1"/>
  <c r="KP30" i="1"/>
  <c r="JI32" i="1"/>
  <c r="JU32" i="1"/>
  <c r="KG32" i="1"/>
  <c r="JL34" i="1"/>
  <c r="JX34" i="1"/>
  <c r="KJ34" i="1"/>
  <c r="JO36" i="1"/>
  <c r="KA36" i="1"/>
  <c r="KM36" i="1"/>
  <c r="JR38" i="1"/>
  <c r="KD38" i="1"/>
  <c r="KP38" i="1"/>
  <c r="AE41" i="1"/>
  <c r="AU41" i="1"/>
  <c r="BC41" i="1"/>
  <c r="BS41" i="1"/>
  <c r="CA41" i="1"/>
  <c r="CQ41" i="1"/>
  <c r="CY41" i="1"/>
  <c r="DO41" i="1"/>
  <c r="DW41" i="1"/>
  <c r="EM41" i="1"/>
  <c r="EU41" i="1"/>
  <c r="FK41" i="1"/>
  <c r="FS41" i="1"/>
  <c r="GI41" i="1"/>
  <c r="GQ41" i="1"/>
  <c r="HG41" i="1"/>
  <c r="HO41" i="1"/>
  <c r="IE41" i="1"/>
  <c r="IJ41" i="1"/>
  <c r="IZ41" i="1"/>
  <c r="JH41" i="1"/>
  <c r="JX41" i="1"/>
  <c r="KF41" i="1"/>
  <c r="JR9" i="1"/>
  <c r="KP9" i="1"/>
  <c r="JU11" i="1"/>
  <c r="JL13" i="1"/>
  <c r="JX13" i="1"/>
  <c r="KJ13" i="1"/>
  <c r="JO15" i="1"/>
  <c r="KA15" i="1"/>
  <c r="KM15" i="1"/>
  <c r="JR17" i="1"/>
  <c r="KD17" i="1"/>
  <c r="KP17" i="1"/>
  <c r="JI19" i="1"/>
  <c r="JU19" i="1"/>
  <c r="KG19" i="1"/>
  <c r="JL21" i="1"/>
  <c r="JX21" i="1"/>
  <c r="KJ21" i="1"/>
  <c r="JO23" i="1"/>
  <c r="KA23" i="1"/>
  <c r="KM23" i="1"/>
  <c r="JR25" i="1"/>
  <c r="KD25" i="1"/>
  <c r="KP25" i="1"/>
  <c r="JI27" i="1"/>
  <c r="JU27" i="1"/>
  <c r="KG27" i="1"/>
  <c r="JL29" i="1"/>
  <c r="JX29" i="1"/>
  <c r="KJ29" i="1"/>
  <c r="JO31" i="1"/>
  <c r="KA31" i="1"/>
  <c r="KM31" i="1"/>
  <c r="JR33" i="1"/>
  <c r="KD33" i="1"/>
  <c r="KP33" i="1"/>
  <c r="JI35" i="1"/>
  <c r="JU35" i="1"/>
  <c r="KG35" i="1"/>
  <c r="JL37" i="1"/>
  <c r="JX37" i="1"/>
  <c r="KJ37" i="1"/>
  <c r="JO39" i="1"/>
  <c r="KA39" i="1"/>
  <c r="KM39" i="1"/>
  <c r="H41" i="1"/>
  <c r="P41" i="1"/>
  <c r="AF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K41" i="1"/>
  <c r="IS41" i="1"/>
  <c r="JI41" i="1"/>
  <c r="JQ41" i="1"/>
  <c r="KG41" i="1"/>
  <c r="KO41" i="1"/>
  <c r="JO10" i="1"/>
  <c r="KA10" i="1"/>
  <c r="KM10" i="1"/>
  <c r="JR12" i="1"/>
  <c r="KD12" i="1"/>
  <c r="KP12" i="1"/>
  <c r="JI14" i="1"/>
  <c r="JU14" i="1"/>
  <c r="KG14" i="1"/>
  <c r="JL16" i="1"/>
  <c r="JX16" i="1"/>
  <c r="KJ16" i="1"/>
  <c r="JO18" i="1"/>
  <c r="KA18" i="1"/>
  <c r="KM18" i="1"/>
  <c r="JR20" i="1"/>
  <c r="KD20" i="1"/>
  <c r="KP20" i="1"/>
  <c r="JI22" i="1"/>
  <c r="JU22" i="1"/>
  <c r="KG22" i="1"/>
  <c r="JL24" i="1"/>
  <c r="JX24" i="1"/>
  <c r="KJ24" i="1"/>
  <c r="JO26" i="1"/>
  <c r="KA26" i="1"/>
  <c r="KM26" i="1"/>
  <c r="JR28" i="1"/>
  <c r="KD28" i="1"/>
  <c r="KP28" i="1"/>
  <c r="JI30" i="1"/>
  <c r="JU30" i="1"/>
  <c r="KG30" i="1"/>
  <c r="JL32" i="1"/>
  <c r="JX32" i="1"/>
  <c r="KJ32" i="1"/>
  <c r="JO34" i="1"/>
  <c r="KA34" i="1"/>
  <c r="KM34" i="1"/>
  <c r="JR36" i="1"/>
  <c r="KD36" i="1"/>
  <c r="KP36" i="1"/>
  <c r="JI38" i="1"/>
  <c r="JU38" i="1"/>
  <c r="KG38" i="1"/>
  <c r="Y41" i="1"/>
  <c r="BU41" i="1"/>
  <c r="CS41" i="1"/>
  <c r="DQ41" i="1"/>
  <c r="EO41" i="1"/>
  <c r="FM41" i="1"/>
  <c r="GK41" i="1"/>
  <c r="HI41" i="1"/>
  <c r="JB41" i="1"/>
  <c r="JZ41" i="1"/>
  <c r="JO13" i="1"/>
  <c r="KA13" i="1"/>
  <c r="KM13" i="1"/>
  <c r="JR15" i="1"/>
  <c r="KD15" i="1"/>
  <c r="KP15" i="1"/>
  <c r="JI17" i="1"/>
  <c r="JU17" i="1"/>
  <c r="KG17" i="1"/>
  <c r="JL19" i="1"/>
  <c r="JX19" i="1"/>
  <c r="KJ19" i="1"/>
  <c r="JO21" i="1"/>
  <c r="KA21" i="1"/>
  <c r="KM21" i="1"/>
  <c r="JR23" i="1"/>
  <c r="KD23" i="1"/>
  <c r="KP23" i="1"/>
  <c r="JI25" i="1"/>
  <c r="JU25" i="1"/>
  <c r="KG25" i="1"/>
  <c r="JL27" i="1"/>
  <c r="JX27" i="1"/>
  <c r="KJ27" i="1"/>
  <c r="JO29" i="1"/>
  <c r="KA29" i="1"/>
  <c r="KM29" i="1"/>
  <c r="JR31" i="1"/>
  <c r="KD31" i="1"/>
  <c r="KP31" i="1"/>
  <c r="JI33" i="1"/>
  <c r="JU33" i="1"/>
  <c r="KG33" i="1"/>
  <c r="JL35" i="1"/>
  <c r="JX35" i="1"/>
  <c r="KJ35" i="1"/>
  <c r="JO37" i="1"/>
  <c r="KA37" i="1"/>
  <c r="KM37" i="1"/>
  <c r="JR39" i="1"/>
  <c r="KD39" i="1"/>
  <c r="KP39" i="1"/>
  <c r="J41" i="1"/>
  <c r="BF41" i="1"/>
  <c r="CD41" i="1"/>
  <c r="DB41" i="1"/>
  <c r="DZ41" i="1"/>
  <c r="EX41" i="1"/>
  <c r="FV41" i="1"/>
  <c r="GT41" i="1"/>
  <c r="HR41" i="1"/>
  <c r="IM41" i="1"/>
  <c r="JK41" i="1"/>
  <c r="KI41" i="1"/>
  <c r="JX11" i="1"/>
  <c r="JR10" i="1"/>
  <c r="JL14" i="1"/>
  <c r="JX14" i="1"/>
  <c r="KJ14" i="1"/>
  <c r="JO16" i="1"/>
  <c r="KA16" i="1"/>
  <c r="KM16" i="1"/>
  <c r="JR18" i="1"/>
  <c r="KD18" i="1"/>
  <c r="KP18" i="1"/>
  <c r="JI20" i="1"/>
  <c r="JU20" i="1"/>
  <c r="KG20" i="1"/>
  <c r="JL22" i="1"/>
  <c r="JX22" i="1"/>
  <c r="KJ22" i="1"/>
  <c r="JO24" i="1"/>
  <c r="KA24" i="1"/>
  <c r="KM24" i="1"/>
  <c r="JR26" i="1"/>
  <c r="KD26" i="1"/>
  <c r="KP26" i="1"/>
  <c r="JI28" i="1"/>
  <c r="JU28" i="1"/>
  <c r="KG28" i="1"/>
  <c r="JL30" i="1"/>
  <c r="JX30" i="1"/>
  <c r="KJ30" i="1"/>
  <c r="JO32" i="1"/>
  <c r="KA32" i="1"/>
  <c r="KM32" i="1"/>
  <c r="JR34" i="1"/>
  <c r="KD34" i="1"/>
  <c r="KP34" i="1"/>
  <c r="JI36" i="1"/>
  <c r="JU36" i="1"/>
  <c r="KG36" i="1"/>
  <c r="JL38" i="1"/>
  <c r="JX38" i="1"/>
  <c r="KJ38" i="1"/>
  <c r="S41" i="1"/>
  <c r="AI41" i="1"/>
  <c r="AQ41" i="1"/>
  <c r="BG41" i="1"/>
  <c r="BO41" i="1"/>
  <c r="CE41" i="1"/>
  <c r="CM41" i="1"/>
  <c r="DC41" i="1"/>
  <c r="DK41" i="1"/>
  <c r="EA41" i="1"/>
  <c r="EI41" i="1"/>
  <c r="EY41" i="1"/>
  <c r="FG41" i="1"/>
  <c r="FW41" i="1"/>
  <c r="GE41" i="1"/>
  <c r="GU41" i="1"/>
  <c r="HC41" i="1"/>
  <c r="IA41" i="1"/>
  <c r="KP10" i="1"/>
  <c r="JL9" i="1"/>
  <c r="JX9" i="1"/>
  <c r="JO11" i="1"/>
  <c r="KA11" i="1"/>
  <c r="KM11" i="1"/>
  <c r="JR13" i="1"/>
  <c r="KD13" i="1"/>
  <c r="KP13" i="1"/>
  <c r="JI15" i="1"/>
  <c r="JU15" i="1"/>
  <c r="KG15" i="1"/>
  <c r="JL17" i="1"/>
  <c r="JX17" i="1"/>
  <c r="KJ17" i="1"/>
  <c r="JO19" i="1"/>
  <c r="KA19" i="1"/>
  <c r="KM19" i="1"/>
  <c r="JR21" i="1"/>
  <c r="KD21" i="1"/>
  <c r="KP21" i="1"/>
  <c r="JI23" i="1"/>
  <c r="JU23" i="1"/>
  <c r="KG23" i="1"/>
  <c r="JL25" i="1"/>
  <c r="JX25" i="1"/>
  <c r="KJ25" i="1"/>
  <c r="JO27" i="1"/>
  <c r="KA27" i="1"/>
  <c r="KM27" i="1"/>
  <c r="JR29" i="1"/>
  <c r="KD29" i="1"/>
  <c r="KP29" i="1"/>
  <c r="JI31" i="1"/>
  <c r="JU31" i="1"/>
  <c r="KG31" i="1"/>
  <c r="BA6" i="46"/>
  <c r="X193" i="46"/>
  <c r="KR22" i="1" l="1"/>
  <c r="KR38" i="1"/>
  <c r="KR25" i="1"/>
  <c r="KR32" i="1"/>
  <c r="KR16" i="1"/>
  <c r="KR37" i="1"/>
  <c r="KR19" i="1"/>
  <c r="KR35" i="1"/>
  <c r="KR30" i="1"/>
  <c r="KR14" i="1"/>
  <c r="KR24" i="1"/>
  <c r="KR33" i="1"/>
  <c r="KR17" i="1"/>
  <c r="KR39" i="1"/>
  <c r="KR23" i="1"/>
  <c r="KR11" i="1"/>
  <c r="KR21" i="1"/>
  <c r="KR34" i="1"/>
  <c r="KR18" i="1"/>
  <c r="KR36" i="1"/>
  <c r="KR20" i="1"/>
  <c r="KR31" i="1"/>
  <c r="KR15" i="1"/>
  <c r="KR29" i="1"/>
  <c r="KR13" i="1"/>
  <c r="KR26" i="1"/>
  <c r="KR28" i="1"/>
  <c r="KR12" i="1"/>
  <c r="AD6" i="46"/>
  <c r="AD163" i="46" s="1"/>
  <c r="BA163" i="46"/>
  <c r="J7" i="32" l="1"/>
  <c r="AC32" i="45" l="1"/>
  <c r="AC24" i="45"/>
  <c r="AC16" i="45"/>
  <c r="AG40" i="45"/>
  <c r="AC33" i="45" l="1"/>
  <c r="AC25" i="45"/>
  <c r="AC9" i="45"/>
  <c r="AC17" i="45"/>
  <c r="AC18" i="45"/>
  <c r="AC26" i="45"/>
  <c r="AC34" i="45"/>
  <c r="AC10" i="45"/>
  <c r="H40" i="45"/>
  <c r="AC20" i="45"/>
  <c r="AC28" i="45"/>
  <c r="AC36" i="45"/>
  <c r="AC12" i="45"/>
  <c r="AC14" i="45"/>
  <c r="AC30" i="45"/>
  <c r="AC38" i="45"/>
  <c r="Z40" i="45"/>
  <c r="AF40" i="45"/>
  <c r="AF42" i="45" s="1"/>
  <c r="AC15" i="45"/>
  <c r="AC23" i="45"/>
  <c r="AC31" i="45"/>
  <c r="E40" i="45"/>
  <c r="AC11" i="45"/>
  <c r="AC19" i="45"/>
  <c r="AC27" i="45"/>
  <c r="AC35" i="45"/>
  <c r="R40" i="45"/>
  <c r="N40" i="45"/>
  <c r="V40" i="45"/>
  <c r="AC13" i="45"/>
  <c r="AC21" i="45"/>
  <c r="AC29" i="45"/>
  <c r="AC37" i="45"/>
  <c r="J40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H34" i="45"/>
  <c r="AH32" i="45"/>
  <c r="AH31" i="45"/>
  <c r="AH30" i="45"/>
  <c r="AH29" i="45"/>
  <c r="AH27" i="45"/>
  <c r="AH23" i="45"/>
  <c r="AH19" i="45"/>
  <c r="AH16" i="45"/>
  <c r="AH9" i="45"/>
  <c r="AC8" i="45"/>
  <c r="A22" i="45" l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C40" i="45"/>
  <c r="AC42" i="45" s="1"/>
  <c r="AH8" i="45"/>
  <c r="AZ9" i="39" s="1"/>
  <c r="AH11" i="45"/>
  <c r="AH10" i="45"/>
  <c r="AH12" i="45"/>
  <c r="AH14" i="45"/>
  <c r="AH18" i="45"/>
  <c r="AH20" i="45"/>
  <c r="AH24" i="45"/>
  <c r="AH26" i="45"/>
  <c r="AH28" i="45"/>
  <c r="AH33" i="45"/>
  <c r="AH36" i="45"/>
  <c r="AH3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AH13" i="45"/>
  <c r="AH15" i="45"/>
  <c r="AH17" i="45"/>
  <c r="AH21" i="45"/>
  <c r="AH25" i="45"/>
  <c r="AH35" i="45"/>
  <c r="AH37" i="45"/>
  <c r="A7" i="45"/>
  <c r="I8" i="45"/>
  <c r="I9" i="45" s="1"/>
  <c r="I10" i="45" s="1"/>
  <c r="I11" i="45" s="1"/>
  <c r="I12" i="45" s="1"/>
  <c r="I13" i="45" s="1"/>
  <c r="I14" i="45" s="1"/>
  <c r="I15" i="45" s="1"/>
  <c r="I16" i="45" s="1"/>
  <c r="I17" i="45" s="1"/>
  <c r="I18" i="45" s="1"/>
  <c r="I19" i="45" s="1"/>
  <c r="I20" i="45" s="1"/>
  <c r="I21" i="45" s="1"/>
  <c r="M8" i="45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Q8" i="45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U8" i="45"/>
  <c r="U9" i="45" s="1"/>
  <c r="U10" i="45" s="1"/>
  <c r="U11" i="45" s="1"/>
  <c r="U12" i="45" s="1"/>
  <c r="U13" i="45" s="1"/>
  <c r="U14" i="45" s="1"/>
  <c r="U15" i="45" s="1"/>
  <c r="U16" i="45" s="1"/>
  <c r="U17" i="45" s="1"/>
  <c r="U18" i="45" s="1"/>
  <c r="U19" i="45" s="1"/>
  <c r="U20" i="45" s="1"/>
  <c r="U21" i="45" s="1"/>
  <c r="Y8" i="45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BA9" i="39" l="1"/>
  <c r="D22" i="45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U22" i="45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Q22" i="45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M22" i="45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Y22" i="45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I22" i="45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AH40" i="45"/>
  <c r="BI9" i="39" l="1"/>
  <c r="M9" i="39"/>
  <c r="H9" i="39"/>
  <c r="BB9" i="39"/>
  <c r="BC9" i="39"/>
  <c r="P163" i="54"/>
  <c r="O163" i="54" s="1"/>
  <c r="C163" i="54"/>
  <c r="V163" i="54"/>
  <c r="T10" i="53" s="1"/>
  <c r="O9" i="39" l="1"/>
  <c r="G9" i="39"/>
  <c r="N33" i="52"/>
  <c r="N39" i="52"/>
  <c r="N26" i="52"/>
  <c r="N6" i="52"/>
  <c r="N23" i="52"/>
  <c r="N29" i="52"/>
  <c r="N35" i="52"/>
  <c r="N31" i="52"/>
  <c r="N17" i="52"/>
  <c r="N4" i="52"/>
  <c r="N24" i="52"/>
  <c r="N25" i="52"/>
  <c r="N38" i="52"/>
  <c r="N9" i="52"/>
  <c r="N7" i="52"/>
  <c r="N8" i="52"/>
  <c r="N27" i="52"/>
  <c r="N11" i="52"/>
  <c r="N21" i="52"/>
  <c r="N32" i="52"/>
  <c r="N36" i="52"/>
  <c r="N34" i="52"/>
  <c r="N5" i="52"/>
  <c r="N22" i="52"/>
  <c r="N16" i="52"/>
  <c r="N20" i="52"/>
  <c r="N30" i="52"/>
  <c r="N28" i="52"/>
  <c r="N10" i="52"/>
  <c r="N37" i="52"/>
  <c r="N18" i="52"/>
  <c r="N19" i="52"/>
  <c r="K163" i="54"/>
  <c r="T8" i="53" s="1"/>
  <c r="T11" i="53" s="1"/>
  <c r="U163" i="54"/>
  <c r="BH41" i="39"/>
  <c r="T163" i="54"/>
  <c r="O36" i="52" l="1"/>
  <c r="O8" i="52"/>
  <c r="P8" i="52" s="1"/>
  <c r="O10" i="52"/>
  <c r="P10" i="52" s="1"/>
  <c r="O26" i="52"/>
  <c r="O31" i="52"/>
  <c r="O20" i="52"/>
  <c r="O28" i="52"/>
  <c r="O9" i="52"/>
  <c r="P9" i="52" s="1"/>
  <c r="O21" i="52"/>
  <c r="O38" i="52"/>
  <c r="O6" i="52"/>
  <c r="P6" i="52" s="1"/>
  <c r="O4" i="52"/>
  <c r="P4" i="52" s="1"/>
  <c r="O24" i="52"/>
  <c r="O7" i="52"/>
  <c r="P7" i="52" s="1"/>
  <c r="O18" i="52"/>
  <c r="P18" i="52" s="1"/>
  <c r="O27" i="52"/>
  <c r="O34" i="52"/>
  <c r="O39" i="52"/>
  <c r="O5" i="52"/>
  <c r="P5" i="52" s="1"/>
  <c r="O35" i="52"/>
  <c r="O33" i="52"/>
  <c r="O16" i="52"/>
  <c r="O29" i="52"/>
  <c r="O25" i="52"/>
  <c r="O17" i="52"/>
  <c r="O37" i="52"/>
  <c r="P36" i="52" s="1"/>
  <c r="O22" i="52"/>
  <c r="O11" i="52"/>
  <c r="P11" i="52" s="1"/>
  <c r="O23" i="52"/>
  <c r="O32" i="52"/>
  <c r="O19" i="52"/>
  <c r="O30" i="52"/>
  <c r="AC163" i="54"/>
  <c r="AC164" i="54" s="1"/>
  <c r="X173" i="54" s="1"/>
  <c r="V164" i="54"/>
  <c r="AS164" i="54" s="1"/>
  <c r="X187" i="54" s="1"/>
  <c r="Y164" i="54"/>
  <c r="X171" i="54" s="1"/>
  <c r="BI10" i="39"/>
  <c r="BI11" i="39" s="1"/>
  <c r="BI12" i="39" s="1"/>
  <c r="BI13" i="39" s="1"/>
  <c r="BI14" i="39" s="1"/>
  <c r="BI15" i="39" s="1"/>
  <c r="BI16" i="39" s="1"/>
  <c r="BI17" i="39" s="1"/>
  <c r="BI18" i="39" s="1"/>
  <c r="BI19" i="39" s="1"/>
  <c r="BI20" i="39" s="1"/>
  <c r="BI21" i="39" s="1"/>
  <c r="BI22" i="39" s="1"/>
  <c r="BI23" i="39" s="1"/>
  <c r="BI24" i="39" s="1"/>
  <c r="BI25" i="39" s="1"/>
  <c r="BI26" i="39" s="1"/>
  <c r="BI27" i="39" s="1"/>
  <c r="BI28" i="39" s="1"/>
  <c r="BI29" i="39" s="1"/>
  <c r="BI30" i="39" s="1"/>
  <c r="BI31" i="39" s="1"/>
  <c r="BI32" i="39" s="1"/>
  <c r="BI33" i="39" s="1"/>
  <c r="BI34" i="39" s="1"/>
  <c r="BI35" i="39" s="1"/>
  <c r="BI36" i="39" s="1"/>
  <c r="BI37" i="39" s="1"/>
  <c r="BI38" i="39" s="1"/>
  <c r="BI39" i="39" s="1"/>
  <c r="Y163" i="46"/>
  <c r="Y165" i="46" s="1"/>
  <c r="S163" i="46"/>
  <c r="S165" i="46" s="1"/>
  <c r="R163" i="46"/>
  <c r="AC162" i="46"/>
  <c r="AA162" i="46"/>
  <c r="AM164" i="54" l="1"/>
  <c r="AZ164" i="54"/>
  <c r="AO164" i="54"/>
  <c r="X184" i="54" s="1"/>
  <c r="AT164" i="54"/>
  <c r="X188" i="54" s="1"/>
  <c r="AK164" i="54"/>
  <c r="X181" i="54" s="1"/>
  <c r="BA164" i="54"/>
  <c r="AF164" i="54"/>
  <c r="X176" i="54" s="1"/>
  <c r="AX164" i="54"/>
  <c r="AH164" i="54"/>
  <c r="X178" i="54" s="1"/>
  <c r="AP164" i="54"/>
  <c r="X185" i="54" s="1"/>
  <c r="AN164" i="54"/>
  <c r="X183" i="54" s="1"/>
  <c r="AI164" i="54"/>
  <c r="X179" i="54" s="1"/>
  <c r="AU164" i="54"/>
  <c r="X189" i="54" s="1"/>
  <c r="AV164" i="54"/>
  <c r="X191" i="54" s="1"/>
  <c r="AY164" i="54"/>
  <c r="AG164" i="54"/>
  <c r="X177" i="54" s="1"/>
  <c r="AW164" i="54"/>
  <c r="X190" i="54" s="1"/>
  <c r="AQ164" i="54"/>
  <c r="X186" i="54" s="1"/>
  <c r="P19" i="52"/>
  <c r="AJ164" i="54"/>
  <c r="X180" i="54" s="1"/>
  <c r="AR164" i="54"/>
  <c r="AL164" i="54"/>
  <c r="X182" i="54" s="1"/>
  <c r="Q4" i="52"/>
  <c r="P33" i="52"/>
  <c r="P24" i="52"/>
  <c r="P31" i="52"/>
  <c r="P38" i="52"/>
  <c r="Q38" i="52" s="1"/>
  <c r="T5" i="53"/>
  <c r="N15" i="52" s="1"/>
  <c r="V163" i="46"/>
  <c r="I10" i="53" s="1"/>
  <c r="I9" i="53"/>
  <c r="AC6" i="46"/>
  <c r="R165" i="46"/>
  <c r="E4" i="52" l="1"/>
  <c r="X192" i="54"/>
  <c r="U5" i="53"/>
  <c r="O15" i="52" s="1"/>
  <c r="P15" i="52" s="1"/>
  <c r="Q24" i="52"/>
  <c r="E37" i="52"/>
  <c r="E17" i="52"/>
  <c r="E9" i="52"/>
  <c r="E29" i="52"/>
  <c r="E21" i="52"/>
  <c r="E33" i="52"/>
  <c r="E25" i="52"/>
  <c r="E18" i="52"/>
  <c r="E16" i="52"/>
  <c r="E31" i="52"/>
  <c r="E7" i="52"/>
  <c r="E22" i="52"/>
  <c r="E24" i="52"/>
  <c r="E20" i="52"/>
  <c r="E26" i="52"/>
  <c r="E35" i="52"/>
  <c r="E38" i="52"/>
  <c r="E27" i="52"/>
  <c r="E6" i="52"/>
  <c r="E30" i="52"/>
  <c r="E32" i="52"/>
  <c r="E11" i="52"/>
  <c r="E34" i="52"/>
  <c r="E39" i="52"/>
  <c r="E36" i="52"/>
  <c r="E23" i="52"/>
  <c r="E10" i="52"/>
  <c r="E8" i="52"/>
  <c r="E19" i="52"/>
  <c r="E28" i="52"/>
  <c r="E5" i="52"/>
  <c r="AF39" i="50" l="1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G37" i="50"/>
  <c r="AG36" i="50"/>
  <c r="AG35" i="50"/>
  <c r="AG34" i="50"/>
  <c r="AG33" i="50"/>
  <c r="AG32" i="50"/>
  <c r="AG31" i="50"/>
  <c r="AG30" i="50"/>
  <c r="AG29" i="50"/>
  <c r="AG28" i="50"/>
  <c r="AG27" i="50"/>
  <c r="AG26" i="50"/>
  <c r="AG25" i="50"/>
  <c r="AG24" i="50"/>
  <c r="AG23" i="50"/>
  <c r="AG22" i="50"/>
  <c r="AG21" i="50"/>
  <c r="AG20" i="50"/>
  <c r="AG19" i="50"/>
  <c r="AG18" i="50"/>
  <c r="AG17" i="50"/>
  <c r="AG16" i="50"/>
  <c r="AG15" i="50"/>
  <c r="AG14" i="50"/>
  <c r="AG13" i="50"/>
  <c r="AG12" i="50"/>
  <c r="AG11" i="50"/>
  <c r="AG10" i="50"/>
  <c r="AG9" i="50"/>
  <c r="AG8" i="50"/>
  <c r="AG7" i="50"/>
  <c r="AG6" i="50"/>
  <c r="AG39" i="50" l="1"/>
  <c r="AH21" i="50" s="1"/>
  <c r="AH19" i="50" l="1"/>
  <c r="AH33" i="50"/>
  <c r="AH35" i="50"/>
  <c r="AH13" i="50"/>
  <c r="AH9" i="50"/>
  <c r="AH12" i="50"/>
  <c r="AH16" i="50"/>
  <c r="AH28" i="50"/>
  <c r="AH14" i="50"/>
  <c r="AH22" i="50"/>
  <c r="AH29" i="50"/>
  <c r="AH11" i="50"/>
  <c r="AH30" i="50"/>
  <c r="AH27" i="50"/>
  <c r="AH34" i="50"/>
  <c r="AH32" i="50"/>
  <c r="AH17" i="50"/>
  <c r="AH25" i="50"/>
  <c r="AH37" i="50"/>
  <c r="AH10" i="50"/>
  <c r="AH15" i="50"/>
  <c r="AH23" i="50"/>
  <c r="AH31" i="50"/>
  <c r="AH7" i="50"/>
  <c r="AH24" i="50"/>
  <c r="AH36" i="50"/>
  <c r="AH8" i="50"/>
  <c r="AH20" i="50"/>
  <c r="AH6" i="50"/>
  <c r="AH18" i="50"/>
  <c r="AH26" i="50"/>
  <c r="AH39" i="50" l="1"/>
  <c r="C43" i="9" l="1"/>
  <c r="G42" i="11" l="1"/>
  <c r="I37" i="11" s="1"/>
  <c r="F42" i="11"/>
  <c r="C43" i="11"/>
  <c r="C43" i="12" l="1"/>
  <c r="C43" i="15" l="1"/>
  <c r="C43" i="19" l="1"/>
  <c r="C43" i="20" l="1"/>
  <c r="C43" i="23" l="1"/>
  <c r="C43" i="26" l="1"/>
  <c r="C38" i="24"/>
  <c r="C43" i="25"/>
  <c r="C43" i="28" l="1"/>
  <c r="G42" i="28"/>
  <c r="I37" i="28" s="1"/>
  <c r="F42" i="28"/>
  <c r="C43" i="30" l="1"/>
  <c r="C43" i="33" l="1"/>
  <c r="D9" i="39"/>
  <c r="E9" i="39" l="1"/>
  <c r="F9" i="39" s="1"/>
  <c r="AZ38" i="39" l="1"/>
  <c r="AZ36" i="39"/>
  <c r="AZ35" i="39"/>
  <c r="AZ34" i="39"/>
  <c r="AZ33" i="39"/>
  <c r="AZ32" i="39"/>
  <c r="AZ31" i="39"/>
  <c r="AZ30" i="39"/>
  <c r="AZ29" i="39"/>
  <c r="AZ28" i="39"/>
  <c r="AZ27" i="39"/>
  <c r="AZ26" i="39"/>
  <c r="AZ25" i="39"/>
  <c r="AZ24" i="39"/>
  <c r="AZ23" i="39"/>
  <c r="AZ22" i="39"/>
  <c r="AZ21" i="39"/>
  <c r="AZ20" i="39"/>
  <c r="AZ19" i="39"/>
  <c r="AZ18" i="39"/>
  <c r="AZ17" i="39"/>
  <c r="AZ16" i="39"/>
  <c r="AZ15" i="39"/>
  <c r="AZ14" i="39"/>
  <c r="AZ13" i="39"/>
  <c r="AZ12" i="39"/>
  <c r="AZ11" i="39"/>
  <c r="AZ10" i="39"/>
  <c r="AZ39" i="39" l="1"/>
  <c r="AZ37" i="39"/>
  <c r="C43" i="31" l="1"/>
  <c r="K40" i="39" l="1"/>
  <c r="M8" i="33" l="1"/>
  <c r="D39" i="39"/>
  <c r="K34" i="4"/>
  <c r="G42" i="4"/>
  <c r="I37" i="4" s="1"/>
  <c r="F42" i="4"/>
  <c r="D38" i="39" s="1"/>
  <c r="F32" i="4"/>
  <c r="K34" i="37"/>
  <c r="D37" i="39"/>
  <c r="D36" i="39"/>
  <c r="D35" i="39"/>
  <c r="G42" i="9"/>
  <c r="I37" i="9" s="1"/>
  <c r="F42" i="9"/>
  <c r="D33" i="39" s="1"/>
  <c r="D32" i="39"/>
  <c r="G42" i="12"/>
  <c r="I37" i="12" s="1"/>
  <c r="F42" i="12"/>
  <c r="D30" i="39" s="1"/>
  <c r="G42" i="14"/>
  <c r="I37" i="14" s="1"/>
  <c r="F42" i="14"/>
  <c r="D28" i="39" s="1"/>
  <c r="J40" i="39"/>
  <c r="P28" i="39"/>
  <c r="AD28" i="39" s="1"/>
  <c r="P29" i="39"/>
  <c r="B28" i="45" s="1"/>
  <c r="P30" i="39"/>
  <c r="B29" i="45" s="1"/>
  <c r="P31" i="39"/>
  <c r="B30" i="45" s="1"/>
  <c r="P32" i="39"/>
  <c r="B31" i="45" s="1"/>
  <c r="P33" i="39"/>
  <c r="B32" i="45" s="1"/>
  <c r="P34" i="39"/>
  <c r="B33" i="45" s="1"/>
  <c r="P35" i="39"/>
  <c r="B34" i="45" s="1"/>
  <c r="P36" i="39"/>
  <c r="AD36" i="39" s="1"/>
  <c r="P37" i="39"/>
  <c r="B36" i="45" s="1"/>
  <c r="BB37" i="39"/>
  <c r="P38" i="39"/>
  <c r="G38" i="39" s="1"/>
  <c r="P39" i="39"/>
  <c r="AD39" i="39" s="1"/>
  <c r="E27" i="39"/>
  <c r="D24" i="39"/>
  <c r="E35" i="39"/>
  <c r="E34" i="39"/>
  <c r="D34" i="39"/>
  <c r="E32" i="39"/>
  <c r="D31" i="39"/>
  <c r="E29" i="39"/>
  <c r="D29" i="39"/>
  <c r="D27" i="39"/>
  <c r="D26" i="39"/>
  <c r="E25" i="39"/>
  <c r="D25" i="39"/>
  <c r="E24" i="39"/>
  <c r="E14" i="39"/>
  <c r="D14" i="39"/>
  <c r="D23" i="39"/>
  <c r="E22" i="39"/>
  <c r="D22" i="39"/>
  <c r="I46" i="20"/>
  <c r="AT22" i="39" s="1"/>
  <c r="E21" i="39"/>
  <c r="D21" i="39"/>
  <c r="E20" i="39"/>
  <c r="D20" i="39"/>
  <c r="E19" i="39"/>
  <c r="D19" i="39"/>
  <c r="E18" i="39"/>
  <c r="D18" i="39"/>
  <c r="D17" i="39"/>
  <c r="L34" i="26"/>
  <c r="K34" i="26"/>
  <c r="D16" i="39"/>
  <c r="E15" i="39"/>
  <c r="D15" i="39"/>
  <c r="E13" i="39"/>
  <c r="D13" i="39"/>
  <c r="D12" i="39"/>
  <c r="E11" i="39"/>
  <c r="D11" i="39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39" i="1"/>
  <c r="C40" i="2" s="1"/>
  <c r="C9" i="1"/>
  <c r="C10" i="2" s="1"/>
  <c r="B10" i="1"/>
  <c r="B11" i="2" s="1"/>
  <c r="B11" i="1"/>
  <c r="B12" i="1"/>
  <c r="B13" i="1"/>
  <c r="B14" i="2" s="1"/>
  <c r="B14" i="1"/>
  <c r="B15" i="2" s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2" s="1"/>
  <c r="B23" i="1"/>
  <c r="B24" i="2" s="1"/>
  <c r="B24" i="1"/>
  <c r="B25" i="1"/>
  <c r="B26" i="2" s="1"/>
  <c r="B26" i="1"/>
  <c r="B27" i="2" s="1"/>
  <c r="B27" i="1"/>
  <c r="B28" i="2" s="1"/>
  <c r="B28" i="1"/>
  <c r="B29" i="1"/>
  <c r="B30" i="2" s="1"/>
  <c r="B30" i="1"/>
  <c r="B31" i="2" s="1"/>
  <c r="B31" i="1"/>
  <c r="B32" i="2" s="1"/>
  <c r="B32" i="1"/>
  <c r="B33" i="1"/>
  <c r="B34" i="2" s="1"/>
  <c r="B34" i="1"/>
  <c r="B35" i="2" s="1"/>
  <c r="B35" i="1"/>
  <c r="B36" i="2" s="1"/>
  <c r="B36" i="1"/>
  <c r="B37" i="1"/>
  <c r="B38" i="2" s="1"/>
  <c r="B38" i="1"/>
  <c r="B39" i="2" s="1"/>
  <c r="B39" i="1"/>
  <c r="B40" i="2" s="1"/>
  <c r="B9" i="1"/>
  <c r="E10" i="39"/>
  <c r="D10" i="39"/>
  <c r="L46" i="43"/>
  <c r="L47" i="43" s="1"/>
  <c r="L43" i="43"/>
  <c r="L44" i="43" s="1"/>
  <c r="L43" i="4"/>
  <c r="L44" i="4" s="1"/>
  <c r="L43" i="37"/>
  <c r="L44" i="37" s="1"/>
  <c r="L43" i="6"/>
  <c r="L44" i="6" s="1"/>
  <c r="L43" i="7"/>
  <c r="L44" i="7" s="1"/>
  <c r="L43" i="8"/>
  <c r="L44" i="8" s="1"/>
  <c r="L43" i="9"/>
  <c r="L44" i="9" s="1"/>
  <c r="L43" i="10"/>
  <c r="L44" i="10" s="1"/>
  <c r="L43" i="11"/>
  <c r="L43" i="12"/>
  <c r="L44" i="12" s="1"/>
  <c r="L43" i="13"/>
  <c r="L44" i="13" s="1"/>
  <c r="L43" i="14"/>
  <c r="L43" i="15"/>
  <c r="L44" i="15" s="1"/>
  <c r="L43" i="16"/>
  <c r="L44" i="16" s="1"/>
  <c r="L43" i="17"/>
  <c r="L44" i="17" s="1"/>
  <c r="L43" i="18"/>
  <c r="L44" i="18" s="1"/>
  <c r="L43" i="19"/>
  <c r="L44" i="19" s="1"/>
  <c r="L43" i="20"/>
  <c r="L44" i="20" s="1"/>
  <c r="L43" i="22"/>
  <c r="L44" i="22" s="1"/>
  <c r="L43" i="21"/>
  <c r="L44" i="21" s="1"/>
  <c r="L43" i="23"/>
  <c r="L44" i="23" s="1"/>
  <c r="L43" i="24"/>
  <c r="L44" i="24" s="1"/>
  <c r="L43" i="25"/>
  <c r="L44" i="25" s="1"/>
  <c r="L43" i="26"/>
  <c r="L44" i="26" s="1"/>
  <c r="L43" i="28"/>
  <c r="L44" i="28" s="1"/>
  <c r="L43" i="27"/>
  <c r="L44" i="27" s="1"/>
  <c r="L43" i="29"/>
  <c r="L44" i="29" s="1"/>
  <c r="L43" i="30"/>
  <c r="L43" i="31"/>
  <c r="L44" i="31" s="1"/>
  <c r="L43" i="32"/>
  <c r="L44" i="32" s="1"/>
  <c r="L46" i="33"/>
  <c r="L48" i="33" s="1"/>
  <c r="L43" i="33"/>
  <c r="L44" i="33" s="1"/>
  <c r="BA10" i="39"/>
  <c r="BA11" i="39" s="1"/>
  <c r="BA12" i="39" s="1"/>
  <c r="BA13" i="39" s="1"/>
  <c r="BA14" i="39" s="1"/>
  <c r="BA15" i="39" s="1"/>
  <c r="BA16" i="39" s="1"/>
  <c r="BA17" i="39" s="1"/>
  <c r="BA18" i="39" s="1"/>
  <c r="BA19" i="39" s="1"/>
  <c r="BA20" i="39" s="1"/>
  <c r="BA21" i="39" s="1"/>
  <c r="BA22" i="39" s="1"/>
  <c r="BA23" i="39" s="1"/>
  <c r="BA24" i="39" s="1"/>
  <c r="BA25" i="39" s="1"/>
  <c r="BA26" i="39" s="1"/>
  <c r="BA27" i="39" s="1"/>
  <c r="BA28" i="39" s="1"/>
  <c r="BA29" i="39" s="1"/>
  <c r="BA30" i="39" s="1"/>
  <c r="BA31" i="39" s="1"/>
  <c r="BA32" i="39" s="1"/>
  <c r="BA33" i="39" s="1"/>
  <c r="BA34" i="39" s="1"/>
  <c r="BA35" i="39" s="1"/>
  <c r="BA36" i="39" s="1"/>
  <c r="BA37" i="39" s="1"/>
  <c r="BA38" i="39" s="1"/>
  <c r="BA39" i="39" s="1"/>
  <c r="L46" i="4"/>
  <c r="L48" i="4" s="1"/>
  <c r="L46" i="37"/>
  <c r="L48" i="37" s="1"/>
  <c r="L46" i="6"/>
  <c r="L48" i="6" s="1"/>
  <c r="L46" i="7"/>
  <c r="L48" i="7" s="1"/>
  <c r="L46" i="8"/>
  <c r="L48" i="8" s="1"/>
  <c r="L46" i="9"/>
  <c r="L48" i="9" s="1"/>
  <c r="L46" i="10"/>
  <c r="L48" i="10" s="1"/>
  <c r="L46" i="11"/>
  <c r="L48" i="11" s="1"/>
  <c r="L46" i="12"/>
  <c r="L48" i="12" s="1"/>
  <c r="L46" i="13"/>
  <c r="L48" i="13" s="1"/>
  <c r="L46" i="14"/>
  <c r="L48" i="14" s="1"/>
  <c r="L46" i="15"/>
  <c r="L48" i="15" s="1"/>
  <c r="L46" i="16"/>
  <c r="L48" i="16" s="1"/>
  <c r="L46" i="17"/>
  <c r="L48" i="17" s="1"/>
  <c r="L46" i="18"/>
  <c r="L48" i="18" s="1"/>
  <c r="L46" i="19"/>
  <c r="L48" i="19" s="1"/>
  <c r="L46" i="20"/>
  <c r="L48" i="20" s="1"/>
  <c r="L46" i="22"/>
  <c r="L46" i="21"/>
  <c r="L47" i="21" s="1"/>
  <c r="L46" i="23"/>
  <c r="L48" i="23" s="1"/>
  <c r="L46" i="24"/>
  <c r="L48" i="24" s="1"/>
  <c r="L46" i="25"/>
  <c r="L48" i="25" s="1"/>
  <c r="L46" i="26"/>
  <c r="L48" i="26" s="1"/>
  <c r="L46" i="28"/>
  <c r="L48" i="28" s="1"/>
  <c r="L46" i="27"/>
  <c r="L48" i="27" s="1"/>
  <c r="L46" i="29"/>
  <c r="L48" i="29" s="1"/>
  <c r="L46" i="30"/>
  <c r="L48" i="30" s="1"/>
  <c r="L46" i="31"/>
  <c r="L48" i="31" s="1"/>
  <c r="L46" i="32"/>
  <c r="L48" i="32" s="1"/>
  <c r="I46" i="32"/>
  <c r="I47" i="32" s="1"/>
  <c r="I46" i="31"/>
  <c r="I47" i="31" s="1"/>
  <c r="I46" i="27"/>
  <c r="I47" i="27" s="1"/>
  <c r="I46" i="28"/>
  <c r="AT15" i="39" s="1"/>
  <c r="I46" i="25"/>
  <c r="AT17" i="39" s="1"/>
  <c r="I46" i="21"/>
  <c r="I47" i="21" s="1"/>
  <c r="I46" i="22"/>
  <c r="I47" i="22" s="1"/>
  <c r="I46" i="18"/>
  <c r="AT24" i="39" s="1"/>
  <c r="I46" i="17"/>
  <c r="I47" i="17" s="1"/>
  <c r="I46" i="16"/>
  <c r="I47" i="16" s="1"/>
  <c r="I46" i="14"/>
  <c r="I46" i="12"/>
  <c r="I47" i="12" s="1"/>
  <c r="I46" i="11"/>
  <c r="AT31" i="39" s="1"/>
  <c r="I46" i="9"/>
  <c r="I47" i="9" s="1"/>
  <c r="I46" i="8"/>
  <c r="AT34" i="39" s="1"/>
  <c r="AV34" i="39" s="1"/>
  <c r="I46" i="7"/>
  <c r="I47" i="7" s="1"/>
  <c r="I46" i="6"/>
  <c r="AT36" i="39" s="1"/>
  <c r="AV36" i="39" s="1"/>
  <c r="I46" i="37"/>
  <c r="I47" i="37" s="1"/>
  <c r="I46" i="4"/>
  <c r="AT38" i="39" s="1"/>
  <c r="I46" i="33"/>
  <c r="I43" i="31"/>
  <c r="I44" i="31" s="1"/>
  <c r="I43" i="33"/>
  <c r="I44" i="33" s="1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I43" i="43"/>
  <c r="I44" i="43" s="1"/>
  <c r="C44" i="43"/>
  <c r="C45" i="43"/>
  <c r="C46" i="43"/>
  <c r="C47" i="43"/>
  <c r="C48" i="43"/>
  <c r="C49" i="43"/>
  <c r="I49" i="43"/>
  <c r="I50" i="43" s="1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L34" i="4"/>
  <c r="I40" i="4" s="1"/>
  <c r="R38" i="39" s="1"/>
  <c r="BD38" i="39" s="1"/>
  <c r="C39" i="4"/>
  <c r="C40" i="4"/>
  <c r="C41" i="4"/>
  <c r="C42" i="4"/>
  <c r="C43" i="4"/>
  <c r="I43" i="4"/>
  <c r="I44" i="4" s="1"/>
  <c r="C44" i="4"/>
  <c r="C45" i="4"/>
  <c r="C46" i="4"/>
  <c r="C47" i="4"/>
  <c r="C48" i="4"/>
  <c r="C49" i="4"/>
  <c r="I49" i="4"/>
  <c r="I50" i="4" s="1"/>
  <c r="C50" i="4"/>
  <c r="C51" i="4"/>
  <c r="H4" i="37"/>
  <c r="L34" i="37"/>
  <c r="C39" i="37"/>
  <c r="C40" i="37"/>
  <c r="C41" i="37"/>
  <c r="C42" i="37"/>
  <c r="C43" i="37"/>
  <c r="I43" i="37"/>
  <c r="I44" i="37" s="1"/>
  <c r="C44" i="37"/>
  <c r="C45" i="37"/>
  <c r="C46" i="37"/>
  <c r="C47" i="37"/>
  <c r="C48" i="37"/>
  <c r="C49" i="37"/>
  <c r="I49" i="37"/>
  <c r="I50" i="37" s="1"/>
  <c r="C50" i="37"/>
  <c r="C51" i="37"/>
  <c r="H4" i="6"/>
  <c r="L34" i="6"/>
  <c r="C38" i="6"/>
  <c r="C39" i="6"/>
  <c r="C40" i="6"/>
  <c r="C41" i="6"/>
  <c r="C42" i="6"/>
  <c r="C43" i="6"/>
  <c r="I43" i="6"/>
  <c r="I44" i="6" s="1"/>
  <c r="C44" i="6"/>
  <c r="C45" i="6"/>
  <c r="C46" i="6"/>
  <c r="C47" i="6"/>
  <c r="C48" i="6"/>
  <c r="C49" i="6"/>
  <c r="I49" i="6"/>
  <c r="I50" i="6" s="1"/>
  <c r="C50" i="6"/>
  <c r="C51" i="6"/>
  <c r="H4" i="7"/>
  <c r="L34" i="7"/>
  <c r="C38" i="7"/>
  <c r="C39" i="7"/>
  <c r="C40" i="7"/>
  <c r="C41" i="7"/>
  <c r="C42" i="7"/>
  <c r="C43" i="7"/>
  <c r="I43" i="7"/>
  <c r="I44" i="7" s="1"/>
  <c r="C44" i="7"/>
  <c r="C45" i="7"/>
  <c r="C46" i="7"/>
  <c r="C47" i="7"/>
  <c r="C48" i="7"/>
  <c r="C49" i="7"/>
  <c r="I49" i="7"/>
  <c r="I50" i="7" s="1"/>
  <c r="C50" i="7"/>
  <c r="C51" i="7"/>
  <c r="H4" i="8"/>
  <c r="L34" i="8"/>
  <c r="C38" i="8"/>
  <c r="C39" i="8"/>
  <c r="C40" i="8"/>
  <c r="C41" i="8"/>
  <c r="C42" i="8"/>
  <c r="C43" i="8"/>
  <c r="I43" i="8"/>
  <c r="I44" i="8" s="1"/>
  <c r="C44" i="8"/>
  <c r="C45" i="8"/>
  <c r="C46" i="8"/>
  <c r="C47" i="8"/>
  <c r="C48" i="8"/>
  <c r="C49" i="8"/>
  <c r="I49" i="8"/>
  <c r="I50" i="8" s="1"/>
  <c r="C50" i="8"/>
  <c r="C51" i="8"/>
  <c r="H4" i="9"/>
  <c r="K34" i="9"/>
  <c r="L34" i="9"/>
  <c r="C38" i="9"/>
  <c r="C39" i="9"/>
  <c r="C40" i="9"/>
  <c r="C41" i="9"/>
  <c r="C42" i="9"/>
  <c r="I43" i="9"/>
  <c r="I44" i="9" s="1"/>
  <c r="C44" i="9"/>
  <c r="C45" i="9"/>
  <c r="C46" i="9"/>
  <c r="C47" i="9"/>
  <c r="C48" i="9"/>
  <c r="C49" i="9"/>
  <c r="I49" i="9"/>
  <c r="I50" i="9" s="1"/>
  <c r="C50" i="9"/>
  <c r="C51" i="9"/>
  <c r="H4" i="10"/>
  <c r="L34" i="10"/>
  <c r="C38" i="10"/>
  <c r="C39" i="10"/>
  <c r="C40" i="10"/>
  <c r="C41" i="10"/>
  <c r="C42" i="10"/>
  <c r="C43" i="10"/>
  <c r="I43" i="10"/>
  <c r="I44" i="10" s="1"/>
  <c r="C44" i="10"/>
  <c r="C45" i="10"/>
  <c r="C46" i="10"/>
  <c r="C47" i="10"/>
  <c r="C48" i="10"/>
  <c r="C49" i="10"/>
  <c r="I49" i="10"/>
  <c r="I50" i="10" s="1"/>
  <c r="C50" i="10"/>
  <c r="C51" i="10"/>
  <c r="H4" i="11"/>
  <c r="L34" i="11"/>
  <c r="C38" i="11"/>
  <c r="C39" i="11"/>
  <c r="C40" i="11"/>
  <c r="C41" i="11"/>
  <c r="C42" i="11"/>
  <c r="I43" i="11"/>
  <c r="I44" i="11" s="1"/>
  <c r="C44" i="11"/>
  <c r="C45" i="11"/>
  <c r="C46" i="11"/>
  <c r="C47" i="11"/>
  <c r="C48" i="11"/>
  <c r="C49" i="11"/>
  <c r="I49" i="11"/>
  <c r="I50" i="11" s="1"/>
  <c r="C50" i="11"/>
  <c r="C51" i="11"/>
  <c r="H4" i="12"/>
  <c r="K34" i="12"/>
  <c r="L34" i="12"/>
  <c r="C38" i="12"/>
  <c r="C39" i="12"/>
  <c r="C40" i="12"/>
  <c r="C41" i="12"/>
  <c r="C42" i="12"/>
  <c r="I43" i="12"/>
  <c r="I44" i="12" s="1"/>
  <c r="C44" i="12"/>
  <c r="C45" i="12"/>
  <c r="C46" i="12"/>
  <c r="C47" i="12"/>
  <c r="C48" i="12"/>
  <c r="C49" i="12"/>
  <c r="I49" i="12"/>
  <c r="C50" i="12"/>
  <c r="C51" i="12"/>
  <c r="H4" i="13"/>
  <c r="K34" i="13"/>
  <c r="L34" i="13"/>
  <c r="C38" i="13"/>
  <c r="C39" i="13"/>
  <c r="C40" i="13"/>
  <c r="C41" i="13"/>
  <c r="C42" i="13"/>
  <c r="C43" i="13"/>
  <c r="I43" i="13"/>
  <c r="I44" i="13" s="1"/>
  <c r="C44" i="13"/>
  <c r="C45" i="13"/>
  <c r="C46" i="13"/>
  <c r="C47" i="13"/>
  <c r="C48" i="13"/>
  <c r="C49" i="13"/>
  <c r="I49" i="13"/>
  <c r="I50" i="13" s="1"/>
  <c r="C50" i="13"/>
  <c r="C51" i="13"/>
  <c r="H4" i="14"/>
  <c r="K34" i="14"/>
  <c r="L34" i="14"/>
  <c r="C38" i="14"/>
  <c r="C39" i="14"/>
  <c r="C40" i="14"/>
  <c r="C41" i="14"/>
  <c r="C42" i="14"/>
  <c r="C43" i="14"/>
  <c r="I43" i="14"/>
  <c r="I44" i="14" s="1"/>
  <c r="C44" i="14"/>
  <c r="C45" i="14"/>
  <c r="C46" i="14"/>
  <c r="C47" i="14"/>
  <c r="C48" i="14"/>
  <c r="C49" i="14"/>
  <c r="I49" i="14"/>
  <c r="I50" i="14" s="1"/>
  <c r="C50" i="14"/>
  <c r="C51" i="14"/>
  <c r="H4" i="15"/>
  <c r="K34" i="15"/>
  <c r="L34" i="15"/>
  <c r="C38" i="15"/>
  <c r="C39" i="15"/>
  <c r="C40" i="15"/>
  <c r="C41" i="15"/>
  <c r="C42" i="15"/>
  <c r="I43" i="15"/>
  <c r="I44" i="15" s="1"/>
  <c r="C44" i="15"/>
  <c r="C45" i="15"/>
  <c r="C46" i="15"/>
  <c r="C47" i="15"/>
  <c r="C48" i="15"/>
  <c r="C49" i="15"/>
  <c r="I49" i="15"/>
  <c r="C50" i="15"/>
  <c r="C51" i="15"/>
  <c r="H4" i="16"/>
  <c r="L34" i="16"/>
  <c r="C38" i="16"/>
  <c r="C39" i="16"/>
  <c r="C40" i="16"/>
  <c r="C41" i="16"/>
  <c r="C42" i="16"/>
  <c r="C43" i="16"/>
  <c r="I43" i="16"/>
  <c r="I44" i="16" s="1"/>
  <c r="C44" i="16"/>
  <c r="C45" i="16"/>
  <c r="C46" i="16"/>
  <c r="C47" i="16"/>
  <c r="C48" i="16"/>
  <c r="C49" i="16"/>
  <c r="I49" i="16"/>
  <c r="I50" i="16" s="1"/>
  <c r="C50" i="16"/>
  <c r="C51" i="16"/>
  <c r="H4" i="17"/>
  <c r="K34" i="17"/>
  <c r="L34" i="17"/>
  <c r="C38" i="17"/>
  <c r="C39" i="17"/>
  <c r="C40" i="17"/>
  <c r="C41" i="17"/>
  <c r="C42" i="17"/>
  <c r="C43" i="17"/>
  <c r="I43" i="17"/>
  <c r="I44" i="17" s="1"/>
  <c r="C44" i="17"/>
  <c r="C45" i="17"/>
  <c r="C46" i="17"/>
  <c r="C47" i="17"/>
  <c r="C48" i="17"/>
  <c r="C49" i="17"/>
  <c r="I49" i="17"/>
  <c r="I50" i="17" s="1"/>
  <c r="C50" i="17"/>
  <c r="C51" i="17"/>
  <c r="H4" i="18"/>
  <c r="L34" i="18"/>
  <c r="C38" i="18"/>
  <c r="C39" i="18"/>
  <c r="C40" i="18"/>
  <c r="C41" i="18"/>
  <c r="C42" i="18"/>
  <c r="C43" i="18"/>
  <c r="I43" i="18"/>
  <c r="I44" i="18" s="1"/>
  <c r="C44" i="18"/>
  <c r="C45" i="18"/>
  <c r="C46" i="18"/>
  <c r="C47" i="18"/>
  <c r="C48" i="18"/>
  <c r="C49" i="18"/>
  <c r="I49" i="18"/>
  <c r="I50" i="18" s="1"/>
  <c r="C50" i="18"/>
  <c r="C51" i="18"/>
  <c r="H4" i="19"/>
  <c r="L34" i="19"/>
  <c r="C38" i="19"/>
  <c r="C39" i="19"/>
  <c r="C40" i="19"/>
  <c r="C41" i="19"/>
  <c r="C42" i="19"/>
  <c r="I43" i="19"/>
  <c r="C44" i="19"/>
  <c r="C45" i="19"/>
  <c r="C46" i="19"/>
  <c r="C47" i="19"/>
  <c r="C48" i="19"/>
  <c r="C49" i="19"/>
  <c r="I49" i="19"/>
  <c r="I50" i="19" s="1"/>
  <c r="C50" i="19"/>
  <c r="C51" i="19"/>
  <c r="H4" i="20"/>
  <c r="K34" i="20"/>
  <c r="L34" i="20"/>
  <c r="C38" i="20"/>
  <c r="C39" i="20"/>
  <c r="C40" i="20"/>
  <c r="C41" i="20"/>
  <c r="C42" i="20"/>
  <c r="I43" i="20"/>
  <c r="I44" i="20" s="1"/>
  <c r="C44" i="20"/>
  <c r="C45" i="20"/>
  <c r="C46" i="20"/>
  <c r="C47" i="20"/>
  <c r="C48" i="20"/>
  <c r="C49" i="20"/>
  <c r="I49" i="20"/>
  <c r="I50" i="20" s="1"/>
  <c r="C50" i="20"/>
  <c r="C51" i="20"/>
  <c r="H4" i="22"/>
  <c r="K34" i="22"/>
  <c r="L34" i="22"/>
  <c r="C38" i="22"/>
  <c r="C39" i="22"/>
  <c r="C40" i="22"/>
  <c r="C41" i="22"/>
  <c r="C42" i="22"/>
  <c r="C43" i="22"/>
  <c r="I43" i="22"/>
  <c r="I44" i="22" s="1"/>
  <c r="C44" i="22"/>
  <c r="C45" i="22"/>
  <c r="C46" i="22"/>
  <c r="C47" i="22"/>
  <c r="C48" i="22"/>
  <c r="C49" i="22"/>
  <c r="I49" i="22"/>
  <c r="I50" i="22" s="1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L34" i="21"/>
  <c r="C39" i="21"/>
  <c r="C40" i="21"/>
  <c r="C41" i="21"/>
  <c r="C42" i="21"/>
  <c r="C43" i="21"/>
  <c r="C44" i="21"/>
  <c r="C45" i="21"/>
  <c r="C46" i="21"/>
  <c r="C47" i="21"/>
  <c r="C48" i="21"/>
  <c r="C49" i="21"/>
  <c r="I49" i="21"/>
  <c r="I50" i="21" s="1"/>
  <c r="C50" i="21"/>
  <c r="C51" i="21"/>
  <c r="H4" i="23"/>
  <c r="L34" i="23"/>
  <c r="K34" i="23"/>
  <c r="C38" i="23"/>
  <c r="C39" i="23"/>
  <c r="C40" i="23"/>
  <c r="C41" i="23"/>
  <c r="C42" i="23"/>
  <c r="I43" i="23"/>
  <c r="I44" i="23" s="1"/>
  <c r="C44" i="23"/>
  <c r="C45" i="23"/>
  <c r="C46" i="23"/>
  <c r="C47" i="23"/>
  <c r="C48" i="23"/>
  <c r="C49" i="23"/>
  <c r="I49" i="23"/>
  <c r="C50" i="23"/>
  <c r="C51" i="23"/>
  <c r="H4" i="24"/>
  <c r="L34" i="24"/>
  <c r="C39" i="24"/>
  <c r="C40" i="24"/>
  <c r="C42" i="24"/>
  <c r="C43" i="24"/>
  <c r="I43" i="24"/>
  <c r="I44" i="24" s="1"/>
  <c r="C44" i="24"/>
  <c r="C45" i="24"/>
  <c r="C46" i="24"/>
  <c r="C47" i="24"/>
  <c r="C48" i="24"/>
  <c r="C49" i="24"/>
  <c r="I49" i="24"/>
  <c r="I50" i="24" s="1"/>
  <c r="C50" i="24"/>
  <c r="C51" i="24"/>
  <c r="H4" i="25"/>
  <c r="K34" i="25"/>
  <c r="L34" i="25"/>
  <c r="C38" i="25"/>
  <c r="C39" i="25"/>
  <c r="C40" i="25"/>
  <c r="C41" i="25"/>
  <c r="C42" i="25"/>
  <c r="I43" i="25"/>
  <c r="I44" i="25" s="1"/>
  <c r="C44" i="25"/>
  <c r="C45" i="25"/>
  <c r="C46" i="25"/>
  <c r="C47" i="25"/>
  <c r="C48" i="25"/>
  <c r="C49" i="25"/>
  <c r="I49" i="25"/>
  <c r="C50" i="25"/>
  <c r="C51" i="25"/>
  <c r="H4" i="26"/>
  <c r="C38" i="26"/>
  <c r="C39" i="26"/>
  <c r="C40" i="26"/>
  <c r="C41" i="26"/>
  <c r="C42" i="26"/>
  <c r="I43" i="26"/>
  <c r="I44" i="26" s="1"/>
  <c r="C44" i="26"/>
  <c r="C45" i="26"/>
  <c r="C46" i="26"/>
  <c r="C47" i="26"/>
  <c r="C48" i="26"/>
  <c r="C49" i="26"/>
  <c r="I49" i="26"/>
  <c r="C50" i="26"/>
  <c r="C51" i="26"/>
  <c r="H4" i="28"/>
  <c r="K34" i="28"/>
  <c r="L34" i="28"/>
  <c r="C38" i="28"/>
  <c r="C39" i="28"/>
  <c r="C40" i="28"/>
  <c r="C41" i="28"/>
  <c r="C42" i="28"/>
  <c r="I43" i="28"/>
  <c r="I44" i="28" s="1"/>
  <c r="C44" i="28"/>
  <c r="C45" i="28"/>
  <c r="C46" i="28"/>
  <c r="C47" i="28"/>
  <c r="C48" i="28"/>
  <c r="C49" i="28"/>
  <c r="I49" i="28"/>
  <c r="I50" i="28" s="1"/>
  <c r="C50" i="28"/>
  <c r="C51" i="28"/>
  <c r="H4" i="27"/>
  <c r="L34" i="27"/>
  <c r="C38" i="27"/>
  <c r="C39" i="27"/>
  <c r="C40" i="27"/>
  <c r="C41" i="27"/>
  <c r="C42" i="27"/>
  <c r="C43" i="27"/>
  <c r="I43" i="27"/>
  <c r="I44" i="27" s="1"/>
  <c r="C44" i="27"/>
  <c r="C45" i="27"/>
  <c r="C46" i="27"/>
  <c r="C47" i="27"/>
  <c r="C48" i="27"/>
  <c r="C49" i="27"/>
  <c r="I49" i="27"/>
  <c r="C50" i="27"/>
  <c r="C51" i="27"/>
  <c r="H4" i="29"/>
  <c r="H4" i="30" s="1"/>
  <c r="L34" i="29"/>
  <c r="C38" i="29"/>
  <c r="C39" i="29"/>
  <c r="C40" i="29"/>
  <c r="C41" i="29"/>
  <c r="C42" i="29"/>
  <c r="C43" i="29"/>
  <c r="I43" i="29"/>
  <c r="I44" i="29" s="1"/>
  <c r="C44" i="29"/>
  <c r="C45" i="29"/>
  <c r="C46" i="29"/>
  <c r="C47" i="29"/>
  <c r="C48" i="29"/>
  <c r="C49" i="29"/>
  <c r="I49" i="29"/>
  <c r="I50" i="29" s="1"/>
  <c r="C50" i="29"/>
  <c r="C51" i="29"/>
  <c r="L34" i="30"/>
  <c r="C38" i="30"/>
  <c r="C39" i="30"/>
  <c r="C40" i="30"/>
  <c r="C41" i="30"/>
  <c r="C42" i="30"/>
  <c r="I43" i="30"/>
  <c r="I44" i="30" s="1"/>
  <c r="C44" i="30"/>
  <c r="C45" i="30"/>
  <c r="C46" i="30"/>
  <c r="C47" i="30"/>
  <c r="C48" i="30"/>
  <c r="C49" i="30"/>
  <c r="I49" i="30"/>
  <c r="I50" i="30" s="1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I49" i="31"/>
  <c r="I50" i="31" s="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30"/>
  <c r="J8" i="29" s="1"/>
  <c r="J8" i="27" s="1"/>
  <c r="J8" i="28" s="1"/>
  <c r="J8" i="26" s="1"/>
  <c r="J8" i="25" s="1"/>
  <c r="J8" i="24" s="1"/>
  <c r="J8" i="23" s="1"/>
  <c r="J8" i="21" s="1"/>
  <c r="J8" i="22" s="1"/>
  <c r="J8" i="20" s="1"/>
  <c r="J8" i="19" s="1"/>
  <c r="J8" i="18" s="1"/>
  <c r="J8" i="17" s="1"/>
  <c r="J8" i="16" s="1"/>
  <c r="J8" i="15" s="1"/>
  <c r="J8" i="14" s="1"/>
  <c r="J8" i="13" s="1"/>
  <c r="J8" i="12" s="1"/>
  <c r="J8" i="11" s="1"/>
  <c r="J8" i="10" s="1"/>
  <c r="J12" i="31"/>
  <c r="J12" i="30" s="1"/>
  <c r="J12" i="29" s="1"/>
  <c r="J12" i="27" s="1"/>
  <c r="J12" i="26" s="1"/>
  <c r="J12" i="25" s="1"/>
  <c r="J12" i="24" s="1"/>
  <c r="J12" i="23" s="1"/>
  <c r="J12" i="21" s="1"/>
  <c r="J12" i="22" s="1"/>
  <c r="J12" i="20" s="1"/>
  <c r="J12" i="19" s="1"/>
  <c r="J13" i="31"/>
  <c r="J13" i="30" s="1"/>
  <c r="J13" i="29" s="1"/>
  <c r="J13" i="27" s="1"/>
  <c r="J13" i="28" s="1"/>
  <c r="J13" i="25" s="1"/>
  <c r="J13" i="24" s="1"/>
  <c r="J13" i="23" s="1"/>
  <c r="J13" i="21" s="1"/>
  <c r="J13" i="22" s="1"/>
  <c r="J13" i="20" s="1"/>
  <c r="J13" i="19" s="1"/>
  <c r="J14" i="31"/>
  <c r="J14" i="30" s="1"/>
  <c r="J14" i="29" s="1"/>
  <c r="J14" i="27" s="1"/>
  <c r="J14" i="28" s="1"/>
  <c r="J14" i="25" s="1"/>
  <c r="J14" i="24" s="1"/>
  <c r="J14" i="23" s="1"/>
  <c r="J14" i="21" s="1"/>
  <c r="J14" i="22" s="1"/>
  <c r="J14" i="20" s="1"/>
  <c r="J14" i="19" s="1"/>
  <c r="J17" i="32"/>
  <c r="J17" i="31" s="1"/>
  <c r="J18" i="32"/>
  <c r="J18" i="31" s="1"/>
  <c r="J18" i="30" s="1"/>
  <c r="J18" i="29" s="1"/>
  <c r="J18" i="27" s="1"/>
  <c r="J18" i="28" s="1"/>
  <c r="J19" i="32"/>
  <c r="J19" i="31" s="1"/>
  <c r="J19" i="30" s="1"/>
  <c r="J19" i="29" s="1"/>
  <c r="J19" i="27" s="1"/>
  <c r="J19" i="28" s="1"/>
  <c r="J20" i="32"/>
  <c r="J20" i="31" s="1"/>
  <c r="J20" i="30" s="1"/>
  <c r="J20" i="29" s="1"/>
  <c r="J20" i="27" s="1"/>
  <c r="J20" i="28" s="1"/>
  <c r="J21" i="32"/>
  <c r="J21" i="31" s="1"/>
  <c r="J21" i="30" s="1"/>
  <c r="J21" i="29" s="1"/>
  <c r="J21" i="27" s="1"/>
  <c r="J21" i="28" s="1"/>
  <c r="J22" i="32"/>
  <c r="J22" i="31" s="1"/>
  <c r="J22" i="30" s="1"/>
  <c r="J22" i="29" s="1"/>
  <c r="J22" i="27" s="1"/>
  <c r="J22" i="28" s="1"/>
  <c r="J22" i="26" s="1"/>
  <c r="J22" i="25" s="1"/>
  <c r="J23" i="32"/>
  <c r="J23" i="31" s="1"/>
  <c r="J23" i="30" s="1"/>
  <c r="J23" i="29" s="1"/>
  <c r="J23" i="27" s="1"/>
  <c r="J23" i="28" s="1"/>
  <c r="J23" i="26" s="1"/>
  <c r="J23" i="25" s="1"/>
  <c r="J24" i="32"/>
  <c r="J24" i="31" s="1"/>
  <c r="J24" i="30" s="1"/>
  <c r="J24" i="29" s="1"/>
  <c r="J24" i="27" s="1"/>
  <c r="J24" i="28" s="1"/>
  <c r="J24" i="26" s="1"/>
  <c r="J24" i="25" s="1"/>
  <c r="J24" i="24" s="1"/>
  <c r="J24" i="23" s="1"/>
  <c r="J24" i="21" s="1"/>
  <c r="J24" i="22" s="1"/>
  <c r="J25" i="32"/>
  <c r="J25" i="31" s="1"/>
  <c r="J25" i="30" s="1"/>
  <c r="J25" i="29" s="1"/>
  <c r="J25" i="27" s="1"/>
  <c r="J25" i="28" s="1"/>
  <c r="J25" i="26" s="1"/>
  <c r="J25" i="25" s="1"/>
  <c r="J25" i="24" s="1"/>
  <c r="J25" i="23" s="1"/>
  <c r="J26" i="32"/>
  <c r="J26" i="31" s="1"/>
  <c r="J26" i="30" s="1"/>
  <c r="J26" i="29" s="1"/>
  <c r="J26" i="27" s="1"/>
  <c r="J26" i="28" s="1"/>
  <c r="J26" i="26" s="1"/>
  <c r="J26" i="25" s="1"/>
  <c r="J26" i="24" s="1"/>
  <c r="J26" i="23" s="1"/>
  <c r="J27" i="32"/>
  <c r="J27" i="31" s="1"/>
  <c r="J27" i="30" s="1"/>
  <c r="J27" i="29" s="1"/>
  <c r="J27" i="27" s="1"/>
  <c r="J27" i="28" s="1"/>
  <c r="J27" i="26" s="1"/>
  <c r="J27" i="25" s="1"/>
  <c r="J27" i="24" s="1"/>
  <c r="J27" i="23" s="1"/>
  <c r="J27" i="21" s="1"/>
  <c r="J27" i="22" s="1"/>
  <c r="J27" i="20" s="1"/>
  <c r="J27" i="19" s="1"/>
  <c r="J28" i="32"/>
  <c r="J28" i="31" s="1"/>
  <c r="J28" i="30" s="1"/>
  <c r="J28" i="29" s="1"/>
  <c r="J28" i="27" s="1"/>
  <c r="J28" i="28" s="1"/>
  <c r="J28" i="26" s="1"/>
  <c r="J28" i="25" s="1"/>
  <c r="J28" i="24" s="1"/>
  <c r="J28" i="23" s="1"/>
  <c r="J28" i="21" s="1"/>
  <c r="J28" i="22" s="1"/>
  <c r="J28" i="20" s="1"/>
  <c r="J28" i="19" s="1"/>
  <c r="J29" i="32"/>
  <c r="J29" i="31" s="1"/>
  <c r="J29" i="30" s="1"/>
  <c r="J29" i="29" s="1"/>
  <c r="J29" i="27" s="1"/>
  <c r="J29" i="28" s="1"/>
  <c r="J29" i="26" s="1"/>
  <c r="J29" i="25" s="1"/>
  <c r="J29" i="24" s="1"/>
  <c r="J29" i="23" s="1"/>
  <c r="J29" i="21" s="1"/>
  <c r="J29" i="22" s="1"/>
  <c r="J29" i="20" s="1"/>
  <c r="J29" i="19" s="1"/>
  <c r="J29" i="18" s="1"/>
  <c r="J29" i="17" s="1"/>
  <c r="J30" i="32"/>
  <c r="J30" i="31" s="1"/>
  <c r="J30" i="30" s="1"/>
  <c r="J30" i="29" s="1"/>
  <c r="J30" i="27" s="1"/>
  <c r="J30" i="28" s="1"/>
  <c r="J30" i="26" s="1"/>
  <c r="J30" i="25" s="1"/>
  <c r="J30" i="24" s="1"/>
  <c r="J30" i="23" s="1"/>
  <c r="J30" i="21" s="1"/>
  <c r="J30" i="22" s="1"/>
  <c r="J30" i="20" s="1"/>
  <c r="J30" i="19" s="1"/>
  <c r="J30" i="18" s="1"/>
  <c r="J31" i="32"/>
  <c r="J31" i="31" s="1"/>
  <c r="J31" i="30" s="1"/>
  <c r="J31" i="29" s="1"/>
  <c r="J31" i="27" s="1"/>
  <c r="J31" i="28" s="1"/>
  <c r="J31" i="26" s="1"/>
  <c r="J31" i="25" s="1"/>
  <c r="J31" i="24" s="1"/>
  <c r="J31" i="23" s="1"/>
  <c r="J31" i="21" s="1"/>
  <c r="J31" i="22" s="1"/>
  <c r="J31" i="20" s="1"/>
  <c r="J31" i="19" s="1"/>
  <c r="J31" i="18" s="1"/>
  <c r="J32" i="32"/>
  <c r="J32" i="31" s="1"/>
  <c r="J32" i="30" s="1"/>
  <c r="J32" i="29" s="1"/>
  <c r="J32" i="27" s="1"/>
  <c r="J32" i="28" s="1"/>
  <c r="J32" i="26" s="1"/>
  <c r="J32" i="25" s="1"/>
  <c r="J32" i="24" s="1"/>
  <c r="J32" i="23" s="1"/>
  <c r="L34" i="32"/>
  <c r="C38" i="32"/>
  <c r="C39" i="32"/>
  <c r="C40" i="32"/>
  <c r="C41" i="32"/>
  <c r="C42" i="32"/>
  <c r="C43" i="32"/>
  <c r="I43" i="32"/>
  <c r="I44" i="32" s="1"/>
  <c r="C44" i="32"/>
  <c r="C45" i="32"/>
  <c r="C46" i="32"/>
  <c r="C47" i="32"/>
  <c r="C48" i="32"/>
  <c r="C49" i="32"/>
  <c r="I49" i="32"/>
  <c r="I50" i="32" s="1"/>
  <c r="C50" i="32"/>
  <c r="C51" i="32"/>
  <c r="M9" i="33"/>
  <c r="M10" i="33"/>
  <c r="M10" i="32" s="1"/>
  <c r="M10" i="31" s="1"/>
  <c r="M10" i="30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D43" i="33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C50" i="33"/>
  <c r="D50" i="33" s="1"/>
  <c r="E50" i="33" s="1"/>
  <c r="C51" i="33"/>
  <c r="D51" i="33" s="1"/>
  <c r="E51" i="33" s="1"/>
  <c r="A4" i="47"/>
  <c r="A10" i="2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C10" i="39"/>
  <c r="AC11" i="39" s="1"/>
  <c r="AC12" i="39" s="1"/>
  <c r="AC13" i="39" s="1"/>
  <c r="AC14" i="39" s="1"/>
  <c r="AC15" i="39" s="1"/>
  <c r="AC16" i="39" s="1"/>
  <c r="AC17" i="39" s="1"/>
  <c r="AC18" i="39" s="1"/>
  <c r="AC19" i="39" s="1"/>
  <c r="AC20" i="39" s="1"/>
  <c r="AC21" i="39" s="1"/>
  <c r="AC22" i="39" s="1"/>
  <c r="AC23" i="39" s="1"/>
  <c r="AC24" i="39" s="1"/>
  <c r="AC25" i="39" s="1"/>
  <c r="AC26" i="39" s="1"/>
  <c r="AC27" i="39" s="1"/>
  <c r="AC28" i="39" s="1"/>
  <c r="AC29" i="39" s="1"/>
  <c r="AC30" i="39" s="1"/>
  <c r="AC31" i="39" s="1"/>
  <c r="AC32" i="39" s="1"/>
  <c r="AC33" i="39" s="1"/>
  <c r="AC34" i="39" s="1"/>
  <c r="AC35" i="39" s="1"/>
  <c r="AC36" i="39" s="1"/>
  <c r="AC37" i="39" s="1"/>
  <c r="AC38" i="39" s="1"/>
  <c r="AC39" i="39" s="1"/>
  <c r="AI10" i="39"/>
  <c r="AI11" i="39" s="1"/>
  <c r="AI12" i="39" s="1"/>
  <c r="AI13" i="39" s="1"/>
  <c r="AI14" i="39" s="1"/>
  <c r="AI15" i="39" s="1"/>
  <c r="AI16" i="39" s="1"/>
  <c r="AI17" i="39" s="1"/>
  <c r="AI18" i="39" s="1"/>
  <c r="AI19" i="39" s="1"/>
  <c r="AI20" i="39" s="1"/>
  <c r="AI21" i="39" s="1"/>
  <c r="AI22" i="39" s="1"/>
  <c r="AI23" i="39" s="1"/>
  <c r="AI24" i="39" s="1"/>
  <c r="AI25" i="39" s="1"/>
  <c r="AI26" i="39" s="1"/>
  <c r="AI27" i="39" s="1"/>
  <c r="AI28" i="39" s="1"/>
  <c r="AI29" i="39" s="1"/>
  <c r="AI30" i="39" s="1"/>
  <c r="AI31" i="39" s="1"/>
  <c r="AI32" i="39" s="1"/>
  <c r="AI33" i="39" s="1"/>
  <c r="AI34" i="39" s="1"/>
  <c r="AI35" i="39" s="1"/>
  <c r="AI36" i="39" s="1"/>
  <c r="AI37" i="39" s="1"/>
  <c r="P10" i="39"/>
  <c r="P11" i="39"/>
  <c r="B10" i="45" s="1"/>
  <c r="P12" i="39"/>
  <c r="AD12" i="39" s="1"/>
  <c r="P13" i="39"/>
  <c r="B12" i="45" s="1"/>
  <c r="P14" i="39"/>
  <c r="H14" i="39" s="1"/>
  <c r="P15" i="39"/>
  <c r="B14" i="45" s="1"/>
  <c r="P16" i="39"/>
  <c r="B15" i="45" s="1"/>
  <c r="P17" i="39"/>
  <c r="B16" i="45" s="1"/>
  <c r="P18" i="39"/>
  <c r="AJ18" i="39" s="1"/>
  <c r="P19" i="39"/>
  <c r="B18" i="45" s="1"/>
  <c r="B19" i="45"/>
  <c r="P21" i="39"/>
  <c r="B20" i="45" s="1"/>
  <c r="P22" i="39"/>
  <c r="B21" i="45" s="1"/>
  <c r="P23" i="39"/>
  <c r="B22" i="45" s="1"/>
  <c r="P24" i="39"/>
  <c r="B23" i="45" s="1"/>
  <c r="P25" i="39"/>
  <c r="B24" i="45" s="1"/>
  <c r="P26" i="39"/>
  <c r="B25" i="45" s="1"/>
  <c r="P27" i="39"/>
  <c r="B26" i="45" s="1"/>
  <c r="Y41" i="39"/>
  <c r="AA41" i="39" s="1"/>
  <c r="AB41" i="39"/>
  <c r="I46" i="43"/>
  <c r="AT39" i="39" s="1"/>
  <c r="AV39" i="39" s="1"/>
  <c r="I50" i="27"/>
  <c r="I50" i="12"/>
  <c r="I50" i="23"/>
  <c r="L44" i="11"/>
  <c r="L44" i="14"/>
  <c r="L44" i="30"/>
  <c r="AO10" i="39"/>
  <c r="AO11" i="39" s="1"/>
  <c r="AO12" i="39" s="1"/>
  <c r="AO13" i="39" s="1"/>
  <c r="AO14" i="39" s="1"/>
  <c r="AO15" i="39" s="1"/>
  <c r="AO16" i="39" s="1"/>
  <c r="AO17" i="39" s="1"/>
  <c r="AO18" i="39" s="1"/>
  <c r="AO19" i="39" s="1"/>
  <c r="AO20" i="39" s="1"/>
  <c r="AO21" i="39" s="1"/>
  <c r="AO22" i="39" s="1"/>
  <c r="AO23" i="39" s="1"/>
  <c r="AO24" i="39" s="1"/>
  <c r="AO25" i="39" s="1"/>
  <c r="AO26" i="39" s="1"/>
  <c r="AO27" i="39" s="1"/>
  <c r="AO28" i="39" s="1"/>
  <c r="AO29" i="39" s="1"/>
  <c r="AO30" i="39" s="1"/>
  <c r="AO31" i="39" s="1"/>
  <c r="AO32" i="39" s="1"/>
  <c r="AO33" i="39" s="1"/>
  <c r="AO34" i="39" s="1"/>
  <c r="AO35" i="39" s="1"/>
  <c r="AO36" i="39" s="1"/>
  <c r="AO37" i="39" s="1"/>
  <c r="AO38" i="39" s="1"/>
  <c r="AO39" i="39" s="1"/>
  <c r="AN41" i="39"/>
  <c r="I46" i="30"/>
  <c r="AT12" i="39" s="1"/>
  <c r="I43" i="21"/>
  <c r="I44" i="21" s="1"/>
  <c r="K34" i="21"/>
  <c r="C38" i="21"/>
  <c r="AH41" i="39"/>
  <c r="I46" i="19"/>
  <c r="AT23" i="39" s="1"/>
  <c r="E26" i="39"/>
  <c r="AJ31" i="39"/>
  <c r="BB28" i="39"/>
  <c r="BB17" i="39"/>
  <c r="BB31" i="39"/>
  <c r="BB35" i="39"/>
  <c r="H35" i="39"/>
  <c r="G35" i="39"/>
  <c r="G28" i="39"/>
  <c r="H28" i="39"/>
  <c r="H31" i="39"/>
  <c r="G29" i="39"/>
  <c r="BB34" i="39"/>
  <c r="BB20" i="39"/>
  <c r="G34" i="39"/>
  <c r="BB26" i="39"/>
  <c r="H38" i="39"/>
  <c r="E12" i="39"/>
  <c r="G36" i="39"/>
  <c r="BB38" i="39"/>
  <c r="H36" i="39"/>
  <c r="BB36" i="39"/>
  <c r="E39" i="39"/>
  <c r="K34" i="43"/>
  <c r="I40" i="43" s="1"/>
  <c r="R39" i="39" s="1"/>
  <c r="BJ39" i="39" s="1"/>
  <c r="C38" i="4"/>
  <c r="E37" i="39"/>
  <c r="C38" i="37"/>
  <c r="H34" i="39"/>
  <c r="K34" i="16"/>
  <c r="E23" i="39"/>
  <c r="E16" i="39"/>
  <c r="B8" i="45"/>
  <c r="I50" i="33"/>
  <c r="J37" i="33"/>
  <c r="J39" i="33" s="1"/>
  <c r="C38" i="33"/>
  <c r="D38" i="33" s="1"/>
  <c r="E38" i="33" s="1"/>
  <c r="AZ41" i="39"/>
  <c r="I46" i="23"/>
  <c r="AT19" i="39" s="1"/>
  <c r="I46" i="15"/>
  <c r="I47" i="15" s="1"/>
  <c r="I46" i="13"/>
  <c r="I47" i="13" s="1"/>
  <c r="I46" i="10"/>
  <c r="AT32" i="39" s="1"/>
  <c r="I46" i="24"/>
  <c r="AT18" i="39" s="1"/>
  <c r="I46" i="26"/>
  <c r="I47" i="26" s="1"/>
  <c r="I46" i="29"/>
  <c r="I47" i="29" s="1"/>
  <c r="W68" i="54" l="1"/>
  <c r="X68" i="54" s="1"/>
  <c r="BB39" i="39"/>
  <c r="W100" i="54"/>
  <c r="X100" i="54" s="1"/>
  <c r="W127" i="54"/>
  <c r="X127" i="54" s="1"/>
  <c r="W95" i="54"/>
  <c r="X95" i="54" s="1"/>
  <c r="W62" i="54"/>
  <c r="X62" i="54" s="1"/>
  <c r="W104" i="54"/>
  <c r="X104" i="54" s="1"/>
  <c r="F37" i="39"/>
  <c r="F14" i="39"/>
  <c r="AV31" i="39"/>
  <c r="G31" i="39"/>
  <c r="BB16" i="39"/>
  <c r="BB14" i="39"/>
  <c r="W127" i="46"/>
  <c r="H30" i="39"/>
  <c r="BB25" i="39"/>
  <c r="BB24" i="39"/>
  <c r="W62" i="46"/>
  <c r="X62" i="46" s="1"/>
  <c r="BB30" i="39"/>
  <c r="W68" i="46"/>
  <c r="X68" i="46" s="1"/>
  <c r="W104" i="46"/>
  <c r="W100" i="46"/>
  <c r="W95" i="46"/>
  <c r="F32" i="39"/>
  <c r="G30" i="39"/>
  <c r="H13" i="39"/>
  <c r="I40" i="37"/>
  <c r="R37" i="39" s="1"/>
  <c r="BD37" i="39" s="1"/>
  <c r="C24" i="33"/>
  <c r="M29" i="14"/>
  <c r="M29" i="13" s="1"/>
  <c r="M29" i="12" s="1"/>
  <c r="M29" i="11" s="1"/>
  <c r="M29" i="10" s="1"/>
  <c r="M29" i="9" s="1"/>
  <c r="M29" i="8" s="1"/>
  <c r="M29" i="7" s="1"/>
  <c r="M29" i="6" s="1"/>
  <c r="M16" i="37"/>
  <c r="M16" i="4" s="1"/>
  <c r="M16" i="43" s="1"/>
  <c r="M28" i="14"/>
  <c r="M28" i="13" s="1"/>
  <c r="M28" i="12" s="1"/>
  <c r="M28" i="11" s="1"/>
  <c r="M28" i="10" s="1"/>
  <c r="M28" i="9" s="1"/>
  <c r="M28" i="8" s="1"/>
  <c r="M28" i="7" s="1"/>
  <c r="M28" i="6" s="1"/>
  <c r="M15" i="37"/>
  <c r="M15" i="4" s="1"/>
  <c r="M15" i="43" s="1"/>
  <c r="J11" i="31"/>
  <c r="J11" i="30" s="1"/>
  <c r="J11" i="29" s="1"/>
  <c r="J11" i="28" s="1"/>
  <c r="J11" i="26" s="1"/>
  <c r="J11" i="25" s="1"/>
  <c r="J11" i="24" s="1"/>
  <c r="J11" i="23" s="1"/>
  <c r="M27" i="14"/>
  <c r="M27" i="13" s="1"/>
  <c r="M27" i="12" s="1"/>
  <c r="M27" i="11" s="1"/>
  <c r="M27" i="10" s="1"/>
  <c r="M27" i="9" s="1"/>
  <c r="M27" i="8" s="1"/>
  <c r="M27" i="7" s="1"/>
  <c r="M27" i="6" s="1"/>
  <c r="M22" i="14"/>
  <c r="M22" i="13" s="1"/>
  <c r="M22" i="12" s="1"/>
  <c r="M22" i="11" s="1"/>
  <c r="M22" i="10" s="1"/>
  <c r="M22" i="9" s="1"/>
  <c r="M22" i="8" s="1"/>
  <c r="M22" i="7" s="1"/>
  <c r="M22" i="6" s="1"/>
  <c r="M14" i="37"/>
  <c r="M14" i="4" s="1"/>
  <c r="M14" i="43" s="1"/>
  <c r="J26" i="2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10" i="31"/>
  <c r="J10" i="30" s="1"/>
  <c r="J10" i="29" s="1"/>
  <c r="J10" i="28" s="1"/>
  <c r="J10" i="26" s="1"/>
  <c r="J10" i="25" s="1"/>
  <c r="J10" i="24" s="1"/>
  <c r="J10" i="23" s="1"/>
  <c r="J10" i="21" s="1"/>
  <c r="M26" i="14"/>
  <c r="M26" i="13" s="1"/>
  <c r="M26" i="12" s="1"/>
  <c r="M26" i="11" s="1"/>
  <c r="M26" i="10" s="1"/>
  <c r="M26" i="9" s="1"/>
  <c r="M26" i="8" s="1"/>
  <c r="M26" i="7" s="1"/>
  <c r="M26" i="6" s="1"/>
  <c r="M21" i="14"/>
  <c r="M21" i="13" s="1"/>
  <c r="M21" i="12" s="1"/>
  <c r="M21" i="11" s="1"/>
  <c r="M21" i="10" s="1"/>
  <c r="M21" i="9" s="1"/>
  <c r="M21" i="8" s="1"/>
  <c r="M21" i="7" s="1"/>
  <c r="M21" i="6" s="1"/>
  <c r="J25" i="2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7" s="1"/>
  <c r="J25" i="6" s="1"/>
  <c r="J25" i="37" s="1"/>
  <c r="J17" i="30"/>
  <c r="J17" i="29" s="1"/>
  <c r="J17" i="27" s="1"/>
  <c r="J17" i="28" s="1"/>
  <c r="J17" i="26" s="1"/>
  <c r="J17" i="25" s="1"/>
  <c r="J17" i="23" s="1"/>
  <c r="J17" i="21" s="1"/>
  <c r="J17" i="22" s="1"/>
  <c r="J17" i="20" s="1"/>
  <c r="J17" i="19" s="1"/>
  <c r="J17" i="18" s="1"/>
  <c r="J17" i="17" s="1"/>
  <c r="J9" i="31"/>
  <c r="J9" i="30" s="1"/>
  <c r="J9" i="27" s="1"/>
  <c r="J9" i="28" s="1"/>
  <c r="J9" i="26" s="1"/>
  <c r="M25" i="14"/>
  <c r="M25" i="13" s="1"/>
  <c r="M25" i="12" s="1"/>
  <c r="M25" i="11" s="1"/>
  <c r="M25" i="10" s="1"/>
  <c r="M25" i="9" s="1"/>
  <c r="M25" i="8" s="1"/>
  <c r="M25" i="7" s="1"/>
  <c r="M25" i="6" s="1"/>
  <c r="M20" i="37"/>
  <c r="M20" i="4" s="1"/>
  <c r="M20" i="43" s="1"/>
  <c r="J16" i="31"/>
  <c r="J16" i="30" s="1"/>
  <c r="J16" i="29" s="1"/>
  <c r="J16" i="27" s="1"/>
  <c r="J16" i="28" s="1"/>
  <c r="J16" i="26" s="1"/>
  <c r="J16" i="24" s="1"/>
  <c r="J16" i="23" s="1"/>
  <c r="J16" i="21" s="1"/>
  <c r="J16" i="22" s="1"/>
  <c r="J16" i="20" s="1"/>
  <c r="J16" i="19" s="1"/>
  <c r="J16" i="18" s="1"/>
  <c r="J16" i="17" s="1"/>
  <c r="M24" i="14"/>
  <c r="M24" i="13" s="1"/>
  <c r="M24" i="12" s="1"/>
  <c r="M24" i="11" s="1"/>
  <c r="M24" i="10" s="1"/>
  <c r="M24" i="9" s="1"/>
  <c r="M24" i="8" s="1"/>
  <c r="M24" i="7" s="1"/>
  <c r="M24" i="6" s="1"/>
  <c r="M19" i="37"/>
  <c r="M19" i="4" s="1"/>
  <c r="M19" i="43" s="1"/>
  <c r="J31" i="17"/>
  <c r="J31" i="16" s="1"/>
  <c r="J31" i="15" s="1"/>
  <c r="J31" i="14" s="1"/>
  <c r="J31" i="13" s="1"/>
  <c r="J31" i="12" s="1"/>
  <c r="J31" i="11" s="1"/>
  <c r="J31" i="10" s="1"/>
  <c r="J15" i="31"/>
  <c r="J15" i="30" s="1"/>
  <c r="J15" i="29" s="1"/>
  <c r="J15" i="27" s="1"/>
  <c r="J15" i="28" s="1"/>
  <c r="J15" i="25" s="1"/>
  <c r="J15" i="24" s="1"/>
  <c r="J15" i="23" s="1"/>
  <c r="J15" i="21" s="1"/>
  <c r="J15" i="22" s="1"/>
  <c r="J15" i="20" s="1"/>
  <c r="J15" i="19" s="1"/>
  <c r="J15" i="18" s="1"/>
  <c r="J15" i="17" s="1"/>
  <c r="M23" i="14"/>
  <c r="M23" i="13" s="1"/>
  <c r="M23" i="12" s="1"/>
  <c r="J30" i="17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I47" i="33"/>
  <c r="AT9" i="39"/>
  <c r="BB22" i="39"/>
  <c r="J8" i="9"/>
  <c r="J8" i="8" s="1"/>
  <c r="J8" i="7" s="1"/>
  <c r="J8" i="6" s="1"/>
  <c r="J8" i="37" s="1"/>
  <c r="J8" i="4" s="1"/>
  <c r="J8" i="43" s="1"/>
  <c r="BB33" i="39"/>
  <c r="I40" i="9"/>
  <c r="I48" i="9" s="1"/>
  <c r="L47" i="10"/>
  <c r="H29" i="39"/>
  <c r="AV32" i="39"/>
  <c r="F39" i="39"/>
  <c r="AJ37" i="39"/>
  <c r="J32" i="11"/>
  <c r="J32" i="10" s="1"/>
  <c r="J32" i="9" s="1"/>
  <c r="BB32" i="39"/>
  <c r="BB19" i="39"/>
  <c r="BB27" i="39"/>
  <c r="J29" i="16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K34" i="6"/>
  <c r="I40" i="13"/>
  <c r="I51" i="13" s="1"/>
  <c r="L47" i="33"/>
  <c r="AV24" i="39"/>
  <c r="AV23" i="39"/>
  <c r="J28" i="18"/>
  <c r="J28" i="17" s="1"/>
  <c r="J27" i="18"/>
  <c r="J27" i="17" s="1"/>
  <c r="E36" i="39"/>
  <c r="F36" i="39" s="1"/>
  <c r="BB23" i="39"/>
  <c r="F34" i="39"/>
  <c r="F22" i="45"/>
  <c r="AA22" i="45"/>
  <c r="AI22" i="45"/>
  <c r="O22" i="45"/>
  <c r="S22" i="45"/>
  <c r="W22" i="45"/>
  <c r="K22" i="45"/>
  <c r="AD22" i="45"/>
  <c r="M18" i="19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K34" i="19"/>
  <c r="I40" i="19" s="1"/>
  <c r="L45" i="19" s="1"/>
  <c r="L47" i="6"/>
  <c r="F21" i="39"/>
  <c r="AV22" i="39"/>
  <c r="K34" i="8"/>
  <c r="I40" i="8" s="1"/>
  <c r="C34" i="4"/>
  <c r="F13" i="39"/>
  <c r="F34" i="17"/>
  <c r="J43" i="33"/>
  <c r="J43" i="32" s="1"/>
  <c r="J43" i="31" s="1"/>
  <c r="J43" i="30" s="1"/>
  <c r="J43" i="29" s="1"/>
  <c r="J43" i="27" s="1"/>
  <c r="J43" i="28" s="1"/>
  <c r="J43" i="26" s="1"/>
  <c r="J43" i="25" s="1"/>
  <c r="J43" i="24" s="1"/>
  <c r="J43" i="23" s="1"/>
  <c r="J43" i="21" s="1"/>
  <c r="J43" i="22" s="1"/>
  <c r="J43" i="20" s="1"/>
  <c r="J43" i="19" s="1"/>
  <c r="J43" i="18" s="1"/>
  <c r="J43" i="17" s="1"/>
  <c r="J43" i="16" s="1"/>
  <c r="J43" i="15" s="1"/>
  <c r="J43" i="14" s="1"/>
  <c r="J43" i="13" s="1"/>
  <c r="J43" i="12" s="1"/>
  <c r="J43" i="11" s="1"/>
  <c r="J43" i="10" s="1"/>
  <c r="J43" i="9" s="1"/>
  <c r="J43" i="8" s="1"/>
  <c r="J43" i="7" s="1"/>
  <c r="J43" i="6" s="1"/>
  <c r="J43" i="37" s="1"/>
  <c r="J43" i="4" s="1"/>
  <c r="J43" i="43" s="1"/>
  <c r="AD13" i="39"/>
  <c r="BB21" i="39"/>
  <c r="BB18" i="39"/>
  <c r="G13" i="39"/>
  <c r="BB13" i="39"/>
  <c r="H32" i="39"/>
  <c r="AJ13" i="39"/>
  <c r="J24" i="20"/>
  <c r="J24" i="19" s="1"/>
  <c r="J24" i="18" s="1"/>
  <c r="J24" i="17" s="1"/>
  <c r="J24" i="16" s="1"/>
  <c r="J24" i="15" s="1"/>
  <c r="J24" i="14" s="1"/>
  <c r="J24" i="13" s="1"/>
  <c r="J24" i="12" s="1"/>
  <c r="J24" i="11" s="1"/>
  <c r="J24" i="9" s="1"/>
  <c r="J24" i="8" s="1"/>
  <c r="J24" i="7" s="1"/>
  <c r="J24" i="6" s="1"/>
  <c r="J24" i="37" s="1"/>
  <c r="I40" i="25"/>
  <c r="R17" i="39" s="1"/>
  <c r="E17" i="1" s="1"/>
  <c r="EI17" i="1" s="1"/>
  <c r="C34" i="24"/>
  <c r="C33" i="43"/>
  <c r="C34" i="43"/>
  <c r="AV15" i="39"/>
  <c r="F19" i="39"/>
  <c r="J23" i="24"/>
  <c r="J23" i="23" s="1"/>
  <c r="J23" i="21" s="1"/>
  <c r="J23" i="22" s="1"/>
  <c r="J23" i="20" s="1"/>
  <c r="J18" i="26"/>
  <c r="J18" i="25" s="1"/>
  <c r="J18" i="24" s="1"/>
  <c r="J18" i="21" s="1"/>
  <c r="J18" i="22" s="1"/>
  <c r="J18" i="20" s="1"/>
  <c r="J18" i="19" s="1"/>
  <c r="J18" i="18" s="1"/>
  <c r="J18" i="17" s="1"/>
  <c r="BB11" i="39"/>
  <c r="J20" i="26"/>
  <c r="J20" i="25" s="1"/>
  <c r="J20" i="24" s="1"/>
  <c r="J20" i="23" s="1"/>
  <c r="J20" i="21" s="1"/>
  <c r="J20" i="22" s="1"/>
  <c r="J20" i="20" s="1"/>
  <c r="J20" i="18" s="1"/>
  <c r="J20" i="17" s="1"/>
  <c r="J19" i="26"/>
  <c r="J19" i="25" s="1"/>
  <c r="J19" i="24" s="1"/>
  <c r="J19" i="23" s="1"/>
  <c r="J19" i="21" s="1"/>
  <c r="J19" i="22" s="1"/>
  <c r="J19" i="20" s="1"/>
  <c r="J19" i="18" s="1"/>
  <c r="J19" i="17" s="1"/>
  <c r="J19" i="16" s="1"/>
  <c r="J19" i="15" s="1"/>
  <c r="AV18" i="39"/>
  <c r="E33" i="43"/>
  <c r="BB15" i="39"/>
  <c r="H26" i="39"/>
  <c r="J22" i="24"/>
  <c r="J22" i="23" s="1"/>
  <c r="J22" i="21" s="1"/>
  <c r="J22" i="22" s="1"/>
  <c r="J22" i="20" s="1"/>
  <c r="J22" i="19" s="1"/>
  <c r="J22" i="18" s="1"/>
  <c r="J22" i="17" s="1"/>
  <c r="G32" i="39"/>
  <c r="J21" i="26"/>
  <c r="J21" i="25" s="1"/>
  <c r="L47" i="4"/>
  <c r="L47" i="20"/>
  <c r="L47" i="12"/>
  <c r="G16" i="39"/>
  <c r="AV12" i="39"/>
  <c r="G12" i="39"/>
  <c r="BB12" i="39"/>
  <c r="H12" i="39"/>
  <c r="I40" i="28"/>
  <c r="I45" i="28" s="1"/>
  <c r="C34" i="32"/>
  <c r="K34" i="27"/>
  <c r="J13" i="18"/>
  <c r="C33" i="4"/>
  <c r="J12" i="18"/>
  <c r="G25" i="39"/>
  <c r="AJ25" i="39"/>
  <c r="H25" i="39"/>
  <c r="AD17" i="39"/>
  <c r="G17" i="39"/>
  <c r="AD25" i="39"/>
  <c r="I47" i="6"/>
  <c r="F34" i="43"/>
  <c r="F34" i="4"/>
  <c r="E33" i="33"/>
  <c r="D34" i="24"/>
  <c r="AT33" i="39"/>
  <c r="AV33" i="39" s="1"/>
  <c r="L47" i="37"/>
  <c r="L47" i="13"/>
  <c r="C34" i="17"/>
  <c r="E34" i="4"/>
  <c r="E15" i="43"/>
  <c r="G15" i="39"/>
  <c r="AJ15" i="39"/>
  <c r="L47" i="17"/>
  <c r="L47" i="9"/>
  <c r="I47" i="8"/>
  <c r="AD22" i="39"/>
  <c r="E34" i="13"/>
  <c r="F23" i="39"/>
  <c r="AT37" i="39"/>
  <c r="AV37" i="39" s="1"/>
  <c r="AT30" i="39"/>
  <c r="AV30" i="39" s="1"/>
  <c r="L47" i="28"/>
  <c r="AT35" i="39"/>
  <c r="AV35" i="39" s="1"/>
  <c r="L47" i="19"/>
  <c r="L47" i="11"/>
  <c r="G21" i="39"/>
  <c r="G27" i="39"/>
  <c r="AJ21" i="39"/>
  <c r="H20" i="39"/>
  <c r="C34" i="26"/>
  <c r="D15" i="43"/>
  <c r="F34" i="26"/>
  <c r="C37" i="45"/>
  <c r="AJ37" i="45" s="1"/>
  <c r="BJ38" i="39"/>
  <c r="A10" i="1"/>
  <c r="A11" i="2" s="1"/>
  <c r="AD21" i="39"/>
  <c r="H21" i="39"/>
  <c r="L47" i="24"/>
  <c r="L47" i="8"/>
  <c r="L47" i="16"/>
  <c r="L47" i="26"/>
  <c r="I47" i="4"/>
  <c r="D34" i="17"/>
  <c r="I48" i="4"/>
  <c r="AR38" i="39"/>
  <c r="H11" i="39"/>
  <c r="H24" i="39"/>
  <c r="AJ27" i="39"/>
  <c r="AD15" i="39"/>
  <c r="I40" i="14"/>
  <c r="I48" i="14" s="1"/>
  <c r="T38" i="39"/>
  <c r="L45" i="4"/>
  <c r="C52" i="43"/>
  <c r="C53" i="43" s="1"/>
  <c r="AJ23" i="39"/>
  <c r="H27" i="39"/>
  <c r="G26" i="39"/>
  <c r="K34" i="10"/>
  <c r="I40" i="10" s="1"/>
  <c r="L45" i="10" s="1"/>
  <c r="AD27" i="39"/>
  <c r="AJ11" i="39"/>
  <c r="I38" i="39"/>
  <c r="G23" i="39"/>
  <c r="H15" i="39"/>
  <c r="H23" i="39"/>
  <c r="G19" i="39"/>
  <c r="D34" i="26"/>
  <c r="E34" i="43"/>
  <c r="AL38" i="39"/>
  <c r="I51" i="4"/>
  <c r="V38" i="39"/>
  <c r="J38" i="39"/>
  <c r="C52" i="37"/>
  <c r="C53" i="37" s="1"/>
  <c r="G11" i="39"/>
  <c r="H17" i="39"/>
  <c r="K34" i="29"/>
  <c r="C52" i="14"/>
  <c r="C53" i="14" s="1"/>
  <c r="C52" i="13"/>
  <c r="C53" i="13" s="1"/>
  <c r="C52" i="9"/>
  <c r="C53" i="9" s="1"/>
  <c r="AD31" i="39"/>
  <c r="D34" i="32"/>
  <c r="E34" i="17"/>
  <c r="V39" i="39"/>
  <c r="C38" i="45"/>
  <c r="AX39" i="39"/>
  <c r="AJ14" i="39"/>
  <c r="B13" i="45"/>
  <c r="L47" i="23"/>
  <c r="S14" i="45"/>
  <c r="AA14" i="45"/>
  <c r="W14" i="45"/>
  <c r="O14" i="45"/>
  <c r="K14" i="45"/>
  <c r="AD14" i="45"/>
  <c r="F14" i="45"/>
  <c r="AI14" i="45"/>
  <c r="E34" i="26"/>
  <c r="C24" i="43"/>
  <c r="G39" i="39"/>
  <c r="B38" i="45"/>
  <c r="F31" i="45"/>
  <c r="AA31" i="45"/>
  <c r="AD31" i="45"/>
  <c r="AI31" i="45"/>
  <c r="O31" i="45"/>
  <c r="K31" i="45"/>
  <c r="S31" i="45"/>
  <c r="W31" i="45"/>
  <c r="D38" i="1"/>
  <c r="D39" i="2" s="1"/>
  <c r="B37" i="45"/>
  <c r="F30" i="45"/>
  <c r="AD30" i="45"/>
  <c r="S30" i="45"/>
  <c r="W30" i="45"/>
  <c r="AA30" i="45"/>
  <c r="AI30" i="45"/>
  <c r="K30" i="45"/>
  <c r="O30" i="45"/>
  <c r="F21" i="45"/>
  <c r="S21" i="45"/>
  <c r="W21" i="45"/>
  <c r="AA21" i="45"/>
  <c r="K21" i="45"/>
  <c r="AI21" i="45"/>
  <c r="O21" i="45"/>
  <c r="AD21" i="45"/>
  <c r="I47" i="43"/>
  <c r="C15" i="43"/>
  <c r="H22" i="39"/>
  <c r="L47" i="7"/>
  <c r="F20" i="45"/>
  <c r="K20" i="45"/>
  <c r="O20" i="45"/>
  <c r="AD20" i="45"/>
  <c r="S20" i="45"/>
  <c r="W20" i="45"/>
  <c r="AA20" i="45"/>
  <c r="AI20" i="45"/>
  <c r="F12" i="45"/>
  <c r="AA12" i="45"/>
  <c r="S12" i="45"/>
  <c r="W12" i="45"/>
  <c r="O12" i="45"/>
  <c r="K12" i="45"/>
  <c r="AD12" i="45"/>
  <c r="AI12" i="45"/>
  <c r="I40" i="12"/>
  <c r="C15" i="4"/>
  <c r="F29" i="45"/>
  <c r="K29" i="45"/>
  <c r="O29" i="45"/>
  <c r="AA29" i="45"/>
  <c r="W29" i="45"/>
  <c r="AI29" i="45"/>
  <c r="S29" i="45"/>
  <c r="AD29" i="45"/>
  <c r="S8" i="45"/>
  <c r="O8" i="45"/>
  <c r="K8" i="45"/>
  <c r="AA8" i="45"/>
  <c r="W8" i="45"/>
  <c r="AI8" i="45"/>
  <c r="F8" i="45"/>
  <c r="AD8" i="45"/>
  <c r="E24" i="43"/>
  <c r="D34" i="43"/>
  <c r="C34" i="13"/>
  <c r="F19" i="45"/>
  <c r="K19" i="45"/>
  <c r="O19" i="45"/>
  <c r="AI19" i="45"/>
  <c r="S19" i="45"/>
  <c r="AA19" i="45"/>
  <c r="AD19" i="45"/>
  <c r="W19" i="45"/>
  <c r="AJ12" i="39"/>
  <c r="B11" i="45"/>
  <c r="S36" i="45"/>
  <c r="F36" i="45"/>
  <c r="K36" i="45"/>
  <c r="AI36" i="45"/>
  <c r="O36" i="45"/>
  <c r="W36" i="45"/>
  <c r="AA36" i="45"/>
  <c r="AD36" i="45"/>
  <c r="F28" i="45"/>
  <c r="K28" i="45"/>
  <c r="O28" i="45"/>
  <c r="S28" i="45"/>
  <c r="AA28" i="45"/>
  <c r="AI28" i="45"/>
  <c r="W28" i="45"/>
  <c r="AD28" i="45"/>
  <c r="D24" i="43"/>
  <c r="G14" i="39"/>
  <c r="AJ22" i="39"/>
  <c r="AA26" i="45"/>
  <c r="K26" i="45"/>
  <c r="S26" i="45"/>
  <c r="W26" i="45"/>
  <c r="F26" i="45"/>
  <c r="O26" i="45"/>
  <c r="AI26" i="45"/>
  <c r="AD26" i="45"/>
  <c r="F18" i="45"/>
  <c r="AA18" i="45"/>
  <c r="AI18" i="45"/>
  <c r="O18" i="45"/>
  <c r="K18" i="45"/>
  <c r="S18" i="45"/>
  <c r="W18" i="45"/>
  <c r="AD18" i="45"/>
  <c r="W10" i="45"/>
  <c r="S10" i="45"/>
  <c r="K10" i="45"/>
  <c r="O10" i="45"/>
  <c r="F10" i="45"/>
  <c r="AA10" i="45"/>
  <c r="AD10" i="45"/>
  <c r="AI10" i="45"/>
  <c r="D33" i="43"/>
  <c r="D36" i="1"/>
  <c r="D37" i="2" s="1"/>
  <c r="B35" i="45"/>
  <c r="AP28" i="39"/>
  <c r="B27" i="45"/>
  <c r="G22" i="39"/>
  <c r="F25" i="45"/>
  <c r="S25" i="45"/>
  <c r="W25" i="45"/>
  <c r="AD25" i="45"/>
  <c r="K25" i="45"/>
  <c r="AA25" i="45"/>
  <c r="AI25" i="45"/>
  <c r="O25" i="45"/>
  <c r="AD18" i="39"/>
  <c r="B17" i="45"/>
  <c r="E34" i="33"/>
  <c r="J57" i="33" s="1"/>
  <c r="F34" i="45"/>
  <c r="AA34" i="45"/>
  <c r="S34" i="45"/>
  <c r="O34" i="45"/>
  <c r="AI34" i="45"/>
  <c r="W34" i="45"/>
  <c r="K34" i="45"/>
  <c r="AD34" i="45"/>
  <c r="E34" i="24"/>
  <c r="L47" i="15"/>
  <c r="F24" i="45"/>
  <c r="K24" i="45"/>
  <c r="O24" i="45"/>
  <c r="W24" i="45"/>
  <c r="AA24" i="45"/>
  <c r="AD24" i="45"/>
  <c r="S24" i="45"/>
  <c r="AI24" i="45"/>
  <c r="F16" i="45"/>
  <c r="K16" i="45"/>
  <c r="AI16" i="45"/>
  <c r="O16" i="45"/>
  <c r="S16" i="45"/>
  <c r="W16" i="45"/>
  <c r="AD16" i="45"/>
  <c r="AA16" i="45"/>
  <c r="F34" i="13"/>
  <c r="F33" i="45"/>
  <c r="K33" i="45"/>
  <c r="AD33" i="45"/>
  <c r="O33" i="45"/>
  <c r="W33" i="45"/>
  <c r="S33" i="45"/>
  <c r="AA33" i="45"/>
  <c r="AI33" i="45"/>
  <c r="I47" i="10"/>
  <c r="F23" i="45"/>
  <c r="K23" i="45"/>
  <c r="AD23" i="45"/>
  <c r="O23" i="45"/>
  <c r="AI23" i="45"/>
  <c r="S23" i="45"/>
  <c r="AA23" i="45"/>
  <c r="W23" i="45"/>
  <c r="AA15" i="45"/>
  <c r="S15" i="45"/>
  <c r="W15" i="45"/>
  <c r="O15" i="45"/>
  <c r="K15" i="45"/>
  <c r="F15" i="45"/>
  <c r="AI15" i="45"/>
  <c r="AD15" i="45"/>
  <c r="D34" i="13"/>
  <c r="F32" i="45"/>
  <c r="AI32" i="45"/>
  <c r="O32" i="45"/>
  <c r="W32" i="45"/>
  <c r="AD32" i="45"/>
  <c r="S32" i="45"/>
  <c r="AA32" i="45"/>
  <c r="K32" i="45"/>
  <c r="B9" i="45"/>
  <c r="AV38" i="39"/>
  <c r="AX38" i="39"/>
  <c r="I47" i="11"/>
  <c r="L48" i="43"/>
  <c r="M43" i="33"/>
  <c r="M44" i="33" s="1"/>
  <c r="I45" i="4"/>
  <c r="AJ10" i="39"/>
  <c r="K34" i="24"/>
  <c r="I40" i="24" s="1"/>
  <c r="L45" i="43"/>
  <c r="I51" i="43"/>
  <c r="AF39" i="39"/>
  <c r="AR39" i="39"/>
  <c r="AL39" i="39"/>
  <c r="I45" i="43"/>
  <c r="E38" i="1"/>
  <c r="EI38" i="1" s="1"/>
  <c r="AF38" i="39"/>
  <c r="I50" i="25"/>
  <c r="D33" i="4"/>
  <c r="E33" i="4"/>
  <c r="D24" i="4"/>
  <c r="E15" i="4"/>
  <c r="D15" i="4"/>
  <c r="D34" i="4"/>
  <c r="AP37" i="39"/>
  <c r="H37" i="39"/>
  <c r="D37" i="1"/>
  <c r="D38" i="2" s="1"/>
  <c r="AD37" i="39"/>
  <c r="H33" i="39"/>
  <c r="G33" i="39"/>
  <c r="AJ29" i="39"/>
  <c r="E38" i="39"/>
  <c r="E39" i="1"/>
  <c r="EI39" i="1" s="1"/>
  <c r="BD39" i="39"/>
  <c r="T39" i="39"/>
  <c r="J39" i="39"/>
  <c r="I39" i="39"/>
  <c r="I48" i="43"/>
  <c r="AJ24" i="39"/>
  <c r="G24" i="39"/>
  <c r="AJ20" i="39"/>
  <c r="AD20" i="39"/>
  <c r="G20" i="39"/>
  <c r="AJ16" i="39"/>
  <c r="H16" i="39"/>
  <c r="F29" i="39"/>
  <c r="L48" i="22"/>
  <c r="L47" i="22"/>
  <c r="B10" i="2"/>
  <c r="B37" i="2"/>
  <c r="B33" i="2"/>
  <c r="B29" i="2"/>
  <c r="B25" i="2"/>
  <c r="B21" i="2"/>
  <c r="B17" i="2"/>
  <c r="B13" i="2"/>
  <c r="C52" i="4"/>
  <c r="C53" i="4" s="1"/>
  <c r="H18" i="39"/>
  <c r="D15" i="33"/>
  <c r="E28" i="39"/>
  <c r="F28" i="39" s="1"/>
  <c r="E30" i="39"/>
  <c r="F30" i="39" s="1"/>
  <c r="B12" i="2"/>
  <c r="AJ28" i="39"/>
  <c r="B19" i="2"/>
  <c r="D39" i="1"/>
  <c r="D40" i="2" s="1"/>
  <c r="D28" i="1"/>
  <c r="D29" i="2" s="1"/>
  <c r="C33" i="33"/>
  <c r="D34" i="33"/>
  <c r="C52" i="6"/>
  <c r="C53" i="6" s="1"/>
  <c r="C24" i="4"/>
  <c r="F20" i="39"/>
  <c r="F34" i="33"/>
  <c r="D24" i="33"/>
  <c r="M9" i="32"/>
  <c r="D12" i="1"/>
  <c r="D13" i="2" s="1"/>
  <c r="C52" i="27"/>
  <c r="C53" i="27" s="1"/>
  <c r="D16" i="1"/>
  <c r="D17" i="2" s="1"/>
  <c r="AJ17" i="39"/>
  <c r="E17" i="39"/>
  <c r="F17" i="39" s="1"/>
  <c r="F18" i="39"/>
  <c r="D19" i="1"/>
  <c r="D20" i="2" s="1"/>
  <c r="H19" i="39"/>
  <c r="AJ19" i="39"/>
  <c r="D20" i="1"/>
  <c r="D21" i="2" s="1"/>
  <c r="D22" i="1"/>
  <c r="D23" i="2" s="1"/>
  <c r="F22" i="39"/>
  <c r="D24" i="1"/>
  <c r="D25" i="2" s="1"/>
  <c r="F24" i="39"/>
  <c r="D26" i="1"/>
  <c r="D27" i="2" s="1"/>
  <c r="F27" i="39"/>
  <c r="D29" i="1"/>
  <c r="D30" i="2" s="1"/>
  <c r="AD29" i="39"/>
  <c r="AD35" i="39"/>
  <c r="D35" i="1"/>
  <c r="D36" i="2" s="1"/>
  <c r="K34" i="7"/>
  <c r="C52" i="7"/>
  <c r="C53" i="7" s="1"/>
  <c r="M30" i="8"/>
  <c r="C52" i="8"/>
  <c r="C53" i="8" s="1"/>
  <c r="AD34" i="39"/>
  <c r="D34" i="1"/>
  <c r="D35" i="2" s="1"/>
  <c r="AT29" i="39"/>
  <c r="AV29" i="39" s="1"/>
  <c r="E33" i="39"/>
  <c r="AD33" i="39"/>
  <c r="D33" i="1"/>
  <c r="D34" i="2" s="1"/>
  <c r="D32" i="1"/>
  <c r="D33" i="2" s="1"/>
  <c r="AP31" i="39"/>
  <c r="D31" i="1"/>
  <c r="D32" i="2" s="1"/>
  <c r="E31" i="39"/>
  <c r="C52" i="10"/>
  <c r="C53" i="10" s="1"/>
  <c r="C52" i="11"/>
  <c r="C53" i="11" s="1"/>
  <c r="AP30" i="39"/>
  <c r="AD30" i="39"/>
  <c r="AJ30" i="39"/>
  <c r="D30" i="1"/>
  <c r="D31" i="2" s="1"/>
  <c r="BB29" i="39"/>
  <c r="C52" i="12"/>
  <c r="C53" i="12" s="1"/>
  <c r="L47" i="14"/>
  <c r="AP29" i="39"/>
  <c r="AT28" i="39"/>
  <c r="I47" i="14"/>
  <c r="AT27" i="39"/>
  <c r="AV27" i="39" s="1"/>
  <c r="AT21" i="39"/>
  <c r="AV21" i="39" s="1"/>
  <c r="AT25" i="39"/>
  <c r="AV25" i="39" s="1"/>
  <c r="I40" i="15"/>
  <c r="L45" i="15" s="1"/>
  <c r="AP27" i="39"/>
  <c r="D27" i="1"/>
  <c r="D28" i="2" s="1"/>
  <c r="C52" i="15"/>
  <c r="C53" i="15" s="1"/>
  <c r="L47" i="18"/>
  <c r="L48" i="21"/>
  <c r="L47" i="32"/>
  <c r="L47" i="30"/>
  <c r="L47" i="27"/>
  <c r="AT26" i="39"/>
  <c r="AV26" i="39" s="1"/>
  <c r="I47" i="18"/>
  <c r="I40" i="16"/>
  <c r="I45" i="16" s="1"/>
  <c r="C52" i="16"/>
  <c r="C53" i="16" s="1"/>
  <c r="AP26" i="39"/>
  <c r="K34" i="18"/>
  <c r="I40" i="18" s="1"/>
  <c r="L45" i="18" s="1"/>
  <c r="I40" i="17"/>
  <c r="I51" i="17" s="1"/>
  <c r="F25" i="39"/>
  <c r="AP25" i="39"/>
  <c r="D25" i="1"/>
  <c r="D26" i="2" s="1"/>
  <c r="C52" i="17"/>
  <c r="C53" i="17" s="1"/>
  <c r="C52" i="18"/>
  <c r="C53" i="18" s="1"/>
  <c r="AP24" i="39"/>
  <c r="C52" i="19"/>
  <c r="C53" i="19" s="1"/>
  <c r="AP23" i="39"/>
  <c r="D23" i="1"/>
  <c r="D24" i="2" s="1"/>
  <c r="I47" i="20"/>
  <c r="I40" i="20"/>
  <c r="L45" i="20" s="1"/>
  <c r="C52" i="20"/>
  <c r="C53" i="20" s="1"/>
  <c r="AP22" i="39"/>
  <c r="I47" i="23"/>
  <c r="AT20" i="39"/>
  <c r="AV20" i="39" s="1"/>
  <c r="I40" i="22"/>
  <c r="L45" i="22" s="1"/>
  <c r="C52" i="22"/>
  <c r="C53" i="22" s="1"/>
  <c r="AP21" i="39"/>
  <c r="D21" i="1"/>
  <c r="D22" i="2" s="1"/>
  <c r="I40" i="21"/>
  <c r="C52" i="21"/>
  <c r="C53" i="21" s="1"/>
  <c r="AP20" i="39"/>
  <c r="M46" i="33"/>
  <c r="M46" i="32" s="1"/>
  <c r="M47" i="32" s="1"/>
  <c r="L47" i="25"/>
  <c r="I40" i="23"/>
  <c r="L45" i="23" s="1"/>
  <c r="C52" i="23"/>
  <c r="C53" i="23" s="1"/>
  <c r="AP19" i="39"/>
  <c r="AV17" i="39"/>
  <c r="AT14" i="39"/>
  <c r="AV14" i="39" s="1"/>
  <c r="I47" i="25"/>
  <c r="AT16" i="39"/>
  <c r="AV16" i="39" s="1"/>
  <c r="I47" i="24"/>
  <c r="I47" i="28"/>
  <c r="F34" i="24"/>
  <c r="C52" i="24"/>
  <c r="C53" i="24" s="1"/>
  <c r="AP18" i="39"/>
  <c r="D18" i="1"/>
  <c r="D19" i="2" s="1"/>
  <c r="G18" i="39"/>
  <c r="C52" i="25"/>
  <c r="C53" i="25" s="1"/>
  <c r="AP17" i="39"/>
  <c r="D17" i="1"/>
  <c r="D18" i="2" s="1"/>
  <c r="L47" i="29"/>
  <c r="I40" i="26"/>
  <c r="I51" i="26" s="1"/>
  <c r="F16" i="39"/>
  <c r="C52" i="26"/>
  <c r="C53" i="26" s="1"/>
  <c r="AP16" i="39"/>
  <c r="AP15" i="39"/>
  <c r="D15" i="1"/>
  <c r="D16" i="2" s="1"/>
  <c r="C52" i="28"/>
  <c r="C53" i="28" s="1"/>
  <c r="AT11" i="39"/>
  <c r="AV11" i="39" s="1"/>
  <c r="AT13" i="39"/>
  <c r="AV13" i="39" s="1"/>
  <c r="J46" i="33"/>
  <c r="J47" i="33" s="1"/>
  <c r="AP14" i="39"/>
  <c r="D14" i="1"/>
  <c r="D15" i="2" s="1"/>
  <c r="AT10" i="39"/>
  <c r="AP13" i="39"/>
  <c r="D13" i="1"/>
  <c r="D14" i="2" s="1"/>
  <c r="C52" i="29"/>
  <c r="C53" i="29" s="1"/>
  <c r="L47" i="31"/>
  <c r="D33" i="33"/>
  <c r="C15" i="33"/>
  <c r="C34" i="33"/>
  <c r="E24" i="33"/>
  <c r="E15" i="33"/>
  <c r="J38" i="31"/>
  <c r="E34" i="32"/>
  <c r="AP11" i="39"/>
  <c r="D11" i="1"/>
  <c r="D12" i="2" s="1"/>
  <c r="AP10" i="39"/>
  <c r="I47" i="30"/>
  <c r="F12" i="39"/>
  <c r="C52" i="30"/>
  <c r="C53" i="30" s="1"/>
  <c r="AP12" i="39"/>
  <c r="F10" i="39"/>
  <c r="P41" i="39"/>
  <c r="AJ41" i="39" s="1"/>
  <c r="D10" i="1"/>
  <c r="D11" i="2" s="1"/>
  <c r="J50" i="33"/>
  <c r="D9" i="1"/>
  <c r="D10" i="2" s="1"/>
  <c r="D40" i="32"/>
  <c r="E40" i="32" s="1"/>
  <c r="D48" i="32"/>
  <c r="E48" i="32" s="1"/>
  <c r="C52" i="33"/>
  <c r="C53" i="33" s="1"/>
  <c r="E40" i="33"/>
  <c r="D42" i="32"/>
  <c r="E42" i="32" s="1"/>
  <c r="E44" i="33"/>
  <c r="D52" i="33"/>
  <c r="D53" i="33" s="1"/>
  <c r="D51" i="32"/>
  <c r="E51" i="32" s="1"/>
  <c r="D46" i="32"/>
  <c r="E46" i="32" s="1"/>
  <c r="D38" i="32"/>
  <c r="D38" i="31" s="1"/>
  <c r="D47" i="32"/>
  <c r="E47" i="32" s="1"/>
  <c r="D45" i="32"/>
  <c r="E45" i="32" s="1"/>
  <c r="D44" i="32"/>
  <c r="E44" i="32" s="1"/>
  <c r="D43" i="32"/>
  <c r="E43" i="32" s="1"/>
  <c r="C52" i="32"/>
  <c r="C53" i="32" s="1"/>
  <c r="D39" i="32"/>
  <c r="E39" i="32" s="1"/>
  <c r="F11" i="39"/>
  <c r="C52" i="31"/>
  <c r="C53" i="31" s="1"/>
  <c r="AI38" i="39"/>
  <c r="D50" i="32"/>
  <c r="D49" i="32"/>
  <c r="D41" i="32"/>
  <c r="E24" i="4"/>
  <c r="J49" i="32"/>
  <c r="J50" i="32" s="1"/>
  <c r="I50" i="26"/>
  <c r="J37" i="32"/>
  <c r="F35" i="39"/>
  <c r="I44" i="19"/>
  <c r="F15" i="39"/>
  <c r="H39" i="39"/>
  <c r="F38" i="39"/>
  <c r="I50" i="15"/>
  <c r="M8" i="32"/>
  <c r="AV19" i="39"/>
  <c r="I47" i="19"/>
  <c r="F26" i="39"/>
  <c r="AD14" i="39"/>
  <c r="AD16" i="39"/>
  <c r="AD19" i="39"/>
  <c r="AD24" i="39"/>
  <c r="AD26" i="39"/>
  <c r="AJ26" i="39"/>
  <c r="AD23" i="39"/>
  <c r="AD11" i="39"/>
  <c r="AD10" i="39"/>
  <c r="AP38" i="39"/>
  <c r="AJ38" i="39"/>
  <c r="AP32" i="39"/>
  <c r="AJ32" i="39"/>
  <c r="AJ39" i="39"/>
  <c r="AP39" i="39"/>
  <c r="AP36" i="39"/>
  <c r="AJ36" i="39"/>
  <c r="AP35" i="39"/>
  <c r="AJ35" i="39"/>
  <c r="AP34" i="39"/>
  <c r="AJ34" i="39"/>
  <c r="AP33" i="39"/>
  <c r="AJ33" i="39"/>
  <c r="AD32" i="39"/>
  <c r="AD38" i="39"/>
  <c r="G37" i="39"/>
  <c r="W136" i="54" l="1"/>
  <c r="I45" i="9"/>
  <c r="I51" i="37"/>
  <c r="L45" i="37"/>
  <c r="I45" i="37"/>
  <c r="I48" i="37"/>
  <c r="R33" i="39"/>
  <c r="I33" i="39" s="1"/>
  <c r="V17" i="39"/>
  <c r="AL17" i="39"/>
  <c r="AX17" i="39"/>
  <c r="I51" i="9"/>
  <c r="L45" i="9"/>
  <c r="Z110" i="54"/>
  <c r="AA108" i="54" s="1"/>
  <c r="AB108" i="54" s="1"/>
  <c r="Z110" i="46"/>
  <c r="AA108" i="46" s="1"/>
  <c r="AB108" i="46" s="1"/>
  <c r="AA136" i="54"/>
  <c r="AB136" i="54" s="1"/>
  <c r="X136" i="54"/>
  <c r="I40" i="7"/>
  <c r="R35" i="39" s="1"/>
  <c r="W136" i="46"/>
  <c r="AA127" i="46"/>
  <c r="AB127" i="46" s="1"/>
  <c r="X127" i="46"/>
  <c r="AA127" i="54"/>
  <c r="AB127" i="54" s="1"/>
  <c r="L37" i="45"/>
  <c r="AA104" i="46"/>
  <c r="AB104" i="46" s="1"/>
  <c r="X104" i="46"/>
  <c r="AA104" i="54"/>
  <c r="AB104" i="54" s="1"/>
  <c r="X100" i="46"/>
  <c r="AA95" i="54"/>
  <c r="AB95" i="54" s="1"/>
  <c r="X95" i="46"/>
  <c r="AA95" i="46"/>
  <c r="AB95" i="46" s="1"/>
  <c r="AA68" i="46"/>
  <c r="AB68" i="46" s="1"/>
  <c r="AA68" i="54"/>
  <c r="AB68" i="54" s="1"/>
  <c r="AA62" i="54"/>
  <c r="AB62" i="54" s="1"/>
  <c r="AA62" i="46"/>
  <c r="AB62" i="46" s="1"/>
  <c r="K7" i="32"/>
  <c r="K34" i="32" s="1"/>
  <c r="C35" i="32"/>
  <c r="K34" i="30"/>
  <c r="A11" i="1"/>
  <c r="A12" i="2" s="1"/>
  <c r="M22" i="37"/>
  <c r="M22" i="4" s="1"/>
  <c r="M22" i="43" s="1"/>
  <c r="M24" i="37"/>
  <c r="M24" i="4" s="1"/>
  <c r="M24" i="43" s="1"/>
  <c r="M27" i="37"/>
  <c r="M27" i="4" s="1"/>
  <c r="M27" i="43" s="1"/>
  <c r="M26" i="37"/>
  <c r="M26" i="4" s="1"/>
  <c r="M26" i="43" s="1"/>
  <c r="M28" i="37"/>
  <c r="M28" i="4" s="1"/>
  <c r="M28" i="43" s="1"/>
  <c r="J31" i="9"/>
  <c r="J31" i="8" s="1"/>
  <c r="J31" i="7" s="1"/>
  <c r="J31" i="6" s="1"/>
  <c r="J31" i="37" s="1"/>
  <c r="J31" i="4" s="1"/>
  <c r="J31" i="43" s="1"/>
  <c r="M29" i="37"/>
  <c r="M29" i="4" s="1"/>
  <c r="M29" i="43" s="1"/>
  <c r="M18" i="37"/>
  <c r="M18" i="4" s="1"/>
  <c r="M18" i="43" s="1"/>
  <c r="M25" i="37"/>
  <c r="M25" i="4" s="1"/>
  <c r="M25" i="43" s="1"/>
  <c r="M21" i="37"/>
  <c r="M21" i="4" s="1"/>
  <c r="M21" i="43" s="1"/>
  <c r="J12" i="17"/>
  <c r="J12" i="16" s="1"/>
  <c r="J12" i="15" s="1"/>
  <c r="J12" i="14" s="1"/>
  <c r="J12" i="13" s="1"/>
  <c r="J12" i="12" s="1"/>
  <c r="J12" i="11" s="1"/>
  <c r="J12" i="10" s="1"/>
  <c r="J13" i="17"/>
  <c r="J13" i="16" s="1"/>
  <c r="J13" i="15" s="1"/>
  <c r="J13" i="14" s="1"/>
  <c r="J13" i="13" s="1"/>
  <c r="J13" i="12" s="1"/>
  <c r="J13" i="11" s="1"/>
  <c r="J13" i="10" s="1"/>
  <c r="J30" i="37"/>
  <c r="J30" i="43" s="1"/>
  <c r="J29" i="43"/>
  <c r="I17" i="39"/>
  <c r="BD17" i="39"/>
  <c r="AU9" i="39"/>
  <c r="AU10" i="39" s="1"/>
  <c r="AU11" i="39" s="1"/>
  <c r="AU12" i="39" s="1"/>
  <c r="AU13" i="39" s="1"/>
  <c r="AU14" i="39" s="1"/>
  <c r="AU15" i="39" s="1"/>
  <c r="AU16" i="39" s="1"/>
  <c r="AV9" i="39"/>
  <c r="AR37" i="39"/>
  <c r="I40" i="6"/>
  <c r="J32" i="8"/>
  <c r="J32" i="7" s="1"/>
  <c r="J32" i="6" s="1"/>
  <c r="GN39" i="1"/>
  <c r="GK39" i="1"/>
  <c r="GQ39" i="1"/>
  <c r="GW39" i="1"/>
  <c r="GT39" i="1"/>
  <c r="E40" i="2"/>
  <c r="GQ38" i="1"/>
  <c r="GT38" i="1"/>
  <c r="GK38" i="1"/>
  <c r="GW38" i="1"/>
  <c r="GN38" i="1"/>
  <c r="M23" i="11"/>
  <c r="M23" i="10" s="1"/>
  <c r="M23" i="9" s="1"/>
  <c r="M23" i="8" s="1"/>
  <c r="M23" i="7" s="1"/>
  <c r="M23" i="6" s="1"/>
  <c r="J26" i="11"/>
  <c r="J26" i="10" s="1"/>
  <c r="J26" i="9" s="1"/>
  <c r="J26" i="8" s="1"/>
  <c r="J26" i="7" s="1"/>
  <c r="J26" i="37" s="1"/>
  <c r="D35" i="17"/>
  <c r="R29" i="39"/>
  <c r="C28" i="45" s="1"/>
  <c r="P28" i="45" s="1"/>
  <c r="I45" i="13"/>
  <c r="L45" i="13"/>
  <c r="R15" i="39"/>
  <c r="T37" i="39"/>
  <c r="I51" i="28"/>
  <c r="I48" i="13"/>
  <c r="I48" i="28"/>
  <c r="E35" i="11"/>
  <c r="C35" i="12"/>
  <c r="D35" i="14"/>
  <c r="J27" i="16"/>
  <c r="J27" i="15" s="1"/>
  <c r="J27" i="14" s="1"/>
  <c r="J27" i="13" s="1"/>
  <c r="J27" i="12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33" i="39"/>
  <c r="J44" i="33"/>
  <c r="J17" i="16"/>
  <c r="C35" i="17"/>
  <c r="J10" i="22"/>
  <c r="E35" i="17"/>
  <c r="E35" i="13"/>
  <c r="L45" i="28"/>
  <c r="P37" i="45"/>
  <c r="C35" i="14"/>
  <c r="BJ17" i="39"/>
  <c r="J11" i="21"/>
  <c r="X37" i="45"/>
  <c r="J17" i="39"/>
  <c r="I51" i="25"/>
  <c r="I48" i="25"/>
  <c r="C35" i="16"/>
  <c r="C35" i="24"/>
  <c r="AB37" i="45"/>
  <c r="AR17" i="39"/>
  <c r="T17" i="39"/>
  <c r="C16" i="45"/>
  <c r="AJ16" i="45" s="1"/>
  <c r="AE37" i="45"/>
  <c r="T37" i="45"/>
  <c r="D35" i="25"/>
  <c r="E35" i="14"/>
  <c r="AF17" i="39"/>
  <c r="E35" i="12"/>
  <c r="G37" i="45"/>
  <c r="C35" i="9"/>
  <c r="L45" i="25"/>
  <c r="I45" i="25"/>
  <c r="C35" i="8"/>
  <c r="Q10" i="39"/>
  <c r="AQ10" i="39" s="1"/>
  <c r="AL37" i="39"/>
  <c r="D35" i="9"/>
  <c r="E37" i="1"/>
  <c r="GH37" i="1" s="1"/>
  <c r="C35" i="43"/>
  <c r="I40" i="27"/>
  <c r="I45" i="27" s="1"/>
  <c r="D35" i="12"/>
  <c r="J21" i="24"/>
  <c r="J21" i="23" s="1"/>
  <c r="J21" i="21" s="1"/>
  <c r="J21" i="22" s="1"/>
  <c r="J21" i="20" s="1"/>
  <c r="J21" i="19" s="1"/>
  <c r="I37" i="39"/>
  <c r="E35" i="37"/>
  <c r="AF33" i="39"/>
  <c r="J9" i="25"/>
  <c r="J9" i="24" s="1"/>
  <c r="J9" i="23" s="1"/>
  <c r="V37" i="39"/>
  <c r="C35" i="15"/>
  <c r="J15" i="16"/>
  <c r="J15" i="15" s="1"/>
  <c r="J15" i="14" s="1"/>
  <c r="J15" i="13" s="1"/>
  <c r="D35" i="26"/>
  <c r="C35" i="26"/>
  <c r="C35" i="7"/>
  <c r="I45" i="10"/>
  <c r="I51" i="10"/>
  <c r="D35" i="13"/>
  <c r="R32" i="39"/>
  <c r="E35" i="26"/>
  <c r="E35" i="10"/>
  <c r="D35" i="43"/>
  <c r="I48" i="10"/>
  <c r="M12" i="27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AX37" i="39"/>
  <c r="E35" i="25"/>
  <c r="AF37" i="39"/>
  <c r="J37" i="39"/>
  <c r="E35" i="9"/>
  <c r="I40" i="29"/>
  <c r="I48" i="29" s="1"/>
  <c r="I51" i="15"/>
  <c r="D35" i="37"/>
  <c r="I45" i="19"/>
  <c r="I45" i="17"/>
  <c r="M30" i="7"/>
  <c r="M30" i="6" s="1"/>
  <c r="M30" i="37" s="1"/>
  <c r="M30" i="4" s="1"/>
  <c r="M30" i="43" s="1"/>
  <c r="R25" i="39"/>
  <c r="M43" i="32"/>
  <c r="M44" i="32" s="1"/>
  <c r="JB38" i="1"/>
  <c r="IP38" i="1"/>
  <c r="HU38" i="1"/>
  <c r="HI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IY38" i="1"/>
  <c r="IM38" i="1"/>
  <c r="ID38" i="1"/>
  <c r="HR38" i="1"/>
  <c r="HF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JE38" i="1"/>
  <c r="IS38" i="1"/>
  <c r="IG38" i="1"/>
  <c r="HX38" i="1"/>
  <c r="HL38" i="1"/>
  <c r="GZ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CY38" i="1"/>
  <c r="G38" i="1"/>
  <c r="IA38" i="1"/>
  <c r="AQ38" i="1"/>
  <c r="FS38" i="1"/>
  <c r="CA38" i="1"/>
  <c r="HC38" i="1"/>
  <c r="DK38" i="1"/>
  <c r="S38" i="1"/>
  <c r="IJ38" i="1"/>
  <c r="EU38" i="1"/>
  <c r="BC38" i="1"/>
  <c r="HO38" i="1"/>
  <c r="DW38" i="1"/>
  <c r="AE38" i="1"/>
  <c r="IV38" i="1"/>
  <c r="GE38" i="1"/>
  <c r="BO38" i="1"/>
  <c r="CM38" i="1"/>
  <c r="FG38" i="1"/>
  <c r="C35" i="37"/>
  <c r="J49" i="31"/>
  <c r="J50" i="31" s="1"/>
  <c r="IY17" i="1"/>
  <c r="IM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IV17" i="1"/>
  <c r="IJ17" i="1"/>
  <c r="IA17" i="1"/>
  <c r="HO17" i="1"/>
  <c r="HC17" i="1"/>
  <c r="GQ17" i="1"/>
  <c r="GE17" i="1"/>
  <c r="FS17" i="1"/>
  <c r="FG17" i="1"/>
  <c r="EU17" i="1"/>
  <c r="DW17" i="1"/>
  <c r="DK17" i="1"/>
  <c r="CY17" i="1"/>
  <c r="CM17" i="1"/>
  <c r="CA17" i="1"/>
  <c r="BO17" i="1"/>
  <c r="BC17" i="1"/>
  <c r="AQ17" i="1"/>
  <c r="AE17" i="1"/>
  <c r="S17" i="1"/>
  <c r="G17" i="1"/>
  <c r="JE17" i="1"/>
  <c r="IS17" i="1"/>
  <c r="IG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B17" i="1"/>
  <c r="IP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IV39" i="1"/>
  <c r="IJ39" i="1"/>
  <c r="IA39" i="1"/>
  <c r="HO39" i="1"/>
  <c r="HC39" i="1"/>
  <c r="GE39" i="1"/>
  <c r="FS39" i="1"/>
  <c r="FG39" i="1"/>
  <c r="EU39" i="1"/>
  <c r="DW39" i="1"/>
  <c r="DK39" i="1"/>
  <c r="CY39" i="1"/>
  <c r="CM39" i="1"/>
  <c r="CA39" i="1"/>
  <c r="BO39" i="1"/>
  <c r="BC39" i="1"/>
  <c r="AQ39" i="1"/>
  <c r="AE39" i="1"/>
  <c r="S39" i="1"/>
  <c r="G39" i="1"/>
  <c r="JE39" i="1"/>
  <c r="IS39" i="1"/>
  <c r="IG39" i="1"/>
  <c r="HX39" i="1"/>
  <c r="HL39" i="1"/>
  <c r="GZ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IY39" i="1"/>
  <c r="IM39" i="1"/>
  <c r="ID39" i="1"/>
  <c r="HR39" i="1"/>
  <c r="HF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CS39" i="1"/>
  <c r="HU39" i="1"/>
  <c r="EC39" i="1"/>
  <c r="AK39" i="1"/>
  <c r="JB39" i="1"/>
  <c r="FM39" i="1"/>
  <c r="BU39" i="1"/>
  <c r="DE39" i="1"/>
  <c r="M39" i="1"/>
  <c r="EO39" i="1"/>
  <c r="AW39" i="1"/>
  <c r="HI39" i="1"/>
  <c r="DQ39" i="1"/>
  <c r="Y39" i="1"/>
  <c r="IP39" i="1"/>
  <c r="FY39" i="1"/>
  <c r="BI39" i="1"/>
  <c r="FA39" i="1"/>
  <c r="CG39" i="1"/>
  <c r="E35" i="43"/>
  <c r="E35" i="28"/>
  <c r="C36" i="45"/>
  <c r="BJ37" i="39"/>
  <c r="E35" i="8"/>
  <c r="D35" i="10"/>
  <c r="D35" i="8"/>
  <c r="D35" i="28"/>
  <c r="L45" i="14"/>
  <c r="R28" i="39"/>
  <c r="I51" i="14"/>
  <c r="I45" i="14"/>
  <c r="C35" i="10"/>
  <c r="D35" i="15"/>
  <c r="M10" i="29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C35" i="13"/>
  <c r="E35" i="32"/>
  <c r="E35" i="15"/>
  <c r="M46" i="31"/>
  <c r="M46" i="30" s="1"/>
  <c r="M46" i="29" s="1"/>
  <c r="M46" i="27" s="1"/>
  <c r="M46" i="28" s="1"/>
  <c r="M46" i="26" s="1"/>
  <c r="M46" i="25" s="1"/>
  <c r="M46" i="24" s="1"/>
  <c r="M46" i="23" s="1"/>
  <c r="M46" i="21" s="1"/>
  <c r="M46" i="22" s="1"/>
  <c r="M46" i="20" s="1"/>
  <c r="M46" i="19" s="1"/>
  <c r="M46" i="18" s="1"/>
  <c r="M46" i="17" s="1"/>
  <c r="M46" i="16" s="1"/>
  <c r="M46" i="15" s="1"/>
  <c r="M46" i="14" s="1"/>
  <c r="M46" i="13" s="1"/>
  <c r="M46" i="12" s="1"/>
  <c r="M46" i="11" s="1"/>
  <c r="M46" i="10" s="1"/>
  <c r="M46" i="9" s="1"/>
  <c r="M46" i="8" s="1"/>
  <c r="M46" i="7" s="1"/>
  <c r="M46" i="6" s="1"/>
  <c r="M46" i="37" s="1"/>
  <c r="M46" i="4" s="1"/>
  <c r="M46" i="43" s="1"/>
  <c r="C35" i="28"/>
  <c r="D35" i="24"/>
  <c r="E35" i="24"/>
  <c r="F17" i="45"/>
  <c r="W17" i="45"/>
  <c r="O17" i="45"/>
  <c r="S17" i="45"/>
  <c r="AA17" i="45"/>
  <c r="AI17" i="45"/>
  <c r="K17" i="45"/>
  <c r="AD17" i="45"/>
  <c r="F35" i="45"/>
  <c r="AD35" i="45"/>
  <c r="K35" i="45"/>
  <c r="W35" i="45"/>
  <c r="O35" i="45"/>
  <c r="S35" i="45"/>
  <c r="AA35" i="45"/>
  <c r="AI35" i="45"/>
  <c r="S11" i="45"/>
  <c r="AA11" i="45"/>
  <c r="K11" i="45"/>
  <c r="W11" i="45"/>
  <c r="O11" i="45"/>
  <c r="F11" i="45"/>
  <c r="AI11" i="45"/>
  <c r="AD11" i="45"/>
  <c r="I45" i="12"/>
  <c r="L45" i="12"/>
  <c r="I51" i="12"/>
  <c r="R30" i="39"/>
  <c r="I48" i="12"/>
  <c r="D35" i="16"/>
  <c r="F37" i="45"/>
  <c r="K37" i="45"/>
  <c r="AA37" i="45"/>
  <c r="O37" i="45"/>
  <c r="S37" i="45"/>
  <c r="W37" i="45"/>
  <c r="AD37" i="45"/>
  <c r="AI37" i="45"/>
  <c r="E35" i="7"/>
  <c r="F38" i="45"/>
  <c r="W38" i="45"/>
  <c r="O38" i="45"/>
  <c r="AA38" i="45"/>
  <c r="S38" i="45"/>
  <c r="K38" i="45"/>
  <c r="AI38" i="45"/>
  <c r="AD38" i="45"/>
  <c r="D35" i="7"/>
  <c r="D35" i="20"/>
  <c r="AB38" i="45"/>
  <c r="L38" i="45"/>
  <c r="X38" i="45"/>
  <c r="T38" i="45"/>
  <c r="P38" i="45"/>
  <c r="G38" i="45"/>
  <c r="AJ38" i="45"/>
  <c r="AE38" i="45"/>
  <c r="S13" i="45"/>
  <c r="O13" i="45"/>
  <c r="K13" i="45"/>
  <c r="AA13" i="45"/>
  <c r="W13" i="45"/>
  <c r="F13" i="45"/>
  <c r="AD13" i="45"/>
  <c r="AI13" i="45"/>
  <c r="D35" i="32"/>
  <c r="F27" i="45"/>
  <c r="AA27" i="45"/>
  <c r="AD27" i="45"/>
  <c r="O27" i="45"/>
  <c r="K27" i="45"/>
  <c r="S27" i="45"/>
  <c r="AI27" i="45"/>
  <c r="W27" i="45"/>
  <c r="W9" i="45"/>
  <c r="S9" i="45"/>
  <c r="AA9" i="45"/>
  <c r="O9" i="45"/>
  <c r="F9" i="45"/>
  <c r="K9" i="45"/>
  <c r="B40" i="45"/>
  <c r="AI9" i="45"/>
  <c r="AD9" i="45"/>
  <c r="E18" i="2"/>
  <c r="K34" i="33"/>
  <c r="M7" i="33"/>
  <c r="I48" i="19"/>
  <c r="J57" i="32"/>
  <c r="J57" i="31" s="1"/>
  <c r="J57" i="30" s="1"/>
  <c r="J57" i="29" s="1"/>
  <c r="J57" i="27" s="1"/>
  <c r="J57" i="28" s="1"/>
  <c r="J57" i="26" s="1"/>
  <c r="J57" i="25" s="1"/>
  <c r="J44" i="31"/>
  <c r="E52" i="33"/>
  <c r="E53" i="33" s="1"/>
  <c r="D42" i="2"/>
  <c r="J56" i="33"/>
  <c r="J56" i="32" s="1"/>
  <c r="J56" i="31" s="1"/>
  <c r="J56" i="30" s="1"/>
  <c r="J56" i="29" s="1"/>
  <c r="J56" i="27" s="1"/>
  <c r="J56" i="28" s="1"/>
  <c r="J56" i="26" s="1"/>
  <c r="J56" i="25" s="1"/>
  <c r="J58" i="25" s="1"/>
  <c r="D35" i="4"/>
  <c r="E35" i="4"/>
  <c r="E39" i="2"/>
  <c r="E35" i="20"/>
  <c r="J38" i="30"/>
  <c r="J44" i="30" s="1"/>
  <c r="C35" i="23"/>
  <c r="C35" i="20"/>
  <c r="E35" i="16"/>
  <c r="C35" i="4"/>
  <c r="A12" i="1"/>
  <c r="A13" i="2" s="1"/>
  <c r="D40" i="31"/>
  <c r="D40" i="30" s="1"/>
  <c r="E40" i="30" s="1"/>
  <c r="C35" i="25"/>
  <c r="C35" i="18"/>
  <c r="E35" i="18"/>
  <c r="I45" i="18"/>
  <c r="L45" i="17"/>
  <c r="I48" i="17"/>
  <c r="J44" i="32"/>
  <c r="R34" i="39"/>
  <c r="I45" i="8"/>
  <c r="I48" i="8"/>
  <c r="I51" i="8"/>
  <c r="L45" i="8"/>
  <c r="M47" i="33"/>
  <c r="F33" i="39"/>
  <c r="D35" i="11"/>
  <c r="C35" i="11"/>
  <c r="F31" i="39"/>
  <c r="AX29" i="39"/>
  <c r="AV28" i="39"/>
  <c r="R27" i="39"/>
  <c r="I45" i="15"/>
  <c r="I48" i="15"/>
  <c r="L45" i="16"/>
  <c r="I48" i="16"/>
  <c r="I51" i="16"/>
  <c r="R26" i="39"/>
  <c r="D35" i="18"/>
  <c r="M17" i="18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R24" i="39"/>
  <c r="I51" i="18"/>
  <c r="I48" i="18"/>
  <c r="R23" i="39"/>
  <c r="I51" i="19"/>
  <c r="I45" i="20"/>
  <c r="I51" i="20"/>
  <c r="R22" i="39"/>
  <c r="I48" i="20"/>
  <c r="AT41" i="39"/>
  <c r="C35" i="22"/>
  <c r="E35" i="22"/>
  <c r="D35" i="22"/>
  <c r="R21" i="39"/>
  <c r="I51" i="22"/>
  <c r="I45" i="22"/>
  <c r="I48" i="22"/>
  <c r="I51" i="21"/>
  <c r="L45" i="21"/>
  <c r="I48" i="21"/>
  <c r="I45" i="21"/>
  <c r="R20" i="39"/>
  <c r="C35" i="21"/>
  <c r="E35" i="21"/>
  <c r="D35" i="21"/>
  <c r="J46" i="32"/>
  <c r="J47" i="32" s="1"/>
  <c r="I45" i="23"/>
  <c r="R19" i="39"/>
  <c r="I51" i="23"/>
  <c r="I48" i="23"/>
  <c r="D35" i="23"/>
  <c r="E35" i="23"/>
  <c r="L45" i="24"/>
  <c r="I45" i="24"/>
  <c r="I48" i="24"/>
  <c r="R18" i="39"/>
  <c r="I51" i="24"/>
  <c r="R16" i="39"/>
  <c r="I48" i="26"/>
  <c r="I45" i="26"/>
  <c r="L45" i="26"/>
  <c r="E35" i="33"/>
  <c r="C35" i="33"/>
  <c r="D35" i="33"/>
  <c r="D47" i="31"/>
  <c r="E47" i="31" s="1"/>
  <c r="AD41" i="39"/>
  <c r="AP41" i="39"/>
  <c r="D46" i="31"/>
  <c r="E46" i="31" s="1"/>
  <c r="D48" i="31"/>
  <c r="D48" i="30" s="1"/>
  <c r="D45" i="31"/>
  <c r="D45" i="30" s="1"/>
  <c r="D39" i="31"/>
  <c r="D39" i="30" s="1"/>
  <c r="D42" i="31"/>
  <c r="D42" i="30" s="1"/>
  <c r="D42" i="29" s="1"/>
  <c r="E42" i="29" s="1"/>
  <c r="D43" i="31"/>
  <c r="D43" i="30" s="1"/>
  <c r="D44" i="31"/>
  <c r="E44" i="31" s="1"/>
  <c r="E38" i="32"/>
  <c r="D38" i="30"/>
  <c r="E38" i="31"/>
  <c r="D51" i="31"/>
  <c r="D41" i="31"/>
  <c r="E41" i="32"/>
  <c r="D52" i="32"/>
  <c r="E50" i="32"/>
  <c r="D50" i="31"/>
  <c r="J39" i="32"/>
  <c r="J37" i="31"/>
  <c r="E35" i="19"/>
  <c r="C35" i="19"/>
  <c r="D35" i="19"/>
  <c r="E49" i="32"/>
  <c r="D49" i="31"/>
  <c r="AI39" i="39"/>
  <c r="M8" i="31"/>
  <c r="W21" i="54" l="1"/>
  <c r="X21" i="54" s="1"/>
  <c r="W11" i="54"/>
  <c r="X11" i="54" s="1"/>
  <c r="AL29" i="39"/>
  <c r="BD29" i="39"/>
  <c r="AL33" i="39"/>
  <c r="T33" i="39"/>
  <c r="V33" i="39"/>
  <c r="BD33" i="39"/>
  <c r="I45" i="7"/>
  <c r="BJ33" i="39"/>
  <c r="E33" i="1"/>
  <c r="IJ33" i="1" s="1"/>
  <c r="AR33" i="39"/>
  <c r="C32" i="45"/>
  <c r="AX33" i="39"/>
  <c r="L45" i="7"/>
  <c r="I51" i="7"/>
  <c r="I48" i="7"/>
  <c r="J32" i="37"/>
  <c r="J32" i="4" s="1"/>
  <c r="J32" i="43" s="1"/>
  <c r="I29" i="39"/>
  <c r="J29" i="39"/>
  <c r="E29" i="1"/>
  <c r="EI29" i="1" s="1"/>
  <c r="AW37" i="1"/>
  <c r="BO37" i="1"/>
  <c r="AF29" i="39"/>
  <c r="AR29" i="39"/>
  <c r="CP37" i="1"/>
  <c r="T29" i="39"/>
  <c r="V29" i="39"/>
  <c r="AA136" i="46"/>
  <c r="AB136" i="46" s="1"/>
  <c r="X136" i="46"/>
  <c r="W11" i="46"/>
  <c r="X11" i="46" s="1"/>
  <c r="W21" i="46"/>
  <c r="X21" i="46" s="1"/>
  <c r="V37" i="1"/>
  <c r="EI37" i="1"/>
  <c r="CV37" i="1"/>
  <c r="BU37" i="1"/>
  <c r="ID33" i="1"/>
  <c r="I40" i="32"/>
  <c r="AQ33" i="1"/>
  <c r="AA11" i="54"/>
  <c r="AB11" i="54" s="1"/>
  <c r="E38" i="2"/>
  <c r="X16" i="45"/>
  <c r="EO37" i="1"/>
  <c r="DK40" i="2"/>
  <c r="DI40" i="2"/>
  <c r="G37" i="1"/>
  <c r="DK18" i="2"/>
  <c r="DI18" i="2"/>
  <c r="JE37" i="1"/>
  <c r="CM37" i="1"/>
  <c r="DK39" i="2"/>
  <c r="DI39" i="2"/>
  <c r="AB37" i="1"/>
  <c r="FG37" i="1"/>
  <c r="DH37" i="1"/>
  <c r="AH37" i="1"/>
  <c r="J49" i="30"/>
  <c r="J49" i="29" s="1"/>
  <c r="I40" i="30"/>
  <c r="AT33" i="1"/>
  <c r="HX33" i="1"/>
  <c r="P33" i="1"/>
  <c r="S33" i="1"/>
  <c r="DN37" i="1"/>
  <c r="FD37" i="1"/>
  <c r="CG37" i="1"/>
  <c r="CY37" i="1"/>
  <c r="DZ37" i="1"/>
  <c r="DT37" i="1"/>
  <c r="FM37" i="1"/>
  <c r="GE37" i="1"/>
  <c r="HF37" i="1"/>
  <c r="ER37" i="1"/>
  <c r="FY37" i="1"/>
  <c r="IV37" i="1"/>
  <c r="HR37" i="1"/>
  <c r="P37" i="1"/>
  <c r="JB37" i="1"/>
  <c r="M43" i="31"/>
  <c r="M43" i="30" s="1"/>
  <c r="M43" i="29" s="1"/>
  <c r="M43" i="27" s="1"/>
  <c r="M43" i="28" s="1"/>
  <c r="M43" i="26" s="1"/>
  <c r="M43" i="25" s="1"/>
  <c r="M43" i="24" s="1"/>
  <c r="M43" i="23" s="1"/>
  <c r="M43" i="21" s="1"/>
  <c r="M43" i="22" s="1"/>
  <c r="M43" i="20" s="1"/>
  <c r="M43" i="19" s="1"/>
  <c r="M43" i="18" s="1"/>
  <c r="M43" i="17" s="1"/>
  <c r="M43" i="16" s="1"/>
  <c r="M43" i="15" s="1"/>
  <c r="M43" i="14" s="1"/>
  <c r="M43" i="13" s="1"/>
  <c r="M43" i="12" s="1"/>
  <c r="M43" i="11" s="1"/>
  <c r="M43" i="10" s="1"/>
  <c r="M43" i="9" s="1"/>
  <c r="M43" i="8" s="1"/>
  <c r="M43" i="7" s="1"/>
  <c r="M43" i="6" s="1"/>
  <c r="J17" i="15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M17" i="37"/>
  <c r="M17" i="4" s="1"/>
  <c r="M17" i="43" s="1"/>
  <c r="M23" i="37"/>
  <c r="M23" i="4" s="1"/>
  <c r="M23" i="43" s="1"/>
  <c r="BX33" i="1"/>
  <c r="AW33" i="1"/>
  <c r="BC33" i="1"/>
  <c r="BR33" i="1"/>
  <c r="FA33" i="1"/>
  <c r="FD33" i="1"/>
  <c r="DK33" i="1"/>
  <c r="E34" i="2"/>
  <c r="JE33" i="1"/>
  <c r="EL33" i="1"/>
  <c r="AN33" i="1"/>
  <c r="CV33" i="1"/>
  <c r="EU33" i="1"/>
  <c r="FJ33" i="1"/>
  <c r="ER33" i="1"/>
  <c r="HC33" i="1"/>
  <c r="FV33" i="1"/>
  <c r="DQ33" i="1"/>
  <c r="FY33" i="1"/>
  <c r="IA33" i="1"/>
  <c r="I32" i="39"/>
  <c r="V32" i="39"/>
  <c r="BJ29" i="39"/>
  <c r="J28" i="4"/>
  <c r="J28" i="43" s="1"/>
  <c r="BJ28" i="39"/>
  <c r="J25" i="39"/>
  <c r="C22" i="45"/>
  <c r="L22" i="45" s="1"/>
  <c r="E15" i="1"/>
  <c r="BR15" i="1" s="1"/>
  <c r="AW9" i="39"/>
  <c r="L45" i="6"/>
  <c r="I51" i="6"/>
  <c r="R36" i="39"/>
  <c r="I48" i="6"/>
  <c r="I45" i="6"/>
  <c r="AX32" i="39"/>
  <c r="M15" i="1"/>
  <c r="I15" i="39"/>
  <c r="J32" i="39"/>
  <c r="T15" i="39"/>
  <c r="J12" i="9"/>
  <c r="J12" i="8" s="1"/>
  <c r="J12" i="7" s="1"/>
  <c r="J12" i="6" s="1"/>
  <c r="AL32" i="39"/>
  <c r="BD15" i="39"/>
  <c r="AX15" i="39"/>
  <c r="BD32" i="39"/>
  <c r="AF32" i="39"/>
  <c r="C31" i="45"/>
  <c r="AE31" i="45" s="1"/>
  <c r="BJ15" i="39"/>
  <c r="AR15" i="39"/>
  <c r="T32" i="39"/>
  <c r="E32" i="1"/>
  <c r="GK32" i="1" s="1"/>
  <c r="V15" i="39"/>
  <c r="AL15" i="39"/>
  <c r="J13" i="9"/>
  <c r="J13" i="8" s="1"/>
  <c r="J13" i="7" s="1"/>
  <c r="J13" i="6" s="1"/>
  <c r="AR32" i="39"/>
  <c r="J15" i="39"/>
  <c r="C14" i="45"/>
  <c r="AB14" i="45" s="1"/>
  <c r="HR33" i="1"/>
  <c r="GN33" i="1"/>
  <c r="GZ33" i="1"/>
  <c r="GQ33" i="1"/>
  <c r="GT33" i="1"/>
  <c r="GW33" i="1"/>
  <c r="GK33" i="1"/>
  <c r="FV37" i="1"/>
  <c r="GT37" i="1"/>
  <c r="GK37" i="1"/>
  <c r="GW37" i="1"/>
  <c r="GQ37" i="1"/>
  <c r="GN37" i="1"/>
  <c r="AF15" i="39"/>
  <c r="L16" i="45"/>
  <c r="AB16" i="45"/>
  <c r="HL29" i="1"/>
  <c r="P16" i="45"/>
  <c r="AK10" i="39"/>
  <c r="AE10" i="39"/>
  <c r="AE16" i="45"/>
  <c r="T16" i="45"/>
  <c r="Q11" i="39"/>
  <c r="Q12" i="39" s="1"/>
  <c r="G16" i="45"/>
  <c r="J27" i="11"/>
  <c r="J27" i="10" s="1"/>
  <c r="J27" i="9" s="1"/>
  <c r="J27" i="8" s="1"/>
  <c r="J27" i="7" s="1"/>
  <c r="J27" i="37" s="1"/>
  <c r="K34" i="11"/>
  <c r="J15" i="12"/>
  <c r="J15" i="11" s="1"/>
  <c r="J15" i="10" s="1"/>
  <c r="J15" i="9" s="1"/>
  <c r="J15" i="8" s="1"/>
  <c r="J15" i="7" s="1"/>
  <c r="J15" i="6" s="1"/>
  <c r="J15" i="37" s="1"/>
  <c r="BJ32" i="39"/>
  <c r="GW32" i="1"/>
  <c r="BJ30" i="39"/>
  <c r="L28" i="45"/>
  <c r="C24" i="45"/>
  <c r="X24" i="45" s="1"/>
  <c r="I51" i="29"/>
  <c r="J18" i="16"/>
  <c r="L45" i="29"/>
  <c r="J14" i="18"/>
  <c r="J56" i="24"/>
  <c r="J59" i="24" s="1"/>
  <c r="AL25" i="39"/>
  <c r="J10" i="20"/>
  <c r="J10" i="19" s="1"/>
  <c r="J10" i="18" s="1"/>
  <c r="J10" i="17" s="1"/>
  <c r="J10" i="16" s="1"/>
  <c r="J10" i="15" s="1"/>
  <c r="J10" i="14" s="1"/>
  <c r="J10" i="13" s="1"/>
  <c r="J10" i="12" s="1"/>
  <c r="J10" i="11" s="1"/>
  <c r="J10" i="10" s="1"/>
  <c r="BD25" i="39"/>
  <c r="J16" i="16"/>
  <c r="J23" i="19"/>
  <c r="J23" i="18" s="1"/>
  <c r="J23" i="17" s="1"/>
  <c r="J11" i="22"/>
  <c r="I51" i="27"/>
  <c r="AF25" i="39"/>
  <c r="T25" i="39"/>
  <c r="HL33" i="1"/>
  <c r="BU33" i="1"/>
  <c r="JB33" i="1"/>
  <c r="EC33" i="1"/>
  <c r="AE33" i="1"/>
  <c r="DW33" i="1"/>
  <c r="HO33" i="1"/>
  <c r="BF33" i="1"/>
  <c r="EX33" i="1"/>
  <c r="IM33" i="1"/>
  <c r="FP37" i="1"/>
  <c r="IS37" i="1"/>
  <c r="IG37" i="1"/>
  <c r="BI37" i="1"/>
  <c r="FA37" i="1"/>
  <c r="IP37" i="1"/>
  <c r="CA37" i="1"/>
  <c r="FS37" i="1"/>
  <c r="J37" i="1"/>
  <c r="DB37" i="1"/>
  <c r="AR25" i="39"/>
  <c r="E25" i="1"/>
  <c r="S25" i="1" s="1"/>
  <c r="M33" i="1"/>
  <c r="BI33" i="1"/>
  <c r="EF33" i="1"/>
  <c r="BL33" i="1"/>
  <c r="IS33" i="1"/>
  <c r="BO33" i="1"/>
  <c r="FG33" i="1"/>
  <c r="IV33" i="1"/>
  <c r="CP33" i="1"/>
  <c r="GH33" i="1"/>
  <c r="AN37" i="1"/>
  <c r="HL37" i="1"/>
  <c r="GZ37" i="1"/>
  <c r="CS37" i="1"/>
  <c r="S37" i="1"/>
  <c r="DK37" i="1"/>
  <c r="HC37" i="1"/>
  <c r="AT37" i="1"/>
  <c r="EL37" i="1"/>
  <c r="ID37" i="1"/>
  <c r="AX25" i="39"/>
  <c r="DE33" i="1"/>
  <c r="DT33" i="1"/>
  <c r="FM33" i="1"/>
  <c r="CS33" i="1"/>
  <c r="AK33" i="1"/>
  <c r="HU33" i="1"/>
  <c r="CA33" i="1"/>
  <c r="FS33" i="1"/>
  <c r="J33" i="1"/>
  <c r="DB33" i="1"/>
  <c r="EF37" i="1"/>
  <c r="CJ37" i="1"/>
  <c r="M37" i="1"/>
  <c r="DE37" i="1"/>
  <c r="AE37" i="1"/>
  <c r="DW37" i="1"/>
  <c r="HO37" i="1"/>
  <c r="BF37" i="1"/>
  <c r="EX37" i="1"/>
  <c r="IM37" i="1"/>
  <c r="J9" i="21"/>
  <c r="I25" i="39"/>
  <c r="FP33" i="1"/>
  <c r="IP33" i="1"/>
  <c r="GB33" i="1"/>
  <c r="DH33" i="1"/>
  <c r="AZ33" i="1"/>
  <c r="IG33" i="1"/>
  <c r="CM33" i="1"/>
  <c r="GE33" i="1"/>
  <c r="V33" i="1"/>
  <c r="DN33" i="1"/>
  <c r="HF33" i="1"/>
  <c r="BJ25" i="39"/>
  <c r="HX37" i="1"/>
  <c r="GB37" i="1"/>
  <c r="Y37" i="1"/>
  <c r="DQ37" i="1"/>
  <c r="HI37" i="1"/>
  <c r="AQ37" i="1"/>
  <c r="IA37" i="1"/>
  <c r="BR37" i="1"/>
  <c r="FJ37" i="1"/>
  <c r="IY37" i="1"/>
  <c r="V25" i="39"/>
  <c r="AB28" i="45"/>
  <c r="AB33" i="1"/>
  <c r="Y33" i="1"/>
  <c r="HI33" i="1"/>
  <c r="EO33" i="1"/>
  <c r="G33" i="1"/>
  <c r="CY33" i="1"/>
  <c r="AH33" i="1"/>
  <c r="DZ33" i="1"/>
  <c r="BX37" i="1"/>
  <c r="BL37" i="1"/>
  <c r="AZ37" i="1"/>
  <c r="AK37" i="1"/>
  <c r="EC37" i="1"/>
  <c r="HU37" i="1"/>
  <c r="BC37" i="1"/>
  <c r="EU37" i="1"/>
  <c r="IJ37" i="1"/>
  <c r="CD37" i="1"/>
  <c r="T28" i="45"/>
  <c r="I48" i="27"/>
  <c r="X28" i="45"/>
  <c r="R14" i="39"/>
  <c r="AE28" i="45"/>
  <c r="AJ28" i="45"/>
  <c r="L45" i="27"/>
  <c r="G28" i="45"/>
  <c r="G31" i="45"/>
  <c r="AX28" i="39"/>
  <c r="R13" i="39"/>
  <c r="I45" i="29"/>
  <c r="J38" i="29"/>
  <c r="J38" i="27" s="1"/>
  <c r="C25" i="45"/>
  <c r="L25" i="45" s="1"/>
  <c r="BJ26" i="39"/>
  <c r="C34" i="45"/>
  <c r="AJ34" i="45" s="1"/>
  <c r="BJ35" i="39"/>
  <c r="T36" i="45"/>
  <c r="P36" i="45"/>
  <c r="L36" i="45"/>
  <c r="AB36" i="45"/>
  <c r="AJ36" i="45"/>
  <c r="G36" i="45"/>
  <c r="AE36" i="45"/>
  <c r="X36" i="45"/>
  <c r="C23" i="45"/>
  <c r="L23" i="45" s="1"/>
  <c r="BJ24" i="39"/>
  <c r="IV32" i="1"/>
  <c r="IJ32" i="1"/>
  <c r="IA32" i="1"/>
  <c r="HO32" i="1"/>
  <c r="GE32" i="1"/>
  <c r="FS32" i="1"/>
  <c r="FG32" i="1"/>
  <c r="EU32" i="1"/>
  <c r="DW32" i="1"/>
  <c r="DK32" i="1"/>
  <c r="CY32" i="1"/>
  <c r="CM32" i="1"/>
  <c r="CA32" i="1"/>
  <c r="BO32" i="1"/>
  <c r="BC32" i="1"/>
  <c r="AQ32" i="1"/>
  <c r="AE32" i="1"/>
  <c r="S32" i="1"/>
  <c r="G32" i="1"/>
  <c r="JE32" i="1"/>
  <c r="IS32" i="1"/>
  <c r="IG32" i="1"/>
  <c r="HX32" i="1"/>
  <c r="GB32" i="1"/>
  <c r="FP32" i="1"/>
  <c r="FD32" i="1"/>
  <c r="ER32" i="1"/>
  <c r="EF32" i="1"/>
  <c r="DT32" i="1"/>
  <c r="DH32" i="1"/>
  <c r="CV32" i="1"/>
  <c r="CJ32" i="1"/>
  <c r="BX32" i="1"/>
  <c r="BL32" i="1"/>
  <c r="AZ32" i="1"/>
  <c r="AN32" i="1"/>
  <c r="AB32" i="1"/>
  <c r="P32" i="1"/>
  <c r="IY32" i="1"/>
  <c r="IM32" i="1"/>
  <c r="ID32" i="1"/>
  <c r="HR32" i="1"/>
  <c r="GH32" i="1"/>
  <c r="FV32" i="1"/>
  <c r="FJ32" i="1"/>
  <c r="EX32" i="1"/>
  <c r="EL32" i="1"/>
  <c r="DZ32" i="1"/>
  <c r="DN32" i="1"/>
  <c r="DB32" i="1"/>
  <c r="CP32" i="1"/>
  <c r="CD32" i="1"/>
  <c r="BR32" i="1"/>
  <c r="BF32" i="1"/>
  <c r="AT32" i="1"/>
  <c r="AH32" i="1"/>
  <c r="V32" i="1"/>
  <c r="J32" i="1"/>
  <c r="EO32" i="1"/>
  <c r="AW32" i="1"/>
  <c r="FY32" i="1"/>
  <c r="CG32" i="1"/>
  <c r="DQ32" i="1"/>
  <c r="Y32" i="1"/>
  <c r="IP32" i="1"/>
  <c r="FA32" i="1"/>
  <c r="BI32" i="1"/>
  <c r="JB32" i="1"/>
  <c r="FM32" i="1"/>
  <c r="BU32" i="1"/>
  <c r="DE32" i="1"/>
  <c r="M32" i="1"/>
  <c r="HU32" i="1"/>
  <c r="AK32" i="1"/>
  <c r="CS32" i="1"/>
  <c r="EC32" i="1"/>
  <c r="C15" i="45"/>
  <c r="L15" i="45" s="1"/>
  <c r="BJ16" i="39"/>
  <c r="C20" i="45"/>
  <c r="T20" i="45" s="1"/>
  <c r="BJ21" i="39"/>
  <c r="D40" i="29"/>
  <c r="D40" i="27" s="1"/>
  <c r="D40" i="28" s="1"/>
  <c r="C21" i="45"/>
  <c r="G21" i="45" s="1"/>
  <c r="BJ22" i="39"/>
  <c r="ID29" i="1"/>
  <c r="DN29" i="1"/>
  <c r="V29" i="1"/>
  <c r="FG29" i="1"/>
  <c r="BC29" i="1"/>
  <c r="GK29" i="1"/>
  <c r="CS29" i="1"/>
  <c r="GB29" i="1"/>
  <c r="DH29" i="1"/>
  <c r="BX29" i="1"/>
  <c r="HI25" i="1"/>
  <c r="C33" i="45"/>
  <c r="AB33" i="45" s="1"/>
  <c r="BJ34" i="39"/>
  <c r="C26" i="45"/>
  <c r="X26" i="45" s="1"/>
  <c r="BJ27" i="39"/>
  <c r="C19" i="45"/>
  <c r="P19" i="45" s="1"/>
  <c r="BJ20" i="39"/>
  <c r="C17" i="45"/>
  <c r="X17" i="45" s="1"/>
  <c r="BJ18" i="39"/>
  <c r="C18" i="45"/>
  <c r="G18" i="45" s="1"/>
  <c r="BJ19" i="39"/>
  <c r="BJ23" i="39"/>
  <c r="L32" i="45"/>
  <c r="AB32" i="45"/>
  <c r="X32" i="45"/>
  <c r="G32" i="45"/>
  <c r="AE32" i="45"/>
  <c r="AJ32" i="45"/>
  <c r="T32" i="45"/>
  <c r="P32" i="45"/>
  <c r="M47" i="31"/>
  <c r="C27" i="45"/>
  <c r="T28" i="39"/>
  <c r="J28" i="39"/>
  <c r="AF28" i="39"/>
  <c r="AL28" i="39"/>
  <c r="I28" i="39"/>
  <c r="AR28" i="39"/>
  <c r="V28" i="39"/>
  <c r="BD28" i="39"/>
  <c r="E28" i="1"/>
  <c r="EI28" i="1" s="1"/>
  <c r="D53" i="32"/>
  <c r="BD30" i="39"/>
  <c r="C29" i="45"/>
  <c r="V30" i="39"/>
  <c r="I30" i="39"/>
  <c r="AX30" i="39"/>
  <c r="T30" i="39"/>
  <c r="AL30" i="39"/>
  <c r="J30" i="39"/>
  <c r="AR30" i="39"/>
  <c r="AF30" i="39"/>
  <c r="E30" i="1"/>
  <c r="EI30" i="1" s="1"/>
  <c r="M47" i="30"/>
  <c r="O40" i="45"/>
  <c r="AN12" i="45" s="1"/>
  <c r="K40" i="45"/>
  <c r="AN11" i="45" s="1"/>
  <c r="AD40" i="45"/>
  <c r="AA40" i="45"/>
  <c r="AN15" i="45" s="1"/>
  <c r="W40" i="45"/>
  <c r="AN14" i="45" s="1"/>
  <c r="S40" i="45"/>
  <c r="AN13" i="45" s="1"/>
  <c r="F40" i="45"/>
  <c r="AN10" i="45" s="1"/>
  <c r="AI40" i="45"/>
  <c r="E30" i="2"/>
  <c r="E33" i="2"/>
  <c r="M7" i="32"/>
  <c r="M34" i="33"/>
  <c r="J40" i="33" s="1"/>
  <c r="I40" i="33"/>
  <c r="R9" i="39" s="1"/>
  <c r="E40" i="31"/>
  <c r="A13" i="1"/>
  <c r="A14" i="2" s="1"/>
  <c r="D46" i="30"/>
  <c r="D46" i="29" s="1"/>
  <c r="E46" i="29" s="1"/>
  <c r="E48" i="31"/>
  <c r="E42" i="31"/>
  <c r="AF35" i="39"/>
  <c r="AR35" i="39"/>
  <c r="T35" i="39"/>
  <c r="V35" i="39"/>
  <c r="BD35" i="39"/>
  <c r="I35" i="39"/>
  <c r="AL35" i="39"/>
  <c r="J35" i="39"/>
  <c r="AX35" i="39"/>
  <c r="E35" i="1"/>
  <c r="EI35" i="1" s="1"/>
  <c r="AR34" i="39"/>
  <c r="T34" i="39"/>
  <c r="V34" i="39"/>
  <c r="I34" i="39"/>
  <c r="BD34" i="39"/>
  <c r="J34" i="39"/>
  <c r="E34" i="1"/>
  <c r="EI34" i="1" s="1"/>
  <c r="AL34" i="39"/>
  <c r="AF34" i="39"/>
  <c r="AX34" i="39"/>
  <c r="J46" i="31"/>
  <c r="J47" i="31" s="1"/>
  <c r="V27" i="39"/>
  <c r="AF27" i="39"/>
  <c r="AL27" i="39"/>
  <c r="BD27" i="39"/>
  <c r="E27" i="1"/>
  <c r="EI27" i="1" s="1"/>
  <c r="I27" i="39"/>
  <c r="J27" i="39"/>
  <c r="AX27" i="39"/>
  <c r="AR27" i="39"/>
  <c r="T27" i="39"/>
  <c r="E26" i="1"/>
  <c r="EI26" i="1" s="1"/>
  <c r="I26" i="39"/>
  <c r="J26" i="39"/>
  <c r="V26" i="39"/>
  <c r="AL26" i="39"/>
  <c r="T26" i="39"/>
  <c r="BD26" i="39"/>
  <c r="AR26" i="39"/>
  <c r="AF26" i="39"/>
  <c r="AX26" i="39"/>
  <c r="J24" i="39"/>
  <c r="AR24" i="39"/>
  <c r="BD24" i="39"/>
  <c r="I24" i="39"/>
  <c r="V24" i="39"/>
  <c r="AX24" i="39"/>
  <c r="AF24" i="39"/>
  <c r="T24" i="39"/>
  <c r="E24" i="1"/>
  <c r="EI24" i="1" s="1"/>
  <c r="AL24" i="39"/>
  <c r="E23" i="1"/>
  <c r="EI23" i="1" s="1"/>
  <c r="AR23" i="39"/>
  <c r="AL23" i="39"/>
  <c r="V23" i="39"/>
  <c r="I23" i="39"/>
  <c r="AX23" i="39"/>
  <c r="AF23" i="39"/>
  <c r="J23" i="39"/>
  <c r="BD23" i="39"/>
  <c r="T23" i="39"/>
  <c r="AV41" i="39"/>
  <c r="J22" i="39"/>
  <c r="V22" i="39"/>
  <c r="BD22" i="39"/>
  <c r="AF22" i="39"/>
  <c r="AX22" i="39"/>
  <c r="E22" i="1"/>
  <c r="EI22" i="1" s="1"/>
  <c r="AL22" i="39"/>
  <c r="T22" i="39"/>
  <c r="I22" i="39"/>
  <c r="AR22" i="39"/>
  <c r="BD21" i="39"/>
  <c r="T21" i="39"/>
  <c r="V21" i="39"/>
  <c r="AX21" i="39"/>
  <c r="E21" i="1"/>
  <c r="EI21" i="1" s="1"/>
  <c r="I21" i="39"/>
  <c r="AR21" i="39"/>
  <c r="AL21" i="39"/>
  <c r="J21" i="39"/>
  <c r="AF21" i="39"/>
  <c r="BD20" i="39"/>
  <c r="AR20" i="39"/>
  <c r="T20" i="39"/>
  <c r="V20" i="39"/>
  <c r="E20" i="1"/>
  <c r="EI20" i="1" s="1"/>
  <c r="AX20" i="39"/>
  <c r="AF20" i="39"/>
  <c r="J20" i="39"/>
  <c r="AL20" i="39"/>
  <c r="I20" i="39"/>
  <c r="AR19" i="39"/>
  <c r="AF19" i="39"/>
  <c r="J19" i="39"/>
  <c r="E19" i="1"/>
  <c r="EI19" i="1" s="1"/>
  <c r="BD19" i="39"/>
  <c r="AL19" i="39"/>
  <c r="I19" i="39"/>
  <c r="V19" i="39"/>
  <c r="T19" i="39"/>
  <c r="AX19" i="39"/>
  <c r="BD18" i="39"/>
  <c r="AL18" i="39"/>
  <c r="E18" i="1"/>
  <c r="EI18" i="1" s="1"/>
  <c r="AX18" i="39"/>
  <c r="T18" i="39"/>
  <c r="AF18" i="39"/>
  <c r="V18" i="39"/>
  <c r="I18" i="39"/>
  <c r="J18" i="39"/>
  <c r="AR18" i="39"/>
  <c r="E16" i="1"/>
  <c r="I16" i="39"/>
  <c r="J16" i="39"/>
  <c r="AX16" i="39"/>
  <c r="AR16" i="39"/>
  <c r="AF16" i="39"/>
  <c r="AL16" i="39"/>
  <c r="BD16" i="39"/>
  <c r="V16" i="39"/>
  <c r="T16" i="39"/>
  <c r="K34" i="31"/>
  <c r="M9" i="31"/>
  <c r="M9" i="30" s="1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D47" i="30"/>
  <c r="E47" i="30" s="1"/>
  <c r="E39" i="31"/>
  <c r="E43" i="31"/>
  <c r="D48" i="29"/>
  <c r="E48" i="30"/>
  <c r="E45" i="31"/>
  <c r="E42" i="30"/>
  <c r="D42" i="27"/>
  <c r="D42" i="28" s="1"/>
  <c r="E42" i="28" s="1"/>
  <c r="D44" i="30"/>
  <c r="E44" i="30" s="1"/>
  <c r="D51" i="30"/>
  <c r="E51" i="31"/>
  <c r="E38" i="30"/>
  <c r="D38" i="29"/>
  <c r="D43" i="29"/>
  <c r="E43" i="30"/>
  <c r="D39" i="29"/>
  <c r="E39" i="30"/>
  <c r="E49" i="31"/>
  <c r="D49" i="30"/>
  <c r="J39" i="31"/>
  <c r="J37" i="30"/>
  <c r="D50" i="30"/>
  <c r="E50" i="31"/>
  <c r="D41" i="30"/>
  <c r="E41" i="31"/>
  <c r="D52" i="31"/>
  <c r="D53" i="31" s="1"/>
  <c r="E45" i="30"/>
  <c r="D45" i="29"/>
  <c r="E52" i="32"/>
  <c r="E53" i="32" s="1"/>
  <c r="M8" i="30"/>
  <c r="AU17" i="39"/>
  <c r="J57" i="24"/>
  <c r="D41" i="1"/>
  <c r="G24" i="45" l="1"/>
  <c r="J50" i="30"/>
  <c r="P24" i="45"/>
  <c r="AJ24" i="45"/>
  <c r="IY33" i="1"/>
  <c r="EI33" i="1"/>
  <c r="CJ33" i="1"/>
  <c r="CD33" i="1"/>
  <c r="BL29" i="1"/>
  <c r="AN29" i="1"/>
  <c r="M29" i="1"/>
  <c r="DE29" i="1"/>
  <c r="HU29" i="1"/>
  <c r="BO29" i="1"/>
  <c r="FS29" i="1"/>
  <c r="AH29" i="1"/>
  <c r="DZ29" i="1"/>
  <c r="IM29" i="1"/>
  <c r="HF29" i="1"/>
  <c r="FP29" i="1"/>
  <c r="EF29" i="1"/>
  <c r="Y29" i="1"/>
  <c r="DQ29" i="1"/>
  <c r="IP29" i="1"/>
  <c r="CA29" i="1"/>
  <c r="GE29" i="1"/>
  <c r="AT29" i="1"/>
  <c r="EL29" i="1"/>
  <c r="IY29" i="1"/>
  <c r="GT29" i="1"/>
  <c r="IG29" i="1"/>
  <c r="HX29" i="1"/>
  <c r="AK29" i="1"/>
  <c r="EC29" i="1"/>
  <c r="JB29" i="1"/>
  <c r="CM29" i="1"/>
  <c r="HO29" i="1"/>
  <c r="BF29" i="1"/>
  <c r="EX29" i="1"/>
  <c r="HC29" i="1"/>
  <c r="BO15" i="1"/>
  <c r="AA11" i="46"/>
  <c r="AB11" i="46" s="1"/>
  <c r="AZ29" i="1"/>
  <c r="CV29" i="1"/>
  <c r="AW29" i="1"/>
  <c r="EO29" i="1"/>
  <c r="G29" i="1"/>
  <c r="CY29" i="1"/>
  <c r="IA29" i="1"/>
  <c r="BR29" i="1"/>
  <c r="FJ29" i="1"/>
  <c r="GZ29" i="1"/>
  <c r="GQ29" i="1"/>
  <c r="FD29" i="1"/>
  <c r="AB29" i="1"/>
  <c r="BI29" i="1"/>
  <c r="FA29" i="1"/>
  <c r="S29" i="1"/>
  <c r="DK29" i="1"/>
  <c r="IJ29" i="1"/>
  <c r="CD29" i="1"/>
  <c r="FV29" i="1"/>
  <c r="GN29" i="1"/>
  <c r="IS29" i="1"/>
  <c r="JE29" i="1"/>
  <c r="DT29" i="1"/>
  <c r="BU29" i="1"/>
  <c r="FM29" i="1"/>
  <c r="AE29" i="1"/>
  <c r="DW29" i="1"/>
  <c r="IV29" i="1"/>
  <c r="CP29" i="1"/>
  <c r="GH29" i="1"/>
  <c r="HI29" i="1"/>
  <c r="ER29" i="1"/>
  <c r="P29" i="1"/>
  <c r="CJ29" i="1"/>
  <c r="CG29" i="1"/>
  <c r="FY29" i="1"/>
  <c r="AQ29" i="1"/>
  <c r="EU29" i="1"/>
  <c r="J29" i="1"/>
  <c r="DB29" i="1"/>
  <c r="HR29" i="1"/>
  <c r="GW29" i="1"/>
  <c r="W118" i="46"/>
  <c r="X118" i="46" s="1"/>
  <c r="W118" i="54"/>
  <c r="X118" i="54" s="1"/>
  <c r="HL32" i="1"/>
  <c r="M44" i="30"/>
  <c r="G15" i="1"/>
  <c r="CP15" i="1"/>
  <c r="GQ15" i="1"/>
  <c r="IA15" i="1"/>
  <c r="IP15" i="1"/>
  <c r="L31" i="45"/>
  <c r="FY15" i="1"/>
  <c r="DN15" i="1"/>
  <c r="IJ15" i="1"/>
  <c r="AB24" i="45"/>
  <c r="CM15" i="1"/>
  <c r="CG15" i="1"/>
  <c r="IY15" i="1"/>
  <c r="EU15" i="1"/>
  <c r="T31" i="45"/>
  <c r="IS15" i="1"/>
  <c r="CA15" i="1"/>
  <c r="AB15" i="1"/>
  <c r="P31" i="45"/>
  <c r="AJ31" i="45"/>
  <c r="AE24" i="45"/>
  <c r="T24" i="45"/>
  <c r="BL15" i="1"/>
  <c r="AZ15" i="1"/>
  <c r="JB15" i="1"/>
  <c r="CV15" i="1"/>
  <c r="AK15" i="1"/>
  <c r="V15" i="1"/>
  <c r="FM15" i="1"/>
  <c r="AH15" i="1"/>
  <c r="HF15" i="1"/>
  <c r="FG15" i="1"/>
  <c r="AE22" i="45"/>
  <c r="AB22" i="45"/>
  <c r="AJ22" i="45"/>
  <c r="P22" i="45"/>
  <c r="T22" i="45"/>
  <c r="G22" i="45"/>
  <c r="EI16" i="1"/>
  <c r="AN16" i="1"/>
  <c r="AW15" i="1"/>
  <c r="GN15" i="1"/>
  <c r="Y15" i="1"/>
  <c r="AT15" i="1"/>
  <c r="IV15" i="1"/>
  <c r="ID15" i="1"/>
  <c r="AQ15" i="1"/>
  <c r="GT15" i="1"/>
  <c r="HR15" i="1"/>
  <c r="GZ15" i="1"/>
  <c r="FV15" i="1"/>
  <c r="EX15" i="1"/>
  <c r="DH15" i="1"/>
  <c r="FD15" i="1"/>
  <c r="FS15" i="1"/>
  <c r="AN15" i="1"/>
  <c r="FA15" i="1"/>
  <c r="GW15" i="1"/>
  <c r="EO15" i="1"/>
  <c r="HU15" i="1"/>
  <c r="DE15" i="1"/>
  <c r="BI15" i="1"/>
  <c r="AE15" i="1"/>
  <c r="JE15" i="1"/>
  <c r="EI15" i="1"/>
  <c r="FS25" i="1"/>
  <c r="EI25" i="1"/>
  <c r="GN32" i="1"/>
  <c r="EI32" i="1"/>
  <c r="L24" i="45"/>
  <c r="HI32" i="1"/>
  <c r="BC15" i="1"/>
  <c r="P15" i="1"/>
  <c r="EC15" i="1"/>
  <c r="BU15" i="1"/>
  <c r="CY15" i="1"/>
  <c r="X22" i="45"/>
  <c r="HF32" i="1"/>
  <c r="CS15" i="1"/>
  <c r="J15" i="1"/>
  <c r="IG15" i="1"/>
  <c r="HX15" i="1"/>
  <c r="HL15" i="1"/>
  <c r="EL15" i="1"/>
  <c r="HO15" i="1"/>
  <c r="GH15" i="1"/>
  <c r="FP15" i="1"/>
  <c r="HC32" i="1"/>
  <c r="GE15" i="1"/>
  <c r="IM15" i="1"/>
  <c r="ER15" i="1"/>
  <c r="EF15" i="1"/>
  <c r="DT15" i="1"/>
  <c r="DZ15" i="1"/>
  <c r="DW15" i="1"/>
  <c r="E16" i="2"/>
  <c r="DK16" i="2" s="1"/>
  <c r="BX15" i="1"/>
  <c r="AA21" i="46"/>
  <c r="AB21" i="46" s="1"/>
  <c r="AA21" i="54"/>
  <c r="AB21" i="54" s="1"/>
  <c r="R10" i="39"/>
  <c r="I45" i="32"/>
  <c r="L45" i="32"/>
  <c r="I48" i="32"/>
  <c r="I51" i="32"/>
  <c r="DK33" i="2"/>
  <c r="DI33" i="2"/>
  <c r="X14" i="45"/>
  <c r="DK34" i="2"/>
  <c r="DI34" i="2"/>
  <c r="DK30" i="2"/>
  <c r="DI30" i="2"/>
  <c r="M44" i="31"/>
  <c r="DK38" i="2"/>
  <c r="DI38" i="2"/>
  <c r="AQ11" i="39"/>
  <c r="AE11" i="39"/>
  <c r="AK11" i="39"/>
  <c r="W163" i="54"/>
  <c r="X166" i="54" s="1"/>
  <c r="I45" i="30"/>
  <c r="L45" i="30"/>
  <c r="I48" i="30"/>
  <c r="I51" i="30"/>
  <c r="R12" i="39"/>
  <c r="P25" i="45"/>
  <c r="J14" i="17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J16" i="15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8" i="15"/>
  <c r="J18" i="14" s="1"/>
  <c r="J18" i="13" s="1"/>
  <c r="J18" i="12" s="1"/>
  <c r="J18" i="11" s="1"/>
  <c r="J18" i="10" s="1"/>
  <c r="J18" i="9" s="1"/>
  <c r="J18" i="8" s="1"/>
  <c r="J18" i="7" s="1"/>
  <c r="J18" i="6" s="1"/>
  <c r="J18" i="37" s="1"/>
  <c r="GQ32" i="1"/>
  <c r="GT32" i="1"/>
  <c r="GZ32" i="1"/>
  <c r="J26" i="4"/>
  <c r="J26" i="43" s="1"/>
  <c r="J25" i="4"/>
  <c r="J25" i="43" s="1"/>
  <c r="J24" i="4"/>
  <c r="J24" i="43" s="1"/>
  <c r="J13" i="37"/>
  <c r="J13" i="4" s="1"/>
  <c r="J13" i="43" s="1"/>
  <c r="L14" i="45"/>
  <c r="AJ14" i="45"/>
  <c r="T14" i="45"/>
  <c r="AE14" i="45"/>
  <c r="P14" i="45"/>
  <c r="G14" i="45"/>
  <c r="GK15" i="1"/>
  <c r="S15" i="1"/>
  <c r="GB15" i="1"/>
  <c r="CJ15" i="1"/>
  <c r="DB15" i="1"/>
  <c r="HI15" i="1"/>
  <c r="CD15" i="1"/>
  <c r="DQ15" i="1"/>
  <c r="BF15" i="1"/>
  <c r="HC15" i="1"/>
  <c r="FJ15" i="1"/>
  <c r="DK15" i="1"/>
  <c r="J12" i="37"/>
  <c r="J12" i="4" s="1"/>
  <c r="J12" i="43" s="1"/>
  <c r="C13" i="45"/>
  <c r="X13" i="45" s="1"/>
  <c r="I9" i="39"/>
  <c r="V9" i="39"/>
  <c r="BJ9" i="39"/>
  <c r="AR9" i="39"/>
  <c r="T9" i="39"/>
  <c r="AF9" i="39"/>
  <c r="J9" i="39"/>
  <c r="S9" i="39"/>
  <c r="AL9" i="39"/>
  <c r="BD9" i="39"/>
  <c r="AX9" i="39"/>
  <c r="V36" i="39"/>
  <c r="E36" i="1"/>
  <c r="EI36" i="1" s="1"/>
  <c r="J36" i="39"/>
  <c r="C35" i="45"/>
  <c r="AX36" i="39"/>
  <c r="I36" i="39"/>
  <c r="AL36" i="39"/>
  <c r="T36" i="39"/>
  <c r="BD36" i="39"/>
  <c r="AR36" i="39"/>
  <c r="AF36" i="39"/>
  <c r="BJ36" i="39"/>
  <c r="G25" i="1"/>
  <c r="GH25" i="1"/>
  <c r="EL25" i="1"/>
  <c r="GZ25" i="1"/>
  <c r="EF25" i="1"/>
  <c r="X31" i="45"/>
  <c r="AB31" i="45"/>
  <c r="GN35" i="1"/>
  <c r="GW35" i="1"/>
  <c r="GQ35" i="1"/>
  <c r="GT35" i="1"/>
  <c r="GK35" i="1"/>
  <c r="DT25" i="1"/>
  <c r="IM25" i="1"/>
  <c r="FV25" i="1"/>
  <c r="J10" i="9"/>
  <c r="J10" i="8" s="1"/>
  <c r="J10" i="7" s="1"/>
  <c r="J10" i="6" s="1"/>
  <c r="GQ34" i="1"/>
  <c r="GK34" i="1"/>
  <c r="GW34" i="1"/>
  <c r="GN34" i="1"/>
  <c r="GZ34" i="1"/>
  <c r="GT34" i="1"/>
  <c r="ID25" i="1"/>
  <c r="FA25" i="1"/>
  <c r="CM25" i="1"/>
  <c r="AK25" i="1"/>
  <c r="GB25" i="1"/>
  <c r="CY25" i="1"/>
  <c r="HU25" i="1"/>
  <c r="FP25" i="1"/>
  <c r="GE25" i="1"/>
  <c r="JB25" i="1"/>
  <c r="HF25" i="1"/>
  <c r="GQ25" i="1"/>
  <c r="I40" i="11"/>
  <c r="GQ30" i="1"/>
  <c r="GT30" i="1"/>
  <c r="GK30" i="1"/>
  <c r="GW30" i="1"/>
  <c r="GN30" i="1"/>
  <c r="GZ30" i="1"/>
  <c r="HF30" i="1"/>
  <c r="HC30" i="1"/>
  <c r="HI30" i="1"/>
  <c r="HL30" i="1"/>
  <c r="J56" i="23"/>
  <c r="J56" i="21" s="1"/>
  <c r="GK26" i="1"/>
  <c r="GT26" i="1"/>
  <c r="GQ26" i="1"/>
  <c r="GN26" i="1"/>
  <c r="GK27" i="1"/>
  <c r="GT27" i="1"/>
  <c r="GQ27" i="1"/>
  <c r="GN27" i="1"/>
  <c r="GN28" i="1"/>
  <c r="GK28" i="1"/>
  <c r="GT28" i="1"/>
  <c r="GQ28" i="1"/>
  <c r="J22" i="16"/>
  <c r="J22" i="15" s="1"/>
  <c r="J22" i="14" s="1"/>
  <c r="J22" i="13" s="1"/>
  <c r="J22" i="11" s="1"/>
  <c r="J22" i="10" s="1"/>
  <c r="J22" i="9" s="1"/>
  <c r="J22" i="8" s="1"/>
  <c r="J22" i="7" s="1"/>
  <c r="J22" i="6" s="1"/>
  <c r="J22" i="37" s="1"/>
  <c r="J23" i="16"/>
  <c r="J23" i="15" s="1"/>
  <c r="J23" i="14" s="1"/>
  <c r="J23" i="13" s="1"/>
  <c r="J23" i="11" s="1"/>
  <c r="J23" i="10" s="1"/>
  <c r="J23" i="9" s="1"/>
  <c r="J23" i="8" s="1"/>
  <c r="J23" i="7" s="1"/>
  <c r="J23" i="6" s="1"/>
  <c r="J23" i="37" s="1"/>
  <c r="J19" i="14"/>
  <c r="J19" i="13" s="1"/>
  <c r="L20" i="45"/>
  <c r="AB26" i="45"/>
  <c r="G19" i="45"/>
  <c r="BD14" i="39"/>
  <c r="AE19" i="45"/>
  <c r="L19" i="45"/>
  <c r="AR14" i="39"/>
  <c r="AE15" i="45"/>
  <c r="J11" i="20"/>
  <c r="X25" i="45"/>
  <c r="AX14" i="39"/>
  <c r="J9" i="22"/>
  <c r="HR25" i="1"/>
  <c r="P23" i="45"/>
  <c r="T19" i="45"/>
  <c r="IS25" i="1"/>
  <c r="IY25" i="1"/>
  <c r="BL25" i="1"/>
  <c r="BF25" i="1"/>
  <c r="V25" i="1"/>
  <c r="IP25" i="1"/>
  <c r="JE25" i="1"/>
  <c r="P25" i="1"/>
  <c r="HX25" i="1"/>
  <c r="DW25" i="1"/>
  <c r="HO25" i="1"/>
  <c r="FJ25" i="1"/>
  <c r="AE25" i="1"/>
  <c r="DK25" i="1"/>
  <c r="M25" i="1"/>
  <c r="CG25" i="1"/>
  <c r="AW25" i="1"/>
  <c r="IA25" i="1"/>
  <c r="CS25" i="1"/>
  <c r="AH25" i="1"/>
  <c r="AZ25" i="1"/>
  <c r="AJ21" i="45"/>
  <c r="P20" i="45"/>
  <c r="BR25" i="1"/>
  <c r="EC25" i="1"/>
  <c r="AT25" i="1"/>
  <c r="DH25" i="1"/>
  <c r="BI25" i="1"/>
  <c r="BX25" i="1"/>
  <c r="CP25" i="1"/>
  <c r="AN25" i="1"/>
  <c r="BC25" i="1"/>
  <c r="EU25" i="1"/>
  <c r="IJ25" i="1"/>
  <c r="Y25" i="1"/>
  <c r="IG25" i="1"/>
  <c r="HC25" i="1"/>
  <c r="AB19" i="45"/>
  <c r="AB25" i="1"/>
  <c r="T25" i="45"/>
  <c r="X20" i="45"/>
  <c r="DB25" i="1"/>
  <c r="FM25" i="1"/>
  <c r="FD25" i="1"/>
  <c r="EX25" i="1"/>
  <c r="CJ25" i="1"/>
  <c r="DN25" i="1"/>
  <c r="DQ25" i="1"/>
  <c r="CD25" i="1"/>
  <c r="BO25" i="1"/>
  <c r="FG25" i="1"/>
  <c r="IV25" i="1"/>
  <c r="E26" i="2"/>
  <c r="BU25" i="1"/>
  <c r="J25" i="1"/>
  <c r="GW25" i="1"/>
  <c r="CV25" i="1"/>
  <c r="AQ25" i="1"/>
  <c r="AJ19" i="45"/>
  <c r="GT25" i="1"/>
  <c r="HL25" i="1"/>
  <c r="GK25" i="1"/>
  <c r="GN25" i="1"/>
  <c r="FY25" i="1"/>
  <c r="DZ25" i="1"/>
  <c r="EO25" i="1"/>
  <c r="ER25" i="1"/>
  <c r="DE25" i="1"/>
  <c r="CA25" i="1"/>
  <c r="AE18" i="45"/>
  <c r="M44" i="29"/>
  <c r="J44" i="29"/>
  <c r="T14" i="39"/>
  <c r="P33" i="45"/>
  <c r="P15" i="45"/>
  <c r="M47" i="29"/>
  <c r="V14" i="39"/>
  <c r="AB15" i="45"/>
  <c r="AJ15" i="45"/>
  <c r="AF14" i="39"/>
  <c r="X15" i="45"/>
  <c r="J14" i="39"/>
  <c r="X19" i="45"/>
  <c r="G15" i="45"/>
  <c r="L18" i="45"/>
  <c r="I14" i="39"/>
  <c r="T15" i="45"/>
  <c r="BJ14" i="39"/>
  <c r="AL14" i="39"/>
  <c r="E14" i="1"/>
  <c r="P18" i="45"/>
  <c r="T33" i="45"/>
  <c r="T23" i="45"/>
  <c r="T18" i="45"/>
  <c r="X23" i="45"/>
  <c r="X18" i="45"/>
  <c r="AE23" i="45"/>
  <c r="AB18" i="45"/>
  <c r="AJ23" i="45"/>
  <c r="AJ18" i="45"/>
  <c r="AB17" i="45"/>
  <c r="G23" i="45"/>
  <c r="L17" i="45"/>
  <c r="AB23" i="45"/>
  <c r="L33" i="45"/>
  <c r="T21" i="45"/>
  <c r="X21" i="45"/>
  <c r="AB21" i="45"/>
  <c r="L21" i="45"/>
  <c r="P21" i="45"/>
  <c r="AE21" i="45"/>
  <c r="T34" i="45"/>
  <c r="J13" i="39"/>
  <c r="V13" i="39"/>
  <c r="E13" i="1"/>
  <c r="EI13" i="1" s="1"/>
  <c r="AX13" i="39"/>
  <c r="AL13" i="39"/>
  <c r="BD13" i="39"/>
  <c r="BJ13" i="39"/>
  <c r="T13" i="39"/>
  <c r="I13" i="39"/>
  <c r="AR13" i="39"/>
  <c r="C12" i="45"/>
  <c r="AF13" i="39"/>
  <c r="IY24" i="1"/>
  <c r="IM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V24" i="1"/>
  <c r="IJ24" i="1"/>
  <c r="IA24" i="1"/>
  <c r="HO24" i="1"/>
  <c r="HC24" i="1"/>
  <c r="GQ24" i="1"/>
  <c r="GE24" i="1"/>
  <c r="FS24" i="1"/>
  <c r="FG24" i="1"/>
  <c r="EU24" i="1"/>
  <c r="DW24" i="1"/>
  <c r="DK24" i="1"/>
  <c r="CY24" i="1"/>
  <c r="CM24" i="1"/>
  <c r="CA24" i="1"/>
  <c r="BO24" i="1"/>
  <c r="BC24" i="1"/>
  <c r="AQ24" i="1"/>
  <c r="AE24" i="1"/>
  <c r="S24" i="1"/>
  <c r="G24" i="1"/>
  <c r="JB24" i="1"/>
  <c r="HX24" i="1"/>
  <c r="HI24" i="1"/>
  <c r="GB24" i="1"/>
  <c r="FM24" i="1"/>
  <c r="EF24" i="1"/>
  <c r="DQ24" i="1"/>
  <c r="CJ24" i="1"/>
  <c r="BU24" i="1"/>
  <c r="AN24" i="1"/>
  <c r="Y24" i="1"/>
  <c r="IG24" i="1"/>
  <c r="HU24" i="1"/>
  <c r="GN24" i="1"/>
  <c r="FY24" i="1"/>
  <c r="ER24" i="1"/>
  <c r="EC24" i="1"/>
  <c r="CV24" i="1"/>
  <c r="CG24" i="1"/>
  <c r="AZ24" i="1"/>
  <c r="AK24" i="1"/>
  <c r="IP24" i="1"/>
  <c r="FA24" i="1"/>
  <c r="BI24" i="1"/>
  <c r="JE24" i="1"/>
  <c r="GK24" i="1"/>
  <c r="FP24" i="1"/>
  <c r="CS24" i="1"/>
  <c r="BX24" i="1"/>
  <c r="GZ24" i="1"/>
  <c r="DH24" i="1"/>
  <c r="P24" i="1"/>
  <c r="HL24" i="1"/>
  <c r="EO24" i="1"/>
  <c r="DT24" i="1"/>
  <c r="AW24" i="1"/>
  <c r="AB24" i="1"/>
  <c r="DE24" i="1"/>
  <c r="BL24" i="1"/>
  <c r="M24" i="1"/>
  <c r="IS24" i="1"/>
  <c r="GW24" i="1"/>
  <c r="FD24" i="1"/>
  <c r="IV19" i="1"/>
  <c r="IJ19" i="1"/>
  <c r="IA19" i="1"/>
  <c r="HO19" i="1"/>
  <c r="HC19" i="1"/>
  <c r="GQ19" i="1"/>
  <c r="GE19" i="1"/>
  <c r="FS19" i="1"/>
  <c r="FG19" i="1"/>
  <c r="EU19" i="1"/>
  <c r="DW19" i="1"/>
  <c r="DK19" i="1"/>
  <c r="CY19" i="1"/>
  <c r="CM19" i="1"/>
  <c r="CA19" i="1"/>
  <c r="BO19" i="1"/>
  <c r="BC19" i="1"/>
  <c r="AQ19" i="1"/>
  <c r="AE19" i="1"/>
  <c r="S19" i="1"/>
  <c r="G19" i="1"/>
  <c r="JE19" i="1"/>
  <c r="IS19" i="1"/>
  <c r="IG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B19" i="1"/>
  <c r="IP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Y19" i="1"/>
  <c r="IM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G34" i="45"/>
  <c r="JE20" i="1"/>
  <c r="IS20" i="1"/>
  <c r="IG20" i="1"/>
  <c r="HX20" i="1"/>
  <c r="HL20" i="1"/>
  <c r="GZ20" i="1"/>
  <c r="GN20" i="1"/>
  <c r="GB20" i="1"/>
  <c r="FP20" i="1"/>
  <c r="FD20" i="1"/>
  <c r="ER20" i="1"/>
  <c r="IP20" i="1"/>
  <c r="HR20" i="1"/>
  <c r="GQ20" i="1"/>
  <c r="FA20" i="1"/>
  <c r="IM20" i="1"/>
  <c r="HO20" i="1"/>
  <c r="FY20" i="1"/>
  <c r="EX20" i="1"/>
  <c r="IY20" i="1"/>
  <c r="IA20" i="1"/>
  <c r="GK20" i="1"/>
  <c r="FJ20" i="1"/>
  <c r="DW20" i="1"/>
  <c r="DK20" i="1"/>
  <c r="CY20" i="1"/>
  <c r="CM20" i="1"/>
  <c r="CA20" i="1"/>
  <c r="BO20" i="1"/>
  <c r="BC20" i="1"/>
  <c r="AQ20" i="1"/>
  <c r="AE20" i="1"/>
  <c r="S20" i="1"/>
  <c r="G20" i="1"/>
  <c r="IJ20" i="1"/>
  <c r="GW20" i="1"/>
  <c r="FV20" i="1"/>
  <c r="EU20" i="1"/>
  <c r="HU20" i="1"/>
  <c r="GT20" i="1"/>
  <c r="FS20" i="1"/>
  <c r="FM20" i="1"/>
  <c r="DQ20" i="1"/>
  <c r="CP20" i="1"/>
  <c r="AZ20" i="1"/>
  <c r="Y20" i="1"/>
  <c r="GE20" i="1"/>
  <c r="EC20" i="1"/>
  <c r="DB20" i="1"/>
  <c r="BL20" i="1"/>
  <c r="AK20" i="1"/>
  <c r="J20" i="1"/>
  <c r="IV20" i="1"/>
  <c r="EO20" i="1"/>
  <c r="DN20" i="1"/>
  <c r="BX20" i="1"/>
  <c r="AW20" i="1"/>
  <c r="V20" i="1"/>
  <c r="ID20" i="1"/>
  <c r="HI20" i="1"/>
  <c r="FG20" i="1"/>
  <c r="DZ20" i="1"/>
  <c r="CJ20" i="1"/>
  <c r="BI20" i="1"/>
  <c r="AH20" i="1"/>
  <c r="DT20" i="1"/>
  <c r="CS20" i="1"/>
  <c r="BR20" i="1"/>
  <c r="AB20" i="1"/>
  <c r="JB20" i="1"/>
  <c r="EF20" i="1"/>
  <c r="DH20" i="1"/>
  <c r="BF20" i="1"/>
  <c r="AN20" i="1"/>
  <c r="HF20" i="1"/>
  <c r="P20" i="1"/>
  <c r="DE20" i="1"/>
  <c r="BU20" i="1"/>
  <c r="HC20" i="1"/>
  <c r="GH20" i="1"/>
  <c r="M20" i="1"/>
  <c r="EL20" i="1"/>
  <c r="CG20" i="1"/>
  <c r="AT20" i="1"/>
  <c r="CV20" i="1"/>
  <c r="CD20" i="1"/>
  <c r="IY26" i="1"/>
  <c r="IM26" i="1"/>
  <c r="ID26" i="1"/>
  <c r="HR26" i="1"/>
  <c r="HF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V26" i="1"/>
  <c r="IJ26" i="1"/>
  <c r="IA26" i="1"/>
  <c r="HO26" i="1"/>
  <c r="HC26" i="1"/>
  <c r="GE26" i="1"/>
  <c r="FS26" i="1"/>
  <c r="FG26" i="1"/>
  <c r="EU26" i="1"/>
  <c r="DW26" i="1"/>
  <c r="DK26" i="1"/>
  <c r="CY26" i="1"/>
  <c r="CM26" i="1"/>
  <c r="CA26" i="1"/>
  <c r="BO26" i="1"/>
  <c r="BC26" i="1"/>
  <c r="AQ26" i="1"/>
  <c r="AE26" i="1"/>
  <c r="S26" i="1"/>
  <c r="G26" i="1"/>
  <c r="IS26" i="1"/>
  <c r="GZ26" i="1"/>
  <c r="FD26" i="1"/>
  <c r="EO26" i="1"/>
  <c r="DH26" i="1"/>
  <c r="CS26" i="1"/>
  <c r="BL26" i="1"/>
  <c r="AW26" i="1"/>
  <c r="P26" i="1"/>
  <c r="JB26" i="1"/>
  <c r="HX26" i="1"/>
  <c r="HI26" i="1"/>
  <c r="GB26" i="1"/>
  <c r="FM26" i="1"/>
  <c r="EF26" i="1"/>
  <c r="DQ26" i="1"/>
  <c r="CJ26" i="1"/>
  <c r="BU26" i="1"/>
  <c r="AN26" i="1"/>
  <c r="Y26" i="1"/>
  <c r="IG26" i="1"/>
  <c r="HU26" i="1"/>
  <c r="FY26" i="1"/>
  <c r="ER26" i="1"/>
  <c r="EC26" i="1"/>
  <c r="CV26" i="1"/>
  <c r="CG26" i="1"/>
  <c r="AZ26" i="1"/>
  <c r="AK26" i="1"/>
  <c r="JE26" i="1"/>
  <c r="GW26" i="1"/>
  <c r="BX26" i="1"/>
  <c r="M26" i="1"/>
  <c r="HL26" i="1"/>
  <c r="FA26" i="1"/>
  <c r="AB26" i="1"/>
  <c r="FP26" i="1"/>
  <c r="DE26" i="1"/>
  <c r="IP26" i="1"/>
  <c r="DT26" i="1"/>
  <c r="BI26" i="1"/>
  <c r="JB27" i="1"/>
  <c r="IP27" i="1"/>
  <c r="HU27" i="1"/>
  <c r="HI27" i="1"/>
  <c r="GW27" i="1"/>
  <c r="FY27" i="1"/>
  <c r="FM27" i="1"/>
  <c r="FA27" i="1"/>
  <c r="EO27" i="1"/>
  <c r="EC27" i="1"/>
  <c r="DQ27" i="1"/>
  <c r="DE27" i="1"/>
  <c r="CS27" i="1"/>
  <c r="CG27" i="1"/>
  <c r="IY27" i="1"/>
  <c r="IM27" i="1"/>
  <c r="ID27" i="1"/>
  <c r="HR27" i="1"/>
  <c r="HF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JE27" i="1"/>
  <c r="IS27" i="1"/>
  <c r="HX27" i="1"/>
  <c r="HL27" i="1"/>
  <c r="GZ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HC27" i="1"/>
  <c r="DK27" i="1"/>
  <c r="BI27" i="1"/>
  <c r="M27" i="1"/>
  <c r="IJ27" i="1"/>
  <c r="EU27" i="1"/>
  <c r="AQ27" i="1"/>
  <c r="HO27" i="1"/>
  <c r="DW27" i="1"/>
  <c r="BC27" i="1"/>
  <c r="G27" i="1"/>
  <c r="IV27" i="1"/>
  <c r="FG27" i="1"/>
  <c r="AK27" i="1"/>
  <c r="IA27" i="1"/>
  <c r="AW27" i="1"/>
  <c r="FS27" i="1"/>
  <c r="CY27" i="1"/>
  <c r="BO27" i="1"/>
  <c r="Y27" i="1"/>
  <c r="GE27" i="1"/>
  <c r="CA27" i="1"/>
  <c r="S27" i="1"/>
  <c r="AE27" i="1"/>
  <c r="BU27" i="1"/>
  <c r="CM27" i="1"/>
  <c r="L34" i="45"/>
  <c r="AB25" i="45"/>
  <c r="T17" i="45"/>
  <c r="X33" i="45"/>
  <c r="L26" i="45"/>
  <c r="AB20" i="45"/>
  <c r="JB22" i="1"/>
  <c r="IP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IY22" i="1"/>
  <c r="IM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G22" i="1"/>
  <c r="AE22" i="1"/>
  <c r="JE22" i="1"/>
  <c r="IA22" i="1"/>
  <c r="HL22" i="1"/>
  <c r="GE22" i="1"/>
  <c r="FP22" i="1"/>
  <c r="DT22" i="1"/>
  <c r="CM22" i="1"/>
  <c r="BX22" i="1"/>
  <c r="AQ22" i="1"/>
  <c r="P22" i="1"/>
  <c r="AB22" i="1"/>
  <c r="J22" i="1"/>
  <c r="HO22" i="1"/>
  <c r="EF22" i="1"/>
  <c r="IS22" i="1"/>
  <c r="EU22" i="1"/>
  <c r="DK22" i="1"/>
  <c r="CV22" i="1"/>
  <c r="BL22" i="1"/>
  <c r="GB22" i="1"/>
  <c r="CA22" i="1"/>
  <c r="GQ22" i="1"/>
  <c r="FG22" i="1"/>
  <c r="ER22" i="1"/>
  <c r="DH22" i="1"/>
  <c r="FS22" i="1"/>
  <c r="CJ22" i="1"/>
  <c r="BO22" i="1"/>
  <c r="GN22" i="1"/>
  <c r="HX22" i="1"/>
  <c r="HC22" i="1"/>
  <c r="DW22" i="1"/>
  <c r="IJ22" i="1"/>
  <c r="CY22" i="1"/>
  <c r="GZ22" i="1"/>
  <c r="AN22" i="1"/>
  <c r="S22" i="1"/>
  <c r="IG22" i="1"/>
  <c r="BC22" i="1"/>
  <c r="IV22" i="1"/>
  <c r="FD22" i="1"/>
  <c r="AZ22" i="1"/>
  <c r="P26" i="45"/>
  <c r="IV28" i="1"/>
  <c r="IJ28" i="1"/>
  <c r="IA28" i="1"/>
  <c r="HO28" i="1"/>
  <c r="HC28" i="1"/>
  <c r="GE28" i="1"/>
  <c r="FS28" i="1"/>
  <c r="FG28" i="1"/>
  <c r="EU28" i="1"/>
  <c r="DW28" i="1"/>
  <c r="DK28" i="1"/>
  <c r="CY28" i="1"/>
  <c r="CM28" i="1"/>
  <c r="CA28" i="1"/>
  <c r="BO28" i="1"/>
  <c r="BC28" i="1"/>
  <c r="AQ28" i="1"/>
  <c r="AE28" i="1"/>
  <c r="S28" i="1"/>
  <c r="G28" i="1"/>
  <c r="JE28" i="1"/>
  <c r="IS28" i="1"/>
  <c r="IG28" i="1"/>
  <c r="HX28" i="1"/>
  <c r="HL28" i="1"/>
  <c r="GZ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B28" i="1"/>
  <c r="IM28" i="1"/>
  <c r="HI28" i="1"/>
  <c r="FM28" i="1"/>
  <c r="EX28" i="1"/>
  <c r="DQ28" i="1"/>
  <c r="DB28" i="1"/>
  <c r="BU28" i="1"/>
  <c r="BF28" i="1"/>
  <c r="Y28" i="1"/>
  <c r="J28" i="1"/>
  <c r="IY28" i="1"/>
  <c r="HU28" i="1"/>
  <c r="HF28" i="1"/>
  <c r="FY28" i="1"/>
  <c r="FJ28" i="1"/>
  <c r="EC28" i="1"/>
  <c r="DN28" i="1"/>
  <c r="CG28" i="1"/>
  <c r="BR28" i="1"/>
  <c r="AK28" i="1"/>
  <c r="V28" i="1"/>
  <c r="EO28" i="1"/>
  <c r="AW28" i="1"/>
  <c r="ID28" i="1"/>
  <c r="EL28" i="1"/>
  <c r="AT28" i="1"/>
  <c r="IP28" i="1"/>
  <c r="FV28" i="1"/>
  <c r="FA28" i="1"/>
  <c r="CD28" i="1"/>
  <c r="BI28" i="1"/>
  <c r="CS28" i="1"/>
  <c r="GH28" i="1"/>
  <c r="CP28" i="1"/>
  <c r="AH28" i="1"/>
  <c r="M28" i="1"/>
  <c r="DZ28" i="1"/>
  <c r="DE28" i="1"/>
  <c r="HR28" i="1"/>
  <c r="GW28" i="1"/>
  <c r="AE34" i="45"/>
  <c r="AE17" i="45"/>
  <c r="G33" i="45"/>
  <c r="IY30" i="1"/>
  <c r="IM30" i="1"/>
  <c r="ID30" i="1"/>
  <c r="HR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IV30" i="1"/>
  <c r="IJ30" i="1"/>
  <c r="IA30" i="1"/>
  <c r="HO30" i="1"/>
  <c r="GE30" i="1"/>
  <c r="FS30" i="1"/>
  <c r="FG30" i="1"/>
  <c r="EU30" i="1"/>
  <c r="DW30" i="1"/>
  <c r="DK30" i="1"/>
  <c r="CY30" i="1"/>
  <c r="CM30" i="1"/>
  <c r="CA30" i="1"/>
  <c r="BO30" i="1"/>
  <c r="BC30" i="1"/>
  <c r="AQ30" i="1"/>
  <c r="AE30" i="1"/>
  <c r="S30" i="1"/>
  <c r="JB30" i="1"/>
  <c r="IP30" i="1"/>
  <c r="HU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DH30" i="1"/>
  <c r="IG30" i="1"/>
  <c r="ER30" i="1"/>
  <c r="AZ30" i="1"/>
  <c r="P30" i="1"/>
  <c r="GB30" i="1"/>
  <c r="CJ30" i="1"/>
  <c r="DT30" i="1"/>
  <c r="AB30" i="1"/>
  <c r="HX30" i="1"/>
  <c r="EF30" i="1"/>
  <c r="AN30" i="1"/>
  <c r="V30" i="1"/>
  <c r="G30" i="1"/>
  <c r="JE30" i="1"/>
  <c r="FP30" i="1"/>
  <c r="BX30" i="1"/>
  <c r="FD30" i="1"/>
  <c r="IS30" i="1"/>
  <c r="CV30" i="1"/>
  <c r="J30" i="1"/>
  <c r="BL30" i="1"/>
  <c r="E40" i="27"/>
  <c r="IV23" i="1"/>
  <c r="IJ23" i="1"/>
  <c r="IA23" i="1"/>
  <c r="HO23" i="1"/>
  <c r="HC23" i="1"/>
  <c r="GQ23" i="1"/>
  <c r="GE23" i="1"/>
  <c r="FS23" i="1"/>
  <c r="FG23" i="1"/>
  <c r="EU23" i="1"/>
  <c r="DW23" i="1"/>
  <c r="DK23" i="1"/>
  <c r="CY23" i="1"/>
  <c r="CM23" i="1"/>
  <c r="CA23" i="1"/>
  <c r="BO23" i="1"/>
  <c r="BC23" i="1"/>
  <c r="AQ23" i="1"/>
  <c r="AE23" i="1"/>
  <c r="S23" i="1"/>
  <c r="G23" i="1"/>
  <c r="JB23" i="1"/>
  <c r="IP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IY23" i="1"/>
  <c r="IM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JE23" i="1"/>
  <c r="FP23" i="1"/>
  <c r="BX23" i="1"/>
  <c r="IG23" i="1"/>
  <c r="ER23" i="1"/>
  <c r="AZ23" i="1"/>
  <c r="GB23" i="1"/>
  <c r="CJ23" i="1"/>
  <c r="HL23" i="1"/>
  <c r="DT23" i="1"/>
  <c r="AB23" i="1"/>
  <c r="GN23" i="1"/>
  <c r="CV23" i="1"/>
  <c r="BL23" i="1"/>
  <c r="AN23" i="1"/>
  <c r="IS23" i="1"/>
  <c r="P23" i="1"/>
  <c r="HX23" i="1"/>
  <c r="EF23" i="1"/>
  <c r="FD23" i="1"/>
  <c r="DH23" i="1"/>
  <c r="GZ23" i="1"/>
  <c r="X34" i="45"/>
  <c r="AE25" i="45"/>
  <c r="AJ17" i="45"/>
  <c r="AE33" i="45"/>
  <c r="AE26" i="45"/>
  <c r="G20" i="45"/>
  <c r="JE34" i="1"/>
  <c r="IS34" i="1"/>
  <c r="IG34" i="1"/>
  <c r="HX34" i="1"/>
  <c r="HL34" i="1"/>
  <c r="GB34" i="1"/>
  <c r="FP34" i="1"/>
  <c r="FD34" i="1"/>
  <c r="ER34" i="1"/>
  <c r="EF34" i="1"/>
  <c r="DT34" i="1"/>
  <c r="DH34" i="1"/>
  <c r="CV34" i="1"/>
  <c r="CJ34" i="1"/>
  <c r="BX34" i="1"/>
  <c r="BL34" i="1"/>
  <c r="AZ34" i="1"/>
  <c r="AN34" i="1"/>
  <c r="AB34" i="1"/>
  <c r="P34" i="1"/>
  <c r="JB34" i="1"/>
  <c r="IP34" i="1"/>
  <c r="HU34" i="1"/>
  <c r="HI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IY34" i="1"/>
  <c r="IM34" i="1"/>
  <c r="ID34" i="1"/>
  <c r="HR34" i="1"/>
  <c r="HF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V34" i="1"/>
  <c r="IJ34" i="1"/>
  <c r="IA34" i="1"/>
  <c r="HO34" i="1"/>
  <c r="HC34" i="1"/>
  <c r="GE34" i="1"/>
  <c r="FS34" i="1"/>
  <c r="FG34" i="1"/>
  <c r="EU34" i="1"/>
  <c r="DW34" i="1"/>
  <c r="DK34" i="1"/>
  <c r="CY34" i="1"/>
  <c r="CM34" i="1"/>
  <c r="CA34" i="1"/>
  <c r="BO34" i="1"/>
  <c r="BC34" i="1"/>
  <c r="AQ34" i="1"/>
  <c r="AE34" i="1"/>
  <c r="S34" i="1"/>
  <c r="G34" i="1"/>
  <c r="AJ26" i="45"/>
  <c r="JB16" i="1"/>
  <c r="IP16" i="1"/>
  <c r="IG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B16" i="1"/>
  <c r="P16" i="1"/>
  <c r="IS16" i="1"/>
  <c r="JE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IJ16" i="1"/>
  <c r="IA16" i="1"/>
  <c r="HO16" i="1"/>
  <c r="HC16" i="1"/>
  <c r="GQ16" i="1"/>
  <c r="GE16" i="1"/>
  <c r="FS16" i="1"/>
  <c r="FG16" i="1"/>
  <c r="EU16" i="1"/>
  <c r="DW16" i="1"/>
  <c r="DK16" i="1"/>
  <c r="CY16" i="1"/>
  <c r="CM16" i="1"/>
  <c r="CA16" i="1"/>
  <c r="BO16" i="1"/>
  <c r="BC16" i="1"/>
  <c r="AQ16" i="1"/>
  <c r="AE16" i="1"/>
  <c r="S16" i="1"/>
  <c r="G16" i="1"/>
  <c r="IV16" i="1"/>
  <c r="GT16" i="1"/>
  <c r="DB16" i="1"/>
  <c r="J16" i="1"/>
  <c r="ID16" i="1"/>
  <c r="EL16" i="1"/>
  <c r="AT16" i="1"/>
  <c r="FV16" i="1"/>
  <c r="CD16" i="1"/>
  <c r="HF16" i="1"/>
  <c r="DN16" i="1"/>
  <c r="V16" i="1"/>
  <c r="IM16" i="1"/>
  <c r="EX16" i="1"/>
  <c r="BF16" i="1"/>
  <c r="GH16" i="1"/>
  <c r="CP16" i="1"/>
  <c r="IY16" i="1"/>
  <c r="HR16" i="1"/>
  <c r="DZ16" i="1"/>
  <c r="AH16" i="1"/>
  <c r="FJ16" i="1"/>
  <c r="BR16" i="1"/>
  <c r="IY21" i="1"/>
  <c r="IM21" i="1"/>
  <c r="ID21" i="1"/>
  <c r="HR21" i="1"/>
  <c r="HF21" i="1"/>
  <c r="GT21" i="1"/>
  <c r="GH21" i="1"/>
  <c r="FV21" i="1"/>
  <c r="FJ21" i="1"/>
  <c r="EX21" i="1"/>
  <c r="EL21" i="1"/>
  <c r="DZ21" i="1"/>
  <c r="DN21" i="1"/>
  <c r="DB21" i="1"/>
  <c r="CP21" i="1"/>
  <c r="CD21" i="1"/>
  <c r="BR21" i="1"/>
  <c r="BF21" i="1"/>
  <c r="AT21" i="1"/>
  <c r="AH21" i="1"/>
  <c r="V21" i="1"/>
  <c r="J21" i="1"/>
  <c r="JB21" i="1"/>
  <c r="IP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V21" i="1"/>
  <c r="IG21" i="1"/>
  <c r="HC21" i="1"/>
  <c r="GN21" i="1"/>
  <c r="FG21" i="1"/>
  <c r="ER21" i="1"/>
  <c r="DK21" i="1"/>
  <c r="CV21" i="1"/>
  <c r="BO21" i="1"/>
  <c r="AZ21" i="1"/>
  <c r="S21" i="1"/>
  <c r="JE21" i="1"/>
  <c r="HX21" i="1"/>
  <c r="DW21" i="1"/>
  <c r="CM21" i="1"/>
  <c r="BX21" i="1"/>
  <c r="AN21" i="1"/>
  <c r="IJ21" i="1"/>
  <c r="FD21" i="1"/>
  <c r="BC21" i="1"/>
  <c r="FS21" i="1"/>
  <c r="DT21" i="1"/>
  <c r="CJ21" i="1"/>
  <c r="GZ21" i="1"/>
  <c r="CY21" i="1"/>
  <c r="P21" i="1"/>
  <c r="IA21" i="1"/>
  <c r="HL21" i="1"/>
  <c r="GB21" i="1"/>
  <c r="CA21" i="1"/>
  <c r="AQ21" i="1"/>
  <c r="AB21" i="1"/>
  <c r="GQ21" i="1"/>
  <c r="G21" i="1"/>
  <c r="EF21" i="1"/>
  <c r="DH21" i="1"/>
  <c r="IS21" i="1"/>
  <c r="FP21" i="1"/>
  <c r="EU21" i="1"/>
  <c r="BL21" i="1"/>
  <c r="GE21" i="1"/>
  <c r="HO21" i="1"/>
  <c r="AE21" i="1"/>
  <c r="AB34" i="45"/>
  <c r="G25" i="45"/>
  <c r="G17" i="45"/>
  <c r="AJ33" i="45"/>
  <c r="G26" i="45"/>
  <c r="AE20" i="45"/>
  <c r="P34" i="45"/>
  <c r="P17" i="45"/>
  <c r="T26" i="45"/>
  <c r="E40" i="29"/>
  <c r="AJ25" i="45"/>
  <c r="AJ20" i="45"/>
  <c r="IY18" i="1"/>
  <c r="IM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JB18" i="1"/>
  <c r="HO18" i="1"/>
  <c r="GN18" i="1"/>
  <c r="FM18" i="1"/>
  <c r="DW18" i="1"/>
  <c r="CV18" i="1"/>
  <c r="BU18" i="1"/>
  <c r="AE18" i="1"/>
  <c r="IA18" i="1"/>
  <c r="GZ18" i="1"/>
  <c r="FY18" i="1"/>
  <c r="DH18" i="1"/>
  <c r="CG18" i="1"/>
  <c r="AQ18" i="1"/>
  <c r="P18" i="1"/>
  <c r="IJ18" i="1"/>
  <c r="HL18" i="1"/>
  <c r="GK18" i="1"/>
  <c r="EU18" i="1"/>
  <c r="DT18" i="1"/>
  <c r="CS18" i="1"/>
  <c r="BC18" i="1"/>
  <c r="AB18" i="1"/>
  <c r="IV18" i="1"/>
  <c r="HX18" i="1"/>
  <c r="GW18" i="1"/>
  <c r="FG18" i="1"/>
  <c r="EF18" i="1"/>
  <c r="DE18" i="1"/>
  <c r="BO18" i="1"/>
  <c r="AN18" i="1"/>
  <c r="M18" i="1"/>
  <c r="JE18" i="1"/>
  <c r="GQ18" i="1"/>
  <c r="FP18" i="1"/>
  <c r="EO18" i="1"/>
  <c r="CY18" i="1"/>
  <c r="BX18" i="1"/>
  <c r="AW18" i="1"/>
  <c r="G18" i="1"/>
  <c r="IP18" i="1"/>
  <c r="DQ18" i="1"/>
  <c r="BL18" i="1"/>
  <c r="FS18" i="1"/>
  <c r="FA18" i="1"/>
  <c r="Y18" i="1"/>
  <c r="HU18" i="1"/>
  <c r="HC18" i="1"/>
  <c r="CA18" i="1"/>
  <c r="BI18" i="1"/>
  <c r="GE18" i="1"/>
  <c r="EC18" i="1"/>
  <c r="DK18" i="1"/>
  <c r="IG18" i="1"/>
  <c r="CM18" i="1"/>
  <c r="AK18" i="1"/>
  <c r="S18" i="1"/>
  <c r="GB18" i="1"/>
  <c r="ER18" i="1"/>
  <c r="IS18" i="1"/>
  <c r="CJ18" i="1"/>
  <c r="AZ18" i="1"/>
  <c r="HI18" i="1"/>
  <c r="FD18" i="1"/>
  <c r="IY35" i="1"/>
  <c r="IM35" i="1"/>
  <c r="ID35" i="1"/>
  <c r="HR35" i="1"/>
  <c r="HF35" i="1"/>
  <c r="GH35" i="1"/>
  <c r="FV35" i="1"/>
  <c r="FJ35" i="1"/>
  <c r="EX35" i="1"/>
  <c r="EL35" i="1"/>
  <c r="JE35" i="1"/>
  <c r="IS35" i="1"/>
  <c r="IG35" i="1"/>
  <c r="HX35" i="1"/>
  <c r="HL35" i="1"/>
  <c r="GZ35" i="1"/>
  <c r="HU35" i="1"/>
  <c r="FM35" i="1"/>
  <c r="IV35" i="1"/>
  <c r="HC35" i="1"/>
  <c r="FY35" i="1"/>
  <c r="DW35" i="1"/>
  <c r="DK35" i="1"/>
  <c r="CY35" i="1"/>
  <c r="CM35" i="1"/>
  <c r="CA35" i="1"/>
  <c r="BO35" i="1"/>
  <c r="BC35" i="1"/>
  <c r="AQ35" i="1"/>
  <c r="AE35" i="1"/>
  <c r="S35" i="1"/>
  <c r="G35" i="1"/>
  <c r="EU35" i="1"/>
  <c r="HO35" i="1"/>
  <c r="FG35" i="1"/>
  <c r="EF35" i="1"/>
  <c r="DT35" i="1"/>
  <c r="DH35" i="1"/>
  <c r="CV35" i="1"/>
  <c r="CJ35" i="1"/>
  <c r="BX35" i="1"/>
  <c r="BL35" i="1"/>
  <c r="AZ35" i="1"/>
  <c r="AN35" i="1"/>
  <c r="AB35" i="1"/>
  <c r="P35" i="1"/>
  <c r="IP35" i="1"/>
  <c r="FS35" i="1"/>
  <c r="ER35" i="1"/>
  <c r="JB35" i="1"/>
  <c r="HI35" i="1"/>
  <c r="FP35" i="1"/>
  <c r="EO35" i="1"/>
  <c r="FA35" i="1"/>
  <c r="IA35" i="1"/>
  <c r="EC35" i="1"/>
  <c r="DN35" i="1"/>
  <c r="CG35" i="1"/>
  <c r="BR35" i="1"/>
  <c r="AK35" i="1"/>
  <c r="V35" i="1"/>
  <c r="GE35" i="1"/>
  <c r="DZ35" i="1"/>
  <c r="CS35" i="1"/>
  <c r="CD35" i="1"/>
  <c r="AW35" i="1"/>
  <c r="AH35" i="1"/>
  <c r="FD35" i="1"/>
  <c r="DQ35" i="1"/>
  <c r="DB35" i="1"/>
  <c r="BU35" i="1"/>
  <c r="BF35" i="1"/>
  <c r="Y35" i="1"/>
  <c r="J35" i="1"/>
  <c r="IJ35" i="1"/>
  <c r="DE35" i="1"/>
  <c r="AT35" i="1"/>
  <c r="BI35" i="1"/>
  <c r="M35" i="1"/>
  <c r="GB35" i="1"/>
  <c r="CP35" i="1"/>
  <c r="E29" i="2"/>
  <c r="T27" i="45"/>
  <c r="P27" i="45"/>
  <c r="L27" i="45"/>
  <c r="AJ27" i="45"/>
  <c r="AE27" i="45"/>
  <c r="G27" i="45"/>
  <c r="AB27" i="45"/>
  <c r="X27" i="45"/>
  <c r="E31" i="2"/>
  <c r="T29" i="45"/>
  <c r="AB29" i="45"/>
  <c r="X29" i="45"/>
  <c r="P29" i="45"/>
  <c r="L29" i="45"/>
  <c r="AJ29" i="45"/>
  <c r="G29" i="45"/>
  <c r="AE29" i="45"/>
  <c r="AN16" i="45"/>
  <c r="AN24" i="45" s="1"/>
  <c r="E21" i="2"/>
  <c r="E36" i="2"/>
  <c r="E27" i="2"/>
  <c r="E28" i="2"/>
  <c r="E35" i="2"/>
  <c r="E24" i="2"/>
  <c r="E17" i="2"/>
  <c r="E22" i="2"/>
  <c r="E19" i="2"/>
  <c r="E20" i="2"/>
  <c r="E23" i="2"/>
  <c r="E25" i="2"/>
  <c r="I45" i="33"/>
  <c r="L45" i="33"/>
  <c r="I48" i="33"/>
  <c r="I51" i="33"/>
  <c r="J45" i="33"/>
  <c r="J40" i="32"/>
  <c r="M45" i="33"/>
  <c r="M48" i="33"/>
  <c r="J48" i="33"/>
  <c r="K57" i="33"/>
  <c r="K56" i="33"/>
  <c r="J51" i="33"/>
  <c r="J41" i="33"/>
  <c r="W163" i="46"/>
  <c r="AA6" i="46"/>
  <c r="M7" i="31"/>
  <c r="M7" i="30" s="1"/>
  <c r="M7" i="29" s="1"/>
  <c r="M7" i="27" s="1"/>
  <c r="M7" i="28" s="1"/>
  <c r="M7" i="26" s="1"/>
  <c r="M7" i="25" s="1"/>
  <c r="M7" i="24" s="1"/>
  <c r="M7" i="23" s="1"/>
  <c r="M7" i="21" s="1"/>
  <c r="M7" i="22" s="1"/>
  <c r="M7" i="20" s="1"/>
  <c r="M7" i="19" s="1"/>
  <c r="M7" i="18" s="1"/>
  <c r="M7" i="17" s="1"/>
  <c r="M7" i="16" s="1"/>
  <c r="M7" i="15" s="1"/>
  <c r="M7" i="14" s="1"/>
  <c r="M7" i="13" s="1"/>
  <c r="M7" i="12" s="1"/>
  <c r="M7" i="11" s="1"/>
  <c r="M7" i="10" s="1"/>
  <c r="M7" i="9" s="1"/>
  <c r="M7" i="8" s="1"/>
  <c r="M7" i="7" s="1"/>
  <c r="M7" i="6" s="1"/>
  <c r="M7" i="37" s="1"/>
  <c r="M7" i="4" s="1"/>
  <c r="M7" i="43" s="1"/>
  <c r="M34" i="32"/>
  <c r="A14" i="1"/>
  <c r="A15" i="2" s="1"/>
  <c r="D46" i="27"/>
  <c r="D46" i="28" s="1"/>
  <c r="E46" i="30"/>
  <c r="J46" i="30"/>
  <c r="J46" i="29" s="1"/>
  <c r="J46" i="27" s="1"/>
  <c r="J46" i="28" s="1"/>
  <c r="J46" i="26" s="1"/>
  <c r="J46" i="25" s="1"/>
  <c r="J46" i="24" s="1"/>
  <c r="J46" i="23" s="1"/>
  <c r="J46" i="21" s="1"/>
  <c r="J46" i="22" s="1"/>
  <c r="J46" i="20" s="1"/>
  <c r="J46" i="19" s="1"/>
  <c r="J46" i="18" s="1"/>
  <c r="J46" i="17" s="1"/>
  <c r="J46" i="16" s="1"/>
  <c r="J46" i="15" s="1"/>
  <c r="J46" i="14" s="1"/>
  <c r="J46" i="13" s="1"/>
  <c r="J46" i="12" s="1"/>
  <c r="J46" i="11" s="1"/>
  <c r="J46" i="10" s="1"/>
  <c r="J46" i="9" s="1"/>
  <c r="J46" i="8" s="1"/>
  <c r="J46" i="7" s="1"/>
  <c r="J46" i="6" s="1"/>
  <c r="J46" i="37" s="1"/>
  <c r="J46" i="4" s="1"/>
  <c r="J46" i="43" s="1"/>
  <c r="I40" i="31"/>
  <c r="D47" i="29"/>
  <c r="E47" i="29" s="1"/>
  <c r="AQ12" i="39"/>
  <c r="AK12" i="39"/>
  <c r="AE12" i="39"/>
  <c r="Q13" i="39"/>
  <c r="J44" i="27"/>
  <c r="J38" i="28"/>
  <c r="M47" i="27"/>
  <c r="M44" i="27"/>
  <c r="D48" i="27"/>
  <c r="E48" i="29"/>
  <c r="D44" i="29"/>
  <c r="E44" i="29" s="1"/>
  <c r="D42" i="26"/>
  <c r="E42" i="26" s="1"/>
  <c r="E42" i="27"/>
  <c r="D38" i="27"/>
  <c r="E38" i="29"/>
  <c r="D51" i="29"/>
  <c r="E51" i="30"/>
  <c r="E52" i="31"/>
  <c r="E53" i="31" s="1"/>
  <c r="E43" i="29"/>
  <c r="D43" i="27"/>
  <c r="E40" i="28"/>
  <c r="D40" i="26"/>
  <c r="D39" i="27"/>
  <c r="E39" i="29"/>
  <c r="E45" i="29"/>
  <c r="D45" i="27"/>
  <c r="D41" i="29"/>
  <c r="E41" i="30"/>
  <c r="D52" i="30"/>
  <c r="D53" i="30" s="1"/>
  <c r="E50" i="30"/>
  <c r="D50" i="29"/>
  <c r="M43" i="37"/>
  <c r="J39" i="30"/>
  <c r="J37" i="29"/>
  <c r="E49" i="30"/>
  <c r="D49" i="29"/>
  <c r="J49" i="27"/>
  <c r="J50" i="29"/>
  <c r="M8" i="29"/>
  <c r="J57" i="23"/>
  <c r="AU18" i="39"/>
  <c r="AA118" i="46" l="1"/>
  <c r="AB13" i="45"/>
  <c r="G13" i="45"/>
  <c r="T13" i="45"/>
  <c r="P13" i="45"/>
  <c r="AE13" i="45"/>
  <c r="AJ13" i="45"/>
  <c r="L13" i="45"/>
  <c r="AB118" i="46"/>
  <c r="AA118" i="54"/>
  <c r="AB118" i="54" s="1"/>
  <c r="DI16" i="2"/>
  <c r="HI14" i="1"/>
  <c r="EI14" i="1"/>
  <c r="AR10" i="39"/>
  <c r="E10" i="1"/>
  <c r="EI10" i="1" s="1"/>
  <c r="BD10" i="39"/>
  <c r="I10" i="39"/>
  <c r="C9" i="45"/>
  <c r="AX10" i="39"/>
  <c r="BJ10" i="39"/>
  <c r="AF10" i="39"/>
  <c r="T10" i="39"/>
  <c r="AL10" i="39"/>
  <c r="DK21" i="2"/>
  <c r="DI21" i="2"/>
  <c r="DK17" i="2"/>
  <c r="DI17" i="2"/>
  <c r="DK31" i="2"/>
  <c r="DI31" i="2"/>
  <c r="DK19" i="2"/>
  <c r="DI19" i="2"/>
  <c r="DK24" i="2"/>
  <c r="DI24" i="2"/>
  <c r="DK29" i="2"/>
  <c r="DI29" i="2"/>
  <c r="DK35" i="2"/>
  <c r="DI35" i="2"/>
  <c r="DK25" i="2"/>
  <c r="DI25" i="2"/>
  <c r="DK28" i="2"/>
  <c r="DI28" i="2"/>
  <c r="DK22" i="2"/>
  <c r="DI22" i="2"/>
  <c r="DK26" i="2"/>
  <c r="DI26" i="2"/>
  <c r="DK23" i="2"/>
  <c r="DI23" i="2"/>
  <c r="DK27" i="2"/>
  <c r="DI27" i="2"/>
  <c r="DK20" i="2"/>
  <c r="DI20" i="2"/>
  <c r="DK36" i="2"/>
  <c r="DI36" i="2"/>
  <c r="X163" i="54"/>
  <c r="O41" i="52" s="1"/>
  <c r="P41" i="52" s="1"/>
  <c r="Q41" i="52" s="1"/>
  <c r="X168" i="54"/>
  <c r="AF12" i="39"/>
  <c r="E12" i="1"/>
  <c r="EI12" i="1" s="1"/>
  <c r="V12" i="39"/>
  <c r="J12" i="39"/>
  <c r="AR12" i="39"/>
  <c r="BD12" i="39"/>
  <c r="AX12" i="39"/>
  <c r="T12" i="39"/>
  <c r="I12" i="39"/>
  <c r="C11" i="45"/>
  <c r="AL12" i="39"/>
  <c r="BJ12" i="39"/>
  <c r="J11" i="19"/>
  <c r="J11" i="18" s="1"/>
  <c r="J27" i="4"/>
  <c r="J27" i="43" s="1"/>
  <c r="J15" i="4"/>
  <c r="J15" i="43" s="1"/>
  <c r="J17" i="4"/>
  <c r="J17" i="43" s="1"/>
  <c r="J10" i="37"/>
  <c r="J10" i="4" s="1"/>
  <c r="J10" i="43" s="1"/>
  <c r="W9" i="39"/>
  <c r="AS9" i="39"/>
  <c r="BK9" i="39"/>
  <c r="U9" i="39"/>
  <c r="AG9" i="39"/>
  <c r="AM9" i="39"/>
  <c r="K9" i="39"/>
  <c r="BE9" i="39"/>
  <c r="AY9" i="39"/>
  <c r="AW14" i="1"/>
  <c r="E15" i="2"/>
  <c r="GW36" i="1"/>
  <c r="HL36" i="1"/>
  <c r="DH36" i="1"/>
  <c r="P36" i="1"/>
  <c r="FA36" i="1"/>
  <c r="BI36" i="1"/>
  <c r="HO36" i="1"/>
  <c r="DK36" i="1"/>
  <c r="S36" i="1"/>
  <c r="GH36" i="1"/>
  <c r="ID36" i="1"/>
  <c r="GN36" i="1"/>
  <c r="GZ36" i="1"/>
  <c r="CV36" i="1"/>
  <c r="JB36" i="1"/>
  <c r="EO36" i="1"/>
  <c r="AW36" i="1"/>
  <c r="HC36" i="1"/>
  <c r="CY36" i="1"/>
  <c r="G36" i="1"/>
  <c r="CP36" i="1"/>
  <c r="EL36" i="1"/>
  <c r="GQ36" i="1"/>
  <c r="GB36" i="1"/>
  <c r="CJ36" i="1"/>
  <c r="IP36" i="1"/>
  <c r="EC36" i="1"/>
  <c r="AK36" i="1"/>
  <c r="GE36" i="1"/>
  <c r="CM36" i="1"/>
  <c r="HF36" i="1"/>
  <c r="HR36" i="1"/>
  <c r="AT36" i="1"/>
  <c r="E37" i="2"/>
  <c r="GT36" i="1"/>
  <c r="FP36" i="1"/>
  <c r="BX36" i="1"/>
  <c r="DQ36" i="1"/>
  <c r="Y36" i="1"/>
  <c r="FS36" i="1"/>
  <c r="CA36" i="1"/>
  <c r="DN36" i="1"/>
  <c r="DZ36" i="1"/>
  <c r="FV36" i="1"/>
  <c r="JE36" i="1"/>
  <c r="FD36" i="1"/>
  <c r="BL36" i="1"/>
  <c r="HU36" i="1"/>
  <c r="DE36" i="1"/>
  <c r="M36" i="1"/>
  <c r="FG36" i="1"/>
  <c r="BO36" i="1"/>
  <c r="V36" i="1"/>
  <c r="AH36" i="1"/>
  <c r="DB36" i="1"/>
  <c r="IS36" i="1"/>
  <c r="ER36" i="1"/>
  <c r="AZ36" i="1"/>
  <c r="HI36" i="1"/>
  <c r="CS36" i="1"/>
  <c r="IV36" i="1"/>
  <c r="EU36" i="1"/>
  <c r="BC36" i="1"/>
  <c r="IM36" i="1"/>
  <c r="IY36" i="1"/>
  <c r="CD36" i="1"/>
  <c r="IG36" i="1"/>
  <c r="EF36" i="1"/>
  <c r="AN36" i="1"/>
  <c r="FY36" i="1"/>
  <c r="CG36" i="1"/>
  <c r="IJ36" i="1"/>
  <c r="AQ36" i="1"/>
  <c r="EX36" i="1"/>
  <c r="FJ36" i="1"/>
  <c r="J36" i="1"/>
  <c r="GK36" i="1"/>
  <c r="HX36" i="1"/>
  <c r="DT36" i="1"/>
  <c r="AB36" i="1"/>
  <c r="FM36" i="1"/>
  <c r="BU36" i="1"/>
  <c r="IA36" i="1"/>
  <c r="DW36" i="1"/>
  <c r="AE36" i="1"/>
  <c r="BF36" i="1"/>
  <c r="BR36" i="1"/>
  <c r="G35" i="45"/>
  <c r="P35" i="45"/>
  <c r="AJ35" i="45"/>
  <c r="X35" i="45"/>
  <c r="L35" i="45"/>
  <c r="AB35" i="45"/>
  <c r="T35" i="45"/>
  <c r="AE35" i="45"/>
  <c r="J19" i="12"/>
  <c r="J19" i="11" s="1"/>
  <c r="J19" i="10" s="1"/>
  <c r="J19" i="9" s="1"/>
  <c r="J19" i="8" s="1"/>
  <c r="J19" i="7" s="1"/>
  <c r="J19" i="6" s="1"/>
  <c r="J19" i="37" s="1"/>
  <c r="J59" i="23"/>
  <c r="I45" i="11"/>
  <c r="L45" i="11"/>
  <c r="R31" i="39"/>
  <c r="I51" i="11"/>
  <c r="I48" i="11"/>
  <c r="J21" i="16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BL14" i="1"/>
  <c r="EO14" i="1"/>
  <c r="IS14" i="1"/>
  <c r="GN14" i="1"/>
  <c r="CY14" i="1"/>
  <c r="V14" i="1"/>
  <c r="DN14" i="1"/>
  <c r="HF14" i="1"/>
  <c r="J56" i="22"/>
  <c r="J59" i="21"/>
  <c r="J9" i="20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DT14" i="1"/>
  <c r="AE14" i="1"/>
  <c r="HO14" i="1"/>
  <c r="FG14" i="1"/>
  <c r="CJ14" i="1"/>
  <c r="J14" i="1"/>
  <c r="DB14" i="1"/>
  <c r="GT14" i="1"/>
  <c r="AK14" i="1"/>
  <c r="EC14" i="1"/>
  <c r="HU14" i="1"/>
  <c r="FP14" i="1"/>
  <c r="CA14" i="1"/>
  <c r="S14" i="1"/>
  <c r="HC14" i="1"/>
  <c r="EF14" i="1"/>
  <c r="AH14" i="1"/>
  <c r="DZ14" i="1"/>
  <c r="HR14" i="1"/>
  <c r="BI14" i="1"/>
  <c r="FA14" i="1"/>
  <c r="IP14" i="1"/>
  <c r="GE14" i="1"/>
  <c r="DH14" i="1"/>
  <c r="AZ14" i="1"/>
  <c r="IG14" i="1"/>
  <c r="EU14" i="1"/>
  <c r="AT14" i="1"/>
  <c r="EL14" i="1"/>
  <c r="ID14" i="1"/>
  <c r="BU14" i="1"/>
  <c r="FM14" i="1"/>
  <c r="JB14" i="1"/>
  <c r="AB14" i="1"/>
  <c r="HL14" i="1"/>
  <c r="DW14" i="1"/>
  <c r="BO14" i="1"/>
  <c r="IV14" i="1"/>
  <c r="GB14" i="1"/>
  <c r="BF14" i="1"/>
  <c r="EX14" i="1"/>
  <c r="IM14" i="1"/>
  <c r="CG14" i="1"/>
  <c r="FY14" i="1"/>
  <c r="AQ14" i="1"/>
  <c r="IA14" i="1"/>
  <c r="FD14" i="1"/>
  <c r="CV14" i="1"/>
  <c r="G14" i="1"/>
  <c r="GQ14" i="1"/>
  <c r="BR14" i="1"/>
  <c r="FJ14" i="1"/>
  <c r="IY14" i="1"/>
  <c r="CS14" i="1"/>
  <c r="GK14" i="1"/>
  <c r="BX14" i="1"/>
  <c r="JE14" i="1"/>
  <c r="FS14" i="1"/>
  <c r="DK14" i="1"/>
  <c r="AN14" i="1"/>
  <c r="HX14" i="1"/>
  <c r="CD14" i="1"/>
  <c r="FV14" i="1"/>
  <c r="M14" i="1"/>
  <c r="DE14" i="1"/>
  <c r="GW14" i="1"/>
  <c r="CM14" i="1"/>
  <c r="P14" i="1"/>
  <c r="GZ14" i="1"/>
  <c r="ER14" i="1"/>
  <c r="BC14" i="1"/>
  <c r="IJ14" i="1"/>
  <c r="CP14" i="1"/>
  <c r="GH14" i="1"/>
  <c r="Y14" i="1"/>
  <c r="DQ14" i="1"/>
  <c r="L12" i="45"/>
  <c r="AJ12" i="45"/>
  <c r="P12" i="45"/>
  <c r="G12" i="45"/>
  <c r="T12" i="45"/>
  <c r="X12" i="45"/>
  <c r="AB12" i="45"/>
  <c r="AE12" i="45"/>
  <c r="GH13" i="1"/>
  <c r="CP13" i="1"/>
  <c r="IV13" i="1"/>
  <c r="FG13" i="1"/>
  <c r="BO13" i="1"/>
  <c r="EO13" i="1"/>
  <c r="AW13" i="1"/>
  <c r="ER13" i="1"/>
  <c r="FD13" i="1"/>
  <c r="FP13" i="1"/>
  <c r="E14" i="2"/>
  <c r="FS13" i="1"/>
  <c r="FV13" i="1"/>
  <c r="CD13" i="1"/>
  <c r="IJ13" i="1"/>
  <c r="EU13" i="1"/>
  <c r="BC13" i="1"/>
  <c r="HU13" i="1"/>
  <c r="EC13" i="1"/>
  <c r="AK13" i="1"/>
  <c r="AZ13" i="1"/>
  <c r="BL13" i="1"/>
  <c r="BX13" i="1"/>
  <c r="GT13" i="1"/>
  <c r="FA13" i="1"/>
  <c r="IS13" i="1"/>
  <c r="IY13" i="1"/>
  <c r="FJ13" i="1"/>
  <c r="BR13" i="1"/>
  <c r="IA13" i="1"/>
  <c r="AQ13" i="1"/>
  <c r="HI13" i="1"/>
  <c r="DQ13" i="1"/>
  <c r="Y13" i="1"/>
  <c r="GB13" i="1"/>
  <c r="GN13" i="1"/>
  <c r="J13" i="1"/>
  <c r="IM13" i="1"/>
  <c r="EX13" i="1"/>
  <c r="BF13" i="1"/>
  <c r="HO13" i="1"/>
  <c r="DW13" i="1"/>
  <c r="AE13" i="1"/>
  <c r="GW13" i="1"/>
  <c r="DE13" i="1"/>
  <c r="M13" i="1"/>
  <c r="CJ13" i="1"/>
  <c r="CV13" i="1"/>
  <c r="IP13" i="1"/>
  <c r="ID13" i="1"/>
  <c r="EL13" i="1"/>
  <c r="AT13" i="1"/>
  <c r="HC13" i="1"/>
  <c r="DK13" i="1"/>
  <c r="S13" i="1"/>
  <c r="GK13" i="1"/>
  <c r="CS13" i="1"/>
  <c r="GZ13" i="1"/>
  <c r="HL13" i="1"/>
  <c r="HX13" i="1"/>
  <c r="BI13" i="1"/>
  <c r="HR13" i="1"/>
  <c r="DZ13" i="1"/>
  <c r="AH13" i="1"/>
  <c r="GQ13" i="1"/>
  <c r="CY13" i="1"/>
  <c r="G13" i="1"/>
  <c r="FY13" i="1"/>
  <c r="CG13" i="1"/>
  <c r="DH13" i="1"/>
  <c r="DT13" i="1"/>
  <c r="EF13" i="1"/>
  <c r="DB13" i="1"/>
  <c r="IG13" i="1"/>
  <c r="HF13" i="1"/>
  <c r="DN13" i="1"/>
  <c r="V13" i="1"/>
  <c r="GE13" i="1"/>
  <c r="CM13" i="1"/>
  <c r="JB13" i="1"/>
  <c r="FM13" i="1"/>
  <c r="BU13" i="1"/>
  <c r="P13" i="1"/>
  <c r="AB13" i="1"/>
  <c r="AN13" i="1"/>
  <c r="CA13" i="1"/>
  <c r="JE13" i="1"/>
  <c r="M34" i="31"/>
  <c r="A15" i="1"/>
  <c r="A16" i="2" s="1"/>
  <c r="M34" i="30"/>
  <c r="AB6" i="46"/>
  <c r="X168" i="46"/>
  <c r="K56" i="32"/>
  <c r="M48" i="32"/>
  <c r="K57" i="32"/>
  <c r="J45" i="32"/>
  <c r="J51" i="32"/>
  <c r="M45" i="32"/>
  <c r="J41" i="32"/>
  <c r="J48" i="32"/>
  <c r="C8" i="45"/>
  <c r="E9" i="1"/>
  <c r="E46" i="27"/>
  <c r="J47" i="29"/>
  <c r="J47" i="27"/>
  <c r="J47" i="30"/>
  <c r="L45" i="31"/>
  <c r="I45" i="31"/>
  <c r="R11" i="39"/>
  <c r="I48" i="31"/>
  <c r="I51" i="31"/>
  <c r="J40" i="31"/>
  <c r="D47" i="27"/>
  <c r="D47" i="28" s="1"/>
  <c r="D47" i="26" s="1"/>
  <c r="D44" i="27"/>
  <c r="E44" i="27" s="1"/>
  <c r="D42" i="25"/>
  <c r="D42" i="24" s="1"/>
  <c r="AQ13" i="39"/>
  <c r="Q14" i="39"/>
  <c r="AE13" i="39"/>
  <c r="AK13" i="39"/>
  <c r="J47" i="28"/>
  <c r="J38" i="26"/>
  <c r="J44" i="28"/>
  <c r="M47" i="28"/>
  <c r="M44" i="28"/>
  <c r="D48" i="28"/>
  <c r="E48" i="27"/>
  <c r="E51" i="29"/>
  <c r="D51" i="27"/>
  <c r="D38" i="28"/>
  <c r="E38" i="27"/>
  <c r="D43" i="28"/>
  <c r="E43" i="27"/>
  <c r="E40" i="26"/>
  <c r="D40" i="25"/>
  <c r="E46" i="28"/>
  <c r="D46" i="26"/>
  <c r="D39" i="28"/>
  <c r="E39" i="27"/>
  <c r="E49" i="29"/>
  <c r="D49" i="27"/>
  <c r="J39" i="29"/>
  <c r="J37" i="27"/>
  <c r="E52" i="30"/>
  <c r="E53" i="30" s="1"/>
  <c r="D45" i="28"/>
  <c r="E45" i="27"/>
  <c r="M43" i="4"/>
  <c r="D50" i="27"/>
  <c r="E50" i="29"/>
  <c r="D41" i="27"/>
  <c r="E41" i="29"/>
  <c r="D52" i="29"/>
  <c r="D53" i="29" s="1"/>
  <c r="J49" i="28"/>
  <c r="J50" i="27"/>
  <c r="M34" i="29"/>
  <c r="M8" i="27"/>
  <c r="AU19" i="39"/>
  <c r="J57" i="21"/>
  <c r="GN9" i="1" l="1"/>
  <c r="EI9" i="1"/>
  <c r="AJ9" i="45"/>
  <c r="G9" i="45"/>
  <c r="L9" i="45"/>
  <c r="P9" i="45"/>
  <c r="AE9" i="45"/>
  <c r="AB9" i="45"/>
  <c r="X9" i="45"/>
  <c r="T9" i="45"/>
  <c r="IY10" i="1"/>
  <c r="FJ10" i="1"/>
  <c r="BR10" i="1"/>
  <c r="IA10" i="1"/>
  <c r="AQ10" i="1"/>
  <c r="GZ10" i="1"/>
  <c r="DH10" i="1"/>
  <c r="P10" i="1"/>
  <c r="FM10" i="1"/>
  <c r="BU10" i="1"/>
  <c r="DT10" i="1"/>
  <c r="IM10" i="1"/>
  <c r="EX10" i="1"/>
  <c r="BF10" i="1"/>
  <c r="HO10" i="1"/>
  <c r="DW10" i="1"/>
  <c r="AE10" i="1"/>
  <c r="GN10" i="1"/>
  <c r="CV10" i="1"/>
  <c r="JB10" i="1"/>
  <c r="FA10" i="1"/>
  <c r="BI10" i="1"/>
  <c r="CG10" i="1"/>
  <c r="ID10" i="1"/>
  <c r="EL10" i="1"/>
  <c r="AT10" i="1"/>
  <c r="HC10" i="1"/>
  <c r="DK10" i="1"/>
  <c r="S10" i="1"/>
  <c r="GB10" i="1"/>
  <c r="CJ10" i="1"/>
  <c r="IP10" i="1"/>
  <c r="EO10" i="1"/>
  <c r="AK10" i="1"/>
  <c r="E11" i="2"/>
  <c r="FV10" i="1"/>
  <c r="IJ10" i="1"/>
  <c r="AB10" i="1"/>
  <c r="HR10" i="1"/>
  <c r="DZ10" i="1"/>
  <c r="AH10" i="1"/>
  <c r="GQ10" i="1"/>
  <c r="CY10" i="1"/>
  <c r="G10" i="1"/>
  <c r="FP10" i="1"/>
  <c r="BX10" i="1"/>
  <c r="HU10" i="1"/>
  <c r="EC10" i="1"/>
  <c r="Y10" i="1"/>
  <c r="HL10" i="1"/>
  <c r="HF10" i="1"/>
  <c r="DN10" i="1"/>
  <c r="V10" i="1"/>
  <c r="GE10" i="1"/>
  <c r="CM10" i="1"/>
  <c r="JE10" i="1"/>
  <c r="FD10" i="1"/>
  <c r="BL10" i="1"/>
  <c r="HI10" i="1"/>
  <c r="DQ10" i="1"/>
  <c r="M10" i="1"/>
  <c r="CD10" i="1"/>
  <c r="FY10" i="1"/>
  <c r="GT10" i="1"/>
  <c r="DB10" i="1"/>
  <c r="J10" i="1"/>
  <c r="FS10" i="1"/>
  <c r="CA10" i="1"/>
  <c r="IS10" i="1"/>
  <c r="ER10" i="1"/>
  <c r="AZ10" i="1"/>
  <c r="GW10" i="1"/>
  <c r="DE10" i="1"/>
  <c r="EU10" i="1"/>
  <c r="GH10" i="1"/>
  <c r="CP10" i="1"/>
  <c r="IV10" i="1"/>
  <c r="FG10" i="1"/>
  <c r="BO10" i="1"/>
  <c r="HX10" i="1"/>
  <c r="EF10" i="1"/>
  <c r="AN10" i="1"/>
  <c r="GK10" i="1"/>
  <c r="CS10" i="1"/>
  <c r="BC10" i="1"/>
  <c r="DK37" i="2"/>
  <c r="DI37" i="2"/>
  <c r="DK14" i="2"/>
  <c r="DI14" i="2"/>
  <c r="DK15" i="2"/>
  <c r="DI15" i="2"/>
  <c r="G11" i="45"/>
  <c r="X11" i="45"/>
  <c r="L11" i="45"/>
  <c r="AE11" i="45"/>
  <c r="P11" i="45"/>
  <c r="T11" i="45"/>
  <c r="AJ11" i="45"/>
  <c r="AB11" i="45"/>
  <c r="HX12" i="1"/>
  <c r="EF12" i="1"/>
  <c r="HR12" i="1"/>
  <c r="EL12" i="1"/>
  <c r="IM12" i="1"/>
  <c r="FJ12" i="1"/>
  <c r="J12" i="1"/>
  <c r="HI12" i="1"/>
  <c r="AE12" i="1"/>
  <c r="DB12" i="1"/>
  <c r="AZ12" i="1"/>
  <c r="HL12" i="1"/>
  <c r="DT12" i="1"/>
  <c r="GQ12" i="1"/>
  <c r="DK12" i="1"/>
  <c r="HO12" i="1"/>
  <c r="IY12" i="1"/>
  <c r="GH12" i="1"/>
  <c r="S12" i="1"/>
  <c r="CA12" i="1"/>
  <c r="AN12" i="1"/>
  <c r="GZ12" i="1"/>
  <c r="DH12" i="1"/>
  <c r="FA12" i="1"/>
  <c r="BU12" i="1"/>
  <c r="FY12" i="1"/>
  <c r="CS12" i="1"/>
  <c r="IJ12" i="1"/>
  <c r="FG12" i="1"/>
  <c r="G12" i="1"/>
  <c r="HF12" i="1"/>
  <c r="AB12" i="1"/>
  <c r="E13" i="2"/>
  <c r="GN12" i="1"/>
  <c r="CV12" i="1"/>
  <c r="DZ12" i="1"/>
  <c r="BI12" i="1"/>
  <c r="EX12" i="1"/>
  <c r="BR12" i="1"/>
  <c r="GW12" i="1"/>
  <c r="DQ12" i="1"/>
  <c r="IV12" i="1"/>
  <c r="GE12" i="1"/>
  <c r="P12" i="1"/>
  <c r="GB12" i="1"/>
  <c r="CJ12" i="1"/>
  <c r="CY12" i="1"/>
  <c r="AW12" i="1"/>
  <c r="DW12" i="1"/>
  <c r="BF12" i="1"/>
  <c r="FV12" i="1"/>
  <c r="CP12" i="1"/>
  <c r="HU12" i="1"/>
  <c r="EO12" i="1"/>
  <c r="JE12" i="1"/>
  <c r="FP12" i="1"/>
  <c r="BX12" i="1"/>
  <c r="ID12" i="1"/>
  <c r="AK12" i="1"/>
  <c r="CG12" i="1"/>
  <c r="AT12" i="1"/>
  <c r="EU12" i="1"/>
  <c r="BO12" i="1"/>
  <c r="GT12" i="1"/>
  <c r="DN12" i="1"/>
  <c r="IS12" i="1"/>
  <c r="FD12" i="1"/>
  <c r="JB12" i="1"/>
  <c r="HC12" i="1"/>
  <c r="Y12" i="1"/>
  <c r="IA12" i="1"/>
  <c r="AH12" i="1"/>
  <c r="DE12" i="1"/>
  <c r="BC12" i="1"/>
  <c r="FS12" i="1"/>
  <c r="CM12" i="1"/>
  <c r="IG12" i="1"/>
  <c r="ER12" i="1"/>
  <c r="IP12" i="1"/>
  <c r="FM12" i="1"/>
  <c r="M12" i="1"/>
  <c r="GK12" i="1"/>
  <c r="V12" i="1"/>
  <c r="CD12" i="1"/>
  <c r="AQ12" i="1"/>
  <c r="EC12" i="1"/>
  <c r="BL12" i="1"/>
  <c r="J11" i="17"/>
  <c r="J11" i="16" s="1"/>
  <c r="J11" i="15" s="1"/>
  <c r="J11" i="14" s="1"/>
  <c r="J11" i="13" s="1"/>
  <c r="J11" i="12" s="1"/>
  <c r="J11" i="11" s="1"/>
  <c r="J11" i="10" s="1"/>
  <c r="J11" i="9" s="1"/>
  <c r="J11" i="8" s="1"/>
  <c r="J11" i="7" s="1"/>
  <c r="J11" i="6" s="1"/>
  <c r="J18" i="4"/>
  <c r="J18" i="43" s="1"/>
  <c r="J22" i="4"/>
  <c r="J22" i="43" s="1"/>
  <c r="J16" i="4"/>
  <c r="J16" i="43" s="1"/>
  <c r="J14" i="4"/>
  <c r="J14" i="43" s="1"/>
  <c r="J9" i="9"/>
  <c r="J9" i="8" s="1"/>
  <c r="J9" i="7" s="1"/>
  <c r="J9" i="6" s="1"/>
  <c r="AX31" i="39"/>
  <c r="AR31" i="39"/>
  <c r="AF31" i="39"/>
  <c r="BJ31" i="39"/>
  <c r="T31" i="39"/>
  <c r="E31" i="1"/>
  <c r="EI31" i="1" s="1"/>
  <c r="C30" i="45"/>
  <c r="J31" i="39"/>
  <c r="V31" i="39"/>
  <c r="BD31" i="39"/>
  <c r="AL31" i="39"/>
  <c r="I31" i="39"/>
  <c r="J20" i="16"/>
  <c r="J56" i="20"/>
  <c r="J59" i="22"/>
  <c r="C10" i="45"/>
  <c r="X10" i="45" s="1"/>
  <c r="BJ11" i="39"/>
  <c r="JE9" i="1"/>
  <c r="IS9" i="1"/>
  <c r="HX9" i="1"/>
  <c r="HL9" i="1"/>
  <c r="GZ9" i="1"/>
  <c r="GB9" i="1"/>
  <c r="FP9" i="1"/>
  <c r="FD9" i="1"/>
  <c r="ER9" i="1"/>
  <c r="EF9" i="1"/>
  <c r="DT9" i="1"/>
  <c r="DH9" i="1"/>
  <c r="CV9" i="1"/>
  <c r="CJ9" i="1"/>
  <c r="BX9" i="1"/>
  <c r="BL9" i="1"/>
  <c r="AZ9" i="1"/>
  <c r="AN9" i="1"/>
  <c r="AB9" i="1"/>
  <c r="P9" i="1"/>
  <c r="JB9" i="1"/>
  <c r="IP9" i="1"/>
  <c r="HU9" i="1"/>
  <c r="HI9" i="1"/>
  <c r="GW9" i="1"/>
  <c r="GK9" i="1"/>
  <c r="FY9" i="1"/>
  <c r="FM9" i="1"/>
  <c r="FA9" i="1"/>
  <c r="EO9" i="1"/>
  <c r="EC9" i="1"/>
  <c r="DQ9" i="1"/>
  <c r="DE9" i="1"/>
  <c r="CS9" i="1"/>
  <c r="CG9" i="1"/>
  <c r="BU9" i="1"/>
  <c r="BI9" i="1"/>
  <c r="AW9" i="1"/>
  <c r="AK9" i="1"/>
  <c r="Y9" i="1"/>
  <c r="M9" i="1"/>
  <c r="IY9" i="1"/>
  <c r="IM9" i="1"/>
  <c r="ID9" i="1"/>
  <c r="HR9" i="1"/>
  <c r="HF9" i="1"/>
  <c r="GT9" i="1"/>
  <c r="GH9" i="1"/>
  <c r="FV9" i="1"/>
  <c r="FJ9" i="1"/>
  <c r="EX9" i="1"/>
  <c r="EL9" i="1"/>
  <c r="DZ9" i="1"/>
  <c r="DN9" i="1"/>
  <c r="DB9" i="1"/>
  <c r="CP9" i="1"/>
  <c r="CD9" i="1"/>
  <c r="BR9" i="1"/>
  <c r="BF9" i="1"/>
  <c r="AT9" i="1"/>
  <c r="AH9" i="1"/>
  <c r="V9" i="1"/>
  <c r="J9" i="1"/>
  <c r="IJ9" i="1"/>
  <c r="IA9" i="1"/>
  <c r="HO9" i="1"/>
  <c r="HC9" i="1"/>
  <c r="GQ9" i="1"/>
  <c r="GE9" i="1"/>
  <c r="FS9" i="1"/>
  <c r="FG9" i="1"/>
  <c r="EU9" i="1"/>
  <c r="DW9" i="1"/>
  <c r="DK9" i="1"/>
  <c r="CY9" i="1"/>
  <c r="CM9" i="1"/>
  <c r="CA9" i="1"/>
  <c r="BO9" i="1"/>
  <c r="BC9" i="1"/>
  <c r="AQ9" i="1"/>
  <c r="AE9" i="1"/>
  <c r="S9" i="1"/>
  <c r="G9" i="1"/>
  <c r="A16" i="1"/>
  <c r="A17" i="2" s="1"/>
  <c r="E10" i="2"/>
  <c r="S10" i="39"/>
  <c r="L8" i="45"/>
  <c r="T8" i="45"/>
  <c r="AB8" i="45"/>
  <c r="AE8" i="45"/>
  <c r="P8" i="45"/>
  <c r="X8" i="45"/>
  <c r="G8" i="45"/>
  <c r="AJ8" i="45"/>
  <c r="K57" i="31"/>
  <c r="J51" i="31"/>
  <c r="M45" i="31"/>
  <c r="J45" i="31"/>
  <c r="K56" i="31"/>
  <c r="M48" i="31"/>
  <c r="J48" i="31"/>
  <c r="J40" i="30"/>
  <c r="J41" i="31"/>
  <c r="AF11" i="39"/>
  <c r="E11" i="1"/>
  <c r="EI11" i="1" s="1"/>
  <c r="I11" i="39"/>
  <c r="T11" i="39"/>
  <c r="R41" i="39"/>
  <c r="BJ41" i="39" s="1"/>
  <c r="AX11" i="39"/>
  <c r="AR11" i="39"/>
  <c r="BD11" i="39"/>
  <c r="AL11" i="39"/>
  <c r="V11" i="39"/>
  <c r="J11" i="39"/>
  <c r="E47" i="28"/>
  <c r="D44" i="28"/>
  <c r="E44" i="28" s="1"/>
  <c r="E47" i="27"/>
  <c r="E42" i="25"/>
  <c r="J38" i="25"/>
  <c r="M44" i="26"/>
  <c r="J44" i="26"/>
  <c r="J47" i="26"/>
  <c r="M47" i="26"/>
  <c r="AE14" i="39"/>
  <c r="Q15" i="39"/>
  <c r="AQ14" i="39"/>
  <c r="AK14" i="39"/>
  <c r="D48" i="26"/>
  <c r="E48" i="28"/>
  <c r="D51" i="28"/>
  <c r="E51" i="27"/>
  <c r="D38" i="26"/>
  <c r="E38" i="28"/>
  <c r="E52" i="29"/>
  <c r="E53" i="29" s="1"/>
  <c r="E43" i="28"/>
  <c r="D43" i="26"/>
  <c r="E40" i="25"/>
  <c r="D40" i="24"/>
  <c r="E47" i="26"/>
  <c r="D47" i="25"/>
  <c r="D42" i="23"/>
  <c r="E42" i="24"/>
  <c r="D39" i="26"/>
  <c r="E39" i="28"/>
  <c r="E46" i="26"/>
  <c r="D46" i="25"/>
  <c r="E45" i="28"/>
  <c r="D45" i="26"/>
  <c r="J37" i="28"/>
  <c r="J39" i="27"/>
  <c r="E49" i="27"/>
  <c r="D49" i="28"/>
  <c r="E41" i="27"/>
  <c r="D41" i="28"/>
  <c r="D52" i="27"/>
  <c r="D53" i="27" s="1"/>
  <c r="E50" i="27"/>
  <c r="D50" i="28"/>
  <c r="M43" i="43"/>
  <c r="J49" i="26"/>
  <c r="J50" i="28"/>
  <c r="M34" i="27"/>
  <c r="M8" i="28"/>
  <c r="J57" i="22"/>
  <c r="AU20" i="39"/>
  <c r="DK11" i="2" l="1"/>
  <c r="DI11" i="2"/>
  <c r="DK13" i="2"/>
  <c r="DI13" i="2"/>
  <c r="F10" i="2"/>
  <c r="DK10" i="2"/>
  <c r="DI10" i="2"/>
  <c r="J20" i="15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3" i="4"/>
  <c r="J23" i="43" s="1"/>
  <c r="J19" i="4"/>
  <c r="J19" i="43" s="1"/>
  <c r="J11" i="37"/>
  <c r="J11" i="4" s="1"/>
  <c r="J11" i="43" s="1"/>
  <c r="J9" i="37"/>
  <c r="J9" i="4" s="1"/>
  <c r="J9" i="43" s="1"/>
  <c r="AE30" i="45"/>
  <c r="X30" i="45"/>
  <c r="P30" i="45"/>
  <c r="G30" i="45"/>
  <c r="T30" i="45"/>
  <c r="AJ30" i="45"/>
  <c r="L30" i="45"/>
  <c r="AB30" i="45"/>
  <c r="GK31" i="1"/>
  <c r="GW31" i="1"/>
  <c r="GN31" i="1"/>
  <c r="GZ31" i="1"/>
  <c r="GQ31" i="1"/>
  <c r="GT31" i="1"/>
  <c r="HL31" i="1"/>
  <c r="JB31" i="1"/>
  <c r="EC31" i="1"/>
  <c r="AK31" i="1"/>
  <c r="BX31" i="1"/>
  <c r="AT31" i="1"/>
  <c r="AE31" i="1"/>
  <c r="P31" i="1"/>
  <c r="IS31" i="1"/>
  <c r="FV31" i="1"/>
  <c r="AB31" i="1"/>
  <c r="DZ31" i="1"/>
  <c r="CV31" i="1"/>
  <c r="AZ31" i="1"/>
  <c r="EU31" i="1"/>
  <c r="HI31" i="1"/>
  <c r="EO31" i="1"/>
  <c r="CY31" i="1"/>
  <c r="BF31" i="1"/>
  <c r="AQ31" i="1"/>
  <c r="IV31" i="1"/>
  <c r="E32" i="2"/>
  <c r="HC31" i="1"/>
  <c r="IP31" i="1"/>
  <c r="DQ31" i="1"/>
  <c r="Y31" i="1"/>
  <c r="AH31" i="1"/>
  <c r="S31" i="1"/>
  <c r="IY31" i="1"/>
  <c r="IG31" i="1"/>
  <c r="GE31" i="1"/>
  <c r="EF31" i="1"/>
  <c r="FG31" i="1"/>
  <c r="CJ31" i="1"/>
  <c r="DE31" i="1"/>
  <c r="M31" i="1"/>
  <c r="G31" i="1"/>
  <c r="IM31" i="1"/>
  <c r="IA31" i="1"/>
  <c r="FS31" i="1"/>
  <c r="FD31" i="1"/>
  <c r="CP31" i="1"/>
  <c r="DT31" i="1"/>
  <c r="HF31" i="1"/>
  <c r="HU31" i="1"/>
  <c r="CS31" i="1"/>
  <c r="JE31" i="1"/>
  <c r="ID31" i="1"/>
  <c r="HO31" i="1"/>
  <c r="FJ31" i="1"/>
  <c r="ER31" i="1"/>
  <c r="DN31" i="1"/>
  <c r="BC31" i="1"/>
  <c r="CD31" i="1"/>
  <c r="FA31" i="1"/>
  <c r="BI31" i="1"/>
  <c r="DK31" i="1"/>
  <c r="BR31" i="1"/>
  <c r="V31" i="1"/>
  <c r="AW31" i="1"/>
  <c r="J31" i="1"/>
  <c r="BO31" i="1"/>
  <c r="FY31" i="1"/>
  <c r="CG31" i="1"/>
  <c r="HR31" i="1"/>
  <c r="GB31" i="1"/>
  <c r="EX31" i="1"/>
  <c r="DB31" i="1"/>
  <c r="CM31" i="1"/>
  <c r="HX31" i="1"/>
  <c r="IJ31" i="1"/>
  <c r="FM31" i="1"/>
  <c r="BU31" i="1"/>
  <c r="FP31" i="1"/>
  <c r="EL31" i="1"/>
  <c r="DW31" i="1"/>
  <c r="DH31" i="1"/>
  <c r="CA31" i="1"/>
  <c r="BL31" i="1"/>
  <c r="GH31" i="1"/>
  <c r="AN31" i="1"/>
  <c r="J56" i="19"/>
  <c r="J59" i="20"/>
  <c r="AE10" i="45"/>
  <c r="T10" i="45"/>
  <c r="G10" i="45"/>
  <c r="P10" i="45"/>
  <c r="BK10" i="39"/>
  <c r="JB11" i="1"/>
  <c r="IP11" i="1"/>
  <c r="HU11" i="1"/>
  <c r="HI11" i="1"/>
  <c r="GW11" i="1"/>
  <c r="GK11" i="1"/>
  <c r="FY11" i="1"/>
  <c r="FM11" i="1"/>
  <c r="FA11" i="1"/>
  <c r="IY11" i="1"/>
  <c r="IM11" i="1"/>
  <c r="ID11" i="1"/>
  <c r="HR11" i="1"/>
  <c r="HF11" i="1"/>
  <c r="GT11" i="1"/>
  <c r="GH11" i="1"/>
  <c r="FV11" i="1"/>
  <c r="FJ11" i="1"/>
  <c r="JE11" i="1"/>
  <c r="IS11" i="1"/>
  <c r="IG11" i="1"/>
  <c r="HX11" i="1"/>
  <c r="HL11" i="1"/>
  <c r="GZ11" i="1"/>
  <c r="GN11" i="1"/>
  <c r="GB11" i="1"/>
  <c r="FP11" i="1"/>
  <c r="FD11" i="1"/>
  <c r="GQ11" i="1"/>
  <c r="I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FS11" i="1"/>
  <c r="HC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IJ11" i="1"/>
  <c r="GE11" i="1"/>
  <c r="EU11" i="1"/>
  <c r="DW11" i="1"/>
  <c r="DK11" i="1"/>
  <c r="CY11" i="1"/>
  <c r="CM11" i="1"/>
  <c r="CA11" i="1"/>
  <c r="BO11" i="1"/>
  <c r="BC11" i="1"/>
  <c r="AQ11" i="1"/>
  <c r="AE11" i="1"/>
  <c r="S11" i="1"/>
  <c r="G11" i="1"/>
  <c r="HO11" i="1"/>
  <c r="IV11" i="1"/>
  <c r="FG11" i="1"/>
  <c r="ER11" i="1"/>
  <c r="EF11" i="1"/>
  <c r="DT11" i="1"/>
  <c r="DH11" i="1"/>
  <c r="CV11" i="1"/>
  <c r="CJ11" i="1"/>
  <c r="BX11" i="1"/>
  <c r="BL11" i="1"/>
  <c r="AZ11" i="1"/>
  <c r="AB11" i="1"/>
  <c r="P11" i="1"/>
  <c r="L10" i="45"/>
  <c r="A17" i="1"/>
  <c r="A18" i="2" s="1"/>
  <c r="AJ10" i="45"/>
  <c r="C40" i="45"/>
  <c r="AE40" i="45" s="1"/>
  <c r="AB10" i="45"/>
  <c r="E12" i="2"/>
  <c r="AS10" i="39"/>
  <c r="AG10" i="39"/>
  <c r="U10" i="39"/>
  <c r="AY10" i="39"/>
  <c r="BE10" i="39"/>
  <c r="AM10" i="39"/>
  <c r="S11" i="39"/>
  <c r="J40" i="29"/>
  <c r="M45" i="30"/>
  <c r="J51" i="30"/>
  <c r="M48" i="30"/>
  <c r="K57" i="30"/>
  <c r="J45" i="30"/>
  <c r="K56" i="30"/>
  <c r="J41" i="30"/>
  <c r="J48" i="30"/>
  <c r="AX41" i="39"/>
  <c r="AR41" i="39"/>
  <c r="AL41" i="39"/>
  <c r="BD41" i="39"/>
  <c r="AF41" i="39"/>
  <c r="I41" i="39"/>
  <c r="T41" i="39"/>
  <c r="Z41" i="39"/>
  <c r="D44" i="26"/>
  <c r="E44" i="26" s="1"/>
  <c r="AQ15" i="39"/>
  <c r="AK15" i="39"/>
  <c r="AE15" i="39"/>
  <c r="Q16" i="39"/>
  <c r="M47" i="25"/>
  <c r="J44" i="25"/>
  <c r="M44" i="25"/>
  <c r="J38" i="24"/>
  <c r="J47" i="25"/>
  <c r="D48" i="25"/>
  <c r="E48" i="26"/>
  <c r="E38" i="26"/>
  <c r="D38" i="25"/>
  <c r="D51" i="26"/>
  <c r="E51" i="28"/>
  <c r="D43" i="25"/>
  <c r="E43" i="26"/>
  <c r="E40" i="24"/>
  <c r="D40" i="23"/>
  <c r="D47" i="24"/>
  <c r="E47" i="25"/>
  <c r="D39" i="25"/>
  <c r="E39" i="26"/>
  <c r="D42" i="21"/>
  <c r="E42" i="23"/>
  <c r="D46" i="24"/>
  <c r="E46" i="25"/>
  <c r="E52" i="27"/>
  <c r="E53" i="27" s="1"/>
  <c r="D50" i="26"/>
  <c r="E50" i="28"/>
  <c r="E49" i="28"/>
  <c r="D49" i="26"/>
  <c r="D45" i="25"/>
  <c r="E45" i="26"/>
  <c r="D41" i="26"/>
  <c r="E41" i="28"/>
  <c r="D52" i="28"/>
  <c r="D53" i="28" s="1"/>
  <c r="J37" i="26"/>
  <c r="J39" i="28"/>
  <c r="J49" i="25"/>
  <c r="J50" i="26"/>
  <c r="M8" i="26"/>
  <c r="M34" i="28"/>
  <c r="AU21" i="39"/>
  <c r="J57" i="20"/>
  <c r="DK32" i="2" l="1"/>
  <c r="DI32" i="2"/>
  <c r="DK12" i="2"/>
  <c r="DI12" i="2"/>
  <c r="F11" i="2"/>
  <c r="DL10" i="2"/>
  <c r="DJ10" i="2"/>
  <c r="J21" i="4"/>
  <c r="J21" i="43" s="1"/>
  <c r="J56" i="18"/>
  <c r="J59" i="19"/>
  <c r="A18" i="1"/>
  <c r="A19" i="2" s="1"/>
  <c r="BK11" i="39"/>
  <c r="AJ40" i="45"/>
  <c r="T40" i="45"/>
  <c r="AO13" i="45" s="1"/>
  <c r="BE11" i="39"/>
  <c r="P40" i="45"/>
  <c r="AO12" i="45" s="1"/>
  <c r="X40" i="45"/>
  <c r="AO14" i="45" s="1"/>
  <c r="G40" i="45"/>
  <c r="AO10" i="45" s="1"/>
  <c r="AB40" i="45"/>
  <c r="AO15" i="45" s="1"/>
  <c r="E42" i="2"/>
  <c r="DI42" i="2" s="1"/>
  <c r="L40" i="45"/>
  <c r="AO11" i="45" s="1"/>
  <c r="AS11" i="39"/>
  <c r="S12" i="39"/>
  <c r="U11" i="39"/>
  <c r="AG11" i="39"/>
  <c r="AY11" i="39"/>
  <c r="AM11" i="39"/>
  <c r="K57" i="29"/>
  <c r="J45" i="29"/>
  <c r="J41" i="29"/>
  <c r="M48" i="29"/>
  <c r="K56" i="29"/>
  <c r="J40" i="27"/>
  <c r="J48" i="29"/>
  <c r="J51" i="29"/>
  <c r="M45" i="29"/>
  <c r="D44" i="25"/>
  <c r="D44" i="24" s="1"/>
  <c r="M47" i="24"/>
  <c r="J38" i="23"/>
  <c r="M44" i="24"/>
  <c r="J44" i="24"/>
  <c r="J47" i="24"/>
  <c r="Q17" i="39"/>
  <c r="AE16" i="39"/>
  <c r="AQ16" i="39"/>
  <c r="AK16" i="39"/>
  <c r="E48" i="25"/>
  <c r="D48" i="24"/>
  <c r="E38" i="25"/>
  <c r="D38" i="24"/>
  <c r="D51" i="25"/>
  <c r="E51" i="26"/>
  <c r="E52" i="28"/>
  <c r="E53" i="28" s="1"/>
  <c r="D43" i="24"/>
  <c r="E43" i="25"/>
  <c r="D40" i="21"/>
  <c r="E40" i="23"/>
  <c r="E47" i="24"/>
  <c r="D47" i="23"/>
  <c r="E46" i="24"/>
  <c r="D46" i="23"/>
  <c r="D42" i="22"/>
  <c r="E42" i="21"/>
  <c r="E39" i="25"/>
  <c r="D39" i="24"/>
  <c r="D41" i="25"/>
  <c r="E41" i="26"/>
  <c r="D52" i="26"/>
  <c r="D53" i="26" s="1"/>
  <c r="D45" i="24"/>
  <c r="E45" i="25"/>
  <c r="D50" i="25"/>
  <c r="E50" i="26"/>
  <c r="J37" i="25"/>
  <c r="J39" i="26"/>
  <c r="D49" i="25"/>
  <c r="E49" i="26"/>
  <c r="J49" i="24"/>
  <c r="J50" i="25"/>
  <c r="M34" i="26"/>
  <c r="M8" i="25"/>
  <c r="AU22" i="39"/>
  <c r="J57" i="19"/>
  <c r="F12" i="2" l="1"/>
  <c r="DL11" i="2"/>
  <c r="DJ11" i="2"/>
  <c r="J20" i="4"/>
  <c r="J20" i="43" s="1"/>
  <c r="A19" i="1"/>
  <c r="A20" i="2" s="1"/>
  <c r="J56" i="17"/>
  <c r="J59" i="18"/>
  <c r="BK12" i="39"/>
  <c r="AO16" i="45"/>
  <c r="AO24" i="45" s="1"/>
  <c r="AO26" i="45" s="1"/>
  <c r="AG12" i="39"/>
  <c r="AY12" i="39"/>
  <c r="AM12" i="39"/>
  <c r="BE12" i="39"/>
  <c r="S13" i="39"/>
  <c r="U12" i="39"/>
  <c r="AS12" i="39"/>
  <c r="E44" i="25"/>
  <c r="J51" i="27"/>
  <c r="M48" i="27"/>
  <c r="J41" i="27"/>
  <c r="J45" i="27"/>
  <c r="M45" i="27"/>
  <c r="K57" i="27"/>
  <c r="K56" i="27"/>
  <c r="J40" i="28"/>
  <c r="J48" i="27"/>
  <c r="AE17" i="39"/>
  <c r="Q18" i="39"/>
  <c r="AQ17" i="39"/>
  <c r="AK17" i="39"/>
  <c r="M47" i="23"/>
  <c r="J47" i="23"/>
  <c r="J38" i="21"/>
  <c r="J44" i="23"/>
  <c r="M44" i="23"/>
  <c r="E48" i="24"/>
  <c r="D48" i="23"/>
  <c r="D38" i="23"/>
  <c r="E38" i="24"/>
  <c r="E51" i="25"/>
  <c r="D51" i="24"/>
  <c r="D44" i="23"/>
  <c r="E44" i="24"/>
  <c r="D43" i="23"/>
  <c r="E43" i="24"/>
  <c r="D40" i="22"/>
  <c r="E40" i="21"/>
  <c r="D47" i="21"/>
  <c r="E47" i="23"/>
  <c r="E42" i="22"/>
  <c r="D42" i="20"/>
  <c r="E39" i="24"/>
  <c r="D39" i="23"/>
  <c r="D46" i="21"/>
  <c r="E46" i="23"/>
  <c r="E50" i="25"/>
  <c r="D50" i="24"/>
  <c r="D45" i="23"/>
  <c r="E45" i="24"/>
  <c r="E52" i="26"/>
  <c r="E53" i="26" s="1"/>
  <c r="D49" i="24"/>
  <c r="E49" i="25"/>
  <c r="J39" i="25"/>
  <c r="J37" i="24"/>
  <c r="E41" i="25"/>
  <c r="D41" i="24"/>
  <c r="D52" i="25"/>
  <c r="D53" i="25" s="1"/>
  <c r="J49" i="23"/>
  <c r="J50" i="24"/>
  <c r="M8" i="24"/>
  <c r="M34" i="25"/>
  <c r="J57" i="18"/>
  <c r="AU23" i="39"/>
  <c r="DL12" i="2" l="1"/>
  <c r="F13" i="2"/>
  <c r="DJ12" i="2"/>
  <c r="A20" i="1"/>
  <c r="A21" i="2" s="1"/>
  <c r="J56" i="16"/>
  <c r="J56" i="15" s="1"/>
  <c r="J56" i="14" s="1"/>
  <c r="J56" i="13" s="1"/>
  <c r="J56" i="12" s="1"/>
  <c r="J56" i="11" s="1"/>
  <c r="J56" i="10" s="1"/>
  <c r="J56" i="9" s="1"/>
  <c r="J56" i="8" s="1"/>
  <c r="J56" i="7" s="1"/>
  <c r="J56" i="6" s="1"/>
  <c r="J56" i="37" s="1"/>
  <c r="J56" i="4" s="1"/>
  <c r="J56" i="43" s="1"/>
  <c r="BE13" i="39"/>
  <c r="BK13" i="39"/>
  <c r="U13" i="39"/>
  <c r="S14" i="39"/>
  <c r="AY13" i="39"/>
  <c r="AM13" i="39"/>
  <c r="AG13" i="39"/>
  <c r="AS13" i="39"/>
  <c r="U14" i="39"/>
  <c r="BE14" i="39"/>
  <c r="J45" i="28"/>
  <c r="J40" i="26"/>
  <c r="M48" i="28"/>
  <c r="J48" i="28"/>
  <c r="J51" i="28"/>
  <c r="M45" i="28"/>
  <c r="J41" i="28"/>
  <c r="K56" i="28"/>
  <c r="K57" i="28"/>
  <c r="AQ18" i="39"/>
  <c r="AK18" i="39"/>
  <c r="Q19" i="39"/>
  <c r="AE18" i="39"/>
  <c r="J38" i="22"/>
  <c r="M44" i="21"/>
  <c r="M47" i="21"/>
  <c r="J47" i="21"/>
  <c r="J44" i="21"/>
  <c r="E48" i="23"/>
  <c r="D48" i="21"/>
  <c r="E51" i="24"/>
  <c r="D51" i="23"/>
  <c r="E38" i="23"/>
  <c r="D38" i="21"/>
  <c r="D44" i="21"/>
  <c r="E44" i="23"/>
  <c r="E43" i="23"/>
  <c r="D43" i="21"/>
  <c r="E40" i="22"/>
  <c r="D40" i="20"/>
  <c r="E47" i="21"/>
  <c r="D47" i="22"/>
  <c r="D46" i="22"/>
  <c r="E46" i="21"/>
  <c r="D39" i="21"/>
  <c r="E39" i="23"/>
  <c r="E42" i="20"/>
  <c r="D42" i="19"/>
  <c r="E52" i="25"/>
  <c r="E53" i="25" s="1"/>
  <c r="D49" i="23"/>
  <c r="E49" i="24"/>
  <c r="E45" i="23"/>
  <c r="D45" i="21"/>
  <c r="D41" i="23"/>
  <c r="E41" i="24"/>
  <c r="D52" i="24"/>
  <c r="D53" i="24" s="1"/>
  <c r="J39" i="24"/>
  <c r="J37" i="23"/>
  <c r="E50" i="24"/>
  <c r="D50" i="23"/>
  <c r="J49" i="21"/>
  <c r="J50" i="23"/>
  <c r="M8" i="23"/>
  <c r="M34" i="24"/>
  <c r="AU24" i="39"/>
  <c r="J57" i="17"/>
  <c r="AS14" i="39" l="1"/>
  <c r="DL13" i="2"/>
  <c r="F14" i="2"/>
  <c r="DJ13" i="2"/>
  <c r="A21" i="1"/>
  <c r="A22" i="2" s="1"/>
  <c r="AY14" i="39"/>
  <c r="BK14" i="39"/>
  <c r="AM14" i="39"/>
  <c r="AG14" i="39"/>
  <c r="S15" i="39"/>
  <c r="J40" i="25"/>
  <c r="M45" i="26"/>
  <c r="J45" i="26"/>
  <c r="J48" i="26"/>
  <c r="J51" i="26"/>
  <c r="M48" i="26"/>
  <c r="J41" i="26"/>
  <c r="K56" i="26"/>
  <c r="K57" i="26"/>
  <c r="J47" i="22"/>
  <c r="J44" i="22"/>
  <c r="J38" i="20"/>
  <c r="M44" i="22"/>
  <c r="M47" i="22"/>
  <c r="Q20" i="39"/>
  <c r="AK19" i="39"/>
  <c r="AQ19" i="39"/>
  <c r="AE19" i="39"/>
  <c r="E48" i="21"/>
  <c r="D48" i="22"/>
  <c r="E38" i="21"/>
  <c r="D38" i="22"/>
  <c r="D51" i="21"/>
  <c r="E51" i="23"/>
  <c r="D44" i="22"/>
  <c r="E44" i="21"/>
  <c r="D43" i="22"/>
  <c r="E43" i="21"/>
  <c r="D40" i="19"/>
  <c r="E40" i="20"/>
  <c r="E47" i="22"/>
  <c r="D47" i="20"/>
  <c r="E39" i="21"/>
  <c r="D39" i="22"/>
  <c r="E46" i="22"/>
  <c r="D46" i="20"/>
  <c r="E42" i="19"/>
  <c r="D42" i="18"/>
  <c r="E50" i="23"/>
  <c r="D50" i="21"/>
  <c r="J39" i="23"/>
  <c r="J37" i="21"/>
  <c r="E41" i="23"/>
  <c r="D41" i="21"/>
  <c r="D52" i="23"/>
  <c r="D53" i="23" s="1"/>
  <c r="D45" i="22"/>
  <c r="E45" i="21"/>
  <c r="E52" i="24"/>
  <c r="E53" i="24" s="1"/>
  <c r="E49" i="23"/>
  <c r="D49" i="21"/>
  <c r="J49" i="22"/>
  <c r="J50" i="21"/>
  <c r="M8" i="21"/>
  <c r="M34" i="23"/>
  <c r="J57" i="16"/>
  <c r="AU25" i="39"/>
  <c r="Z79" i="54" l="1"/>
  <c r="AA79" i="54"/>
  <c r="AB79" i="54" s="1"/>
  <c r="Z79" i="46"/>
  <c r="AA79" i="46" s="1"/>
  <c r="AB79" i="46" s="1"/>
  <c r="A22" i="1"/>
  <c r="A23" i="2" s="1"/>
  <c r="F15" i="2"/>
  <c r="DL14" i="2"/>
  <c r="DJ14" i="2"/>
  <c r="AM15" i="39"/>
  <c r="S16" i="39"/>
  <c r="AG15" i="39"/>
  <c r="AY15" i="39"/>
  <c r="U15" i="39"/>
  <c r="BK15" i="39"/>
  <c r="AS15" i="39"/>
  <c r="BE15" i="39"/>
  <c r="J41" i="25"/>
  <c r="J48" i="25"/>
  <c r="J40" i="24"/>
  <c r="M48" i="25"/>
  <c r="K56" i="25"/>
  <c r="J45" i="25"/>
  <c r="M45" i="25"/>
  <c r="J51" i="25"/>
  <c r="K57" i="25"/>
  <c r="AQ20" i="39"/>
  <c r="AK20" i="39"/>
  <c r="Q21" i="39"/>
  <c r="AE20" i="39"/>
  <c r="M44" i="20"/>
  <c r="J47" i="20"/>
  <c r="J38" i="19"/>
  <c r="M47" i="20"/>
  <c r="J44" i="20"/>
  <c r="E48" i="22"/>
  <c r="D48" i="20"/>
  <c r="D38" i="20"/>
  <c r="E38" i="22"/>
  <c r="E51" i="21"/>
  <c r="D51" i="22"/>
  <c r="E44" i="22"/>
  <c r="D44" i="20"/>
  <c r="D43" i="20"/>
  <c r="E43" i="22"/>
  <c r="D40" i="18"/>
  <c r="E40" i="19"/>
  <c r="D47" i="19"/>
  <c r="E47" i="20"/>
  <c r="D42" i="17"/>
  <c r="E42" i="18"/>
  <c r="E46" i="20"/>
  <c r="D46" i="19"/>
  <c r="E39" i="22"/>
  <c r="D39" i="20"/>
  <c r="D45" i="20"/>
  <c r="E45" i="22"/>
  <c r="D41" i="22"/>
  <c r="E41" i="21"/>
  <c r="D52" i="21"/>
  <c r="D53" i="21" s="1"/>
  <c r="J39" i="21"/>
  <c r="J37" i="22"/>
  <c r="D50" i="22"/>
  <c r="E50" i="21"/>
  <c r="E49" i="21"/>
  <c r="D49" i="22"/>
  <c r="E52" i="23"/>
  <c r="E53" i="23" s="1"/>
  <c r="J49" i="20"/>
  <c r="J50" i="22"/>
  <c r="M8" i="22"/>
  <c r="M34" i="21"/>
  <c r="AU26" i="39"/>
  <c r="J57" i="15"/>
  <c r="A23" i="1" l="1"/>
  <c r="A24" i="2" s="1"/>
  <c r="S17" i="39"/>
  <c r="AY17" i="39" s="1"/>
  <c r="AM16" i="39"/>
  <c r="U16" i="39"/>
  <c r="F16" i="2"/>
  <c r="DL15" i="2"/>
  <c r="DJ15" i="2"/>
  <c r="BK16" i="39"/>
  <c r="AS16" i="39"/>
  <c r="AG16" i="39"/>
  <c r="AY16" i="39"/>
  <c r="BE16" i="39"/>
  <c r="A24" i="1"/>
  <c r="A25" i="2" s="1"/>
  <c r="J41" i="24"/>
  <c r="M48" i="24"/>
  <c r="J45" i="24"/>
  <c r="J48" i="24"/>
  <c r="K57" i="24"/>
  <c r="J40" i="23"/>
  <c r="J51" i="24"/>
  <c r="K56" i="24"/>
  <c r="M45" i="24"/>
  <c r="U17" i="39"/>
  <c r="AG17" i="39"/>
  <c r="J44" i="19"/>
  <c r="M44" i="19"/>
  <c r="J38" i="18"/>
  <c r="J47" i="19"/>
  <c r="M47" i="19"/>
  <c r="AE21" i="39"/>
  <c r="Q22" i="39"/>
  <c r="AQ21" i="39"/>
  <c r="AK21" i="39"/>
  <c r="E48" i="20"/>
  <c r="D48" i="19"/>
  <c r="E51" i="22"/>
  <c r="D51" i="20"/>
  <c r="E38" i="20"/>
  <c r="D38" i="19"/>
  <c r="E44" i="20"/>
  <c r="D44" i="19"/>
  <c r="E43" i="20"/>
  <c r="D43" i="19"/>
  <c r="E40" i="18"/>
  <c r="D40" i="17"/>
  <c r="D47" i="18"/>
  <c r="E47" i="19"/>
  <c r="E42" i="17"/>
  <c r="D42" i="16"/>
  <c r="D39" i="19"/>
  <c r="E39" i="20"/>
  <c r="E46" i="19"/>
  <c r="D46" i="18"/>
  <c r="E49" i="22"/>
  <c r="D49" i="20"/>
  <c r="J39" i="22"/>
  <c r="J37" i="20"/>
  <c r="E41" i="22"/>
  <c r="D41" i="20"/>
  <c r="D52" i="22"/>
  <c r="D53" i="22" s="1"/>
  <c r="D45" i="19"/>
  <c r="E45" i="20"/>
  <c r="D50" i="20"/>
  <c r="E50" i="22"/>
  <c r="E52" i="21"/>
  <c r="E53" i="21" s="1"/>
  <c r="J49" i="19"/>
  <c r="J50" i="20"/>
  <c r="M34" i="22"/>
  <c r="M8" i="20"/>
  <c r="J57" i="14"/>
  <c r="AU27" i="39"/>
  <c r="S18" i="39" l="1"/>
  <c r="BE17" i="39"/>
  <c r="AM17" i="39"/>
  <c r="AS17" i="39"/>
  <c r="BK17" i="39"/>
  <c r="DL16" i="2"/>
  <c r="F17" i="2"/>
  <c r="DJ16" i="2"/>
  <c r="BK18" i="39"/>
  <c r="A25" i="1"/>
  <c r="A26" i="2" s="1"/>
  <c r="AG18" i="39"/>
  <c r="S19" i="39"/>
  <c r="AS18" i="39"/>
  <c r="U18" i="39"/>
  <c r="AM18" i="39"/>
  <c r="BE18" i="39"/>
  <c r="AY18" i="39"/>
  <c r="J41" i="23"/>
  <c r="M48" i="23"/>
  <c r="M45" i="23"/>
  <c r="J51" i="23"/>
  <c r="K57" i="23"/>
  <c r="J40" i="21"/>
  <c r="J48" i="23"/>
  <c r="K56" i="23"/>
  <c r="J45" i="23"/>
  <c r="AE22" i="39"/>
  <c r="Q23" i="39"/>
  <c r="AQ22" i="39"/>
  <c r="AK22" i="39"/>
  <c r="J47" i="18"/>
  <c r="M47" i="18"/>
  <c r="J44" i="18"/>
  <c r="M44" i="18"/>
  <c r="J38" i="17"/>
  <c r="E48" i="19"/>
  <c r="D48" i="18"/>
  <c r="D38" i="18"/>
  <c r="E38" i="19"/>
  <c r="E51" i="20"/>
  <c r="D51" i="19"/>
  <c r="D44" i="18"/>
  <c r="E44" i="19"/>
  <c r="E43" i="19"/>
  <c r="D43" i="18"/>
  <c r="D40" i="16"/>
  <c r="E40" i="17"/>
  <c r="E47" i="18"/>
  <c r="D47" i="17"/>
  <c r="E46" i="18"/>
  <c r="D46" i="17"/>
  <c r="E42" i="16"/>
  <c r="D42" i="15"/>
  <c r="D39" i="18"/>
  <c r="E39" i="19"/>
  <c r="E45" i="19"/>
  <c r="D45" i="18"/>
  <c r="E41" i="20"/>
  <c r="D41" i="19"/>
  <c r="D52" i="20"/>
  <c r="D53" i="20" s="1"/>
  <c r="J37" i="19"/>
  <c r="J39" i="20"/>
  <c r="D49" i="19"/>
  <c r="E49" i="20"/>
  <c r="D50" i="19"/>
  <c r="E50" i="20"/>
  <c r="E52" i="22"/>
  <c r="E53" i="22" s="1"/>
  <c r="J49" i="18"/>
  <c r="J50" i="19"/>
  <c r="M34" i="20"/>
  <c r="M8" i="19"/>
  <c r="AU28" i="39"/>
  <c r="J57" i="13"/>
  <c r="Z89" i="54" l="1"/>
  <c r="AA89" i="54"/>
  <c r="AB89" i="54" s="1"/>
  <c r="Z89" i="46"/>
  <c r="AA89" i="46" s="1"/>
  <c r="AB89" i="46" s="1"/>
  <c r="F18" i="2"/>
  <c r="DL17" i="2"/>
  <c r="DJ17" i="2"/>
  <c r="BK19" i="39"/>
  <c r="A26" i="1"/>
  <c r="A27" i="2" s="1"/>
  <c r="J45" i="21"/>
  <c r="K56" i="21"/>
  <c r="J51" i="21"/>
  <c r="M45" i="21"/>
  <c r="J40" i="22"/>
  <c r="J48" i="21"/>
  <c r="J41" i="21"/>
  <c r="M48" i="21"/>
  <c r="K57" i="21"/>
  <c r="AS19" i="39"/>
  <c r="BE19" i="39"/>
  <c r="AM19" i="39"/>
  <c r="AY19" i="39"/>
  <c r="U19" i="39"/>
  <c r="AG19" i="39"/>
  <c r="S20" i="39"/>
  <c r="AQ23" i="39"/>
  <c r="AE23" i="39"/>
  <c r="Q24" i="39"/>
  <c r="AK23" i="39"/>
  <c r="J44" i="17"/>
  <c r="J38" i="16"/>
  <c r="M47" i="17"/>
  <c r="J47" i="17"/>
  <c r="M44" i="17"/>
  <c r="D48" i="17"/>
  <c r="E48" i="18"/>
  <c r="D51" i="18"/>
  <c r="E51" i="19"/>
  <c r="D38" i="17"/>
  <c r="E38" i="18"/>
  <c r="D44" i="17"/>
  <c r="E44" i="18"/>
  <c r="E43" i="18"/>
  <c r="D43" i="17"/>
  <c r="E40" i="16"/>
  <c r="D40" i="15"/>
  <c r="E47" i="17"/>
  <c r="D47" i="16"/>
  <c r="D39" i="17"/>
  <c r="E39" i="18"/>
  <c r="E42" i="15"/>
  <c r="D42" i="14"/>
  <c r="E46" i="17"/>
  <c r="D46" i="16"/>
  <c r="D49" i="18"/>
  <c r="E49" i="19"/>
  <c r="J39" i="19"/>
  <c r="J37" i="18"/>
  <c r="E41" i="19"/>
  <c r="D41" i="18"/>
  <c r="D52" i="19"/>
  <c r="D53" i="19" s="1"/>
  <c r="D45" i="17"/>
  <c r="E45" i="18"/>
  <c r="D50" i="18"/>
  <c r="E50" i="19"/>
  <c r="E52" i="20"/>
  <c r="E53" i="20" s="1"/>
  <c r="J49" i="17"/>
  <c r="J50" i="18"/>
  <c r="M34" i="19"/>
  <c r="M8" i="18"/>
  <c r="AU29" i="39"/>
  <c r="J57" i="12"/>
  <c r="Z100" i="54" l="1"/>
  <c r="AA100" i="54"/>
  <c r="AB100" i="54" s="1"/>
  <c r="Z100" i="46"/>
  <c r="AA100" i="46" s="1"/>
  <c r="AB100" i="46" s="1"/>
  <c r="DL18" i="2"/>
  <c r="F19" i="2"/>
  <c r="DJ18" i="2"/>
  <c r="BK20" i="39"/>
  <c r="A27" i="1"/>
  <c r="A28" i="2" s="1"/>
  <c r="U20" i="39"/>
  <c r="AS20" i="39"/>
  <c r="S21" i="39"/>
  <c r="AY20" i="39"/>
  <c r="BE20" i="39"/>
  <c r="AG20" i="39"/>
  <c r="AM20" i="39"/>
  <c r="J51" i="22"/>
  <c r="M48" i="22"/>
  <c r="M45" i="22"/>
  <c r="J45" i="22"/>
  <c r="K57" i="22"/>
  <c r="J41" i="22"/>
  <c r="K56" i="22"/>
  <c r="J40" i="20"/>
  <c r="J48" i="22"/>
  <c r="J44" i="16"/>
  <c r="J47" i="16"/>
  <c r="M47" i="16"/>
  <c r="J38" i="15"/>
  <c r="M44" i="16"/>
  <c r="Q25" i="39"/>
  <c r="AE24" i="39"/>
  <c r="AQ24" i="39"/>
  <c r="AK24" i="39"/>
  <c r="E48" i="17"/>
  <c r="D48" i="16"/>
  <c r="D38" i="16"/>
  <c r="E38" i="17"/>
  <c r="D51" i="17"/>
  <c r="E51" i="18"/>
  <c r="E44" i="17"/>
  <c r="D44" i="16"/>
  <c r="D43" i="16"/>
  <c r="E43" i="17"/>
  <c r="E40" i="15"/>
  <c r="D40" i="14"/>
  <c r="E47" i="16"/>
  <c r="D47" i="15"/>
  <c r="D46" i="15"/>
  <c r="E46" i="16"/>
  <c r="E42" i="14"/>
  <c r="D42" i="13"/>
  <c r="D39" i="16"/>
  <c r="E39" i="17"/>
  <c r="D45" i="16"/>
  <c r="E45" i="17"/>
  <c r="D41" i="17"/>
  <c r="E41" i="18"/>
  <c r="D52" i="18"/>
  <c r="D53" i="18" s="1"/>
  <c r="J37" i="17"/>
  <c r="J39" i="18"/>
  <c r="E50" i="18"/>
  <c r="D50" i="17"/>
  <c r="E52" i="19"/>
  <c r="E53" i="19" s="1"/>
  <c r="E49" i="18"/>
  <c r="D49" i="17"/>
  <c r="J49" i="16"/>
  <c r="J50" i="17"/>
  <c r="M34" i="18"/>
  <c r="M8" i="17"/>
  <c r="J57" i="11"/>
  <c r="AU30" i="39"/>
  <c r="DL19" i="2" l="1"/>
  <c r="F20" i="2"/>
  <c r="DJ19" i="2"/>
  <c r="BK21" i="39"/>
  <c r="A28" i="1"/>
  <c r="A29" i="2" s="1"/>
  <c r="J41" i="20"/>
  <c r="J51" i="20"/>
  <c r="M48" i="20"/>
  <c r="J48" i="20"/>
  <c r="K57" i="20"/>
  <c r="J45" i="20"/>
  <c r="J40" i="19"/>
  <c r="K56" i="20"/>
  <c r="M45" i="20"/>
  <c r="AM21" i="39"/>
  <c r="AS21" i="39"/>
  <c r="BE21" i="39"/>
  <c r="S22" i="39"/>
  <c r="AG21" i="39"/>
  <c r="U21" i="39"/>
  <c r="AY21" i="39"/>
  <c r="AQ25" i="39"/>
  <c r="AK25" i="39"/>
  <c r="Q26" i="39"/>
  <c r="AE25" i="39"/>
  <c r="J38" i="14"/>
  <c r="J47" i="15"/>
  <c r="M47" i="15"/>
  <c r="J44" i="15"/>
  <c r="M44" i="15"/>
  <c r="E48" i="16"/>
  <c r="D48" i="15"/>
  <c r="D51" i="16"/>
  <c r="E51" i="17"/>
  <c r="D38" i="15"/>
  <c r="E38" i="16"/>
  <c r="D44" i="15"/>
  <c r="E44" i="16"/>
  <c r="E43" i="16"/>
  <c r="D43" i="15"/>
  <c r="D40" i="13"/>
  <c r="E40" i="14"/>
  <c r="E47" i="15"/>
  <c r="D47" i="14"/>
  <c r="E39" i="16"/>
  <c r="D39" i="15"/>
  <c r="D46" i="14"/>
  <c r="E46" i="15"/>
  <c r="D42" i="12"/>
  <c r="E42" i="13"/>
  <c r="D50" i="16"/>
  <c r="E50" i="17"/>
  <c r="J39" i="17"/>
  <c r="J37" i="16"/>
  <c r="E52" i="18"/>
  <c r="E53" i="18" s="1"/>
  <c r="D49" i="16"/>
  <c r="E49" i="17"/>
  <c r="E41" i="17"/>
  <c r="D41" i="16"/>
  <c r="D52" i="17"/>
  <c r="D53" i="17" s="1"/>
  <c r="E45" i="16"/>
  <c r="D45" i="15"/>
  <c r="J49" i="15"/>
  <c r="J50" i="16"/>
  <c r="M34" i="17"/>
  <c r="M8" i="16"/>
  <c r="AU31" i="39"/>
  <c r="J57" i="10"/>
  <c r="F21" i="2" l="1"/>
  <c r="DL20" i="2"/>
  <c r="DJ20" i="2"/>
  <c r="BK22" i="39"/>
  <c r="A29" i="1"/>
  <c r="A30" i="2" s="1"/>
  <c r="U22" i="39"/>
  <c r="AS22" i="39"/>
  <c r="S23" i="39"/>
  <c r="AY22" i="39"/>
  <c r="BE22" i="39"/>
  <c r="AG22" i="39"/>
  <c r="AM22" i="39"/>
  <c r="J41" i="19"/>
  <c r="M45" i="19"/>
  <c r="J40" i="18"/>
  <c r="J48" i="19"/>
  <c r="J51" i="19"/>
  <c r="M48" i="19"/>
  <c r="K56" i="19"/>
  <c r="J45" i="19"/>
  <c r="K57" i="19"/>
  <c r="J47" i="14"/>
  <c r="M47" i="14"/>
  <c r="J38" i="13"/>
  <c r="M44" i="14"/>
  <c r="J44" i="14"/>
  <c r="AE26" i="39"/>
  <c r="Q27" i="39"/>
  <c r="AQ26" i="39"/>
  <c r="AK26" i="39"/>
  <c r="E48" i="15"/>
  <c r="D48" i="14"/>
  <c r="E38" i="15"/>
  <c r="D38" i="14"/>
  <c r="E51" i="16"/>
  <c r="D51" i="15"/>
  <c r="E44" i="15"/>
  <c r="D44" i="14"/>
  <c r="E43" i="15"/>
  <c r="D43" i="14"/>
  <c r="E40" i="13"/>
  <c r="D40" i="12"/>
  <c r="D47" i="13"/>
  <c r="E47" i="14"/>
  <c r="D39" i="14"/>
  <c r="E39" i="15"/>
  <c r="E52" i="17"/>
  <c r="E53" i="17" s="1"/>
  <c r="D42" i="11"/>
  <c r="E42" i="12"/>
  <c r="D46" i="13"/>
  <c r="E46" i="14"/>
  <c r="D41" i="15"/>
  <c r="E41" i="16"/>
  <c r="D52" i="16"/>
  <c r="D53" i="16" s="1"/>
  <c r="D50" i="15"/>
  <c r="E50" i="16"/>
  <c r="E45" i="15"/>
  <c r="D45" i="14"/>
  <c r="D49" i="15"/>
  <c r="E49" i="16"/>
  <c r="J39" i="16"/>
  <c r="J37" i="15"/>
  <c r="J49" i="14"/>
  <c r="J50" i="15"/>
  <c r="M34" i="16"/>
  <c r="M8" i="15"/>
  <c r="J57" i="9"/>
  <c r="AU32" i="39"/>
  <c r="F22" i="2" l="1"/>
  <c r="DL21" i="2"/>
  <c r="DJ21" i="2"/>
  <c r="BK23" i="39"/>
  <c r="A30" i="1"/>
  <c r="A31" i="2" s="1"/>
  <c r="J51" i="18"/>
  <c r="M48" i="18"/>
  <c r="J41" i="18"/>
  <c r="J48" i="18"/>
  <c r="K57" i="18"/>
  <c r="J40" i="17"/>
  <c r="K56" i="18"/>
  <c r="J45" i="18"/>
  <c r="M45" i="18"/>
  <c r="U23" i="39"/>
  <c r="S24" i="39"/>
  <c r="AG23" i="39"/>
  <c r="AS23" i="39"/>
  <c r="BE23" i="39"/>
  <c r="AM23" i="39"/>
  <c r="AY23" i="39"/>
  <c r="AQ27" i="39"/>
  <c r="Q28" i="39"/>
  <c r="AE27" i="39"/>
  <c r="AK27" i="39"/>
  <c r="J38" i="12"/>
  <c r="J44" i="13"/>
  <c r="M47" i="13"/>
  <c r="J47" i="13"/>
  <c r="M44" i="13"/>
  <c r="E48" i="14"/>
  <c r="D48" i="13"/>
  <c r="D51" i="14"/>
  <c r="E51" i="15"/>
  <c r="E38" i="14"/>
  <c r="D38" i="13"/>
  <c r="E44" i="14"/>
  <c r="D44" i="13"/>
  <c r="E43" i="14"/>
  <c r="D43" i="13"/>
  <c r="E40" i="12"/>
  <c r="D40" i="11"/>
  <c r="E47" i="13"/>
  <c r="D47" i="12"/>
  <c r="E39" i="14"/>
  <c r="D39" i="13"/>
  <c r="D46" i="12"/>
  <c r="E46" i="13"/>
  <c r="D42" i="10"/>
  <c r="E42" i="11"/>
  <c r="J37" i="14"/>
  <c r="J39" i="15"/>
  <c r="D45" i="13"/>
  <c r="E45" i="14"/>
  <c r="E41" i="15"/>
  <c r="D41" i="14"/>
  <c r="D52" i="15"/>
  <c r="D53" i="15" s="1"/>
  <c r="D49" i="14"/>
  <c r="E49" i="15"/>
  <c r="E50" i="15"/>
  <c r="D50" i="14"/>
  <c r="E52" i="16"/>
  <c r="E53" i="16" s="1"/>
  <c r="J49" i="13"/>
  <c r="J50" i="14"/>
  <c r="M8" i="14"/>
  <c r="M34" i="15"/>
  <c r="AU33" i="39"/>
  <c r="J57" i="8"/>
  <c r="F23" i="2" l="1"/>
  <c r="DL22" i="2"/>
  <c r="DJ22" i="2"/>
  <c r="BK24" i="39"/>
  <c r="A31" i="1"/>
  <c r="A32" i="2" s="1"/>
  <c r="AG24" i="39"/>
  <c r="U24" i="39"/>
  <c r="AM24" i="39"/>
  <c r="S25" i="39"/>
  <c r="BE24" i="39"/>
  <c r="AS24" i="39"/>
  <c r="AY24" i="39"/>
  <c r="J51" i="17"/>
  <c r="M48" i="17"/>
  <c r="J41" i="17"/>
  <c r="M45" i="17"/>
  <c r="K56" i="17"/>
  <c r="J40" i="16"/>
  <c r="J48" i="17"/>
  <c r="J45" i="17"/>
  <c r="K57" i="17"/>
  <c r="AE28" i="39"/>
  <c r="Q29" i="39"/>
  <c r="AQ28" i="39"/>
  <c r="AK28" i="39"/>
  <c r="J44" i="12"/>
  <c r="M44" i="12"/>
  <c r="M47" i="12"/>
  <c r="J38" i="11"/>
  <c r="J47" i="12"/>
  <c r="E48" i="13"/>
  <c r="D48" i="12"/>
  <c r="E38" i="13"/>
  <c r="D38" i="12"/>
  <c r="D51" i="13"/>
  <c r="E51" i="14"/>
  <c r="D44" i="12"/>
  <c r="E44" i="13"/>
  <c r="D43" i="12"/>
  <c r="E43" i="13"/>
  <c r="E40" i="11"/>
  <c r="D40" i="10"/>
  <c r="E47" i="12"/>
  <c r="D47" i="11"/>
  <c r="E39" i="13"/>
  <c r="D39" i="12"/>
  <c r="E42" i="10"/>
  <c r="D42" i="9"/>
  <c r="D46" i="11"/>
  <c r="E46" i="12"/>
  <c r="D50" i="13"/>
  <c r="E50" i="14"/>
  <c r="E41" i="14"/>
  <c r="D41" i="13"/>
  <c r="D52" i="14"/>
  <c r="D53" i="14" s="1"/>
  <c r="E49" i="14"/>
  <c r="D49" i="13"/>
  <c r="E52" i="15"/>
  <c r="E53" i="15" s="1"/>
  <c r="E45" i="13"/>
  <c r="D45" i="12"/>
  <c r="J37" i="13"/>
  <c r="J39" i="14"/>
  <c r="J49" i="12"/>
  <c r="J50" i="13"/>
  <c r="M8" i="13"/>
  <c r="M34" i="14"/>
  <c r="AU34" i="39"/>
  <c r="J57" i="7"/>
  <c r="DL23" i="2" l="1"/>
  <c r="F24" i="2"/>
  <c r="DJ23" i="2"/>
  <c r="BK25" i="39"/>
  <c r="A32" i="1"/>
  <c r="A33" i="2" s="1"/>
  <c r="U25" i="39"/>
  <c r="S26" i="39"/>
  <c r="BE25" i="39"/>
  <c r="AS25" i="39"/>
  <c r="AM25" i="39"/>
  <c r="AG25" i="39"/>
  <c r="AY25" i="39"/>
  <c r="J51" i="16"/>
  <c r="K56" i="16"/>
  <c r="J45" i="16"/>
  <c r="M45" i="16"/>
  <c r="J40" i="15"/>
  <c r="M48" i="16"/>
  <c r="J41" i="16"/>
  <c r="J48" i="16"/>
  <c r="K57" i="16"/>
  <c r="J44" i="11"/>
  <c r="J38" i="10"/>
  <c r="M47" i="11"/>
  <c r="J47" i="11"/>
  <c r="M44" i="11"/>
  <c r="AQ29" i="39"/>
  <c r="AK29" i="39"/>
  <c r="AE29" i="39"/>
  <c r="Q30" i="39"/>
  <c r="E48" i="12"/>
  <c r="D48" i="11"/>
  <c r="E38" i="12"/>
  <c r="D38" i="11"/>
  <c r="E51" i="13"/>
  <c r="D51" i="12"/>
  <c r="D44" i="11"/>
  <c r="E44" i="12"/>
  <c r="E43" i="12"/>
  <c r="D43" i="11"/>
  <c r="E40" i="10"/>
  <c r="D40" i="9"/>
  <c r="D47" i="10"/>
  <c r="E47" i="11"/>
  <c r="D46" i="10"/>
  <c r="E46" i="11"/>
  <c r="E42" i="9"/>
  <c r="D42" i="8"/>
  <c r="D39" i="11"/>
  <c r="E39" i="12"/>
  <c r="J37" i="12"/>
  <c r="J39" i="13"/>
  <c r="D49" i="12"/>
  <c r="E49" i="13"/>
  <c r="E52" i="14"/>
  <c r="E53" i="14" s="1"/>
  <c r="E50" i="13"/>
  <c r="D50" i="12"/>
  <c r="D45" i="11"/>
  <c r="E45" i="12"/>
  <c r="D41" i="12"/>
  <c r="E41" i="13"/>
  <c r="D52" i="13"/>
  <c r="D53" i="13" s="1"/>
  <c r="J49" i="11"/>
  <c r="J50" i="12"/>
  <c r="M34" i="13"/>
  <c r="M8" i="12"/>
  <c r="AU35" i="39"/>
  <c r="J57" i="6"/>
  <c r="DL24" i="2" l="1"/>
  <c r="F25" i="2"/>
  <c r="DJ24" i="2"/>
  <c r="BK26" i="39"/>
  <c r="A33" i="1"/>
  <c r="A34" i="2" s="1"/>
  <c r="J41" i="15"/>
  <c r="M48" i="15"/>
  <c r="J45" i="15"/>
  <c r="J48" i="15"/>
  <c r="K57" i="15"/>
  <c r="J51" i="15"/>
  <c r="J40" i="14"/>
  <c r="K56" i="15"/>
  <c r="M45" i="15"/>
  <c r="AS26" i="39"/>
  <c r="AM26" i="39"/>
  <c r="BE26" i="39"/>
  <c r="AY26" i="39"/>
  <c r="AG26" i="39"/>
  <c r="U26" i="39"/>
  <c r="S27" i="39"/>
  <c r="J44" i="10"/>
  <c r="J38" i="9"/>
  <c r="M47" i="10"/>
  <c r="J47" i="10"/>
  <c r="M44" i="10"/>
  <c r="AQ30" i="39"/>
  <c r="AK30" i="39"/>
  <c r="Q31" i="39"/>
  <c r="AE30" i="39"/>
  <c r="E48" i="11"/>
  <c r="D48" i="10"/>
  <c r="E51" i="12"/>
  <c r="D51" i="11"/>
  <c r="E38" i="11"/>
  <c r="D38" i="10"/>
  <c r="D44" i="10"/>
  <c r="E44" i="11"/>
  <c r="E43" i="11"/>
  <c r="D43" i="10"/>
  <c r="D40" i="8"/>
  <c r="E40" i="9"/>
  <c r="E47" i="10"/>
  <c r="D47" i="9"/>
  <c r="E42" i="8"/>
  <c r="D42" i="7"/>
  <c r="D39" i="10"/>
  <c r="E39" i="11"/>
  <c r="D46" i="9"/>
  <c r="E46" i="10"/>
  <c r="E52" i="13"/>
  <c r="E53" i="13" s="1"/>
  <c r="D50" i="11"/>
  <c r="E50" i="12"/>
  <c r="D49" i="11"/>
  <c r="E49" i="12"/>
  <c r="J39" i="12"/>
  <c r="J37" i="11"/>
  <c r="D41" i="11"/>
  <c r="E41" i="12"/>
  <c r="D52" i="12"/>
  <c r="D53" i="12" s="1"/>
  <c r="D45" i="10"/>
  <c r="E45" i="11"/>
  <c r="J49" i="10"/>
  <c r="J50" i="11"/>
  <c r="M34" i="12"/>
  <c r="M8" i="11"/>
  <c r="J57" i="37"/>
  <c r="AU36" i="39"/>
  <c r="DL25" i="2" l="1"/>
  <c r="F26" i="2"/>
  <c r="DJ25" i="2"/>
  <c r="BK27" i="39"/>
  <c r="A34" i="1"/>
  <c r="A35" i="2" s="1"/>
  <c r="AG27" i="39"/>
  <c r="U27" i="39"/>
  <c r="S28" i="39"/>
  <c r="AY27" i="39"/>
  <c r="AM27" i="39"/>
  <c r="AS27" i="39"/>
  <c r="BE27" i="39"/>
  <c r="J40" i="13"/>
  <c r="M48" i="14"/>
  <c r="J41" i="14"/>
  <c r="J48" i="14"/>
  <c r="K56" i="14"/>
  <c r="J51" i="14"/>
  <c r="M45" i="14"/>
  <c r="J45" i="14"/>
  <c r="K57" i="14"/>
  <c r="AE31" i="39"/>
  <c r="AK31" i="39"/>
  <c r="AQ31" i="39"/>
  <c r="Q32" i="39"/>
  <c r="M47" i="9"/>
  <c r="J47" i="9"/>
  <c r="J38" i="8"/>
  <c r="J44" i="9"/>
  <c r="M44" i="9"/>
  <c r="E48" i="10"/>
  <c r="D48" i="9"/>
  <c r="E38" i="10"/>
  <c r="D38" i="9"/>
  <c r="D51" i="10"/>
  <c r="E51" i="11"/>
  <c r="D44" i="9"/>
  <c r="E44" i="10"/>
  <c r="E43" i="10"/>
  <c r="D43" i="9"/>
  <c r="E40" i="8"/>
  <c r="D40" i="7"/>
  <c r="D47" i="8"/>
  <c r="E47" i="9"/>
  <c r="E46" i="9"/>
  <c r="D46" i="8"/>
  <c r="D39" i="9"/>
  <c r="E39" i="10"/>
  <c r="E52" i="12"/>
  <c r="E53" i="12" s="1"/>
  <c r="E42" i="7"/>
  <c r="D42" i="6"/>
  <c r="D41" i="10"/>
  <c r="E41" i="11"/>
  <c r="D52" i="11"/>
  <c r="D53" i="11" s="1"/>
  <c r="J39" i="11"/>
  <c r="J37" i="10"/>
  <c r="E45" i="10"/>
  <c r="D45" i="9"/>
  <c r="E49" i="11"/>
  <c r="D49" i="10"/>
  <c r="D50" i="10"/>
  <c r="E50" i="11"/>
  <c r="J49" i="9"/>
  <c r="J50" i="10"/>
  <c r="M34" i="11"/>
  <c r="M8" i="10"/>
  <c r="AU37" i="39"/>
  <c r="J57" i="4"/>
  <c r="DL26" i="2" l="1"/>
  <c r="F27" i="2"/>
  <c r="DJ26" i="2"/>
  <c r="BK28" i="39"/>
  <c r="A35" i="1"/>
  <c r="A36" i="2" s="1"/>
  <c r="J41" i="13"/>
  <c r="K56" i="13"/>
  <c r="M45" i="13"/>
  <c r="J51" i="13"/>
  <c r="K57" i="13"/>
  <c r="J45" i="13"/>
  <c r="J48" i="13"/>
  <c r="J40" i="12"/>
  <c r="M48" i="13"/>
  <c r="BE28" i="39"/>
  <c r="U28" i="39"/>
  <c r="AS28" i="39"/>
  <c r="S29" i="39"/>
  <c r="AG28" i="39"/>
  <c r="AM28" i="39"/>
  <c r="AY28" i="39"/>
  <c r="AE32" i="39"/>
  <c r="AQ32" i="39"/>
  <c r="Q33" i="39"/>
  <c r="AK32" i="39"/>
  <c r="J38" i="7"/>
  <c r="J47" i="8"/>
  <c r="J44" i="8"/>
  <c r="M47" i="8"/>
  <c r="M44" i="8"/>
  <c r="D48" i="8"/>
  <c r="E48" i="9"/>
  <c r="D38" i="8"/>
  <c r="E38" i="9"/>
  <c r="E51" i="10"/>
  <c r="D51" i="9"/>
  <c r="E44" i="9"/>
  <c r="D44" i="8"/>
  <c r="E43" i="9"/>
  <c r="D43" i="8"/>
  <c r="D40" i="6"/>
  <c r="E40" i="7"/>
  <c r="D47" i="7"/>
  <c r="E47" i="8"/>
  <c r="D46" i="7"/>
  <c r="E46" i="8"/>
  <c r="E42" i="6"/>
  <c r="D42" i="37"/>
  <c r="D39" i="8"/>
  <c r="E39" i="9"/>
  <c r="E50" i="10"/>
  <c r="D50" i="9"/>
  <c r="J39" i="10"/>
  <c r="J37" i="9"/>
  <c r="D41" i="9"/>
  <c r="E41" i="10"/>
  <c r="D52" i="10"/>
  <c r="D53" i="10" s="1"/>
  <c r="D49" i="9"/>
  <c r="E49" i="10"/>
  <c r="E45" i="9"/>
  <c r="D45" i="8"/>
  <c r="E52" i="11"/>
  <c r="E53" i="11" s="1"/>
  <c r="J49" i="8"/>
  <c r="J50" i="9"/>
  <c r="M34" i="10"/>
  <c r="M8" i="9"/>
  <c r="J57" i="43"/>
  <c r="AU38" i="39"/>
  <c r="DL27" i="2" l="1"/>
  <c r="F28" i="2"/>
  <c r="DJ27" i="2"/>
  <c r="BK29" i="39"/>
  <c r="A36" i="1"/>
  <c r="A37" i="2" s="1"/>
  <c r="J41" i="12"/>
  <c r="M45" i="12"/>
  <c r="J45" i="12"/>
  <c r="J48" i="12"/>
  <c r="K56" i="12"/>
  <c r="J40" i="11"/>
  <c r="J41" i="11" s="1"/>
  <c r="M48" i="12"/>
  <c r="J51" i="12"/>
  <c r="K57" i="12"/>
  <c r="S30" i="39"/>
  <c r="U29" i="39"/>
  <c r="AG29" i="39"/>
  <c r="AY29" i="39"/>
  <c r="AM29" i="39"/>
  <c r="BE29" i="39"/>
  <c r="AS29" i="39"/>
  <c r="J44" i="7"/>
  <c r="J38" i="6"/>
  <c r="J44" i="6" s="1"/>
  <c r="M47" i="7"/>
  <c r="J47" i="7"/>
  <c r="M44" i="7"/>
  <c r="AE33" i="39"/>
  <c r="AK33" i="39"/>
  <c r="Q34" i="39"/>
  <c r="Q35" i="39" s="1"/>
  <c r="AK35" i="39" s="1"/>
  <c r="AQ33" i="39"/>
  <c r="D48" i="7"/>
  <c r="D48" i="6" s="1"/>
  <c r="E48" i="8"/>
  <c r="D51" i="8"/>
  <c r="E51" i="8" s="1"/>
  <c r="E51" i="9"/>
  <c r="E38" i="8"/>
  <c r="D38" i="7"/>
  <c r="D38" i="6" s="1"/>
  <c r="D38" i="37" s="1"/>
  <c r="D44" i="7"/>
  <c r="E44" i="7" s="1"/>
  <c r="E44" i="8"/>
  <c r="D43" i="7"/>
  <c r="D43" i="6" s="1"/>
  <c r="D43" i="37" s="1"/>
  <c r="E43" i="8"/>
  <c r="E40" i="6"/>
  <c r="D40" i="37"/>
  <c r="D40" i="4" s="1"/>
  <c r="E47" i="7"/>
  <c r="D47" i="6"/>
  <c r="E47" i="6" s="1"/>
  <c r="E39" i="8"/>
  <c r="D39" i="7"/>
  <c r="D46" i="6"/>
  <c r="E46" i="6" s="1"/>
  <c r="E46" i="7"/>
  <c r="E42" i="37"/>
  <c r="D42" i="4"/>
  <c r="E42" i="4" s="1"/>
  <c r="D45" i="7"/>
  <c r="D45" i="6" s="1"/>
  <c r="E45" i="8"/>
  <c r="E52" i="10"/>
  <c r="E53" i="10" s="1"/>
  <c r="J37" i="8"/>
  <c r="J37" i="7" s="1"/>
  <c r="J39" i="7" s="1"/>
  <c r="J39" i="9"/>
  <c r="E50" i="9"/>
  <c r="D50" i="8"/>
  <c r="E50" i="8" s="1"/>
  <c r="D49" i="8"/>
  <c r="E49" i="9"/>
  <c r="D41" i="8"/>
  <c r="E41" i="8" s="1"/>
  <c r="E41" i="9"/>
  <c r="D52" i="9"/>
  <c r="D53" i="9" s="1"/>
  <c r="J49" i="7"/>
  <c r="J50" i="7" s="1"/>
  <c r="J50" i="8"/>
  <c r="M8" i="8"/>
  <c r="M8" i="7" s="1"/>
  <c r="M8" i="6" s="1"/>
  <c r="M34" i="9"/>
  <c r="AU39" i="39"/>
  <c r="D39" i="6" l="1"/>
  <c r="D39" i="37" s="1"/>
  <c r="Z141" i="54"/>
  <c r="Z141" i="46"/>
  <c r="DL28" i="2"/>
  <c r="F29" i="2"/>
  <c r="DJ28" i="2"/>
  <c r="D41" i="7"/>
  <c r="E41" i="7" s="1"/>
  <c r="J49" i="6"/>
  <c r="AK34" i="39"/>
  <c r="AE34" i="39"/>
  <c r="AQ34" i="39"/>
  <c r="A37" i="1"/>
  <c r="A38" i="2" s="1"/>
  <c r="M34" i="8"/>
  <c r="R66" i="53" s="1"/>
  <c r="J38" i="37"/>
  <c r="J44" i="37" s="1"/>
  <c r="D44" i="6"/>
  <c r="D44" i="37" s="1"/>
  <c r="D44" i="4" s="1"/>
  <c r="J45" i="11"/>
  <c r="AY30" i="39"/>
  <c r="M47" i="6"/>
  <c r="J47" i="6"/>
  <c r="AM30" i="39"/>
  <c r="K56" i="11"/>
  <c r="AG30" i="39"/>
  <c r="M44" i="6"/>
  <c r="D47" i="37"/>
  <c r="D47" i="4" s="1"/>
  <c r="D47" i="43" s="1"/>
  <c r="E47" i="43" s="1"/>
  <c r="E38" i="7"/>
  <c r="J40" i="10"/>
  <c r="J51" i="11"/>
  <c r="M34" i="7"/>
  <c r="K57" i="11"/>
  <c r="J48" i="11"/>
  <c r="M48" i="11"/>
  <c r="M45" i="11"/>
  <c r="BK30" i="39"/>
  <c r="S31" i="39"/>
  <c r="E39" i="7"/>
  <c r="J39" i="8"/>
  <c r="D46" i="37"/>
  <c r="D46" i="4" s="1"/>
  <c r="D46" i="43" s="1"/>
  <c r="E46" i="43" s="1"/>
  <c r="E43" i="7"/>
  <c r="E38" i="6"/>
  <c r="BE30" i="39"/>
  <c r="AS30" i="39"/>
  <c r="U30" i="39"/>
  <c r="AQ35" i="39"/>
  <c r="Q36" i="39"/>
  <c r="AK36" i="39" s="1"/>
  <c r="E52" i="9"/>
  <c r="E53" i="9" s="1"/>
  <c r="AE35" i="39"/>
  <c r="D52" i="8"/>
  <c r="D53" i="8" s="1"/>
  <c r="J37" i="6"/>
  <c r="J37" i="37" s="1"/>
  <c r="D51" i="7"/>
  <c r="E51" i="7" s="1"/>
  <c r="E43" i="6"/>
  <c r="E45" i="7"/>
  <c r="E39" i="6"/>
  <c r="E48" i="7"/>
  <c r="D48" i="37"/>
  <c r="D48" i="4" s="1"/>
  <c r="E48" i="6"/>
  <c r="D50" i="7"/>
  <c r="E50" i="7" s="1"/>
  <c r="D45" i="37"/>
  <c r="D45" i="4" s="1"/>
  <c r="E45" i="6"/>
  <c r="D42" i="43"/>
  <c r="E42" i="43" s="1"/>
  <c r="E40" i="4"/>
  <c r="D40" i="43"/>
  <c r="E40" i="43" s="1"/>
  <c r="D49" i="7"/>
  <c r="E40" i="37"/>
  <c r="E49" i="8"/>
  <c r="E52" i="8" s="1"/>
  <c r="E53" i="8" s="1"/>
  <c r="D38" i="4"/>
  <c r="E38" i="37"/>
  <c r="E43" i="37"/>
  <c r="D43" i="4"/>
  <c r="D39" i="4"/>
  <c r="E39" i="37"/>
  <c r="M34" i="6"/>
  <c r="M8" i="37"/>
  <c r="AA141" i="46" l="1"/>
  <c r="AB141" i="46" s="1"/>
  <c r="Z163" i="46"/>
  <c r="AA141" i="54"/>
  <c r="Z163" i="54"/>
  <c r="D41" i="6"/>
  <c r="E41" i="6" s="1"/>
  <c r="DL29" i="2"/>
  <c r="F30" i="2"/>
  <c r="DJ29" i="2"/>
  <c r="E44" i="6"/>
  <c r="A38" i="1"/>
  <c r="J47" i="37"/>
  <c r="M47" i="37"/>
  <c r="J38" i="4"/>
  <c r="M47" i="4" s="1"/>
  <c r="M44" i="37"/>
  <c r="J50" i="6"/>
  <c r="J49" i="37"/>
  <c r="E44" i="37"/>
  <c r="AQ36" i="39"/>
  <c r="Q37" i="39"/>
  <c r="AE37" i="39" s="1"/>
  <c r="E47" i="37"/>
  <c r="AE36" i="39"/>
  <c r="E47" i="4"/>
  <c r="E46" i="4"/>
  <c r="M45" i="10"/>
  <c r="J41" i="10"/>
  <c r="J40" i="9"/>
  <c r="K56" i="10"/>
  <c r="J45" i="10"/>
  <c r="J48" i="10"/>
  <c r="K57" i="10"/>
  <c r="M48" i="10"/>
  <c r="J51" i="10"/>
  <c r="AG31" i="39"/>
  <c r="AS31" i="39"/>
  <c r="U31" i="39"/>
  <c r="AM31" i="39"/>
  <c r="S32" i="39"/>
  <c r="BE31" i="39"/>
  <c r="BK31" i="39"/>
  <c r="AY31" i="39"/>
  <c r="E46" i="37"/>
  <c r="J39" i="6"/>
  <c r="D51" i="6"/>
  <c r="E51" i="6" s="1"/>
  <c r="E48" i="37"/>
  <c r="D50" i="6"/>
  <c r="E50" i="6" s="1"/>
  <c r="E45" i="37"/>
  <c r="D49" i="6"/>
  <c r="E49" i="7"/>
  <c r="E52" i="7" s="1"/>
  <c r="E53" i="7" s="1"/>
  <c r="D52" i="7"/>
  <c r="D53" i="7" s="1"/>
  <c r="E48" i="4"/>
  <c r="D48" i="43"/>
  <c r="E48" i="43" s="1"/>
  <c r="D38" i="43"/>
  <c r="E38" i="43" s="1"/>
  <c r="E38" i="4"/>
  <c r="E44" i="4"/>
  <c r="D44" i="43"/>
  <c r="E44" i="43" s="1"/>
  <c r="E43" i="4"/>
  <c r="D43" i="43"/>
  <c r="E43" i="43" s="1"/>
  <c r="D39" i="43"/>
  <c r="E39" i="43" s="1"/>
  <c r="E39" i="4"/>
  <c r="J39" i="37"/>
  <c r="J37" i="4"/>
  <c r="E45" i="4"/>
  <c r="D45" i="43"/>
  <c r="E45" i="43" s="1"/>
  <c r="M8" i="4"/>
  <c r="M34" i="37"/>
  <c r="Z165" i="54" l="1"/>
  <c r="T2" i="53"/>
  <c r="Z164" i="54"/>
  <c r="X172" i="54" s="1"/>
  <c r="AB141" i="54"/>
  <c r="AB163" i="54" s="1"/>
  <c r="AA163" i="54"/>
  <c r="I2" i="53"/>
  <c r="E12" i="52" s="1"/>
  <c r="Z165" i="46"/>
  <c r="D41" i="37"/>
  <c r="D41" i="4" s="1"/>
  <c r="E41" i="4" s="1"/>
  <c r="AQ37" i="39"/>
  <c r="DL30" i="2"/>
  <c r="F31" i="2"/>
  <c r="DJ30" i="2"/>
  <c r="AK37" i="39"/>
  <c r="Q38" i="39"/>
  <c r="AQ38" i="39" s="1"/>
  <c r="J47" i="4"/>
  <c r="J38" i="43"/>
  <c r="M44" i="4"/>
  <c r="A39" i="2"/>
  <c r="A39" i="1"/>
  <c r="A40" i="2" s="1"/>
  <c r="J44" i="4"/>
  <c r="J49" i="4"/>
  <c r="J50" i="37"/>
  <c r="M48" i="9"/>
  <c r="M45" i="9"/>
  <c r="J45" i="9"/>
  <c r="K57" i="9"/>
  <c r="J41" i="9"/>
  <c r="J48" i="9"/>
  <c r="J40" i="8"/>
  <c r="K56" i="9"/>
  <c r="J51" i="9"/>
  <c r="U32" i="39"/>
  <c r="S33" i="39"/>
  <c r="AY32" i="39"/>
  <c r="BE32" i="39"/>
  <c r="AM32" i="39"/>
  <c r="AS32" i="39"/>
  <c r="AG32" i="39"/>
  <c r="BK32" i="39"/>
  <c r="D51" i="37"/>
  <c r="D51" i="4" s="1"/>
  <c r="E51" i="4" s="1"/>
  <c r="D50" i="37"/>
  <c r="D50" i="4" s="1"/>
  <c r="E50" i="4" s="1"/>
  <c r="D49" i="37"/>
  <c r="D52" i="6"/>
  <c r="D53" i="6" s="1"/>
  <c r="E49" i="6"/>
  <c r="E52" i="6" s="1"/>
  <c r="E53" i="6" s="1"/>
  <c r="J37" i="43"/>
  <c r="J39" i="43" s="1"/>
  <c r="J39" i="4"/>
  <c r="M8" i="43"/>
  <c r="M34" i="43" s="1"/>
  <c r="M34" i="4"/>
  <c r="AA164" i="54" l="1"/>
  <c r="X174" i="54" s="1"/>
  <c r="T3" i="53"/>
  <c r="T4" i="53"/>
  <c r="AB164" i="54"/>
  <c r="X175" i="54" s="1"/>
  <c r="N12" i="52"/>
  <c r="U2" i="53"/>
  <c r="O12" i="52" s="1"/>
  <c r="D41" i="43"/>
  <c r="E41" i="43" s="1"/>
  <c r="E41" i="37"/>
  <c r="M47" i="43"/>
  <c r="K7" i="47"/>
  <c r="AK38" i="39"/>
  <c r="Q39" i="39"/>
  <c r="AQ39" i="39" s="1"/>
  <c r="J44" i="43"/>
  <c r="AE38" i="39"/>
  <c r="DL31" i="2"/>
  <c r="F32" i="2"/>
  <c r="DJ31" i="2"/>
  <c r="J47" i="43"/>
  <c r="M44" i="43"/>
  <c r="J49" i="43"/>
  <c r="J50" i="43" s="1"/>
  <c r="J50" i="4"/>
  <c r="D51" i="43"/>
  <c r="E51" i="43" s="1"/>
  <c r="J41" i="8"/>
  <c r="K56" i="8"/>
  <c r="J40" i="7"/>
  <c r="J45" i="8"/>
  <c r="J51" i="8"/>
  <c r="J48" i="8"/>
  <c r="M48" i="8"/>
  <c r="M45" i="8"/>
  <c r="K57" i="8"/>
  <c r="AM33" i="39"/>
  <c r="U33" i="39"/>
  <c r="BK33" i="39"/>
  <c r="BE33" i="39"/>
  <c r="S34" i="39"/>
  <c r="AG33" i="39"/>
  <c r="AS33" i="39"/>
  <c r="AY33" i="39"/>
  <c r="E51" i="37"/>
  <c r="E50" i="37"/>
  <c r="D50" i="43"/>
  <c r="E50" i="43" s="1"/>
  <c r="D52" i="37"/>
  <c r="D53" i="37" s="1"/>
  <c r="E49" i="37"/>
  <c r="D49" i="4"/>
  <c r="W165" i="46"/>
  <c r="X194" i="54" l="1"/>
  <c r="X196" i="54" s="1"/>
  <c r="P12" i="52"/>
  <c r="N14" i="52"/>
  <c r="U4" i="53"/>
  <c r="O14" i="52" s="1"/>
  <c r="P14" i="52" s="1"/>
  <c r="Q14" i="52" s="1"/>
  <c r="N13" i="52"/>
  <c r="N40" i="52" s="1"/>
  <c r="U3" i="53"/>
  <c r="O13" i="52" s="1"/>
  <c r="P13" i="52" s="1"/>
  <c r="AK39" i="39"/>
  <c r="AE39" i="39"/>
  <c r="F33" i="2"/>
  <c r="DL32" i="2"/>
  <c r="DJ32" i="2"/>
  <c r="E52" i="37"/>
  <c r="E53" i="37" s="1"/>
  <c r="M45" i="7"/>
  <c r="K57" i="7"/>
  <c r="J40" i="6"/>
  <c r="J41" i="7"/>
  <c r="J48" i="7"/>
  <c r="J51" i="7"/>
  <c r="J45" i="7"/>
  <c r="M48" i="7"/>
  <c r="K56" i="7"/>
  <c r="AG34" i="39"/>
  <c r="U34" i="39"/>
  <c r="AS34" i="39"/>
  <c r="AY34" i="39"/>
  <c r="BE34" i="39"/>
  <c r="AM34" i="39"/>
  <c r="BK34" i="39"/>
  <c r="S35" i="39"/>
  <c r="D52" i="4"/>
  <c r="D53" i="4" s="1"/>
  <c r="D49" i="43"/>
  <c r="E49" i="4"/>
  <c r="E52" i="4" s="1"/>
  <c r="E53" i="4" s="1"/>
  <c r="O40" i="52" l="1"/>
  <c r="O42" i="52" s="1"/>
  <c r="P40" i="52"/>
  <c r="P42" i="52" s="1"/>
  <c r="Q12" i="52"/>
  <c r="Q40" i="52" s="1"/>
  <c r="Q42" i="52" s="1"/>
  <c r="F34" i="2"/>
  <c r="DL33" i="2"/>
  <c r="DJ33" i="2"/>
  <c r="K57" i="6"/>
  <c r="J48" i="6"/>
  <c r="J45" i="6"/>
  <c r="K56" i="6"/>
  <c r="J41" i="6"/>
  <c r="M48" i="6"/>
  <c r="J51" i="6"/>
  <c r="J40" i="37"/>
  <c r="M45" i="6"/>
  <c r="BE35" i="39"/>
  <c r="AS35" i="39"/>
  <c r="AY35" i="39"/>
  <c r="S36" i="39"/>
  <c r="AM35" i="39"/>
  <c r="U35" i="39"/>
  <c r="AG35" i="39"/>
  <c r="BK35" i="39"/>
  <c r="E49" i="43"/>
  <c r="E52" i="43" s="1"/>
  <c r="E53" i="43" s="1"/>
  <c r="D52" i="43"/>
  <c r="DL34" i="2" l="1"/>
  <c r="F35" i="2"/>
  <c r="DJ34" i="2"/>
  <c r="J48" i="37"/>
  <c r="K56" i="37"/>
  <c r="J45" i="37"/>
  <c r="J51" i="37"/>
  <c r="J40" i="4"/>
  <c r="M48" i="37"/>
  <c r="M45" i="37"/>
  <c r="K57" i="37"/>
  <c r="J41" i="37"/>
  <c r="U36" i="39"/>
  <c r="S37" i="39"/>
  <c r="BK36" i="39"/>
  <c r="AY36" i="39"/>
  <c r="BE36" i="39"/>
  <c r="AG36" i="39"/>
  <c r="AS36" i="39"/>
  <c r="AM36" i="39"/>
  <c r="D53" i="43"/>
  <c r="F36" i="2" l="1"/>
  <c r="DL35" i="2"/>
  <c r="DJ35" i="2"/>
  <c r="J40" i="43"/>
  <c r="K56" i="4"/>
  <c r="J48" i="4"/>
  <c r="K57" i="4"/>
  <c r="J51" i="4"/>
  <c r="J41" i="4"/>
  <c r="M45" i="4"/>
  <c r="J45" i="4"/>
  <c r="M48" i="4"/>
  <c r="BE37" i="39"/>
  <c r="BK37" i="39"/>
  <c r="AS37" i="39"/>
  <c r="U37" i="39"/>
  <c r="AG37" i="39"/>
  <c r="S38" i="39"/>
  <c r="AY37" i="39"/>
  <c r="AM37" i="39"/>
  <c r="DL36" i="2" l="1"/>
  <c r="F37" i="2"/>
  <c r="DJ36" i="2"/>
  <c r="M48" i="43"/>
  <c r="J45" i="43"/>
  <c r="M45" i="43"/>
  <c r="J51" i="43"/>
  <c r="J48" i="43"/>
  <c r="J41" i="43"/>
  <c r="K56" i="43"/>
  <c r="K57" i="43"/>
  <c r="S39" i="39"/>
  <c r="AG38" i="39"/>
  <c r="AM38" i="39"/>
  <c r="BK38" i="39"/>
  <c r="BE38" i="39"/>
  <c r="U38" i="39"/>
  <c r="AY38" i="39"/>
  <c r="AS38" i="39"/>
  <c r="F38" i="2" l="1"/>
  <c r="DL37" i="2"/>
  <c r="DJ37" i="2"/>
  <c r="BK39" i="39"/>
  <c r="AM39" i="39"/>
  <c r="AY39" i="39"/>
  <c r="AG39" i="39"/>
  <c r="AS39" i="39"/>
  <c r="BE39" i="39"/>
  <c r="U39" i="39"/>
  <c r="F39" i="2" l="1"/>
  <c r="DL38" i="2"/>
  <c r="DJ38" i="2"/>
  <c r="BB10" i="39"/>
  <c r="H10" i="39"/>
  <c r="J10" i="39"/>
  <c r="AV10" i="39"/>
  <c r="V10" i="39"/>
  <c r="L41" i="39"/>
  <c r="M10" i="39"/>
  <c r="T163" i="46"/>
  <c r="P163" i="46"/>
  <c r="K163" i="46"/>
  <c r="C163" i="46"/>
  <c r="Q163" i="46"/>
  <c r="Q164" i="46" s="1"/>
  <c r="U163" i="46"/>
  <c r="X166" i="46" s="1"/>
  <c r="BE165" i="46" l="1"/>
  <c r="BD165" i="46"/>
  <c r="BF165" i="46"/>
  <c r="F40" i="2"/>
  <c r="DL39" i="2"/>
  <c r="DJ39" i="2"/>
  <c r="BB165" i="46"/>
  <c r="BC165" i="46"/>
  <c r="AH4" i="50"/>
  <c r="AH3" i="50"/>
  <c r="AH38" i="50"/>
  <c r="O163" i="46"/>
  <c r="H41" i="39"/>
  <c r="J41" i="39"/>
  <c r="V41" i="39"/>
  <c r="BB41" i="39" s="1"/>
  <c r="BC10" i="39"/>
  <c r="M11" i="39"/>
  <c r="AW10" i="39"/>
  <c r="K10" i="39"/>
  <c r="W10" i="39"/>
  <c r="AC163" i="46"/>
  <c r="AA163" i="46"/>
  <c r="Z164" i="46"/>
  <c r="X172" i="46" s="1"/>
  <c r="X163" i="46"/>
  <c r="F41" i="52" s="1"/>
  <c r="G41" i="52" s="1"/>
  <c r="H41" i="52" s="1"/>
  <c r="Y164" i="46"/>
  <c r="X171" i="46" s="1"/>
  <c r="V164" i="46"/>
  <c r="I8" i="53"/>
  <c r="S164" i="46"/>
  <c r="R164" i="46"/>
  <c r="DL40" i="2" l="1"/>
  <c r="DJ40" i="2"/>
  <c r="F42" i="2"/>
  <c r="AI3" i="50"/>
  <c r="AK164" i="46"/>
  <c r="X181" i="46" s="1"/>
  <c r="AS164" i="46"/>
  <c r="X187" i="46" s="1"/>
  <c r="AW164" i="46"/>
  <c r="X190" i="46" s="1"/>
  <c r="AM164" i="46"/>
  <c r="AU164" i="46"/>
  <c r="X189" i="46" s="1"/>
  <c r="AJ164" i="46"/>
  <c r="X180" i="46" s="1"/>
  <c r="AO164" i="46"/>
  <c r="X184" i="46" s="1"/>
  <c r="AR164" i="46"/>
  <c r="AI164" i="46"/>
  <c r="X179" i="46" s="1"/>
  <c r="AT164" i="46"/>
  <c r="X188" i="46" s="1"/>
  <c r="AY164" i="46"/>
  <c r="AF164" i="46"/>
  <c r="X176" i="46" s="1"/>
  <c r="AG164" i="46"/>
  <c r="X177" i="46" s="1"/>
  <c r="AV164" i="46"/>
  <c r="X191" i="46" s="1"/>
  <c r="AQ164" i="46"/>
  <c r="X186" i="46" s="1"/>
  <c r="AH164" i="46"/>
  <c r="X178" i="46" s="1"/>
  <c r="AP164" i="46"/>
  <c r="X185" i="46" s="1"/>
  <c r="AX164" i="46"/>
  <c r="AN164" i="46"/>
  <c r="X183" i="46" s="1"/>
  <c r="BA164" i="46"/>
  <c r="AL164" i="46"/>
  <c r="X182" i="46" s="1"/>
  <c r="AZ164" i="46"/>
  <c r="AC164" i="46"/>
  <c r="X173" i="46" s="1"/>
  <c r="I5" i="53"/>
  <c r="G10" i="39"/>
  <c r="N41" i="39"/>
  <c r="G41" i="39" s="1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AB163" i="46"/>
  <c r="AB164" i="46" s="1"/>
  <c r="X175" i="46" s="1"/>
  <c r="BC11" i="39"/>
  <c r="AW11" i="39"/>
  <c r="M12" i="39"/>
  <c r="W11" i="39"/>
  <c r="K11" i="39"/>
  <c r="J2" i="53"/>
  <c r="F12" i="52" s="1"/>
  <c r="G12" i="52" s="1"/>
  <c r="I11" i="53"/>
  <c r="AA164" i="46"/>
  <c r="X174" i="46" s="1"/>
  <c r="I3" i="53"/>
  <c r="E13" i="52" s="1"/>
  <c r="E15" i="52" l="1"/>
  <c r="F35" i="52"/>
  <c r="F9" i="52"/>
  <c r="G9" i="52" s="1"/>
  <c r="F29" i="52"/>
  <c r="F27" i="52"/>
  <c r="F39" i="52"/>
  <c r="F21" i="52"/>
  <c r="F19" i="52"/>
  <c r="F11" i="52"/>
  <c r="G11" i="52" s="1"/>
  <c r="F33" i="52"/>
  <c r="F31" i="52"/>
  <c r="F25" i="52"/>
  <c r="F23" i="52"/>
  <c r="F17" i="52"/>
  <c r="F7" i="52"/>
  <c r="G7" i="52" s="1"/>
  <c r="F10" i="52"/>
  <c r="G10" i="52" s="1"/>
  <c r="F4" i="52"/>
  <c r="G4" i="52" s="1"/>
  <c r="F8" i="52"/>
  <c r="G8" i="52" s="1"/>
  <c r="F18" i="52"/>
  <c r="G18" i="52" s="1"/>
  <c r="F16" i="52"/>
  <c r="F32" i="52"/>
  <c r="F37" i="52"/>
  <c r="F36" i="52"/>
  <c r="F26" i="52"/>
  <c r="F38" i="52"/>
  <c r="F22" i="52"/>
  <c r="F20" i="52"/>
  <c r="F34" i="52"/>
  <c r="F24" i="52"/>
  <c r="F6" i="52"/>
  <c r="G6" i="52" s="1"/>
  <c r="F5" i="52"/>
  <c r="G5" i="52" s="1"/>
  <c r="F30" i="52"/>
  <c r="F28" i="52"/>
  <c r="X192" i="46"/>
  <c r="X194" i="46" s="1"/>
  <c r="X196" i="46" s="1"/>
  <c r="J5" i="53"/>
  <c r="F15" i="52" s="1"/>
  <c r="G15" i="52" s="1"/>
  <c r="I4" i="53"/>
  <c r="BC12" i="39"/>
  <c r="M13" i="39"/>
  <c r="AW13" i="39" s="1"/>
  <c r="AW12" i="39"/>
  <c r="W12" i="39"/>
  <c r="K12" i="39"/>
  <c r="J3" i="53"/>
  <c r="F13" i="52" s="1"/>
  <c r="E14" i="52" l="1"/>
  <c r="E40" i="52" s="1"/>
  <c r="G31" i="52"/>
  <c r="G33" i="52"/>
  <c r="G38" i="52"/>
  <c r="H38" i="52" s="1"/>
  <c r="G36" i="52"/>
  <c r="BC13" i="39"/>
  <c r="M14" i="39"/>
  <c r="W13" i="39"/>
  <c r="K13" i="39"/>
  <c r="G19" i="52"/>
  <c r="H4" i="52"/>
  <c r="G24" i="52"/>
  <c r="G16" i="52"/>
  <c r="J4" i="53"/>
  <c r="F14" i="52" s="1"/>
  <c r="G14" i="52" s="1"/>
  <c r="G13" i="52"/>
  <c r="F40" i="52" l="1"/>
  <c r="F42" i="52" s="1"/>
  <c r="H24" i="52"/>
  <c r="H14" i="52"/>
  <c r="AW14" i="39"/>
  <c r="M15" i="39"/>
  <c r="W14" i="39"/>
  <c r="G68" i="53" s="1"/>
  <c r="BC14" i="39"/>
  <c r="K14" i="39"/>
  <c r="H12" i="52"/>
  <c r="G40" i="52"/>
  <c r="G42" i="52" s="1"/>
  <c r="H40" i="52" l="1"/>
  <c r="H42" i="52" s="1"/>
  <c r="AW15" i="39"/>
  <c r="BC15" i="39"/>
  <c r="W15" i="39"/>
  <c r="M16" i="39"/>
  <c r="K15" i="39"/>
  <c r="K16" i="39" l="1"/>
  <c r="BC16" i="39"/>
  <c r="AW16" i="39"/>
  <c r="M17" i="39"/>
  <c r="W16" i="39"/>
  <c r="AW17" i="39" l="1"/>
  <c r="W17" i="39"/>
  <c r="M18" i="39"/>
  <c r="K17" i="39"/>
  <c r="BC17" i="39"/>
  <c r="K18" i="39" l="1"/>
  <c r="W18" i="39"/>
  <c r="M19" i="39"/>
  <c r="AW18" i="39"/>
  <c r="BC18" i="39"/>
  <c r="K19" i="39" l="1"/>
  <c r="M20" i="39"/>
  <c r="W19" i="39"/>
  <c r="AW19" i="39"/>
  <c r="BC19" i="39"/>
  <c r="W20" i="39" l="1"/>
  <c r="K20" i="39"/>
  <c r="BC20" i="39"/>
  <c r="AW20" i="39"/>
  <c r="M21" i="39"/>
  <c r="K21" i="39" l="1"/>
  <c r="W21" i="39"/>
  <c r="AW21" i="39"/>
  <c r="M22" i="39"/>
  <c r="BC21" i="39"/>
  <c r="K22" i="39" l="1"/>
  <c r="W22" i="39"/>
  <c r="AW22" i="39"/>
  <c r="M23" i="39"/>
  <c r="BC22" i="39"/>
  <c r="W23" i="39" l="1"/>
  <c r="K23" i="39"/>
  <c r="BC23" i="39"/>
  <c r="M24" i="39"/>
  <c r="AW23" i="39"/>
  <c r="K24" i="39" l="1"/>
  <c r="W24" i="39"/>
  <c r="AW24" i="39"/>
  <c r="M25" i="39"/>
  <c r="BC24" i="39"/>
  <c r="K25" i="39" l="1"/>
  <c r="W25" i="39"/>
  <c r="AW25" i="39"/>
  <c r="BC25" i="39"/>
  <c r="M26" i="39"/>
  <c r="K26" i="39" l="1"/>
  <c r="W26" i="39"/>
  <c r="AW26" i="39"/>
  <c r="M27" i="39"/>
  <c r="BC26" i="39"/>
  <c r="K27" i="39" l="1"/>
  <c r="W27" i="39"/>
  <c r="BC27" i="39"/>
  <c r="M28" i="39"/>
  <c r="AW27" i="39"/>
  <c r="W28" i="39" l="1"/>
  <c r="K28" i="39"/>
  <c r="M29" i="39"/>
  <c r="BC28" i="39"/>
  <c r="AW28" i="39"/>
  <c r="K29" i="39" l="1"/>
  <c r="W29" i="39"/>
  <c r="AW29" i="39"/>
  <c r="M30" i="39"/>
  <c r="BC29" i="39"/>
  <c r="W30" i="39" l="1"/>
  <c r="K30" i="39"/>
  <c r="AW30" i="39"/>
  <c r="M31" i="39"/>
  <c r="BC30" i="39"/>
  <c r="W31" i="39" l="1"/>
  <c r="K31" i="39"/>
  <c r="M32" i="39"/>
  <c r="AW31" i="39"/>
  <c r="BC31" i="39"/>
  <c r="K32" i="39" l="1"/>
  <c r="W32" i="39"/>
  <c r="BC32" i="39"/>
  <c r="AW32" i="39"/>
  <c r="M33" i="39"/>
  <c r="W33" i="39" l="1"/>
  <c r="K33" i="39"/>
  <c r="M34" i="39"/>
  <c r="BC33" i="39"/>
  <c r="AW33" i="39"/>
  <c r="W34" i="39" l="1"/>
  <c r="K34" i="39"/>
  <c r="AW34" i="39"/>
  <c r="BC34" i="39"/>
  <c r="M35" i="39"/>
  <c r="K35" i="39" l="1"/>
  <c r="W35" i="39"/>
  <c r="AW35" i="39"/>
  <c r="BC35" i="39"/>
  <c r="M36" i="39"/>
  <c r="K36" i="39" l="1"/>
  <c r="W36" i="39"/>
  <c r="BC36" i="39"/>
  <c r="M37" i="39"/>
  <c r="AW36" i="39"/>
  <c r="K37" i="39" l="1"/>
  <c r="M38" i="39"/>
  <c r="BC37" i="39"/>
  <c r="W37" i="39"/>
  <c r="AW37" i="39"/>
  <c r="IH9" i="1"/>
  <c r="IG9" i="1"/>
  <c r="W38" i="39" l="1"/>
  <c r="M39" i="39"/>
  <c r="AW38" i="39"/>
  <c r="K38" i="39"/>
  <c r="BC38" i="39"/>
  <c r="AV41" i="1"/>
  <c r="AW10" i="1"/>
  <c r="AX10" i="1"/>
  <c r="KQ10" i="1" s="1"/>
  <c r="W39" i="39" l="1"/>
  <c r="BC39" i="39"/>
  <c r="AW39" i="39"/>
  <c r="K39" i="39"/>
  <c r="AW41" i="1"/>
  <c r="AX41" i="1"/>
  <c r="IH27" i="1" l="1"/>
  <c r="KR27" i="1" s="1"/>
  <c r="IG27" i="1"/>
  <c r="CH33" i="1" l="1"/>
  <c r="KQ33" i="1" s="1"/>
  <c r="CF41" i="1"/>
  <c r="CG33" i="1"/>
  <c r="CG41" i="1" l="1"/>
  <c r="CH41" i="1"/>
  <c r="IU41" i="1" l="1"/>
  <c r="IW41" i="1" s="1"/>
  <c r="IV9" i="1"/>
  <c r="IW9" i="1"/>
  <c r="KR9" i="1" s="1"/>
  <c r="IV41" i="1" l="1"/>
  <c r="IF41" i="1"/>
  <c r="IG41" i="1" s="1"/>
  <c r="IG10" i="1"/>
  <c r="IH10" i="1"/>
  <c r="KR10" i="1"/>
  <c r="IH41" i="1" l="1"/>
  <c r="KR41" i="1" s="1"/>
  <c r="AO11" i="1" l="1"/>
  <c r="KQ11" i="1" s="1"/>
  <c r="AM41" i="1"/>
  <c r="AN11" i="1"/>
  <c r="AN41" i="1" l="1"/>
  <c r="AO41" i="1"/>
  <c r="KS22" i="1" l="1"/>
  <c r="W22" i="1"/>
  <c r="KQ22" i="1" s="1"/>
  <c r="U41" i="1"/>
  <c r="KS41" i="1" s="1"/>
  <c r="V22" i="1"/>
  <c r="V41" i="1" l="1"/>
  <c r="W41" i="1"/>
  <c r="KQ41" i="1" s="1"/>
  <c r="AG42" i="45" l="1"/>
</calcChain>
</file>

<file path=xl/comments1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<sst xmlns="http://schemas.openxmlformats.org/spreadsheetml/2006/main" count="6247" uniqueCount="770">
  <si>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</si>
  <si>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</si>
  <si>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</si>
  <si>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</si>
  <si>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</si>
  <si>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</si>
  <si>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</si>
  <si>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</si>
  <si>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Towel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</si>
  <si>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</si>
  <si>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</si>
  <si>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</si>
  <si>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</si>
  <si>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</si>
  <si>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</si>
  <si>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</si>
  <si>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</si>
  <si>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</si>
  <si>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</si>
  <si>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</si>
  <si>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</si>
  <si>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</si>
  <si>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</si>
  <si>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</si>
  <si>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</si>
  <si>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</si>
  <si>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</si>
  <si>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</si>
  <si>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</si>
  <si>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</si>
  <si>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</si>
  <si>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</si>
  <si>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</si>
  <si>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</si>
  <si>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</si>
  <si>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</si>
  <si>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</si>
  <si>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</si>
  <si>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</si>
  <si>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</si>
  <si>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</si>
  <si>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</si>
  <si>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</si>
  <si>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</si>
  <si>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</si>
  <si>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</si>
  <si>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</si>
  <si>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</si>
  <si>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</si>
  <si>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</si>
  <si>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</si>
  <si>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</si>
  <si>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</si>
  <si>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</si>
  <si>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</si>
  <si>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</si>
  <si>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</si>
  <si>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</si>
  <si>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</si>
  <si>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</si>
  <si>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</si>
  <si>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</si>
  <si>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</si>
  <si>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</si>
  <si>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</si>
  <si>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</si>
  <si>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</si>
  <si>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</si>
  <si>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</si>
  <si>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</si>
  <si>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</si>
  <si>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</si>
  <si>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</si>
  <si>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</si>
  <si>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</si>
  <si>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</si>
  <si>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</si>
  <si>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</si>
  <si>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</si>
  <si>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</si>
  <si>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</si>
  <si>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</si>
  <si>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</si>
  <si>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</si>
  <si>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</si>
  <si>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</si>
  <si>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</si>
  <si>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</si>
  <si>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</si>
  <si>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</si>
  <si>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</si>
  <si>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</si>
  <si>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</si>
  <si>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</si>
  <si>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</si>
  <si>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</si>
  <si>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</si>
  <si>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</si>
  <si>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</si>
  <si>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</si>
  <si>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</si>
  <si>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</si>
  <si>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</si>
  <si>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</si>
  <si>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</si>
  <si>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</si>
  <si>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</si>
  <si>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</si>
  <si>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</si>
  <si>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</si>
  <si>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</si>
  <si>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</si>
  <si>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</si>
  <si>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</si>
  <si>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</si>
  <si>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</si>
  <si>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</si>
  <si>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</si>
  <si>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</si>
  <si>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</si>
  <si>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</si>
  <si>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</si>
  <si>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</si>
  <si>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</si>
  <si>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</si>
  <si>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</si>
  <si>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</si>
  <si>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</si>
  <si>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</si>
  <si>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</si>
  <si>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</si>
  <si>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</si>
  <si>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</si>
  <si>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</si>
  <si>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</si>
  <si>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</si>
  <si>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</si>
  <si>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</si>
  <si>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</si>
  <si>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</si>
  <si>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</si>
  <si>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</si>
  <si>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</si>
  <si>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</si>
  <si>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</si>
  <si>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</si>
  <si>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</si>
  <si>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</si>
  <si>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</si>
  <si>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</si>
  <si>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</si>
  <si>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</si>
  <si>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</si>
  <si>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</si>
  <si>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</si>
  <si>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</si>
  <si>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</si>
  <si>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</si>
  <si>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</si>
  <si>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</si>
  <si>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</si>
  <si>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</si>
  <si>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</si>
  <si>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</si>
  <si>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</si>
  <si>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</si>
  <si>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</si>
  <si>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</si>
  <si>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</si>
  <si>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</si>
  <si>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</si>
  <si>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</si>
  <si>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</si>
  <si>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</si>
  <si>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</si>
  <si>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</si>
  <si>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</si>
  <si>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</si>
  <si>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</si>
  <si>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</si>
  <si>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</si>
  <si>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</si>
  <si>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</si>
  <si>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</si>
  <si>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</si>
  <si>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</si>
  <si>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</si>
  <si>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</si>
  <si>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</si>
  <si>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</si>
  <si>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</si>
  <si>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</si>
  <si>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</si>
  <si>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</si>
  <si>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</si>
  <si>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</si>
  <si>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</si>
  <si>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</si>
  <si>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</si>
  <si>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</si>
  <si>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</si>
  <si>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</si>
  <si>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</si>
  <si>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</si>
  <si>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</si>
  <si>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</si>
  <si>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Gripis</t>
  </si>
  <si>
    <t>Ngelokor</t>
  </si>
  <si>
    <t>Keriput</t>
  </si>
  <si>
    <t>Start up</t>
  </si>
  <si>
    <t>Potongan jelek</t>
  </si>
  <si>
    <t>Hole</t>
  </si>
  <si>
    <t>Dirt</t>
  </si>
  <si>
    <t>Jumbo gandeng</t>
  </si>
  <si>
    <t>Formasi jelek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</si>
  <si>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</si>
  <si>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</si>
  <si>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</si>
  <si>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</si>
  <si>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</si>
  <si>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</si>
  <si>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</si>
  <si>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</si>
  <si>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</si>
  <si>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</si>
  <si>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</si>
  <si>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</si>
  <si>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</si>
  <si>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</si>
  <si>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</si>
  <si>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</si>
  <si>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</si>
  <si>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</si>
  <si>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</si>
  <si>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</si>
  <si>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</si>
  <si>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</si>
  <si>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</si>
  <si>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</si>
  <si>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</si>
  <si>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</si>
  <si>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</si>
  <si>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</si>
  <si>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</si>
  <si>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</si>
  <si>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</si>
  <si>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</si>
  <si>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</si>
  <si>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</si>
  <si>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</si>
  <si>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</si>
  <si>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</si>
  <si>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</si>
  <si>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</si>
  <si>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</si>
  <si>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</si>
  <si>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</si>
  <si>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</si>
  <si>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</si>
  <si>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</si>
  <si>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</si>
  <si>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</si>
  <si>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</si>
  <si>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</si>
  <si>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</si>
  <si>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</si>
  <si>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</si>
  <si>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</si>
  <si>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</si>
  <si>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</si>
  <si>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</si>
  <si>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</si>
  <si>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</si>
  <si>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</si>
  <si>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</si>
  <si>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</si>
  <si>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</si>
  <si>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</si>
  <si>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</si>
  <si>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</si>
  <si>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</si>
  <si>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Seset Change Grade</t>
  </si>
  <si>
    <t>soping</t>
  </si>
  <si>
    <t>crushing</t>
  </si>
  <si>
    <t>UNKNOWN</t>
  </si>
  <si>
    <t>PULP AND BROKE DAILY REPORT PM 12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</si>
  <si>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</si>
  <si>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</si>
  <si>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</si>
  <si>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</si>
  <si>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</si>
  <si>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</si>
  <si>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</si>
  <si>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</si>
  <si>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</si>
  <si>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</si>
  <si>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</si>
  <si>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</si>
  <si>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</si>
  <si>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</si>
  <si>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</si>
  <si>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</si>
  <si>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</si>
  <si>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</si>
  <si>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</si>
  <si>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</si>
  <si>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</si>
  <si>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</si>
  <si>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</si>
  <si>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</si>
  <si>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</si>
  <si>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</si>
  <si>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</si>
  <si>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</si>
  <si>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</si>
  <si>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</si>
  <si>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</si>
  <si>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</si>
  <si>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</si>
  <si>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</si>
  <si>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</si>
  <si>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</si>
  <si>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</si>
  <si>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</si>
  <si>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</si>
  <si>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</si>
  <si>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</si>
  <si>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</si>
  <si>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</si>
  <si>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</si>
  <si>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</si>
  <si>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</si>
  <si>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</si>
  <si>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</si>
  <si>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</si>
  <si>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</si>
  <si>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</si>
  <si>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</si>
  <si>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</si>
  <si>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</si>
  <si>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</si>
  <si>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</si>
  <si>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</si>
  <si>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</si>
  <si>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</si>
  <si>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</si>
  <si>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</si>
  <si>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</si>
  <si>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</si>
  <si>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</si>
  <si>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</si>
  <si>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</si>
  <si>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</si>
  <si>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</si>
  <si>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</si>
  <si>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</si>
  <si>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</si>
  <si>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</si>
  <si>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</si>
  <si>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</si>
  <si>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</si>
  <si>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</si>
  <si>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</si>
  <si>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</si>
  <si>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</si>
  <si>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</si>
  <si>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</si>
  <si>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</si>
  <si>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</si>
  <si>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</si>
  <si>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</si>
  <si>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</si>
  <si>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</si>
  <si>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</si>
  <si>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TOTAL LBKP</t>
  </si>
  <si>
    <t>Steam, &amp; gangguan sinergy (X)</t>
  </si>
  <si>
    <t>Freq, Trip PLN (X)</t>
  </si>
  <si>
    <t>Cleaning Holes (X)</t>
  </si>
  <si>
    <t>Per hari</t>
  </si>
  <si>
    <t>Seset Warna blm ACC</t>
  </si>
  <si>
    <t>LBKP CAKRAWALA</t>
  </si>
  <si>
    <t>DFR 810S</t>
  </si>
  <si>
    <t>sliting</t>
  </si>
  <si>
    <t>0</t>
  </si>
  <si>
    <t>RC BR</t>
  </si>
  <si>
    <t>Oji Fibre (Brown)</t>
  </si>
  <si>
    <t>NBKP SODRA</t>
  </si>
  <si>
    <t>LBKP SUZANNO</t>
  </si>
  <si>
    <t>SS</t>
  </si>
  <si>
    <t>PHP PM</t>
  </si>
  <si>
    <t xml:space="preserve">PM12 Efficiency Running Report </t>
  </si>
  <si>
    <t>- Sheet Breaks (1x)</t>
  </si>
  <si>
    <t>- Change Blade (1x)</t>
  </si>
  <si>
    <t>- Change Blade (3x)</t>
  </si>
  <si>
    <t>- Sheet Breaks (0x)</t>
  </si>
  <si>
    <t>Marking</t>
  </si>
  <si>
    <t>NBKP ASPA</t>
  </si>
  <si>
    <t>SWL Curah</t>
  </si>
  <si>
    <t>SWL Buku</t>
  </si>
  <si>
    <t>TWS Brown</t>
  </si>
  <si>
    <t>TWS Recycle</t>
  </si>
  <si>
    <t>TWS + Core</t>
  </si>
  <si>
    <t>TWS White</t>
  </si>
  <si>
    <t xml:space="preserve">NCC Import </t>
  </si>
  <si>
    <t>NCC Lokal</t>
  </si>
  <si>
    <t>CVT Recycle/White</t>
  </si>
  <si>
    <t>RR PPIC</t>
  </si>
  <si>
    <t>BB Recycle</t>
  </si>
  <si>
    <t>Broke</t>
  </si>
  <si>
    <t>BTCMP</t>
  </si>
  <si>
    <t>Warna</t>
  </si>
  <si>
    <t>Andik P</t>
  </si>
  <si>
    <t>Gani Satoto</t>
  </si>
  <si>
    <t>Aris Sukoco</t>
  </si>
  <si>
    <t>Aditya Indra</t>
  </si>
  <si>
    <t>- Awal Shift PM stop boilout ganti grade</t>
  </si>
  <si>
    <t>OKTOBER</t>
  </si>
  <si>
    <t>.10.25</t>
  </si>
  <si>
    <t xml:space="preserve">- Cleaning area PM (frame felt, wire, hood) </t>
  </si>
  <si>
    <t>- Drain dan cleaning all chest ( WWT, CWT, Ldump, Ndump, Broke dump, broke strg, MC), krofta</t>
  </si>
  <si>
    <t>DT Marketing</t>
  </si>
  <si>
    <t>- cleaning ulang UTM
- cleaning headbox</t>
  </si>
  <si>
    <t>- cleaning ulang all chest
- cleaning drop leg + reject tank</t>
  </si>
  <si>
    <t>- cleaning hood HE
- flushing ulang</t>
  </si>
  <si>
    <t>- cleaning hood blowing zone (belum selesai)
- pasang felt (belum selesai)</t>
  </si>
  <si>
    <t>- Pasang felt (selesai)
- flushing all chest + drain sampai bersih
- flushing headbox</t>
  </si>
  <si>
    <t>- lanjut cleaning + pasang cover hood 
- flusing krofta</t>
  </si>
  <si>
    <t>- cleaning ulang utm</t>
  </si>
  <si>
    <t>- cleaning area pm</t>
  </si>
  <si>
    <t>- 05.30 : pm warming up yankee
- crawl felt baru</t>
  </si>
  <si>
    <t>- Change Blade (0x)</t>
  </si>
  <si>
    <t>PM stop boilout ganti grade</t>
  </si>
  <si>
    <t>- PM stop boilout ganti grade</t>
  </si>
  <si>
    <t>34</t>
  </si>
  <si>
    <t>TW 34</t>
  </si>
  <si>
    <t>120*2+97</t>
  </si>
  <si>
    <t>STOP</t>
  </si>
  <si>
    <t>- Awal Shift PM stop boilout ganti grade
* awal shift PM stop 
* cleaning krofta, 
* cleaning mixing chest, 
* flushing headbox</t>
  </si>
  <si>
    <t>* 07.22 precompect felt &amp; drain + isi Silo sisa flushing headbox
* 08.29 Persiapan Jalan
* 10.00 on rell  ( jumbo masih dirt)</t>
  </si>
  <si>
    <t>* 11.00 Jumbo ACC TW 17 speed 750/-14%
* 11.30 speed up 780 mpm
* 14.10 speed up 790 mpm</t>
  </si>
  <si>
    <t>- 19.28 rew stop, bearing spool macet 🔜 ganti jumbo &amp; perbaikan MED</t>
  </si>
  <si>
    <t xml:space="preserve">- Awal Shift PM Produksi TW 17 speed 790/-14% </t>
  </si>
  <si>
    <t>- Speed naik bertahap 830</t>
  </si>
  <si>
    <t>- Awal Shift PM Produksi TW 17 speed 830/-14%</t>
  </si>
  <si>
    <t>- 05.09 - 05.18 change spool gagal karena bearing spool macet, tisu masuk utm.</t>
  </si>
  <si>
    <t>807/694</t>
  </si>
  <si>
    <t>830/713</t>
  </si>
  <si>
    <t>DT</t>
  </si>
  <si>
    <t>812/698</t>
  </si>
  <si>
    <t>- Change Blade (2x)</t>
  </si>
  <si>
    <t>MDWT &lt; std</t>
  </si>
  <si>
    <t>RC HW</t>
  </si>
  <si>
    <t>- Sheet Breaks (2x)</t>
  </si>
  <si>
    <t>- Change Blade (5x)</t>
  </si>
  <si>
    <t>TW 17 RC HW</t>
  </si>
  <si>
    <t>159*2</t>
  </si>
  <si>
    <t>TW 17</t>
  </si>
  <si>
    <t>CHEMZYME CL</t>
  </si>
  <si>
    <t>- 07:10 Change Grade N 18 Speed 830/-14%</t>
  </si>
  <si>
    <t>- Awal Shift PM Produksi N 18 speed 830/-14%</t>
  </si>
  <si>
    <t>- 06.10 Hpp + Hpp Bv  jalan indikasi kertas sisi DS hole (±1.5 m)</t>
  </si>
  <si>
    <t>N 18 RC HW</t>
  </si>
  <si>
    <t>Napkin</t>
  </si>
  <si>
    <t>- Change Grade</t>
  </si>
  <si>
    <t>17/18</t>
  </si>
  <si>
    <t>N 18</t>
  </si>
  <si>
    <t>40*8</t>
  </si>
  <si>
    <t>SODIUM HYPOCHLORID</t>
  </si>
  <si>
    <t>17</t>
  </si>
  <si>
    <t xml:space="preserve">* 09.36 - 09.41 On Rell ( kendala sirkulasi hood + pompa release masuk angin) </t>
  </si>
  <si>
    <t>* 07.50 - 09.36 PM Stop (ada hole, cleaning felt)</t>
  </si>
  <si>
    <t xml:space="preserve">- 00.50 - 02.00 pm stop , cleaning felt ( felt banyak lem ) </t>
  </si>
  <si>
    <t>- 02 .15 on reel</t>
  </si>
  <si>
    <t>- 03.35 - 04.50 pm stop lagi ,tissue muncul mata ikan ( qc tdk ACC ), cleaning felt lagi</t>
  </si>
  <si>
    <t>- 05.05 On reel</t>
  </si>
  <si>
    <t>- 16.20 - 18.00 pm stop kertas hole, cleaning felt</t>
  </si>
  <si>
    <t>- Awal Shift PM Produksi N 20 speed 830/-14%</t>
  </si>
  <si>
    <t xml:space="preserve">- 09.00  PM Stop (ada hole, cleaning felt) </t>
  </si>
  <si>
    <t xml:space="preserve">- 10.40 On Rell </t>
  </si>
  <si>
    <t>- Sheet Breaks (5x)</t>
  </si>
  <si>
    <t>- Change Blade (4x)</t>
  </si>
  <si>
    <t>- Change Blade (6x)</t>
  </si>
  <si>
    <t>- 07.50 - 09.36 PM Stop (ada hole, cleaning felt)</t>
  </si>
  <si>
    <t>- 22.25 change grade N20 speed 830/-14%</t>
  </si>
  <si>
    <t>N 20 RC HW</t>
  </si>
  <si>
    <t>PM Stop (ada hole, cleaning felt)</t>
  </si>
  <si>
    <t>18</t>
  </si>
  <si>
    <t>18/20</t>
  </si>
  <si>
    <t>N 20</t>
  </si>
  <si>
    <t>- 01.29 change grade N 17 speed 830 /14 %</t>
  </si>
  <si>
    <t>- 03.45 change grade N 18 speed 830 /14 %</t>
  </si>
  <si>
    <t>N 17 RC HW</t>
  </si>
  <si>
    <t>N 18,5 RC HW</t>
  </si>
  <si>
    <t>20/17/18/18,5</t>
  </si>
  <si>
    <t>NBKP SCA</t>
  </si>
  <si>
    <t>114*2+38,5+63,5</t>
  </si>
  <si>
    <t>63,5*5</t>
  </si>
  <si>
    <t>N 17</t>
  </si>
  <si>
    <t>- 04.43 change grade TW 18.5 speed 830 /14%</t>
  </si>
  <si>
    <t>168*2</t>
  </si>
  <si>
    <t>TW 18,5</t>
  </si>
  <si>
    <t>- Awal Shift PM Produksi TW 18,5 speed 830/-14%</t>
  </si>
  <si>
    <t>- 09.10 change grade TW32 Speed 510/-12%</t>
  </si>
  <si>
    <t>- Awal Shift PM Produksi TW32 Speed 510/-12%</t>
  </si>
  <si>
    <t>596/520</t>
  </si>
  <si>
    <t>510/448</t>
  </si>
  <si>
    <t>538/472</t>
  </si>
  <si>
    <t>18,5/32</t>
  </si>
  <si>
    <t>TW 18,5 RC HW</t>
  </si>
  <si>
    <t>TW 32 RC HW</t>
  </si>
  <si>
    <t>TW 32</t>
  </si>
  <si>
    <t>230+93</t>
  </si>
  <si>
    <t>- 12:00 Change Grade TW 34 speed 480 / 14%</t>
  </si>
  <si>
    <t>- Awal Shift PM Produksi TW 34 speed 480/-14%</t>
  </si>
  <si>
    <t>- 18.00 change grade TW 36 speed 460/-12%</t>
  </si>
  <si>
    <t>- 05.29 change grade TW 38 speed 430/-12%</t>
  </si>
  <si>
    <t>- Awal Shift PM Produksi TW36 Speed 460/-12%</t>
  </si>
  <si>
    <t>498/438</t>
  </si>
  <si>
    <t>467/411</t>
  </si>
  <si>
    <t>454/399</t>
  </si>
  <si>
    <t>473/416</t>
  </si>
  <si>
    <t>TW 34 RC HW</t>
  </si>
  <si>
    <t>TW 36 RC HW</t>
  </si>
  <si>
    <t>TW 38 RC HW</t>
  </si>
  <si>
    <t>32/34/36/38</t>
  </si>
  <si>
    <t>117,5*2+94</t>
  </si>
  <si>
    <t>TW 36</t>
  </si>
  <si>
    <t>TW 38</t>
  </si>
  <si>
    <t>TW 35,5</t>
  </si>
  <si>
    <t>157*2</t>
  </si>
  <si>
    <t>169+149</t>
  </si>
  <si>
    <t>- Awal Shift PM Produksi TW38 Speed 430/-12%</t>
  </si>
  <si>
    <t>- 07.10 speed Up 450/-12%</t>
  </si>
  <si>
    <t>- Awal Shift PM Produksi TW38 Speed 450/-12%</t>
  </si>
  <si>
    <t>- 22.45 change grade TW 34 gsm  speed 500/-12%</t>
  </si>
  <si>
    <t>- 02.30 change grade TW 30 speed 545/-12%</t>
  </si>
  <si>
    <t>449/393</t>
  </si>
  <si>
    <t>451/397</t>
  </si>
  <si>
    <t>525/462</t>
  </si>
  <si>
    <t>475/418</t>
  </si>
  <si>
    <t>38/36/30</t>
  </si>
  <si>
    <t>Broke Sun 2</t>
  </si>
  <si>
    <t>TW 30 RC HW</t>
  </si>
  <si>
    <t>- Awal Shift PM Produksi TW34 Speed 500/-12%</t>
  </si>
  <si>
    <t>107*3</t>
  </si>
  <si>
    <t>TW 30</t>
  </si>
  <si>
    <t>63+84*3</t>
  </si>
  <si>
    <t>Andik Prasetyo</t>
  </si>
  <si>
    <t>- 15.10 speed up 580 mpm</t>
  </si>
  <si>
    <t>- Awal Shift PM Produksi TW 30 speed 570/-12%</t>
  </si>
  <si>
    <t>- Awal Shift PM Produksi TW 30 speed 580/-12%</t>
  </si>
  <si>
    <t>579/510</t>
  </si>
  <si>
    <t>570/501</t>
  </si>
  <si>
    <t>- 01.00 change grade TW28 Speed 630/-12%</t>
  </si>
  <si>
    <t>617/543</t>
  </si>
  <si>
    <t>589/518</t>
  </si>
  <si>
    <t>TW 28 RC HW</t>
  </si>
  <si>
    <t>30/28</t>
  </si>
  <si>
    <t>TW 28</t>
  </si>
  <si>
    <t>114*2+95</t>
  </si>
  <si>
    <t>150,5+171</t>
  </si>
  <si>
    <t>Protolan Pulp</t>
  </si>
  <si>
    <t>- Awal Shift PM Produksi TW28 Speed 630/-12%</t>
  </si>
  <si>
    <t>- Awal Shift PM Produksi N20,5 Speed 830/14%</t>
  </si>
  <si>
    <t>- 16.00 speed turun 820 mpm</t>
  </si>
  <si>
    <t xml:space="preserve">- 21.00 speed turun 810 mpm </t>
  </si>
  <si>
    <t>- 21.30 speed turun 800 mpm</t>
  </si>
  <si>
    <t>- Speed pm turun karena formasi  bagian OS  kurang bagus.</t>
  </si>
  <si>
    <t>- Awal Shift PM Produksi N20,5 Speed 800/14%</t>
  </si>
  <si>
    <t xml:space="preserve">- awal shift sebelah OS +-42cm masih muncul formasi kurang bagus
- 23.30 udjust lips HB </t>
  </si>
  <si>
    <t>- 23.55 coba turun kecil dan cek sebelah OS sudah hilang, pindah bagian OS +- 110 cm, tapi sudah mending jarak nya sudah jauh
- 00.00 coba tarik wire 3 CM</t>
  </si>
  <si>
    <t xml:space="preserve">- 00.30 cek ulang kertas sudah hilang, info QC ok
- 01.25 muncul lagi bagian OS +- 75 cm ,marking mata ikan </t>
  </si>
  <si>
    <t>- 01.45 coba tarik wire lagi 2.5 cm dan turun speed 780 MPM
- 02.10 coba cek ulang kertas sudah OK
- lost speed 50 MPM (formasi)</t>
  </si>
  <si>
    <t>- Awal Shift PM Produksi N20,5 Speed 780/14%</t>
  </si>
  <si>
    <t>- 08.20 speed up bertahap ke 795 mpm</t>
  </si>
  <si>
    <t>- 11.30 - 11.45 level fresh water error</t>
  </si>
  <si>
    <t xml:space="preserve">- 13.30 - 15.00 pm stop cleaning felt </t>
  </si>
  <si>
    <t xml:space="preserve">- Awal shift pm stop,selesai bilas felt wire dgn HPP lanjut cleaning felt dengan soda </t>
  </si>
  <si>
    <t>- 16.20 pick up ( ok  )</t>
  </si>
  <si>
    <t>- 19.00 Speed Up 810</t>
  </si>
  <si>
    <t xml:space="preserve">- 15.45  pm persiapan jalan, terkendala pick up tidak bisa load </t>
  </si>
  <si>
    <t>- 16.38  pm on reel N20,5 speed 800</t>
  </si>
  <si>
    <t>- Awal Shift PM Produksi N20,5 Speed 810/14%</t>
  </si>
  <si>
    <t>780/673</t>
  </si>
  <si>
    <t>816/702</t>
  </si>
  <si>
    <t>786/676</t>
  </si>
  <si>
    <t>894/684</t>
  </si>
  <si>
    <t>- 07:10 change grade N20,5 Speed 830/14%</t>
  </si>
  <si>
    <t>N 20,5</t>
  </si>
  <si>
    <t>N 20,5 RC HW</t>
  </si>
  <si>
    <t>791/681</t>
  </si>
  <si>
    <t>806/693</t>
  </si>
  <si>
    <t>803/690</t>
  </si>
  <si>
    <t>- Sheet Breaks (4x)</t>
  </si>
  <si>
    <t>Level fresh water error</t>
  </si>
  <si>
    <t>20,5</t>
  </si>
  <si>
    <t>28/20,5</t>
  </si>
  <si>
    <t>256+63,5</t>
  </si>
  <si>
    <t>810/696</t>
  </si>
  <si>
    <t>- 07.54 pm persiapan jalan</t>
  </si>
  <si>
    <t>- 08.25 on reel</t>
  </si>
  <si>
    <t>- 07.40 pm stock off, proxy wire sblah DS alarm, perbaikan EID</t>
  </si>
  <si>
    <t>- 16.40 PM stop, kertas hole cleaning felt solar &amp; xyline</t>
  </si>
  <si>
    <t>- 17.50  pm on reel</t>
  </si>
  <si>
    <t>- Awal Shift PM Produksi N20,5 Speed 830/-14%</t>
  </si>
  <si>
    <t>PM stock off, proxy wire sblah DS alarm, perbaikan EID</t>
  </si>
  <si>
    <t>- 14.25 Chage grade TW 30 Speed 550/-12%</t>
  </si>
  <si>
    <t>- Awal Shift PM Produksi TW 30 Speed 550/-12%</t>
  </si>
  <si>
    <t>809/697</t>
  </si>
  <si>
    <t>550/484</t>
  </si>
  <si>
    <t>636/555</t>
  </si>
  <si>
    <t>Napkin/Towel</t>
  </si>
  <si>
    <t>20,5/30</t>
  </si>
  <si>
    <t>84*3+63</t>
  </si>
  <si>
    <t>INDOFLOC C360</t>
  </si>
  <si>
    <t>- 08.00 change grade napkin 17 LB speed 830/-14%</t>
  </si>
  <si>
    <t>- Awal Shift PM Produksi Napkin 17 LB speed 830/-14%</t>
  </si>
  <si>
    <t>- 20:50 Change Grade Napkin 16 speed 830/-14%</t>
  </si>
  <si>
    <t>- Awal Shift PM Produksi Napkin 16 speed 830/-14%</t>
  </si>
  <si>
    <t>795/685</t>
  </si>
  <si>
    <t>818/704</t>
  </si>
  <si>
    <t>N 17 RC BR</t>
  </si>
  <si>
    <t>N 16 RC BR</t>
  </si>
  <si>
    <t>Towel/Napkin</t>
  </si>
  <si>
    <t>30/17/16</t>
  </si>
  <si>
    <t>RC HW/BR</t>
  </si>
  <si>
    <t>24+51*2+25,5*8</t>
  </si>
  <si>
    <t>N 16</t>
  </si>
  <si>
    <t>23*4+46*5</t>
  </si>
  <si>
    <t>- 09.00 cleaning roll dan hood</t>
  </si>
  <si>
    <t xml:space="preserve">- 10.25 - 11.04 Cek alignment popereel (MED) </t>
  </si>
  <si>
    <t>LT</t>
  </si>
  <si>
    <t>* Awal shift pm jalan penghabisan buburan dirt</t>
  </si>
  <si>
    <t>* 04.00 dirt mulai berkurang</t>
  </si>
  <si>
    <t>* 05.00 jumbo turun ACC</t>
  </si>
  <si>
    <t>688/592</t>
  </si>
  <si>
    <t>582/500</t>
  </si>
  <si>
    <t>- Menghabiskan bubur blackspot</t>
  </si>
  <si>
    <t>Menghabiskan bubur blackspot</t>
  </si>
  <si>
    <t>TW 46 RC BR</t>
  </si>
  <si>
    <t>Black Tissue</t>
  </si>
  <si>
    <t>- 18.51 menghabiskan bubur blackspot</t>
  </si>
  <si>
    <t>(menyesuaikan ketersediaan bubur dip)</t>
  </si>
  <si>
    <t>- drain couch pit
- cleaning area pm dan rewinder</t>
  </si>
  <si>
    <t>- pm cleaning felt pakai solar &amp; soda</t>
  </si>
  <si>
    <t>- cleaning filter coating &amp; release</t>
  </si>
  <si>
    <t>- 00.25 pm turun speed DIP trouble disperger, perbaikan MED
- 04.20 pm stop buburan DIP habis, trouble disperger, perbaikan MED</t>
  </si>
  <si>
    <t>- Awal Shift PM Produksi Napkin 16 speed 800/-14%</t>
  </si>
  <si>
    <t>- 12.00 pm change grade N15.5 gsm (LB) speed 800/-14%</t>
  </si>
  <si>
    <t>- Awal Shift PM Produksi Napkin 15,5 speed 800/-14%</t>
  </si>
  <si>
    <t>800/688</t>
  </si>
  <si>
    <t>- Sheet Breaks (3x)</t>
  </si>
  <si>
    <t>N 15,5 RC BR</t>
  </si>
  <si>
    <t>- Change Blade (10x)</t>
  </si>
  <si>
    <t>16</t>
  </si>
  <si>
    <t>16/15,5</t>
  </si>
  <si>
    <t>N 15,5 RC HR</t>
  </si>
  <si>
    <t>46*5+23*4</t>
  </si>
  <si>
    <t>N 15,5</t>
  </si>
  <si>
    <t>165*2</t>
  </si>
  <si>
    <t>80*4</t>
  </si>
  <si>
    <t>115*2+99</t>
  </si>
  <si>
    <t>- Pm 12 stop (MED perbaikan disperger Dip 1).
Job :
- drain &amp; cleaning krofta 
- cleaning area felt wire pm 12
- drain cleaning silo &amp; couchpit
- cleaning area rewinder</t>
  </si>
  <si>
    <t>- tutup drain krofta, silo, couchpit.</t>
  </si>
  <si>
    <t>- Ganti doctor blade brown drum pop rell</t>
  </si>
  <si>
    <t>- isi krofta &amp; silo</t>
  </si>
  <si>
    <t>- awal shift PM stop, tunggu bubur DIP
- 16.30 persiapan jalan</t>
  </si>
  <si>
    <t>- 16.45 pick up tidak bisa lower cek EID (25 menit)
- 17.10 pick up ok</t>
  </si>
  <si>
    <t>- 17.30 on reel N15.5 speed 830/-14%</t>
  </si>
  <si>
    <t>- Awal Shift PM Produksi Napkin 15,5 speed 830/-14%</t>
  </si>
  <si>
    <t>- Change Blade (7x)</t>
  </si>
  <si>
    <t>- DIP trouble disperger, perbaikan MED</t>
  </si>
  <si>
    <t>DIP trouble disperger, perbaikan MED</t>
  </si>
  <si>
    <t>- 04.20 pm stop buburan DIP habis, trouble disperger, perbaikan MED</t>
  </si>
  <si>
    <t>15,5</t>
  </si>
  <si>
    <t>- Change Blade (12x)</t>
  </si>
  <si>
    <t>- 11.25 change grade N17 speed 830/-14%</t>
  </si>
  <si>
    <t>- Awal Shift PM Produksi Napkin 17 speed 830/-14%</t>
  </si>
  <si>
    <t>- 05.00 change grade N 16 speed 830/-14%</t>
  </si>
  <si>
    <t>15,5/17/16</t>
  </si>
  <si>
    <t>162*2</t>
  </si>
  <si>
    <t>- Awal Shift PM Produksi TW 30,5 speed 540/-12%</t>
  </si>
  <si>
    <t>- 20.00 change grade TW30.5 speed 540-12%</t>
  </si>
  <si>
    <t>- 14.10 change grade TW 19 speed 830/-12%</t>
  </si>
  <si>
    <t>- Awal Shift PM Produksi TW 19 speed 830/-12%</t>
  </si>
  <si>
    <t>830/715</t>
  </si>
  <si>
    <t>721/634</t>
  </si>
  <si>
    <t>540/475</t>
  </si>
  <si>
    <t>697/608</t>
  </si>
  <si>
    <t>16/19/30,5</t>
  </si>
  <si>
    <t>TW 19 RC BR</t>
  </si>
  <si>
    <t>TW 30,5 RC BR</t>
  </si>
  <si>
    <t>TW 19</t>
  </si>
  <si>
    <t>TW 30,5</t>
  </si>
  <si>
    <t>41*8</t>
  </si>
  <si>
    <t>164,5*2</t>
  </si>
  <si>
    <t>30,5</t>
  </si>
  <si>
    <t>TW 30,5 VP OW</t>
  </si>
  <si>
    <t>- 07.55 change grade TW 34 speed 500/-12%</t>
  </si>
  <si>
    <t>- Awal Shift PM Produksi TW 34 speed 500/-12%</t>
  </si>
  <si>
    <t>504/444</t>
  </si>
  <si>
    <t>501/441</t>
  </si>
  <si>
    <t>TW 34 RC BR</t>
  </si>
  <si>
    <t>30,5/34</t>
  </si>
  <si>
    <t>246+63+21</t>
  </si>
  <si>
    <t>125+97*2</t>
  </si>
  <si>
    <t>- Awal Shift PM Produksi TW 34 speed 485/-12%</t>
  </si>
  <si>
    <t>- 01.30 change grade TW 36 speed 460/-12%</t>
  </si>
  <si>
    <t>490/431</t>
  </si>
  <si>
    <t>500/440</t>
  </si>
  <si>
    <t>485/426</t>
  </si>
  <si>
    <t>479/421</t>
  </si>
  <si>
    <t>34/36</t>
  </si>
  <si>
    <t>NUKP ARAUCO</t>
  </si>
  <si>
    <t>163*2</t>
  </si>
  <si>
    <t>120,5+97*2</t>
  </si>
  <si>
    <t>TW 36 RC BR</t>
  </si>
  <si>
    <t>- Awal Shift PM Produksi TW 36 speed 460/-12%</t>
  </si>
  <si>
    <t>- Awal Shift PM Produksi TW 36 speed 450/-12%</t>
  </si>
  <si>
    <t>- 07.50 PM stop, bubur DIP level minim dan encer</t>
  </si>
  <si>
    <t>- 09.30 persiapan jalan</t>
  </si>
  <si>
    <t>- 09.40 on reel</t>
  </si>
  <si>
    <t>450/396</t>
  </si>
  <si>
    <t>PM stop, bubur DIP level minim dan encer</t>
  </si>
  <si>
    <t>36</t>
  </si>
  <si>
    <t>- 09.00 change grade TW38 speed 430/-12%</t>
  </si>
  <si>
    <t>- Awal Shift PM Produksi TW 38 speed 430/-12%</t>
  </si>
  <si>
    <t>- 01.15 change grade TW 30 speed 550/-12%</t>
  </si>
  <si>
    <t>437/385</t>
  </si>
  <si>
    <t>430/378</t>
  </si>
  <si>
    <t>516/454</t>
  </si>
  <si>
    <t>461/405</t>
  </si>
  <si>
    <t>36/38/30</t>
  </si>
  <si>
    <t>TW 38 RC BR</t>
  </si>
  <si>
    <t>TW 30 RC BR</t>
  </si>
  <si>
    <t>149+169</t>
  </si>
  <si>
    <t>- Awal Shift PM Produksi TW 30 speed 550/-12%</t>
  </si>
  <si>
    <t>- 09.00 change grade TW31.5 speed 570/-12%</t>
  </si>
  <si>
    <t>- Awal Shift PM Produksi TW 31.5 speed 570/-12%</t>
  </si>
  <si>
    <t>565/497</t>
  </si>
  <si>
    <t>30/31,5</t>
  </si>
  <si>
    <t>TW 31,5 RC BR</t>
  </si>
  <si>
    <t>TW 31,5</t>
  </si>
  <si>
    <t>117*2+94</t>
  </si>
  <si>
    <t>- 13.00 change grade N25 speed 670/-14%</t>
  </si>
  <si>
    <t>- Awal Shift PM Produksi N25 speed 670/-14%</t>
  </si>
  <si>
    <t>- 04.15 change grade TW 19 speed 830 /-14%</t>
  </si>
  <si>
    <t>595/520</t>
  </si>
  <si>
    <t>670/576</t>
  </si>
  <si>
    <t>663/580</t>
  </si>
  <si>
    <t>725/623</t>
  </si>
  <si>
    <t>31,5/25/19</t>
  </si>
  <si>
    <t>N 25 RC BR</t>
  </si>
  <si>
    <t>N 25</t>
  </si>
  <si>
    <t>114*2+98</t>
  </si>
  <si>
    <t>- Awal Shift PM Produksi TW 19 speed 830 /-14%</t>
  </si>
  <si>
    <t>- 12.55 PM stop, cleaning felt (kertas hole)
- 14.20 persiapan jalan</t>
  </si>
  <si>
    <t>- 14.35 on reel</t>
  </si>
  <si>
    <t>- adjust Formasi</t>
  </si>
  <si>
    <t>- Speed turun 800, formasi kurang bagus</t>
  </si>
  <si>
    <t>- Awal Shift PM Produksi N 16 speed 800/-14%</t>
  </si>
  <si>
    <t xml:space="preserve">- Loss speed 30mpm, formasi bagian DS  nerawang (kurang padat) </t>
  </si>
  <si>
    <t>- 09.30 turun speed 800 MPM (ada hole mata ikan bagian tengah
- 12.40 change grade N 16 speed 800/-14%</t>
  </si>
  <si>
    <t>811/698</t>
  </si>
  <si>
    <t>- Speed turun 800, formasi kurang bagus, Adjust Formasi</t>
  </si>
  <si>
    <t>- 12.55 PM stop, cleaning felt (kertas hole)</t>
  </si>
  <si>
    <t>Speed turun 800, formasi kurang bagus, Adjust Formasi</t>
  </si>
  <si>
    <t>19/16</t>
  </si>
  <si>
    <t>117,5+23*9</t>
  </si>
  <si>
    <t>40*4+23*7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</si>
</sst>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</cellStyleXfs>
  <cellXfs count="800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165" fontId="27" fillId="0" borderId="11" xfId="0" applyNumberFormat="1" applyFont="1" applyBorder="1"/>
    <xf numFmtId="0" fontId="27" fillId="0" borderId="0" xfId="0" applyFont="1"/>
    <xf numFmtId="0" fontId="26" fillId="24" borderId="11" xfId="0" quotePrefix="1" applyFont="1" applyFill="1" applyBorder="1"/>
    <xf numFmtId="0" fontId="26" fillId="24" borderId="13" xfId="0" quotePrefix="1" applyFont="1" applyFill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8" fontId="41" fillId="0" borderId="0" xfId="0" applyNumberFormat="1" applyFont="1" applyAlignment="1">
      <alignment horizontal="center" vertical="center" wrapText="1"/>
    </xf>
    <xf numFmtId="179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9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8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8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9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9" fontId="38" fillId="0" borderId="11" xfId="29" applyNumberFormat="1" applyFont="1" applyFill="1" applyBorder="1" applyAlignment="1">
      <alignment horizontal="center"/>
    </xf>
    <xf numFmtId="179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9" fontId="42" fillId="0" borderId="11" xfId="29" applyNumberFormat="1" applyFont="1" applyFill="1" applyBorder="1" applyAlignment="1">
      <alignment vertical="center"/>
    </xf>
    <xf numFmtId="179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8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9" fontId="42" fillId="25" borderId="11" xfId="29" applyNumberFormat="1" applyFont="1" applyFill="1" applyBorder="1" applyAlignment="1">
      <alignment vertical="center"/>
    </xf>
    <xf numFmtId="178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9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9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29" xfId="0" applyFont="1" applyFill="1" applyBorder="1" applyAlignment="1">
      <alignment horizontal="left" vertical="center"/>
    </xf>
    <xf numFmtId="0" fontId="26" fillId="24" borderId="40" xfId="0" applyFont="1" applyFill="1" applyBorder="1" applyAlignment="1">
      <alignment vertical="center" wrapText="1"/>
    </xf>
    <xf numFmtId="0" fontId="26" fillId="24" borderId="54" xfId="0" applyFont="1" applyFill="1" applyBorder="1" applyAlignment="1">
      <alignment horizontal="left" vertical="center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165" fontId="26" fillId="24" borderId="55" xfId="50" applyNumberFormat="1" applyFont="1" applyFill="1" applyBorder="1" applyAlignment="1" applyProtection="1">
      <alignment horizontal="center" vertic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68" fontId="38" fillId="0" borderId="11" xfId="0" applyNumberFormat="1" applyFont="1" applyBorder="1" applyAlignment="1">
      <alignment horizontal="center"/>
    </xf>
    <xf numFmtId="179" fontId="41" fillId="0" borderId="17" xfId="29" applyNumberFormat="1" applyFont="1" applyBorder="1" applyAlignment="1">
      <alignment vertical="center"/>
    </xf>
    <xf numFmtId="179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0" fontId="47" fillId="0" borderId="10" xfId="41" applyBorder="1"/>
    <xf numFmtId="0" fontId="47" fillId="0" borderId="11" xfId="41" applyBorder="1" applyAlignment="1">
      <alignment horizontal="left"/>
    </xf>
    <xf numFmtId="0" fontId="47" fillId="0" borderId="11" xfId="41" applyBorder="1" applyAlignment="1">
      <alignment horizontal="right"/>
    </xf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right"/>
    </xf>
    <xf numFmtId="2" fontId="30" fillId="0" borderId="0" xfId="0" applyNumberFormat="1" applyFont="1"/>
    <xf numFmtId="170" fontId="30" fillId="0" borderId="0" xfId="0" applyNumberFormat="1" applyFont="1" applyAlignment="1">
      <alignment horizontal="right"/>
    </xf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7" fillId="0" borderId="66" xfId="0" applyNumberFormat="1" applyFont="1" applyBorder="1"/>
    <xf numFmtId="0" fontId="27" fillId="0" borderId="66" xfId="0" applyFont="1" applyBorder="1" applyAlignment="1">
      <alignment horizontal="center"/>
    </xf>
    <xf numFmtId="171" fontId="27" fillId="0" borderId="66" xfId="0" applyNumberFormat="1" applyFont="1" applyBorder="1"/>
    <xf numFmtId="10" fontId="27" fillId="0" borderId="66" xfId="0" applyNumberFormat="1" applyFont="1" applyBorder="1"/>
    <xf numFmtId="168" fontId="27" fillId="0" borderId="66" xfId="0" applyNumberFormat="1" applyFont="1" applyBorder="1"/>
    <xf numFmtId="10" fontId="27" fillId="0" borderId="66" xfId="0" applyNumberFormat="1" applyFont="1" applyBorder="1" applyAlignment="1">
      <alignment horizontal="center" vertical="center" wrapText="1"/>
    </xf>
    <xf numFmtId="10" fontId="27" fillId="0" borderId="66" xfId="0" applyNumberFormat="1" applyFont="1" applyBorder="1" applyAlignment="1">
      <alignment vertical="justify" wrapText="1"/>
    </xf>
    <xf numFmtId="2" fontId="27" fillId="0" borderId="66" xfId="0" applyNumberFormat="1" applyFont="1" applyBorder="1"/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 wrapText="1"/>
    </xf>
    <xf numFmtId="4" fontId="27" fillId="0" borderId="66" xfId="0" applyNumberFormat="1" applyFont="1" applyBorder="1" applyAlignment="1">
      <alignment vertical="justify" wrapText="1"/>
    </xf>
    <xf numFmtId="165" fontId="30" fillId="0" borderId="0" xfId="28" applyFont="1" applyBorder="1" applyProtection="1"/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8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5" fillId="24" borderId="10" xfId="0" applyNumberFormat="1" applyFont="1" applyFill="1" applyBorder="1" applyAlignment="1">
      <alignment horizontal="left"/>
    </xf>
    <xf numFmtId="173" fontId="46" fillId="0" borderId="11" xfId="44" applyNumberFormat="1" applyFont="1" applyBorder="1" applyAlignment="1">
      <alignment horizontal="center"/>
    </xf>
    <xf numFmtId="16" fontId="22" fillId="24" borderId="0" xfId="28" applyNumberFormat="1" applyFont="1" applyFill="1" applyBorder="1" applyProtection="1">
      <protection locked="0"/>
    </xf>
    <xf numFmtId="164" fontId="41" fillId="0" borderId="11" xfId="29" applyFont="1" applyFill="1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179" fontId="26" fillId="24" borderId="21" xfId="29" applyNumberFormat="1" applyFont="1" applyFill="1" applyBorder="1" applyAlignment="1" applyProtection="1">
      <alignment horizontal="right" vertical="center"/>
    </xf>
    <xf numFmtId="179" fontId="26" fillId="24" borderId="17" xfId="29" applyNumberFormat="1" applyFont="1" applyFill="1" applyBorder="1" applyAlignment="1" applyProtection="1">
      <alignment horizontal="right" vertical="center"/>
    </xf>
    <xf numFmtId="179" fontId="26" fillId="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 vertical="center"/>
    </xf>
    <xf numFmtId="179" fontId="22" fillId="2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/>
    </xf>
    <xf numFmtId="179" fontId="26" fillId="24" borderId="14" xfId="29" applyNumberFormat="1" applyFont="1" applyFill="1" applyBorder="1" applyAlignment="1" applyProtection="1">
      <alignment horizontal="right"/>
    </xf>
    <xf numFmtId="179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9" fillId="28" borderId="0" xfId="0" applyFont="1" applyFill="1"/>
    <xf numFmtId="179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9" fontId="42" fillId="25" borderId="13" xfId="29" applyNumberFormat="1" applyFont="1" applyFill="1" applyBorder="1" applyAlignment="1">
      <alignment vertical="center"/>
    </xf>
    <xf numFmtId="179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9" fontId="42" fillId="4" borderId="11" xfId="29" applyNumberFormat="1" applyFont="1" applyFill="1" applyBorder="1" applyAlignment="1">
      <alignment horizontal="center"/>
    </xf>
    <xf numFmtId="0" fontId="44" fillId="0" borderId="0" xfId="0" applyFont="1"/>
    <xf numFmtId="0" fontId="0" fillId="0" borderId="67" xfId="0" applyBorder="1"/>
    <xf numFmtId="0" fontId="47" fillId="0" borderId="36" xfId="0" applyFont="1" applyBorder="1"/>
    <xf numFmtId="0" fontId="0" fillId="0" borderId="26" xfId="0" applyBorder="1"/>
    <xf numFmtId="0" fontId="44" fillId="0" borderId="26" xfId="0" applyFont="1" applyBorder="1"/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8" fontId="36" fillId="34" borderId="13" xfId="0" applyNumberFormat="1" applyFont="1" applyFill="1" applyBorder="1" applyAlignment="1">
      <alignment horizontal="center" vertical="center" wrapText="1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9" fontId="54" fillId="0" borderId="0" xfId="29" applyNumberFormat="1" applyFont="1" applyProtection="1"/>
    <xf numFmtId="9" fontId="0" fillId="0" borderId="0" xfId="50" applyFont="1" applyProtection="1"/>
    <xf numFmtId="0" fontId="26" fillId="24" borderId="56" xfId="0" applyFont="1" applyFill="1" applyBorder="1"/>
    <xf numFmtId="0" fontId="26" fillId="24" borderId="47" xfId="0" applyFont="1" applyFill="1" applyBorder="1"/>
    <xf numFmtId="0" fontId="26" fillId="24" borderId="10" xfId="0" applyFont="1" applyFill="1" applyBorder="1"/>
    <xf numFmtId="0" fontId="26" fillId="24" borderId="49" xfId="0" applyFont="1" applyFill="1" applyBorder="1"/>
    <xf numFmtId="4" fontId="26" fillId="24" borderId="10" xfId="0" applyNumberFormat="1" applyFont="1" applyFill="1" applyBorder="1"/>
    <xf numFmtId="4" fontId="26" fillId="24" borderId="49" xfId="0" applyNumberFormat="1" applyFont="1" applyFill="1" applyBorder="1"/>
    <xf numFmtId="165" fontId="26" fillId="24" borderId="10" xfId="0" applyNumberFormat="1" applyFont="1" applyFill="1" applyBorder="1"/>
    <xf numFmtId="165" fontId="26" fillId="24" borderId="49" xfId="0" applyNumberFormat="1" applyFont="1" applyFill="1" applyBorder="1"/>
    <xf numFmtId="39" fontId="26" fillId="24" borderId="49" xfId="0" applyNumberFormat="1" applyFont="1" applyFill="1" applyBorder="1"/>
    <xf numFmtId="0" fontId="22" fillId="24" borderId="57" xfId="0" applyFont="1" applyFill="1" applyBorder="1"/>
    <xf numFmtId="0" fontId="22" fillId="24" borderId="24" xfId="0" applyFont="1" applyFill="1" applyBorder="1"/>
    <xf numFmtId="0" fontId="44" fillId="0" borderId="11" xfId="0" applyFont="1" applyBorder="1" applyAlignment="1" applyProtection="1">
      <alignment horizontal="center"/>
      <protection locked="0"/>
    </xf>
    <xf numFmtId="0" fontId="44" fillId="0" borderId="11" xfId="0" quotePrefix="1" applyFont="1" applyBorder="1" applyAlignment="1" applyProtection="1">
      <alignment horizontal="center"/>
      <protection locked="0"/>
    </xf>
    <xf numFmtId="177" fontId="0" fillId="0" borderId="11" xfId="0" applyNumberFormat="1" applyBorder="1"/>
    <xf numFmtId="167" fontId="44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7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0" fontId="55" fillId="27" borderId="11" xfId="50" applyNumberFormat="1" applyFont="1" applyFill="1" applyBorder="1" applyAlignment="1" applyProtection="1">
      <alignment horizontal="center" vertical="center"/>
      <protection locked="0"/>
    </xf>
    <xf numFmtId="165" fontId="42" fillId="33" borderId="11" xfId="29" applyNumberFormat="1" applyFont="1" applyFill="1" applyBorder="1" applyAlignment="1">
      <alignment vertical="center"/>
    </xf>
    <xf numFmtId="169" fontId="34" fillId="0" borderId="0" xfId="0" applyNumberFormat="1" applyFont="1" applyAlignment="1">
      <alignment vertical="center"/>
    </xf>
    <xf numFmtId="2" fontId="27" fillId="0" borderId="11" xfId="28" applyNumberFormat="1" applyFont="1" applyBorder="1" applyProtection="1"/>
    <xf numFmtId="165" fontId="26" fillId="24" borderId="45" xfId="0" applyNumberFormat="1" applyFont="1" applyFill="1" applyBorder="1" applyAlignment="1">
      <alignment horizontal="left"/>
    </xf>
    <xf numFmtId="181" fontId="42" fillId="25" borderId="11" xfId="29" applyNumberFormat="1" applyFont="1" applyFill="1" applyBorder="1" applyAlignment="1">
      <alignment vertical="center"/>
    </xf>
    <xf numFmtId="0" fontId="37" fillId="27" borderId="11" xfId="0" applyFont="1" applyFill="1" applyBorder="1" applyAlignment="1">
      <alignment horizontal="center" vertical="center" wrapText="1"/>
    </xf>
    <xf numFmtId="10" fontId="55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179" fontId="42" fillId="0" borderId="17" xfId="29" applyNumberFormat="1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0" fillId="0" borderId="11" xfId="55" applyFont="1" applyBorder="1" applyAlignment="1">
      <alignment horizontal="left"/>
    </xf>
    <xf numFmtId="0" fontId="56" fillId="0" borderId="0" xfId="0" applyFont="1"/>
    <xf numFmtId="4" fontId="57" fillId="29" borderId="74" xfId="0" applyNumberFormat="1" applyFont="1" applyFill="1" applyBorder="1" applyAlignment="1">
      <alignment horizontal="center" vertical="center" wrapText="1"/>
    </xf>
    <xf numFmtId="3" fontId="0" fillId="36" borderId="65" xfId="0" applyNumberFormat="1" applyFill="1" applyBorder="1"/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9" fontId="56" fillId="27" borderId="11" xfId="50" applyFont="1" applyFill="1" applyBorder="1" applyAlignment="1">
      <alignment horizontal="center" vertical="center" wrapText="1"/>
    </xf>
    <xf numFmtId="2" fontId="56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6" fillId="35" borderId="11" xfId="50" applyNumberFormat="1" applyFont="1" applyFill="1" applyBorder="1" applyAlignment="1">
      <alignment horizontal="center"/>
    </xf>
    <xf numFmtId="10" fontId="27" fillId="0" borderId="11" xfId="0" applyNumberFormat="1" applyFont="1" applyBorder="1"/>
    <xf numFmtId="0" fontId="56" fillId="27" borderId="11" xfId="0" applyFont="1" applyFill="1" applyBorder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7" fillId="35" borderId="11" xfId="0" applyFont="1" applyFill="1" applyBorder="1"/>
    <xf numFmtId="0" fontId="38" fillId="37" borderId="11" xfId="55" applyFont="1" applyFill="1" applyBorder="1" applyAlignment="1">
      <alignment horizontal="left"/>
    </xf>
    <xf numFmtId="0" fontId="0" fillId="38" borderId="11" xfId="0" applyFill="1" applyBorder="1"/>
    <xf numFmtId="0" fontId="44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8" fillId="0" borderId="19" xfId="55" applyFont="1" applyBorder="1" applyAlignment="1">
      <alignment horizontal="left"/>
    </xf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0" fontId="0" fillId="0" borderId="0" xfId="0" quotePrefix="1"/>
    <xf numFmtId="0" fontId="63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2" fontId="44" fillId="0" borderId="11" xfId="0" applyNumberFormat="1" applyFont="1" applyBorder="1"/>
    <xf numFmtId="166" fontId="0" fillId="0" borderId="0" xfId="0" applyNumberFormat="1"/>
    <xf numFmtId="0" fontId="21" fillId="0" borderId="0" xfId="41" applyFon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1" fillId="0" borderId="11" xfId="0" applyNumberFormat="1" applyFont="1" applyBorder="1" applyAlignment="1">
      <alignment horizontal="center" vertical="center" wrapText="1"/>
    </xf>
    <xf numFmtId="2" fontId="38" fillId="0" borderId="11" xfId="45" applyNumberFormat="1" applyFont="1" applyBorder="1" applyAlignment="1">
      <alignment horizontal="center"/>
    </xf>
    <xf numFmtId="10" fontId="41" fillId="0" borderId="11" xfId="50" applyNumberFormat="1" applyFont="1" applyFill="1" applyBorder="1" applyAlignment="1">
      <alignment vertical="center"/>
    </xf>
    <xf numFmtId="179" fontId="41" fillId="0" borderId="19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2" fontId="41" fillId="0" borderId="0" xfId="0" applyNumberFormat="1" applyFont="1"/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82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0" fontId="41" fillId="28" borderId="0" xfId="0" applyNumberFormat="1" applyFont="1" applyFill="1" applyAlignment="1">
      <alignment horizontal="right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0" fontId="44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2" fillId="39" borderId="11" xfId="56" applyNumberFormat="1" applyFont="1" applyFill="1" applyBorder="1" applyAlignment="1">
      <alignment horizontal="center" vertical="center" wrapText="1"/>
    </xf>
    <xf numFmtId="179" fontId="42" fillId="26" borderId="14" xfId="56" applyNumberFormat="1" applyFont="1" applyFill="1" applyBorder="1" applyAlignment="1">
      <alignment horizontal="center" vertical="center" wrapText="1"/>
    </xf>
    <xf numFmtId="179" fontId="42" fillId="26" borderId="11" xfId="56" applyNumberFormat="1" applyFont="1" applyFill="1" applyBorder="1" applyAlignment="1">
      <alignment horizontal="center" vertical="center" wrapText="1"/>
    </xf>
    <xf numFmtId="179" fontId="42" fillId="39" borderId="14" xfId="56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5" xfId="28" applyNumberFormat="1" applyFont="1" applyBorder="1" applyAlignment="1"/>
    <xf numFmtId="2" fontId="0" fillId="0" borderId="85" xfId="28" applyNumberFormat="1" applyFont="1" applyBorder="1" applyAlignment="1" applyProtection="1">
      <alignment horizontal="center" vertical="center"/>
      <protection hidden="1"/>
    </xf>
    <xf numFmtId="0" fontId="27" fillId="0" borderId="0" xfId="41" applyFont="1"/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165" fontId="44" fillId="0" borderId="17" xfId="28" applyFont="1" applyBorder="1" applyProtection="1"/>
    <xf numFmtId="173" fontId="47" fillId="0" borderId="86" xfId="0" applyNumberFormat="1" applyFont="1" applyBorder="1"/>
    <xf numFmtId="171" fontId="0" fillId="0" borderId="11" xfId="0" applyNumberFormat="1" applyBorder="1" applyAlignment="1" applyProtection="1">
      <alignment vertical="justify" wrapText="1"/>
      <protection locked="0"/>
    </xf>
    <xf numFmtId="165" fontId="27" fillId="0" borderId="11" xfId="28" applyFont="1" applyBorder="1"/>
    <xf numFmtId="1" fontId="42" fillId="0" borderId="0" xfId="50" applyNumberFormat="1" applyFont="1" applyFill="1" applyBorder="1" applyAlignment="1">
      <alignment vertical="center"/>
    </xf>
    <xf numFmtId="174" fontId="22" fillId="24" borderId="0" xfId="28" applyNumberFormat="1" applyFont="1" applyFill="1" applyBorder="1" applyAlignment="1" applyProtection="1">
      <alignment horizontal="center"/>
      <protection locked="0"/>
    </xf>
    <xf numFmtId="177" fontId="22" fillId="24" borderId="0" xfId="0" applyNumberFormat="1" applyFont="1" applyFill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181" fontId="41" fillId="0" borderId="0" xfId="29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0" fontId="26" fillId="24" borderId="87" xfId="0" applyFont="1" applyFill="1" applyBorder="1" applyAlignment="1" applyProtection="1">
      <alignment horizontal="center"/>
      <protection locked="0"/>
    </xf>
    <xf numFmtId="183" fontId="22" fillId="24" borderId="0" xfId="0" applyNumberFormat="1" applyFont="1" applyFill="1"/>
    <xf numFmtId="0" fontId="0" fillId="0" borderId="11" xfId="0" applyBorder="1" applyAlignment="1">
      <alignment vertical="top"/>
    </xf>
    <xf numFmtId="0" fontId="27" fillId="24" borderId="11" xfId="0" quotePrefix="1" applyFont="1" applyFill="1" applyBorder="1" applyAlignment="1" applyProtection="1">
      <alignment wrapText="1"/>
      <protection locked="0"/>
    </xf>
    <xf numFmtId="0" fontId="44" fillId="0" borderId="0" xfId="0" quotePrefix="1" applyFont="1"/>
    <xf numFmtId="1" fontId="44" fillId="27" borderId="39" xfId="0" applyNumberFormat="1" applyFont="1" applyFill="1" applyBorder="1" applyAlignment="1">
      <alignment horizontal="center" vertical="center"/>
    </xf>
    <xf numFmtId="0" fontId="26" fillId="24" borderId="14" xfId="0" quotePrefix="1" applyFont="1" applyFill="1" applyBorder="1" applyAlignment="1" applyProtection="1">
      <alignment wrapText="1"/>
      <protection locked="0"/>
    </xf>
    <xf numFmtId="0" fontId="27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2" fontId="27" fillId="0" borderId="18" xfId="28" applyNumberFormat="1" applyFont="1" applyBorder="1"/>
    <xf numFmtId="0" fontId="26" fillId="24" borderId="88" xfId="0" quotePrefix="1" applyFont="1" applyFill="1" applyBorder="1" applyAlignment="1" applyProtection="1">
      <alignment wrapText="1"/>
      <protection locked="0"/>
    </xf>
    <xf numFmtId="1" fontId="47" fillId="0" borderId="35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vertical="center"/>
    </xf>
    <xf numFmtId="2" fontId="0" fillId="0" borderId="86" xfId="0" applyNumberFormat="1" applyBorder="1" applyAlignment="1">
      <alignment vertical="center"/>
    </xf>
    <xf numFmtId="2" fontId="0" fillId="0" borderId="67" xfId="0" applyNumberFormat="1" applyBorder="1" applyAlignment="1">
      <alignment vertical="center"/>
    </xf>
    <xf numFmtId="173" fontId="44" fillId="0" borderId="3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0" fontId="0" fillId="0" borderId="69" xfId="0" applyBorder="1"/>
    <xf numFmtId="0" fontId="26" fillId="24" borderId="87" xfId="0" quotePrefix="1" applyFont="1" applyFill="1" applyBorder="1" applyAlignment="1" applyProtection="1">
      <alignment wrapText="1"/>
      <protection locked="0"/>
    </xf>
    <xf numFmtId="179" fontId="41" fillId="0" borderId="89" xfId="29" applyNumberFormat="1" applyFont="1" applyFill="1" applyBorder="1" applyAlignment="1">
      <alignment vertical="center"/>
    </xf>
    <xf numFmtId="0" fontId="44" fillId="0" borderId="0" xfId="0" applyFont="1" applyFill="1" applyBorder="1"/>
    <xf numFmtId="0" fontId="0" fillId="0" borderId="11" xfId="0" quotePrefix="1" applyBorder="1" applyAlignment="1">
      <alignment vertical="top" wrapText="1"/>
    </xf>
    <xf numFmtId="171" fontId="37" fillId="0" borderId="11" xfId="0" applyNumberFormat="1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9" fontId="34" fillId="0" borderId="0" xfId="0" applyNumberFormat="1" applyFont="1" applyAlignment="1">
      <alignment horizontal="center" vertical="justify" wrapText="1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79" fontId="42" fillId="0" borderId="13" xfId="29" applyNumberFormat="1" applyFont="1" applyFill="1" applyBorder="1" applyAlignment="1">
      <alignment horizontal="right"/>
    </xf>
    <xf numFmtId="179" fontId="42" fillId="0" borderId="19" xfId="29" applyNumberFormat="1" applyFont="1" applyFill="1" applyBorder="1" applyAlignment="1">
      <alignment horizontal="right"/>
    </xf>
    <xf numFmtId="0" fontId="42" fillId="0" borderId="14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79" fontId="42" fillId="0" borderId="14" xfId="29" applyNumberFormat="1" applyFont="1" applyFill="1" applyBorder="1" applyAlignment="1">
      <alignment horizontal="center" vertical="center" wrapText="1"/>
    </xf>
    <xf numFmtId="179" fontId="42" fillId="0" borderId="62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8" fontId="42" fillId="0" borderId="58" xfId="0" applyNumberFormat="1" applyFont="1" applyBorder="1" applyAlignment="1">
      <alignment horizontal="center" vertical="center"/>
    </xf>
    <xf numFmtId="178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8" fontId="42" fillId="0" borderId="30" xfId="0" applyNumberFormat="1" applyFont="1" applyBorder="1" applyAlignment="1">
      <alignment horizontal="center" vertical="center"/>
    </xf>
    <xf numFmtId="178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9" fontId="42" fillId="25" borderId="14" xfId="29" applyNumberFormat="1" applyFont="1" applyFill="1" applyBorder="1" applyAlignment="1">
      <alignment horizontal="center" vertical="center" wrapText="1"/>
    </xf>
    <xf numFmtId="179" fontId="42" fillId="25" borderId="62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0" fontId="42" fillId="0" borderId="17" xfId="0" applyFont="1" applyBorder="1" applyAlignment="1">
      <alignment horizontal="center" vertical="center" wrapText="1"/>
    </xf>
    <xf numFmtId="179" fontId="42" fillId="26" borderId="13" xfId="56" applyNumberFormat="1" applyFont="1" applyFill="1" applyBorder="1" applyAlignment="1">
      <alignment horizontal="center" vertical="center" wrapText="1"/>
    </xf>
    <xf numFmtId="179" fontId="42" fillId="26" borderId="19" xfId="56" applyNumberFormat="1" applyFont="1" applyFill="1" applyBorder="1" applyAlignment="1">
      <alignment horizontal="center" vertical="center" wrapText="1"/>
    </xf>
    <xf numFmtId="179" fontId="42" fillId="26" borderId="14" xfId="29" applyNumberFormat="1" applyFont="1" applyFill="1" applyBorder="1" applyAlignment="1">
      <alignment horizontal="center" vertical="center" wrapText="1"/>
    </xf>
    <xf numFmtId="179" fontId="42" fillId="26" borderId="62" xfId="29" applyNumberFormat="1" applyFont="1" applyFill="1" applyBorder="1" applyAlignment="1">
      <alignment horizontal="center" vertical="center" wrapText="1"/>
    </xf>
    <xf numFmtId="179" fontId="42" fillId="26" borderId="17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9" fontId="42" fillId="0" borderId="13" xfId="29" applyNumberFormat="1" applyFont="1" applyFill="1" applyBorder="1" applyAlignment="1">
      <alignment horizontal="center" vertical="center" wrapText="1"/>
    </xf>
    <xf numFmtId="179" fontId="42" fillId="0" borderId="20" xfId="29" applyNumberFormat="1" applyFont="1" applyFill="1" applyBorder="1" applyAlignment="1">
      <alignment horizontal="center" vertical="center" wrapText="1"/>
    </xf>
    <xf numFmtId="179" fontId="42" fillId="0" borderId="19" xfId="29" applyNumberFormat="1" applyFont="1" applyFill="1" applyBorder="1" applyAlignment="1">
      <alignment horizontal="center" vertical="center" wrapText="1"/>
    </xf>
    <xf numFmtId="179" fontId="42" fillId="39" borderId="87" xfId="56" applyNumberFormat="1" applyFont="1" applyFill="1" applyBorder="1" applyAlignment="1">
      <alignment horizontal="center" vertical="center" wrapText="1"/>
    </xf>
    <xf numFmtId="179" fontId="42" fillId="39" borderId="62" xfId="56" applyNumberFormat="1" applyFont="1" applyFill="1" applyBorder="1" applyAlignment="1">
      <alignment horizontal="center" vertical="center" wrapText="1"/>
    </xf>
    <xf numFmtId="179" fontId="42" fillId="39" borderId="17" xfId="56" applyNumberFormat="1" applyFont="1" applyFill="1" applyBorder="1" applyAlignment="1">
      <alignment horizontal="center" vertical="center" wrapText="1"/>
    </xf>
    <xf numFmtId="179" fontId="42" fillId="26" borderId="87" xfId="56" applyNumberFormat="1" applyFont="1" applyFill="1" applyBorder="1" applyAlignment="1">
      <alignment horizontal="center" vertical="center" wrapText="1"/>
    </xf>
    <xf numFmtId="179" fontId="42" fillId="26" borderId="62" xfId="56" applyNumberFormat="1" applyFont="1" applyFill="1" applyBorder="1" applyAlignment="1">
      <alignment horizontal="center" vertical="center" wrapText="1"/>
    </xf>
    <xf numFmtId="179" fontId="42" fillId="26" borderId="17" xfId="56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179" fontId="42" fillId="22" borderId="14" xfId="29" applyNumberFormat="1" applyFont="1" applyFill="1" applyBorder="1" applyAlignment="1">
      <alignment horizontal="center" vertical="center" wrapText="1"/>
    </xf>
    <xf numFmtId="179" fontId="42" fillId="22" borderId="62" xfId="29" applyNumberFormat="1" applyFont="1" applyFill="1" applyBorder="1" applyAlignment="1">
      <alignment horizontal="center" vertical="center" wrapText="1"/>
    </xf>
    <xf numFmtId="179" fontId="42" fillId="22" borderId="17" xfId="29" applyNumberFormat="1" applyFont="1" applyFill="1" applyBorder="1" applyAlignment="1">
      <alignment horizontal="center" vertical="center" wrapText="1"/>
    </xf>
    <xf numFmtId="179" fontId="42" fillId="25" borderId="11" xfId="29" applyNumberFormat="1" applyFont="1" applyFill="1" applyBorder="1" applyAlignment="1">
      <alignment horizontal="center" vertical="center" wrapText="1"/>
    </xf>
    <xf numFmtId="179" fontId="42" fillId="0" borderId="11" xfId="29" applyNumberFormat="1" applyFont="1" applyFill="1" applyBorder="1" applyAlignment="1">
      <alignment horizontal="center" vertical="center" wrapText="1"/>
    </xf>
    <xf numFmtId="179" fontId="42" fillId="4" borderId="58" xfId="29" applyNumberFormat="1" applyFont="1" applyFill="1" applyBorder="1" applyAlignment="1">
      <alignment horizontal="center" vertical="center" wrapText="1"/>
    </xf>
    <xf numFmtId="179" fontId="42" fillId="4" borderId="31" xfId="29" applyNumberFormat="1" applyFont="1" applyFill="1" applyBorder="1" applyAlignment="1">
      <alignment horizontal="center" vertical="center" wrapText="1"/>
    </xf>
    <xf numFmtId="179" fontId="42" fillId="4" borderId="30" xfId="29" applyNumberFormat="1" applyFont="1" applyFill="1" applyBorder="1" applyAlignment="1">
      <alignment horizontal="center" vertical="center" wrapText="1"/>
    </xf>
    <xf numFmtId="179" fontId="42" fillId="4" borderId="16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/>
    </xf>
    <xf numFmtId="179" fontId="42" fillId="4" borderId="11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39" borderId="58" xfId="56" applyNumberFormat="1" applyFont="1" applyFill="1" applyBorder="1" applyAlignment="1">
      <alignment horizontal="center" vertical="center" wrapText="1"/>
    </xf>
    <xf numFmtId="179" fontId="42" fillId="39" borderId="31" xfId="56" applyNumberFormat="1" applyFont="1" applyFill="1" applyBorder="1" applyAlignment="1">
      <alignment horizontal="center" vertical="center" wrapText="1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0" borderId="30" xfId="28" quotePrefix="1" applyNumberFormat="1" applyFont="1" applyBorder="1" applyAlignment="1">
      <alignment horizontal="center" vertical="center"/>
    </xf>
    <xf numFmtId="2" fontId="27" fillId="27" borderId="30" xfId="28" applyNumberFormat="1" applyFont="1" applyFill="1" applyBorder="1" applyAlignment="1">
      <alignment horizontal="center" vertical="center"/>
    </xf>
    <xf numFmtId="2" fontId="27" fillId="27" borderId="61" xfId="28" applyNumberFormat="1" applyFont="1" applyFill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0" fontId="53" fillId="0" borderId="77" xfId="41" applyFont="1" applyBorder="1" applyAlignment="1">
      <alignment horizontal="center"/>
    </xf>
    <xf numFmtId="0" fontId="53" fillId="0" borderId="78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0" fontId="53" fillId="0" borderId="44" xfId="41" applyFont="1" applyBorder="1" applyAlignment="1">
      <alignment horizontal="center" vertical="center"/>
    </xf>
    <xf numFmtId="0" fontId="53" fillId="0" borderId="76" xfId="41" applyFont="1" applyBorder="1" applyAlignment="1">
      <alignment horizontal="center" vertical="center"/>
    </xf>
    <xf numFmtId="0" fontId="53" fillId="0" borderId="46" xfId="41" applyFont="1" applyBorder="1" applyAlignment="1">
      <alignment horizontal="center" vertical="center"/>
    </xf>
    <xf numFmtId="0" fontId="53" fillId="0" borderId="54" xfId="41" applyFont="1" applyBorder="1" applyAlignment="1">
      <alignment horizontal="center" vertical="center"/>
    </xf>
    <xf numFmtId="0" fontId="53" fillId="0" borderId="62" xfId="41" applyFont="1" applyBorder="1" applyAlignment="1">
      <alignment horizontal="center" vertical="center"/>
    </xf>
    <xf numFmtId="0" fontId="53" fillId="0" borderId="29" xfId="41" applyFont="1" applyBorder="1" applyAlignment="1">
      <alignment horizontal="center" vertical="center"/>
    </xf>
    <xf numFmtId="0" fontId="53" fillId="11" borderId="54" xfId="41" applyFont="1" applyFill="1" applyBorder="1" applyAlignment="1">
      <alignment horizontal="center" vertical="center" wrapText="1"/>
    </xf>
    <xf numFmtId="0" fontId="53" fillId="11" borderId="62" xfId="41" applyFont="1" applyFill="1" applyBorder="1" applyAlignment="1">
      <alignment horizontal="center" vertical="center" wrapText="1"/>
    </xf>
    <xf numFmtId="0" fontId="53" fillId="11" borderId="29" xfId="4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79" xfId="0" quotePrefix="1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7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87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5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6" fillId="0" borderId="87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1" fillId="0" borderId="87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10" fontId="56" fillId="0" borderId="87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26" fillId="24" borderId="26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6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6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6" fillId="24" borderId="7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8" xfId="0" applyFont="1" applyFill="1" applyBorder="1" applyAlignment="1">
      <alignment horizontal="center"/>
    </xf>
    <xf numFmtId="0" fontId="26" fillId="24" borderId="69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3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22" fillId="24" borderId="77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270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0</c:v>
                </c:pt>
                <c:pt idx="1">
                  <c:v>35.399000000000001</c:v>
                </c:pt>
                <c:pt idx="2">
                  <c:v>53.036000000000001</c:v>
                </c:pt>
                <c:pt idx="3">
                  <c:v>32.670999999999999</c:v>
                </c:pt>
                <c:pt idx="4">
                  <c:v>44.783000000000001</c:v>
                </c:pt>
                <c:pt idx="5">
                  <c:v>60.667000000000002</c:v>
                </c:pt>
                <c:pt idx="6">
                  <c:v>69.388000000000005</c:v>
                </c:pt>
                <c:pt idx="7">
                  <c:v>63.63</c:v>
                </c:pt>
                <c:pt idx="8">
                  <c:v>66.897000000000006</c:v>
                </c:pt>
                <c:pt idx="9">
                  <c:v>66.941000000000003</c:v>
                </c:pt>
                <c:pt idx="10">
                  <c:v>60.802999999999997</c:v>
                </c:pt>
                <c:pt idx="11">
                  <c:v>51.13</c:v>
                </c:pt>
                <c:pt idx="12">
                  <c:v>54.646000000000001</c:v>
                </c:pt>
                <c:pt idx="13">
                  <c:v>70.001999999999995</c:v>
                </c:pt>
                <c:pt idx="14">
                  <c:v>49.869</c:v>
                </c:pt>
                <c:pt idx="15">
                  <c:v>24.524000000000001</c:v>
                </c:pt>
                <c:pt idx="16">
                  <c:v>42.984999999999999</c:v>
                </c:pt>
                <c:pt idx="17">
                  <c:v>24.611999999999998</c:v>
                </c:pt>
                <c:pt idx="18">
                  <c:v>49.045999999999999</c:v>
                </c:pt>
                <c:pt idx="19">
                  <c:v>49.627000000000002</c:v>
                </c:pt>
                <c:pt idx="20">
                  <c:v>49.780999999999999</c:v>
                </c:pt>
                <c:pt idx="21">
                  <c:v>51.372999999999998</c:v>
                </c:pt>
                <c:pt idx="22">
                  <c:v>70.382000000000005</c:v>
                </c:pt>
                <c:pt idx="23">
                  <c:v>69.483000000000004</c:v>
                </c:pt>
                <c:pt idx="24">
                  <c:v>65.763999999999996</c:v>
                </c:pt>
                <c:pt idx="25">
                  <c:v>65.506</c:v>
                </c:pt>
                <c:pt idx="26">
                  <c:v>59.281999999999996</c:v>
                </c:pt>
                <c:pt idx="27">
                  <c:v>63.91</c:v>
                </c:pt>
                <c:pt idx="28">
                  <c:v>72.962999999999994</c:v>
                </c:pt>
                <c:pt idx="29">
                  <c:v>68.492999999999995</c:v>
                </c:pt>
                <c:pt idx="30">
                  <c:v>41.704000000000001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343744"/>
        <c:axId val="28534528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0</c:v>
                </c:pt>
                <c:pt idx="1">
                  <c:v>0.63705351537759047</c:v>
                </c:pt>
                <c:pt idx="2">
                  <c:v>0.89617873934365733</c:v>
                </c:pt>
                <c:pt idx="3">
                  <c:v>0.55182441112425584</c:v>
                </c:pt>
                <c:pt idx="4">
                  <c:v>0.7189052644259194</c:v>
                </c:pt>
                <c:pt idx="5">
                  <c:v>0.92244267783725575</c:v>
                </c:pt>
                <c:pt idx="6">
                  <c:v>1.0472504372215941</c:v>
                </c:pt>
                <c:pt idx="7">
                  <c:v>0.94454587196052375</c:v>
                </c:pt>
                <c:pt idx="8">
                  <c:v>0.98030034084786566</c:v>
                </c:pt>
                <c:pt idx="9">
                  <c:v>0.96058493115280974</c:v>
                </c:pt>
                <c:pt idx="10">
                  <c:v>0.90271028045520296</c:v>
                </c:pt>
                <c:pt idx="11">
                  <c:v>0.75947246589182571</c:v>
                </c:pt>
                <c:pt idx="12">
                  <c:v>0.81169826659739297</c:v>
                </c:pt>
                <c:pt idx="13">
                  <c:v>1.055614176867316</c:v>
                </c:pt>
                <c:pt idx="14">
                  <c:v>0.89034242852245338</c:v>
                </c:pt>
                <c:pt idx="15">
                  <c:v>0.46310174493534839</c:v>
                </c:pt>
                <c:pt idx="16">
                  <c:v>0.81809221905780738</c:v>
                </c:pt>
                <c:pt idx="17">
                  <c:v>0.46954830222551791</c:v>
                </c:pt>
                <c:pt idx="18">
                  <c:v>0.93570071635595453</c:v>
                </c:pt>
                <c:pt idx="19">
                  <c:v>0.94678504772248417</c:v>
                </c:pt>
                <c:pt idx="20">
                  <c:v>0.89679113892552753</c:v>
                </c:pt>
                <c:pt idx="21">
                  <c:v>0.81392113754927475</c:v>
                </c:pt>
                <c:pt idx="22">
                  <c:v>1.0250072621696076</c:v>
                </c:pt>
                <c:pt idx="23">
                  <c:v>0.98454249440749664</c:v>
                </c:pt>
                <c:pt idx="24">
                  <c:v>0.97513906297977015</c:v>
                </c:pt>
                <c:pt idx="25">
                  <c:v>0.97980613190252985</c:v>
                </c:pt>
                <c:pt idx="26">
                  <c:v>0.90811978066880017</c:v>
                </c:pt>
                <c:pt idx="27">
                  <c:v>0.97036088299112544</c:v>
                </c:pt>
                <c:pt idx="28">
                  <c:v>0.98321760510606426</c:v>
                </c:pt>
                <c:pt idx="29">
                  <c:v>0.91218582770484657</c:v>
                </c:pt>
                <c:pt idx="30">
                  <c:v>0.73917937601684491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0</c:v>
                </c:pt>
                <c:pt idx="1">
                  <c:v>0.28260253000851043</c:v>
                </c:pt>
                <c:pt idx="2">
                  <c:v>0.47947610364694826</c:v>
                </c:pt>
                <c:pt idx="3">
                  <c:v>0.49705655581465241</c:v>
                </c:pt>
                <c:pt idx="4">
                  <c:v>0.54222786384390609</c:v>
                </c:pt>
                <c:pt idx="5">
                  <c:v>0.60950088604074548</c:v>
                </c:pt>
                <c:pt idx="6">
                  <c:v>0.67572564579765559</c:v>
                </c:pt>
                <c:pt idx="7">
                  <c:v>0.71156212654994078</c:v>
                </c:pt>
                <c:pt idx="8">
                  <c:v>0.74353555073886479</c:v>
                </c:pt>
                <c:pt idx="9">
                  <c:v>0.76704967223829401</c:v>
                </c:pt>
                <c:pt idx="10">
                  <c:v>0.77990833074190624</c:v>
                </c:pt>
                <c:pt idx="11">
                  <c:v>0.77813980472477973</c:v>
                </c:pt>
                <c:pt idx="12">
                  <c:v>0.78081265503044217</c:v>
                </c:pt>
                <c:pt idx="13">
                  <c:v>0.80080352282001854</c:v>
                </c:pt>
                <c:pt idx="14">
                  <c:v>0.80598669319466654</c:v>
                </c:pt>
                <c:pt idx="15">
                  <c:v>0.78819439093348731</c:v>
                </c:pt>
                <c:pt idx="16">
                  <c:v>0.78965831964460775</c:v>
                </c:pt>
                <c:pt idx="17">
                  <c:v>0.77475031092943591</c:v>
                </c:pt>
                <c:pt idx="18">
                  <c:v>0.78191246299180694</c:v>
                </c:pt>
                <c:pt idx="19">
                  <c:v>0.78893658147763324</c:v>
                </c:pt>
                <c:pt idx="20">
                  <c:v>0.79359268112004044</c:v>
                </c:pt>
                <c:pt idx="21">
                  <c:v>0.79454384876481365</c:v>
                </c:pt>
                <c:pt idx="22">
                  <c:v>0.80570668371982901</c:v>
                </c:pt>
                <c:pt idx="23">
                  <c:v>0.81418748443585043</c:v>
                </c:pt>
                <c:pt idx="24">
                  <c:v>0.82116510293691014</c:v>
                </c:pt>
                <c:pt idx="25">
                  <c:v>0.82770200876517019</c:v>
                </c:pt>
                <c:pt idx="26">
                  <c:v>0.83081240986881533</c:v>
                </c:pt>
                <c:pt idx="27">
                  <c:v>0.83605348193671636</c:v>
                </c:pt>
                <c:pt idx="28">
                  <c:v>0.84202816349355303</c:v>
                </c:pt>
                <c:pt idx="29">
                  <c:v>0.84479646872284542</c:v>
                </c:pt>
                <c:pt idx="30">
                  <c:v>0.84175524031029192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381376"/>
        <c:axId val="285346816"/>
      </c:lineChart>
      <c:catAx>
        <c:axId val="28534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5345280"/>
        <c:crosses val="autoZero"/>
        <c:auto val="1"/>
        <c:lblAlgn val="ctr"/>
        <c:lblOffset val="100"/>
        <c:noMultiLvlLbl val="0"/>
      </c:catAx>
      <c:valAx>
        <c:axId val="28534528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285343744"/>
        <c:crosses val="autoZero"/>
        <c:crossBetween val="between"/>
      </c:valAx>
      <c:valAx>
        <c:axId val="2853468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85381376"/>
        <c:crosses val="max"/>
        <c:crossBetween val="between"/>
      </c:valAx>
      <c:catAx>
        <c:axId val="28538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853468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D7">
            <v>98.21000000089407</v>
          </cell>
          <cell r="O7">
            <v>158.90000000001692</v>
          </cell>
          <cell r="P7">
            <v>2.3000000000465661</v>
          </cell>
          <cell r="Q7">
            <v>45</v>
          </cell>
          <cell r="R7">
            <v>3</v>
          </cell>
          <cell r="S7">
            <v>4939.7499999991824</v>
          </cell>
          <cell r="T7">
            <v>1970.649999999498</v>
          </cell>
          <cell r="U7">
            <v>2244.65</v>
          </cell>
          <cell r="BH7">
            <v>660</v>
          </cell>
          <cell r="BL7">
            <v>7950</v>
          </cell>
        </row>
        <row r="8">
          <cell r="O8">
            <v>496.39999999999418</v>
          </cell>
          <cell r="P8">
            <v>0</v>
          </cell>
          <cell r="Q8">
            <v>3975</v>
          </cell>
          <cell r="R8">
            <v>0</v>
          </cell>
          <cell r="S8">
            <v>14500.690000000443</v>
          </cell>
          <cell r="T8">
            <v>7117.0900000003276</v>
          </cell>
          <cell r="U8">
            <v>7288.7899999999536</v>
          </cell>
          <cell r="BH8">
            <v>1247</v>
          </cell>
          <cell r="BL8">
            <v>33490</v>
          </cell>
        </row>
        <row r="9">
          <cell r="O9">
            <v>870.29999999998608</v>
          </cell>
          <cell r="P9">
            <v>0</v>
          </cell>
          <cell r="Q9">
            <v>4497</v>
          </cell>
          <cell r="R9">
            <v>0</v>
          </cell>
          <cell r="S9">
            <v>15645.809999999941</v>
          </cell>
          <cell r="T9">
            <v>7690.1099999999051</v>
          </cell>
          <cell r="U9">
            <v>7371.510000000023</v>
          </cell>
          <cell r="BH9">
            <v>1352</v>
          </cell>
          <cell r="BL9">
            <v>25885.200000000001</v>
          </cell>
        </row>
        <row r="10">
          <cell r="O10">
            <v>662.00000000003456</v>
          </cell>
          <cell r="P10">
            <v>0</v>
          </cell>
          <cell r="Q10">
            <v>3069</v>
          </cell>
          <cell r="R10">
            <v>0</v>
          </cell>
          <cell r="S10">
            <v>14071.220000000765</v>
          </cell>
          <cell r="T10">
            <v>6160.219999999571</v>
          </cell>
          <cell r="U10">
            <v>5659.9200000000701</v>
          </cell>
          <cell r="BH10">
            <v>1249</v>
          </cell>
          <cell r="BL10">
            <v>21241.5</v>
          </cell>
        </row>
        <row r="11">
          <cell r="O11">
            <v>754.50000000000728</v>
          </cell>
          <cell r="P11">
            <v>0</v>
          </cell>
          <cell r="Q11">
            <v>3341</v>
          </cell>
          <cell r="R11">
            <v>0</v>
          </cell>
          <cell r="S11">
            <v>13835.739999999556</v>
          </cell>
          <cell r="T11">
            <v>7010.2400000005455</v>
          </cell>
          <cell r="U11">
            <v>6467.6399999999066</v>
          </cell>
          <cell r="BH11">
            <v>1231</v>
          </cell>
          <cell r="BL11">
            <v>24659.640000000003</v>
          </cell>
        </row>
        <row r="12">
          <cell r="O12">
            <v>861.89999999999145</v>
          </cell>
          <cell r="P12">
            <v>369</v>
          </cell>
          <cell r="Q12">
            <v>4105</v>
          </cell>
          <cell r="R12">
            <v>0</v>
          </cell>
          <cell r="S12">
            <v>15750.469999999572</v>
          </cell>
          <cell r="T12">
            <v>7883.3700000002036</v>
          </cell>
          <cell r="U12">
            <v>7107.87</v>
          </cell>
          <cell r="BH12">
            <v>1321</v>
          </cell>
          <cell r="BL12">
            <v>24944.399999999998</v>
          </cell>
        </row>
        <row r="13">
          <cell r="O13">
            <v>687.70000000000664</v>
          </cell>
          <cell r="P13">
            <v>2197.5999999999767</v>
          </cell>
          <cell r="Q13">
            <v>3740</v>
          </cell>
          <cell r="R13">
            <v>0</v>
          </cell>
          <cell r="S13">
            <v>16408.950000000939</v>
          </cell>
          <cell r="T13">
            <v>6111.6499999994539</v>
          </cell>
          <cell r="U13">
            <v>6846.3500000000695</v>
          </cell>
          <cell r="BH13">
            <v>1258</v>
          </cell>
          <cell r="BL13">
            <v>33600.6</v>
          </cell>
        </row>
        <row r="14">
          <cell r="O14">
            <v>674.09999999995307</v>
          </cell>
          <cell r="P14">
            <v>1739.5</v>
          </cell>
          <cell r="Q14">
            <v>4195</v>
          </cell>
          <cell r="R14">
            <v>358.89999999999418</v>
          </cell>
          <cell r="S14">
            <v>15138.030000000192</v>
          </cell>
          <cell r="T14">
            <v>4575.1300000000656</v>
          </cell>
          <cell r="U14">
            <v>5820.7299999999768</v>
          </cell>
          <cell r="BH14">
            <v>1273</v>
          </cell>
          <cell r="BL14">
            <v>25670.400000000052</v>
          </cell>
        </row>
        <row r="15">
          <cell r="O15">
            <v>564.00000000002137</v>
          </cell>
          <cell r="P15">
            <v>0</v>
          </cell>
          <cell r="Q15">
            <v>4264</v>
          </cell>
          <cell r="R15">
            <v>0</v>
          </cell>
          <cell r="S15">
            <v>15035.929999999687</v>
          </cell>
          <cell r="T15">
            <v>4809.9299999997456</v>
          </cell>
          <cell r="U15">
            <v>6179.93</v>
          </cell>
          <cell r="BH15">
            <v>1387</v>
          </cell>
          <cell r="BL15">
            <v>35550.199999999946</v>
          </cell>
        </row>
        <row r="16">
          <cell r="O16">
            <v>730.40000000003147</v>
          </cell>
          <cell r="P16">
            <v>0</v>
          </cell>
          <cell r="Q16">
            <v>3831</v>
          </cell>
          <cell r="R16">
            <v>0</v>
          </cell>
          <cell r="S16">
            <v>15108.270000000259</v>
          </cell>
          <cell r="T16">
            <v>6060.6700000000437</v>
          </cell>
          <cell r="U16">
            <v>6596.67</v>
          </cell>
          <cell r="BH16">
            <v>1322</v>
          </cell>
          <cell r="BL16">
            <v>29908.800000000028</v>
          </cell>
        </row>
        <row r="17">
          <cell r="O17">
            <v>847.99999999995634</v>
          </cell>
          <cell r="P17">
            <v>0</v>
          </cell>
          <cell r="Q17">
            <v>4112</v>
          </cell>
          <cell r="R17">
            <v>0</v>
          </cell>
          <cell r="S17">
            <v>15463.389999999825</v>
          </cell>
          <cell r="T17">
            <v>7852.3899999999494</v>
          </cell>
          <cell r="U17">
            <v>7220.39</v>
          </cell>
          <cell r="BH17">
            <v>1458</v>
          </cell>
          <cell r="BL17">
            <v>27253.446000000004</v>
          </cell>
        </row>
        <row r="18">
          <cell r="O18">
            <v>799.59999999999809</v>
          </cell>
          <cell r="P18">
            <v>0</v>
          </cell>
          <cell r="Q18">
            <v>3581</v>
          </cell>
          <cell r="R18">
            <v>0</v>
          </cell>
          <cell r="S18">
            <v>15155.939999999056</v>
          </cell>
          <cell r="T18">
            <v>7119.540000000633</v>
          </cell>
          <cell r="U18">
            <v>7031.54</v>
          </cell>
          <cell r="BH18">
            <v>1259</v>
          </cell>
          <cell r="BL18">
            <v>27162.701999999994</v>
          </cell>
        </row>
        <row r="19">
          <cell r="O19">
            <v>844.50000000003911</v>
          </cell>
          <cell r="P19">
            <v>0</v>
          </cell>
          <cell r="Q19">
            <v>4052</v>
          </cell>
          <cell r="R19">
            <v>0</v>
          </cell>
          <cell r="S19">
            <v>14816.970000000689</v>
          </cell>
          <cell r="T19">
            <v>6617.4699999999493</v>
          </cell>
          <cell r="U19">
            <v>6187.47</v>
          </cell>
          <cell r="BH19">
            <v>1347</v>
          </cell>
          <cell r="BL19">
            <v>24998.3</v>
          </cell>
        </row>
        <row r="20">
          <cell r="O20">
            <v>856.40000000000782</v>
          </cell>
          <cell r="P20">
            <v>0</v>
          </cell>
          <cell r="Q20">
            <v>4080</v>
          </cell>
          <cell r="R20">
            <v>0</v>
          </cell>
          <cell r="S20">
            <v>15709.80000000021</v>
          </cell>
          <cell r="T20">
            <v>6514.1999999996287</v>
          </cell>
          <cell r="U20">
            <v>6585.2</v>
          </cell>
          <cell r="BH20">
            <v>7360</v>
          </cell>
          <cell r="BL20">
            <v>30960.399999999972</v>
          </cell>
        </row>
        <row r="21">
          <cell r="O21">
            <v>750.79999999996971</v>
          </cell>
          <cell r="P21">
            <v>0</v>
          </cell>
          <cell r="Q21">
            <v>3429</v>
          </cell>
          <cell r="R21">
            <v>0</v>
          </cell>
          <cell r="S21">
            <v>16172.800000000538</v>
          </cell>
          <cell r="T21">
            <v>8431.6000000003205</v>
          </cell>
          <cell r="U21">
            <v>6854.6</v>
          </cell>
          <cell r="BH21">
            <v>25872</v>
          </cell>
          <cell r="BL21">
            <v>0</v>
          </cell>
        </row>
        <row r="22">
          <cell r="O22">
            <v>603.60000000002856</v>
          </cell>
          <cell r="P22">
            <v>0</v>
          </cell>
          <cell r="Q22">
            <v>3919</v>
          </cell>
          <cell r="R22">
            <v>0</v>
          </cell>
          <cell r="S22">
            <v>14531.599999998227</v>
          </cell>
          <cell r="T22">
            <v>6449.1999999994687</v>
          </cell>
          <cell r="U22">
            <v>5392.2</v>
          </cell>
          <cell r="BH22">
            <v>24647</v>
          </cell>
          <cell r="BL22">
            <v>0</v>
          </cell>
        </row>
        <row r="23">
          <cell r="O23">
            <v>640.69999999998117</v>
          </cell>
          <cell r="P23">
            <v>916.29999999993015</v>
          </cell>
          <cell r="Q23">
            <v>3513</v>
          </cell>
          <cell r="R23">
            <v>0</v>
          </cell>
          <cell r="S23">
            <v>14948.680000001328</v>
          </cell>
          <cell r="T23">
            <v>7614.3800000000365</v>
          </cell>
          <cell r="U23">
            <v>5914.38</v>
          </cell>
          <cell r="BH23">
            <v>17331</v>
          </cell>
          <cell r="BL23">
            <v>0</v>
          </cell>
        </row>
        <row r="24">
          <cell r="O24">
            <v>419.10000000001446</v>
          </cell>
          <cell r="P24">
            <v>1171.1000000000931</v>
          </cell>
          <cell r="Q24">
            <v>1827</v>
          </cell>
          <cell r="R24">
            <v>0</v>
          </cell>
          <cell r="S24">
            <v>9969.8900000004214</v>
          </cell>
          <cell r="T24">
            <v>4467.9900000001599</v>
          </cell>
          <cell r="U24">
            <v>3190.99</v>
          </cell>
          <cell r="BH24">
            <v>17305</v>
          </cell>
          <cell r="BL24">
            <v>0</v>
          </cell>
        </row>
        <row r="25">
          <cell r="O25">
            <v>629.1999999999689</v>
          </cell>
          <cell r="P25">
            <v>1806.6999999999534</v>
          </cell>
          <cell r="Q25">
            <v>3714</v>
          </cell>
          <cell r="R25">
            <v>0</v>
          </cell>
          <cell r="S25">
            <v>16244.089999999378</v>
          </cell>
          <cell r="T25">
            <v>8465.289999999899</v>
          </cell>
          <cell r="U25">
            <v>6645.29</v>
          </cell>
          <cell r="BH25">
            <v>19293</v>
          </cell>
          <cell r="BL25">
            <v>0</v>
          </cell>
        </row>
        <row r="26">
          <cell r="O26">
            <v>710.00000000003638</v>
          </cell>
          <cell r="P26">
            <v>1955.9000000000233</v>
          </cell>
          <cell r="Q26">
            <v>4408</v>
          </cell>
          <cell r="R26">
            <v>0</v>
          </cell>
          <cell r="S26">
            <v>14902.609999999018</v>
          </cell>
          <cell r="T26">
            <v>7693.6100000000943</v>
          </cell>
          <cell r="U26">
            <v>5573.61</v>
          </cell>
          <cell r="BH26">
            <v>22897</v>
          </cell>
          <cell r="BL26">
            <v>0</v>
          </cell>
        </row>
        <row r="27">
          <cell r="O27">
            <v>666.79999999996653</v>
          </cell>
          <cell r="P27">
            <v>1603.5999999999767</v>
          </cell>
          <cell r="Q27">
            <v>4342</v>
          </cell>
          <cell r="R27">
            <v>0</v>
          </cell>
          <cell r="S27">
            <v>15505.630000000398</v>
          </cell>
          <cell r="T27">
            <v>8573.430000000204</v>
          </cell>
          <cell r="U27">
            <v>6309.43</v>
          </cell>
          <cell r="BH27">
            <v>19372</v>
          </cell>
          <cell r="BL27">
            <v>0</v>
          </cell>
        </row>
        <row r="28">
          <cell r="O28">
            <v>641.50000000000773</v>
          </cell>
          <cell r="P28">
            <v>2031.9000000000233</v>
          </cell>
          <cell r="Q28">
            <v>4857</v>
          </cell>
          <cell r="R28">
            <v>0</v>
          </cell>
          <cell r="S28">
            <v>15717.239999999629</v>
          </cell>
          <cell r="T28">
            <v>7624.7400000001671</v>
          </cell>
          <cell r="U28">
            <v>5776.74</v>
          </cell>
          <cell r="BH28">
            <v>27589</v>
          </cell>
          <cell r="BL28">
            <v>0</v>
          </cell>
        </row>
        <row r="29">
          <cell r="O29">
            <v>774.80000000002747</v>
          </cell>
          <cell r="P29">
            <v>3796.5</v>
          </cell>
          <cell r="Q29">
            <v>3256</v>
          </cell>
          <cell r="R29">
            <v>0</v>
          </cell>
          <cell r="S29">
            <v>16187.170000000773</v>
          </cell>
          <cell r="T29">
            <v>6719.9699999997019</v>
          </cell>
          <cell r="U29">
            <v>5920.97</v>
          </cell>
          <cell r="BH29">
            <v>26268</v>
          </cell>
          <cell r="BL29">
            <v>0</v>
          </cell>
        </row>
        <row r="30">
          <cell r="O30">
            <v>676.89999999998918</v>
          </cell>
          <cell r="P30">
            <v>0</v>
          </cell>
          <cell r="Q30">
            <v>3217</v>
          </cell>
          <cell r="R30">
            <v>0</v>
          </cell>
          <cell r="S30">
            <v>15435.830000000011</v>
          </cell>
          <cell r="T30">
            <v>6170.7299999999923</v>
          </cell>
          <cell r="U30">
            <v>6747.73</v>
          </cell>
          <cell r="BH30">
            <v>28009</v>
          </cell>
          <cell r="BL30">
            <v>0</v>
          </cell>
        </row>
        <row r="31">
          <cell r="O31">
            <v>597.89999999998145</v>
          </cell>
          <cell r="P31">
            <v>677.19999999995343</v>
          </cell>
          <cell r="Q31">
            <v>3419</v>
          </cell>
          <cell r="R31">
            <v>0</v>
          </cell>
          <cell r="S31">
            <v>14727.419999999946</v>
          </cell>
          <cell r="T31">
            <v>5258.3199999999197</v>
          </cell>
          <cell r="U31">
            <v>6316.32</v>
          </cell>
          <cell r="BH31">
            <v>29470</v>
          </cell>
          <cell r="BL31">
            <v>0</v>
          </cell>
        </row>
        <row r="32">
          <cell r="O32">
            <v>688.89999999998963</v>
          </cell>
          <cell r="P32">
            <v>1187.4000000000233</v>
          </cell>
          <cell r="Q32">
            <v>4505</v>
          </cell>
          <cell r="R32">
            <v>0</v>
          </cell>
          <cell r="S32">
            <v>15261.209999999937</v>
          </cell>
          <cell r="T32">
            <v>5014.1100000002325</v>
          </cell>
          <cell r="U32">
            <v>6033.11</v>
          </cell>
          <cell r="BH32">
            <v>20119</v>
          </cell>
          <cell r="BL32">
            <v>0</v>
          </cell>
        </row>
        <row r="33">
          <cell r="O33">
            <v>571.70000000002119</v>
          </cell>
          <cell r="P33">
            <v>1079.3000000000466</v>
          </cell>
          <cell r="Q33">
            <v>1945</v>
          </cell>
          <cell r="R33">
            <v>0</v>
          </cell>
          <cell r="S33">
            <v>14462.21000000059</v>
          </cell>
          <cell r="T33">
            <v>4724.9099999995051</v>
          </cell>
          <cell r="U33">
            <v>6538.91</v>
          </cell>
          <cell r="BH33">
            <v>28867</v>
          </cell>
          <cell r="BL33">
            <v>0</v>
          </cell>
        </row>
        <row r="34">
          <cell r="O34">
            <v>634.19999999996435</v>
          </cell>
          <cell r="P34">
            <v>22.099999999976717</v>
          </cell>
          <cell r="Q34">
            <v>3399</v>
          </cell>
          <cell r="R34">
            <v>0</v>
          </cell>
          <cell r="S34">
            <v>14772.189999999642</v>
          </cell>
          <cell r="T34">
            <v>3109.3900000000367</v>
          </cell>
          <cell r="U34">
            <v>4932.3900000000003</v>
          </cell>
          <cell r="BH34">
            <v>29518</v>
          </cell>
          <cell r="BL34">
            <v>0</v>
          </cell>
        </row>
        <row r="35">
          <cell r="O35">
            <v>745.20000000001119</v>
          </cell>
          <cell r="P35">
            <v>4363.5999999999767</v>
          </cell>
          <cell r="Q35">
            <v>5160</v>
          </cell>
          <cell r="R35">
            <v>0</v>
          </cell>
          <cell r="S35">
            <v>17444.379999999845</v>
          </cell>
          <cell r="T35">
            <v>6313.5800000005602</v>
          </cell>
          <cell r="U35">
            <v>7408.58</v>
          </cell>
          <cell r="BH35">
            <v>22919</v>
          </cell>
          <cell r="BL35">
            <v>0</v>
          </cell>
        </row>
        <row r="36">
          <cell r="O36">
            <v>790.00000000002046</v>
          </cell>
          <cell r="P36">
            <v>2341.1999999999534</v>
          </cell>
          <cell r="Q36">
            <v>3844</v>
          </cell>
          <cell r="R36">
            <v>1.8999999999941792</v>
          </cell>
          <cell r="S36">
            <v>16505.300000000123</v>
          </cell>
          <cell r="T36">
            <v>6995.2999999999638</v>
          </cell>
          <cell r="U36">
            <v>7377.3</v>
          </cell>
          <cell r="BH36">
            <v>23842</v>
          </cell>
          <cell r="BL36">
            <v>0</v>
          </cell>
        </row>
        <row r="37">
          <cell r="O37">
            <v>673.99999999997817</v>
          </cell>
          <cell r="P37">
            <v>670.20000000006985</v>
          </cell>
          <cell r="Q37">
            <v>5097</v>
          </cell>
          <cell r="R37">
            <v>0</v>
          </cell>
          <cell r="S37">
            <v>16290.990000000314</v>
          </cell>
          <cell r="T37">
            <v>7883.9900000001599</v>
          </cell>
          <cell r="U37">
            <v>6874.99</v>
          </cell>
          <cell r="BH37">
            <v>21919</v>
          </cell>
          <cell r="BL37">
            <v>0</v>
          </cell>
        </row>
        <row r="38">
          <cell r="V38">
            <v>1016136.8000000005</v>
          </cell>
          <cell r="BH38">
            <v>428961</v>
          </cell>
          <cell r="BL38">
            <v>373275.58799999999</v>
          </cell>
        </row>
      </sheetData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K65536"/>
  <sheetViews>
    <sheetView zoomScaleNormal="100" workbookViewId="0">
      <pane xSplit="3" ySplit="8" topLeftCell="D30" activePane="bottomRight" state="frozen"/>
      <selection pane="topRight" activeCell="E1" sqref="E1"/>
      <selection pane="bottomLeft" activeCell="A9" sqref="A9"/>
      <selection pane="bottomRight" activeCell="K44" sqref="K44"/>
    </sheetView>
  </sheetViews>
  <sheetFormatPr defaultColWidth="9.140625" defaultRowHeight="12.75"/>
  <cols>
    <col min="1" max="1" width="7.42578125" style="286" bestFit="1" customWidth="1"/>
    <col min="2" max="2" width="12" style="285" bestFit="1" customWidth="1"/>
    <col min="3" max="3" width="12.28515625" style="285" bestFit="1" customWidth="1"/>
    <col min="4" max="5" width="8.42578125" style="285" customWidth="1"/>
    <col min="6" max="6" width="6.28515625" style="285" customWidth="1"/>
    <col min="7" max="7" width="8.28515625" style="285" customWidth="1"/>
    <col min="8" max="8" width="10.42578125" style="285" customWidth="1"/>
    <col min="9" max="9" width="12.28515625" style="285" customWidth="1"/>
    <col min="10" max="11" width="10.5703125" style="285" customWidth="1"/>
    <col min="12" max="12" width="10" style="287" bestFit="1" customWidth="1"/>
    <col min="13" max="15" width="9.42578125" style="288" customWidth="1"/>
    <col min="16" max="16" width="10.28515625" style="287" bestFit="1" customWidth="1"/>
    <col min="17" max="17" width="8.140625" style="288" customWidth="1"/>
    <col min="18" max="18" width="10.28515625" style="287" bestFit="1" customWidth="1"/>
    <col min="19" max="19" width="8.28515625" style="289" bestFit="1" customWidth="1"/>
    <col min="20" max="20" width="9" style="289" hidden="1" customWidth="1"/>
    <col min="21" max="21" width="7.28515625" style="289" hidden="1" customWidth="1"/>
    <col min="22" max="22" width="8.28515625" style="290" hidden="1" customWidth="1"/>
    <col min="23" max="23" width="7.28515625" style="291" hidden="1" customWidth="1"/>
    <col min="24" max="24" width="6.85546875" style="289" hidden="1" customWidth="1"/>
    <col min="25" max="25" width="6.28515625" style="289" hidden="1" customWidth="1"/>
    <col min="26" max="26" width="10" style="292" hidden="1" customWidth="1"/>
    <col min="27" max="27" width="7.140625" style="289" hidden="1" customWidth="1"/>
    <col min="28" max="28" width="11.140625" style="288" hidden="1" customWidth="1"/>
    <col min="29" max="29" width="10.140625" style="288" hidden="1" customWidth="1"/>
    <col min="30" max="30" width="7.5703125" style="288" hidden="1" customWidth="1"/>
    <col min="31" max="31" width="7.140625" style="288" hidden="1" customWidth="1"/>
    <col min="32" max="32" width="6.5703125" style="293" hidden="1" customWidth="1"/>
    <col min="33" max="33" width="6.85546875" style="291" hidden="1" customWidth="1"/>
    <col min="34" max="34" width="9.28515625" style="289" bestFit="1" customWidth="1"/>
    <col min="35" max="35" width="7.85546875" style="289" customWidth="1"/>
    <col min="36" max="36" width="8.7109375" style="292" bestFit="1" customWidth="1"/>
    <col min="37" max="37" width="6.85546875" style="292" bestFit="1" customWidth="1"/>
    <col min="38" max="38" width="8.140625" style="289" bestFit="1" customWidth="1"/>
    <col min="39" max="39" width="7.5703125" style="292" bestFit="1" customWidth="1"/>
    <col min="40" max="45" width="7.5703125" style="292" customWidth="1"/>
    <col min="46" max="47" width="10.7109375" style="289" bestFit="1" customWidth="1"/>
    <col min="48" max="51" width="7.5703125" style="292" customWidth="1"/>
    <col min="58" max="59" width="9.140625" style="97"/>
    <col min="60" max="60" width="8.7109375" style="287" customWidth="1"/>
    <col min="61" max="61" width="8.7109375" style="288" customWidth="1"/>
    <col min="62" max="63" width="8.7109375" style="285" customWidth="1"/>
  </cols>
  <sheetData>
    <row r="1" spans="1:63" ht="12.75" customHeight="1">
      <c r="A1" s="284"/>
    </row>
    <row r="2" spans="1:63">
      <c r="A2" s="284"/>
    </row>
    <row r="3" spans="1:63" ht="12.75" customHeight="1">
      <c r="A3" s="457" t="s">
        <v>196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7"/>
      <c r="AE3" s="457"/>
      <c r="AF3" s="457"/>
      <c r="AG3" s="457"/>
      <c r="AH3" s="457"/>
      <c r="AI3" s="457"/>
      <c r="AJ3" s="457"/>
      <c r="AK3" s="457"/>
      <c r="AL3" s="457"/>
      <c r="AM3" s="457"/>
      <c r="AN3" s="457"/>
      <c r="AO3" s="457"/>
      <c r="AP3" s="457"/>
      <c r="AQ3" s="457"/>
      <c r="AR3" s="457"/>
      <c r="AS3" s="457"/>
      <c r="AT3" s="457"/>
      <c r="AU3" s="457"/>
      <c r="AV3" s="457"/>
      <c r="AW3" s="457"/>
      <c r="AX3" s="457"/>
      <c r="AY3" s="457"/>
      <c r="AZ3" s="457"/>
      <c r="BA3" s="457"/>
      <c r="BB3" s="457"/>
      <c r="BC3" s="457"/>
      <c r="BH3"/>
      <c r="BI3"/>
      <c r="BJ3"/>
      <c r="BK3"/>
    </row>
    <row r="4" spans="1:63" ht="12.75" customHeight="1">
      <c r="A4" s="457"/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  <c r="AF4" s="457"/>
      <c r="AG4" s="457"/>
      <c r="AH4" s="457"/>
      <c r="AI4" s="457"/>
      <c r="AJ4" s="457"/>
      <c r="AK4" s="457"/>
      <c r="AL4" s="457"/>
      <c r="AM4" s="457"/>
      <c r="AN4" s="457"/>
      <c r="AO4" s="457"/>
      <c r="AP4" s="457"/>
      <c r="AQ4" s="457"/>
      <c r="AR4" s="457"/>
      <c r="AS4" s="457"/>
      <c r="AT4" s="457"/>
      <c r="AU4" s="457"/>
      <c r="AV4" s="457"/>
      <c r="AW4" s="457"/>
      <c r="AX4" s="457"/>
      <c r="AY4" s="457"/>
      <c r="AZ4" s="457"/>
      <c r="BA4" s="457"/>
      <c r="BB4" s="457"/>
      <c r="BC4" s="457"/>
      <c r="BH4"/>
      <c r="BI4"/>
      <c r="BJ4"/>
      <c r="BK4"/>
    </row>
    <row r="5" spans="1:63">
      <c r="BJ5" s="288"/>
      <c r="BK5" s="288"/>
    </row>
    <row r="6" spans="1:63" ht="22.7" customHeight="1">
      <c r="A6" s="607" t="s">
        <v>31</v>
      </c>
      <c r="B6" s="610" t="s">
        <v>5</v>
      </c>
      <c r="C6" s="610" t="s">
        <v>6</v>
      </c>
      <c r="D6" s="610" t="s">
        <v>189</v>
      </c>
      <c r="E6" s="610" t="s">
        <v>190</v>
      </c>
      <c r="F6" s="610" t="s">
        <v>191</v>
      </c>
      <c r="G6" s="610" t="s">
        <v>197</v>
      </c>
      <c r="H6" s="610" t="s">
        <v>192</v>
      </c>
      <c r="I6" s="610" t="s">
        <v>193</v>
      </c>
      <c r="J6" s="611" t="s">
        <v>194</v>
      </c>
      <c r="K6" s="612"/>
      <c r="L6" s="606" t="s">
        <v>195</v>
      </c>
      <c r="M6" s="606"/>
      <c r="N6" s="606" t="s">
        <v>198</v>
      </c>
      <c r="O6" s="606"/>
      <c r="P6" s="619" t="s">
        <v>32</v>
      </c>
      <c r="Q6" s="619"/>
      <c r="R6" s="617" t="s">
        <v>24</v>
      </c>
      <c r="S6" s="617"/>
      <c r="T6" s="617" t="s">
        <v>33</v>
      </c>
      <c r="U6" s="617"/>
      <c r="V6" s="617" t="s">
        <v>34</v>
      </c>
      <c r="W6" s="617"/>
      <c r="X6" s="617" t="s">
        <v>35</v>
      </c>
      <c r="Y6" s="617"/>
      <c r="Z6" s="617"/>
      <c r="AA6" s="617"/>
      <c r="AB6" s="617" t="s">
        <v>36</v>
      </c>
      <c r="AC6" s="617"/>
      <c r="AD6" s="617"/>
      <c r="AE6" s="617"/>
      <c r="AF6" s="617"/>
      <c r="AG6" s="617"/>
      <c r="AH6" s="617" t="s">
        <v>37</v>
      </c>
      <c r="AI6" s="617"/>
      <c r="AJ6" s="617"/>
      <c r="AK6" s="617"/>
      <c r="AL6" s="617"/>
      <c r="AM6" s="617"/>
      <c r="AN6" s="617" t="s">
        <v>188</v>
      </c>
      <c r="AO6" s="617"/>
      <c r="AP6" s="617"/>
      <c r="AQ6" s="617"/>
      <c r="AR6" s="617"/>
      <c r="AS6" s="617"/>
      <c r="AT6" s="617" t="s">
        <v>38</v>
      </c>
      <c r="AU6" s="617"/>
      <c r="AV6" s="617"/>
      <c r="AW6" s="617"/>
      <c r="AX6" s="617"/>
      <c r="AY6" s="617"/>
      <c r="AZ6" s="617" t="s">
        <v>187</v>
      </c>
      <c r="BA6" s="617"/>
      <c r="BB6" s="617"/>
      <c r="BC6" s="617"/>
      <c r="BD6" s="617"/>
      <c r="BE6" s="617"/>
      <c r="BF6" s="615" t="s">
        <v>302</v>
      </c>
      <c r="BG6" s="616"/>
      <c r="BH6" s="606" t="s">
        <v>370</v>
      </c>
      <c r="BI6" s="606"/>
      <c r="BJ6" s="611" t="s">
        <v>371</v>
      </c>
      <c r="BK6" s="612"/>
    </row>
    <row r="7" spans="1:63" ht="22.7" customHeight="1">
      <c r="A7" s="608"/>
      <c r="B7" s="610"/>
      <c r="C7" s="610"/>
      <c r="D7" s="610"/>
      <c r="E7" s="610"/>
      <c r="F7" s="610"/>
      <c r="G7" s="610"/>
      <c r="H7" s="610"/>
      <c r="I7" s="610"/>
      <c r="J7" s="613"/>
      <c r="K7" s="614"/>
      <c r="L7" s="606"/>
      <c r="M7" s="606"/>
      <c r="N7" s="606"/>
      <c r="O7" s="606"/>
      <c r="P7" s="619"/>
      <c r="Q7" s="619"/>
      <c r="R7" s="617"/>
      <c r="S7" s="617"/>
      <c r="T7" s="617"/>
      <c r="U7" s="617"/>
      <c r="V7" s="617"/>
      <c r="W7" s="617"/>
      <c r="X7" s="617" t="s">
        <v>41</v>
      </c>
      <c r="Y7" s="617"/>
      <c r="Z7" s="617" t="s">
        <v>40</v>
      </c>
      <c r="AA7" s="617"/>
      <c r="AB7" s="617" t="s">
        <v>41</v>
      </c>
      <c r="AC7" s="617"/>
      <c r="AD7" s="617" t="s">
        <v>39</v>
      </c>
      <c r="AE7" s="617"/>
      <c r="AF7" s="617" t="s">
        <v>40</v>
      </c>
      <c r="AG7" s="617"/>
      <c r="AH7" s="617" t="s">
        <v>41</v>
      </c>
      <c r="AI7" s="617"/>
      <c r="AJ7" s="618" t="s">
        <v>39</v>
      </c>
      <c r="AK7" s="618"/>
      <c r="AL7" s="617" t="s">
        <v>40</v>
      </c>
      <c r="AM7" s="617"/>
      <c r="AN7" s="617" t="s">
        <v>41</v>
      </c>
      <c r="AO7" s="617"/>
      <c r="AP7" s="618" t="s">
        <v>39</v>
      </c>
      <c r="AQ7" s="618"/>
      <c r="AR7" s="617" t="s">
        <v>40</v>
      </c>
      <c r="AS7" s="617"/>
      <c r="AT7" s="617" t="s">
        <v>41</v>
      </c>
      <c r="AU7" s="617"/>
      <c r="AV7" s="617" t="s">
        <v>27</v>
      </c>
      <c r="AW7" s="617"/>
      <c r="AX7" s="617" t="s">
        <v>28</v>
      </c>
      <c r="AY7" s="617"/>
      <c r="AZ7" s="617" t="s">
        <v>41</v>
      </c>
      <c r="BA7" s="617"/>
      <c r="BB7" s="617" t="s">
        <v>27</v>
      </c>
      <c r="BC7" s="617"/>
      <c r="BD7" s="617" t="s">
        <v>28</v>
      </c>
      <c r="BE7" s="617"/>
      <c r="BF7" s="522" t="s">
        <v>300</v>
      </c>
      <c r="BG7" s="522" t="s">
        <v>301</v>
      </c>
      <c r="BH7" s="606"/>
      <c r="BI7" s="606"/>
      <c r="BJ7" s="613"/>
      <c r="BK7" s="614"/>
    </row>
    <row r="8" spans="1:63" s="1" customFormat="1">
      <c r="A8" s="609"/>
      <c r="B8" s="610"/>
      <c r="C8" s="610"/>
      <c r="D8" s="610"/>
      <c r="E8" s="610"/>
      <c r="F8" s="610"/>
      <c r="G8" s="610"/>
      <c r="H8" s="610"/>
      <c r="I8" s="610"/>
      <c r="J8" s="463" t="s">
        <v>42</v>
      </c>
      <c r="K8" s="461" t="s">
        <v>43</v>
      </c>
      <c r="L8" s="294" t="s">
        <v>42</v>
      </c>
      <c r="M8" s="295" t="s">
        <v>43</v>
      </c>
      <c r="N8" s="294" t="s">
        <v>42</v>
      </c>
      <c r="O8" s="295" t="s">
        <v>43</v>
      </c>
      <c r="P8" s="294" t="s">
        <v>42</v>
      </c>
      <c r="Q8" s="295" t="s">
        <v>43</v>
      </c>
      <c r="R8" s="294" t="s">
        <v>42</v>
      </c>
      <c r="S8" s="296" t="s">
        <v>43</v>
      </c>
      <c r="T8" s="297" t="s">
        <v>42</v>
      </c>
      <c r="U8" s="296" t="s">
        <v>43</v>
      </c>
      <c r="V8" s="298" t="s">
        <v>42</v>
      </c>
      <c r="W8" s="295" t="s">
        <v>43</v>
      </c>
      <c r="X8" s="297" t="s">
        <v>42</v>
      </c>
      <c r="Y8" s="296" t="s">
        <v>43</v>
      </c>
      <c r="Z8" s="299" t="s">
        <v>42</v>
      </c>
      <c r="AA8" s="296" t="s">
        <v>43</v>
      </c>
      <c r="AB8" s="300" t="s">
        <v>42</v>
      </c>
      <c r="AC8" s="295" t="s">
        <v>43</v>
      </c>
      <c r="AD8" s="301" t="s">
        <v>42</v>
      </c>
      <c r="AE8" s="295" t="s">
        <v>43</v>
      </c>
      <c r="AF8" s="301" t="s">
        <v>42</v>
      </c>
      <c r="AG8" s="295" t="s">
        <v>43</v>
      </c>
      <c r="AH8" s="297" t="s">
        <v>42</v>
      </c>
      <c r="AI8" s="296" t="s">
        <v>43</v>
      </c>
      <c r="AJ8" s="299" t="s">
        <v>42</v>
      </c>
      <c r="AK8" s="302" t="s">
        <v>43</v>
      </c>
      <c r="AL8" s="297" t="s">
        <v>42</v>
      </c>
      <c r="AM8" s="302" t="s">
        <v>43</v>
      </c>
      <c r="AN8" s="297" t="s">
        <v>42</v>
      </c>
      <c r="AO8" s="296" t="s">
        <v>43</v>
      </c>
      <c r="AP8" s="299" t="s">
        <v>42</v>
      </c>
      <c r="AQ8" s="302" t="s">
        <v>43</v>
      </c>
      <c r="AR8" s="297" t="s">
        <v>42</v>
      </c>
      <c r="AS8" s="302" t="s">
        <v>43</v>
      </c>
      <c r="AT8" s="297" t="s">
        <v>42</v>
      </c>
      <c r="AU8" s="296" t="s">
        <v>43</v>
      </c>
      <c r="AV8" s="299" t="s">
        <v>42</v>
      </c>
      <c r="AW8" s="302" t="s">
        <v>43</v>
      </c>
      <c r="AX8" s="299" t="s">
        <v>42</v>
      </c>
      <c r="AY8" s="302" t="s">
        <v>43</v>
      </c>
      <c r="AZ8" s="297" t="s">
        <v>42</v>
      </c>
      <c r="BA8" s="296" t="s">
        <v>43</v>
      </c>
      <c r="BB8" s="299" t="s">
        <v>42</v>
      </c>
      <c r="BC8" s="302" t="s">
        <v>43</v>
      </c>
      <c r="BD8" s="299" t="s">
        <v>42</v>
      </c>
      <c r="BE8" s="302" t="s">
        <v>43</v>
      </c>
      <c r="BF8" s="524"/>
      <c r="BG8" s="524"/>
      <c r="BH8" s="294" t="s">
        <v>42</v>
      </c>
      <c r="BI8" s="295" t="s">
        <v>43</v>
      </c>
      <c r="BJ8" s="463" t="s">
        <v>42</v>
      </c>
      <c r="BK8" s="461" t="s">
        <v>43</v>
      </c>
    </row>
    <row r="9" spans="1:63">
      <c r="A9" s="18">
        <v>45931</v>
      </c>
      <c r="B9" s="446" t="s">
        <v>8</v>
      </c>
      <c r="C9" s="447" t="s">
        <v>433</v>
      </c>
      <c r="D9" s="449">
        <f>+'1'!F42</f>
        <v>0</v>
      </c>
      <c r="E9" s="449">
        <f>+'1'!G42</f>
        <v>0</v>
      </c>
      <c r="F9" s="51" t="e">
        <f t="shared" ref="F9:F39" si="0">1-(E9/D9)</f>
        <v>#DIV/0!</v>
      </c>
      <c r="G9" s="453">
        <f>+P9/N9</f>
        <v>0</v>
      </c>
      <c r="H9" s="452">
        <f>+P9/L9</f>
        <v>0</v>
      </c>
      <c r="I9" s="452" t="e">
        <f>+R9/P9</f>
        <v>#DIV/0!</v>
      </c>
      <c r="J9" s="455">
        <f>+R9/L9</f>
        <v>0</v>
      </c>
      <c r="K9" s="455">
        <f>+S9/M9</f>
        <v>0</v>
      </c>
      <c r="L9" s="308">
        <f>+SUM(Efficiency1!K6:K8)</f>
        <v>69.693972479999985</v>
      </c>
      <c r="M9" s="303">
        <f>L9</f>
        <v>69.693972479999985</v>
      </c>
      <c r="N9" s="308">
        <f>+SUM(Efficiency1!C6:C8)</f>
        <v>69.693972479999985</v>
      </c>
      <c r="O9" s="303">
        <f>N9</f>
        <v>69.693972479999985</v>
      </c>
      <c r="P9" s="304">
        <f>'1'!I38</f>
        <v>0</v>
      </c>
      <c r="Q9" s="303">
        <f>P9</f>
        <v>0</v>
      </c>
      <c r="R9" s="16">
        <f>'1'!I40</f>
        <v>0</v>
      </c>
      <c r="S9" s="305">
        <f>R9</f>
        <v>0</v>
      </c>
      <c r="T9" s="8" t="e">
        <f t="shared" ref="T9:T38" si="1">R9/P9</f>
        <v>#DIV/0!</v>
      </c>
      <c r="U9" s="8" t="e">
        <f t="shared" ref="U9:U38" si="2">S9/Q9</f>
        <v>#DIV/0!</v>
      </c>
      <c r="V9" s="306">
        <f t="shared" ref="V9:V38" si="3">R9/L9</f>
        <v>0</v>
      </c>
      <c r="W9" s="307">
        <f t="shared" ref="W9:W38" si="4">S9/M9</f>
        <v>0</v>
      </c>
      <c r="X9" s="305"/>
      <c r="Y9" s="305"/>
      <c r="Z9" s="7"/>
      <c r="AA9" s="305"/>
      <c r="AB9" s="100">
        <v>0</v>
      </c>
      <c r="AC9" s="303">
        <f>AB9</f>
        <v>0</v>
      </c>
      <c r="AD9" s="303" t="e">
        <f t="shared" ref="AD9:AD39" si="5">AB9/P9</f>
        <v>#DIV/0!</v>
      </c>
      <c r="AE9" s="303" t="e">
        <f t="shared" ref="AE9:AE39" si="6">AC9/Q9</f>
        <v>#DIV/0!</v>
      </c>
      <c r="AF9" s="309">
        <f t="shared" ref="AF9:AF39" si="7">IF(AND(R9&gt;0,AB9&gt;0),(AB9/(R9*1000))*1000,0)</f>
        <v>0</v>
      </c>
      <c r="AG9" s="303">
        <f t="shared" ref="AG9:AG39" si="8">IF(AND(S9&gt;0,AC9&gt;0),AC9/S9,0)</f>
        <v>0</v>
      </c>
      <c r="AH9" s="560">
        <f t="shared" ref="AH9:AH39" si="9">+BF9+BG9</f>
        <v>2.169</v>
      </c>
      <c r="AI9" s="310">
        <f>AH9</f>
        <v>2.169</v>
      </c>
      <c r="AJ9" s="311" t="e">
        <f t="shared" ref="AJ9:AJ39" si="10">AH9/(P9)</f>
        <v>#DIV/0!</v>
      </c>
      <c r="AK9" s="311" t="e">
        <f t="shared" ref="AK9:AK39" si="11">AI9/(Q9)</f>
        <v>#DIV/0!</v>
      </c>
      <c r="AL9" s="308">
        <f t="shared" ref="AL9:AL39" si="12">IF(AND(R9&gt;0,AH9&gt;0),AH9/(R9),0)</f>
        <v>0</v>
      </c>
      <c r="AM9" s="311">
        <f t="shared" ref="AM9:AM39" si="13">IF(AND(S9&gt;0,AI9&gt;0),AI9/(S9),0)</f>
        <v>0</v>
      </c>
      <c r="AN9" s="100">
        <v>0</v>
      </c>
      <c r="AO9" s="310">
        <f>AN9</f>
        <v>0</v>
      </c>
      <c r="AP9" s="311" t="e">
        <f>AN9/(P9)</f>
        <v>#DIV/0!</v>
      </c>
      <c r="AQ9" s="311" t="e">
        <f>AO9/(Q9)</f>
        <v>#DIV/0!</v>
      </c>
      <c r="AR9" s="308">
        <f>IF(AND(R9&gt;0,AN9&gt;0),AN9/(R9),0)</f>
        <v>0</v>
      </c>
      <c r="AS9" s="311">
        <f>IF(AND(S9&gt;0,AO9&gt;0),AO9/(S9),0)</f>
        <v>0</v>
      </c>
      <c r="AT9" s="310">
        <f>'1'!I46</f>
        <v>9364.2499999987431</v>
      </c>
      <c r="AU9" s="310">
        <f>AT9</f>
        <v>9364.2499999987431</v>
      </c>
      <c r="AV9" s="311" t="e">
        <f t="shared" ref="AV9:AV39" si="14">IF(AND(L9&gt;0,AT9&gt;0),(AT9/(P9*1000)*1000),0)</f>
        <v>#DIV/0!</v>
      </c>
      <c r="AW9" s="311" t="e">
        <f t="shared" ref="AW9:AW39" si="15">IF(AND(M9&gt;0,AU9&gt;0),(AU9/(Q9*1000)*1000),0)</f>
        <v>#DIV/0!</v>
      </c>
      <c r="AX9" s="311">
        <f t="shared" ref="AX9:AX39" si="16">IF(AND(R9&gt;0,AT9&gt;0),(AT9/(R9*1000)*1000),0)</f>
        <v>0</v>
      </c>
      <c r="AY9" s="311">
        <f t="shared" ref="AY9:AY39" si="17">IF(AND(S9&gt;0,AU9&gt;0),(AU9/(S9*1000)*1000),0)</f>
        <v>0</v>
      </c>
      <c r="AZ9" s="310">
        <f>+Listrik!AH8</f>
        <v>8610</v>
      </c>
      <c r="BA9" s="310">
        <f>AZ9</f>
        <v>8610</v>
      </c>
      <c r="BB9" s="311" t="e">
        <f t="shared" ref="BB9:BB39" si="18">IF(AND(L9&gt;0,AZ9&gt;0),(AZ9/(P9*1000)*1000),0)</f>
        <v>#DIV/0!</v>
      </c>
      <c r="BC9" s="311" t="e">
        <f>IF(AND(M9&gt;0,BA9&gt;0),(BA9/(Q9*1000)*1000),0)</f>
        <v>#DIV/0!</v>
      </c>
      <c r="BD9" s="311">
        <f t="shared" ref="BD9:BD39" si="19">IF(AND(R9&gt;0,AZ9&gt;0),(AZ9/(R9*1000)*1000),0)</f>
        <v>0</v>
      </c>
      <c r="BE9" s="311">
        <f t="shared" ref="BE9:BE39" si="20">IF(AND(S9&gt;0,BA9&gt;0),(BA9/(S9*1000)*1000),0)</f>
        <v>0</v>
      </c>
      <c r="BF9" s="524">
        <f>0.023</f>
        <v>2.3E-2</v>
      </c>
      <c r="BG9" s="525">
        <v>2.1459999999999999</v>
      </c>
      <c r="BH9" s="548">
        <f>+SUM(Efficiency2!K6:K8)</f>
        <v>0</v>
      </c>
      <c r="BI9" s="549">
        <f>BH9</f>
        <v>0</v>
      </c>
      <c r="BJ9" s="550" t="e">
        <f>+R9/BH9</f>
        <v>#DIV/0!</v>
      </c>
      <c r="BK9" s="550" t="e">
        <f>+S9/BI9</f>
        <v>#DIV/0!</v>
      </c>
    </row>
    <row r="10" spans="1:63">
      <c r="A10" s="18">
        <f t="shared" ref="A10:A38" si="21">A9+1</f>
        <v>45932</v>
      </c>
      <c r="B10" s="446" t="s">
        <v>8</v>
      </c>
      <c r="C10" s="447" t="s">
        <v>468</v>
      </c>
      <c r="D10" s="449">
        <f>+'2'!F42</f>
        <v>812.29059829059827</v>
      </c>
      <c r="E10" s="449">
        <f>+'2'!G42</f>
        <v>698.56991452991451</v>
      </c>
      <c r="F10" s="51">
        <f t="shared" si="0"/>
        <v>0.14000000000000001</v>
      </c>
      <c r="G10" s="453">
        <f t="shared" ref="G10:G41" si="22">+P10/N10</f>
        <v>0.78061971220660631</v>
      </c>
      <c r="H10" s="452">
        <f t="shared" ref="H10:H39" si="23">+P10/L10</f>
        <v>0.76396391935631214</v>
      </c>
      <c r="I10" s="452">
        <f t="shared" ref="I10:I41" si="24">+R10/P10</f>
        <v>0.83387906056394434</v>
      </c>
      <c r="J10" s="455">
        <f t="shared" ref="J10:J41" si="25">+R10/L10</f>
        <v>0.63705351537759047</v>
      </c>
      <c r="K10" s="455">
        <f t="shared" ref="K10:K40" si="26">+S10/M10</f>
        <v>0.28260253000851043</v>
      </c>
      <c r="L10" s="308">
        <f>+Efficiency1!K11</f>
        <v>55.566760319999993</v>
      </c>
      <c r="M10" s="14">
        <f t="shared" ref="M10:O38" si="27">M9+L10</f>
        <v>125.26073279999997</v>
      </c>
      <c r="N10" s="308">
        <f>+Efficiency1!C11</f>
        <v>54.381152994461544</v>
      </c>
      <c r="O10" s="14">
        <f t="shared" si="27"/>
        <v>124.07512547446153</v>
      </c>
      <c r="P10" s="304">
        <f>'2'!I38</f>
        <v>42.451000000000001</v>
      </c>
      <c r="Q10" s="14">
        <f t="shared" ref="Q10:Q38" si="28">Q9+P10</f>
        <v>42.451000000000001</v>
      </c>
      <c r="R10" s="16">
        <f>'2'!I40</f>
        <v>35.399000000000001</v>
      </c>
      <c r="S10" s="305">
        <f t="shared" ref="S10:S38" si="29">S9+R10</f>
        <v>35.399000000000001</v>
      </c>
      <c r="T10" s="8">
        <f t="shared" si="1"/>
        <v>0.83387906056394434</v>
      </c>
      <c r="U10" s="8">
        <f t="shared" si="2"/>
        <v>0.83387906056394434</v>
      </c>
      <c r="V10" s="306">
        <f t="shared" si="3"/>
        <v>0.63705351537759047</v>
      </c>
      <c r="W10" s="307">
        <f t="shared" si="4"/>
        <v>0.28260253000851043</v>
      </c>
      <c r="X10" s="305"/>
      <c r="Y10" s="305"/>
      <c r="Z10" s="7"/>
      <c r="AA10" s="305"/>
      <c r="AB10" s="100">
        <v>0</v>
      </c>
      <c r="AC10" s="14">
        <f t="shared" ref="AC10:AC38" si="30">AB10+AC9</f>
        <v>0</v>
      </c>
      <c r="AD10" s="303">
        <f t="shared" si="5"/>
        <v>0</v>
      </c>
      <c r="AE10" s="303">
        <f t="shared" si="6"/>
        <v>0</v>
      </c>
      <c r="AF10" s="309">
        <f t="shared" si="7"/>
        <v>0</v>
      </c>
      <c r="AG10" s="303">
        <f t="shared" si="8"/>
        <v>0</v>
      </c>
      <c r="AH10" s="560">
        <f t="shared" si="9"/>
        <v>146.95399999999998</v>
      </c>
      <c r="AI10" s="305">
        <f t="shared" ref="AI10:AI38" si="31">AH10+AI9</f>
        <v>149.12299999999999</v>
      </c>
      <c r="AJ10" s="311">
        <f t="shared" si="10"/>
        <v>3.4617323502390986</v>
      </c>
      <c r="AK10" s="311">
        <f t="shared" si="11"/>
        <v>3.51282655296695</v>
      </c>
      <c r="AL10" s="308">
        <f t="shared" si="12"/>
        <v>4.1513602079154772</v>
      </c>
      <c r="AM10" s="311">
        <f t="shared" si="13"/>
        <v>4.2126331252295257</v>
      </c>
      <c r="AN10" s="100">
        <v>15.2</v>
      </c>
      <c r="AO10" s="305">
        <f t="shared" ref="AO10:AO38" si="32">AN10+AO9</f>
        <v>15.2</v>
      </c>
      <c r="AP10" s="311">
        <f t="shared" ref="AP10:AP39" si="33">AN10/(P10)</f>
        <v>0.35805988080375017</v>
      </c>
      <c r="AQ10" s="311">
        <f t="shared" ref="AQ10:AQ39" si="34">AO10/(Q10)</f>
        <v>0.35805988080375017</v>
      </c>
      <c r="AR10" s="308">
        <f t="shared" ref="AR10:AR39" si="35">IF(AND(R10&gt;0,AN10&gt;0),AN10/(R10),0)</f>
        <v>0.42939066075312859</v>
      </c>
      <c r="AS10" s="311">
        <f t="shared" ref="AS10:AS39" si="36">IF(AND(S10&gt;0,AO10&gt;0),AO10/(S10),0)</f>
        <v>0.42939066075312859</v>
      </c>
      <c r="AT10" s="310">
        <f>'2'!I46</f>
        <v>33377.970000000714</v>
      </c>
      <c r="AU10" s="305">
        <f t="shared" ref="AU10:AU38" si="37">AT10+AU9</f>
        <v>42742.219999999455</v>
      </c>
      <c r="AV10" s="311">
        <f t="shared" si="14"/>
        <v>786.2705236625925</v>
      </c>
      <c r="AW10" s="311">
        <f t="shared" si="15"/>
        <v>1006.8601446373337</v>
      </c>
      <c r="AX10" s="311">
        <f t="shared" si="16"/>
        <v>942.90714426963234</v>
      </c>
      <c r="AY10" s="311">
        <f t="shared" si="17"/>
        <v>1207.4414531483785</v>
      </c>
      <c r="AZ10" s="310">
        <f>+Listrik!AH9</f>
        <v>34737</v>
      </c>
      <c r="BA10" s="305">
        <f t="shared" ref="BA10:BA38" si="38">AZ10+BA9</f>
        <v>43347</v>
      </c>
      <c r="BB10" s="311">
        <f t="shared" si="18"/>
        <v>818.28461049209682</v>
      </c>
      <c r="BC10" s="311">
        <f t="shared" ref="BC10:BC39" si="39">IF(AND(M10&gt;0,BA10&gt;0),(BA10/(Q10*1000)*1000),0)</f>
        <v>1021.1066877105368</v>
      </c>
      <c r="BD10" s="311">
        <f t="shared" si="19"/>
        <v>981.29890674877822</v>
      </c>
      <c r="BE10" s="311">
        <f t="shared" si="20"/>
        <v>1224.526116556965</v>
      </c>
      <c r="BF10" s="570">
        <f>3.409</f>
        <v>3.4089999999999998</v>
      </c>
      <c r="BG10" s="525">
        <v>143.54499999999999</v>
      </c>
      <c r="BH10" s="548">
        <f>+Efficiency2!K11</f>
        <v>46.305633599999993</v>
      </c>
      <c r="BI10" s="549">
        <f t="shared" ref="BI10:BI38" si="40">BI9+BH10</f>
        <v>46.305633599999993</v>
      </c>
      <c r="BJ10" s="550">
        <f t="shared" ref="BJ10:BJ41" si="41">+R10/BH10</f>
        <v>0.76446421845310863</v>
      </c>
      <c r="BK10" s="550">
        <f t="shared" ref="BK10:BK39" si="42">+S10/BI10</f>
        <v>0.76446421845310863</v>
      </c>
    </row>
    <row r="11" spans="1:63">
      <c r="A11" s="18">
        <f t="shared" si="21"/>
        <v>45933</v>
      </c>
      <c r="B11" s="446" t="s">
        <v>8</v>
      </c>
      <c r="C11" s="447" t="s">
        <v>464</v>
      </c>
      <c r="D11" s="449">
        <f>+'3'!F42</f>
        <v>830</v>
      </c>
      <c r="E11" s="449">
        <f>+'3'!G42</f>
        <v>713.8</v>
      </c>
      <c r="F11" s="51">
        <f t="shared" si="0"/>
        <v>0.14000000000000001</v>
      </c>
      <c r="G11" s="453">
        <f t="shared" si="22"/>
        <v>0.94700658548487682</v>
      </c>
      <c r="H11" s="452">
        <f t="shared" si="23"/>
        <v>0.94700658548487682</v>
      </c>
      <c r="I11" s="452">
        <f t="shared" si="24"/>
        <v>0.94632788523303124</v>
      </c>
      <c r="J11" s="455">
        <f t="shared" si="25"/>
        <v>0.89617873934365733</v>
      </c>
      <c r="K11" s="455">
        <f t="shared" si="26"/>
        <v>0.47947610364694826</v>
      </c>
      <c r="L11" s="308">
        <f>+SUM(Efficiency1!K16:K17)</f>
        <v>59.180158680000005</v>
      </c>
      <c r="M11" s="14">
        <f t="shared" si="27"/>
        <v>184.44089147999998</v>
      </c>
      <c r="N11" s="308">
        <f>+SUM(Efficiency1!C16:C17)</f>
        <v>59.180158680000005</v>
      </c>
      <c r="O11" s="14">
        <f t="shared" si="27"/>
        <v>183.25528415446155</v>
      </c>
      <c r="P11" s="304">
        <f>'3'!I38</f>
        <v>56.043999999999997</v>
      </c>
      <c r="Q11" s="14">
        <f t="shared" si="28"/>
        <v>98.495000000000005</v>
      </c>
      <c r="R11" s="16">
        <f>'3'!I40</f>
        <v>53.036000000000001</v>
      </c>
      <c r="S11" s="305">
        <f t="shared" si="29"/>
        <v>88.435000000000002</v>
      </c>
      <c r="T11" s="8">
        <f t="shared" si="1"/>
        <v>0.94632788523303124</v>
      </c>
      <c r="U11" s="8">
        <f t="shared" si="2"/>
        <v>0.89786283567693792</v>
      </c>
      <c r="V11" s="306">
        <f t="shared" si="3"/>
        <v>0.89617873934365733</v>
      </c>
      <c r="W11" s="307">
        <f t="shared" si="4"/>
        <v>0.47947610364694826</v>
      </c>
      <c r="X11" s="305"/>
      <c r="Y11" s="305"/>
      <c r="Z11" s="7"/>
      <c r="AA11" s="305"/>
      <c r="AB11" s="100">
        <v>0</v>
      </c>
      <c r="AC11" s="14">
        <f t="shared" si="30"/>
        <v>0</v>
      </c>
      <c r="AD11" s="303">
        <f t="shared" si="5"/>
        <v>0</v>
      </c>
      <c r="AE11" s="303">
        <f t="shared" si="6"/>
        <v>0</v>
      </c>
      <c r="AF11" s="309">
        <f t="shared" si="7"/>
        <v>0</v>
      </c>
      <c r="AG11" s="303">
        <f t="shared" si="8"/>
        <v>0</v>
      </c>
      <c r="AH11" s="560">
        <f t="shared" si="9"/>
        <v>135.52799999999999</v>
      </c>
      <c r="AI11" s="305">
        <f t="shared" si="31"/>
        <v>284.65099999999995</v>
      </c>
      <c r="AJ11" s="311">
        <f t="shared" si="10"/>
        <v>2.4182428092213262</v>
      </c>
      <c r="AK11" s="311">
        <f t="shared" si="11"/>
        <v>2.890004568759835</v>
      </c>
      <c r="AL11" s="308">
        <f t="shared" si="12"/>
        <v>2.5553963345652009</v>
      </c>
      <c r="AM11" s="311">
        <f t="shared" si="13"/>
        <v>3.2187595409057494</v>
      </c>
      <c r="AN11" s="100">
        <v>10.1</v>
      </c>
      <c r="AO11" s="305">
        <f t="shared" si="32"/>
        <v>25.299999999999997</v>
      </c>
      <c r="AP11" s="311">
        <f t="shared" si="33"/>
        <v>0.18021554492898437</v>
      </c>
      <c r="AQ11" s="311">
        <f t="shared" si="34"/>
        <v>0.25686583075283004</v>
      </c>
      <c r="AR11" s="308">
        <f t="shared" si="35"/>
        <v>0.19043668451617768</v>
      </c>
      <c r="AS11" s="311">
        <f t="shared" si="36"/>
        <v>0.28608582574772429</v>
      </c>
      <c r="AT11" s="310">
        <f>'3'!I46</f>
        <v>36074.729999999858</v>
      </c>
      <c r="AU11" s="305">
        <f t="shared" si="37"/>
        <v>78816.949999999313</v>
      </c>
      <c r="AV11" s="311">
        <f t="shared" si="14"/>
        <v>643.68585397187667</v>
      </c>
      <c r="AW11" s="311">
        <f t="shared" si="15"/>
        <v>800.21270115233574</v>
      </c>
      <c r="AX11" s="311">
        <f t="shared" si="16"/>
        <v>680.19326495210532</v>
      </c>
      <c r="AY11" s="311">
        <f t="shared" si="17"/>
        <v>891.24158986825705</v>
      </c>
      <c r="AZ11" s="310">
        <f>+Listrik!AH10</f>
        <v>27237.200000000001</v>
      </c>
      <c r="BA11" s="305">
        <f t="shared" si="38"/>
        <v>70584.2</v>
      </c>
      <c r="BB11" s="311">
        <f t="shared" si="18"/>
        <v>485.99671686532014</v>
      </c>
      <c r="BC11" s="311">
        <f t="shared" si="39"/>
        <v>716.62723996141926</v>
      </c>
      <c r="BD11" s="311">
        <f t="shared" si="19"/>
        <v>513.56060034693417</v>
      </c>
      <c r="BE11" s="311">
        <f t="shared" si="20"/>
        <v>798.14779216373597</v>
      </c>
      <c r="BF11" s="570">
        <f>1.849</f>
        <v>1.849</v>
      </c>
      <c r="BG11" s="525">
        <v>133.679</v>
      </c>
      <c r="BH11" s="548">
        <f>+SUM(Efficiency2!K16:K17)</f>
        <v>59.180158680000005</v>
      </c>
      <c r="BI11" s="549">
        <f t="shared" si="40"/>
        <v>105.48579228</v>
      </c>
      <c r="BJ11" s="550">
        <f t="shared" si="41"/>
        <v>0.89617873934365733</v>
      </c>
      <c r="BK11" s="550">
        <f t="shared" si="42"/>
        <v>0.83835934762910425</v>
      </c>
    </row>
    <row r="12" spans="1:63">
      <c r="A12" s="18">
        <f t="shared" si="21"/>
        <v>45934</v>
      </c>
      <c r="B12" s="446" t="s">
        <v>8</v>
      </c>
      <c r="C12" s="447" t="s">
        <v>486</v>
      </c>
      <c r="D12" s="449">
        <f>+'4'!F42</f>
        <v>830</v>
      </c>
      <c r="E12" s="449">
        <f>+'4'!G42</f>
        <v>713.8</v>
      </c>
      <c r="F12" s="51">
        <f t="shared" si="0"/>
        <v>0.14000000000000001</v>
      </c>
      <c r="G12" s="453">
        <f t="shared" si="22"/>
        <v>0.7014897445077467</v>
      </c>
      <c r="H12" s="452">
        <f t="shared" si="23"/>
        <v>0.7014897445077467</v>
      </c>
      <c r="I12" s="452">
        <f t="shared" si="24"/>
        <v>0.7866464412982761</v>
      </c>
      <c r="J12" s="455">
        <f t="shared" si="25"/>
        <v>0.55182441112425584</v>
      </c>
      <c r="K12" s="455">
        <f t="shared" si="26"/>
        <v>0.49705655581465241</v>
      </c>
      <c r="L12" s="308">
        <f>+Efficiency1!K21</f>
        <v>59.205427200000003</v>
      </c>
      <c r="M12" s="14">
        <f t="shared" si="27"/>
        <v>243.64631867999998</v>
      </c>
      <c r="N12" s="308">
        <f>+Efficiency1!C21</f>
        <v>59.205427200000003</v>
      </c>
      <c r="O12" s="14">
        <f t="shared" si="27"/>
        <v>242.46071135446155</v>
      </c>
      <c r="P12" s="304">
        <f>'4'!I38</f>
        <v>41.531999999999996</v>
      </c>
      <c r="Q12" s="14">
        <f t="shared" si="28"/>
        <v>140.02699999999999</v>
      </c>
      <c r="R12" s="16">
        <f>'4'!I40</f>
        <v>32.670999999999999</v>
      </c>
      <c r="S12" s="305">
        <f t="shared" si="29"/>
        <v>121.10599999999999</v>
      </c>
      <c r="T12" s="8">
        <f t="shared" si="1"/>
        <v>0.7866464412982761</v>
      </c>
      <c r="U12" s="8">
        <f t="shared" si="2"/>
        <v>0.86487605961707392</v>
      </c>
      <c r="V12" s="306">
        <f t="shared" si="3"/>
        <v>0.55182441112425584</v>
      </c>
      <c r="W12" s="307">
        <f t="shared" si="4"/>
        <v>0.49705655581465241</v>
      </c>
      <c r="X12" s="305"/>
      <c r="Y12" s="305"/>
      <c r="Z12" s="7"/>
      <c r="AA12" s="305"/>
      <c r="AB12" s="100">
        <v>0</v>
      </c>
      <c r="AC12" s="14">
        <f t="shared" si="30"/>
        <v>0</v>
      </c>
      <c r="AD12" s="303">
        <f t="shared" si="5"/>
        <v>0</v>
      </c>
      <c r="AE12" s="303">
        <f t="shared" si="6"/>
        <v>0</v>
      </c>
      <c r="AF12" s="309">
        <f t="shared" si="7"/>
        <v>0</v>
      </c>
      <c r="AG12" s="303">
        <f t="shared" si="8"/>
        <v>0</v>
      </c>
      <c r="AH12" s="560">
        <f t="shared" si="9"/>
        <v>123.19499999999999</v>
      </c>
      <c r="AI12" s="305">
        <f t="shared" si="31"/>
        <v>407.84599999999995</v>
      </c>
      <c r="AJ12" s="311">
        <f t="shared" si="10"/>
        <v>2.9662669748627564</v>
      </c>
      <c r="AK12" s="311">
        <f t="shared" si="11"/>
        <v>2.9126239939440248</v>
      </c>
      <c r="AL12" s="308">
        <f t="shared" si="12"/>
        <v>3.7707753053166417</v>
      </c>
      <c r="AM12" s="311">
        <f t="shared" si="13"/>
        <v>3.3676779020032037</v>
      </c>
      <c r="AN12" s="100">
        <v>8.4</v>
      </c>
      <c r="AO12" s="305">
        <f t="shared" si="32"/>
        <v>33.699999999999996</v>
      </c>
      <c r="AP12" s="311">
        <f t="shared" si="33"/>
        <v>0.20225368390638546</v>
      </c>
      <c r="AQ12" s="311">
        <f t="shared" si="34"/>
        <v>0.24066787119626928</v>
      </c>
      <c r="AR12" s="308">
        <f t="shared" si="35"/>
        <v>0.2571087508799853</v>
      </c>
      <c r="AS12" s="311">
        <f t="shared" si="36"/>
        <v>0.27826862418046999</v>
      </c>
      <c r="AT12" s="310">
        <f>'4'!I46</f>
        <v>29622.360000000444</v>
      </c>
      <c r="AU12" s="305">
        <f t="shared" si="37"/>
        <v>108439.30999999976</v>
      </c>
      <c r="AV12" s="311">
        <f t="shared" si="14"/>
        <v>713.24183761919596</v>
      </c>
      <c r="AW12" s="311">
        <f t="shared" si="15"/>
        <v>774.41714812143198</v>
      </c>
      <c r="AX12" s="311">
        <f t="shared" si="16"/>
        <v>906.68666401397093</v>
      </c>
      <c r="AY12" s="311">
        <f t="shared" si="17"/>
        <v>895.40823741185216</v>
      </c>
      <c r="AZ12" s="310">
        <f>+Listrik!AH11</f>
        <v>22490.5</v>
      </c>
      <c r="BA12" s="305">
        <f t="shared" si="38"/>
        <v>93074.7</v>
      </c>
      <c r="BB12" s="311">
        <f t="shared" si="18"/>
        <v>541.52219974959075</v>
      </c>
      <c r="BC12" s="311">
        <f t="shared" si="39"/>
        <v>664.69109528876572</v>
      </c>
      <c r="BD12" s="311">
        <f t="shared" si="19"/>
        <v>688.39337638884638</v>
      </c>
      <c r="BE12" s="311">
        <f t="shared" si="20"/>
        <v>768.53913100919863</v>
      </c>
      <c r="BF12" s="570">
        <f>2.854</f>
        <v>2.8540000000000001</v>
      </c>
      <c r="BG12" s="525">
        <v>120.34099999999999</v>
      </c>
      <c r="BH12" s="548">
        <f>+Efficiency2!K21</f>
        <v>59.205427200000003</v>
      </c>
      <c r="BI12" s="549">
        <f t="shared" si="40"/>
        <v>164.69121948</v>
      </c>
      <c r="BJ12" s="550">
        <f t="shared" si="41"/>
        <v>0.55182441112425584</v>
      </c>
      <c r="BK12" s="550">
        <f t="shared" si="42"/>
        <v>0.73535189296905434</v>
      </c>
    </row>
    <row r="13" spans="1:63">
      <c r="A13" s="18">
        <f t="shared" si="21"/>
        <v>45935</v>
      </c>
      <c r="B13" s="446" t="s">
        <v>8</v>
      </c>
      <c r="C13" s="447" t="s">
        <v>487</v>
      </c>
      <c r="D13" s="449">
        <f>+'5'!F42</f>
        <v>830</v>
      </c>
      <c r="E13" s="449">
        <f>+'5'!G42</f>
        <v>713.8</v>
      </c>
      <c r="F13" s="51">
        <f t="shared" si="0"/>
        <v>0.14000000000000001</v>
      </c>
      <c r="G13" s="453">
        <f t="shared" si="22"/>
        <v>0.7943066003571555</v>
      </c>
      <c r="H13" s="452">
        <f t="shared" si="23"/>
        <v>0.7943066003571555</v>
      </c>
      <c r="I13" s="452">
        <f t="shared" si="24"/>
        <v>0.90507275666936127</v>
      </c>
      <c r="J13" s="455">
        <f t="shared" si="25"/>
        <v>0.7189052644259194</v>
      </c>
      <c r="K13" s="455">
        <f t="shared" si="26"/>
        <v>0.54222786384390609</v>
      </c>
      <c r="L13" s="308">
        <f>+SUM(Efficiency1!K26:K27)</f>
        <v>62.293326</v>
      </c>
      <c r="M13" s="14">
        <f t="shared" si="27"/>
        <v>305.93964467999996</v>
      </c>
      <c r="N13" s="308">
        <f>+SUM(Efficiency1!C26:C27)</f>
        <v>62.293326</v>
      </c>
      <c r="O13" s="14">
        <f t="shared" si="27"/>
        <v>304.75403735446156</v>
      </c>
      <c r="P13" s="304">
        <f>'5'!I38</f>
        <v>49.480000000000004</v>
      </c>
      <c r="Q13" s="14">
        <f t="shared" si="28"/>
        <v>189.50700000000001</v>
      </c>
      <c r="R13" s="16">
        <f>'5'!I40</f>
        <v>44.783000000000001</v>
      </c>
      <c r="S13" s="305">
        <f t="shared" si="29"/>
        <v>165.88900000000001</v>
      </c>
      <c r="T13" s="8">
        <f t="shared" si="1"/>
        <v>0.90507275666936127</v>
      </c>
      <c r="U13" s="8">
        <f t="shared" si="2"/>
        <v>0.87537135831394097</v>
      </c>
      <c r="V13" s="306">
        <f t="shared" si="3"/>
        <v>0.7189052644259194</v>
      </c>
      <c r="W13" s="307">
        <f t="shared" si="4"/>
        <v>0.54222786384390609</v>
      </c>
      <c r="X13" s="305"/>
      <c r="Y13" s="305"/>
      <c r="Z13" s="7"/>
      <c r="AA13" s="305"/>
      <c r="AB13" s="100">
        <v>0</v>
      </c>
      <c r="AC13" s="14">
        <f t="shared" si="30"/>
        <v>0</v>
      </c>
      <c r="AD13" s="303">
        <f t="shared" si="5"/>
        <v>0</v>
      </c>
      <c r="AE13" s="303">
        <f t="shared" si="6"/>
        <v>0</v>
      </c>
      <c r="AF13" s="309">
        <f t="shared" si="7"/>
        <v>0</v>
      </c>
      <c r="AG13" s="303">
        <f t="shared" si="8"/>
        <v>0</v>
      </c>
      <c r="AH13" s="560">
        <f t="shared" si="9"/>
        <v>125.26300000000001</v>
      </c>
      <c r="AI13" s="305">
        <f t="shared" si="31"/>
        <v>533.10899999999992</v>
      </c>
      <c r="AJ13" s="311">
        <f t="shared" si="10"/>
        <v>2.5315885206143895</v>
      </c>
      <c r="AK13" s="311">
        <f t="shared" si="11"/>
        <v>2.8131361902198857</v>
      </c>
      <c r="AL13" s="308">
        <f t="shared" si="12"/>
        <v>2.7971105106848579</v>
      </c>
      <c r="AM13" s="311">
        <f t="shared" si="13"/>
        <v>3.2136488857006786</v>
      </c>
      <c r="AN13" s="100">
        <v>10.6</v>
      </c>
      <c r="AO13" s="305">
        <f t="shared" si="32"/>
        <v>44.3</v>
      </c>
      <c r="AP13" s="311">
        <f t="shared" si="33"/>
        <v>0.21422797089733223</v>
      </c>
      <c r="AQ13" s="311">
        <f t="shared" si="34"/>
        <v>0.23376445197275034</v>
      </c>
      <c r="AR13" s="308">
        <f t="shared" si="35"/>
        <v>0.23669696090034165</v>
      </c>
      <c r="AS13" s="311">
        <f t="shared" si="36"/>
        <v>0.26704603680774491</v>
      </c>
      <c r="AT13" s="310">
        <f>'5'!I46</f>
        <v>31409.12000000001</v>
      </c>
      <c r="AU13" s="305">
        <f t="shared" si="37"/>
        <v>139848.42999999976</v>
      </c>
      <c r="AV13" s="311">
        <f t="shared" si="14"/>
        <v>634.78415521422801</v>
      </c>
      <c r="AW13" s="311">
        <f t="shared" si="15"/>
        <v>737.95917828892743</v>
      </c>
      <c r="AX13" s="311">
        <f t="shared" si="16"/>
        <v>701.3625706183152</v>
      </c>
      <c r="AY13" s="311">
        <f t="shared" si="17"/>
        <v>843.02413059334708</v>
      </c>
      <c r="AZ13" s="310">
        <f>+Listrik!AH12</f>
        <v>25890.640000000003</v>
      </c>
      <c r="BA13" s="305">
        <f t="shared" si="38"/>
        <v>118965.34</v>
      </c>
      <c r="BB13" s="311">
        <f t="shared" si="18"/>
        <v>523.25464834276465</v>
      </c>
      <c r="BC13" s="311">
        <f t="shared" si="39"/>
        <v>627.76224624947884</v>
      </c>
      <c r="BD13" s="311">
        <f t="shared" si="19"/>
        <v>578.13545318536069</v>
      </c>
      <c r="BE13" s="311">
        <f t="shared" si="20"/>
        <v>717.13820687327063</v>
      </c>
      <c r="BF13" s="570">
        <f>1.709</f>
        <v>1.7090000000000001</v>
      </c>
      <c r="BG13" s="525">
        <v>123.554</v>
      </c>
      <c r="BH13" s="548">
        <f>+SUM(Efficiency2!K26:K27)</f>
        <v>62.293326</v>
      </c>
      <c r="BI13" s="549">
        <f t="shared" si="40"/>
        <v>226.98454548000001</v>
      </c>
      <c r="BJ13" s="550">
        <f t="shared" si="41"/>
        <v>0.7189052644259194</v>
      </c>
      <c r="BK13" s="550">
        <f t="shared" si="42"/>
        <v>0.73083830288620588</v>
      </c>
    </row>
    <row r="14" spans="1:63">
      <c r="A14" s="18">
        <f t="shared" si="21"/>
        <v>45936</v>
      </c>
      <c r="B14" s="446" t="s">
        <v>8</v>
      </c>
      <c r="C14" s="447" t="s">
        <v>493</v>
      </c>
      <c r="D14" s="449">
        <f>+'6'!F42</f>
        <v>830</v>
      </c>
      <c r="E14" s="449">
        <f>+'6'!G42</f>
        <v>713.8</v>
      </c>
      <c r="F14" s="51">
        <f t="shared" si="0"/>
        <v>0.14000000000000001</v>
      </c>
      <c r="G14" s="453">
        <f t="shared" si="22"/>
        <v>0.94593442684839135</v>
      </c>
      <c r="H14" s="452">
        <f t="shared" si="23"/>
        <v>0.94593442684839135</v>
      </c>
      <c r="I14" s="452">
        <f t="shared" si="24"/>
        <v>0.97516556291390721</v>
      </c>
      <c r="J14" s="455">
        <f t="shared" si="25"/>
        <v>0.92244267783725575</v>
      </c>
      <c r="K14" s="455">
        <f t="shared" si="26"/>
        <v>0.60950088604074548</v>
      </c>
      <c r="L14" s="308">
        <f>+SUM(Efficiency1!K32:K35)</f>
        <v>65.767772304549993</v>
      </c>
      <c r="M14" s="14">
        <f t="shared" si="27"/>
        <v>371.70741698454992</v>
      </c>
      <c r="N14" s="308">
        <f>+SUM(Efficiency1!C32:C35)</f>
        <v>65.767772304549993</v>
      </c>
      <c r="O14" s="14">
        <f t="shared" si="27"/>
        <v>370.52180965901152</v>
      </c>
      <c r="P14" s="304">
        <f>'6'!I38</f>
        <v>62.212000000000003</v>
      </c>
      <c r="Q14" s="14">
        <f t="shared" si="28"/>
        <v>251.71899999999999</v>
      </c>
      <c r="R14" s="16">
        <f>'6'!I40</f>
        <v>60.667000000000002</v>
      </c>
      <c r="S14" s="305">
        <f t="shared" si="29"/>
        <v>226.55600000000001</v>
      </c>
      <c r="T14" s="8">
        <f t="shared" si="1"/>
        <v>0.97516556291390721</v>
      </c>
      <c r="U14" s="8">
        <f t="shared" si="2"/>
        <v>0.90003535688605163</v>
      </c>
      <c r="V14" s="306">
        <f t="shared" si="3"/>
        <v>0.92244267783725575</v>
      </c>
      <c r="W14" s="307">
        <f t="shared" si="4"/>
        <v>0.60950088604074548</v>
      </c>
      <c r="X14" s="305"/>
      <c r="Y14" s="305"/>
      <c r="Z14" s="7"/>
      <c r="AA14" s="305"/>
      <c r="AB14" s="100">
        <v>0</v>
      </c>
      <c r="AC14" s="14">
        <f t="shared" si="30"/>
        <v>0</v>
      </c>
      <c r="AD14" s="303">
        <f t="shared" si="5"/>
        <v>0</v>
      </c>
      <c r="AE14" s="303">
        <f t="shared" si="6"/>
        <v>0</v>
      </c>
      <c r="AF14" s="309">
        <f t="shared" si="7"/>
        <v>0</v>
      </c>
      <c r="AG14" s="303">
        <f t="shared" si="8"/>
        <v>0</v>
      </c>
      <c r="AH14" s="560">
        <f t="shared" si="9"/>
        <v>136.00399999999999</v>
      </c>
      <c r="AI14" s="305">
        <f t="shared" si="31"/>
        <v>669.11299999999994</v>
      </c>
      <c r="AJ14" s="311">
        <f t="shared" si="10"/>
        <v>2.1861377226258596</v>
      </c>
      <c r="AK14" s="311">
        <f t="shared" si="11"/>
        <v>2.658174392874594</v>
      </c>
      <c r="AL14" s="308">
        <f t="shared" si="12"/>
        <v>2.2418118581766033</v>
      </c>
      <c r="AM14" s="311">
        <f t="shared" si="13"/>
        <v>2.9534110771729725</v>
      </c>
      <c r="AN14" s="100">
        <v>10.3</v>
      </c>
      <c r="AO14" s="305">
        <f t="shared" si="32"/>
        <v>54.599999999999994</v>
      </c>
      <c r="AP14" s="311">
        <f t="shared" si="33"/>
        <v>0.16556291390728478</v>
      </c>
      <c r="AQ14" s="311">
        <f t="shared" si="34"/>
        <v>0.2169085369002737</v>
      </c>
      <c r="AR14" s="308">
        <f t="shared" si="35"/>
        <v>0.16977928692699493</v>
      </c>
      <c r="AS14" s="311">
        <f t="shared" si="36"/>
        <v>0.24100001765567891</v>
      </c>
      <c r="AT14" s="310">
        <f>'6'!I46</f>
        <v>36077.609999999768</v>
      </c>
      <c r="AU14" s="305">
        <f t="shared" si="37"/>
        <v>175926.03999999951</v>
      </c>
      <c r="AV14" s="311">
        <f t="shared" si="14"/>
        <v>579.91400372918031</v>
      </c>
      <c r="AW14" s="311">
        <f t="shared" si="15"/>
        <v>698.8985336823979</v>
      </c>
      <c r="AX14" s="311">
        <f t="shared" si="16"/>
        <v>594.68261163399814</v>
      </c>
      <c r="AY14" s="311">
        <f t="shared" si="17"/>
        <v>776.52342025812391</v>
      </c>
      <c r="AZ14" s="310">
        <f>+Listrik!AH13</f>
        <v>26265.399999999998</v>
      </c>
      <c r="BA14" s="305">
        <f t="shared" si="38"/>
        <v>145230.74</v>
      </c>
      <c r="BB14" s="311">
        <f t="shared" si="18"/>
        <v>422.19186009130067</v>
      </c>
      <c r="BC14" s="311">
        <f t="shared" si="39"/>
        <v>576.95581183780325</v>
      </c>
      <c r="BD14" s="311">
        <f t="shared" si="19"/>
        <v>432.94377503420304</v>
      </c>
      <c r="BE14" s="311">
        <f t="shared" si="20"/>
        <v>641.03682974628782</v>
      </c>
      <c r="BF14" s="570">
        <f>2.099</f>
        <v>2.0990000000000002</v>
      </c>
      <c r="BG14" s="525">
        <v>133.905</v>
      </c>
      <c r="BH14" s="548">
        <f>+SUM(Efficiency2!K32:K35)</f>
        <v>65.767772304549993</v>
      </c>
      <c r="BI14" s="549">
        <f t="shared" si="40"/>
        <v>292.75231778454997</v>
      </c>
      <c r="BJ14" s="550">
        <f t="shared" si="41"/>
        <v>0.92244267783725575</v>
      </c>
      <c r="BK14" s="550">
        <f t="shared" si="42"/>
        <v>0.77388285672509383</v>
      </c>
    </row>
    <row r="15" spans="1:63">
      <c r="A15" s="18">
        <f t="shared" si="21"/>
        <v>45937</v>
      </c>
      <c r="B15" s="446" t="s">
        <v>8</v>
      </c>
      <c r="C15" s="447" t="s">
        <v>507</v>
      </c>
      <c r="D15" s="449">
        <f>+'7'!F42</f>
        <v>538.88888888888891</v>
      </c>
      <c r="E15" s="449">
        <f>+'7'!G42</f>
        <v>472.7236111111111</v>
      </c>
      <c r="F15" s="51">
        <f t="shared" si="0"/>
        <v>0.12278092783505157</v>
      </c>
      <c r="G15" s="453">
        <f t="shared" si="22"/>
        <v>1.0569362110026659</v>
      </c>
      <c r="H15" s="452">
        <f t="shared" si="23"/>
        <v>1.03836085245876</v>
      </c>
      <c r="I15" s="452">
        <f t="shared" si="24"/>
        <v>1.0085611709472524</v>
      </c>
      <c r="J15" s="455">
        <f t="shared" si="25"/>
        <v>1.0472504372215941</v>
      </c>
      <c r="K15" s="455">
        <f t="shared" si="26"/>
        <v>0.67572564579765559</v>
      </c>
      <c r="L15" s="308">
        <f>+SUM(Efficiency1!K37:K38)</f>
        <v>66.257312991999996</v>
      </c>
      <c r="M15" s="14">
        <f t="shared" si="27"/>
        <v>437.9647299765499</v>
      </c>
      <c r="N15" s="308">
        <f>+SUM(Efficiency1!C37:C38)</f>
        <v>65.092859232000009</v>
      </c>
      <c r="O15" s="14">
        <f t="shared" si="27"/>
        <v>435.61466889101155</v>
      </c>
      <c r="P15" s="304">
        <f>'7'!I38</f>
        <v>68.798999999999992</v>
      </c>
      <c r="Q15" s="14">
        <f t="shared" si="28"/>
        <v>320.51799999999997</v>
      </c>
      <c r="R15" s="16">
        <f>'7'!I40</f>
        <v>69.388000000000005</v>
      </c>
      <c r="S15" s="305">
        <f t="shared" si="29"/>
        <v>295.94400000000002</v>
      </c>
      <c r="T15" s="8">
        <f t="shared" si="1"/>
        <v>1.0085611709472524</v>
      </c>
      <c r="U15" s="8">
        <f t="shared" si="2"/>
        <v>0.92333035898139904</v>
      </c>
      <c r="V15" s="306">
        <f t="shared" si="3"/>
        <v>1.0472504372215941</v>
      </c>
      <c r="W15" s="307">
        <f t="shared" si="4"/>
        <v>0.67572564579765559</v>
      </c>
      <c r="X15" s="305"/>
      <c r="Y15" s="305"/>
      <c r="Z15" s="7"/>
      <c r="AA15" s="305"/>
      <c r="AB15" s="100">
        <v>0</v>
      </c>
      <c r="AC15" s="14">
        <f t="shared" si="30"/>
        <v>0</v>
      </c>
      <c r="AD15" s="303">
        <f t="shared" si="5"/>
        <v>0</v>
      </c>
      <c r="AE15" s="303">
        <f t="shared" si="6"/>
        <v>0</v>
      </c>
      <c r="AF15" s="309">
        <f t="shared" si="7"/>
        <v>0</v>
      </c>
      <c r="AG15" s="303">
        <f t="shared" si="8"/>
        <v>0</v>
      </c>
      <c r="AH15" s="560">
        <f t="shared" si="9"/>
        <v>121.74299999999999</v>
      </c>
      <c r="AI15" s="305">
        <f t="shared" si="31"/>
        <v>790.85599999999999</v>
      </c>
      <c r="AJ15" s="311">
        <f t="shared" si="10"/>
        <v>1.7695460689835609</v>
      </c>
      <c r="AK15" s="311">
        <f t="shared" si="11"/>
        <v>2.4674308463175239</v>
      </c>
      <c r="AL15" s="308">
        <f t="shared" si="12"/>
        <v>1.7545252781460769</v>
      </c>
      <c r="AM15" s="311">
        <f t="shared" si="13"/>
        <v>2.6723163841807906</v>
      </c>
      <c r="AN15" s="100">
        <v>13.1</v>
      </c>
      <c r="AO15" s="305">
        <f t="shared" si="32"/>
        <v>67.699999999999989</v>
      </c>
      <c r="AP15" s="311">
        <f t="shared" si="33"/>
        <v>0.19040974432767921</v>
      </c>
      <c r="AQ15" s="311">
        <f t="shared" si="34"/>
        <v>0.21122058667531932</v>
      </c>
      <c r="AR15" s="308">
        <f t="shared" si="35"/>
        <v>0.18879345131723063</v>
      </c>
      <c r="AS15" s="311">
        <f t="shared" si="36"/>
        <v>0.22875949503960202</v>
      </c>
      <c r="AT15" s="310">
        <f>'7'!I46</f>
        <v>35992.250000000451</v>
      </c>
      <c r="AU15" s="305">
        <f t="shared" si="37"/>
        <v>211918.28999999998</v>
      </c>
      <c r="AV15" s="311">
        <f t="shared" si="14"/>
        <v>523.15077254030518</v>
      </c>
      <c r="AW15" s="311">
        <f t="shared" si="15"/>
        <v>661.17438022201554</v>
      </c>
      <c r="AX15" s="311">
        <f t="shared" si="16"/>
        <v>518.71000749409768</v>
      </c>
      <c r="AY15" s="311">
        <f t="shared" si="17"/>
        <v>716.07564268915735</v>
      </c>
      <c r="AZ15" s="310">
        <f>+Listrik!AH14</f>
        <v>34858.6</v>
      </c>
      <c r="BA15" s="305">
        <f t="shared" si="38"/>
        <v>180089.34</v>
      </c>
      <c r="BB15" s="311">
        <f t="shared" si="18"/>
        <v>506.67306210846095</v>
      </c>
      <c r="BC15" s="311">
        <f t="shared" si="39"/>
        <v>561.8696609862784</v>
      </c>
      <c r="BD15" s="311">
        <f t="shared" si="19"/>
        <v>502.37216809823025</v>
      </c>
      <c r="BE15" s="311">
        <f t="shared" si="20"/>
        <v>608.52505879490718</v>
      </c>
      <c r="BF15" s="570">
        <f>2.261</f>
        <v>2.2610000000000001</v>
      </c>
      <c r="BG15" s="525">
        <v>119.482</v>
      </c>
      <c r="BH15" s="548">
        <f>+SUM(Efficiency2!K37:K38)</f>
        <v>66.257312991999996</v>
      </c>
      <c r="BI15" s="549">
        <f t="shared" si="40"/>
        <v>359.00963077654995</v>
      </c>
      <c r="BJ15" s="550">
        <f t="shared" si="41"/>
        <v>1.0472504372215941</v>
      </c>
      <c r="BK15" s="550">
        <f t="shared" si="42"/>
        <v>0.82433443180859289</v>
      </c>
    </row>
    <row r="16" spans="1:63">
      <c r="A16" s="18">
        <f t="shared" si="21"/>
        <v>45938</v>
      </c>
      <c r="B16" s="446" t="s">
        <v>8</v>
      </c>
      <c r="C16" s="447" t="s">
        <v>524</v>
      </c>
      <c r="D16" s="449">
        <f>+'8'!F42</f>
        <v>473.52083333333331</v>
      </c>
      <c r="E16" s="449">
        <f>+'8'!G42</f>
        <v>416.69833333333332</v>
      </c>
      <c r="F16" s="51">
        <f t="shared" si="0"/>
        <v>0.12</v>
      </c>
      <c r="G16" s="453">
        <f t="shared" si="22"/>
        <v>0.96361311008567596</v>
      </c>
      <c r="H16" s="452">
        <f t="shared" si="23"/>
        <v>0.95854409225376247</v>
      </c>
      <c r="I16" s="452">
        <f t="shared" si="24"/>
        <v>0.98539637309711481</v>
      </c>
      <c r="J16" s="455">
        <f t="shared" si="25"/>
        <v>0.94454587196052375</v>
      </c>
      <c r="K16" s="455">
        <f t="shared" si="26"/>
        <v>0.71156212654994078</v>
      </c>
      <c r="L16" s="308">
        <f>+SUM(Efficiency1!K42:K45)</f>
        <v>67.365706514526323</v>
      </c>
      <c r="M16" s="14">
        <f t="shared" si="27"/>
        <v>505.33043649107623</v>
      </c>
      <c r="N16" s="308">
        <f>+SUM(Efficiency1!C42:C45)</f>
        <v>67.011334034526314</v>
      </c>
      <c r="O16" s="14">
        <f t="shared" si="27"/>
        <v>502.62600292553788</v>
      </c>
      <c r="P16" s="304">
        <f>'8'!I38</f>
        <v>64.573000000000008</v>
      </c>
      <c r="Q16" s="14">
        <f t="shared" si="28"/>
        <v>385.09100000000001</v>
      </c>
      <c r="R16" s="16">
        <f>'8'!I40</f>
        <v>63.63</v>
      </c>
      <c r="S16" s="305">
        <f t="shared" si="29"/>
        <v>359.57400000000001</v>
      </c>
      <c r="T16" s="8">
        <f t="shared" si="1"/>
        <v>0.98539637309711481</v>
      </c>
      <c r="U16" s="8">
        <f t="shared" si="2"/>
        <v>0.93373773991082631</v>
      </c>
      <c r="V16" s="306">
        <f t="shared" si="3"/>
        <v>0.94454587196052375</v>
      </c>
      <c r="W16" s="307">
        <f t="shared" si="4"/>
        <v>0.71156212654994078</v>
      </c>
      <c r="X16" s="305"/>
      <c r="Y16" s="305"/>
      <c r="Z16" s="7"/>
      <c r="AA16" s="305"/>
      <c r="AB16" s="100">
        <v>0</v>
      </c>
      <c r="AC16" s="14">
        <f t="shared" si="30"/>
        <v>0</v>
      </c>
      <c r="AD16" s="303">
        <f t="shared" si="5"/>
        <v>0</v>
      </c>
      <c r="AE16" s="303">
        <f t="shared" si="6"/>
        <v>0</v>
      </c>
      <c r="AF16" s="309">
        <f t="shared" si="7"/>
        <v>0</v>
      </c>
      <c r="AG16" s="303">
        <f t="shared" si="8"/>
        <v>0</v>
      </c>
      <c r="AH16" s="560">
        <f t="shared" si="9"/>
        <v>121.563</v>
      </c>
      <c r="AI16" s="305">
        <f t="shared" si="31"/>
        <v>912.41899999999998</v>
      </c>
      <c r="AJ16" s="311">
        <f t="shared" si="10"/>
        <v>1.8825670171743607</v>
      </c>
      <c r="AK16" s="311">
        <f t="shared" si="11"/>
        <v>2.3693594501040014</v>
      </c>
      <c r="AL16" s="308">
        <f t="shared" si="12"/>
        <v>1.9104667609618105</v>
      </c>
      <c r="AM16" s="311">
        <f t="shared" si="13"/>
        <v>2.5374999304732819</v>
      </c>
      <c r="AN16" s="100">
        <v>10.6</v>
      </c>
      <c r="AO16" s="305">
        <f t="shared" si="32"/>
        <v>78.299999999999983</v>
      </c>
      <c r="AP16" s="311">
        <f t="shared" si="33"/>
        <v>0.16415529710560139</v>
      </c>
      <c r="AQ16" s="311">
        <f t="shared" si="34"/>
        <v>0.20332856389788384</v>
      </c>
      <c r="AR16" s="308">
        <f t="shared" si="35"/>
        <v>0.16658808738016659</v>
      </c>
      <c r="AS16" s="311">
        <f t="shared" si="36"/>
        <v>0.21775767992124007</v>
      </c>
      <c r="AT16" s="310">
        <f>'8'!I46</f>
        <v>32501.390000000181</v>
      </c>
      <c r="AU16" s="305">
        <f t="shared" si="37"/>
        <v>244419.68000000017</v>
      </c>
      <c r="AV16" s="311">
        <f t="shared" si="14"/>
        <v>503.32786149009922</v>
      </c>
      <c r="AW16" s="311">
        <f t="shared" si="15"/>
        <v>634.70629020153729</v>
      </c>
      <c r="AX16" s="311">
        <f t="shared" si="16"/>
        <v>510.78720729216064</v>
      </c>
      <c r="AY16" s="311">
        <f t="shared" si="17"/>
        <v>679.74792393220912</v>
      </c>
      <c r="AZ16" s="310">
        <f>+Listrik!AH15</f>
        <v>26943.400000000052</v>
      </c>
      <c r="BA16" s="305">
        <f t="shared" si="38"/>
        <v>207032.74000000005</v>
      </c>
      <c r="BB16" s="311">
        <f t="shared" si="18"/>
        <v>417.25488981462917</v>
      </c>
      <c r="BC16" s="311">
        <f t="shared" si="39"/>
        <v>537.62030273363973</v>
      </c>
      <c r="BD16" s="311">
        <f t="shared" si="19"/>
        <v>423.43862957724428</v>
      </c>
      <c r="BE16" s="311">
        <f t="shared" si="20"/>
        <v>575.7722749698255</v>
      </c>
      <c r="BF16" s="570">
        <f>2.285</f>
        <v>2.2850000000000001</v>
      </c>
      <c r="BG16" s="525">
        <v>119.27800000000001</v>
      </c>
      <c r="BH16" s="308">
        <f>+SUM(Efficiency2!K42:K45)</f>
        <v>67.365706514526323</v>
      </c>
      <c r="BI16" s="549">
        <f t="shared" si="40"/>
        <v>426.37533729107628</v>
      </c>
      <c r="BJ16" s="550">
        <f t="shared" si="41"/>
        <v>0.94454587196052375</v>
      </c>
      <c r="BK16" s="550">
        <f t="shared" si="42"/>
        <v>0.84332738916023986</v>
      </c>
    </row>
    <row r="17" spans="1:63">
      <c r="A17" s="18">
        <f t="shared" si="21"/>
        <v>45939</v>
      </c>
      <c r="B17" s="446" t="s">
        <v>8</v>
      </c>
      <c r="C17" s="447" t="s">
        <v>540</v>
      </c>
      <c r="D17" s="449">
        <f>+'9'!F42</f>
        <v>475.48611111111109</v>
      </c>
      <c r="E17" s="449">
        <f>+'9'!G42</f>
        <v>418.42777777777781</v>
      </c>
      <c r="F17" s="51">
        <f t="shared" si="0"/>
        <v>0.11999999999999988</v>
      </c>
      <c r="G17" s="453">
        <f t="shared" si="22"/>
        <v>0.99152520984183357</v>
      </c>
      <c r="H17" s="452">
        <f t="shared" si="23"/>
        <v>0.99152520984183357</v>
      </c>
      <c r="I17" s="452">
        <f t="shared" si="24"/>
        <v>0.98867918951273215</v>
      </c>
      <c r="J17" s="455">
        <f t="shared" si="25"/>
        <v>0.98030034084786566</v>
      </c>
      <c r="K17" s="455">
        <f t="shared" si="26"/>
        <v>0.74353555073886479</v>
      </c>
      <c r="L17" s="308">
        <f>+SUM(Efficiency1!K47:K49)</f>
        <v>68.241330959999999</v>
      </c>
      <c r="M17" s="14">
        <f t="shared" si="27"/>
        <v>573.5717674510762</v>
      </c>
      <c r="N17" s="308">
        <f>+SUM(Efficiency1!C47:C49)</f>
        <v>68.241330959999999</v>
      </c>
      <c r="O17" s="14">
        <f t="shared" si="27"/>
        <v>570.86733388553785</v>
      </c>
      <c r="P17" s="304">
        <f>'9'!I38</f>
        <v>67.663000000000011</v>
      </c>
      <c r="Q17" s="14">
        <f t="shared" si="28"/>
        <v>452.75400000000002</v>
      </c>
      <c r="R17" s="16">
        <f>'9'!I40</f>
        <v>66.897000000000006</v>
      </c>
      <c r="S17" s="305">
        <f t="shared" si="29"/>
        <v>426.471</v>
      </c>
      <c r="T17" s="8">
        <f t="shared" si="1"/>
        <v>0.98867918951273215</v>
      </c>
      <c r="U17" s="8">
        <f t="shared" si="2"/>
        <v>0.94194860785327128</v>
      </c>
      <c r="V17" s="306">
        <f t="shared" si="3"/>
        <v>0.98030034084786566</v>
      </c>
      <c r="W17" s="307">
        <f t="shared" si="4"/>
        <v>0.74353555073886479</v>
      </c>
      <c r="X17" s="305"/>
      <c r="Y17" s="305"/>
      <c r="Z17" s="7"/>
      <c r="AA17" s="305"/>
      <c r="AB17" s="100">
        <v>0</v>
      </c>
      <c r="AC17" s="14">
        <f t="shared" si="30"/>
        <v>0</v>
      </c>
      <c r="AD17" s="303">
        <f t="shared" si="5"/>
        <v>0</v>
      </c>
      <c r="AE17" s="303">
        <f t="shared" si="6"/>
        <v>0</v>
      </c>
      <c r="AF17" s="309">
        <f t="shared" si="7"/>
        <v>0</v>
      </c>
      <c r="AG17" s="303">
        <f t="shared" si="8"/>
        <v>0</v>
      </c>
      <c r="AH17" s="560">
        <f t="shared" si="9"/>
        <v>125.21300000000001</v>
      </c>
      <c r="AI17" s="305">
        <f t="shared" si="31"/>
        <v>1037.6320000000001</v>
      </c>
      <c r="AJ17" s="311">
        <f t="shared" si="10"/>
        <v>1.8505386991413326</v>
      </c>
      <c r="AK17" s="311">
        <f t="shared" si="11"/>
        <v>2.2918229325417334</v>
      </c>
      <c r="AL17" s="308">
        <f t="shared" si="12"/>
        <v>1.8717281791410676</v>
      </c>
      <c r="AM17" s="311">
        <f t="shared" si="13"/>
        <v>2.4330657887640661</v>
      </c>
      <c r="AN17" s="100">
        <v>14.1</v>
      </c>
      <c r="AO17" s="305">
        <f t="shared" si="32"/>
        <v>92.399999999999977</v>
      </c>
      <c r="AP17" s="311">
        <f t="shared" si="33"/>
        <v>0.2083856760711171</v>
      </c>
      <c r="AQ17" s="311">
        <f t="shared" si="34"/>
        <v>0.20408433718973212</v>
      </c>
      <c r="AR17" s="308">
        <f t="shared" si="35"/>
        <v>0.21077178348804876</v>
      </c>
      <c r="AS17" s="311">
        <f t="shared" si="36"/>
        <v>0.21666185977475602</v>
      </c>
      <c r="AT17" s="310">
        <f>'9'!I46</f>
        <v>30853.789999999455</v>
      </c>
      <c r="AU17" s="305">
        <f t="shared" si="37"/>
        <v>275273.46999999962</v>
      </c>
      <c r="AV17" s="311">
        <f t="shared" si="14"/>
        <v>455.99204883022406</v>
      </c>
      <c r="AW17" s="311">
        <f t="shared" si="15"/>
        <v>607.99787522583927</v>
      </c>
      <c r="AX17" s="311">
        <f t="shared" si="16"/>
        <v>461.21335784862481</v>
      </c>
      <c r="AY17" s="311">
        <f t="shared" si="17"/>
        <v>645.46820299621686</v>
      </c>
      <c r="AZ17" s="310">
        <f>+Listrik!AH16</f>
        <v>36937.199999999946</v>
      </c>
      <c r="BA17" s="305">
        <f t="shared" si="38"/>
        <v>243969.94</v>
      </c>
      <c r="BB17" s="311">
        <f t="shared" si="18"/>
        <v>545.89953150170606</v>
      </c>
      <c r="BC17" s="311">
        <f t="shared" si="39"/>
        <v>538.85761362682604</v>
      </c>
      <c r="BD17" s="311">
        <f t="shared" si="19"/>
        <v>552.15032064218053</v>
      </c>
      <c r="BE17" s="311">
        <f t="shared" si="20"/>
        <v>572.06689317679286</v>
      </c>
      <c r="BF17" s="570">
        <f>2.54</f>
        <v>2.54</v>
      </c>
      <c r="BG17" s="525">
        <v>122.673</v>
      </c>
      <c r="BH17" s="308">
        <f>+SUM(Efficiency2!K47:K49)</f>
        <v>68.241330959999999</v>
      </c>
      <c r="BI17" s="549">
        <f t="shared" si="40"/>
        <v>494.61666825107625</v>
      </c>
      <c r="BJ17" s="550">
        <f t="shared" si="41"/>
        <v>0.98030034084786566</v>
      </c>
      <c r="BK17" s="550">
        <f t="shared" si="42"/>
        <v>0.86222528955193989</v>
      </c>
    </row>
    <row r="18" spans="1:63">
      <c r="A18" s="18">
        <f t="shared" si="21"/>
        <v>45940</v>
      </c>
      <c r="B18" s="446" t="s">
        <v>8</v>
      </c>
      <c r="C18" s="447" t="s">
        <v>557</v>
      </c>
      <c r="D18" s="449">
        <f>+'10'!F42</f>
        <v>589.09722222222217</v>
      </c>
      <c r="E18" s="449">
        <f>+'10'!G42</f>
        <v>518.40555555555557</v>
      </c>
      <c r="F18" s="51">
        <f t="shared" si="0"/>
        <v>0.11999999999999988</v>
      </c>
      <c r="G18" s="453">
        <f t="shared" si="22"/>
        <v>0.98000010887423228</v>
      </c>
      <c r="H18" s="452">
        <f t="shared" si="23"/>
        <v>0.98000010887423228</v>
      </c>
      <c r="I18" s="452">
        <f t="shared" si="24"/>
        <v>0.98018859636278455</v>
      </c>
      <c r="J18" s="455">
        <f t="shared" si="25"/>
        <v>0.96058493115280974</v>
      </c>
      <c r="K18" s="455">
        <f t="shared" si="26"/>
        <v>0.76704967223829401</v>
      </c>
      <c r="L18" s="308">
        <f>+SUM(Efficiency1!K52:K53)</f>
        <v>69.687747360000003</v>
      </c>
      <c r="M18" s="14">
        <f t="shared" si="27"/>
        <v>643.2595148110762</v>
      </c>
      <c r="N18" s="308">
        <f>+SUM(Efficiency1!C52:C53)</f>
        <v>69.687747360000003</v>
      </c>
      <c r="O18" s="14">
        <f t="shared" si="27"/>
        <v>640.55508124553785</v>
      </c>
      <c r="P18" s="304">
        <f>'10'!I38</f>
        <v>68.293999999999997</v>
      </c>
      <c r="Q18" s="14">
        <f t="shared" si="28"/>
        <v>521.048</v>
      </c>
      <c r="R18" s="16">
        <f>'10'!I40</f>
        <v>66.941000000000003</v>
      </c>
      <c r="S18" s="305">
        <f t="shared" si="29"/>
        <v>493.41200000000003</v>
      </c>
      <c r="T18" s="8">
        <f t="shared" si="1"/>
        <v>0.98018859636278455</v>
      </c>
      <c r="U18" s="8">
        <f t="shared" si="2"/>
        <v>0.94696074066112912</v>
      </c>
      <c r="V18" s="306">
        <f t="shared" si="3"/>
        <v>0.96058493115280974</v>
      </c>
      <c r="W18" s="307">
        <f t="shared" si="4"/>
        <v>0.76704967223829401</v>
      </c>
      <c r="X18" s="305"/>
      <c r="Y18" s="305"/>
      <c r="Z18" s="7"/>
      <c r="AA18" s="305"/>
      <c r="AB18" s="100">
        <v>0</v>
      </c>
      <c r="AC18" s="14">
        <f t="shared" si="30"/>
        <v>0</v>
      </c>
      <c r="AD18" s="303">
        <f t="shared" si="5"/>
        <v>0</v>
      </c>
      <c r="AE18" s="303">
        <f t="shared" si="6"/>
        <v>0</v>
      </c>
      <c r="AF18" s="309">
        <f t="shared" si="7"/>
        <v>0</v>
      </c>
      <c r="AG18" s="303">
        <f t="shared" si="8"/>
        <v>0</v>
      </c>
      <c r="AH18" s="560">
        <f t="shared" si="9"/>
        <v>136.84199999999998</v>
      </c>
      <c r="AI18" s="305">
        <f t="shared" si="31"/>
        <v>1174.4740000000002</v>
      </c>
      <c r="AJ18" s="311">
        <f t="shared" si="10"/>
        <v>2.0037192139865874</v>
      </c>
      <c r="AK18" s="311">
        <f t="shared" si="11"/>
        <v>2.2540610461991988</v>
      </c>
      <c r="AL18" s="308">
        <f t="shared" si="12"/>
        <v>2.0442180427540668</v>
      </c>
      <c r="AM18" s="311">
        <f t="shared" si="13"/>
        <v>2.3803109774387328</v>
      </c>
      <c r="AN18" s="100">
        <v>12.2</v>
      </c>
      <c r="AO18" s="305">
        <f t="shared" si="32"/>
        <v>104.59999999999998</v>
      </c>
      <c r="AP18" s="311">
        <f t="shared" si="33"/>
        <v>0.17863941195419802</v>
      </c>
      <c r="AQ18" s="311">
        <f t="shared" si="34"/>
        <v>0.20074925918533412</v>
      </c>
      <c r="AR18" s="308">
        <f t="shared" si="35"/>
        <v>0.18225004108095186</v>
      </c>
      <c r="AS18" s="311">
        <f t="shared" si="36"/>
        <v>0.21199322270232579</v>
      </c>
      <c r="AT18" s="310">
        <f>'10'!I46</f>
        <v>32327.010000000329</v>
      </c>
      <c r="AU18" s="305">
        <f t="shared" si="37"/>
        <v>307600.48</v>
      </c>
      <c r="AV18" s="311">
        <f t="shared" si="14"/>
        <v>473.3506603801261</v>
      </c>
      <c r="AW18" s="311">
        <f t="shared" si="15"/>
        <v>590.34960310758311</v>
      </c>
      <c r="AX18" s="311">
        <f t="shared" si="16"/>
        <v>482.91794266593462</v>
      </c>
      <c r="AY18" s="311">
        <f t="shared" si="17"/>
        <v>623.41507705528022</v>
      </c>
      <c r="AZ18" s="310">
        <f>+Listrik!AH17</f>
        <v>31230.800000000028</v>
      </c>
      <c r="BA18" s="305">
        <f t="shared" si="38"/>
        <v>275200.74000000005</v>
      </c>
      <c r="BB18" s="311">
        <f t="shared" si="18"/>
        <v>457.299323513047</v>
      </c>
      <c r="BC18" s="311">
        <f t="shared" si="39"/>
        <v>528.16773118791366</v>
      </c>
      <c r="BD18" s="311">
        <f t="shared" si="19"/>
        <v>466.54217893368832</v>
      </c>
      <c r="BE18" s="311">
        <f t="shared" si="20"/>
        <v>557.75039926065847</v>
      </c>
      <c r="BF18" s="570">
        <f>2.767</f>
        <v>2.7669999999999999</v>
      </c>
      <c r="BG18" s="525">
        <v>134.07499999999999</v>
      </c>
      <c r="BH18" s="308">
        <f>+SUM(Efficiency2!K52:K53)</f>
        <v>69.687747360000003</v>
      </c>
      <c r="BI18" s="549">
        <f t="shared" si="40"/>
        <v>564.30441561107625</v>
      </c>
      <c r="BJ18" s="550">
        <f t="shared" si="41"/>
        <v>0.96058493115280974</v>
      </c>
      <c r="BK18" s="550">
        <f t="shared" si="42"/>
        <v>0.87437203457940704</v>
      </c>
    </row>
    <row r="19" spans="1:63">
      <c r="A19" s="18">
        <f t="shared" si="21"/>
        <v>45941</v>
      </c>
      <c r="B19" s="446" t="s">
        <v>8</v>
      </c>
      <c r="C19" s="447" t="s">
        <v>596</v>
      </c>
      <c r="D19" s="449">
        <f>+'11'!F42</f>
        <v>794.58333333333337</v>
      </c>
      <c r="E19" s="449">
        <f>+'11'!G42</f>
        <v>684.39166666666665</v>
      </c>
      <c r="F19" s="51">
        <f t="shared" si="0"/>
        <v>0.13867855270057683</v>
      </c>
      <c r="G19" s="453">
        <f t="shared" si="22"/>
        <v>0.97195725976429259</v>
      </c>
      <c r="H19" s="452">
        <f t="shared" si="23"/>
        <v>0.95001115300310823</v>
      </c>
      <c r="I19" s="452">
        <f t="shared" si="24"/>
        <v>0.9502101923768147</v>
      </c>
      <c r="J19" s="455">
        <f t="shared" si="25"/>
        <v>0.90271028045520296</v>
      </c>
      <c r="K19" s="455">
        <f t="shared" si="26"/>
        <v>0.77990833074190624</v>
      </c>
      <c r="L19" s="308">
        <f>+SUM(Efficiency1!K57:K58)</f>
        <v>67.356051344999997</v>
      </c>
      <c r="M19" s="14">
        <f t="shared" si="27"/>
        <v>710.61556615607617</v>
      </c>
      <c r="N19" s="308">
        <f>+SUM(Efficiency1!C57:C58)</f>
        <v>65.835199394999989</v>
      </c>
      <c r="O19" s="14">
        <f t="shared" si="27"/>
        <v>706.39028064053787</v>
      </c>
      <c r="P19" s="304">
        <f>'11'!I38</f>
        <v>63.989000000000004</v>
      </c>
      <c r="Q19" s="14">
        <f t="shared" si="28"/>
        <v>585.03700000000003</v>
      </c>
      <c r="R19" s="16">
        <f>'11'!I40</f>
        <v>60.802999999999997</v>
      </c>
      <c r="S19" s="305">
        <f t="shared" si="29"/>
        <v>554.21500000000003</v>
      </c>
      <c r="T19" s="8">
        <f t="shared" si="1"/>
        <v>0.9502101923768147</v>
      </c>
      <c r="U19" s="8">
        <f t="shared" si="2"/>
        <v>0.94731615265359281</v>
      </c>
      <c r="V19" s="306">
        <f t="shared" si="3"/>
        <v>0.90271028045520296</v>
      </c>
      <c r="W19" s="307">
        <f t="shared" si="4"/>
        <v>0.77990833074190624</v>
      </c>
      <c r="X19" s="305"/>
      <c r="Y19" s="305"/>
      <c r="Z19" s="7"/>
      <c r="AA19" s="305"/>
      <c r="AB19" s="100">
        <v>0</v>
      </c>
      <c r="AC19" s="14">
        <f t="shared" si="30"/>
        <v>0</v>
      </c>
      <c r="AD19" s="303">
        <f t="shared" si="5"/>
        <v>0</v>
      </c>
      <c r="AE19" s="303">
        <f t="shared" si="6"/>
        <v>0</v>
      </c>
      <c r="AF19" s="309">
        <f t="shared" si="7"/>
        <v>0</v>
      </c>
      <c r="AG19" s="303">
        <f t="shared" si="8"/>
        <v>0</v>
      </c>
      <c r="AH19" s="560">
        <f t="shared" si="9"/>
        <v>139.471</v>
      </c>
      <c r="AI19" s="305">
        <f t="shared" si="31"/>
        <v>1313.9450000000002</v>
      </c>
      <c r="AJ19" s="311">
        <f t="shared" si="10"/>
        <v>2.1796089952960664</v>
      </c>
      <c r="AK19" s="311">
        <f t="shared" si="11"/>
        <v>2.2459177795592415</v>
      </c>
      <c r="AL19" s="308">
        <f t="shared" si="12"/>
        <v>2.2938177392562871</v>
      </c>
      <c r="AM19" s="311">
        <f t="shared" si="13"/>
        <v>2.3708217929864763</v>
      </c>
      <c r="AN19" s="100">
        <v>11.5</v>
      </c>
      <c r="AO19" s="305">
        <f t="shared" si="32"/>
        <v>116.09999999999998</v>
      </c>
      <c r="AP19" s="311">
        <f t="shared" si="33"/>
        <v>0.17971838909812624</v>
      </c>
      <c r="AQ19" s="311">
        <f t="shared" si="34"/>
        <v>0.19844898698714777</v>
      </c>
      <c r="AR19" s="308">
        <f t="shared" si="35"/>
        <v>0.18913540450306729</v>
      </c>
      <c r="AS19" s="311">
        <f t="shared" si="36"/>
        <v>0.20948548848371115</v>
      </c>
      <c r="AT19" s="310">
        <f>'11'!I46</f>
        <v>35496.169999999729</v>
      </c>
      <c r="AU19" s="305">
        <f t="shared" si="37"/>
        <v>343096.64999999973</v>
      </c>
      <c r="AV19" s="311">
        <f t="shared" si="14"/>
        <v>554.72299926549454</v>
      </c>
      <c r="AW19" s="311">
        <f t="shared" si="15"/>
        <v>586.45290810666631</v>
      </c>
      <c r="AX19" s="311">
        <f t="shared" si="16"/>
        <v>583.7897801095296</v>
      </c>
      <c r="AY19" s="311">
        <f t="shared" si="17"/>
        <v>619.06778055447739</v>
      </c>
      <c r="AZ19" s="310">
        <f>+Listrik!AH18</f>
        <v>28711.446000000004</v>
      </c>
      <c r="BA19" s="305">
        <f t="shared" si="38"/>
        <v>303912.18600000005</v>
      </c>
      <c r="BB19" s="311">
        <f t="shared" si="18"/>
        <v>448.69346293894262</v>
      </c>
      <c r="BC19" s="311">
        <f t="shared" si="39"/>
        <v>519.47515456287385</v>
      </c>
      <c r="BD19" s="311">
        <f t="shared" si="19"/>
        <v>472.20443070243249</v>
      </c>
      <c r="BE19" s="311">
        <f t="shared" si="20"/>
        <v>548.36513988253671</v>
      </c>
      <c r="BF19" s="570">
        <f>2.447</f>
        <v>2.4470000000000001</v>
      </c>
      <c r="BG19" s="525">
        <v>137.024</v>
      </c>
      <c r="BH19" s="548">
        <f>+SUM(Efficiency2!K57:K58)</f>
        <v>67.356051344999997</v>
      </c>
      <c r="BI19" s="549">
        <f t="shared" si="40"/>
        <v>631.66046695607622</v>
      </c>
      <c r="BJ19" s="550">
        <f t="shared" si="41"/>
        <v>0.90271028045520296</v>
      </c>
      <c r="BK19" s="550">
        <f t="shared" si="42"/>
        <v>0.8773938357591381</v>
      </c>
    </row>
    <row r="20" spans="1:63">
      <c r="A20" s="18">
        <f t="shared" si="21"/>
        <v>45942</v>
      </c>
      <c r="B20" s="446" t="s">
        <v>462</v>
      </c>
      <c r="C20" s="447" t="s">
        <v>595</v>
      </c>
      <c r="D20" s="449">
        <f>+'12'!F42</f>
        <v>803.23482428115017</v>
      </c>
      <c r="E20" s="449">
        <f>+'12'!G42</f>
        <v>690.78194888178916</v>
      </c>
      <c r="F20" s="51">
        <f t="shared" si="0"/>
        <v>0.14000000000000001</v>
      </c>
      <c r="G20" s="453">
        <f t="shared" si="22"/>
        <v>0.79756487720064206</v>
      </c>
      <c r="H20" s="452">
        <f t="shared" si="23"/>
        <v>0.77184564336274075</v>
      </c>
      <c r="I20" s="452">
        <f t="shared" si="24"/>
        <v>0.98396936281584979</v>
      </c>
      <c r="J20" s="455">
        <f t="shared" si="25"/>
        <v>0.75947246589182571</v>
      </c>
      <c r="K20" s="455">
        <f t="shared" si="26"/>
        <v>0.77813980472477973</v>
      </c>
      <c r="L20" s="308">
        <f>+Efficiency1!K62</f>
        <v>67.323046320000003</v>
      </c>
      <c r="M20" s="14">
        <f t="shared" si="27"/>
        <v>777.93861247607617</v>
      </c>
      <c r="N20" s="308">
        <f>+Efficiency1!C62</f>
        <v>65.152066603514385</v>
      </c>
      <c r="O20" s="14">
        <f t="shared" si="27"/>
        <v>771.54234724405228</v>
      </c>
      <c r="P20" s="304">
        <f>'12'!I38</f>
        <v>51.963000000000001</v>
      </c>
      <c r="Q20" s="14">
        <f t="shared" si="28"/>
        <v>637</v>
      </c>
      <c r="R20" s="16">
        <f>'12'!I40</f>
        <v>51.13</v>
      </c>
      <c r="S20" s="305">
        <f t="shared" si="29"/>
        <v>605.34500000000003</v>
      </c>
      <c r="T20" s="8">
        <f t="shared" si="1"/>
        <v>0.98396936281584979</v>
      </c>
      <c r="U20" s="8">
        <f t="shared" si="2"/>
        <v>0.95030612244897961</v>
      </c>
      <c r="V20" s="306">
        <f t="shared" si="3"/>
        <v>0.75947246589182571</v>
      </c>
      <c r="W20" s="307">
        <f t="shared" si="4"/>
        <v>0.77813980472477973</v>
      </c>
      <c r="X20" s="305"/>
      <c r="Y20" s="305"/>
      <c r="Z20" s="7"/>
      <c r="AA20" s="305"/>
      <c r="AB20" s="100">
        <v>0</v>
      </c>
      <c r="AC20" s="14">
        <f t="shared" si="30"/>
        <v>0</v>
      </c>
      <c r="AD20" s="303">
        <f t="shared" si="5"/>
        <v>0</v>
      </c>
      <c r="AE20" s="303">
        <f t="shared" si="6"/>
        <v>0</v>
      </c>
      <c r="AF20" s="309">
        <f t="shared" si="7"/>
        <v>0</v>
      </c>
      <c r="AG20" s="303">
        <f t="shared" si="8"/>
        <v>0</v>
      </c>
      <c r="AH20" s="560">
        <f t="shared" si="9"/>
        <v>125.794</v>
      </c>
      <c r="AI20" s="305">
        <f t="shared" si="31"/>
        <v>1439.7390000000003</v>
      </c>
      <c r="AJ20" s="311">
        <f t="shared" si="10"/>
        <v>2.4208379038931547</v>
      </c>
      <c r="AK20" s="311">
        <f t="shared" si="11"/>
        <v>2.2601868131868135</v>
      </c>
      <c r="AL20" s="308">
        <f t="shared" si="12"/>
        <v>2.4602777234500293</v>
      </c>
      <c r="AM20" s="311">
        <f t="shared" si="13"/>
        <v>2.3783776193740764</v>
      </c>
      <c r="AN20" s="100">
        <v>10.199999999999999</v>
      </c>
      <c r="AO20" s="305">
        <f t="shared" si="32"/>
        <v>126.29999999999998</v>
      </c>
      <c r="AP20" s="311">
        <f t="shared" si="33"/>
        <v>0.19629351654061541</v>
      </c>
      <c r="AQ20" s="311">
        <f t="shared" si="34"/>
        <v>0.19827315541601254</v>
      </c>
      <c r="AR20" s="308">
        <f t="shared" si="35"/>
        <v>0.19949149227459415</v>
      </c>
      <c r="AS20" s="311">
        <f t="shared" si="36"/>
        <v>0.20864135327788283</v>
      </c>
      <c r="AT20" s="310">
        <f>'12'!I46</f>
        <v>33687.61999999969</v>
      </c>
      <c r="AU20" s="305">
        <f t="shared" si="37"/>
        <v>376784.26999999944</v>
      </c>
      <c r="AV20" s="311">
        <f t="shared" si="14"/>
        <v>648.30013663567706</v>
      </c>
      <c r="AW20" s="311">
        <f t="shared" si="15"/>
        <v>591.4980690737824</v>
      </c>
      <c r="AX20" s="311">
        <f t="shared" si="16"/>
        <v>658.86211617445122</v>
      </c>
      <c r="AY20" s="311">
        <f t="shared" si="17"/>
        <v>622.42897851638224</v>
      </c>
      <c r="AZ20" s="310">
        <f>+Listrik!AH19</f>
        <v>28421.701999999994</v>
      </c>
      <c r="BA20" s="305">
        <f t="shared" si="38"/>
        <v>332333.88800000004</v>
      </c>
      <c r="BB20" s="311">
        <f t="shared" si="18"/>
        <v>546.96037565190602</v>
      </c>
      <c r="BC20" s="311">
        <f t="shared" si="39"/>
        <v>521.71724960753545</v>
      </c>
      <c r="BD20" s="311">
        <f t="shared" si="19"/>
        <v>555.87134754547219</v>
      </c>
      <c r="BE20" s="311">
        <f t="shared" si="20"/>
        <v>548.99914594157065</v>
      </c>
      <c r="BF20" s="570">
        <f>2.482</f>
        <v>2.4820000000000002</v>
      </c>
      <c r="BG20" s="525">
        <v>123.312</v>
      </c>
      <c r="BH20" s="548">
        <f>+Efficiency2!K62</f>
        <v>67.323046320000003</v>
      </c>
      <c r="BI20" s="549">
        <f t="shared" si="40"/>
        <v>698.98351327607622</v>
      </c>
      <c r="BJ20" s="550">
        <f t="shared" si="41"/>
        <v>0.75947246589182571</v>
      </c>
      <c r="BK20" s="550">
        <f t="shared" si="42"/>
        <v>0.86603616323194743</v>
      </c>
    </row>
    <row r="21" spans="1:63">
      <c r="A21" s="18">
        <f t="shared" si="21"/>
        <v>45943</v>
      </c>
      <c r="B21" s="446" t="s">
        <v>462</v>
      </c>
      <c r="C21" s="447" t="s">
        <v>595</v>
      </c>
      <c r="D21" s="449">
        <f>+'13'!F42</f>
        <v>830</v>
      </c>
      <c r="E21" s="449">
        <f>+'13'!G42</f>
        <v>713.8</v>
      </c>
      <c r="F21" s="51">
        <f t="shared" si="0"/>
        <v>0.14000000000000001</v>
      </c>
      <c r="G21" s="453">
        <f t="shared" si="22"/>
        <v>0.86636008303552958</v>
      </c>
      <c r="H21" s="452">
        <f t="shared" si="23"/>
        <v>0.86636008303552958</v>
      </c>
      <c r="I21" s="452">
        <f t="shared" si="24"/>
        <v>0.93690635394163824</v>
      </c>
      <c r="J21" s="455">
        <f t="shared" si="25"/>
        <v>0.81169826659739297</v>
      </c>
      <c r="K21" s="455">
        <f t="shared" si="26"/>
        <v>0.78081265503044217</v>
      </c>
      <c r="L21" s="308">
        <f>+Efficiency1!K68</f>
        <v>67.323046320000003</v>
      </c>
      <c r="M21" s="14">
        <f t="shared" si="27"/>
        <v>845.26165879607618</v>
      </c>
      <c r="N21" s="308">
        <f>+Efficiency1!C68</f>
        <v>67.323046320000003</v>
      </c>
      <c r="O21" s="14">
        <f t="shared" si="27"/>
        <v>838.86539356405228</v>
      </c>
      <c r="P21" s="304">
        <f>'13'!I38</f>
        <v>58.326000000000008</v>
      </c>
      <c r="Q21" s="14">
        <f t="shared" si="28"/>
        <v>695.32600000000002</v>
      </c>
      <c r="R21" s="16">
        <f>'13'!I40</f>
        <v>54.646000000000001</v>
      </c>
      <c r="S21" s="305">
        <f t="shared" si="29"/>
        <v>659.99099999999999</v>
      </c>
      <c r="T21" s="8">
        <f t="shared" si="1"/>
        <v>0.93690635394163824</v>
      </c>
      <c r="U21" s="8">
        <f t="shared" si="2"/>
        <v>0.94918211026194899</v>
      </c>
      <c r="V21" s="306">
        <f t="shared" si="3"/>
        <v>0.81169826659739297</v>
      </c>
      <c r="W21" s="307">
        <f t="shared" si="4"/>
        <v>0.78081265503044217</v>
      </c>
      <c r="X21" s="305"/>
      <c r="Y21" s="305"/>
      <c r="Z21" s="7"/>
      <c r="AA21" s="305"/>
      <c r="AB21" s="100">
        <v>0</v>
      </c>
      <c r="AC21" s="14">
        <f t="shared" si="30"/>
        <v>0</v>
      </c>
      <c r="AD21" s="303">
        <f t="shared" si="5"/>
        <v>0</v>
      </c>
      <c r="AE21" s="303">
        <f t="shared" si="6"/>
        <v>0</v>
      </c>
      <c r="AF21" s="309">
        <f t="shared" si="7"/>
        <v>0</v>
      </c>
      <c r="AG21" s="303">
        <f t="shared" si="8"/>
        <v>0</v>
      </c>
      <c r="AH21" s="560">
        <f t="shared" si="9"/>
        <v>135.66200000000001</v>
      </c>
      <c r="AI21" s="305">
        <f t="shared" si="31"/>
        <v>1575.4010000000003</v>
      </c>
      <c r="AJ21" s="311">
        <f t="shared" si="10"/>
        <v>2.3259266879264819</v>
      </c>
      <c r="AK21" s="311">
        <f t="shared" si="11"/>
        <v>2.2657012681821191</v>
      </c>
      <c r="AL21" s="308">
        <f t="shared" si="12"/>
        <v>2.4825604801815322</v>
      </c>
      <c r="AM21" s="311">
        <f t="shared" si="13"/>
        <v>2.3870037621725149</v>
      </c>
      <c r="AN21" s="100">
        <v>10.199999999999999</v>
      </c>
      <c r="AO21" s="305">
        <f t="shared" si="32"/>
        <v>136.49999999999997</v>
      </c>
      <c r="AP21" s="311">
        <f t="shared" si="33"/>
        <v>0.17487912766176317</v>
      </c>
      <c r="AQ21" s="311">
        <f t="shared" si="34"/>
        <v>0.19631079522411066</v>
      </c>
      <c r="AR21" s="308">
        <f t="shared" si="35"/>
        <v>0.18665593090070634</v>
      </c>
      <c r="AS21" s="311">
        <f t="shared" si="36"/>
        <v>0.2068210021045741</v>
      </c>
      <c r="AT21" s="310">
        <f>'13'!I46</f>
        <v>32518.41000000068</v>
      </c>
      <c r="AU21" s="305">
        <f t="shared" si="37"/>
        <v>409302.68000000011</v>
      </c>
      <c r="AV21" s="311">
        <f t="shared" si="14"/>
        <v>557.52854644585045</v>
      </c>
      <c r="AW21" s="311">
        <f t="shared" si="15"/>
        <v>588.6486051147233</v>
      </c>
      <c r="AX21" s="311">
        <f t="shared" si="16"/>
        <v>595.07393038833004</v>
      </c>
      <c r="AY21" s="311">
        <f t="shared" si="17"/>
        <v>620.16403253983788</v>
      </c>
      <c r="AZ21" s="310">
        <f>+Listrik!AH20</f>
        <v>26345.3</v>
      </c>
      <c r="BA21" s="305">
        <f t="shared" si="38"/>
        <v>358679.18800000002</v>
      </c>
      <c r="BB21" s="311">
        <f t="shared" si="18"/>
        <v>451.69049823406363</v>
      </c>
      <c r="BC21" s="311">
        <f t="shared" si="39"/>
        <v>515.8431987298045</v>
      </c>
      <c r="BD21" s="311">
        <f t="shared" si="19"/>
        <v>482.10848003513524</v>
      </c>
      <c r="BE21" s="311">
        <f t="shared" si="20"/>
        <v>543.46072597959676</v>
      </c>
      <c r="BF21" s="570">
        <f>2.315</f>
        <v>2.3149999999999999</v>
      </c>
      <c r="BG21" s="525">
        <v>133.34700000000001</v>
      </c>
      <c r="BH21" s="548">
        <f>+Efficiency2!K68</f>
        <v>67.323046320000003</v>
      </c>
      <c r="BI21" s="549">
        <f t="shared" si="40"/>
        <v>766.30655959607623</v>
      </c>
      <c r="BJ21" s="550">
        <f t="shared" si="41"/>
        <v>0.81169826659739297</v>
      </c>
      <c r="BK21" s="550">
        <f t="shared" si="42"/>
        <v>0.8612623652182807</v>
      </c>
    </row>
    <row r="22" spans="1:63">
      <c r="A22" s="18">
        <f t="shared" si="21"/>
        <v>45944</v>
      </c>
      <c r="B22" s="446" t="s">
        <v>611</v>
      </c>
      <c r="C22" s="447" t="s">
        <v>612</v>
      </c>
      <c r="D22" s="449">
        <f>+'14'!F42</f>
        <v>636.52777777777783</v>
      </c>
      <c r="E22" s="449">
        <f>+'14'!G42</f>
        <v>555.01458333333335</v>
      </c>
      <c r="F22" s="51">
        <f t="shared" si="0"/>
        <v>0.12805913157320536</v>
      </c>
      <c r="G22" s="453">
        <f t="shared" si="22"/>
        <v>0.99707450322086422</v>
      </c>
      <c r="H22" s="452">
        <f t="shared" si="23"/>
        <v>0.99707450322086422</v>
      </c>
      <c r="I22" s="452">
        <f t="shared" si="24"/>
        <v>1.0587114337568058</v>
      </c>
      <c r="J22" s="455">
        <f t="shared" si="25"/>
        <v>1.055614176867316</v>
      </c>
      <c r="K22" s="455">
        <f t="shared" si="26"/>
        <v>0.80080352282001854</v>
      </c>
      <c r="L22" s="308">
        <f>+SUM(Efficiency1!K74:K75)</f>
        <v>66.314001397499993</v>
      </c>
      <c r="M22" s="14">
        <f t="shared" si="27"/>
        <v>911.57566019357614</v>
      </c>
      <c r="N22" s="308">
        <f>+SUM(Efficiency1!C74:C75)</f>
        <v>66.314001397499993</v>
      </c>
      <c r="O22" s="14">
        <f t="shared" si="27"/>
        <v>905.17939496155225</v>
      </c>
      <c r="P22" s="304">
        <f>'14'!I38</f>
        <v>66.12</v>
      </c>
      <c r="Q22" s="14">
        <f t="shared" si="28"/>
        <v>761.44600000000003</v>
      </c>
      <c r="R22" s="16">
        <f>'14'!I40</f>
        <v>70.001999999999995</v>
      </c>
      <c r="S22" s="305">
        <f t="shared" si="29"/>
        <v>729.99299999999994</v>
      </c>
      <c r="T22" s="8">
        <f t="shared" si="1"/>
        <v>1.0587114337568058</v>
      </c>
      <c r="U22" s="8">
        <f t="shared" si="2"/>
        <v>0.95869306556210143</v>
      </c>
      <c r="V22" s="306">
        <f t="shared" si="3"/>
        <v>1.055614176867316</v>
      </c>
      <c r="W22" s="307">
        <f t="shared" si="4"/>
        <v>0.80080352282001854</v>
      </c>
      <c r="X22" s="305"/>
      <c r="Y22" s="305"/>
      <c r="Z22" s="7"/>
      <c r="AA22" s="305"/>
      <c r="AB22" s="100">
        <v>0</v>
      </c>
      <c r="AC22" s="14">
        <f t="shared" si="30"/>
        <v>0</v>
      </c>
      <c r="AD22" s="303">
        <f t="shared" si="5"/>
        <v>0</v>
      </c>
      <c r="AE22" s="303">
        <f t="shared" si="6"/>
        <v>0</v>
      </c>
      <c r="AF22" s="309">
        <f t="shared" si="7"/>
        <v>0</v>
      </c>
      <c r="AG22" s="303">
        <f t="shared" si="8"/>
        <v>0</v>
      </c>
      <c r="AH22" s="560">
        <f t="shared" si="9"/>
        <v>142.46299999999999</v>
      </c>
      <c r="AI22" s="305">
        <f t="shared" si="31"/>
        <v>1717.8640000000003</v>
      </c>
      <c r="AJ22" s="311">
        <f t="shared" si="10"/>
        <v>2.1546128251663639</v>
      </c>
      <c r="AK22" s="311">
        <f t="shared" si="11"/>
        <v>2.256054927072964</v>
      </c>
      <c r="AL22" s="308">
        <f t="shared" si="12"/>
        <v>2.0351275677837775</v>
      </c>
      <c r="AM22" s="311">
        <f t="shared" si="13"/>
        <v>2.3532609216800715</v>
      </c>
      <c r="AN22" s="100">
        <v>16.600000000000001</v>
      </c>
      <c r="AO22" s="305">
        <f t="shared" si="32"/>
        <v>153.09999999999997</v>
      </c>
      <c r="AP22" s="311">
        <f t="shared" si="33"/>
        <v>0.25105868118572294</v>
      </c>
      <c r="AQ22" s="311">
        <f t="shared" si="34"/>
        <v>0.20106481615242572</v>
      </c>
      <c r="AR22" s="308">
        <f t="shared" si="35"/>
        <v>0.23713608182623358</v>
      </c>
      <c r="AS22" s="311">
        <f t="shared" si="36"/>
        <v>0.20972803848804028</v>
      </c>
      <c r="AT22" s="310">
        <f>'14'!I46</f>
        <v>33745.599999999846</v>
      </c>
      <c r="AU22" s="305">
        <f t="shared" si="37"/>
        <v>443048.27999999997</v>
      </c>
      <c r="AV22" s="311">
        <f t="shared" si="14"/>
        <v>510.36902601330678</v>
      </c>
      <c r="AW22" s="311">
        <f t="shared" si="15"/>
        <v>581.85121466262865</v>
      </c>
      <c r="AX22" s="311">
        <f t="shared" si="16"/>
        <v>482.06622667923557</v>
      </c>
      <c r="AY22" s="311">
        <f t="shared" si="17"/>
        <v>606.92127184781225</v>
      </c>
      <c r="AZ22" s="310">
        <f>+Listrik!AH21</f>
        <v>38320.399999999972</v>
      </c>
      <c r="BA22" s="305">
        <f t="shared" si="38"/>
        <v>396999.58799999999</v>
      </c>
      <c r="BB22" s="311">
        <f t="shared" si="18"/>
        <v>579.55837870538369</v>
      </c>
      <c r="BC22" s="311">
        <f t="shared" si="39"/>
        <v>521.3758927093977</v>
      </c>
      <c r="BD22" s="311">
        <f t="shared" si="19"/>
        <v>547.41864518156581</v>
      </c>
      <c r="BE22" s="311">
        <f t="shared" si="20"/>
        <v>543.84026696146407</v>
      </c>
      <c r="BF22" s="570">
        <f>5.471</f>
        <v>5.4710000000000001</v>
      </c>
      <c r="BG22" s="525">
        <v>136.99199999999999</v>
      </c>
      <c r="BH22" s="548">
        <f>+SUM(Efficiency2!K74:K75)</f>
        <v>66.314001397499993</v>
      </c>
      <c r="BI22" s="549">
        <f t="shared" si="40"/>
        <v>832.62056099357619</v>
      </c>
      <c r="BJ22" s="550">
        <f t="shared" si="41"/>
        <v>1.055614176867316</v>
      </c>
      <c r="BK22" s="550">
        <f t="shared" si="42"/>
        <v>0.87674150050881572</v>
      </c>
    </row>
    <row r="23" spans="1:63">
      <c r="A23" s="18">
        <f t="shared" si="21"/>
        <v>45945</v>
      </c>
      <c r="B23" s="446" t="s">
        <v>623</v>
      </c>
      <c r="C23" s="447" t="s">
        <v>624</v>
      </c>
      <c r="D23" s="449">
        <f>+'15'!F42</f>
        <v>818.33333333333337</v>
      </c>
      <c r="E23" s="449">
        <f>+'15'!G42</f>
        <v>704.22500000000002</v>
      </c>
      <c r="F23" s="51">
        <f t="shared" si="0"/>
        <v>0.13943991853360493</v>
      </c>
      <c r="G23" s="453">
        <f t="shared" si="22"/>
        <v>0.96293526804946006</v>
      </c>
      <c r="H23" s="452">
        <f t="shared" si="23"/>
        <v>0.96293526804946006</v>
      </c>
      <c r="I23" s="452">
        <f t="shared" si="24"/>
        <v>0.924612960044498</v>
      </c>
      <c r="J23" s="455">
        <f t="shared" si="25"/>
        <v>0.89034242852245338</v>
      </c>
      <c r="K23" s="455">
        <f t="shared" si="26"/>
        <v>0.80598669319466654</v>
      </c>
      <c r="L23" s="308">
        <f>+SUM(Efficiency1!K79:K81)</f>
        <v>56.011033959999992</v>
      </c>
      <c r="M23" s="14">
        <f t="shared" si="27"/>
        <v>967.5866941535761</v>
      </c>
      <c r="N23" s="308">
        <f>+SUM(Efficiency1!C79:C81)</f>
        <v>56.011033959999992</v>
      </c>
      <c r="O23" s="14">
        <f t="shared" si="27"/>
        <v>961.19042892155221</v>
      </c>
      <c r="P23" s="304">
        <f>'15'!I38</f>
        <v>53.935000000000002</v>
      </c>
      <c r="Q23" s="14">
        <f t="shared" si="28"/>
        <v>815.38100000000009</v>
      </c>
      <c r="R23" s="16">
        <f>'15'!I40</f>
        <v>49.869</v>
      </c>
      <c r="S23" s="305">
        <f t="shared" si="29"/>
        <v>779.86199999999997</v>
      </c>
      <c r="T23" s="8">
        <f t="shared" si="1"/>
        <v>0.924612960044498</v>
      </c>
      <c r="U23" s="8">
        <f t="shared" si="2"/>
        <v>0.95643876911529691</v>
      </c>
      <c r="V23" s="306">
        <f t="shared" si="3"/>
        <v>0.89034242852245338</v>
      </c>
      <c r="W23" s="307">
        <f t="shared" si="4"/>
        <v>0.80598669319466654</v>
      </c>
      <c r="X23" s="305"/>
      <c r="Y23" s="305"/>
      <c r="Z23" s="7"/>
      <c r="AA23" s="305"/>
      <c r="AB23" s="100">
        <v>0</v>
      </c>
      <c r="AC23" s="14">
        <f t="shared" si="30"/>
        <v>0</v>
      </c>
      <c r="AD23" s="303">
        <f t="shared" si="5"/>
        <v>0</v>
      </c>
      <c r="AE23" s="303">
        <f t="shared" si="6"/>
        <v>0</v>
      </c>
      <c r="AF23" s="309">
        <f t="shared" si="7"/>
        <v>0</v>
      </c>
      <c r="AG23" s="303">
        <f t="shared" si="8"/>
        <v>0</v>
      </c>
      <c r="AH23" s="560">
        <f t="shared" si="9"/>
        <v>125.113</v>
      </c>
      <c r="AI23" s="305">
        <f t="shared" si="31"/>
        <v>1842.9770000000003</v>
      </c>
      <c r="AJ23" s="311">
        <f t="shared" si="10"/>
        <v>2.3196996384536943</v>
      </c>
      <c r="AK23" s="311">
        <f t="shared" si="11"/>
        <v>2.2602648332497326</v>
      </c>
      <c r="AL23" s="308">
        <f t="shared" si="12"/>
        <v>2.5088331428342259</v>
      </c>
      <c r="AM23" s="311">
        <f t="shared" si="13"/>
        <v>2.3632091318720496</v>
      </c>
      <c r="AN23" s="100">
        <v>16.8</v>
      </c>
      <c r="AO23" s="305">
        <f t="shared" si="32"/>
        <v>169.89999999999998</v>
      </c>
      <c r="AP23" s="311">
        <f t="shared" si="33"/>
        <v>0.31148604802076574</v>
      </c>
      <c r="AQ23" s="311">
        <f t="shared" si="34"/>
        <v>0.20836884842791278</v>
      </c>
      <c r="AR23" s="308">
        <f t="shared" si="35"/>
        <v>0.33688263249714251</v>
      </c>
      <c r="AS23" s="311">
        <f t="shared" si="36"/>
        <v>0.21785905711523318</v>
      </c>
      <c r="AT23" s="310">
        <f>'15'!I46</f>
        <v>35638.800000000825</v>
      </c>
      <c r="AU23" s="305">
        <f t="shared" si="37"/>
        <v>478687.08000000077</v>
      </c>
      <c r="AV23" s="311">
        <f t="shared" si="14"/>
        <v>660.77315286920964</v>
      </c>
      <c r="AW23" s="311">
        <f t="shared" si="15"/>
        <v>587.07166343096139</v>
      </c>
      <c r="AX23" s="311">
        <f t="shared" si="16"/>
        <v>714.64837875234764</v>
      </c>
      <c r="AY23" s="311">
        <f t="shared" si="17"/>
        <v>613.80998176600576</v>
      </c>
      <c r="AZ23" s="310">
        <f>+Listrik!AH22</f>
        <v>25872</v>
      </c>
      <c r="BA23" s="305">
        <f t="shared" si="38"/>
        <v>422871.58799999999</v>
      </c>
      <c r="BB23" s="311">
        <f t="shared" si="18"/>
        <v>479.68851395197925</v>
      </c>
      <c r="BC23" s="311">
        <f t="shared" si="39"/>
        <v>518.61839802497229</v>
      </c>
      <c r="BD23" s="311">
        <f t="shared" si="19"/>
        <v>518.79925404559947</v>
      </c>
      <c r="BE23" s="311">
        <f t="shared" si="20"/>
        <v>542.2389961300845</v>
      </c>
      <c r="BF23" s="570">
        <f>5.063</f>
        <v>5.0629999999999997</v>
      </c>
      <c r="BG23" s="525">
        <v>120.05</v>
      </c>
      <c r="BH23" s="548">
        <f>+SUM(Efficiency2!K79:K81)</f>
        <v>56.011033959999992</v>
      </c>
      <c r="BI23" s="549">
        <f t="shared" si="40"/>
        <v>888.63159495357615</v>
      </c>
      <c r="BJ23" s="550">
        <f t="shared" si="41"/>
        <v>0.89034242852245338</v>
      </c>
      <c r="BK23" s="550">
        <f t="shared" si="42"/>
        <v>0.87759877594802538</v>
      </c>
    </row>
    <row r="24" spans="1:63">
      <c r="A24" s="18">
        <f t="shared" si="21"/>
        <v>45946</v>
      </c>
      <c r="B24" s="446" t="s">
        <v>462</v>
      </c>
      <c r="C24" s="447" t="s">
        <v>654</v>
      </c>
      <c r="D24" s="449">
        <f>+'16'!F42</f>
        <v>830</v>
      </c>
      <c r="E24" s="449">
        <f>+'16'!G42</f>
        <v>713.8</v>
      </c>
      <c r="F24" s="51">
        <f t="shared" si="0"/>
        <v>0.14000000000000001</v>
      </c>
      <c r="G24" s="453">
        <f t="shared" si="22"/>
        <v>0.96589684608722348</v>
      </c>
      <c r="H24" s="452">
        <f t="shared" si="23"/>
        <v>0.96589684608722348</v>
      </c>
      <c r="I24" s="452">
        <f t="shared" si="24"/>
        <v>0.47945259042033239</v>
      </c>
      <c r="J24" s="455">
        <f t="shared" si="25"/>
        <v>0.46310174493534839</v>
      </c>
      <c r="K24" s="455">
        <f t="shared" si="26"/>
        <v>0.78819439093348731</v>
      </c>
      <c r="L24" s="308">
        <f>+SUM(Efficiency1!K84:K85)</f>
        <v>52.955965439999993</v>
      </c>
      <c r="M24" s="14">
        <f t="shared" si="27"/>
        <v>1020.5426595935761</v>
      </c>
      <c r="N24" s="308">
        <f>+SUM(Efficiency1!C84:C85)</f>
        <v>52.955965439999993</v>
      </c>
      <c r="O24" s="14">
        <f t="shared" si="27"/>
        <v>1014.1463943615522</v>
      </c>
      <c r="P24" s="304">
        <f>'16'!I38</f>
        <v>51.15</v>
      </c>
      <c r="Q24" s="14">
        <f t="shared" si="28"/>
        <v>866.53100000000006</v>
      </c>
      <c r="R24" s="16">
        <f>'16'!I40</f>
        <v>24.524000000000001</v>
      </c>
      <c r="S24" s="305">
        <f t="shared" si="29"/>
        <v>804.38599999999997</v>
      </c>
      <c r="T24" s="8">
        <f t="shared" si="1"/>
        <v>0.47945259042033239</v>
      </c>
      <c r="U24" s="8">
        <f t="shared" si="2"/>
        <v>0.92828300430105781</v>
      </c>
      <c r="V24" s="306">
        <f t="shared" si="3"/>
        <v>0.46310174493534839</v>
      </c>
      <c r="W24" s="307">
        <f t="shared" si="4"/>
        <v>0.78819439093348731</v>
      </c>
      <c r="X24" s="305"/>
      <c r="Y24" s="305"/>
      <c r="Z24" s="7"/>
      <c r="AA24" s="305"/>
      <c r="AB24" s="100">
        <v>0</v>
      </c>
      <c r="AC24" s="14">
        <f t="shared" si="30"/>
        <v>0</v>
      </c>
      <c r="AD24" s="303">
        <f t="shared" si="5"/>
        <v>0</v>
      </c>
      <c r="AE24" s="303">
        <f t="shared" si="6"/>
        <v>0</v>
      </c>
      <c r="AF24" s="309">
        <f t="shared" si="7"/>
        <v>0</v>
      </c>
      <c r="AG24" s="303">
        <f t="shared" si="8"/>
        <v>0</v>
      </c>
      <c r="AH24" s="560">
        <f t="shared" si="9"/>
        <v>129.23500000000001</v>
      </c>
      <c r="AI24" s="305">
        <f t="shared" si="31"/>
        <v>1972.2120000000004</v>
      </c>
      <c r="AJ24" s="311">
        <f t="shared" si="10"/>
        <v>2.526588465298143</v>
      </c>
      <c r="AK24" s="311">
        <f t="shared" si="11"/>
        <v>2.2759855100394564</v>
      </c>
      <c r="AL24" s="308">
        <f t="shared" si="12"/>
        <v>5.2697357690425708</v>
      </c>
      <c r="AM24" s="311">
        <f t="shared" si="13"/>
        <v>2.4518228810546185</v>
      </c>
      <c r="AN24" s="100">
        <v>13.6</v>
      </c>
      <c r="AO24" s="305">
        <f t="shared" si="32"/>
        <v>183.49999999999997</v>
      </c>
      <c r="AP24" s="311">
        <f t="shared" si="33"/>
        <v>0.26588465298142716</v>
      </c>
      <c r="AQ24" s="311">
        <f t="shared" si="34"/>
        <v>0.21176391842876938</v>
      </c>
      <c r="AR24" s="308">
        <f t="shared" si="35"/>
        <v>0.55455879954330445</v>
      </c>
      <c r="AS24" s="311">
        <f t="shared" si="36"/>
        <v>0.22812430847876514</v>
      </c>
      <c r="AT24" s="310">
        <f>'16'!I46</f>
        <v>30895.599999997725</v>
      </c>
      <c r="AU24" s="305">
        <f t="shared" si="37"/>
        <v>509582.67999999848</v>
      </c>
      <c r="AV24" s="311">
        <f t="shared" si="14"/>
        <v>604.01955034208652</v>
      </c>
      <c r="AW24" s="311">
        <f t="shared" si="15"/>
        <v>588.07207128192579</v>
      </c>
      <c r="AX24" s="311">
        <f t="shared" si="16"/>
        <v>1259.8107975859455</v>
      </c>
      <c r="AY24" s="311">
        <f t="shared" si="17"/>
        <v>633.50515797141986</v>
      </c>
      <c r="AZ24" s="310">
        <f>+Listrik!AH23</f>
        <v>24647</v>
      </c>
      <c r="BA24" s="305">
        <f t="shared" si="38"/>
        <v>447518.58799999999</v>
      </c>
      <c r="BB24" s="311">
        <f t="shared" si="18"/>
        <v>481.85728250244381</v>
      </c>
      <c r="BC24" s="311">
        <f t="shared" si="39"/>
        <v>516.44844558359705</v>
      </c>
      <c r="BD24" s="311">
        <f t="shared" si="19"/>
        <v>1005.0154950252814</v>
      </c>
      <c r="BE24" s="311">
        <f t="shared" si="20"/>
        <v>556.34805677871066</v>
      </c>
      <c r="BF24" s="570">
        <f>1.916</f>
        <v>1.9159999999999999</v>
      </c>
      <c r="BG24" s="525">
        <v>127.319</v>
      </c>
      <c r="BH24" s="548">
        <f>+SUM(Efficiency2!K84:K85)</f>
        <v>52.955965439999993</v>
      </c>
      <c r="BI24" s="549">
        <f t="shared" si="40"/>
        <v>941.58756039357615</v>
      </c>
      <c r="BJ24" s="550">
        <f t="shared" si="41"/>
        <v>0.46310174493534839</v>
      </c>
      <c r="BK24" s="550">
        <f t="shared" si="42"/>
        <v>0.85428698703684336</v>
      </c>
    </row>
    <row r="25" spans="1:63">
      <c r="A25" s="18">
        <f t="shared" si="21"/>
        <v>45947</v>
      </c>
      <c r="B25" s="446" t="s">
        <v>462</v>
      </c>
      <c r="C25" s="447" t="s">
        <v>655</v>
      </c>
      <c r="D25" s="449">
        <f>+'17'!F42</f>
        <v>800</v>
      </c>
      <c r="E25" s="449">
        <f>+'17'!G42</f>
        <v>688</v>
      </c>
      <c r="F25" s="51">
        <f t="shared" si="0"/>
        <v>0.14000000000000001</v>
      </c>
      <c r="G25" s="453">
        <f t="shared" si="22"/>
        <v>0.79788590269224557</v>
      </c>
      <c r="H25" s="452">
        <f t="shared" si="23"/>
        <v>0.76904665319734522</v>
      </c>
      <c r="I25" s="452">
        <f t="shared" si="24"/>
        <v>1.0637745000989902</v>
      </c>
      <c r="J25" s="455">
        <f t="shared" si="25"/>
        <v>0.81809221905780738</v>
      </c>
      <c r="K25" s="455">
        <f t="shared" si="26"/>
        <v>0.78965831964460775</v>
      </c>
      <c r="L25" s="308">
        <f>+SUM(Efficiency1!K89:K90)</f>
        <v>52.542976205672268</v>
      </c>
      <c r="M25" s="14">
        <f t="shared" si="27"/>
        <v>1073.0856357992484</v>
      </c>
      <c r="N25" s="308">
        <f>+SUM(Efficiency1!C89:C90)</f>
        <v>50.64383248739496</v>
      </c>
      <c r="O25" s="14">
        <f t="shared" si="27"/>
        <v>1064.7902268489472</v>
      </c>
      <c r="P25" s="304">
        <f>'17'!I38</f>
        <v>40.408000000000001</v>
      </c>
      <c r="Q25" s="14">
        <f t="shared" si="28"/>
        <v>906.93900000000008</v>
      </c>
      <c r="R25" s="16">
        <f>'17'!I40</f>
        <v>42.984999999999999</v>
      </c>
      <c r="S25" s="305">
        <f t="shared" si="29"/>
        <v>847.37099999999998</v>
      </c>
      <c r="T25" s="8">
        <f t="shared" si="1"/>
        <v>1.0637745000989902</v>
      </c>
      <c r="U25" s="8">
        <f t="shared" si="2"/>
        <v>0.93431972822869003</v>
      </c>
      <c r="V25" s="306">
        <f t="shared" si="3"/>
        <v>0.81809221905780738</v>
      </c>
      <c r="W25" s="307">
        <f t="shared" si="4"/>
        <v>0.78965831964460775</v>
      </c>
      <c r="X25" s="305"/>
      <c r="Y25" s="305"/>
      <c r="Z25" s="7"/>
      <c r="AA25" s="305"/>
      <c r="AB25" s="100">
        <v>0</v>
      </c>
      <c r="AC25" s="14">
        <f t="shared" si="30"/>
        <v>0</v>
      </c>
      <c r="AD25" s="303">
        <f t="shared" si="5"/>
        <v>0</v>
      </c>
      <c r="AE25" s="303">
        <f t="shared" si="6"/>
        <v>0</v>
      </c>
      <c r="AF25" s="309">
        <f t="shared" si="7"/>
        <v>0</v>
      </c>
      <c r="AG25" s="303">
        <f t="shared" si="8"/>
        <v>0</v>
      </c>
      <c r="AH25" s="560">
        <f t="shared" si="9"/>
        <v>105.137</v>
      </c>
      <c r="AI25" s="305">
        <f t="shared" si="31"/>
        <v>2077.3490000000006</v>
      </c>
      <c r="AJ25" s="311">
        <f t="shared" si="10"/>
        <v>2.6018857651950107</v>
      </c>
      <c r="AK25" s="311">
        <f t="shared" si="11"/>
        <v>2.2905057561754432</v>
      </c>
      <c r="AL25" s="308">
        <f t="shared" si="12"/>
        <v>2.4458997324648135</v>
      </c>
      <c r="AM25" s="311">
        <f t="shared" si="13"/>
        <v>2.4515224146212233</v>
      </c>
      <c r="AN25" s="100">
        <v>8.5</v>
      </c>
      <c r="AO25" s="305">
        <f t="shared" si="32"/>
        <v>191.99999999999997</v>
      </c>
      <c r="AP25" s="311">
        <f t="shared" si="33"/>
        <v>0.2103543852702435</v>
      </c>
      <c r="AQ25" s="311">
        <f t="shared" si="34"/>
        <v>0.2117011177157449</v>
      </c>
      <c r="AR25" s="308">
        <f t="shared" si="35"/>
        <v>0.19774339886006748</v>
      </c>
      <c r="AS25" s="311">
        <f t="shared" si="36"/>
        <v>0.22658316133075121</v>
      </c>
      <c r="AT25" s="310">
        <f>'17'!I46</f>
        <v>33547.440000001276</v>
      </c>
      <c r="AU25" s="305">
        <f t="shared" si="37"/>
        <v>543130.11999999976</v>
      </c>
      <c r="AV25" s="311">
        <f t="shared" si="14"/>
        <v>830.2177786577231</v>
      </c>
      <c r="AW25" s="311">
        <f t="shared" si="15"/>
        <v>598.86069515149279</v>
      </c>
      <c r="AX25" s="311">
        <f t="shared" si="16"/>
        <v>780.44527160640394</v>
      </c>
      <c r="AY25" s="311">
        <f t="shared" si="17"/>
        <v>640.95906043515743</v>
      </c>
      <c r="AZ25" s="310">
        <f>+Listrik!AH24</f>
        <v>17331</v>
      </c>
      <c r="BA25" s="305">
        <f t="shared" si="38"/>
        <v>464849.58799999999</v>
      </c>
      <c r="BB25" s="311">
        <f t="shared" si="18"/>
        <v>428.90021777865769</v>
      </c>
      <c r="BC25" s="311">
        <f t="shared" si="39"/>
        <v>512.5477986942891</v>
      </c>
      <c r="BD25" s="311">
        <f t="shared" si="19"/>
        <v>403.18715831103873</v>
      </c>
      <c r="BE25" s="311">
        <f t="shared" si="20"/>
        <v>548.57858954342305</v>
      </c>
      <c r="BF25" s="570">
        <f>1.377</f>
        <v>1.377</v>
      </c>
      <c r="BG25" s="525">
        <v>103.76</v>
      </c>
      <c r="BH25" s="548">
        <f>+SUM(Efficiency2!K89:K90)</f>
        <v>52.542976205672268</v>
      </c>
      <c r="BI25" s="549">
        <f t="shared" si="40"/>
        <v>994.13053659924844</v>
      </c>
      <c r="BJ25" s="550">
        <f t="shared" si="41"/>
        <v>0.81809221905780738</v>
      </c>
      <c r="BK25" s="550">
        <f t="shared" si="42"/>
        <v>0.85237397786684244</v>
      </c>
    </row>
    <row r="26" spans="1:63">
      <c r="A26" s="18">
        <f t="shared" si="21"/>
        <v>45948</v>
      </c>
      <c r="B26" s="446" t="s">
        <v>462</v>
      </c>
      <c r="C26" s="447" t="s">
        <v>674</v>
      </c>
      <c r="D26" s="449">
        <f>+'18'!F42</f>
        <v>830</v>
      </c>
      <c r="E26" s="449">
        <f>+'18'!G42</f>
        <v>713.8</v>
      </c>
      <c r="F26" s="51">
        <f t="shared" si="0"/>
        <v>0.14000000000000001</v>
      </c>
      <c r="G26" s="453">
        <f t="shared" si="22"/>
        <v>0.49518916514568279</v>
      </c>
      <c r="H26" s="452">
        <f t="shared" si="23"/>
        <v>0.49518916514568279</v>
      </c>
      <c r="I26" s="452">
        <f t="shared" si="24"/>
        <v>0.94822006472491893</v>
      </c>
      <c r="J26" s="455">
        <f t="shared" si="25"/>
        <v>0.46954830222551791</v>
      </c>
      <c r="K26" s="455">
        <f t="shared" si="26"/>
        <v>0.77475031092943591</v>
      </c>
      <c r="L26" s="308">
        <f>+Efficiency1!K95</f>
        <v>52.41633264</v>
      </c>
      <c r="M26" s="14">
        <f t="shared" si="27"/>
        <v>1125.5019684392485</v>
      </c>
      <c r="N26" s="308">
        <f>+Efficiency1!C95</f>
        <v>52.41633264</v>
      </c>
      <c r="O26" s="14">
        <f t="shared" si="27"/>
        <v>1117.2065594889473</v>
      </c>
      <c r="P26" s="304">
        <f>'18'!I38</f>
        <v>25.956000000000003</v>
      </c>
      <c r="Q26" s="14">
        <f t="shared" si="28"/>
        <v>932.8950000000001</v>
      </c>
      <c r="R26" s="16">
        <f>'18'!I40</f>
        <v>24.611999999999998</v>
      </c>
      <c r="S26" s="305">
        <f t="shared" si="29"/>
        <v>871.98299999999995</v>
      </c>
      <c r="T26" s="8">
        <f t="shared" si="1"/>
        <v>0.94822006472491893</v>
      </c>
      <c r="U26" s="8">
        <f t="shared" si="2"/>
        <v>0.93470647822102149</v>
      </c>
      <c r="V26" s="306">
        <f t="shared" si="3"/>
        <v>0.46954830222551791</v>
      </c>
      <c r="W26" s="307">
        <f t="shared" si="4"/>
        <v>0.77475031092943591</v>
      </c>
      <c r="X26" s="305"/>
      <c r="Y26" s="305"/>
      <c r="Z26" s="7"/>
      <c r="AA26" s="305"/>
      <c r="AB26" s="100">
        <v>0</v>
      </c>
      <c r="AC26" s="14">
        <f t="shared" si="30"/>
        <v>0</v>
      </c>
      <c r="AD26" s="303">
        <f t="shared" si="5"/>
        <v>0</v>
      </c>
      <c r="AE26" s="303">
        <f t="shared" si="6"/>
        <v>0</v>
      </c>
      <c r="AF26" s="309">
        <f t="shared" si="7"/>
        <v>0</v>
      </c>
      <c r="AG26" s="303">
        <f t="shared" si="8"/>
        <v>0</v>
      </c>
      <c r="AH26" s="560">
        <f t="shared" si="9"/>
        <v>80.039000000000001</v>
      </c>
      <c r="AI26" s="305">
        <f t="shared" si="31"/>
        <v>2157.3880000000008</v>
      </c>
      <c r="AJ26" s="311">
        <f t="shared" si="10"/>
        <v>3.0836415472337801</v>
      </c>
      <c r="AK26" s="311">
        <f t="shared" si="11"/>
        <v>2.3125732263545209</v>
      </c>
      <c r="AL26" s="308">
        <f t="shared" si="12"/>
        <v>3.2520315293352837</v>
      </c>
      <c r="AM26" s="311">
        <f t="shared" si="13"/>
        <v>2.4741170412725948</v>
      </c>
      <c r="AN26" s="100">
        <v>11.1</v>
      </c>
      <c r="AO26" s="305">
        <f t="shared" si="32"/>
        <v>203.09999999999997</v>
      </c>
      <c r="AP26" s="311">
        <f t="shared" si="33"/>
        <v>0.42764678687008778</v>
      </c>
      <c r="AQ26" s="311">
        <f t="shared" si="34"/>
        <v>0.21770938851639246</v>
      </c>
      <c r="AR26" s="308">
        <f t="shared" si="35"/>
        <v>0.45099951243295955</v>
      </c>
      <c r="AS26" s="311">
        <f t="shared" si="36"/>
        <v>0.23291738485727356</v>
      </c>
      <c r="AT26" s="310">
        <f>'18'!I46</f>
        <v>21046.070000000691</v>
      </c>
      <c r="AU26" s="305">
        <f t="shared" si="37"/>
        <v>564176.19000000041</v>
      </c>
      <c r="AV26" s="311">
        <f t="shared" si="14"/>
        <v>810.83641547236425</v>
      </c>
      <c r="AW26" s="311">
        <f t="shared" si="15"/>
        <v>604.75850980013865</v>
      </c>
      <c r="AX26" s="311">
        <f t="shared" si="16"/>
        <v>855.11417194867101</v>
      </c>
      <c r="AY26" s="311">
        <f t="shared" si="17"/>
        <v>647.00365718139051</v>
      </c>
      <c r="AZ26" s="310">
        <f>+Listrik!AH25</f>
        <v>17305</v>
      </c>
      <c r="BA26" s="305">
        <f t="shared" si="38"/>
        <v>482154.58799999999</v>
      </c>
      <c r="BB26" s="311">
        <f t="shared" si="18"/>
        <v>666.70519340422243</v>
      </c>
      <c r="BC26" s="311">
        <f t="shared" si="39"/>
        <v>516.83693020114799</v>
      </c>
      <c r="BD26" s="311">
        <f t="shared" si="19"/>
        <v>703.11230294165455</v>
      </c>
      <c r="BE26" s="311">
        <f t="shared" si="20"/>
        <v>552.94035319495902</v>
      </c>
      <c r="BF26" s="570">
        <f>0.643</f>
        <v>0.64300000000000002</v>
      </c>
      <c r="BG26" s="525">
        <v>79.396000000000001</v>
      </c>
      <c r="BH26" s="548">
        <f>+Efficiency2!K95</f>
        <v>52.41633264</v>
      </c>
      <c r="BI26" s="549">
        <f t="shared" si="40"/>
        <v>1046.5468692392485</v>
      </c>
      <c r="BJ26" s="550">
        <f t="shared" si="41"/>
        <v>0.46954830222551791</v>
      </c>
      <c r="BK26" s="550">
        <f t="shared" si="42"/>
        <v>0.83320014194286229</v>
      </c>
    </row>
    <row r="27" spans="1:63">
      <c r="A27" s="18">
        <f t="shared" si="21"/>
        <v>45949</v>
      </c>
      <c r="B27" s="446" t="s">
        <v>462</v>
      </c>
      <c r="C27" s="447" t="s">
        <v>674</v>
      </c>
      <c r="D27" s="449">
        <f>+'19'!F42</f>
        <v>830</v>
      </c>
      <c r="E27" s="449">
        <f>+'19'!G42</f>
        <v>713.8</v>
      </c>
      <c r="F27" s="51">
        <f t="shared" si="0"/>
        <v>0.14000000000000001</v>
      </c>
      <c r="G27" s="453">
        <f t="shared" si="22"/>
        <v>0.96702683013192969</v>
      </c>
      <c r="H27" s="452">
        <f t="shared" si="23"/>
        <v>0.96702683013192969</v>
      </c>
      <c r="I27" s="452">
        <f t="shared" si="24"/>
        <v>0.96760574494949492</v>
      </c>
      <c r="J27" s="455">
        <f t="shared" si="25"/>
        <v>0.93570071635595453</v>
      </c>
      <c r="K27" s="455">
        <f t="shared" si="26"/>
        <v>0.78191246299180694</v>
      </c>
      <c r="L27" s="308">
        <f>+Efficiency1!K100</f>
        <v>52.41633264</v>
      </c>
      <c r="M27" s="14">
        <f t="shared" si="27"/>
        <v>1177.9183010792485</v>
      </c>
      <c r="N27" s="308">
        <f>+Efficiency1!C100</f>
        <v>52.41633264</v>
      </c>
      <c r="O27" s="14">
        <f t="shared" si="27"/>
        <v>1169.6228921289473</v>
      </c>
      <c r="P27" s="304">
        <f>'19'!I38</f>
        <v>50.688000000000002</v>
      </c>
      <c r="Q27" s="14">
        <f t="shared" si="28"/>
        <v>983.58300000000008</v>
      </c>
      <c r="R27" s="16">
        <f>'19'!I40</f>
        <v>49.045999999999999</v>
      </c>
      <c r="S27" s="305">
        <f t="shared" si="29"/>
        <v>921.029</v>
      </c>
      <c r="T27" s="8">
        <f t="shared" si="1"/>
        <v>0.96760574494949492</v>
      </c>
      <c r="U27" s="8">
        <f t="shared" si="2"/>
        <v>0.93640191015908159</v>
      </c>
      <c r="V27" s="306">
        <f t="shared" si="3"/>
        <v>0.93570071635595453</v>
      </c>
      <c r="W27" s="307">
        <f t="shared" si="4"/>
        <v>0.78191246299180694</v>
      </c>
      <c r="X27" s="305"/>
      <c r="Y27" s="305"/>
      <c r="Z27" s="7"/>
      <c r="AA27" s="305"/>
      <c r="AB27" s="100">
        <v>0</v>
      </c>
      <c r="AC27" s="14">
        <f t="shared" si="30"/>
        <v>0</v>
      </c>
      <c r="AD27" s="303">
        <f t="shared" si="5"/>
        <v>0</v>
      </c>
      <c r="AE27" s="303">
        <f t="shared" si="6"/>
        <v>0</v>
      </c>
      <c r="AF27" s="309">
        <f t="shared" si="7"/>
        <v>0</v>
      </c>
      <c r="AG27" s="303">
        <f t="shared" si="8"/>
        <v>0</v>
      </c>
      <c r="AH27" s="560">
        <f t="shared" si="9"/>
        <v>121.2</v>
      </c>
      <c r="AI27" s="305">
        <f t="shared" si="31"/>
        <v>2278.5880000000006</v>
      </c>
      <c r="AJ27" s="311">
        <f t="shared" si="10"/>
        <v>2.3910984848484849</v>
      </c>
      <c r="AK27" s="311">
        <f t="shared" si="11"/>
        <v>2.3166199497144628</v>
      </c>
      <c r="AL27" s="308">
        <f t="shared" si="12"/>
        <v>2.4711495330913835</v>
      </c>
      <c r="AM27" s="311">
        <f t="shared" si="13"/>
        <v>2.4739590175770805</v>
      </c>
      <c r="AN27" s="100">
        <v>12</v>
      </c>
      <c r="AO27" s="305">
        <f t="shared" si="32"/>
        <v>215.09999999999997</v>
      </c>
      <c r="AP27" s="311">
        <f t="shared" si="33"/>
        <v>0.23674242424242423</v>
      </c>
      <c r="AQ27" s="311">
        <f t="shared" si="34"/>
        <v>0.21869023763119122</v>
      </c>
      <c r="AR27" s="308">
        <f t="shared" si="35"/>
        <v>0.24466827060310728</v>
      </c>
      <c r="AS27" s="311">
        <f t="shared" si="36"/>
        <v>0.23354313490671844</v>
      </c>
      <c r="AT27" s="310">
        <f>'19'!I46</f>
        <v>37504.569999999199</v>
      </c>
      <c r="AU27" s="305">
        <f t="shared" si="37"/>
        <v>601680.75999999966</v>
      </c>
      <c r="AV27" s="311">
        <f t="shared" si="14"/>
        <v>739.91023516412554</v>
      </c>
      <c r="AW27" s="311">
        <f t="shared" si="15"/>
        <v>611.72342344265769</v>
      </c>
      <c r="AX27" s="311">
        <f t="shared" si="16"/>
        <v>764.68152346774866</v>
      </c>
      <c r="AY27" s="311">
        <f t="shared" si="17"/>
        <v>653.27015761718656</v>
      </c>
      <c r="AZ27" s="310">
        <f>+Listrik!AH26</f>
        <v>19293</v>
      </c>
      <c r="BA27" s="305">
        <f t="shared" si="38"/>
        <v>501447.58799999999</v>
      </c>
      <c r="BB27" s="311">
        <f t="shared" si="18"/>
        <v>380.62263257575756</v>
      </c>
      <c r="BC27" s="311">
        <f t="shared" si="39"/>
        <v>509.81725792332719</v>
      </c>
      <c r="BD27" s="311">
        <f t="shared" si="19"/>
        <v>393.36541206214577</v>
      </c>
      <c r="BE27" s="311">
        <f t="shared" si="20"/>
        <v>544.44277867472147</v>
      </c>
      <c r="BF27" s="570">
        <f>1.149</f>
        <v>1.149</v>
      </c>
      <c r="BG27" s="525">
        <v>120.051</v>
      </c>
      <c r="BH27" s="548">
        <f>+Efficiency2!K100</f>
        <v>52.41633264</v>
      </c>
      <c r="BI27" s="549">
        <f t="shared" si="40"/>
        <v>1098.9632018792486</v>
      </c>
      <c r="BJ27" s="550">
        <f t="shared" si="41"/>
        <v>0.93570071635595453</v>
      </c>
      <c r="BK27" s="550">
        <f t="shared" si="42"/>
        <v>0.83808902647970596</v>
      </c>
    </row>
    <row r="28" spans="1:63">
      <c r="A28" s="18">
        <f t="shared" si="21"/>
        <v>45950</v>
      </c>
      <c r="B28" s="446" t="s">
        <v>462</v>
      </c>
      <c r="C28" s="447" t="s">
        <v>674</v>
      </c>
      <c r="D28" s="449">
        <f>+'20'!F42</f>
        <v>830</v>
      </c>
      <c r="E28" s="449">
        <f>+'20'!G42</f>
        <v>713.8</v>
      </c>
      <c r="F28" s="51">
        <f t="shared" si="0"/>
        <v>0.14000000000000001</v>
      </c>
      <c r="G28" s="453">
        <f t="shared" si="22"/>
        <v>0.94172937162587411</v>
      </c>
      <c r="H28" s="452">
        <f t="shared" si="23"/>
        <v>0.94172937162587411</v>
      </c>
      <c r="I28" s="452">
        <f t="shared" si="24"/>
        <v>1.0053685020866254</v>
      </c>
      <c r="J28" s="455">
        <f t="shared" si="25"/>
        <v>0.94678504772248417</v>
      </c>
      <c r="K28" s="455">
        <f t="shared" si="26"/>
        <v>0.78893658147763324</v>
      </c>
      <c r="L28" s="308">
        <f>+Efficiency1!K104</f>
        <v>52.41633264</v>
      </c>
      <c r="M28" s="14">
        <f t="shared" si="27"/>
        <v>1230.3346337192486</v>
      </c>
      <c r="N28" s="308">
        <f>+Efficiency1!C104</f>
        <v>52.41633264</v>
      </c>
      <c r="O28" s="14">
        <f t="shared" si="27"/>
        <v>1222.0392247689474</v>
      </c>
      <c r="P28" s="304">
        <f>'20'!I38</f>
        <v>49.361999999999995</v>
      </c>
      <c r="Q28" s="14">
        <f t="shared" si="28"/>
        <v>1032.9450000000002</v>
      </c>
      <c r="R28" s="16">
        <f>'20'!I40</f>
        <v>49.627000000000002</v>
      </c>
      <c r="S28" s="305">
        <f t="shared" si="29"/>
        <v>970.65599999999995</v>
      </c>
      <c r="T28" s="8">
        <f t="shared" si="1"/>
        <v>1.0053685020866254</v>
      </c>
      <c r="U28" s="8">
        <f t="shared" si="2"/>
        <v>0.93969766057244075</v>
      </c>
      <c r="V28" s="306">
        <f t="shared" si="3"/>
        <v>0.94678504772248417</v>
      </c>
      <c r="W28" s="307">
        <f t="shared" si="4"/>
        <v>0.78893658147763324</v>
      </c>
      <c r="X28" s="305"/>
      <c r="Y28" s="305"/>
      <c r="Z28" s="7"/>
      <c r="AA28" s="305"/>
      <c r="AB28" s="100">
        <v>0</v>
      </c>
      <c r="AC28" s="14">
        <f t="shared" si="30"/>
        <v>0</v>
      </c>
      <c r="AD28" s="303">
        <f t="shared" si="5"/>
        <v>0</v>
      </c>
      <c r="AE28" s="303">
        <f t="shared" si="6"/>
        <v>0</v>
      </c>
      <c r="AF28" s="309">
        <f t="shared" si="7"/>
        <v>0</v>
      </c>
      <c r="AG28" s="303">
        <f t="shared" si="8"/>
        <v>0</v>
      </c>
      <c r="AH28" s="560">
        <f t="shared" si="9"/>
        <v>120.82299999999999</v>
      </c>
      <c r="AI28" s="305">
        <f t="shared" si="31"/>
        <v>2399.4110000000005</v>
      </c>
      <c r="AJ28" s="311">
        <f t="shared" si="10"/>
        <v>2.4476925570276733</v>
      </c>
      <c r="AK28" s="311">
        <f t="shared" si="11"/>
        <v>2.3228835998044426</v>
      </c>
      <c r="AL28" s="308">
        <f t="shared" si="12"/>
        <v>2.4346222822254013</v>
      </c>
      <c r="AM28" s="311">
        <f t="shared" si="13"/>
        <v>2.4719478373388726</v>
      </c>
      <c r="AN28" s="100">
        <v>14.4</v>
      </c>
      <c r="AO28" s="305">
        <f t="shared" si="32"/>
        <v>229.49999999999997</v>
      </c>
      <c r="AP28" s="311">
        <f t="shared" si="33"/>
        <v>0.29172237753737695</v>
      </c>
      <c r="AQ28" s="311">
        <f t="shared" si="34"/>
        <v>0.22218027097280102</v>
      </c>
      <c r="AR28" s="308">
        <f t="shared" si="35"/>
        <v>0.29016462812581861</v>
      </c>
      <c r="AS28" s="311">
        <f t="shared" si="36"/>
        <v>0.23643803778063494</v>
      </c>
      <c r="AT28" s="310">
        <f>'20'!I46</f>
        <v>35243.729999999174</v>
      </c>
      <c r="AU28" s="305">
        <f t="shared" si="37"/>
        <v>636924.48999999883</v>
      </c>
      <c r="AV28" s="311">
        <f t="shared" si="14"/>
        <v>713.98504922813459</v>
      </c>
      <c r="AW28" s="311">
        <f t="shared" si="15"/>
        <v>616.61026482532827</v>
      </c>
      <c r="AX28" s="311">
        <f t="shared" si="16"/>
        <v>710.17248675114706</v>
      </c>
      <c r="AY28" s="311">
        <f t="shared" si="17"/>
        <v>656.17941886723906</v>
      </c>
      <c r="AZ28" s="310">
        <f>+Listrik!AH27</f>
        <v>22897</v>
      </c>
      <c r="BA28" s="305">
        <f t="shared" si="38"/>
        <v>524344.58799999999</v>
      </c>
      <c r="BB28" s="311">
        <f t="shared" si="18"/>
        <v>463.8588387828695</v>
      </c>
      <c r="BC28" s="311">
        <f t="shared" si="39"/>
        <v>507.62101370353696</v>
      </c>
      <c r="BD28" s="311">
        <f t="shared" si="19"/>
        <v>461.38190904144921</v>
      </c>
      <c r="BE28" s="311">
        <f t="shared" si="20"/>
        <v>540.19610242969702</v>
      </c>
      <c r="BF28" s="570">
        <f>2.103</f>
        <v>2.1030000000000002</v>
      </c>
      <c r="BG28" s="525">
        <v>118.72</v>
      </c>
      <c r="BH28" s="548">
        <f>+Efficiency2!K104</f>
        <v>52.41633264</v>
      </c>
      <c r="BI28" s="549">
        <f t="shared" si="40"/>
        <v>1151.3795345192486</v>
      </c>
      <c r="BJ28" s="550">
        <f t="shared" si="41"/>
        <v>0.94678504772248417</v>
      </c>
      <c r="BK28" s="550">
        <f t="shared" si="42"/>
        <v>0.84303739201452055</v>
      </c>
    </row>
    <row r="29" spans="1:63" ht="12.2" customHeight="1">
      <c r="A29" s="18">
        <f t="shared" si="21"/>
        <v>45951</v>
      </c>
      <c r="B29" s="446" t="s">
        <v>462</v>
      </c>
      <c r="C29" s="447" t="s">
        <v>679</v>
      </c>
      <c r="D29" s="449">
        <f>+'21'!F42</f>
        <v>830</v>
      </c>
      <c r="E29" s="449">
        <f>+'21'!G42</f>
        <v>713.8</v>
      </c>
      <c r="F29" s="51">
        <f t="shared" si="0"/>
        <v>0.14000000000000001</v>
      </c>
      <c r="G29" s="453">
        <f t="shared" si="22"/>
        <v>0.94766472877558461</v>
      </c>
      <c r="H29" s="452">
        <f t="shared" si="23"/>
        <v>0.94766472877558461</v>
      </c>
      <c r="I29" s="452">
        <f t="shared" si="24"/>
        <v>0.94631689002946473</v>
      </c>
      <c r="J29" s="455">
        <f t="shared" si="25"/>
        <v>0.89679113892552753</v>
      </c>
      <c r="K29" s="455">
        <f t="shared" si="26"/>
        <v>0.79359268112004044</v>
      </c>
      <c r="L29" s="308">
        <f>+SUM(Efficiency1!K108:K110)</f>
        <v>55.510138134999991</v>
      </c>
      <c r="M29" s="14">
        <f t="shared" si="27"/>
        <v>1285.8447718542486</v>
      </c>
      <c r="N29" s="308">
        <f>+SUM(Efficiency1!C108:C110)</f>
        <v>55.510138134999991</v>
      </c>
      <c r="O29" s="14">
        <f t="shared" si="27"/>
        <v>1277.5493629039474</v>
      </c>
      <c r="P29" s="304">
        <f>'21'!I38</f>
        <v>52.605000000000004</v>
      </c>
      <c r="Q29" s="14">
        <f t="shared" si="28"/>
        <v>1085.5500000000002</v>
      </c>
      <c r="R29" s="16">
        <f>'21'!I40</f>
        <v>49.780999999999999</v>
      </c>
      <c r="S29" s="305">
        <f t="shared" si="29"/>
        <v>1020.4369999999999</v>
      </c>
      <c r="T29" s="8">
        <f t="shared" si="1"/>
        <v>0.94631689002946473</v>
      </c>
      <c r="U29" s="8">
        <f t="shared" si="2"/>
        <v>0.94001842384044931</v>
      </c>
      <c r="V29" s="306">
        <f t="shared" si="3"/>
        <v>0.89679113892552753</v>
      </c>
      <c r="W29" s="307">
        <f t="shared" si="4"/>
        <v>0.79359268112004044</v>
      </c>
      <c r="X29" s="305"/>
      <c r="Y29" s="305"/>
      <c r="Z29" s="7"/>
      <c r="AA29" s="305"/>
      <c r="AB29" s="100">
        <v>0</v>
      </c>
      <c r="AC29" s="14">
        <f t="shared" si="30"/>
        <v>0</v>
      </c>
      <c r="AD29" s="303">
        <f t="shared" si="5"/>
        <v>0</v>
      </c>
      <c r="AE29" s="303">
        <f t="shared" si="6"/>
        <v>0</v>
      </c>
      <c r="AF29" s="309">
        <f t="shared" si="7"/>
        <v>0</v>
      </c>
      <c r="AG29" s="303">
        <f t="shared" si="8"/>
        <v>0</v>
      </c>
      <c r="AH29" s="560">
        <f t="shared" si="9"/>
        <v>128.018</v>
      </c>
      <c r="AI29" s="305">
        <f t="shared" si="31"/>
        <v>2527.4290000000005</v>
      </c>
      <c r="AJ29" s="311">
        <f t="shared" si="10"/>
        <v>2.433570953331432</v>
      </c>
      <c r="AK29" s="311">
        <f t="shared" si="11"/>
        <v>2.3282474321772373</v>
      </c>
      <c r="AL29" s="308">
        <f t="shared" si="12"/>
        <v>2.5716237118579377</v>
      </c>
      <c r="AM29" s="311">
        <f t="shared" si="13"/>
        <v>2.4768104253373808</v>
      </c>
      <c r="AN29" s="100">
        <v>12.1</v>
      </c>
      <c r="AO29" s="305">
        <f t="shared" si="32"/>
        <v>241.59999999999997</v>
      </c>
      <c r="AP29" s="311">
        <f t="shared" si="33"/>
        <v>0.2300161581598707</v>
      </c>
      <c r="AQ29" s="311">
        <f t="shared" si="34"/>
        <v>0.22255999263046375</v>
      </c>
      <c r="AR29" s="308">
        <f t="shared" si="35"/>
        <v>0.24306462304895443</v>
      </c>
      <c r="AS29" s="311">
        <f t="shared" si="36"/>
        <v>0.23676130912540411</v>
      </c>
      <c r="AT29" s="310">
        <f>'21'!I46</f>
        <v>37000.890000000545</v>
      </c>
      <c r="AU29" s="305">
        <f t="shared" si="37"/>
        <v>673925.37999999942</v>
      </c>
      <c r="AV29" s="311">
        <f t="shared" si="14"/>
        <v>703.37211291703341</v>
      </c>
      <c r="AW29" s="311">
        <f t="shared" si="15"/>
        <v>620.81468380083754</v>
      </c>
      <c r="AX29" s="311">
        <f t="shared" si="16"/>
        <v>743.27333721702144</v>
      </c>
      <c r="AY29" s="311">
        <f t="shared" si="17"/>
        <v>660.42820869882166</v>
      </c>
      <c r="AZ29" s="310">
        <f>+Listrik!AH28</f>
        <v>19372</v>
      </c>
      <c r="BA29" s="305">
        <f t="shared" si="38"/>
        <v>543716.58799999999</v>
      </c>
      <c r="BB29" s="311">
        <f t="shared" si="18"/>
        <v>368.2539682539682</v>
      </c>
      <c r="BC29" s="311">
        <f t="shared" si="39"/>
        <v>500.86738335406</v>
      </c>
      <c r="BD29" s="311">
        <f t="shared" si="19"/>
        <v>389.14445270283841</v>
      </c>
      <c r="BE29" s="311">
        <f t="shared" si="20"/>
        <v>532.82719854336926</v>
      </c>
      <c r="BF29" s="570">
        <f>1.037</f>
        <v>1.0369999999999999</v>
      </c>
      <c r="BG29" s="525">
        <v>126.98099999999999</v>
      </c>
      <c r="BH29" s="548">
        <f>+SUM(Efficiency2!K108:K110)</f>
        <v>55.510138134999991</v>
      </c>
      <c r="BI29" s="549">
        <f t="shared" si="40"/>
        <v>1206.8896726542487</v>
      </c>
      <c r="BJ29" s="550">
        <f t="shared" si="41"/>
        <v>0.89679113892552753</v>
      </c>
      <c r="BK29" s="550">
        <f t="shared" si="42"/>
        <v>0.84550976209433193</v>
      </c>
    </row>
    <row r="30" spans="1:63" ht="12.75" customHeight="1">
      <c r="A30" s="18">
        <f t="shared" si="21"/>
        <v>45952</v>
      </c>
      <c r="B30" s="446" t="s">
        <v>611</v>
      </c>
      <c r="C30" s="447" t="s">
        <v>689</v>
      </c>
      <c r="D30" s="449">
        <f>+'22'!F42</f>
        <v>697.08333333333337</v>
      </c>
      <c r="E30" s="449">
        <f>+'22'!G42</f>
        <v>608.47638888888889</v>
      </c>
      <c r="F30" s="51">
        <f t="shared" si="0"/>
        <v>0.12711097828252649</v>
      </c>
      <c r="G30" s="453">
        <f t="shared" si="22"/>
        <v>0.94982551373711022</v>
      </c>
      <c r="H30" s="452">
        <f t="shared" si="23"/>
        <v>0.94982551373711022</v>
      </c>
      <c r="I30" s="452">
        <f t="shared" si="24"/>
        <v>0.85691648179346469</v>
      </c>
      <c r="J30" s="455">
        <f t="shared" si="25"/>
        <v>0.81392113754927475</v>
      </c>
      <c r="K30" s="455">
        <f t="shared" si="26"/>
        <v>0.79454384876481365</v>
      </c>
      <c r="L30" s="308">
        <f>+SUM(Efficiency1!K113:K115)</f>
        <v>63.117908640000003</v>
      </c>
      <c r="M30" s="14">
        <f t="shared" si="27"/>
        <v>1348.9626804942486</v>
      </c>
      <c r="N30" s="308">
        <f>+SUM(Efficiency1!C113:C115)</f>
        <v>63.117908640000003</v>
      </c>
      <c r="O30" s="14">
        <f t="shared" si="27"/>
        <v>1340.6672715439474</v>
      </c>
      <c r="P30" s="304">
        <f>'22'!I38</f>
        <v>59.950999999999993</v>
      </c>
      <c r="Q30" s="14">
        <f t="shared" si="28"/>
        <v>1145.5010000000002</v>
      </c>
      <c r="R30" s="16">
        <f>'22'!I40</f>
        <v>51.372999999999998</v>
      </c>
      <c r="S30" s="305">
        <f t="shared" si="29"/>
        <v>1071.81</v>
      </c>
      <c r="T30" s="8">
        <f t="shared" si="1"/>
        <v>0.85691648179346469</v>
      </c>
      <c r="U30" s="8">
        <f t="shared" si="2"/>
        <v>0.93566919627307155</v>
      </c>
      <c r="V30" s="306">
        <f t="shared" si="3"/>
        <v>0.81392113754927475</v>
      </c>
      <c r="W30" s="307">
        <f t="shared" si="4"/>
        <v>0.79454384876481365</v>
      </c>
      <c r="X30" s="305"/>
      <c r="Y30" s="305"/>
      <c r="Z30" s="7"/>
      <c r="AA30" s="305"/>
      <c r="AB30" s="100">
        <v>0</v>
      </c>
      <c r="AC30" s="14">
        <f t="shared" si="30"/>
        <v>0</v>
      </c>
      <c r="AD30" s="303">
        <f t="shared" si="5"/>
        <v>0</v>
      </c>
      <c r="AE30" s="303">
        <f t="shared" si="6"/>
        <v>0</v>
      </c>
      <c r="AF30" s="309">
        <f t="shared" si="7"/>
        <v>0</v>
      </c>
      <c r="AG30" s="303">
        <f t="shared" si="8"/>
        <v>0</v>
      </c>
      <c r="AH30" s="560">
        <f t="shared" si="9"/>
        <v>133.476</v>
      </c>
      <c r="AI30" s="305">
        <f t="shared" si="31"/>
        <v>2660.9050000000007</v>
      </c>
      <c r="AJ30" s="311">
        <f t="shared" si="10"/>
        <v>2.2264182415639442</v>
      </c>
      <c r="AK30" s="311">
        <f t="shared" si="11"/>
        <v>2.3229180943534753</v>
      </c>
      <c r="AL30" s="308">
        <f t="shared" si="12"/>
        <v>2.5981741381659629</v>
      </c>
      <c r="AM30" s="311">
        <f t="shared" si="13"/>
        <v>2.4826275179369484</v>
      </c>
      <c r="AN30" s="100">
        <v>17.600000000000001</v>
      </c>
      <c r="AO30" s="305">
        <f t="shared" si="32"/>
        <v>259.2</v>
      </c>
      <c r="AP30" s="311">
        <f t="shared" si="33"/>
        <v>0.29357308468582682</v>
      </c>
      <c r="AQ30" s="311">
        <f t="shared" si="34"/>
        <v>0.22627653751502613</v>
      </c>
      <c r="AR30" s="308">
        <f t="shared" si="35"/>
        <v>0.34259241235668547</v>
      </c>
      <c r="AS30" s="311">
        <f t="shared" si="36"/>
        <v>0.24183390712906205</v>
      </c>
      <c r="AT30" s="310">
        <f>'22'!I46</f>
        <v>36649.119999999821</v>
      </c>
      <c r="AU30" s="305">
        <f t="shared" si="37"/>
        <v>710574.4999999993</v>
      </c>
      <c r="AV30" s="311">
        <f t="shared" si="14"/>
        <v>611.31790962619186</v>
      </c>
      <c r="AW30" s="311">
        <f t="shared" si="15"/>
        <v>620.31766013298909</v>
      </c>
      <c r="AX30" s="311">
        <f t="shared" si="16"/>
        <v>713.39263815622644</v>
      </c>
      <c r="AY30" s="311">
        <f t="shared" si="17"/>
        <v>662.96685046789946</v>
      </c>
      <c r="AZ30" s="310">
        <f>+Listrik!AH29</f>
        <v>27589</v>
      </c>
      <c r="BA30" s="305">
        <f t="shared" si="38"/>
        <v>571305.58799999999</v>
      </c>
      <c r="BB30" s="311">
        <f t="shared" si="18"/>
        <v>460.19249053393611</v>
      </c>
      <c r="BC30" s="311">
        <f t="shared" si="39"/>
        <v>498.73862004485363</v>
      </c>
      <c r="BD30" s="311">
        <f t="shared" si="19"/>
        <v>537.03307184707921</v>
      </c>
      <c r="BE30" s="311">
        <f t="shared" si="20"/>
        <v>533.02879055056394</v>
      </c>
      <c r="BF30" s="570">
        <f>1.02</f>
        <v>1.02</v>
      </c>
      <c r="BG30" s="525">
        <v>132.45599999999999</v>
      </c>
      <c r="BH30" s="548">
        <f>+SUM(Efficiency2!K113:K115)</f>
        <v>63.117908640000003</v>
      </c>
      <c r="BI30" s="549">
        <f t="shared" si="40"/>
        <v>1270.0075812942487</v>
      </c>
      <c r="BJ30" s="550">
        <f t="shared" si="41"/>
        <v>0.81392113754927475</v>
      </c>
      <c r="BK30" s="550">
        <f t="shared" si="42"/>
        <v>0.84393984397142885</v>
      </c>
    </row>
    <row r="31" spans="1:63">
      <c r="A31" s="18">
        <f t="shared" si="21"/>
        <v>45953</v>
      </c>
      <c r="B31" s="446" t="s">
        <v>8</v>
      </c>
      <c r="C31" s="447" t="s">
        <v>696</v>
      </c>
      <c r="D31" s="449">
        <f>+'23'!F42</f>
        <v>540</v>
      </c>
      <c r="E31" s="449">
        <f>+'23'!G42</f>
        <v>475.2</v>
      </c>
      <c r="F31" s="51">
        <f t="shared" si="0"/>
        <v>0.12</v>
      </c>
      <c r="G31" s="453">
        <f t="shared" si="22"/>
        <v>0.99139473679255852</v>
      </c>
      <c r="H31" s="452">
        <f t="shared" si="23"/>
        <v>0.99139473679255852</v>
      </c>
      <c r="I31" s="452">
        <f t="shared" si="24"/>
        <v>1.0339042806357788</v>
      </c>
      <c r="J31" s="455">
        <f t="shared" si="25"/>
        <v>1.0250072621696076</v>
      </c>
      <c r="K31" s="455">
        <f t="shared" si="26"/>
        <v>0.80570668371982901</v>
      </c>
      <c r="L31" s="308">
        <f>+Efficiency1!K118</f>
        <v>68.664879360000015</v>
      </c>
      <c r="M31" s="14">
        <f t="shared" si="27"/>
        <v>1417.6275598542486</v>
      </c>
      <c r="N31" s="308">
        <f>+Efficiency1!C118</f>
        <v>68.664879360000015</v>
      </c>
      <c r="O31" s="14">
        <f t="shared" si="27"/>
        <v>1409.3321509039474</v>
      </c>
      <c r="P31" s="304">
        <f>'23'!I38</f>
        <v>68.073999999999998</v>
      </c>
      <c r="Q31" s="14">
        <f t="shared" si="28"/>
        <v>1213.5750000000003</v>
      </c>
      <c r="R31" s="16">
        <f>'23'!I40</f>
        <v>70.382000000000005</v>
      </c>
      <c r="S31" s="305">
        <f t="shared" si="29"/>
        <v>1142.192</v>
      </c>
      <c r="T31" s="8">
        <f t="shared" si="1"/>
        <v>1.0339042806357788</v>
      </c>
      <c r="U31" s="8">
        <f t="shared" si="2"/>
        <v>0.9411795727499328</v>
      </c>
      <c r="V31" s="306">
        <f t="shared" si="3"/>
        <v>1.0250072621696076</v>
      </c>
      <c r="W31" s="307">
        <f t="shared" si="4"/>
        <v>0.80570668371982901</v>
      </c>
      <c r="X31" s="305"/>
      <c r="Y31" s="305"/>
      <c r="Z31" s="7"/>
      <c r="AA31" s="305"/>
      <c r="AB31" s="100">
        <v>0</v>
      </c>
      <c r="AC31" s="14">
        <f t="shared" si="30"/>
        <v>0</v>
      </c>
      <c r="AD31" s="303">
        <f t="shared" si="5"/>
        <v>0</v>
      </c>
      <c r="AE31" s="303">
        <f t="shared" si="6"/>
        <v>0</v>
      </c>
      <c r="AF31" s="309">
        <f t="shared" si="7"/>
        <v>0</v>
      </c>
      <c r="AG31" s="303">
        <f t="shared" si="8"/>
        <v>0</v>
      </c>
      <c r="AH31" s="560">
        <f t="shared" si="9"/>
        <v>140.74700000000001</v>
      </c>
      <c r="AI31" s="305">
        <f t="shared" si="31"/>
        <v>2801.6520000000005</v>
      </c>
      <c r="AJ31" s="311">
        <f t="shared" si="10"/>
        <v>2.0675588330346391</v>
      </c>
      <c r="AK31" s="311">
        <f t="shared" si="11"/>
        <v>2.3085940300352266</v>
      </c>
      <c r="AL31" s="308">
        <f t="shared" si="12"/>
        <v>1.9997584609701344</v>
      </c>
      <c r="AM31" s="311">
        <f t="shared" si="13"/>
        <v>2.452873072127979</v>
      </c>
      <c r="AN31" s="100">
        <v>16.8</v>
      </c>
      <c r="AO31" s="305">
        <f t="shared" si="32"/>
        <v>276</v>
      </c>
      <c r="AP31" s="311">
        <f t="shared" si="33"/>
        <v>0.24679025766078094</v>
      </c>
      <c r="AQ31" s="311">
        <f t="shared" si="34"/>
        <v>0.22742722946665839</v>
      </c>
      <c r="AR31" s="308">
        <f t="shared" si="35"/>
        <v>0.2386973942201131</v>
      </c>
      <c r="AS31" s="311">
        <f t="shared" si="36"/>
        <v>0.24164063484948239</v>
      </c>
      <c r="AT31" s="310">
        <f>'23'!I46</f>
        <v>36655.410000000506</v>
      </c>
      <c r="AU31" s="305">
        <f t="shared" si="37"/>
        <v>747229.9099999998</v>
      </c>
      <c r="AV31" s="311">
        <f t="shared" si="14"/>
        <v>538.4641713429578</v>
      </c>
      <c r="AW31" s="311">
        <f t="shared" si="15"/>
        <v>615.72618915188571</v>
      </c>
      <c r="AX31" s="311">
        <f t="shared" si="16"/>
        <v>520.80659827797592</v>
      </c>
      <c r="AY31" s="311">
        <f t="shared" si="17"/>
        <v>654.20691967725202</v>
      </c>
      <c r="AZ31" s="310">
        <f>+Listrik!AH30</f>
        <v>26268</v>
      </c>
      <c r="BA31" s="305">
        <f t="shared" si="38"/>
        <v>597573.58799999999</v>
      </c>
      <c r="BB31" s="311">
        <f t="shared" si="18"/>
        <v>385.87419572817817</v>
      </c>
      <c r="BC31" s="311">
        <f t="shared" si="39"/>
        <v>492.40762870032745</v>
      </c>
      <c r="BD31" s="311">
        <f t="shared" si="19"/>
        <v>373.2204256770197</v>
      </c>
      <c r="BE31" s="311">
        <f t="shared" si="20"/>
        <v>523.1813810637791</v>
      </c>
      <c r="BF31" s="570">
        <f>2.512</f>
        <v>2.512</v>
      </c>
      <c r="BG31" s="525">
        <v>138.23500000000001</v>
      </c>
      <c r="BH31" s="548">
        <f>+Efficiency2!K118</f>
        <v>68.664879360000015</v>
      </c>
      <c r="BI31" s="549">
        <f t="shared" si="40"/>
        <v>1338.6724606542487</v>
      </c>
      <c r="BJ31" s="550">
        <f t="shared" si="41"/>
        <v>1.0250072621696076</v>
      </c>
      <c r="BK31" s="550">
        <f t="shared" si="42"/>
        <v>0.85322738277724575</v>
      </c>
    </row>
    <row r="32" spans="1:63">
      <c r="A32" s="18">
        <f t="shared" si="21"/>
        <v>45954</v>
      </c>
      <c r="B32" s="446" t="s">
        <v>8</v>
      </c>
      <c r="C32" s="447" t="s">
        <v>703</v>
      </c>
      <c r="D32" s="449">
        <f>+'24'!F42</f>
        <v>501.52777777777777</v>
      </c>
      <c r="E32" s="449">
        <f>+'24'!G42</f>
        <v>441.34444444444443</v>
      </c>
      <c r="F32" s="51">
        <f t="shared" si="0"/>
        <v>0.12</v>
      </c>
      <c r="G32" s="453">
        <f t="shared" si="22"/>
        <v>0.9959631476678974</v>
      </c>
      <c r="H32" s="452">
        <f t="shared" si="23"/>
        <v>0.9959631476678974</v>
      </c>
      <c r="I32" s="452">
        <f t="shared" si="24"/>
        <v>0.9885330563815109</v>
      </c>
      <c r="J32" s="455">
        <f t="shared" si="25"/>
        <v>0.98454249440749664</v>
      </c>
      <c r="K32" s="455">
        <f t="shared" si="26"/>
        <v>0.81418748443585043</v>
      </c>
      <c r="L32" s="308">
        <f>+SUM(Efficiency1!K122:K123)</f>
        <v>70.573896398260871</v>
      </c>
      <c r="M32" s="14">
        <f t="shared" si="27"/>
        <v>1488.2014562525094</v>
      </c>
      <c r="N32" s="308">
        <f>+SUM(Efficiency1!C122:C123)</f>
        <v>70.573896398260871</v>
      </c>
      <c r="O32" s="14">
        <f t="shared" si="27"/>
        <v>1479.9060473022082</v>
      </c>
      <c r="P32" s="304">
        <f>'24'!I38</f>
        <v>70.288999999999987</v>
      </c>
      <c r="Q32" s="14">
        <f t="shared" si="28"/>
        <v>1283.8640000000003</v>
      </c>
      <c r="R32" s="16">
        <f>'24'!I40</f>
        <v>69.483000000000004</v>
      </c>
      <c r="S32" s="305">
        <f t="shared" si="29"/>
        <v>1211.675</v>
      </c>
      <c r="T32" s="8">
        <f t="shared" si="1"/>
        <v>0.9885330563815109</v>
      </c>
      <c r="U32" s="8">
        <f t="shared" si="2"/>
        <v>0.94377208177813199</v>
      </c>
      <c r="V32" s="306">
        <f t="shared" si="3"/>
        <v>0.98454249440749664</v>
      </c>
      <c r="W32" s="307">
        <f t="shared" si="4"/>
        <v>0.81418748443585043</v>
      </c>
      <c r="X32" s="305"/>
      <c r="Y32" s="305"/>
      <c r="Z32" s="7"/>
      <c r="AA32" s="305"/>
      <c r="AB32" s="100">
        <v>0</v>
      </c>
      <c r="AC32" s="14">
        <f t="shared" si="30"/>
        <v>0</v>
      </c>
      <c r="AD32" s="303">
        <f t="shared" si="5"/>
        <v>0</v>
      </c>
      <c r="AE32" s="303">
        <f t="shared" si="6"/>
        <v>0</v>
      </c>
      <c r="AF32" s="309">
        <f t="shared" si="7"/>
        <v>0</v>
      </c>
      <c r="AG32" s="303">
        <f t="shared" si="8"/>
        <v>0</v>
      </c>
      <c r="AH32" s="560">
        <f t="shared" si="9"/>
        <v>128.81100000000001</v>
      </c>
      <c r="AI32" s="305">
        <f t="shared" si="31"/>
        <v>2930.4630000000006</v>
      </c>
      <c r="AJ32" s="311">
        <f t="shared" si="10"/>
        <v>1.832591159356372</v>
      </c>
      <c r="AK32" s="311">
        <f t="shared" si="11"/>
        <v>2.2825338197815346</v>
      </c>
      <c r="AL32" s="308">
        <f t="shared" si="12"/>
        <v>1.8538491429558308</v>
      </c>
      <c r="AM32" s="311">
        <f t="shared" si="13"/>
        <v>2.4185222935193025</v>
      </c>
      <c r="AN32" s="100">
        <v>18.399999999999999</v>
      </c>
      <c r="AO32" s="305">
        <f t="shared" si="32"/>
        <v>294.39999999999998</v>
      </c>
      <c r="AP32" s="311">
        <f t="shared" si="33"/>
        <v>0.26177638037246231</v>
      </c>
      <c r="AQ32" s="311">
        <f t="shared" si="34"/>
        <v>0.2293077771477352</v>
      </c>
      <c r="AR32" s="308">
        <f t="shared" si="35"/>
        <v>0.26481297583581592</v>
      </c>
      <c r="AS32" s="311">
        <f t="shared" si="36"/>
        <v>0.24296944312625085</v>
      </c>
      <c r="AT32" s="310">
        <f>+'24'!I46</f>
        <v>32248.189999999991</v>
      </c>
      <c r="AU32" s="305">
        <f t="shared" si="37"/>
        <v>779478.09999999974</v>
      </c>
      <c r="AV32" s="311">
        <f t="shared" si="14"/>
        <v>458.7942636827953</v>
      </c>
      <c r="AW32" s="311">
        <f t="shared" si="15"/>
        <v>607.13447841827451</v>
      </c>
      <c r="AX32" s="311">
        <f t="shared" si="16"/>
        <v>464.11625865319559</v>
      </c>
      <c r="AY32" s="311">
        <f t="shared" si="17"/>
        <v>643.30624961313868</v>
      </c>
      <c r="AZ32" s="310">
        <f>+Listrik!AH31</f>
        <v>28009</v>
      </c>
      <c r="BA32" s="305">
        <f t="shared" si="38"/>
        <v>625582.58799999999</v>
      </c>
      <c r="BB32" s="311">
        <f t="shared" si="18"/>
        <v>398.48340423110312</v>
      </c>
      <c r="BC32" s="311">
        <f t="shared" si="39"/>
        <v>487.2654642547808</v>
      </c>
      <c r="BD32" s="311">
        <f t="shared" si="19"/>
        <v>403.10579566224828</v>
      </c>
      <c r="BE32" s="311">
        <f t="shared" si="20"/>
        <v>516.29569645325682</v>
      </c>
      <c r="BF32" s="570">
        <f>2.442</f>
        <v>2.4420000000000002</v>
      </c>
      <c r="BG32" s="525">
        <v>126.369</v>
      </c>
      <c r="BH32" s="548">
        <f>+SUM(Efficiency2!K122:K123)</f>
        <v>70.573896398260871</v>
      </c>
      <c r="BI32" s="549">
        <f t="shared" si="40"/>
        <v>1409.2463570525094</v>
      </c>
      <c r="BJ32" s="550">
        <f t="shared" si="41"/>
        <v>0.98454249440749664</v>
      </c>
      <c r="BK32" s="550">
        <f t="shared" si="42"/>
        <v>0.85980353536926135</v>
      </c>
    </row>
    <row r="33" spans="1:63">
      <c r="A33" s="18">
        <f t="shared" si="21"/>
        <v>45955</v>
      </c>
      <c r="B33" s="446" t="s">
        <v>8</v>
      </c>
      <c r="C33" s="447" t="s">
        <v>433</v>
      </c>
      <c r="D33" s="449">
        <f>+'25'!F42</f>
        <v>490</v>
      </c>
      <c r="E33" s="449">
        <f>+'25'!G42</f>
        <v>431.2</v>
      </c>
      <c r="F33" s="51">
        <f t="shared" si="0"/>
        <v>0.12</v>
      </c>
      <c r="G33" s="453">
        <f t="shared" si="22"/>
        <v>0.97537630866141489</v>
      </c>
      <c r="H33" s="452">
        <f t="shared" si="23"/>
        <v>0.97537630866141489</v>
      </c>
      <c r="I33" s="452">
        <f t="shared" si="24"/>
        <v>0.99975676497415622</v>
      </c>
      <c r="J33" s="455">
        <f t="shared" si="25"/>
        <v>0.97513906297977015</v>
      </c>
      <c r="K33" s="455">
        <f t="shared" si="26"/>
        <v>0.82116510293691014</v>
      </c>
      <c r="L33" s="308">
        <f>+Efficiency1!K127</f>
        <v>67.440637439999989</v>
      </c>
      <c r="M33" s="14">
        <f t="shared" si="27"/>
        <v>1555.6420936925094</v>
      </c>
      <c r="N33" s="308">
        <f>+Efficiency1!C127</f>
        <v>67.440637439999989</v>
      </c>
      <c r="O33" s="14">
        <f t="shared" si="27"/>
        <v>1547.3466847422083</v>
      </c>
      <c r="P33" s="304">
        <f>'25'!I38</f>
        <v>65.78</v>
      </c>
      <c r="Q33" s="14">
        <f t="shared" si="28"/>
        <v>1349.6440000000002</v>
      </c>
      <c r="R33" s="16">
        <f>'25'!I40</f>
        <v>65.763999999999996</v>
      </c>
      <c r="S33" s="305">
        <f t="shared" si="29"/>
        <v>1277.4389999999999</v>
      </c>
      <c r="T33" s="8">
        <f t="shared" si="1"/>
        <v>0.99975676497415622</v>
      </c>
      <c r="U33" s="8">
        <f t="shared" si="2"/>
        <v>0.9465007068530662</v>
      </c>
      <c r="V33" s="306">
        <f t="shared" si="3"/>
        <v>0.97513906297977015</v>
      </c>
      <c r="W33" s="307">
        <f t="shared" si="4"/>
        <v>0.82116510293691014</v>
      </c>
      <c r="X33" s="305"/>
      <c r="Y33" s="305"/>
      <c r="Z33" s="7"/>
      <c r="AA33" s="305"/>
      <c r="AB33" s="100">
        <v>0</v>
      </c>
      <c r="AC33" s="14">
        <f t="shared" si="30"/>
        <v>0</v>
      </c>
      <c r="AD33" s="303">
        <f t="shared" si="5"/>
        <v>0</v>
      </c>
      <c r="AE33" s="303">
        <f t="shared" si="6"/>
        <v>0</v>
      </c>
      <c r="AF33" s="309">
        <f t="shared" si="7"/>
        <v>0</v>
      </c>
      <c r="AG33" s="303">
        <f t="shared" si="8"/>
        <v>0</v>
      </c>
      <c r="AH33" s="560">
        <f t="shared" si="9"/>
        <v>124.761</v>
      </c>
      <c r="AI33" s="305">
        <f t="shared" si="31"/>
        <v>3055.2240000000006</v>
      </c>
      <c r="AJ33" s="311">
        <f t="shared" si="10"/>
        <v>1.8966403162055334</v>
      </c>
      <c r="AK33" s="311">
        <f t="shared" si="11"/>
        <v>2.2637258417775357</v>
      </c>
      <c r="AL33" s="308">
        <f t="shared" si="12"/>
        <v>1.8971017578006204</v>
      </c>
      <c r="AM33" s="311">
        <f t="shared" si="13"/>
        <v>2.3916789764521051</v>
      </c>
      <c r="AN33" s="100">
        <v>19.2</v>
      </c>
      <c r="AO33" s="305">
        <f t="shared" si="32"/>
        <v>313.59999999999997</v>
      </c>
      <c r="AP33" s="311">
        <f t="shared" si="33"/>
        <v>0.29188203101246579</v>
      </c>
      <c r="AQ33" s="311">
        <f t="shared" si="34"/>
        <v>0.23235756984804876</v>
      </c>
      <c r="AR33" s="308">
        <f t="shared" si="35"/>
        <v>0.29195304421872148</v>
      </c>
      <c r="AS33" s="311">
        <f t="shared" si="36"/>
        <v>0.2454911741382563</v>
      </c>
      <c r="AT33" s="310">
        <f>+'25'!I46</f>
        <v>30996.1599999998</v>
      </c>
      <c r="AU33" s="305">
        <f t="shared" si="37"/>
        <v>810474.25999999954</v>
      </c>
      <c r="AV33" s="311">
        <f t="shared" si="14"/>
        <v>471.20948616600487</v>
      </c>
      <c r="AW33" s="311">
        <f t="shared" si="15"/>
        <v>600.50966032524093</v>
      </c>
      <c r="AX33" s="311">
        <f t="shared" si="16"/>
        <v>471.32412870263062</v>
      </c>
      <c r="AY33" s="311">
        <f t="shared" si="17"/>
        <v>634.45241612319626</v>
      </c>
      <c r="AZ33" s="310">
        <f>+Listrik!AH32</f>
        <v>29470</v>
      </c>
      <c r="BA33" s="305">
        <f t="shared" si="38"/>
        <v>655052.58799999999</v>
      </c>
      <c r="BB33" s="311">
        <f t="shared" si="18"/>
        <v>448.00851322590449</v>
      </c>
      <c r="BC33" s="311">
        <f t="shared" si="39"/>
        <v>485.35212841312222</v>
      </c>
      <c r="BD33" s="311">
        <f t="shared" si="19"/>
        <v>448.11751110029803</v>
      </c>
      <c r="BE33" s="311">
        <f t="shared" si="20"/>
        <v>512.78580660211571</v>
      </c>
      <c r="BF33" s="570">
        <f>2.56</f>
        <v>2.56</v>
      </c>
      <c r="BG33" s="525">
        <v>122.20099999999999</v>
      </c>
      <c r="BH33" s="548">
        <f>+Efficiency2!K127</f>
        <v>67.440637439999989</v>
      </c>
      <c r="BI33" s="549">
        <f t="shared" si="40"/>
        <v>1476.6869944925095</v>
      </c>
      <c r="BJ33" s="550">
        <f t="shared" si="41"/>
        <v>0.97513906297977015</v>
      </c>
      <c r="BK33" s="550">
        <f t="shared" si="42"/>
        <v>0.865070935658247</v>
      </c>
    </row>
    <row r="34" spans="1:63">
      <c r="A34" s="18">
        <f t="shared" si="21"/>
        <v>45956</v>
      </c>
      <c r="B34" s="446" t="s">
        <v>8</v>
      </c>
      <c r="C34" s="447" t="s">
        <v>712</v>
      </c>
      <c r="D34" s="449">
        <f>+'26'!F42</f>
        <v>479.27083333333331</v>
      </c>
      <c r="E34" s="449">
        <f>+'26'!G42</f>
        <v>421.75833333333333</v>
      </c>
      <c r="F34" s="51">
        <f t="shared" si="0"/>
        <v>0.12</v>
      </c>
      <c r="G34" s="453">
        <f t="shared" si="22"/>
        <v>0.97829542419144766</v>
      </c>
      <c r="H34" s="452">
        <f t="shared" si="23"/>
        <v>0.97829542419144766</v>
      </c>
      <c r="I34" s="452">
        <f t="shared" si="24"/>
        <v>1.0015442244476722</v>
      </c>
      <c r="J34" s="455">
        <f t="shared" si="25"/>
        <v>0.97980613190252985</v>
      </c>
      <c r="K34" s="455">
        <f t="shared" si="26"/>
        <v>0.82770200876517019</v>
      </c>
      <c r="L34" s="308">
        <f>+SUM(Efficiency1!K131:K132)</f>
        <v>66.856082920000006</v>
      </c>
      <c r="M34" s="14">
        <f t="shared" si="27"/>
        <v>1622.4981766125095</v>
      </c>
      <c r="N34" s="308">
        <f>+SUM(Efficiency1!C131:C132)</f>
        <v>66.856082920000006</v>
      </c>
      <c r="O34" s="14">
        <f t="shared" si="27"/>
        <v>1614.2027676622083</v>
      </c>
      <c r="P34" s="304">
        <f>'26'!I38</f>
        <v>65.405000000000001</v>
      </c>
      <c r="Q34" s="14">
        <f t="shared" si="28"/>
        <v>1415.0490000000002</v>
      </c>
      <c r="R34" s="16">
        <f>'26'!I40</f>
        <v>65.506</v>
      </c>
      <c r="S34" s="305">
        <f t="shared" si="29"/>
        <v>1342.9449999999999</v>
      </c>
      <c r="T34" s="8">
        <f t="shared" si="1"/>
        <v>1.0015442244476722</v>
      </c>
      <c r="U34" s="8">
        <f t="shared" si="2"/>
        <v>0.9490448740644315</v>
      </c>
      <c r="V34" s="306">
        <f t="shared" si="3"/>
        <v>0.97980613190252985</v>
      </c>
      <c r="W34" s="307">
        <f t="shared" si="4"/>
        <v>0.82770200876517019</v>
      </c>
      <c r="X34" s="305"/>
      <c r="Y34" s="305"/>
      <c r="Z34" s="7"/>
      <c r="AA34" s="305"/>
      <c r="AB34" s="100">
        <v>0</v>
      </c>
      <c r="AC34" s="14">
        <f t="shared" si="30"/>
        <v>0</v>
      </c>
      <c r="AD34" s="303">
        <f t="shared" si="5"/>
        <v>0</v>
      </c>
      <c r="AE34" s="303">
        <f t="shared" si="6"/>
        <v>0</v>
      </c>
      <c r="AF34" s="309">
        <f t="shared" si="7"/>
        <v>0</v>
      </c>
      <c r="AG34" s="303">
        <f t="shared" si="8"/>
        <v>0</v>
      </c>
      <c r="AH34" s="560">
        <f t="shared" si="9"/>
        <v>124.25</v>
      </c>
      <c r="AI34" s="305">
        <f t="shared" si="31"/>
        <v>3179.4740000000006</v>
      </c>
      <c r="AJ34" s="311">
        <f t="shared" si="10"/>
        <v>1.8997018576561424</v>
      </c>
      <c r="AK34" s="311">
        <f t="shared" si="11"/>
        <v>2.2469002840184333</v>
      </c>
      <c r="AL34" s="308">
        <f t="shared" si="12"/>
        <v>1.8967728147039966</v>
      </c>
      <c r="AM34" s="311">
        <f t="shared" si="13"/>
        <v>2.3675385067891841</v>
      </c>
      <c r="AN34" s="100">
        <v>12.8</v>
      </c>
      <c r="AO34" s="305">
        <f t="shared" si="32"/>
        <v>326.39999999999998</v>
      </c>
      <c r="AP34" s="311">
        <f t="shared" si="33"/>
        <v>0.19570369237825855</v>
      </c>
      <c r="AQ34" s="311">
        <f t="shared" si="34"/>
        <v>0.23066339045503012</v>
      </c>
      <c r="AR34" s="308">
        <f t="shared" si="35"/>
        <v>0.19540194791316826</v>
      </c>
      <c r="AS34" s="311">
        <f t="shared" si="36"/>
        <v>0.24304792824724764</v>
      </c>
      <c r="AT34" s="310">
        <f>'26'!I46</f>
        <v>32689.730000000185</v>
      </c>
      <c r="AU34" s="305">
        <f t="shared" si="37"/>
        <v>843163.98999999976</v>
      </c>
      <c r="AV34" s="311">
        <f t="shared" si="14"/>
        <v>499.8047549881536</v>
      </c>
      <c r="AW34" s="311">
        <f t="shared" si="15"/>
        <v>595.85497746014426</v>
      </c>
      <c r="AX34" s="311">
        <f t="shared" si="16"/>
        <v>499.03413427777895</v>
      </c>
      <c r="AY34" s="311">
        <f t="shared" si="17"/>
        <v>627.84700043560963</v>
      </c>
      <c r="AZ34" s="310">
        <f>+Listrik!AH33</f>
        <v>20119</v>
      </c>
      <c r="BA34" s="305">
        <f t="shared" si="38"/>
        <v>675171.58799999999</v>
      </c>
      <c r="BB34" s="311">
        <f t="shared" si="18"/>
        <v>307.60645210610812</v>
      </c>
      <c r="BC34" s="311">
        <f t="shared" si="39"/>
        <v>477.1365429748368</v>
      </c>
      <c r="BD34" s="311">
        <f t="shared" si="19"/>
        <v>307.13217109883061</v>
      </c>
      <c r="BE34" s="311">
        <f t="shared" si="20"/>
        <v>502.75445978800326</v>
      </c>
      <c r="BF34" s="570">
        <f>1.676</f>
        <v>1.6759999999999999</v>
      </c>
      <c r="BG34" s="525">
        <v>122.574</v>
      </c>
      <c r="BH34" s="548">
        <f>+SUM(Efficiency2!K131:K132)</f>
        <v>67.513664680000005</v>
      </c>
      <c r="BI34" s="549">
        <f t="shared" si="40"/>
        <v>1544.2006591725094</v>
      </c>
      <c r="BJ34" s="550">
        <f t="shared" si="41"/>
        <v>0.97026283953750847</v>
      </c>
      <c r="BK34" s="550">
        <f t="shared" si="42"/>
        <v>0.86967000824856766</v>
      </c>
    </row>
    <row r="35" spans="1:63">
      <c r="A35" s="18">
        <f t="shared" si="21"/>
        <v>45957</v>
      </c>
      <c r="B35" s="446" t="s">
        <v>8</v>
      </c>
      <c r="C35" s="447" t="s">
        <v>724</v>
      </c>
      <c r="D35" s="449">
        <f>+'27'!F42</f>
        <v>450</v>
      </c>
      <c r="E35" s="449">
        <f>+'27'!G42</f>
        <v>396</v>
      </c>
      <c r="F35" s="51">
        <f t="shared" si="0"/>
        <v>0.12</v>
      </c>
      <c r="G35" s="453">
        <f t="shared" si="22"/>
        <v>0.91540651862002631</v>
      </c>
      <c r="H35" s="452">
        <f t="shared" si="23"/>
        <v>0.90534710632749849</v>
      </c>
      <c r="I35" s="452">
        <f t="shared" si="24"/>
        <v>1.0030625539330975</v>
      </c>
      <c r="J35" s="455">
        <f t="shared" si="25"/>
        <v>0.90811978066880017</v>
      </c>
      <c r="K35" s="455">
        <f t="shared" si="26"/>
        <v>0.83081240986881533</v>
      </c>
      <c r="L35" s="308">
        <f>+Efficiency1!K136</f>
        <v>65.27993472</v>
      </c>
      <c r="M35" s="14">
        <f t="shared" si="27"/>
        <v>1687.7781113325095</v>
      </c>
      <c r="N35" s="308">
        <f>+Efficiency1!C136</f>
        <v>64.562572799999998</v>
      </c>
      <c r="O35" s="14">
        <f t="shared" si="27"/>
        <v>1678.7653404622083</v>
      </c>
      <c r="P35" s="304">
        <f>'27'!I38</f>
        <v>59.100999999999999</v>
      </c>
      <c r="Q35" s="14">
        <f t="shared" si="28"/>
        <v>1474.15</v>
      </c>
      <c r="R35" s="16">
        <f>'27'!I40</f>
        <v>59.281999999999996</v>
      </c>
      <c r="S35" s="305">
        <f t="shared" si="29"/>
        <v>1402.2269999999999</v>
      </c>
      <c r="T35" s="8">
        <f t="shared" si="1"/>
        <v>1.0030625539330975</v>
      </c>
      <c r="U35" s="8">
        <f t="shared" si="2"/>
        <v>0.95121052810093942</v>
      </c>
      <c r="V35" s="306">
        <f t="shared" si="3"/>
        <v>0.90811978066880017</v>
      </c>
      <c r="W35" s="307">
        <f t="shared" si="4"/>
        <v>0.83081240986881533</v>
      </c>
      <c r="X35" s="305"/>
      <c r="Y35" s="305"/>
      <c r="Z35" s="7"/>
      <c r="AA35" s="305"/>
      <c r="AB35" s="100">
        <v>0</v>
      </c>
      <c r="AC35" s="14">
        <f t="shared" si="30"/>
        <v>0</v>
      </c>
      <c r="AD35" s="303">
        <f t="shared" si="5"/>
        <v>0</v>
      </c>
      <c r="AE35" s="303">
        <f t="shared" si="6"/>
        <v>0</v>
      </c>
      <c r="AF35" s="309">
        <f t="shared" si="7"/>
        <v>0</v>
      </c>
      <c r="AG35" s="303">
        <f t="shared" si="8"/>
        <v>0</v>
      </c>
      <c r="AH35" s="560">
        <f t="shared" si="9"/>
        <v>113.839</v>
      </c>
      <c r="AI35" s="305">
        <f t="shared" si="31"/>
        <v>3293.3130000000006</v>
      </c>
      <c r="AJ35" s="311">
        <f t="shared" si="10"/>
        <v>1.9261772220436202</v>
      </c>
      <c r="AK35" s="311">
        <f t="shared" si="11"/>
        <v>2.2340419902994948</v>
      </c>
      <c r="AL35" s="308">
        <f t="shared" si="12"/>
        <v>1.9202962113289026</v>
      </c>
      <c r="AM35" s="311">
        <f t="shared" si="13"/>
        <v>2.3486304285967972</v>
      </c>
      <c r="AN35" s="100">
        <v>19.2</v>
      </c>
      <c r="AO35" s="305">
        <f t="shared" si="32"/>
        <v>345.59999999999997</v>
      </c>
      <c r="AP35" s="311">
        <f t="shared" si="33"/>
        <v>0.32486759953300282</v>
      </c>
      <c r="AQ35" s="311">
        <f t="shared" si="34"/>
        <v>0.23444018586982324</v>
      </c>
      <c r="AR35" s="308">
        <f t="shared" si="35"/>
        <v>0.32387571269525323</v>
      </c>
      <c r="AS35" s="311">
        <f t="shared" si="36"/>
        <v>0.24646508732181024</v>
      </c>
      <c r="AT35" s="310">
        <f>'27'!I46</f>
        <v>29322.030000000163</v>
      </c>
      <c r="AU35" s="305">
        <f t="shared" si="37"/>
        <v>872486.0199999999</v>
      </c>
      <c r="AV35" s="311">
        <f t="shared" si="14"/>
        <v>496.13424476743478</v>
      </c>
      <c r="AW35" s="311">
        <f t="shared" si="15"/>
        <v>591.85701590747203</v>
      </c>
      <c r="AX35" s="311">
        <f t="shared" si="16"/>
        <v>494.61944603758582</v>
      </c>
      <c r="AY35" s="311">
        <f t="shared" si="17"/>
        <v>622.21453445126929</v>
      </c>
      <c r="AZ35" s="310">
        <f>+Listrik!AH34</f>
        <v>28867</v>
      </c>
      <c r="BA35" s="305">
        <f t="shared" si="38"/>
        <v>704038.58799999999</v>
      </c>
      <c r="BB35" s="311">
        <f t="shared" si="18"/>
        <v>488.43505186037464</v>
      </c>
      <c r="BC35" s="311">
        <f t="shared" si="39"/>
        <v>477.58951802733782</v>
      </c>
      <c r="BD35" s="311">
        <f t="shared" si="19"/>
        <v>486.94376033197261</v>
      </c>
      <c r="BE35" s="311">
        <f t="shared" si="20"/>
        <v>502.08603029324075</v>
      </c>
      <c r="BF35" s="570">
        <f>2.107</f>
        <v>2.1070000000000002</v>
      </c>
      <c r="BG35" s="525">
        <v>111.732</v>
      </c>
      <c r="BH35" s="548">
        <f>+Efficiency2!K136</f>
        <v>65.27993472</v>
      </c>
      <c r="BI35" s="549">
        <f t="shared" si="40"/>
        <v>1609.4805938925094</v>
      </c>
      <c r="BJ35" s="550">
        <f t="shared" si="41"/>
        <v>0.90811978066880017</v>
      </c>
      <c r="BK35" s="550">
        <f t="shared" si="42"/>
        <v>0.87122951672795923</v>
      </c>
    </row>
    <row r="36" spans="1:63">
      <c r="A36" s="18">
        <f t="shared" si="21"/>
        <v>45958</v>
      </c>
      <c r="B36" s="446" t="s">
        <v>8</v>
      </c>
      <c r="C36" s="447" t="s">
        <v>732</v>
      </c>
      <c r="D36" s="449">
        <f>+'28'!F42</f>
        <v>461.25</v>
      </c>
      <c r="E36" s="449">
        <f>+'28'!G42</f>
        <v>405.9</v>
      </c>
      <c r="F36" s="51">
        <f t="shared" si="0"/>
        <v>0.12</v>
      </c>
      <c r="G36" s="453">
        <f t="shared" si="22"/>
        <v>0.98952213215924933</v>
      </c>
      <c r="H36" s="452">
        <f t="shared" si="23"/>
        <v>0.98952213215924933</v>
      </c>
      <c r="I36" s="452">
        <f t="shared" si="24"/>
        <v>0.98063585588903213</v>
      </c>
      <c r="J36" s="455">
        <f t="shared" si="25"/>
        <v>0.97036088299112544</v>
      </c>
      <c r="K36" s="455">
        <f t="shared" si="26"/>
        <v>0.83605348193671636</v>
      </c>
      <c r="L36" s="308">
        <f>+SUM(Efficiency1!K141:K143)</f>
        <v>65.862094320000011</v>
      </c>
      <c r="M36" s="14">
        <f t="shared" si="27"/>
        <v>1753.6402056525096</v>
      </c>
      <c r="N36" s="308">
        <f>+SUM(Efficiency1!C141:C143)</f>
        <v>65.862094320000011</v>
      </c>
      <c r="O36" s="14">
        <f t="shared" si="27"/>
        <v>1744.6274347822084</v>
      </c>
      <c r="P36" s="304">
        <f>'28'!I38</f>
        <v>65.171999999999997</v>
      </c>
      <c r="Q36" s="14">
        <f t="shared" si="28"/>
        <v>1539.3220000000001</v>
      </c>
      <c r="R36" s="16">
        <f>'28'!I40</f>
        <v>63.91</v>
      </c>
      <c r="S36" s="305">
        <f t="shared" si="29"/>
        <v>1466.1369999999999</v>
      </c>
      <c r="T36" s="8">
        <f t="shared" si="1"/>
        <v>0.98063585588903213</v>
      </c>
      <c r="U36" s="8">
        <f t="shared" si="2"/>
        <v>0.9524563411683844</v>
      </c>
      <c r="V36" s="306">
        <f t="shared" si="3"/>
        <v>0.97036088299112544</v>
      </c>
      <c r="W36" s="307">
        <f t="shared" si="4"/>
        <v>0.83605348193671636</v>
      </c>
      <c r="X36" s="305"/>
      <c r="Y36" s="305"/>
      <c r="Z36" s="7"/>
      <c r="AA36" s="305"/>
      <c r="AB36" s="100">
        <v>0</v>
      </c>
      <c r="AC36" s="14">
        <f t="shared" si="30"/>
        <v>0</v>
      </c>
      <c r="AD36" s="303">
        <f t="shared" si="5"/>
        <v>0</v>
      </c>
      <c r="AE36" s="303">
        <f t="shared" si="6"/>
        <v>0</v>
      </c>
      <c r="AF36" s="309">
        <f t="shared" si="7"/>
        <v>0</v>
      </c>
      <c r="AG36" s="303">
        <f t="shared" si="8"/>
        <v>0</v>
      </c>
      <c r="AH36" s="560">
        <f t="shared" si="9"/>
        <v>121.38</v>
      </c>
      <c r="AI36" s="305">
        <f t="shared" si="31"/>
        <v>3414.6930000000007</v>
      </c>
      <c r="AJ36" s="311">
        <f t="shared" si="10"/>
        <v>1.8624562695636162</v>
      </c>
      <c r="AK36" s="311">
        <f t="shared" si="11"/>
        <v>2.2183097493571848</v>
      </c>
      <c r="AL36" s="308">
        <f t="shared" si="12"/>
        <v>1.8992332968236583</v>
      </c>
      <c r="AM36" s="311">
        <f t="shared" si="13"/>
        <v>2.3290408740792987</v>
      </c>
      <c r="AN36" s="100">
        <v>18.100000000000001</v>
      </c>
      <c r="AO36" s="305">
        <f t="shared" si="32"/>
        <v>363.7</v>
      </c>
      <c r="AP36" s="311">
        <f t="shared" si="33"/>
        <v>0.27772663106855711</v>
      </c>
      <c r="AQ36" s="311">
        <f t="shared" si="34"/>
        <v>0.23627285259354441</v>
      </c>
      <c r="AR36" s="308">
        <f t="shared" si="35"/>
        <v>0.28321076513847604</v>
      </c>
      <c r="AS36" s="311">
        <f t="shared" si="36"/>
        <v>0.24806685869055894</v>
      </c>
      <c r="AT36" s="310">
        <f>'28'!I46</f>
        <v>26869.269999999618</v>
      </c>
      <c r="AU36" s="305">
        <f t="shared" si="37"/>
        <v>899355.28999999957</v>
      </c>
      <c r="AV36" s="311">
        <f t="shared" si="14"/>
        <v>412.28242189896918</v>
      </c>
      <c r="AW36" s="311">
        <f t="shared" si="15"/>
        <v>584.25416514543394</v>
      </c>
      <c r="AX36" s="311">
        <f t="shared" si="16"/>
        <v>420.42356438741388</v>
      </c>
      <c r="AY36" s="311">
        <f t="shared" si="17"/>
        <v>613.41831629649857</v>
      </c>
      <c r="AZ36" s="310">
        <f>+Listrik!AH35</f>
        <v>29518</v>
      </c>
      <c r="BA36" s="305">
        <f t="shared" si="38"/>
        <v>733556.58799999999</v>
      </c>
      <c r="BB36" s="311">
        <f t="shared" si="18"/>
        <v>452.92456883324127</v>
      </c>
      <c r="BC36" s="311">
        <f t="shared" si="39"/>
        <v>476.5452504414281</v>
      </c>
      <c r="BD36" s="311">
        <f t="shared" si="19"/>
        <v>461.86825222969804</v>
      </c>
      <c r="BE36" s="311">
        <f t="shared" si="20"/>
        <v>500.33290749773039</v>
      </c>
      <c r="BF36" s="570">
        <f>2.577</f>
        <v>2.577</v>
      </c>
      <c r="BG36" s="525">
        <v>118.803</v>
      </c>
      <c r="BH36" s="548">
        <f>+SUM(Efficiency2!K141:K143)</f>
        <v>65.862094320000011</v>
      </c>
      <c r="BI36" s="549">
        <f t="shared" si="40"/>
        <v>1675.3426882125095</v>
      </c>
      <c r="BJ36" s="550">
        <f t="shared" si="41"/>
        <v>0.97036088299112544</v>
      </c>
      <c r="BK36" s="550">
        <f t="shared" si="42"/>
        <v>0.87512662950424813</v>
      </c>
    </row>
    <row r="37" spans="1:63">
      <c r="A37" s="18">
        <f t="shared" si="21"/>
        <v>45959</v>
      </c>
      <c r="B37" s="446" t="s">
        <v>8</v>
      </c>
      <c r="C37" s="447" t="s">
        <v>740</v>
      </c>
      <c r="D37" s="449">
        <f>+'29'!F42</f>
        <v>565</v>
      </c>
      <c r="E37" s="449">
        <f>+'29'!G42</f>
        <v>497.2</v>
      </c>
      <c r="F37" s="51">
        <f t="shared" si="0"/>
        <v>0.12</v>
      </c>
      <c r="G37" s="453">
        <f t="shared" si="22"/>
        <v>0.97590037363843574</v>
      </c>
      <c r="H37" s="452">
        <f t="shared" si="23"/>
        <v>0.97590037363843574</v>
      </c>
      <c r="I37" s="452">
        <f t="shared" si="24"/>
        <v>1.0074979287489643</v>
      </c>
      <c r="J37" s="455">
        <f t="shared" si="25"/>
        <v>0.98321760510606426</v>
      </c>
      <c r="K37" s="455">
        <f t="shared" si="26"/>
        <v>0.84202816349355303</v>
      </c>
      <c r="L37" s="308">
        <f>+SUM(Efficiency1!K146:K147)</f>
        <v>74.208394582325582</v>
      </c>
      <c r="M37" s="14">
        <f t="shared" si="27"/>
        <v>1827.8486002348352</v>
      </c>
      <c r="N37" s="14">
        <f>+SUM(Efficiency1!C146:C147)</f>
        <v>74.208394582325582</v>
      </c>
      <c r="O37" s="14">
        <f t="shared" si="27"/>
        <v>1818.835829364534</v>
      </c>
      <c r="P37" s="304">
        <f>'29'!I38</f>
        <v>72.42</v>
      </c>
      <c r="Q37" s="14">
        <f t="shared" si="28"/>
        <v>1611.7420000000002</v>
      </c>
      <c r="R37" s="16">
        <f>'29'!I40</f>
        <v>72.962999999999994</v>
      </c>
      <c r="S37" s="305">
        <f t="shared" si="29"/>
        <v>1539.1</v>
      </c>
      <c r="T37" s="8">
        <f t="shared" si="1"/>
        <v>1.0074979287489643</v>
      </c>
      <c r="U37" s="8">
        <f t="shared" si="2"/>
        <v>0.95492951105077595</v>
      </c>
      <c r="V37" s="306">
        <f t="shared" si="3"/>
        <v>0.98321760510606426</v>
      </c>
      <c r="W37" s="307">
        <f t="shared" si="4"/>
        <v>0.84202816349355303</v>
      </c>
      <c r="X37" s="305"/>
      <c r="Y37" s="305"/>
      <c r="Z37" s="7"/>
      <c r="AA37" s="305"/>
      <c r="AB37" s="100">
        <v>0</v>
      </c>
      <c r="AC37" s="14">
        <f t="shared" si="30"/>
        <v>0</v>
      </c>
      <c r="AD37" s="303">
        <f t="shared" si="5"/>
        <v>0</v>
      </c>
      <c r="AE37" s="303">
        <f t="shared" si="6"/>
        <v>0</v>
      </c>
      <c r="AF37" s="309">
        <f t="shared" si="7"/>
        <v>0</v>
      </c>
      <c r="AG37" s="303">
        <f t="shared" si="8"/>
        <v>0</v>
      </c>
      <c r="AH37" s="560">
        <f t="shared" si="9"/>
        <v>145.01399999999998</v>
      </c>
      <c r="AI37" s="305">
        <f t="shared" si="31"/>
        <v>3559.7070000000008</v>
      </c>
      <c r="AJ37" s="311">
        <f t="shared" si="10"/>
        <v>2.0024026512013253</v>
      </c>
      <c r="AK37" s="311">
        <f t="shared" si="11"/>
        <v>2.2086084497394745</v>
      </c>
      <c r="AL37" s="308">
        <f t="shared" si="12"/>
        <v>1.98750051395913</v>
      </c>
      <c r="AM37" s="311">
        <f t="shared" si="13"/>
        <v>2.3128497173672931</v>
      </c>
      <c r="AN37" s="100">
        <v>12.7</v>
      </c>
      <c r="AO37" s="305">
        <f t="shared" si="32"/>
        <v>376.4</v>
      </c>
      <c r="AP37" s="311">
        <f t="shared" si="33"/>
        <v>0.17536592101629384</v>
      </c>
      <c r="AQ37" s="311">
        <f t="shared" si="34"/>
        <v>0.23353613667696191</v>
      </c>
      <c r="AR37" s="308">
        <f t="shared" si="35"/>
        <v>0.17406082534983486</v>
      </c>
      <c r="AS37" s="311">
        <f t="shared" si="36"/>
        <v>0.24455850821908909</v>
      </c>
      <c r="AT37" s="310">
        <f>'29'!I46</f>
        <v>41435.340000000397</v>
      </c>
      <c r="AU37" s="305">
        <f t="shared" si="37"/>
        <v>940790.63</v>
      </c>
      <c r="AV37" s="311">
        <f t="shared" si="14"/>
        <v>572.15327257664171</v>
      </c>
      <c r="AW37" s="311">
        <f t="shared" si="15"/>
        <v>583.71043876749491</v>
      </c>
      <c r="AX37" s="311">
        <f t="shared" si="16"/>
        <v>567.89523457095231</v>
      </c>
      <c r="AY37" s="311">
        <f t="shared" si="17"/>
        <v>611.26023650185164</v>
      </c>
      <c r="AZ37" s="310">
        <f>+Listrik!AH36</f>
        <v>22919</v>
      </c>
      <c r="BA37" s="305">
        <f t="shared" si="38"/>
        <v>756475.58799999999</v>
      </c>
      <c r="BB37" s="311">
        <f t="shared" si="18"/>
        <v>316.47334990334161</v>
      </c>
      <c r="BC37" s="311">
        <f t="shared" si="39"/>
        <v>469.35277978733563</v>
      </c>
      <c r="BD37" s="311">
        <f t="shared" si="19"/>
        <v>314.1181146608555</v>
      </c>
      <c r="BE37" s="311">
        <f t="shared" si="20"/>
        <v>491.50515755961277</v>
      </c>
      <c r="BF37" s="570">
        <f>1.646</f>
        <v>1.6459999999999999</v>
      </c>
      <c r="BG37" s="525">
        <v>143.36799999999999</v>
      </c>
      <c r="BH37" s="548">
        <f>+SUM(Efficiency2!K146:K147)</f>
        <v>74.208394582325582</v>
      </c>
      <c r="BI37" s="549">
        <f t="shared" si="40"/>
        <v>1749.5510827948351</v>
      </c>
      <c r="BJ37" s="550">
        <f t="shared" si="41"/>
        <v>0.98321760510606426</v>
      </c>
      <c r="BK37" s="550">
        <f t="shared" si="42"/>
        <v>0.87971138147126959</v>
      </c>
    </row>
    <row r="38" spans="1:63">
      <c r="A38" s="18">
        <f t="shared" si="21"/>
        <v>45960</v>
      </c>
      <c r="B38" s="446" t="s">
        <v>623</v>
      </c>
      <c r="C38" s="447" t="s">
        <v>751</v>
      </c>
      <c r="D38" s="449">
        <f>+'30'!F42</f>
        <v>663.33333333333337</v>
      </c>
      <c r="E38" s="449">
        <f>+'30'!G42</f>
        <v>577.7833333333333</v>
      </c>
      <c r="F38" s="51">
        <f t="shared" si="0"/>
        <v>0.12896984924623123</v>
      </c>
      <c r="G38" s="453">
        <f t="shared" si="22"/>
        <v>1.0122439181383138</v>
      </c>
      <c r="H38" s="452">
        <f t="shared" si="23"/>
        <v>0.91743309700412845</v>
      </c>
      <c r="I38" s="452">
        <f t="shared" si="24"/>
        <v>0.99428048833597038</v>
      </c>
      <c r="J38" s="455">
        <f t="shared" si="25"/>
        <v>0.91218582770484657</v>
      </c>
      <c r="K38" s="455">
        <f t="shared" si="26"/>
        <v>0.84479646872284542</v>
      </c>
      <c r="L38" s="308">
        <f>+SUM(Efficiency1!K150:K152)</f>
        <v>75.08667414</v>
      </c>
      <c r="M38" s="14">
        <f t="shared" si="27"/>
        <v>1902.9352743748352</v>
      </c>
      <c r="N38" s="308">
        <f>+SUM(Efficiency1!C150:C152)</f>
        <v>68.053755390000006</v>
      </c>
      <c r="O38" s="14">
        <f t="shared" si="27"/>
        <v>1886.8895847545341</v>
      </c>
      <c r="P38" s="304">
        <f>'30'!I38</f>
        <v>68.887</v>
      </c>
      <c r="Q38" s="14">
        <f t="shared" si="28"/>
        <v>1680.6290000000001</v>
      </c>
      <c r="R38" s="16">
        <f>'30'!I40</f>
        <v>68.492999999999995</v>
      </c>
      <c r="S38" s="305">
        <f t="shared" si="29"/>
        <v>1607.5929999999998</v>
      </c>
      <c r="T38" s="8">
        <f t="shared" si="1"/>
        <v>0.99428048833597038</v>
      </c>
      <c r="U38" s="8">
        <f t="shared" si="2"/>
        <v>0.95654246118566311</v>
      </c>
      <c r="V38" s="306">
        <f t="shared" si="3"/>
        <v>0.91218582770484657</v>
      </c>
      <c r="W38" s="307">
        <f t="shared" si="4"/>
        <v>0.84479646872284542</v>
      </c>
      <c r="X38" s="305"/>
      <c r="Y38" s="305"/>
      <c r="Z38" s="7"/>
      <c r="AA38" s="305"/>
      <c r="AB38" s="100">
        <v>0</v>
      </c>
      <c r="AC38" s="14">
        <f t="shared" si="30"/>
        <v>0</v>
      </c>
      <c r="AD38" s="303">
        <f t="shared" si="5"/>
        <v>0</v>
      </c>
      <c r="AE38" s="303">
        <f t="shared" si="6"/>
        <v>0</v>
      </c>
      <c r="AF38" s="309">
        <f t="shared" si="7"/>
        <v>0</v>
      </c>
      <c r="AG38" s="303">
        <f t="shared" si="8"/>
        <v>0</v>
      </c>
      <c r="AH38" s="560">
        <f t="shared" si="9"/>
        <v>142.52999999999997</v>
      </c>
      <c r="AI38" s="305">
        <f t="shared" si="31"/>
        <v>3702.237000000001</v>
      </c>
      <c r="AJ38" s="311">
        <f t="shared" si="10"/>
        <v>2.0690406027262034</v>
      </c>
      <c r="AK38" s="311">
        <f t="shared" si="11"/>
        <v>2.2028877283445665</v>
      </c>
      <c r="AL38" s="308">
        <f t="shared" si="12"/>
        <v>2.0809425780736714</v>
      </c>
      <c r="AM38" s="311">
        <f t="shared" si="13"/>
        <v>2.3029690972777321</v>
      </c>
      <c r="AN38" s="100">
        <v>16</v>
      </c>
      <c r="AO38" s="305">
        <f t="shared" si="32"/>
        <v>392.4</v>
      </c>
      <c r="AP38" s="311">
        <f t="shared" si="33"/>
        <v>0.23226443305703542</v>
      </c>
      <c r="AQ38" s="311">
        <f t="shared" si="34"/>
        <v>0.23348401104586433</v>
      </c>
      <c r="AR38" s="308">
        <f t="shared" si="35"/>
        <v>0.23360051392113065</v>
      </c>
      <c r="AS38" s="311">
        <f t="shared" si="36"/>
        <v>0.24409163264582517</v>
      </c>
      <c r="AT38" s="310">
        <f>'30'!I46</f>
        <v>37855.000000000051</v>
      </c>
      <c r="AU38" s="305">
        <f t="shared" si="37"/>
        <v>978645.63</v>
      </c>
      <c r="AV38" s="311">
        <f t="shared" si="14"/>
        <v>549.52313208588055</v>
      </c>
      <c r="AW38" s="311">
        <f t="shared" si="15"/>
        <v>582.30914139884521</v>
      </c>
      <c r="AX38" s="311">
        <f t="shared" si="16"/>
        <v>552.68421590527578</v>
      </c>
      <c r="AY38" s="311">
        <f t="shared" si="17"/>
        <v>608.76455048012781</v>
      </c>
      <c r="AZ38" s="310">
        <f>+Listrik!AH37</f>
        <v>23842</v>
      </c>
      <c r="BA38" s="305">
        <f t="shared" si="38"/>
        <v>780317.58799999999</v>
      </c>
      <c r="BB38" s="311">
        <f t="shared" si="18"/>
        <v>346.10303830911494</v>
      </c>
      <c r="BC38" s="311">
        <f t="shared" si="39"/>
        <v>464.3009182871412</v>
      </c>
      <c r="BD38" s="311">
        <f t="shared" si="19"/>
        <v>348.09396580672473</v>
      </c>
      <c r="BE38" s="311">
        <f t="shared" si="20"/>
        <v>485.39498990105091</v>
      </c>
      <c r="BF38" s="524">
        <f>2.753</f>
        <v>2.7530000000000001</v>
      </c>
      <c r="BG38" s="525">
        <v>139.77699999999999</v>
      </c>
      <c r="BH38" s="548">
        <f>+SUM(Efficiency2!K150:K152)</f>
        <v>75.08667414</v>
      </c>
      <c r="BI38" s="549">
        <f t="shared" si="40"/>
        <v>1824.6377569348351</v>
      </c>
      <c r="BJ38" s="550">
        <f t="shared" si="41"/>
        <v>0.91218582770484657</v>
      </c>
      <c r="BK38" s="550">
        <f t="shared" si="42"/>
        <v>0.88104775530928203</v>
      </c>
    </row>
    <row r="39" spans="1:63">
      <c r="A39" s="18">
        <f>A38+1</f>
        <v>45961</v>
      </c>
      <c r="B39" s="446" t="s">
        <v>462</v>
      </c>
      <c r="C39" s="447" t="s">
        <v>767</v>
      </c>
      <c r="D39" s="449">
        <f>+'31'!F42</f>
        <v>803.11940298507466</v>
      </c>
      <c r="E39" s="449">
        <f>+'31'!G42</f>
        <v>690.83582089552237</v>
      </c>
      <c r="F39" s="51">
        <f t="shared" si="0"/>
        <v>0.13980932557750569</v>
      </c>
      <c r="G39" s="453">
        <f t="shared" si="22"/>
        <v>0.83211159227551679</v>
      </c>
      <c r="H39" s="452">
        <f t="shared" si="23"/>
        <v>0.80663853353459181</v>
      </c>
      <c r="I39" s="452">
        <f t="shared" si="24"/>
        <v>0.91637002856515037</v>
      </c>
      <c r="J39" s="455">
        <f t="shared" si="25"/>
        <v>0.73917937601684491</v>
      </c>
      <c r="K39" s="455">
        <f t="shared" si="26"/>
        <v>0.84175524031029192</v>
      </c>
      <c r="L39" s="308">
        <f>+SUM(Efficiency1!K155:K156)</f>
        <v>56.419323039999995</v>
      </c>
      <c r="M39" s="14">
        <f>M38+L39</f>
        <v>1959.3545974148351</v>
      </c>
      <c r="N39" s="308">
        <f>+SUM(Efficiency1!C155:C156)</f>
        <v>54.692183623529417</v>
      </c>
      <c r="O39" s="14">
        <f>O38+N39</f>
        <v>1941.5817683780635</v>
      </c>
      <c r="P39" s="304">
        <f>'31'!I38</f>
        <v>45.510000000000005</v>
      </c>
      <c r="Q39" s="14">
        <f>Q38+P39</f>
        <v>1726.1390000000001</v>
      </c>
      <c r="R39" s="16">
        <f>'31'!I40</f>
        <v>41.704000000000001</v>
      </c>
      <c r="S39" s="305">
        <f>S38+R39</f>
        <v>1649.2969999999998</v>
      </c>
      <c r="T39" s="8">
        <f>R39/P39</f>
        <v>0.91637002856515037</v>
      </c>
      <c r="U39" s="8">
        <f>S39/Q39</f>
        <v>0.95548330696427097</v>
      </c>
      <c r="V39" s="306">
        <f>R39/L39</f>
        <v>0.73917937601684491</v>
      </c>
      <c r="W39" s="307">
        <f>S39/M39</f>
        <v>0.84175524031029192</v>
      </c>
      <c r="X39" s="305"/>
      <c r="Y39" s="305"/>
      <c r="Z39" s="7"/>
      <c r="AA39" s="305"/>
      <c r="AB39" s="100">
        <v>0</v>
      </c>
      <c r="AC39" s="14">
        <f>AB39+AC38</f>
        <v>0</v>
      </c>
      <c r="AD39" s="303">
        <f t="shared" si="5"/>
        <v>0</v>
      </c>
      <c r="AE39" s="303">
        <f t="shared" si="6"/>
        <v>0</v>
      </c>
      <c r="AF39" s="309">
        <f t="shared" si="7"/>
        <v>0</v>
      </c>
      <c r="AG39" s="303">
        <f t="shared" si="8"/>
        <v>0</v>
      </c>
      <c r="AH39" s="560">
        <f t="shared" si="9"/>
        <v>123.617</v>
      </c>
      <c r="AI39" s="305">
        <f>AH39+AI38</f>
        <v>3825.8540000000012</v>
      </c>
      <c r="AJ39" s="311">
        <f t="shared" si="10"/>
        <v>2.7162601626016256</v>
      </c>
      <c r="AK39" s="311">
        <f t="shared" si="11"/>
        <v>2.2164228952593046</v>
      </c>
      <c r="AL39" s="308">
        <f t="shared" si="12"/>
        <v>2.9641521197007483</v>
      </c>
      <c r="AM39" s="311">
        <f t="shared" si="13"/>
        <v>2.3196877214958866</v>
      </c>
      <c r="AN39" s="100">
        <v>13.6</v>
      </c>
      <c r="AO39" s="305">
        <f>AN39+AO38</f>
        <v>406</v>
      </c>
      <c r="AP39" s="311">
        <f t="shared" si="33"/>
        <v>0.29883542078664027</v>
      </c>
      <c r="AQ39" s="311">
        <f t="shared" si="34"/>
        <v>0.23520701403537025</v>
      </c>
      <c r="AR39" s="308">
        <f t="shared" si="35"/>
        <v>0.32610780740456552</v>
      </c>
      <c r="AS39" s="311">
        <f t="shared" si="36"/>
        <v>0.24616548747739192</v>
      </c>
      <c r="AT39" s="310">
        <f>'31'!I46</f>
        <v>37491.170000000522</v>
      </c>
      <c r="AU39" s="305">
        <f>AT39+AU38</f>
        <v>1016136.8000000005</v>
      </c>
      <c r="AV39" s="311">
        <f t="shared" si="14"/>
        <v>823.80070314217789</v>
      </c>
      <c r="AW39" s="311">
        <f t="shared" si="15"/>
        <v>588.67611472772501</v>
      </c>
      <c r="AX39" s="311">
        <f t="shared" si="16"/>
        <v>898.98259159794077</v>
      </c>
      <c r="AY39" s="311">
        <f t="shared" si="17"/>
        <v>616.10298205841684</v>
      </c>
      <c r="AZ39" s="310">
        <f>+Listrik!AH38</f>
        <v>21919</v>
      </c>
      <c r="BA39" s="305">
        <f>AZ39+BA38</f>
        <v>802236.58799999999</v>
      </c>
      <c r="BB39" s="311">
        <f t="shared" si="18"/>
        <v>481.63041089870353</v>
      </c>
      <c r="BC39" s="311">
        <f t="shared" si="39"/>
        <v>464.75781382611706</v>
      </c>
      <c r="BD39" s="311">
        <f t="shared" si="19"/>
        <v>525.58507577210821</v>
      </c>
      <c r="BE39" s="311">
        <f t="shared" si="20"/>
        <v>486.41123339216654</v>
      </c>
      <c r="BF39" s="524">
        <f>2.156</f>
        <v>2.1560000000000001</v>
      </c>
      <c r="BG39" s="525">
        <v>121.461</v>
      </c>
      <c r="BH39" s="548">
        <f>SUM(Efficiency2!K155:K156)</f>
        <v>56.419323039999995</v>
      </c>
      <c r="BI39" s="549">
        <f>BI38+BH39</f>
        <v>1881.0570799748352</v>
      </c>
      <c r="BJ39" s="550">
        <f t="shared" si="41"/>
        <v>0.73917937601684491</v>
      </c>
      <c r="BK39" s="550">
        <f t="shared" si="42"/>
        <v>0.87679263832975451</v>
      </c>
    </row>
    <row r="40" spans="1:63" ht="13.5" thickBot="1">
      <c r="A40" s="18"/>
      <c r="B40" s="312"/>
      <c r="C40" s="312"/>
      <c r="D40" s="450"/>
      <c r="E40" s="450"/>
      <c r="F40" s="312"/>
      <c r="G40" s="453"/>
      <c r="H40" s="452"/>
      <c r="I40" s="452"/>
      <c r="J40" s="455" t="e">
        <f t="shared" si="25"/>
        <v>#DIV/0!</v>
      </c>
      <c r="K40" s="455" t="e">
        <f t="shared" si="26"/>
        <v>#DIV/0!</v>
      </c>
      <c r="L40" s="320"/>
      <c r="M40" s="313"/>
      <c r="N40" s="313"/>
      <c r="O40" s="313"/>
      <c r="P40" s="314"/>
      <c r="Q40" s="313"/>
      <c r="R40" s="315"/>
      <c r="S40" s="316"/>
      <c r="T40" s="317"/>
      <c r="U40" s="317"/>
      <c r="V40" s="318"/>
      <c r="W40" s="319"/>
      <c r="X40" s="316"/>
      <c r="Y40" s="316"/>
      <c r="Z40" s="321"/>
      <c r="AA40" s="316"/>
      <c r="AB40" s="316"/>
      <c r="AC40" s="313"/>
      <c r="AD40" s="322"/>
      <c r="AE40" s="322"/>
      <c r="AF40" s="323"/>
      <c r="AG40" s="322"/>
      <c r="AH40" s="316"/>
      <c r="AI40" s="316"/>
      <c r="AJ40" s="311"/>
      <c r="AK40" s="324"/>
      <c r="AL40" s="320"/>
      <c r="AM40" s="324"/>
      <c r="AN40" s="316"/>
      <c r="AO40" s="316"/>
      <c r="AP40" s="324"/>
      <c r="AQ40" s="324"/>
      <c r="AR40" s="320"/>
      <c r="AS40" s="324"/>
      <c r="AT40" s="316"/>
      <c r="AU40" s="316"/>
      <c r="AV40" s="324"/>
      <c r="AW40" s="324"/>
      <c r="AX40" s="324"/>
      <c r="AY40" s="324"/>
      <c r="AZ40" s="316"/>
      <c r="BA40" s="316"/>
      <c r="BB40" s="324"/>
      <c r="BC40" s="324"/>
      <c r="BD40" s="324"/>
      <c r="BE40" s="324"/>
      <c r="BF40" s="524"/>
      <c r="BG40" s="525"/>
      <c r="BH40" s="551"/>
      <c r="BI40" s="552"/>
      <c r="BJ40" s="550"/>
      <c r="BK40" s="553"/>
    </row>
    <row r="41" spans="1:63" ht="14.25" thickTop="1" thickBot="1">
      <c r="A41" s="325"/>
      <c r="B41" s="326"/>
      <c r="C41" s="326"/>
      <c r="D41" s="451"/>
      <c r="E41" s="451"/>
      <c r="F41" s="326"/>
      <c r="G41" s="453">
        <f t="shared" si="22"/>
        <v>0.88903749927666575</v>
      </c>
      <c r="H41" s="452">
        <f>+P41/L41</f>
        <v>0.88097325633525514</v>
      </c>
      <c r="I41" s="452">
        <f t="shared" si="24"/>
        <v>0.95548330696427097</v>
      </c>
      <c r="J41" s="455">
        <f t="shared" si="25"/>
        <v>0.84175524031029192</v>
      </c>
      <c r="K41" s="462"/>
      <c r="L41" s="333">
        <f>SUM(L9:L39)</f>
        <v>1959.3545974148351</v>
      </c>
      <c r="M41" s="327"/>
      <c r="N41" s="333">
        <f>SUM(N9:N39)</f>
        <v>1941.5817683780635</v>
      </c>
      <c r="O41" s="327"/>
      <c r="P41" s="327">
        <f>SUM(P9:P39)</f>
        <v>1726.1390000000001</v>
      </c>
      <c r="Q41" s="327"/>
      <c r="R41" s="327">
        <f>SUM(R9:R39)</f>
        <v>1649.2969999999998</v>
      </c>
      <c r="S41" s="327"/>
      <c r="T41" s="328">
        <f>R41/P41</f>
        <v>0.95548330696427097</v>
      </c>
      <c r="U41" s="329"/>
      <c r="V41" s="330">
        <f>(R41/L41)</f>
        <v>0.84175524031029192</v>
      </c>
      <c r="W41" s="331"/>
      <c r="X41" s="329"/>
      <c r="Y41" s="329">
        <f>Y38+X41</f>
        <v>0</v>
      </c>
      <c r="Z41" s="332">
        <f>IF(AND(R41&gt;0,X41&gt;0),X41/R41*1000,0)</f>
        <v>0</v>
      </c>
      <c r="AA41" s="329">
        <f>IF(AND(S41&gt;0,Y41&gt;0),Y41/S41*1000,0)</f>
        <v>0</v>
      </c>
      <c r="AB41" s="333">
        <f>SUM(AB9:AB39)</f>
        <v>0</v>
      </c>
      <c r="AC41" s="333"/>
      <c r="AD41" s="334">
        <f>AB41/P41</f>
        <v>0</v>
      </c>
      <c r="AE41" s="334"/>
      <c r="AF41" s="335">
        <f>AB41/R41</f>
        <v>0</v>
      </c>
      <c r="AG41" s="334"/>
      <c r="AH41" s="329">
        <f>SUM(AH9:AH40)</f>
        <v>3825.8540000000012</v>
      </c>
      <c r="AI41" s="329"/>
      <c r="AJ41" s="336">
        <f>AH41/P41</f>
        <v>2.2164228952593046</v>
      </c>
      <c r="AK41" s="336"/>
      <c r="AL41" s="337">
        <f>AH41/R41</f>
        <v>2.3196877214958866</v>
      </c>
      <c r="AM41" s="336"/>
      <c r="AN41" s="329">
        <f>SUM(AN9:AN40)</f>
        <v>406</v>
      </c>
      <c r="AO41" s="329"/>
      <c r="AP41" s="336">
        <f>AN41/P41</f>
        <v>0.23520701403537025</v>
      </c>
      <c r="AQ41" s="336"/>
      <c r="AR41" s="337">
        <f>AN41/R41</f>
        <v>0.24616548747739192</v>
      </c>
      <c r="AS41" s="336"/>
      <c r="AT41" s="329">
        <f>SUM(AT9:AT39)</f>
        <v>1016136.8000000005</v>
      </c>
      <c r="AU41" s="329"/>
      <c r="AV41" s="336">
        <f>AT41/P41</f>
        <v>588.67611472772501</v>
      </c>
      <c r="AW41" s="336"/>
      <c r="AX41" s="336">
        <f>AT41/R41</f>
        <v>616.10298205841684</v>
      </c>
      <c r="AY41" s="336"/>
      <c r="AZ41" s="329">
        <f>SUM(AZ9:AZ39)</f>
        <v>802236.58799999999</v>
      </c>
      <c r="BA41" s="329"/>
      <c r="BB41" s="336">
        <f>AZ41/V41</f>
        <v>953052.08638116182</v>
      </c>
      <c r="BC41" s="336"/>
      <c r="BD41" s="336">
        <f>AZ41/R41</f>
        <v>486.41123339216654</v>
      </c>
      <c r="BE41" s="336"/>
      <c r="BF41" s="524"/>
      <c r="BG41" s="524"/>
      <c r="BH41" s="554">
        <f>SUM(BH9:BH39)</f>
        <v>1881.0570799748352</v>
      </c>
      <c r="BI41" s="555"/>
      <c r="BJ41" s="550">
        <f t="shared" si="41"/>
        <v>0.87679263832975451</v>
      </c>
      <c r="BK41" s="553"/>
    </row>
    <row r="42" spans="1:63" ht="13.5" thickTop="1">
      <c r="S42" s="288"/>
      <c r="T42" s="288"/>
      <c r="U42" s="288"/>
      <c r="X42" s="288"/>
      <c r="Z42" s="288"/>
      <c r="AA42" s="288"/>
      <c r="AH42" s="288"/>
      <c r="AI42" s="288"/>
      <c r="AL42" s="288"/>
      <c r="AT42" s="288"/>
      <c r="AU42" s="288"/>
    </row>
    <row r="43" spans="1:63">
      <c r="S43" s="288"/>
      <c r="T43" s="288"/>
      <c r="U43" s="288"/>
      <c r="X43" s="288"/>
      <c r="Z43" s="288"/>
      <c r="AA43" s="288"/>
      <c r="AH43" s="288"/>
      <c r="AI43" s="288"/>
      <c r="AL43" s="288"/>
      <c r="AT43" s="288"/>
      <c r="AU43" s="288"/>
    </row>
    <row r="44" spans="1:63">
      <c r="S44" s="288"/>
      <c r="T44" s="288"/>
      <c r="U44" s="288"/>
      <c r="X44" s="288"/>
      <c r="Z44" s="288"/>
      <c r="AA44" s="288"/>
      <c r="AG44" s="338"/>
      <c r="AH44" s="288"/>
      <c r="AI44" s="288"/>
      <c r="AL44" s="288"/>
      <c r="AT44" s="288"/>
      <c r="AU44" s="288"/>
    </row>
    <row r="45" spans="1:63">
      <c r="R45" s="339"/>
      <c r="S45" s="340"/>
      <c r="T45" s="340"/>
      <c r="U45" s="340"/>
      <c r="V45" s="341"/>
      <c r="W45" s="342"/>
      <c r="AG45" s="338"/>
    </row>
    <row r="46" spans="1:63">
      <c r="R46" s="343"/>
      <c r="AG46" s="338"/>
    </row>
    <row r="47" spans="1:63">
      <c r="R47" s="343"/>
      <c r="AG47" s="338"/>
    </row>
    <row r="48" spans="1:63">
      <c r="R48" s="343"/>
      <c r="AG48" s="338"/>
    </row>
    <row r="49" spans="18:63">
      <c r="R49" s="343"/>
      <c r="AG49" s="338"/>
      <c r="BJ49"/>
      <c r="BK49"/>
    </row>
    <row r="50" spans="18:63">
      <c r="R50" s="343"/>
      <c r="AG50" s="338"/>
      <c r="BJ50"/>
      <c r="BK50"/>
    </row>
    <row r="51" spans="18:63">
      <c r="R51" s="343"/>
      <c r="AG51" s="338"/>
      <c r="BJ51"/>
      <c r="BK51"/>
    </row>
    <row r="52" spans="18:63">
      <c r="R52" s="343"/>
      <c r="AG52" s="338"/>
      <c r="BJ52"/>
      <c r="BK52"/>
    </row>
    <row r="53" spans="18:63">
      <c r="R53" s="343"/>
      <c r="AG53" s="338"/>
      <c r="BJ53"/>
      <c r="BK53"/>
    </row>
    <row r="54" spans="18:63">
      <c r="R54" s="343"/>
      <c r="BJ54"/>
      <c r="BK54"/>
    </row>
    <row r="55" spans="18:63">
      <c r="R55" s="343"/>
      <c r="BJ55"/>
      <c r="BK55"/>
    </row>
    <row r="56" spans="18:63">
      <c r="R56" s="343"/>
      <c r="BJ56"/>
      <c r="BK56"/>
    </row>
    <row r="57" spans="18:63">
      <c r="R57" s="343"/>
      <c r="BJ57"/>
      <c r="BK57"/>
    </row>
    <row r="58" spans="18:63">
      <c r="R58" s="343"/>
      <c r="BJ58"/>
      <c r="BK58"/>
    </row>
    <row r="59" spans="18:63">
      <c r="R59" s="343"/>
      <c r="BJ59"/>
      <c r="BK59"/>
    </row>
    <row r="60" spans="18:63">
      <c r="BJ60"/>
      <c r="BK60"/>
    </row>
    <row r="65536" spans="3:61">
      <c r="C65536" s="344"/>
      <c r="BH65536"/>
      <c r="BI65536"/>
    </row>
  </sheetData>
  <mergeCells count="42"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  <mergeCell ref="BH6:BI7"/>
    <mergeCell ref="BJ6:BK7"/>
    <mergeCell ref="N6:O7"/>
    <mergeCell ref="BF6:BG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</mergeCells>
  <phoneticPr fontId="30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O45"/>
  <sheetViews>
    <sheetView zoomScaleNormal="100"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G14" sqref="AG14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6" width="10.85546875" customWidth="1"/>
    <col min="39" max="39" width="39" bestFit="1" customWidth="1"/>
  </cols>
  <sheetData>
    <row r="2" spans="1:41" ht="24.75" customHeight="1">
      <c r="A2" s="638" t="s">
        <v>22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345"/>
      <c r="AE2" s="345"/>
      <c r="AF2" s="345"/>
      <c r="AG2" s="345"/>
      <c r="AH2" s="345"/>
      <c r="AI2" s="345"/>
      <c r="AJ2" s="345"/>
      <c r="AK2" s="345"/>
      <c r="AL2" s="345"/>
      <c r="AM2" s="345"/>
    </row>
    <row r="3" spans="1:41" ht="12.75" customHeight="1">
      <c r="A3" s="345"/>
      <c r="B3" s="345"/>
      <c r="C3" s="345"/>
      <c r="D3" s="346"/>
      <c r="E3" s="347"/>
      <c r="F3" s="348"/>
      <c r="G3" s="349"/>
      <c r="H3" s="349"/>
      <c r="I3" s="350"/>
      <c r="J3" s="351"/>
      <c r="K3" s="351"/>
      <c r="L3" s="351"/>
      <c r="M3" s="352"/>
      <c r="N3" s="351"/>
      <c r="O3" s="351"/>
      <c r="P3" s="351"/>
      <c r="Q3" s="353"/>
      <c r="R3" s="351"/>
      <c r="S3" s="351"/>
      <c r="T3" s="351"/>
      <c r="U3" s="354"/>
      <c r="V3" s="351"/>
      <c r="W3" s="351"/>
      <c r="X3" s="351"/>
      <c r="Y3" s="351"/>
      <c r="Z3" s="351"/>
      <c r="AA3" s="351"/>
      <c r="AB3" s="351"/>
      <c r="AC3" s="351"/>
      <c r="AD3" s="6"/>
      <c r="AE3" s="6"/>
      <c r="AK3" s="345"/>
      <c r="AL3" s="345"/>
      <c r="AM3" s="345"/>
    </row>
    <row r="4" spans="1:41" ht="13.5" thickBot="1">
      <c r="A4" s="639" t="s">
        <v>9</v>
      </c>
      <c r="B4" s="642" t="s">
        <v>23</v>
      </c>
      <c r="C4" s="642" t="s">
        <v>24</v>
      </c>
      <c r="D4" s="636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37"/>
      <c r="W4" s="637"/>
      <c r="X4" s="637"/>
      <c r="Y4" s="637"/>
      <c r="Z4" s="637"/>
      <c r="AA4" s="637"/>
      <c r="AB4" s="637"/>
      <c r="AC4" s="620" t="s">
        <v>183</v>
      </c>
      <c r="AD4" s="621"/>
      <c r="AE4" s="622"/>
      <c r="AF4" s="620" t="s">
        <v>184</v>
      </c>
      <c r="AG4" s="621"/>
      <c r="AH4" s="621"/>
      <c r="AI4" s="621"/>
      <c r="AJ4" s="622"/>
    </row>
    <row r="5" spans="1:41" ht="14.25" customHeight="1" thickBot="1">
      <c r="A5" s="640"/>
      <c r="B5" s="643"/>
      <c r="C5" s="643"/>
      <c r="D5" s="645" t="s">
        <v>299</v>
      </c>
      <c r="E5" s="646"/>
      <c r="F5" s="646"/>
      <c r="G5" s="647"/>
      <c r="H5" s="469" t="s">
        <v>228</v>
      </c>
      <c r="I5" s="648" t="s">
        <v>178</v>
      </c>
      <c r="J5" s="649"/>
      <c r="K5" s="649"/>
      <c r="L5" s="650"/>
      <c r="M5" s="626" t="s">
        <v>179</v>
      </c>
      <c r="N5" s="627"/>
      <c r="O5" s="627"/>
      <c r="P5" s="628"/>
      <c r="Q5" s="629" t="s">
        <v>180</v>
      </c>
      <c r="R5" s="630"/>
      <c r="S5" s="630"/>
      <c r="T5" s="631"/>
      <c r="U5" s="632" t="s">
        <v>181</v>
      </c>
      <c r="V5" s="632"/>
      <c r="W5" s="632"/>
      <c r="X5" s="632"/>
      <c r="Y5" s="633" t="s">
        <v>182</v>
      </c>
      <c r="Z5" s="634"/>
      <c r="AA5" s="634"/>
      <c r="AB5" s="635"/>
      <c r="AC5" s="623"/>
      <c r="AD5" s="624"/>
      <c r="AE5" s="625"/>
      <c r="AF5" s="623"/>
      <c r="AG5" s="624"/>
      <c r="AH5" s="624"/>
      <c r="AI5" s="624"/>
      <c r="AJ5" s="625"/>
    </row>
    <row r="6" spans="1:41" ht="14.25" customHeight="1">
      <c r="A6" s="641"/>
      <c r="B6" s="644"/>
      <c r="C6" s="644"/>
      <c r="D6" s="517" t="s">
        <v>25</v>
      </c>
      <c r="E6" s="420" t="s">
        <v>26</v>
      </c>
      <c r="F6" s="421" t="s">
        <v>27</v>
      </c>
      <c r="G6" s="421" t="s">
        <v>28</v>
      </c>
      <c r="H6" s="469"/>
      <c r="I6" s="518" t="s">
        <v>25</v>
      </c>
      <c r="J6" s="422" t="s">
        <v>26</v>
      </c>
      <c r="K6" s="423" t="s">
        <v>27</v>
      </c>
      <c r="L6" s="423" t="s">
        <v>28</v>
      </c>
      <c r="M6" s="519" t="s">
        <v>25</v>
      </c>
      <c r="N6" s="426" t="s">
        <v>26</v>
      </c>
      <c r="O6" s="427" t="s">
        <v>27</v>
      </c>
      <c r="P6" s="427" t="s">
        <v>28</v>
      </c>
      <c r="Q6" s="520" t="s">
        <v>25</v>
      </c>
      <c r="R6" s="428" t="s">
        <v>26</v>
      </c>
      <c r="S6" s="429" t="s">
        <v>27</v>
      </c>
      <c r="T6" s="429" t="s">
        <v>28</v>
      </c>
      <c r="U6" s="424" t="s">
        <v>25</v>
      </c>
      <c r="V6" s="521" t="s">
        <v>26</v>
      </c>
      <c r="W6" s="425" t="s">
        <v>27</v>
      </c>
      <c r="X6" s="425" t="s">
        <v>28</v>
      </c>
      <c r="Y6" s="430" t="s">
        <v>25</v>
      </c>
      <c r="Z6" s="430" t="s">
        <v>26</v>
      </c>
      <c r="AA6" s="430" t="s">
        <v>27</v>
      </c>
      <c r="AB6" s="430" t="s">
        <v>28</v>
      </c>
      <c r="AC6" s="431" t="s">
        <v>26</v>
      </c>
      <c r="AD6" s="432" t="s">
        <v>27</v>
      </c>
      <c r="AE6" s="432" t="s">
        <v>28</v>
      </c>
      <c r="AF6" s="431" t="s">
        <v>229</v>
      </c>
      <c r="AG6" s="431" t="s">
        <v>230</v>
      </c>
      <c r="AH6" s="431" t="s">
        <v>231</v>
      </c>
      <c r="AI6" s="432" t="s">
        <v>27</v>
      </c>
      <c r="AJ6" s="432" t="s">
        <v>28</v>
      </c>
      <c r="AL6" s="415"/>
    </row>
    <row r="7" spans="1:41">
      <c r="A7" s="355">
        <f>A8-1</f>
        <v>45930</v>
      </c>
      <c r="B7" s="356">
        <v>0</v>
      </c>
      <c r="C7" s="356">
        <v>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359"/>
      <c r="AD7" s="103"/>
      <c r="AE7" s="103"/>
      <c r="AF7" s="359"/>
      <c r="AG7" s="359"/>
      <c r="AH7" s="359"/>
      <c r="AI7" s="103"/>
      <c r="AJ7" s="103"/>
    </row>
    <row r="8" spans="1:41" ht="15">
      <c r="A8" s="355">
        <v>45931</v>
      </c>
      <c r="B8" s="362">
        <f>Report1!P9</f>
        <v>0</v>
      </c>
      <c r="C8" s="362">
        <f>Report1!R9</f>
        <v>0</v>
      </c>
      <c r="D8" s="363">
        <f>+D7+E8</f>
        <v>158.90000000001692</v>
      </c>
      <c r="E8" s="363">
        <f>+[1]DailyOct!O7</f>
        <v>158.90000000001692</v>
      </c>
      <c r="F8" s="363" t="e">
        <f t="shared" ref="F8:F38" si="0">E8/B8</f>
        <v>#DIV/0!</v>
      </c>
      <c r="G8" s="363" t="e">
        <f t="shared" ref="G8:G38" si="1">E8/C8</f>
        <v>#DIV/0!</v>
      </c>
      <c r="H8" s="363">
        <f>+[1]DailyOct!P7</f>
        <v>2.3000000000465661</v>
      </c>
      <c r="I8" s="363">
        <f>+I7+J8</f>
        <v>45</v>
      </c>
      <c r="J8" s="363">
        <f>+[1]DailyOct!Q7</f>
        <v>45</v>
      </c>
      <c r="K8" s="363" t="e">
        <f t="shared" ref="K8:K38" si="2">J8/B8</f>
        <v>#DIV/0!</v>
      </c>
      <c r="L8" s="363" t="e">
        <f t="shared" ref="L8:L38" si="3">J8/C8</f>
        <v>#DIV/0!</v>
      </c>
      <c r="M8" s="363">
        <f>+M7+N8</f>
        <v>3</v>
      </c>
      <c r="N8" s="363">
        <f>+[1]DailyOct!R7</f>
        <v>3</v>
      </c>
      <c r="O8" s="363" t="e">
        <f t="shared" ref="O8:O38" si="4">N8/B8</f>
        <v>#DIV/0!</v>
      </c>
      <c r="P8" s="363" t="e">
        <f t="shared" ref="P8:P38" si="5">N8/C8</f>
        <v>#DIV/0!</v>
      </c>
      <c r="Q8" s="363">
        <f>+Q7+R8</f>
        <v>4939.7499999991824</v>
      </c>
      <c r="R8" s="363">
        <f>+[1]DailyOct!S7</f>
        <v>4939.7499999991824</v>
      </c>
      <c r="S8" s="363" t="e">
        <f t="shared" ref="S8:S38" si="6">R8/B8</f>
        <v>#DIV/0!</v>
      </c>
      <c r="T8" s="363" t="e">
        <f t="shared" ref="T8:T38" si="7">R8/C8</f>
        <v>#DIV/0!</v>
      </c>
      <c r="U8" s="363">
        <f>+U7+V8</f>
        <v>1970.649999999498</v>
      </c>
      <c r="V8" s="363">
        <f>+[1]DailyOct!T7</f>
        <v>1970.649999999498</v>
      </c>
      <c r="W8" s="363" t="e">
        <f t="shared" ref="W8:W38" si="8">V8/B8</f>
        <v>#DIV/0!</v>
      </c>
      <c r="X8" s="363" t="e">
        <f t="shared" ref="X8:X38" si="9">V8/C8</f>
        <v>#DIV/0!</v>
      </c>
      <c r="Y8" s="363">
        <f>+Y7+Z8</f>
        <v>2244.65</v>
      </c>
      <c r="Z8" s="558">
        <f>+[1]DailyOct!U7</f>
        <v>2244.65</v>
      </c>
      <c r="AA8" s="363" t="e">
        <f>Z8/B8</f>
        <v>#DIV/0!</v>
      </c>
      <c r="AB8" s="363" t="e">
        <f>Z8/C8</f>
        <v>#DIV/0!</v>
      </c>
      <c r="AC8" s="363">
        <f>+E8+J8+N8+R8+V8+Z8+H8</f>
        <v>9364.2499999987431</v>
      </c>
      <c r="AD8" s="7" t="e">
        <f t="shared" ref="AD8:AD38" si="10">AC8/B8</f>
        <v>#DIV/0!</v>
      </c>
      <c r="AE8" s="361" t="e">
        <f t="shared" ref="AE8:AE38" si="11">AC8/C8</f>
        <v>#DIV/0!</v>
      </c>
      <c r="AF8" s="363">
        <f>+[1]DailyOct!BH7</f>
        <v>660</v>
      </c>
      <c r="AG8" s="363">
        <f>+[1]DailyOct!BL7</f>
        <v>7950</v>
      </c>
      <c r="AH8" s="363">
        <f>+AG8+AF8</f>
        <v>8610</v>
      </c>
      <c r="AI8" s="7" t="e">
        <f>AH8/B8</f>
        <v>#DIV/0!</v>
      </c>
      <c r="AJ8" s="7" t="e">
        <f>AH8/C8</f>
        <v>#DIV/0!</v>
      </c>
      <c r="AN8" s="433" t="s">
        <v>171</v>
      </c>
      <c r="AO8" s="433" t="s">
        <v>172</v>
      </c>
    </row>
    <row r="9" spans="1:41" ht="15">
      <c r="A9" s="355">
        <f t="shared" ref="A9:A38" si="12">A8+1</f>
        <v>45932</v>
      </c>
      <c r="B9" s="362">
        <f>Report1!P10</f>
        <v>42.451000000000001</v>
      </c>
      <c r="C9" s="362">
        <f>Report1!R10</f>
        <v>35.399000000000001</v>
      </c>
      <c r="D9" s="363">
        <f t="shared" ref="D9:D38" si="13">+D8+E9</f>
        <v>655.3000000000111</v>
      </c>
      <c r="E9" s="363">
        <f>+[1]DailyOct!O8</f>
        <v>496.39999999999418</v>
      </c>
      <c r="F9" s="363">
        <f t="shared" si="0"/>
        <v>11.693481896774967</v>
      </c>
      <c r="G9" s="363">
        <f t="shared" si="1"/>
        <v>14.022994999858588</v>
      </c>
      <c r="H9" s="363">
        <f>+[1]DailyOct!P8</f>
        <v>0</v>
      </c>
      <c r="I9" s="363">
        <f t="shared" ref="I9:I38" si="14">+I8+J9</f>
        <v>4020</v>
      </c>
      <c r="J9" s="363">
        <f>+[1]DailyOct!Q8</f>
        <v>3975</v>
      </c>
      <c r="K9" s="363">
        <f t="shared" si="2"/>
        <v>93.637370144401785</v>
      </c>
      <c r="L9" s="363">
        <f t="shared" si="3"/>
        <v>112.29130766405831</v>
      </c>
      <c r="M9" s="363">
        <f t="shared" ref="M9:M38" si="15">+M8+N9</f>
        <v>3</v>
      </c>
      <c r="N9" s="363">
        <f>+[1]DailyOct!R8</f>
        <v>0</v>
      </c>
      <c r="O9" s="363">
        <f t="shared" si="4"/>
        <v>0</v>
      </c>
      <c r="P9" s="363">
        <f t="shared" si="5"/>
        <v>0</v>
      </c>
      <c r="Q9" s="363">
        <f t="shared" ref="Q9:Q38" si="16">+Q8+R9</f>
        <v>19440.439999999624</v>
      </c>
      <c r="R9" s="363">
        <f>+[1]DailyOct!S8</f>
        <v>14500.690000000443</v>
      </c>
      <c r="S9" s="363">
        <f t="shared" si="6"/>
        <v>341.58653506396649</v>
      </c>
      <c r="T9" s="363">
        <f t="shared" si="7"/>
        <v>409.63558292608383</v>
      </c>
      <c r="U9" s="363">
        <f t="shared" ref="U9:U38" si="17">+U8+V9</f>
        <v>9087.7399999998252</v>
      </c>
      <c r="V9" s="363">
        <f>+[1]DailyOct!T8</f>
        <v>7117.0900000003276</v>
      </c>
      <c r="W9" s="363">
        <f t="shared" si="8"/>
        <v>167.65423664932104</v>
      </c>
      <c r="X9" s="363">
        <f t="shared" si="9"/>
        <v>201.05341958813321</v>
      </c>
      <c r="Y9" s="363">
        <f t="shared" ref="Y9:Y38" si="18">+Y8+Z9</f>
        <v>9533.4399999999532</v>
      </c>
      <c r="Z9" s="558">
        <f>+[1]DailyOct!U8</f>
        <v>7288.7899999999536</v>
      </c>
      <c r="AA9" s="363">
        <f t="shared" ref="AA9:AA38" si="19">Z9/B9</f>
        <v>171.69889990812828</v>
      </c>
      <c r="AB9" s="363">
        <f t="shared" ref="AB9:AB38" si="20">Z9/C9</f>
        <v>205.90383909149844</v>
      </c>
      <c r="AC9" s="363">
        <f t="shared" ref="AC9:AC38" si="21">+E9+J9+N9+R9+V9+Z9+H9</f>
        <v>33377.970000000714</v>
      </c>
      <c r="AD9" s="360">
        <f t="shared" si="10"/>
        <v>786.2705236625925</v>
      </c>
      <c r="AE9" s="361">
        <f t="shared" si="11"/>
        <v>942.90714426963234</v>
      </c>
      <c r="AF9" s="363">
        <f>+[1]DailyOct!BH8</f>
        <v>1247</v>
      </c>
      <c r="AG9" s="363">
        <f>+[1]DailyOct!BL8</f>
        <v>33490</v>
      </c>
      <c r="AH9" s="363">
        <f t="shared" ref="AH9:AH38" si="22">+AG9+AF9</f>
        <v>34737</v>
      </c>
      <c r="AI9" s="7">
        <f t="shared" ref="AI9:AI38" si="23">AH9/B9</f>
        <v>818.28461049209682</v>
      </c>
      <c r="AJ9" s="7">
        <f t="shared" ref="AJ9:AJ38" si="24">AH9/C9</f>
        <v>981.29890674877822</v>
      </c>
      <c r="AN9" s="433" t="s">
        <v>173</v>
      </c>
      <c r="AO9" s="433" t="s">
        <v>173</v>
      </c>
    </row>
    <row r="10" spans="1:41">
      <c r="A10" s="355">
        <f t="shared" si="12"/>
        <v>45933</v>
      </c>
      <c r="B10" s="362">
        <f>Report1!P11</f>
        <v>56.043999999999997</v>
      </c>
      <c r="C10" s="362">
        <f>Report1!R11</f>
        <v>53.036000000000001</v>
      </c>
      <c r="D10" s="363">
        <f t="shared" si="13"/>
        <v>1525.5999999999972</v>
      </c>
      <c r="E10" s="363">
        <f>+[1]DailyOct!O9</f>
        <v>870.29999999998608</v>
      </c>
      <c r="F10" s="363">
        <f t="shared" si="0"/>
        <v>15.52887017343491</v>
      </c>
      <c r="G10" s="363">
        <f t="shared" si="1"/>
        <v>16.40960856776503</v>
      </c>
      <c r="H10" s="363">
        <f>+[1]DailyOct!P9</f>
        <v>0</v>
      </c>
      <c r="I10" s="363">
        <f t="shared" si="14"/>
        <v>8517</v>
      </c>
      <c r="J10" s="363">
        <f>+[1]DailyOct!Q9</f>
        <v>4497</v>
      </c>
      <c r="K10" s="363">
        <f t="shared" si="2"/>
        <v>80.240525301548786</v>
      </c>
      <c r="L10" s="363">
        <f t="shared" si="3"/>
        <v>84.791462402896144</v>
      </c>
      <c r="M10" s="363">
        <f t="shared" si="15"/>
        <v>3</v>
      </c>
      <c r="N10" s="363">
        <f>+[1]DailyOct!R9</f>
        <v>0</v>
      </c>
      <c r="O10" s="363">
        <f t="shared" si="4"/>
        <v>0</v>
      </c>
      <c r="P10" s="363">
        <f t="shared" si="5"/>
        <v>0</v>
      </c>
      <c r="Q10" s="363">
        <f t="shared" si="16"/>
        <v>35086.249999999563</v>
      </c>
      <c r="R10" s="363">
        <f>+[1]DailyOct!S9</f>
        <v>15645.809999999941</v>
      </c>
      <c r="S10" s="363">
        <f t="shared" si="6"/>
        <v>279.1701163371626</v>
      </c>
      <c r="T10" s="363">
        <f t="shared" si="7"/>
        <v>295.00358247228183</v>
      </c>
      <c r="U10" s="363">
        <f t="shared" si="17"/>
        <v>16777.849999999729</v>
      </c>
      <c r="V10" s="363">
        <f>+[1]DailyOct!T9</f>
        <v>7690.1099999999051</v>
      </c>
      <c r="W10" s="363">
        <f t="shared" si="8"/>
        <v>137.21558061522921</v>
      </c>
      <c r="X10" s="363">
        <f t="shared" si="9"/>
        <v>144.99792593709753</v>
      </c>
      <c r="Y10" s="363">
        <f t="shared" si="18"/>
        <v>16904.949999999975</v>
      </c>
      <c r="Z10" s="558">
        <f>+[1]DailyOct!U9</f>
        <v>7371.510000000023</v>
      </c>
      <c r="AA10" s="363">
        <f t="shared" si="19"/>
        <v>131.53076154450116</v>
      </c>
      <c r="AB10" s="363">
        <f t="shared" si="20"/>
        <v>138.99068557206468</v>
      </c>
      <c r="AC10" s="363">
        <f t="shared" si="21"/>
        <v>36074.729999999858</v>
      </c>
      <c r="AD10" s="360">
        <f t="shared" si="10"/>
        <v>643.68585397187678</v>
      </c>
      <c r="AE10" s="361">
        <f t="shared" si="11"/>
        <v>680.19326495210532</v>
      </c>
      <c r="AF10" s="363">
        <f>+[1]DailyOct!BH9</f>
        <v>1352</v>
      </c>
      <c r="AG10" s="363">
        <f>+[1]DailyOct!BL9</f>
        <v>25885.200000000001</v>
      </c>
      <c r="AH10" s="363">
        <f t="shared" si="22"/>
        <v>27237.200000000001</v>
      </c>
      <c r="AI10" s="7">
        <f t="shared" si="23"/>
        <v>485.99671686532014</v>
      </c>
      <c r="AJ10" s="7">
        <f t="shared" si="24"/>
        <v>513.56060034693417</v>
      </c>
      <c r="AL10" s="23" t="s">
        <v>30</v>
      </c>
      <c r="AM10" s="415" t="s">
        <v>177</v>
      </c>
      <c r="AN10" s="15">
        <f>+F40</f>
        <v>12.179783899210898</v>
      </c>
      <c r="AO10" s="15">
        <f>+G40</f>
        <v>12.747249282573124</v>
      </c>
    </row>
    <row r="11" spans="1:41">
      <c r="A11" s="355">
        <f t="shared" si="12"/>
        <v>45934</v>
      </c>
      <c r="B11" s="362">
        <f>Report1!P12</f>
        <v>41.531999999999996</v>
      </c>
      <c r="C11" s="362">
        <f>Report1!R12</f>
        <v>32.670999999999999</v>
      </c>
      <c r="D11" s="363">
        <f t="shared" si="13"/>
        <v>2187.6000000000317</v>
      </c>
      <c r="E11" s="363">
        <f>+[1]DailyOct!O10</f>
        <v>662.00000000003456</v>
      </c>
      <c r="F11" s="363">
        <f t="shared" si="0"/>
        <v>15.93951651738502</v>
      </c>
      <c r="G11" s="363">
        <f t="shared" si="1"/>
        <v>20.262618224114185</v>
      </c>
      <c r="H11" s="363">
        <f>+[1]DailyOct!P10</f>
        <v>0</v>
      </c>
      <c r="I11" s="363">
        <f t="shared" si="14"/>
        <v>11586</v>
      </c>
      <c r="J11" s="363">
        <f>+[1]DailyOct!Q10</f>
        <v>3069</v>
      </c>
      <c r="K11" s="363">
        <f t="shared" si="2"/>
        <v>73.894828084368683</v>
      </c>
      <c r="L11" s="363">
        <f t="shared" si="3"/>
        <v>93.936518625080353</v>
      </c>
      <c r="M11" s="363">
        <f t="shared" si="15"/>
        <v>3</v>
      </c>
      <c r="N11" s="363">
        <f>+[1]DailyOct!R10</f>
        <v>0</v>
      </c>
      <c r="O11" s="363">
        <f t="shared" si="4"/>
        <v>0</v>
      </c>
      <c r="P11" s="363">
        <f t="shared" si="5"/>
        <v>0</v>
      </c>
      <c r="Q11" s="363">
        <f t="shared" si="16"/>
        <v>49157.470000000329</v>
      </c>
      <c r="R11" s="363">
        <f>+[1]DailyOct!S10</f>
        <v>14071.220000000765</v>
      </c>
      <c r="S11" s="363">
        <f t="shared" si="6"/>
        <v>338.80429548301953</v>
      </c>
      <c r="T11" s="363">
        <f t="shared" si="7"/>
        <v>430.69449970924569</v>
      </c>
      <c r="U11" s="363">
        <f t="shared" si="17"/>
        <v>22938.069999999301</v>
      </c>
      <c r="V11" s="363">
        <f>+[1]DailyOct!T10</f>
        <v>6160.219999999571</v>
      </c>
      <c r="W11" s="363">
        <f t="shared" si="8"/>
        <v>148.32466531829846</v>
      </c>
      <c r="X11" s="363">
        <f t="shared" si="9"/>
        <v>188.55315111259438</v>
      </c>
      <c r="Y11" s="363">
        <f t="shared" si="18"/>
        <v>22564.870000000046</v>
      </c>
      <c r="Z11" s="558">
        <f>+[1]DailyOct!U10</f>
        <v>5659.9200000000701</v>
      </c>
      <c r="AA11" s="363">
        <f t="shared" si="19"/>
        <v>136.2785322161242</v>
      </c>
      <c r="AB11" s="363">
        <f t="shared" si="20"/>
        <v>173.23987634293624</v>
      </c>
      <c r="AC11" s="363">
        <f t="shared" si="21"/>
        <v>29622.360000000444</v>
      </c>
      <c r="AD11" s="360">
        <f t="shared" si="10"/>
        <v>713.24183761919596</v>
      </c>
      <c r="AE11" s="361">
        <f t="shared" si="11"/>
        <v>906.68666401397093</v>
      </c>
      <c r="AF11" s="363">
        <f>+[1]DailyOct!BH10</f>
        <v>1249</v>
      </c>
      <c r="AG11" s="363">
        <f>+[1]DailyOct!BL10</f>
        <v>21241.5</v>
      </c>
      <c r="AH11" s="363">
        <f t="shared" si="22"/>
        <v>22490.5</v>
      </c>
      <c r="AI11" s="7">
        <f t="shared" si="23"/>
        <v>541.52219974959075</v>
      </c>
      <c r="AJ11" s="7">
        <f t="shared" si="24"/>
        <v>688.39337638884638</v>
      </c>
      <c r="AL11" s="23"/>
      <c r="AM11" s="415" t="s">
        <v>178</v>
      </c>
      <c r="AN11" s="15">
        <f>+K40</f>
        <v>66.470892552685498</v>
      </c>
      <c r="AO11" s="15">
        <f>+L40</f>
        <v>69.567821926554174</v>
      </c>
    </row>
    <row r="12" spans="1:41">
      <c r="A12" s="355">
        <f t="shared" si="12"/>
        <v>45935</v>
      </c>
      <c r="B12" s="362">
        <f>Report1!P13</f>
        <v>49.480000000000004</v>
      </c>
      <c r="C12" s="362">
        <f>Report1!R13</f>
        <v>44.783000000000001</v>
      </c>
      <c r="D12" s="363">
        <f t="shared" si="13"/>
        <v>2942.100000000039</v>
      </c>
      <c r="E12" s="363">
        <f>+[1]DailyOct!O11</f>
        <v>754.50000000000728</v>
      </c>
      <c r="F12" s="363">
        <f t="shared" si="0"/>
        <v>15.248585286984786</v>
      </c>
      <c r="G12" s="363">
        <f t="shared" si="1"/>
        <v>16.847911037670706</v>
      </c>
      <c r="H12" s="363">
        <f>+[1]DailyOct!P11</f>
        <v>0</v>
      </c>
      <c r="I12" s="363">
        <f t="shared" si="14"/>
        <v>14927</v>
      </c>
      <c r="J12" s="363">
        <f>+[1]DailyOct!Q11</f>
        <v>3341</v>
      </c>
      <c r="K12" s="363">
        <f t="shared" si="2"/>
        <v>67.522231204527074</v>
      </c>
      <c r="L12" s="363">
        <f t="shared" si="3"/>
        <v>74.604202487551078</v>
      </c>
      <c r="M12" s="363">
        <f t="shared" si="15"/>
        <v>3</v>
      </c>
      <c r="N12" s="363">
        <f>+[1]DailyOct!R11</f>
        <v>0</v>
      </c>
      <c r="O12" s="363">
        <f t="shared" si="4"/>
        <v>0</v>
      </c>
      <c r="P12" s="363">
        <f t="shared" si="5"/>
        <v>0</v>
      </c>
      <c r="Q12" s="363">
        <f t="shared" si="16"/>
        <v>62993.209999999883</v>
      </c>
      <c r="R12" s="363">
        <f>+[1]DailyOct!S11</f>
        <v>13835.739999999556</v>
      </c>
      <c r="S12" s="363">
        <f t="shared" si="6"/>
        <v>279.62287793046795</v>
      </c>
      <c r="T12" s="363">
        <f t="shared" si="7"/>
        <v>308.95071790633847</v>
      </c>
      <c r="U12" s="363">
        <f t="shared" si="17"/>
        <v>29948.309999999845</v>
      </c>
      <c r="V12" s="363">
        <f>+[1]DailyOct!T11</f>
        <v>7010.2400000005455</v>
      </c>
      <c r="W12" s="363">
        <f t="shared" si="8"/>
        <v>141.67825383994634</v>
      </c>
      <c r="X12" s="363">
        <f>V12/C12</f>
        <v>156.5379719983151</v>
      </c>
      <c r="Y12" s="363">
        <f t="shared" si="18"/>
        <v>29032.509999999951</v>
      </c>
      <c r="Z12" s="558">
        <f>+[1]DailyOct!U11</f>
        <v>6467.6399999999066</v>
      </c>
      <c r="AA12" s="363">
        <f t="shared" si="19"/>
        <v>130.71220695230207</v>
      </c>
      <c r="AB12" s="363">
        <f t="shared" si="20"/>
        <v>144.42176718843996</v>
      </c>
      <c r="AC12" s="363">
        <f t="shared" si="21"/>
        <v>31409.12000000001</v>
      </c>
      <c r="AD12" s="360">
        <f t="shared" si="10"/>
        <v>634.78415521422812</v>
      </c>
      <c r="AE12" s="361">
        <f t="shared" si="11"/>
        <v>701.3625706183152</v>
      </c>
      <c r="AF12" s="363">
        <f>+[1]DailyOct!BH11</f>
        <v>1231</v>
      </c>
      <c r="AG12" s="363">
        <f>+[1]DailyOct!BL11</f>
        <v>24659.640000000003</v>
      </c>
      <c r="AH12" s="363">
        <f t="shared" si="22"/>
        <v>25890.640000000003</v>
      </c>
      <c r="AI12" s="7">
        <f t="shared" si="23"/>
        <v>523.25464834276477</v>
      </c>
      <c r="AJ12" s="7">
        <f t="shared" si="24"/>
        <v>578.13545318536057</v>
      </c>
      <c r="AL12" s="23"/>
      <c r="AM12" s="415" t="s">
        <v>179</v>
      </c>
      <c r="AN12" s="15">
        <f>+O40</f>
        <v>0.21075938843858363</v>
      </c>
      <c r="AO12" s="15">
        <f>+P40</f>
        <v>0.22057882843416826</v>
      </c>
    </row>
    <row r="13" spans="1:41">
      <c r="A13" s="355">
        <f t="shared" si="12"/>
        <v>45936</v>
      </c>
      <c r="B13" s="362">
        <f>Report1!P14</f>
        <v>62.212000000000003</v>
      </c>
      <c r="C13" s="362">
        <f>Report1!R14</f>
        <v>60.667000000000002</v>
      </c>
      <c r="D13" s="363">
        <f t="shared" si="13"/>
        <v>3804.0000000000305</v>
      </c>
      <c r="E13" s="363">
        <f>+[1]DailyOct!O12</f>
        <v>861.89999999999145</v>
      </c>
      <c r="F13" s="363">
        <f t="shared" si="0"/>
        <v>13.854240339484205</v>
      </c>
      <c r="G13" s="363">
        <f t="shared" si="1"/>
        <v>14.207064796347131</v>
      </c>
      <c r="H13" s="363">
        <f>+[1]DailyOct!P12</f>
        <v>369</v>
      </c>
      <c r="I13" s="363">
        <f t="shared" si="14"/>
        <v>19032</v>
      </c>
      <c r="J13" s="363">
        <f>+[1]DailyOct!Q12</f>
        <v>4105</v>
      </c>
      <c r="K13" s="363">
        <f t="shared" si="2"/>
        <v>65.984054523243103</v>
      </c>
      <c r="L13" s="363">
        <f t="shared" si="3"/>
        <v>67.664463382069329</v>
      </c>
      <c r="M13" s="363">
        <f t="shared" si="15"/>
        <v>3</v>
      </c>
      <c r="N13" s="363">
        <f>+[1]DailyOct!R12</f>
        <v>0</v>
      </c>
      <c r="O13" s="363">
        <f t="shared" si="4"/>
        <v>0</v>
      </c>
      <c r="P13" s="363">
        <f t="shared" si="5"/>
        <v>0</v>
      </c>
      <c r="Q13" s="363">
        <f t="shared" si="16"/>
        <v>78743.679999999455</v>
      </c>
      <c r="R13" s="363">
        <f>+[1]DailyOct!S12</f>
        <v>15750.469999999572</v>
      </c>
      <c r="S13" s="363">
        <f t="shared" si="6"/>
        <v>253.17414646691267</v>
      </c>
      <c r="T13" s="363">
        <f t="shared" si="7"/>
        <v>259.62170537523815</v>
      </c>
      <c r="U13" s="363">
        <f t="shared" si="17"/>
        <v>37831.680000000051</v>
      </c>
      <c r="V13" s="363">
        <f>+[1]DailyOct!T12</f>
        <v>7883.3700000002036</v>
      </c>
      <c r="W13" s="363">
        <f t="shared" si="8"/>
        <v>126.71783578731119</v>
      </c>
      <c r="X13" s="363">
        <f t="shared" si="9"/>
        <v>129.94494535744644</v>
      </c>
      <c r="Y13" s="363">
        <f t="shared" si="18"/>
        <v>36140.379999999954</v>
      </c>
      <c r="Z13" s="558">
        <f>+[1]DailyOct!U12</f>
        <v>7107.87</v>
      </c>
      <c r="AA13" s="363">
        <f t="shared" si="19"/>
        <v>114.25239503632739</v>
      </c>
      <c r="AB13" s="363">
        <f t="shared" si="20"/>
        <v>117.16204856017274</v>
      </c>
      <c r="AC13" s="363">
        <f t="shared" si="21"/>
        <v>36077.609999999768</v>
      </c>
      <c r="AD13" s="360">
        <f t="shared" si="10"/>
        <v>579.91400372918031</v>
      </c>
      <c r="AE13" s="361">
        <f t="shared" si="11"/>
        <v>594.68261163399814</v>
      </c>
      <c r="AF13" s="363">
        <f>+[1]DailyOct!BH12</f>
        <v>1321</v>
      </c>
      <c r="AG13" s="363">
        <f>+[1]DailyOct!BL12</f>
        <v>24944.399999999998</v>
      </c>
      <c r="AH13" s="363">
        <f t="shared" si="22"/>
        <v>26265.399999999998</v>
      </c>
      <c r="AI13" s="7">
        <f t="shared" si="23"/>
        <v>422.19186009130067</v>
      </c>
      <c r="AJ13" s="7">
        <f t="shared" si="24"/>
        <v>432.94377503420304</v>
      </c>
      <c r="AL13" s="23"/>
      <c r="AM13" s="415" t="s">
        <v>180</v>
      </c>
      <c r="AN13" s="15">
        <f>+S40</f>
        <v>266.87317765255318</v>
      </c>
      <c r="AO13" s="15">
        <f>+T40</f>
        <v>279.30700171042605</v>
      </c>
    </row>
    <row r="14" spans="1:41">
      <c r="A14" s="355">
        <f t="shared" si="12"/>
        <v>45937</v>
      </c>
      <c r="B14" s="362">
        <f>Report1!P15</f>
        <v>68.798999999999992</v>
      </c>
      <c r="C14" s="362">
        <f>Report1!R15</f>
        <v>69.388000000000005</v>
      </c>
      <c r="D14" s="363">
        <f t="shared" si="13"/>
        <v>4491.7000000000371</v>
      </c>
      <c r="E14" s="363">
        <f>+[1]DailyOct!O13</f>
        <v>687.70000000000664</v>
      </c>
      <c r="F14" s="363">
        <f t="shared" si="0"/>
        <v>9.9957848224539116</v>
      </c>
      <c r="G14" s="363">
        <f t="shared" si="1"/>
        <v>9.910935608462653</v>
      </c>
      <c r="H14" s="363">
        <f>+[1]DailyOct!P13</f>
        <v>2197.5999999999767</v>
      </c>
      <c r="I14" s="363">
        <f t="shared" si="14"/>
        <v>22772</v>
      </c>
      <c r="J14" s="363">
        <f>+[1]DailyOct!Q13</f>
        <v>3740</v>
      </c>
      <c r="K14" s="363">
        <f t="shared" si="2"/>
        <v>54.361255250803069</v>
      </c>
      <c r="L14" s="363">
        <f t="shared" si="3"/>
        <v>53.899809765377292</v>
      </c>
      <c r="M14" s="363">
        <f t="shared" si="15"/>
        <v>3</v>
      </c>
      <c r="N14" s="363">
        <f>+[1]DailyOct!R13</f>
        <v>0</v>
      </c>
      <c r="O14" s="363">
        <f t="shared" si="4"/>
        <v>0</v>
      </c>
      <c r="P14" s="363">
        <f t="shared" si="5"/>
        <v>0</v>
      </c>
      <c r="Q14" s="363">
        <f t="shared" si="16"/>
        <v>95152.630000000398</v>
      </c>
      <c r="R14" s="363">
        <f>+[1]DailyOct!S13</f>
        <v>16408.950000000939</v>
      </c>
      <c r="S14" s="363">
        <f t="shared" si="6"/>
        <v>238.50564688441608</v>
      </c>
      <c r="T14" s="363">
        <f t="shared" si="7"/>
        <v>236.48109183145411</v>
      </c>
      <c r="U14" s="363">
        <f t="shared" si="17"/>
        <v>43943.329999999507</v>
      </c>
      <c r="V14" s="363">
        <f>+[1]DailyOct!T13</f>
        <v>6111.6499999994539</v>
      </c>
      <c r="W14" s="363">
        <f t="shared" si="8"/>
        <v>88.833413276347841</v>
      </c>
      <c r="X14" s="363">
        <f t="shared" si="9"/>
        <v>88.079350896400726</v>
      </c>
      <c r="Y14" s="363">
        <f t="shared" si="18"/>
        <v>42986.730000000025</v>
      </c>
      <c r="Z14" s="558">
        <f>+[1]DailyOct!U13</f>
        <v>6846.3500000000695</v>
      </c>
      <c r="AA14" s="363">
        <f t="shared" si="19"/>
        <v>99.51234756319235</v>
      </c>
      <c r="AB14" s="363">
        <f t="shared" si="20"/>
        <v>98.667637055399624</v>
      </c>
      <c r="AC14" s="363">
        <f t="shared" si="21"/>
        <v>35992.250000000451</v>
      </c>
      <c r="AD14" s="360">
        <f t="shared" si="10"/>
        <v>523.15077254030518</v>
      </c>
      <c r="AE14" s="361">
        <f t="shared" si="11"/>
        <v>518.71000749409768</v>
      </c>
      <c r="AF14" s="363">
        <f>+[1]DailyOct!BH13</f>
        <v>1258</v>
      </c>
      <c r="AG14" s="363">
        <f>+[1]DailyOct!BL13</f>
        <v>33600.6</v>
      </c>
      <c r="AH14" s="363">
        <f t="shared" si="22"/>
        <v>34858.6</v>
      </c>
      <c r="AI14" s="7">
        <f t="shared" si="23"/>
        <v>506.6730621084609</v>
      </c>
      <c r="AJ14" s="7">
        <f t="shared" si="24"/>
        <v>502.37216809823019</v>
      </c>
      <c r="AL14" s="23"/>
      <c r="AM14" s="415" t="s">
        <v>181</v>
      </c>
      <c r="AN14" s="15">
        <f>+W40</f>
        <v>115.28805038296449</v>
      </c>
      <c r="AO14" s="15">
        <f>+X40</f>
        <v>120.65940822059336</v>
      </c>
    </row>
    <row r="15" spans="1:41">
      <c r="A15" s="355">
        <f t="shared" si="12"/>
        <v>45938</v>
      </c>
      <c r="B15" s="362">
        <f>Report1!P16</f>
        <v>64.573000000000008</v>
      </c>
      <c r="C15" s="362">
        <f>Report1!R16</f>
        <v>63.63</v>
      </c>
      <c r="D15" s="363">
        <f t="shared" si="13"/>
        <v>5165.7999999999902</v>
      </c>
      <c r="E15" s="363">
        <f>+[1]DailyOct!O14</f>
        <v>674.09999999995307</v>
      </c>
      <c r="F15" s="363">
        <f t="shared" si="0"/>
        <v>10.439347714988509</v>
      </c>
      <c r="G15" s="363">
        <f t="shared" si="1"/>
        <v>10.594059405939856</v>
      </c>
      <c r="H15" s="363">
        <f>+[1]DailyOct!P14</f>
        <v>1739.5</v>
      </c>
      <c r="I15" s="363">
        <f t="shared" si="14"/>
        <v>26967</v>
      </c>
      <c r="J15" s="363">
        <f>+[1]DailyOct!Q14</f>
        <v>4195</v>
      </c>
      <c r="K15" s="363">
        <f t="shared" si="2"/>
        <v>64.965233146980935</v>
      </c>
      <c r="L15" s="363">
        <f t="shared" si="3"/>
        <v>65.928021373565926</v>
      </c>
      <c r="M15" s="363">
        <f t="shared" si="15"/>
        <v>361.89999999999418</v>
      </c>
      <c r="N15" s="363">
        <f>+[1]DailyOct!R14</f>
        <v>358.89999999999418</v>
      </c>
      <c r="O15" s="363">
        <f t="shared" si="4"/>
        <v>5.5580505784150365</v>
      </c>
      <c r="P15" s="363">
        <f t="shared" si="5"/>
        <v>5.6404211849755486</v>
      </c>
      <c r="Q15" s="363">
        <f t="shared" si="16"/>
        <v>110290.66000000059</v>
      </c>
      <c r="R15" s="363">
        <f>+[1]DailyOct!S14</f>
        <v>15138.030000000192</v>
      </c>
      <c r="S15" s="363">
        <f t="shared" si="6"/>
        <v>234.43281247580552</v>
      </c>
      <c r="T15" s="363">
        <f t="shared" si="7"/>
        <v>237.90711928335992</v>
      </c>
      <c r="U15" s="363">
        <f t="shared" si="17"/>
        <v>48518.45999999957</v>
      </c>
      <c r="V15" s="363">
        <f>+[1]DailyOct!T14</f>
        <v>4575.1300000000656</v>
      </c>
      <c r="W15" s="363">
        <f t="shared" si="8"/>
        <v>70.852058910071776</v>
      </c>
      <c r="X15" s="363">
        <f t="shared" si="9"/>
        <v>71.902090209021935</v>
      </c>
      <c r="Y15" s="363">
        <f t="shared" si="18"/>
        <v>48807.46</v>
      </c>
      <c r="Z15" s="558">
        <f>+[1]DailyOct!U14</f>
        <v>5820.7299999999768</v>
      </c>
      <c r="AA15" s="363">
        <f t="shared" si="19"/>
        <v>90.141854954856925</v>
      </c>
      <c r="AB15" s="363">
        <f t="shared" si="20"/>
        <v>91.477762061920103</v>
      </c>
      <c r="AC15" s="363">
        <f t="shared" si="21"/>
        <v>32501.390000000181</v>
      </c>
      <c r="AD15" s="360">
        <f t="shared" si="10"/>
        <v>503.32786149009922</v>
      </c>
      <c r="AE15" s="361">
        <f t="shared" si="11"/>
        <v>510.78720729216064</v>
      </c>
      <c r="AF15" s="363">
        <f>+[1]DailyOct!BH14</f>
        <v>1273</v>
      </c>
      <c r="AG15" s="363">
        <f>+[1]DailyOct!BL14</f>
        <v>25670.400000000052</v>
      </c>
      <c r="AH15" s="363">
        <f t="shared" si="22"/>
        <v>26943.400000000052</v>
      </c>
      <c r="AI15" s="7">
        <f t="shared" si="23"/>
        <v>417.25488981462917</v>
      </c>
      <c r="AJ15" s="7">
        <f t="shared" si="24"/>
        <v>423.43862957724423</v>
      </c>
      <c r="AL15" s="23"/>
      <c r="AM15" s="415" t="s">
        <v>182</v>
      </c>
      <c r="AN15" s="15">
        <f>+AA40</f>
        <v>111.47201934490789</v>
      </c>
      <c r="AO15" s="15">
        <f>+AB40</f>
        <v>116.66558539789983</v>
      </c>
    </row>
    <row r="16" spans="1:41">
      <c r="A16" s="355">
        <f t="shared" si="12"/>
        <v>45939</v>
      </c>
      <c r="B16" s="362">
        <f>Report1!P17</f>
        <v>67.663000000000011</v>
      </c>
      <c r="C16" s="362">
        <f>Report1!R17</f>
        <v>66.897000000000006</v>
      </c>
      <c r="D16" s="363">
        <f t="shared" si="13"/>
        <v>5729.800000000012</v>
      </c>
      <c r="E16" s="363">
        <f>+[1]DailyOct!O15</f>
        <v>564.00000000002137</v>
      </c>
      <c r="F16" s="363">
        <f t="shared" si="0"/>
        <v>8.3354270428450015</v>
      </c>
      <c r="G16" s="363">
        <f t="shared" si="1"/>
        <v>8.4308713395222696</v>
      </c>
      <c r="H16" s="363">
        <f>+[1]DailyOct!P15</f>
        <v>0</v>
      </c>
      <c r="I16" s="363">
        <f t="shared" si="14"/>
        <v>31231</v>
      </c>
      <c r="J16" s="363">
        <f>+[1]DailyOct!Q15</f>
        <v>4264</v>
      </c>
      <c r="K16" s="363">
        <f t="shared" si="2"/>
        <v>63.018193104059819</v>
      </c>
      <c r="L16" s="363">
        <f t="shared" si="3"/>
        <v>63.739779063336165</v>
      </c>
      <c r="M16" s="363">
        <f t="shared" si="15"/>
        <v>361.89999999999418</v>
      </c>
      <c r="N16" s="363">
        <f>+[1]DailyOct!R15</f>
        <v>0</v>
      </c>
      <c r="O16" s="363">
        <f t="shared" si="4"/>
        <v>0</v>
      </c>
      <c r="P16" s="363">
        <f t="shared" si="5"/>
        <v>0</v>
      </c>
      <c r="Q16" s="363">
        <f t="shared" si="16"/>
        <v>125326.59000000027</v>
      </c>
      <c r="R16" s="363">
        <f>+[1]DailyOct!S15</f>
        <v>15035.929999999687</v>
      </c>
      <c r="S16" s="363">
        <f t="shared" si="6"/>
        <v>222.21790343318631</v>
      </c>
      <c r="T16" s="363">
        <f t="shared" si="7"/>
        <v>224.76239592208449</v>
      </c>
      <c r="U16" s="363">
        <f t="shared" si="17"/>
        <v>53328.389999999315</v>
      </c>
      <c r="V16" s="363">
        <f>+[1]DailyOct!T15</f>
        <v>4809.9299999997456</v>
      </c>
      <c r="W16" s="363">
        <f t="shared" si="8"/>
        <v>71.086561340758536</v>
      </c>
      <c r="X16" s="363">
        <f t="shared" si="9"/>
        <v>71.900533656213966</v>
      </c>
      <c r="Y16" s="363">
        <f t="shared" si="18"/>
        <v>54987.39</v>
      </c>
      <c r="Z16" s="558">
        <f>+[1]DailyOct!U15</f>
        <v>6179.93</v>
      </c>
      <c r="AA16" s="363">
        <f t="shared" si="19"/>
        <v>91.33396390937439</v>
      </c>
      <c r="AB16" s="363">
        <f t="shared" si="20"/>
        <v>92.379777867467894</v>
      </c>
      <c r="AC16" s="363">
        <f t="shared" si="21"/>
        <v>30853.789999999455</v>
      </c>
      <c r="AD16" s="360">
        <f t="shared" si="10"/>
        <v>455.99204883022406</v>
      </c>
      <c r="AE16" s="361">
        <f t="shared" si="11"/>
        <v>461.21335784862481</v>
      </c>
      <c r="AF16" s="363">
        <f>+[1]DailyOct!BH15</f>
        <v>1387</v>
      </c>
      <c r="AG16" s="363">
        <f>+[1]DailyOct!BL15</f>
        <v>35550.199999999946</v>
      </c>
      <c r="AH16" s="363">
        <f t="shared" si="22"/>
        <v>36937.199999999946</v>
      </c>
      <c r="AI16" s="7">
        <f t="shared" si="23"/>
        <v>545.89953150170606</v>
      </c>
      <c r="AJ16" s="7">
        <f t="shared" si="24"/>
        <v>552.15032064218042</v>
      </c>
      <c r="AL16" s="23"/>
      <c r="AN16" s="20">
        <f>SUM(AN10:AN15)</f>
        <v>572.49468322076063</v>
      </c>
      <c r="AO16" s="20">
        <f>SUM(AO10:AO15)</f>
        <v>599.16764536648077</v>
      </c>
    </row>
    <row r="17" spans="1:41">
      <c r="A17" s="355">
        <f t="shared" si="12"/>
        <v>45940</v>
      </c>
      <c r="B17" s="362">
        <f>Report1!P18</f>
        <v>68.293999999999997</v>
      </c>
      <c r="C17" s="362">
        <f>Report1!R18</f>
        <v>66.941000000000003</v>
      </c>
      <c r="D17" s="363">
        <f t="shared" si="13"/>
        <v>6460.2000000000435</v>
      </c>
      <c r="E17" s="363">
        <f>+[1]DailyOct!O16</f>
        <v>730.40000000003147</v>
      </c>
      <c r="F17" s="363">
        <f t="shared" si="0"/>
        <v>10.694936597651791</v>
      </c>
      <c r="G17" s="363">
        <f t="shared" si="1"/>
        <v>10.911100820125654</v>
      </c>
      <c r="H17" s="363">
        <f>+[1]DailyOct!P16</f>
        <v>0</v>
      </c>
      <c r="I17" s="363">
        <f t="shared" si="14"/>
        <v>35062</v>
      </c>
      <c r="J17" s="363">
        <f>+[1]DailyOct!Q16</f>
        <v>3831</v>
      </c>
      <c r="K17" s="363">
        <f t="shared" si="2"/>
        <v>56.095703868568251</v>
      </c>
      <c r="L17" s="363">
        <f t="shared" si="3"/>
        <v>57.229500605010379</v>
      </c>
      <c r="M17" s="363">
        <f t="shared" si="15"/>
        <v>361.89999999999418</v>
      </c>
      <c r="N17" s="363">
        <f>+[1]DailyOct!R16</f>
        <v>0</v>
      </c>
      <c r="O17" s="363">
        <f t="shared" si="4"/>
        <v>0</v>
      </c>
      <c r="P17" s="363">
        <f t="shared" si="5"/>
        <v>0</v>
      </c>
      <c r="Q17" s="363">
        <f t="shared" si="16"/>
        <v>140434.86000000054</v>
      </c>
      <c r="R17" s="363">
        <f>+[1]DailyOct!S16</f>
        <v>15108.270000000259</v>
      </c>
      <c r="S17" s="363">
        <f t="shared" si="6"/>
        <v>221.22397282338505</v>
      </c>
      <c r="T17" s="363">
        <f t="shared" si="7"/>
        <v>225.6953137837836</v>
      </c>
      <c r="U17" s="363">
        <f t="shared" si="17"/>
        <v>59389.059999999357</v>
      </c>
      <c r="V17" s="363">
        <f>+[1]DailyOct!T16</f>
        <v>6060.6700000000437</v>
      </c>
      <c r="W17" s="363">
        <f t="shared" si="8"/>
        <v>88.743813512168629</v>
      </c>
      <c r="X17" s="363">
        <f t="shared" si="9"/>
        <v>90.537488235909876</v>
      </c>
      <c r="Y17" s="363">
        <f t="shared" si="18"/>
        <v>61584.06</v>
      </c>
      <c r="Z17" s="558">
        <f>+[1]DailyOct!U16</f>
        <v>6596.67</v>
      </c>
      <c r="AA17" s="363">
        <f t="shared" si="19"/>
        <v>96.59223357835242</v>
      </c>
      <c r="AB17" s="363">
        <f t="shared" si="20"/>
        <v>98.544539221105154</v>
      </c>
      <c r="AC17" s="363">
        <f t="shared" si="21"/>
        <v>32327.010000000329</v>
      </c>
      <c r="AD17" s="360">
        <f t="shared" si="10"/>
        <v>473.3506603801261</v>
      </c>
      <c r="AE17" s="361">
        <f t="shared" si="11"/>
        <v>482.91794266593462</v>
      </c>
      <c r="AF17" s="363">
        <f>+[1]DailyOct!BH16</f>
        <v>1322</v>
      </c>
      <c r="AG17" s="363">
        <f>+[1]DailyOct!BL16</f>
        <v>29908.800000000028</v>
      </c>
      <c r="AH17" s="363">
        <f t="shared" si="22"/>
        <v>31230.800000000028</v>
      </c>
      <c r="AI17" s="7">
        <f t="shared" si="23"/>
        <v>457.29932351304694</v>
      </c>
      <c r="AJ17" s="7">
        <f t="shared" si="24"/>
        <v>466.54217893368826</v>
      </c>
      <c r="AL17" s="23"/>
      <c r="AN17" s="15"/>
      <c r="AO17" s="15"/>
    </row>
    <row r="18" spans="1:41">
      <c r="A18" s="355">
        <f t="shared" si="12"/>
        <v>45941</v>
      </c>
      <c r="B18" s="362">
        <f>Report1!P19</f>
        <v>63.989000000000004</v>
      </c>
      <c r="C18" s="362">
        <f>Report1!R19</f>
        <v>60.802999999999997</v>
      </c>
      <c r="D18" s="363">
        <f t="shared" si="13"/>
        <v>7308.2</v>
      </c>
      <c r="E18" s="363">
        <f>+[1]DailyOct!O17</f>
        <v>847.99999999995634</v>
      </c>
      <c r="F18" s="357">
        <f t="shared" si="0"/>
        <v>13.25227773523506</v>
      </c>
      <c r="G18" s="357">
        <f t="shared" si="1"/>
        <v>13.94668026248633</v>
      </c>
      <c r="H18" s="363">
        <f>+[1]DailyOct!P17</f>
        <v>0</v>
      </c>
      <c r="I18" s="363">
        <f t="shared" si="14"/>
        <v>39174</v>
      </c>
      <c r="J18" s="363">
        <f>+[1]DailyOct!Q17</f>
        <v>4112</v>
      </c>
      <c r="K18" s="357">
        <f t="shared" si="2"/>
        <v>64.261044867086525</v>
      </c>
      <c r="L18" s="357">
        <f t="shared" si="3"/>
        <v>67.628242027531542</v>
      </c>
      <c r="M18" s="363">
        <f t="shared" si="15"/>
        <v>361.89999999999418</v>
      </c>
      <c r="N18" s="363">
        <f>+[1]DailyOct!R17</f>
        <v>0</v>
      </c>
      <c r="O18" s="357">
        <f t="shared" si="4"/>
        <v>0</v>
      </c>
      <c r="P18" s="357">
        <f t="shared" si="5"/>
        <v>0</v>
      </c>
      <c r="Q18" s="363">
        <f t="shared" si="16"/>
        <v>155898.25000000035</v>
      </c>
      <c r="R18" s="363">
        <f>+[1]DailyOct!S17</f>
        <v>15463.389999999825</v>
      </c>
      <c r="S18" s="357">
        <f t="shared" si="6"/>
        <v>241.65700354748196</v>
      </c>
      <c r="T18" s="357">
        <f t="shared" si="7"/>
        <v>254.31952370770892</v>
      </c>
      <c r="U18" s="363">
        <f t="shared" si="17"/>
        <v>67241.449999999313</v>
      </c>
      <c r="V18" s="363">
        <f>+[1]DailyOct!T17</f>
        <v>7852.3899999999494</v>
      </c>
      <c r="W18" s="357">
        <f t="shared" si="8"/>
        <v>122.71468533654142</v>
      </c>
      <c r="X18" s="357">
        <f t="shared" si="9"/>
        <v>129.14477904050705</v>
      </c>
      <c r="Y18" s="363">
        <f t="shared" si="18"/>
        <v>68804.45</v>
      </c>
      <c r="Z18" s="558">
        <f>+[1]DailyOct!U17</f>
        <v>7220.39</v>
      </c>
      <c r="AA18" s="363">
        <f t="shared" si="19"/>
        <v>112.83798777914954</v>
      </c>
      <c r="AB18" s="363">
        <f t="shared" si="20"/>
        <v>118.75055507129584</v>
      </c>
      <c r="AC18" s="363">
        <f t="shared" si="21"/>
        <v>35496.169999999729</v>
      </c>
      <c r="AD18" s="360">
        <f t="shared" si="10"/>
        <v>554.72299926549454</v>
      </c>
      <c r="AE18" s="361">
        <f t="shared" si="11"/>
        <v>583.7897801095296</v>
      </c>
      <c r="AF18" s="363">
        <f>+[1]DailyOct!BH17</f>
        <v>1458</v>
      </c>
      <c r="AG18" s="363">
        <f>+[1]DailyOct!BL17</f>
        <v>27253.446000000004</v>
      </c>
      <c r="AH18" s="363">
        <f t="shared" si="22"/>
        <v>28711.446000000004</v>
      </c>
      <c r="AI18" s="7">
        <f t="shared" si="23"/>
        <v>448.69346293894267</v>
      </c>
      <c r="AJ18" s="7">
        <f t="shared" si="24"/>
        <v>472.20443070243255</v>
      </c>
      <c r="AL18" s="23"/>
      <c r="AN18" s="15"/>
      <c r="AO18" s="15"/>
    </row>
    <row r="19" spans="1:41">
      <c r="A19" s="355">
        <f t="shared" si="12"/>
        <v>45942</v>
      </c>
      <c r="B19" s="362">
        <f>Report1!P20</f>
        <v>51.963000000000001</v>
      </c>
      <c r="C19" s="362">
        <f>Report1!R20</f>
        <v>51.13</v>
      </c>
      <c r="D19" s="363">
        <f t="shared" si="13"/>
        <v>8107.7999999999975</v>
      </c>
      <c r="E19" s="363">
        <f>+[1]DailyOct!O18</f>
        <v>799.59999999999809</v>
      </c>
      <c r="F19" s="357">
        <f t="shared" si="0"/>
        <v>15.387872139791737</v>
      </c>
      <c r="G19" s="357">
        <f t="shared" si="1"/>
        <v>15.638568355173049</v>
      </c>
      <c r="H19" s="363">
        <f>+[1]DailyOct!P18</f>
        <v>0</v>
      </c>
      <c r="I19" s="363">
        <f t="shared" si="14"/>
        <v>42755</v>
      </c>
      <c r="J19" s="363">
        <f>+[1]DailyOct!Q18</f>
        <v>3581</v>
      </c>
      <c r="K19" s="357">
        <f t="shared" si="2"/>
        <v>68.914419875680778</v>
      </c>
      <c r="L19" s="357">
        <f t="shared" si="3"/>
        <v>70.037160179933494</v>
      </c>
      <c r="M19" s="363">
        <f t="shared" si="15"/>
        <v>361.89999999999418</v>
      </c>
      <c r="N19" s="363">
        <f>+[1]DailyOct!R18</f>
        <v>0</v>
      </c>
      <c r="O19" s="357">
        <f t="shared" si="4"/>
        <v>0</v>
      </c>
      <c r="P19" s="357">
        <f t="shared" si="5"/>
        <v>0</v>
      </c>
      <c r="Q19" s="363">
        <f t="shared" si="16"/>
        <v>171054.18999999942</v>
      </c>
      <c r="R19" s="363">
        <f>+[1]DailyOct!S18</f>
        <v>15155.939999999056</v>
      </c>
      <c r="S19" s="357">
        <f t="shared" si="6"/>
        <v>291.66791755670488</v>
      </c>
      <c r="T19" s="357">
        <f t="shared" si="7"/>
        <v>296.4197144533357</v>
      </c>
      <c r="U19" s="363">
        <f t="shared" si="17"/>
        <v>74360.989999999947</v>
      </c>
      <c r="V19" s="363">
        <f>+[1]DailyOct!T18</f>
        <v>7119.540000000633</v>
      </c>
      <c r="W19" s="357">
        <f t="shared" si="8"/>
        <v>137.0117198776174</v>
      </c>
      <c r="X19" s="357">
        <f t="shared" si="9"/>
        <v>139.24388812831279</v>
      </c>
      <c r="Y19" s="363">
        <f t="shared" si="18"/>
        <v>75835.989999999991</v>
      </c>
      <c r="Z19" s="558">
        <f>+[1]DailyOct!U18</f>
        <v>7031.54</v>
      </c>
      <c r="AA19" s="363">
        <f t="shared" si="19"/>
        <v>135.31820718588227</v>
      </c>
      <c r="AB19" s="363">
        <f t="shared" si="20"/>
        <v>137.52278505769607</v>
      </c>
      <c r="AC19" s="363">
        <f t="shared" si="21"/>
        <v>33687.61999999969</v>
      </c>
      <c r="AD19" s="360">
        <f t="shared" si="10"/>
        <v>648.30013663567706</v>
      </c>
      <c r="AE19" s="361">
        <f t="shared" si="11"/>
        <v>658.86211617445122</v>
      </c>
      <c r="AF19" s="363">
        <f>+[1]DailyOct!BH18</f>
        <v>1259</v>
      </c>
      <c r="AG19" s="363">
        <f>+[1]DailyOct!BL18</f>
        <v>27162.701999999994</v>
      </c>
      <c r="AH19" s="363">
        <f t="shared" si="22"/>
        <v>28421.701999999994</v>
      </c>
      <c r="AI19" s="7">
        <f t="shared" si="23"/>
        <v>546.96037565190602</v>
      </c>
      <c r="AJ19" s="7">
        <f t="shared" si="24"/>
        <v>555.87134754547219</v>
      </c>
      <c r="AL19" s="23"/>
      <c r="AN19" s="20"/>
      <c r="AO19" s="20"/>
    </row>
    <row r="20" spans="1:41">
      <c r="A20" s="355">
        <f t="shared" si="12"/>
        <v>45943</v>
      </c>
      <c r="B20" s="362">
        <f>Report1!P21</f>
        <v>58.326000000000008</v>
      </c>
      <c r="C20" s="362">
        <f>Report1!R21</f>
        <v>54.646000000000001</v>
      </c>
      <c r="D20" s="363">
        <f t="shared" si="13"/>
        <v>8952.3000000000357</v>
      </c>
      <c r="E20" s="363">
        <f>+[1]DailyOct!O19</f>
        <v>844.50000000003911</v>
      </c>
      <c r="F20" s="357">
        <f t="shared" si="0"/>
        <v>14.47896306964371</v>
      </c>
      <c r="G20" s="357">
        <f t="shared" si="1"/>
        <v>15.454013102515081</v>
      </c>
      <c r="H20" s="363">
        <f>+[1]DailyOct!P19</f>
        <v>0</v>
      </c>
      <c r="I20" s="363">
        <f t="shared" si="14"/>
        <v>46807</v>
      </c>
      <c r="J20" s="363">
        <f>+[1]DailyOct!Q19</f>
        <v>4052</v>
      </c>
      <c r="K20" s="357">
        <f t="shared" si="2"/>
        <v>69.471590714261211</v>
      </c>
      <c r="L20" s="357">
        <f t="shared" si="3"/>
        <v>74.149983530359037</v>
      </c>
      <c r="M20" s="363">
        <f t="shared" si="15"/>
        <v>361.89999999999418</v>
      </c>
      <c r="N20" s="363">
        <f>+[1]DailyOct!R19</f>
        <v>0</v>
      </c>
      <c r="O20" s="357">
        <f t="shared" si="4"/>
        <v>0</v>
      </c>
      <c r="P20" s="357">
        <f t="shared" si="5"/>
        <v>0</v>
      </c>
      <c r="Q20" s="363">
        <f t="shared" si="16"/>
        <v>185871.16000000012</v>
      </c>
      <c r="R20" s="363">
        <f>+[1]DailyOct!S19</f>
        <v>14816.970000000689</v>
      </c>
      <c r="S20" s="357">
        <f t="shared" si="6"/>
        <v>254.03713609712113</v>
      </c>
      <c r="T20" s="357">
        <f t="shared" si="7"/>
        <v>271.14464004685959</v>
      </c>
      <c r="U20" s="363">
        <f t="shared" si="17"/>
        <v>80978.45999999989</v>
      </c>
      <c r="V20" s="363">
        <f>+[1]DailyOct!T19</f>
        <v>6617.4699999999493</v>
      </c>
      <c r="W20" s="357">
        <f t="shared" si="8"/>
        <v>113.45660597332147</v>
      </c>
      <c r="X20" s="357">
        <f t="shared" si="9"/>
        <v>121.09706108406743</v>
      </c>
      <c r="Y20" s="363">
        <f t="shared" si="18"/>
        <v>82023.459999999992</v>
      </c>
      <c r="Z20" s="558">
        <f>+[1]DailyOct!U19</f>
        <v>6187.47</v>
      </c>
      <c r="AA20" s="363">
        <f t="shared" si="19"/>
        <v>106.08425059150292</v>
      </c>
      <c r="AB20" s="363">
        <f t="shared" si="20"/>
        <v>113.22823262452879</v>
      </c>
      <c r="AC20" s="363">
        <f t="shared" si="21"/>
        <v>32518.41000000068</v>
      </c>
      <c r="AD20" s="360">
        <f t="shared" si="10"/>
        <v>557.52854644585045</v>
      </c>
      <c r="AE20" s="361">
        <f t="shared" si="11"/>
        <v>595.07393038832993</v>
      </c>
      <c r="AF20" s="363">
        <f>+[1]DailyOct!BH19</f>
        <v>1347</v>
      </c>
      <c r="AG20" s="363">
        <f>+[1]DailyOct!BL19</f>
        <v>24998.3</v>
      </c>
      <c r="AH20" s="363">
        <f t="shared" si="22"/>
        <v>26345.3</v>
      </c>
      <c r="AI20" s="7">
        <f t="shared" si="23"/>
        <v>451.69049823406363</v>
      </c>
      <c r="AJ20" s="7">
        <f t="shared" si="24"/>
        <v>482.10848003513519</v>
      </c>
      <c r="AL20" s="23"/>
      <c r="AN20" s="15"/>
      <c r="AO20" s="15"/>
    </row>
    <row r="21" spans="1:41">
      <c r="A21" s="355">
        <f t="shared" si="12"/>
        <v>45944</v>
      </c>
      <c r="B21" s="362">
        <f>Report1!P22</f>
        <v>66.12</v>
      </c>
      <c r="C21" s="362">
        <f>Report1!R22</f>
        <v>70.001999999999995</v>
      </c>
      <c r="D21" s="363">
        <f t="shared" si="13"/>
        <v>9808.7000000000444</v>
      </c>
      <c r="E21" s="363">
        <f>+[1]DailyOct!O20</f>
        <v>856.40000000000782</v>
      </c>
      <c r="F21" s="357">
        <f t="shared" si="0"/>
        <v>12.952208106473197</v>
      </c>
      <c r="G21" s="357">
        <f t="shared" si="1"/>
        <v>12.233936173252305</v>
      </c>
      <c r="H21" s="363">
        <f>+[1]DailyOct!P20</f>
        <v>0</v>
      </c>
      <c r="I21" s="363">
        <f t="shared" si="14"/>
        <v>50887</v>
      </c>
      <c r="J21" s="363">
        <f>+[1]DailyOct!Q20</f>
        <v>4080</v>
      </c>
      <c r="K21" s="357">
        <f t="shared" si="2"/>
        <v>61.705989110707797</v>
      </c>
      <c r="L21" s="357">
        <f t="shared" si="3"/>
        <v>58.284049027170653</v>
      </c>
      <c r="M21" s="363">
        <f t="shared" si="15"/>
        <v>361.89999999999418</v>
      </c>
      <c r="N21" s="363">
        <f>+[1]DailyOct!R20</f>
        <v>0</v>
      </c>
      <c r="O21" s="357">
        <f t="shared" si="4"/>
        <v>0</v>
      </c>
      <c r="P21" s="357">
        <f t="shared" si="5"/>
        <v>0</v>
      </c>
      <c r="Q21" s="363">
        <f t="shared" si="16"/>
        <v>201580.96000000034</v>
      </c>
      <c r="R21" s="363">
        <f>+[1]DailyOct!S20</f>
        <v>15709.80000000021</v>
      </c>
      <c r="S21" s="357">
        <f t="shared" si="6"/>
        <v>237.59528130671822</v>
      </c>
      <c r="T21" s="357">
        <f t="shared" si="7"/>
        <v>224.41930230565143</v>
      </c>
      <c r="U21" s="363">
        <f t="shared" si="17"/>
        <v>87492.659999999523</v>
      </c>
      <c r="V21" s="363">
        <f>+[1]DailyOct!T20</f>
        <v>6514.1999999996287</v>
      </c>
      <c r="W21" s="357">
        <f t="shared" si="8"/>
        <v>98.520871143370059</v>
      </c>
      <c r="X21" s="357">
        <f t="shared" si="9"/>
        <v>93.057341218817015</v>
      </c>
      <c r="Y21" s="363">
        <f t="shared" si="18"/>
        <v>88608.659999999989</v>
      </c>
      <c r="Z21" s="558">
        <f>+[1]DailyOct!U20</f>
        <v>6585.2</v>
      </c>
      <c r="AA21" s="363">
        <f t="shared" si="19"/>
        <v>99.594676346037502</v>
      </c>
      <c r="AB21" s="363">
        <f t="shared" si="20"/>
        <v>94.07159795434417</v>
      </c>
      <c r="AC21" s="363">
        <f t="shared" si="21"/>
        <v>33745.599999999846</v>
      </c>
      <c r="AD21" s="360">
        <f t="shared" si="10"/>
        <v>510.36902601330678</v>
      </c>
      <c r="AE21" s="361">
        <f t="shared" si="11"/>
        <v>482.06622667923557</v>
      </c>
      <c r="AF21" s="363">
        <f>+[1]DailyOct!BH20</f>
        <v>7360</v>
      </c>
      <c r="AG21" s="363">
        <f>+[1]DailyOct!BL20</f>
        <v>30960.399999999972</v>
      </c>
      <c r="AH21" s="363">
        <f t="shared" si="22"/>
        <v>38320.399999999972</v>
      </c>
      <c r="AI21" s="7">
        <f t="shared" si="23"/>
        <v>579.55837870538369</v>
      </c>
      <c r="AJ21" s="7">
        <f t="shared" si="24"/>
        <v>547.41864518156592</v>
      </c>
      <c r="AN21" s="15"/>
      <c r="AO21" s="15"/>
    </row>
    <row r="22" spans="1:41">
      <c r="A22" s="355">
        <f t="shared" si="12"/>
        <v>45945</v>
      </c>
      <c r="B22" s="362">
        <f>Report1!P23</f>
        <v>53.935000000000002</v>
      </c>
      <c r="C22" s="362">
        <f>Report1!R23</f>
        <v>49.869</v>
      </c>
      <c r="D22" s="363">
        <f>+D21+E22</f>
        <v>10559.500000000015</v>
      </c>
      <c r="E22" s="363">
        <f>+[1]DailyOct!O21</f>
        <v>750.79999999996971</v>
      </c>
      <c r="F22" s="357">
        <f>E22/B22</f>
        <v>13.920459812736992</v>
      </c>
      <c r="G22" s="357">
        <f>E22/C22</f>
        <v>15.05544526659788</v>
      </c>
      <c r="H22" s="363">
        <f>+[1]DailyOct!P21</f>
        <v>0</v>
      </c>
      <c r="I22" s="363">
        <f>+I21+J22</f>
        <v>54316</v>
      </c>
      <c r="J22" s="363">
        <f>+[1]DailyOct!Q21</f>
        <v>3429</v>
      </c>
      <c r="K22" s="357">
        <f>J22/B22</f>
        <v>63.57652730138129</v>
      </c>
      <c r="L22" s="357">
        <f>J22/C22</f>
        <v>68.760151597184631</v>
      </c>
      <c r="M22" s="363">
        <f>+M21+N22</f>
        <v>361.89999999999418</v>
      </c>
      <c r="N22" s="363">
        <f>+[1]DailyOct!R21</f>
        <v>0</v>
      </c>
      <c r="O22" s="357">
        <f>N22/B22</f>
        <v>0</v>
      </c>
      <c r="P22" s="357">
        <f>N22/C22</f>
        <v>0</v>
      </c>
      <c r="Q22" s="363">
        <f>+Q21+R22</f>
        <v>217753.76000000088</v>
      </c>
      <c r="R22" s="363">
        <f>+[1]DailyOct!S21</f>
        <v>16172.800000000538</v>
      </c>
      <c r="S22" s="357">
        <f>R22/B22</f>
        <v>299.85723556133377</v>
      </c>
      <c r="T22" s="357">
        <f>R22/C22</f>
        <v>324.30568088392664</v>
      </c>
      <c r="U22" s="363">
        <f>+U21+V22</f>
        <v>95924.259999999849</v>
      </c>
      <c r="V22" s="363">
        <f>+[1]DailyOct!T21</f>
        <v>8431.6000000003205</v>
      </c>
      <c r="W22" s="357">
        <f>V22/B22</f>
        <v>156.32891443404691</v>
      </c>
      <c r="X22" s="357">
        <f>V22/C22</f>
        <v>169.07497643827469</v>
      </c>
      <c r="Y22" s="363">
        <f>+Y21+Z22</f>
        <v>95463.26</v>
      </c>
      <c r="Z22" s="558">
        <f>+[1]DailyOct!U21</f>
        <v>6854.6</v>
      </c>
      <c r="AA22" s="363">
        <f>Z22/B22</f>
        <v>127.09001575971077</v>
      </c>
      <c r="AB22" s="363">
        <f>Z22/C22</f>
        <v>137.45212456636389</v>
      </c>
      <c r="AC22" s="363">
        <f>+E22+J22+N22+R22+V22+Z22+H22</f>
        <v>35638.800000000825</v>
      </c>
      <c r="AD22" s="360">
        <f>AC22/B22</f>
        <v>660.77315286920964</v>
      </c>
      <c r="AE22" s="361">
        <f>AC22/C22</f>
        <v>714.64837875234764</v>
      </c>
      <c r="AF22" s="363">
        <f>+[1]DailyOct!BH21</f>
        <v>25872</v>
      </c>
      <c r="AG22" s="363">
        <f>+[1]DailyOct!BL21</f>
        <v>0</v>
      </c>
      <c r="AH22" s="363">
        <f>+AG22+AF22</f>
        <v>25872</v>
      </c>
      <c r="AI22" s="7">
        <f>AH22/B22</f>
        <v>479.68851395197919</v>
      </c>
      <c r="AJ22" s="7">
        <f>AH22/C22</f>
        <v>518.79925404559947</v>
      </c>
      <c r="AN22" s="15"/>
      <c r="AO22" s="15"/>
    </row>
    <row r="23" spans="1:41">
      <c r="A23" s="355">
        <f t="shared" si="12"/>
        <v>45946</v>
      </c>
      <c r="B23" s="362">
        <f>Report1!P24</f>
        <v>51.15</v>
      </c>
      <c r="C23" s="362">
        <f>Report1!R24</f>
        <v>24.524000000000001</v>
      </c>
      <c r="D23" s="363">
        <f t="shared" si="13"/>
        <v>11163.100000000042</v>
      </c>
      <c r="E23" s="363">
        <f>+[1]DailyOct!O22</f>
        <v>603.60000000002856</v>
      </c>
      <c r="F23" s="357">
        <f t="shared" si="0"/>
        <v>11.800586510264488</v>
      </c>
      <c r="G23" s="357">
        <f t="shared" si="1"/>
        <v>24.612624367967239</v>
      </c>
      <c r="H23" s="363">
        <f>+[1]DailyOct!P22</f>
        <v>0</v>
      </c>
      <c r="I23" s="363">
        <f t="shared" si="14"/>
        <v>58235</v>
      </c>
      <c r="J23" s="363">
        <f>+[1]DailyOct!Q22</f>
        <v>3919</v>
      </c>
      <c r="K23" s="357">
        <f t="shared" si="2"/>
        <v>76.617790811339205</v>
      </c>
      <c r="L23" s="357">
        <f t="shared" si="3"/>
        <v>159.80264230957428</v>
      </c>
      <c r="M23" s="363">
        <f t="shared" si="15"/>
        <v>361.89999999999418</v>
      </c>
      <c r="N23" s="363">
        <f>+[1]DailyOct!R22</f>
        <v>0</v>
      </c>
      <c r="O23" s="357">
        <f t="shared" si="4"/>
        <v>0</v>
      </c>
      <c r="P23" s="357">
        <f t="shared" si="5"/>
        <v>0</v>
      </c>
      <c r="Q23" s="363">
        <f t="shared" si="16"/>
        <v>232285.35999999911</v>
      </c>
      <c r="R23" s="363">
        <f>+[1]DailyOct!S22</f>
        <v>14531.599999998227</v>
      </c>
      <c r="S23" s="357">
        <f t="shared" si="6"/>
        <v>284.09775171062029</v>
      </c>
      <c r="T23" s="357">
        <f t="shared" si="7"/>
        <v>592.54607731194858</v>
      </c>
      <c r="U23" s="363">
        <f t="shared" si="17"/>
        <v>102373.45999999932</v>
      </c>
      <c r="V23" s="363">
        <f>+[1]DailyOct!T22</f>
        <v>6449.1999999994687</v>
      </c>
      <c r="W23" s="357">
        <f t="shared" si="8"/>
        <v>126.08406647115287</v>
      </c>
      <c r="X23" s="357">
        <f t="shared" si="9"/>
        <v>262.9750448539989</v>
      </c>
      <c r="Y23" s="363">
        <f t="shared" si="18"/>
        <v>100855.45999999999</v>
      </c>
      <c r="Z23" s="558">
        <f>+[1]DailyOct!U22</f>
        <v>5392.2</v>
      </c>
      <c r="AA23" s="363">
        <f t="shared" si="19"/>
        <v>105.41935483870968</v>
      </c>
      <c r="AB23" s="363">
        <f t="shared" si="20"/>
        <v>219.87440874245635</v>
      </c>
      <c r="AC23" s="363">
        <f t="shared" si="21"/>
        <v>30895.599999997725</v>
      </c>
      <c r="AD23" s="360">
        <f t="shared" si="10"/>
        <v>604.01955034208652</v>
      </c>
      <c r="AE23" s="361">
        <f t="shared" si="11"/>
        <v>1259.8107975859452</v>
      </c>
      <c r="AF23" s="363">
        <f>+[1]DailyOct!BH22</f>
        <v>24647</v>
      </c>
      <c r="AG23" s="363">
        <f>+[1]DailyOct!BL22</f>
        <v>0</v>
      </c>
      <c r="AH23" s="363">
        <f t="shared" si="22"/>
        <v>24647</v>
      </c>
      <c r="AI23" s="7">
        <f t="shared" si="23"/>
        <v>481.85728250244381</v>
      </c>
      <c r="AJ23" s="7">
        <f t="shared" si="24"/>
        <v>1005.0154950252813</v>
      </c>
    </row>
    <row r="24" spans="1:41">
      <c r="A24" s="355">
        <f t="shared" si="12"/>
        <v>45947</v>
      </c>
      <c r="B24" s="362">
        <f>Report1!P25</f>
        <v>40.408000000000001</v>
      </c>
      <c r="C24" s="362">
        <f>Report1!R25</f>
        <v>42.984999999999999</v>
      </c>
      <c r="D24" s="363">
        <f t="shared" si="13"/>
        <v>11803.800000000023</v>
      </c>
      <c r="E24" s="363">
        <f>+[1]DailyOct!O23</f>
        <v>640.69999999998117</v>
      </c>
      <c r="F24" s="357">
        <f t="shared" si="0"/>
        <v>15.855771134428359</v>
      </c>
      <c r="G24" s="357">
        <f t="shared" si="1"/>
        <v>14.905199488193118</v>
      </c>
      <c r="H24" s="363">
        <f>+[1]DailyOct!P23</f>
        <v>916.29999999993015</v>
      </c>
      <c r="I24" s="363">
        <f t="shared" si="14"/>
        <v>61748</v>
      </c>
      <c r="J24" s="363">
        <f>+[1]DailyOct!Q23</f>
        <v>3513</v>
      </c>
      <c r="K24" s="357">
        <f t="shared" si="2"/>
        <v>86.93823005345476</v>
      </c>
      <c r="L24" s="357">
        <f t="shared" si="3"/>
        <v>81.726183552402006</v>
      </c>
      <c r="M24" s="363">
        <f t="shared" si="15"/>
        <v>361.89999999999418</v>
      </c>
      <c r="N24" s="363">
        <f>+[1]DailyOct!R23</f>
        <v>0</v>
      </c>
      <c r="O24" s="357">
        <f t="shared" si="4"/>
        <v>0</v>
      </c>
      <c r="P24" s="357">
        <f t="shared" si="5"/>
        <v>0</v>
      </c>
      <c r="Q24" s="363">
        <f t="shared" si="16"/>
        <v>247234.04000000044</v>
      </c>
      <c r="R24" s="363">
        <f>+[1]DailyOct!S23</f>
        <v>14948.680000001328</v>
      </c>
      <c r="S24" s="357">
        <f t="shared" si="6"/>
        <v>369.94357552963095</v>
      </c>
      <c r="T24" s="357">
        <f t="shared" si="7"/>
        <v>347.76503431432661</v>
      </c>
      <c r="U24" s="363">
        <f t="shared" si="17"/>
        <v>109987.83999999936</v>
      </c>
      <c r="V24" s="363">
        <f>+[1]DailyOct!T23</f>
        <v>7614.3800000000365</v>
      </c>
      <c r="W24" s="357">
        <f t="shared" si="8"/>
        <v>188.43743813106406</v>
      </c>
      <c r="X24" s="357">
        <f t="shared" si="9"/>
        <v>177.1403978131915</v>
      </c>
      <c r="Y24" s="363">
        <f t="shared" si="18"/>
        <v>106769.84</v>
      </c>
      <c r="Z24" s="558">
        <f>+[1]DailyOct!U23</f>
        <v>5914.38</v>
      </c>
      <c r="AA24" s="363">
        <f t="shared" si="19"/>
        <v>146.36656107701444</v>
      </c>
      <c r="AB24" s="363">
        <f t="shared" si="20"/>
        <v>137.59171804117716</v>
      </c>
      <c r="AC24" s="363">
        <f t="shared" si="21"/>
        <v>33547.440000001276</v>
      </c>
      <c r="AD24" s="360">
        <f t="shared" si="10"/>
        <v>830.2177786577231</v>
      </c>
      <c r="AE24" s="361">
        <f t="shared" si="11"/>
        <v>780.44527160640405</v>
      </c>
      <c r="AF24" s="363">
        <f>+[1]DailyOct!BH23</f>
        <v>17331</v>
      </c>
      <c r="AG24" s="363">
        <f>+[1]DailyOct!BL23</f>
        <v>0</v>
      </c>
      <c r="AH24" s="363">
        <f t="shared" si="22"/>
        <v>17331</v>
      </c>
      <c r="AI24" s="7">
        <f t="shared" si="23"/>
        <v>428.90021777865769</v>
      </c>
      <c r="AJ24" s="7">
        <f t="shared" si="24"/>
        <v>403.18715831103873</v>
      </c>
      <c r="AM24" s="23" t="s">
        <v>3</v>
      </c>
      <c r="AN24" s="20">
        <f>+AN16+AN19+AN22</f>
        <v>572.49468322076063</v>
      </c>
      <c r="AO24" s="20">
        <f>+AO16+AO19+AO22</f>
        <v>599.16764536648077</v>
      </c>
    </row>
    <row r="25" spans="1:41">
      <c r="A25" s="355">
        <f t="shared" si="12"/>
        <v>45948</v>
      </c>
      <c r="B25" s="362">
        <f>Report1!P26</f>
        <v>25.956000000000003</v>
      </c>
      <c r="C25" s="362">
        <f>Report1!R26</f>
        <v>24.611999999999998</v>
      </c>
      <c r="D25" s="363">
        <f t="shared" si="13"/>
        <v>12222.900000000038</v>
      </c>
      <c r="E25" s="363">
        <f>+[1]DailyOct!O24</f>
        <v>419.10000000001446</v>
      </c>
      <c r="F25" s="357">
        <f t="shared" si="0"/>
        <v>16.146555709663062</v>
      </c>
      <c r="G25" s="357">
        <f t="shared" si="1"/>
        <v>17.028278888347735</v>
      </c>
      <c r="H25" s="363">
        <f>+[1]DailyOct!P24</f>
        <v>1171.1000000000931</v>
      </c>
      <c r="I25" s="363">
        <f t="shared" si="14"/>
        <v>63575</v>
      </c>
      <c r="J25" s="363">
        <f>+[1]DailyOct!Q24</f>
        <v>1827</v>
      </c>
      <c r="K25" s="357">
        <f t="shared" si="2"/>
        <v>70.388349514563103</v>
      </c>
      <c r="L25" s="357">
        <f t="shared" si="3"/>
        <v>74.23208191126281</v>
      </c>
      <c r="M25" s="363">
        <f t="shared" si="15"/>
        <v>361.89999999999418</v>
      </c>
      <c r="N25" s="363">
        <f>+[1]DailyOct!R24</f>
        <v>0</v>
      </c>
      <c r="O25" s="357">
        <f t="shared" si="4"/>
        <v>0</v>
      </c>
      <c r="P25" s="357">
        <f t="shared" si="5"/>
        <v>0</v>
      </c>
      <c r="Q25" s="363">
        <f t="shared" si="16"/>
        <v>257203.93000000087</v>
      </c>
      <c r="R25" s="363">
        <f>+[1]DailyOct!S24</f>
        <v>9969.8900000004214</v>
      </c>
      <c r="S25" s="357">
        <f t="shared" si="6"/>
        <v>384.10733549084682</v>
      </c>
      <c r="T25" s="357">
        <f t="shared" si="7"/>
        <v>405.08248009102965</v>
      </c>
      <c r="U25" s="363">
        <f t="shared" si="17"/>
        <v>114455.82999999952</v>
      </c>
      <c r="V25" s="363">
        <f>+[1]DailyOct!T24</f>
        <v>4467.9900000001599</v>
      </c>
      <c r="W25" s="357">
        <f t="shared" si="8"/>
        <v>172.1370781322299</v>
      </c>
      <c r="X25" s="357">
        <f t="shared" si="9"/>
        <v>181.53705509508208</v>
      </c>
      <c r="Y25" s="363">
        <f t="shared" si="18"/>
        <v>109960.83</v>
      </c>
      <c r="Z25" s="558">
        <f>+[1]DailyOct!U24</f>
        <v>3190.99</v>
      </c>
      <c r="AA25" s="363">
        <f t="shared" si="19"/>
        <v>122.93843427338571</v>
      </c>
      <c r="AB25" s="363">
        <f t="shared" si="20"/>
        <v>129.65179587193239</v>
      </c>
      <c r="AC25" s="363">
        <f t="shared" si="21"/>
        <v>21046.070000000691</v>
      </c>
      <c r="AD25" s="360">
        <f t="shared" si="10"/>
        <v>810.83641547236437</v>
      </c>
      <c r="AE25" s="361">
        <f t="shared" si="11"/>
        <v>855.11417194867101</v>
      </c>
      <c r="AF25" s="363">
        <f>+[1]DailyOct!BH24</f>
        <v>17305</v>
      </c>
      <c r="AG25" s="363">
        <f>+[1]DailyOct!BL24</f>
        <v>0</v>
      </c>
      <c r="AH25" s="363">
        <f t="shared" si="22"/>
        <v>17305</v>
      </c>
      <c r="AI25" s="7">
        <f t="shared" si="23"/>
        <v>666.70519340422243</v>
      </c>
      <c r="AJ25" s="7">
        <f t="shared" si="24"/>
        <v>703.11230294165455</v>
      </c>
    </row>
    <row r="26" spans="1:41">
      <c r="A26" s="355">
        <f t="shared" si="12"/>
        <v>45949</v>
      </c>
      <c r="B26" s="362">
        <f>Report1!P27</f>
        <v>50.688000000000002</v>
      </c>
      <c r="C26" s="362">
        <f>Report1!R27</f>
        <v>49.045999999999999</v>
      </c>
      <c r="D26" s="363">
        <f t="shared" si="13"/>
        <v>12852.100000000006</v>
      </c>
      <c r="E26" s="363">
        <f>+[1]DailyOct!O25</f>
        <v>629.1999999999689</v>
      </c>
      <c r="F26" s="357">
        <f t="shared" si="0"/>
        <v>12.41319444444383</v>
      </c>
      <c r="G26" s="357">
        <f t="shared" si="1"/>
        <v>12.828772988622291</v>
      </c>
      <c r="H26" s="363">
        <f>+[1]DailyOct!P25</f>
        <v>1806.6999999999534</v>
      </c>
      <c r="I26" s="363">
        <f t="shared" si="14"/>
        <v>67289</v>
      </c>
      <c r="J26" s="363">
        <f>+[1]DailyOct!Q25</f>
        <v>3714</v>
      </c>
      <c r="K26" s="357">
        <f t="shared" si="2"/>
        <v>73.271780303030297</v>
      </c>
      <c r="L26" s="357">
        <f t="shared" si="3"/>
        <v>75.724829751661701</v>
      </c>
      <c r="M26" s="363">
        <f t="shared" si="15"/>
        <v>361.89999999999418</v>
      </c>
      <c r="N26" s="363">
        <f>+[1]DailyOct!R25</f>
        <v>0</v>
      </c>
      <c r="O26" s="357">
        <f t="shared" si="4"/>
        <v>0</v>
      </c>
      <c r="P26" s="357">
        <f t="shared" si="5"/>
        <v>0</v>
      </c>
      <c r="Q26" s="363">
        <f t="shared" si="16"/>
        <v>273448.02000000025</v>
      </c>
      <c r="R26" s="363">
        <f>+[1]DailyOct!S25</f>
        <v>16244.089999999378</v>
      </c>
      <c r="S26" s="357">
        <f t="shared" si="6"/>
        <v>320.47210385099783</v>
      </c>
      <c r="T26" s="357">
        <f t="shared" si="7"/>
        <v>331.20111731842309</v>
      </c>
      <c r="U26" s="363">
        <f t="shared" si="17"/>
        <v>122921.11999999941</v>
      </c>
      <c r="V26" s="363">
        <f>+[1]DailyOct!T25</f>
        <v>8465.289999999899</v>
      </c>
      <c r="W26" s="357">
        <f t="shared" si="8"/>
        <v>167.00777304292728</v>
      </c>
      <c r="X26" s="357">
        <f t="shared" si="9"/>
        <v>172.59898870447944</v>
      </c>
      <c r="Y26" s="363">
        <f t="shared" si="18"/>
        <v>116606.12</v>
      </c>
      <c r="Z26" s="558">
        <f>+[1]DailyOct!U25</f>
        <v>6645.29</v>
      </c>
      <c r="AA26" s="363">
        <f t="shared" si="19"/>
        <v>131.10183869949495</v>
      </c>
      <c r="AB26" s="363">
        <f t="shared" si="20"/>
        <v>135.49096766301022</v>
      </c>
      <c r="AC26" s="363">
        <f t="shared" si="21"/>
        <v>37504.569999999199</v>
      </c>
      <c r="AD26" s="360">
        <f t="shared" si="10"/>
        <v>739.91023516412554</v>
      </c>
      <c r="AE26" s="361">
        <f t="shared" si="11"/>
        <v>764.68152346774866</v>
      </c>
      <c r="AF26" s="363">
        <f>+[1]DailyOct!BH25</f>
        <v>19293</v>
      </c>
      <c r="AG26" s="363">
        <f>+[1]DailyOct!BL25</f>
        <v>0</v>
      </c>
      <c r="AH26" s="363">
        <f t="shared" si="22"/>
        <v>19293</v>
      </c>
      <c r="AI26" s="7">
        <f t="shared" si="23"/>
        <v>380.62263257575756</v>
      </c>
      <c r="AJ26" s="7">
        <f t="shared" si="24"/>
        <v>393.36541206214577</v>
      </c>
      <c r="AM26" s="23" t="s">
        <v>174</v>
      </c>
      <c r="AO26" s="434">
        <f>+AO24/AN24-1</f>
        <v>4.6590759578171825E-2</v>
      </c>
    </row>
    <row r="27" spans="1:41">
      <c r="A27" s="355">
        <f t="shared" si="12"/>
        <v>45950</v>
      </c>
      <c r="B27" s="362">
        <f>Report1!P28</f>
        <v>49.361999999999995</v>
      </c>
      <c r="C27" s="362">
        <f>Report1!R28</f>
        <v>49.627000000000002</v>
      </c>
      <c r="D27" s="363">
        <f t="shared" si="13"/>
        <v>13562.100000000042</v>
      </c>
      <c r="E27" s="363">
        <f>+[1]DailyOct!O26</f>
        <v>710.00000000003638</v>
      </c>
      <c r="F27" s="357">
        <f t="shared" si="0"/>
        <v>14.383533892468629</v>
      </c>
      <c r="G27" s="357">
        <f t="shared" si="1"/>
        <v>14.306728192315401</v>
      </c>
      <c r="H27" s="363">
        <f>+[1]DailyOct!P26</f>
        <v>1955.9000000000233</v>
      </c>
      <c r="I27" s="363">
        <f t="shared" si="14"/>
        <v>71697</v>
      </c>
      <c r="J27" s="363">
        <f>+[1]DailyOct!Q26</f>
        <v>4408</v>
      </c>
      <c r="K27" s="357">
        <f t="shared" si="2"/>
        <v>89.299461123941498</v>
      </c>
      <c r="L27" s="357">
        <f t="shared" si="3"/>
        <v>88.82261672073669</v>
      </c>
      <c r="M27" s="363">
        <f t="shared" si="15"/>
        <v>361.89999999999418</v>
      </c>
      <c r="N27" s="363">
        <f>+[1]DailyOct!R26</f>
        <v>0</v>
      </c>
      <c r="O27" s="357">
        <f t="shared" si="4"/>
        <v>0</v>
      </c>
      <c r="P27" s="357">
        <f t="shared" si="5"/>
        <v>0</v>
      </c>
      <c r="Q27" s="363">
        <f t="shared" si="16"/>
        <v>288350.62999999925</v>
      </c>
      <c r="R27" s="363">
        <f>+[1]DailyOct!S26</f>
        <v>14902.609999999018</v>
      </c>
      <c r="S27" s="357">
        <f t="shared" si="6"/>
        <v>301.90450143833351</v>
      </c>
      <c r="T27" s="357">
        <f t="shared" si="7"/>
        <v>300.29238116345977</v>
      </c>
      <c r="U27" s="363">
        <f t="shared" si="17"/>
        <v>130614.7299999995</v>
      </c>
      <c r="V27" s="363">
        <f>+[1]DailyOct!T26</f>
        <v>7693.6100000000943</v>
      </c>
      <c r="W27" s="357">
        <f t="shared" si="8"/>
        <v>155.86098618370599</v>
      </c>
      <c r="X27" s="357">
        <f t="shared" si="9"/>
        <v>155.02871420799352</v>
      </c>
      <c r="Y27" s="363">
        <f t="shared" si="18"/>
        <v>122179.73</v>
      </c>
      <c r="Z27" s="558">
        <f>+[1]DailyOct!U26</f>
        <v>5573.61</v>
      </c>
      <c r="AA27" s="363">
        <f t="shared" si="19"/>
        <v>112.91296949070136</v>
      </c>
      <c r="AB27" s="363">
        <f t="shared" si="20"/>
        <v>112.31003284502387</v>
      </c>
      <c r="AC27" s="363">
        <f t="shared" si="21"/>
        <v>35243.729999999174</v>
      </c>
      <c r="AD27" s="360">
        <f t="shared" si="10"/>
        <v>713.98504922813459</v>
      </c>
      <c r="AE27" s="361">
        <f t="shared" si="11"/>
        <v>710.17248675114695</v>
      </c>
      <c r="AF27" s="363">
        <f>+[1]DailyOct!BH26</f>
        <v>22897</v>
      </c>
      <c r="AG27" s="363">
        <f>+[1]DailyOct!BL26</f>
        <v>0</v>
      </c>
      <c r="AH27" s="363">
        <f t="shared" si="22"/>
        <v>22897</v>
      </c>
      <c r="AI27" s="7">
        <f t="shared" si="23"/>
        <v>463.85883878286944</v>
      </c>
      <c r="AJ27" s="7">
        <f t="shared" si="24"/>
        <v>461.38190904144921</v>
      </c>
    </row>
    <row r="28" spans="1:41">
      <c r="A28" s="355">
        <f t="shared" si="12"/>
        <v>45951</v>
      </c>
      <c r="B28" s="362">
        <f>Report1!P29</f>
        <v>52.605000000000004</v>
      </c>
      <c r="C28" s="362">
        <f>Report1!R29</f>
        <v>49.780999999999999</v>
      </c>
      <c r="D28" s="363">
        <f t="shared" si="13"/>
        <v>14228.900000000009</v>
      </c>
      <c r="E28" s="363">
        <f>+[1]DailyOct!O27</f>
        <v>666.79999999996653</v>
      </c>
      <c r="F28" s="358">
        <f t="shared" si="0"/>
        <v>12.675601178594553</v>
      </c>
      <c r="G28" s="357">
        <f t="shared" si="1"/>
        <v>13.394668648680552</v>
      </c>
      <c r="H28" s="363">
        <f>+[1]DailyOct!P27</f>
        <v>1603.5999999999767</v>
      </c>
      <c r="I28" s="363">
        <f t="shared" si="14"/>
        <v>76039</v>
      </c>
      <c r="J28" s="363">
        <f>+[1]DailyOct!Q27</f>
        <v>4342</v>
      </c>
      <c r="K28" s="357">
        <f t="shared" si="2"/>
        <v>82.539682539682531</v>
      </c>
      <c r="L28" s="357">
        <f t="shared" si="3"/>
        <v>87.222032502360335</v>
      </c>
      <c r="M28" s="363">
        <f t="shared" si="15"/>
        <v>361.89999999999418</v>
      </c>
      <c r="N28" s="363">
        <f>+[1]DailyOct!R27</f>
        <v>0</v>
      </c>
      <c r="O28" s="357">
        <f t="shared" si="4"/>
        <v>0</v>
      </c>
      <c r="P28" s="357">
        <f t="shared" si="5"/>
        <v>0</v>
      </c>
      <c r="Q28" s="363">
        <f t="shared" si="16"/>
        <v>303856.25999999966</v>
      </c>
      <c r="R28" s="363">
        <f>+[1]DailyOct!S27</f>
        <v>15505.630000000398</v>
      </c>
      <c r="S28" s="357">
        <f t="shared" si="6"/>
        <v>294.75582168996095</v>
      </c>
      <c r="T28" s="357">
        <f t="shared" si="7"/>
        <v>311.4768686848476</v>
      </c>
      <c r="U28" s="363">
        <f t="shared" si="17"/>
        <v>139188.15999999971</v>
      </c>
      <c r="V28" s="363">
        <f>+[1]DailyOct!T27</f>
        <v>8573.430000000204</v>
      </c>
      <c r="W28" s="357">
        <f t="shared" si="8"/>
        <v>162.97747362418409</v>
      </c>
      <c r="X28" s="357">
        <f t="shared" si="9"/>
        <v>172.22293646170635</v>
      </c>
      <c r="Y28" s="363">
        <f t="shared" si="18"/>
        <v>128489.16</v>
      </c>
      <c r="Z28" s="558">
        <f>+[1]DailyOct!U27</f>
        <v>6309.43</v>
      </c>
      <c r="AA28" s="363">
        <f t="shared" si="19"/>
        <v>119.93973956848208</v>
      </c>
      <c r="AB28" s="363">
        <f t="shared" si="20"/>
        <v>126.74373757055906</v>
      </c>
      <c r="AC28" s="363">
        <f t="shared" si="21"/>
        <v>37000.890000000545</v>
      </c>
      <c r="AD28" s="360">
        <f t="shared" si="10"/>
        <v>703.37211291703341</v>
      </c>
      <c r="AE28" s="361">
        <f t="shared" si="11"/>
        <v>743.27333721702144</v>
      </c>
      <c r="AF28" s="363">
        <f>+[1]DailyOct!BH27</f>
        <v>19372</v>
      </c>
      <c r="AG28" s="363">
        <f>+[1]DailyOct!BL27</f>
        <v>0</v>
      </c>
      <c r="AH28" s="363">
        <f t="shared" si="22"/>
        <v>19372</v>
      </c>
      <c r="AI28" s="7">
        <f t="shared" si="23"/>
        <v>368.25396825396825</v>
      </c>
      <c r="AJ28" s="7">
        <f t="shared" si="24"/>
        <v>389.14445270283846</v>
      </c>
    </row>
    <row r="29" spans="1:41">
      <c r="A29" s="355">
        <f t="shared" si="12"/>
        <v>45952</v>
      </c>
      <c r="B29" s="362">
        <f>Report1!P30</f>
        <v>59.950999999999993</v>
      </c>
      <c r="C29" s="362">
        <f>Report1!R30</f>
        <v>51.372999999999998</v>
      </c>
      <c r="D29" s="363">
        <f t="shared" si="13"/>
        <v>14870.400000000016</v>
      </c>
      <c r="E29" s="363">
        <f>+[1]DailyOct!O28</f>
        <v>641.50000000000773</v>
      </c>
      <c r="F29" s="357">
        <f t="shared" si="0"/>
        <v>10.700405331020463</v>
      </c>
      <c r="G29" s="357">
        <f t="shared" si="1"/>
        <v>12.487104120841838</v>
      </c>
      <c r="H29" s="363">
        <f>+[1]DailyOct!P28</f>
        <v>2031.9000000000233</v>
      </c>
      <c r="I29" s="363">
        <f t="shared" si="14"/>
        <v>80896</v>
      </c>
      <c r="J29" s="363">
        <f>+[1]DailyOct!Q28</f>
        <v>4857</v>
      </c>
      <c r="K29" s="357">
        <f t="shared" si="2"/>
        <v>81.016163199946632</v>
      </c>
      <c r="L29" s="357">
        <f t="shared" si="3"/>
        <v>94.543826523660286</v>
      </c>
      <c r="M29" s="363">
        <f t="shared" si="15"/>
        <v>361.89999999999418</v>
      </c>
      <c r="N29" s="363">
        <f>+[1]DailyOct!R28</f>
        <v>0</v>
      </c>
      <c r="O29" s="357">
        <f t="shared" si="4"/>
        <v>0</v>
      </c>
      <c r="P29" s="357">
        <f t="shared" si="5"/>
        <v>0</v>
      </c>
      <c r="Q29" s="363">
        <f t="shared" si="16"/>
        <v>319573.4999999993</v>
      </c>
      <c r="R29" s="363">
        <f>+[1]DailyOct!S28</f>
        <v>15717.239999999629</v>
      </c>
      <c r="S29" s="357">
        <f t="shared" si="6"/>
        <v>262.16810395155426</v>
      </c>
      <c r="T29" s="357">
        <f t="shared" si="7"/>
        <v>305.94358904482181</v>
      </c>
      <c r="U29" s="363">
        <f t="shared" si="17"/>
        <v>146812.89999999988</v>
      </c>
      <c r="V29" s="363">
        <f>+[1]DailyOct!T28</f>
        <v>7624.7400000001671</v>
      </c>
      <c r="W29" s="357">
        <f t="shared" si="8"/>
        <v>127.18286600724204</v>
      </c>
      <c r="X29" s="357">
        <f t="shared" si="9"/>
        <v>148.41920853366881</v>
      </c>
      <c r="Y29" s="363">
        <f t="shared" si="18"/>
        <v>134265.9</v>
      </c>
      <c r="Z29" s="558">
        <f>+[1]DailyOct!U28</f>
        <v>5776.74</v>
      </c>
      <c r="AA29" s="363">
        <f t="shared" si="19"/>
        <v>96.357692115227437</v>
      </c>
      <c r="AB29" s="363">
        <f t="shared" si="20"/>
        <v>112.44700523621357</v>
      </c>
      <c r="AC29" s="363">
        <f t="shared" si="21"/>
        <v>36649.119999999821</v>
      </c>
      <c r="AD29" s="360">
        <f t="shared" si="10"/>
        <v>611.31790962619175</v>
      </c>
      <c r="AE29" s="361">
        <f t="shared" si="11"/>
        <v>713.39263815622644</v>
      </c>
      <c r="AF29" s="363">
        <f>+[1]DailyOct!BH28</f>
        <v>27589</v>
      </c>
      <c r="AG29" s="363">
        <f>+[1]DailyOct!BL28</f>
        <v>0</v>
      </c>
      <c r="AH29" s="363">
        <f t="shared" si="22"/>
        <v>27589</v>
      </c>
      <c r="AI29" s="7">
        <f t="shared" si="23"/>
        <v>460.19249053393611</v>
      </c>
      <c r="AJ29" s="7">
        <f t="shared" si="24"/>
        <v>537.03307184707921</v>
      </c>
    </row>
    <row r="30" spans="1:41">
      <c r="A30" s="355">
        <f t="shared" si="12"/>
        <v>45953</v>
      </c>
      <c r="B30" s="362">
        <f>Report1!P31</f>
        <v>68.073999999999998</v>
      </c>
      <c r="C30" s="362">
        <f>Report1!R31</f>
        <v>70.382000000000005</v>
      </c>
      <c r="D30" s="363">
        <f t="shared" si="13"/>
        <v>15645.200000000044</v>
      </c>
      <c r="E30" s="363">
        <f>+[1]DailyOct!O29</f>
        <v>774.80000000002747</v>
      </c>
      <c r="F30" s="357">
        <f t="shared" si="0"/>
        <v>11.381731644974991</v>
      </c>
      <c r="G30" s="357">
        <f t="shared" si="1"/>
        <v>11.008496490580367</v>
      </c>
      <c r="H30" s="363">
        <f>+[1]DailyOct!P29</f>
        <v>3796.5</v>
      </c>
      <c r="I30" s="363">
        <f t="shared" si="14"/>
        <v>84152</v>
      </c>
      <c r="J30" s="363">
        <f>+[1]DailyOct!Q29</f>
        <v>3256</v>
      </c>
      <c r="K30" s="357">
        <f t="shared" si="2"/>
        <v>47.830302318065634</v>
      </c>
      <c r="L30" s="357">
        <f t="shared" si="3"/>
        <v>46.261828308374298</v>
      </c>
      <c r="M30" s="363">
        <f t="shared" si="15"/>
        <v>361.89999999999418</v>
      </c>
      <c r="N30" s="363">
        <f>+[1]DailyOct!R29</f>
        <v>0</v>
      </c>
      <c r="O30" s="357">
        <f t="shared" si="4"/>
        <v>0</v>
      </c>
      <c r="P30" s="357">
        <f t="shared" si="5"/>
        <v>0</v>
      </c>
      <c r="Q30" s="363">
        <f t="shared" si="16"/>
        <v>335760.6700000001</v>
      </c>
      <c r="R30" s="363">
        <f>+[1]DailyOct!S29</f>
        <v>16187.170000000773</v>
      </c>
      <c r="S30" s="357">
        <f t="shared" si="6"/>
        <v>237.78784851780082</v>
      </c>
      <c r="T30" s="357">
        <f t="shared" si="7"/>
        <v>229.99019635703408</v>
      </c>
      <c r="U30" s="363">
        <f t="shared" si="17"/>
        <v>153532.86999999959</v>
      </c>
      <c r="V30" s="363">
        <f>+[1]DailyOct!T29</f>
        <v>6719.9699999997019</v>
      </c>
      <c r="W30" s="357">
        <f t="shared" si="8"/>
        <v>98.715662367419313</v>
      </c>
      <c r="X30" s="357">
        <f t="shared" si="9"/>
        <v>95.478531442694177</v>
      </c>
      <c r="Y30" s="363">
        <f t="shared" si="18"/>
        <v>140186.87</v>
      </c>
      <c r="Z30" s="558">
        <f>+[1]DailyOct!U29</f>
        <v>5920.97</v>
      </c>
      <c r="AA30" s="363">
        <f t="shared" si="19"/>
        <v>86.978435232247264</v>
      </c>
      <c r="AB30" s="363">
        <f t="shared" si="20"/>
        <v>84.126197039015651</v>
      </c>
      <c r="AC30" s="363">
        <f t="shared" si="21"/>
        <v>36655.410000000506</v>
      </c>
      <c r="AD30" s="360">
        <f t="shared" si="10"/>
        <v>538.4641713429578</v>
      </c>
      <c r="AE30" s="361">
        <f t="shared" si="11"/>
        <v>520.80659827797592</v>
      </c>
      <c r="AF30" s="363">
        <f>+[1]DailyOct!BH29</f>
        <v>26268</v>
      </c>
      <c r="AG30" s="363">
        <f>+[1]DailyOct!BL29</f>
        <v>0</v>
      </c>
      <c r="AH30" s="363">
        <f t="shared" si="22"/>
        <v>26268</v>
      </c>
      <c r="AI30" s="7">
        <f t="shared" si="23"/>
        <v>385.87419572817817</v>
      </c>
      <c r="AJ30" s="7">
        <f t="shared" si="24"/>
        <v>373.22042567701965</v>
      </c>
    </row>
    <row r="31" spans="1:41">
      <c r="A31" s="355">
        <f t="shared" si="12"/>
        <v>45954</v>
      </c>
      <c r="B31" s="362">
        <f>Report1!P32</f>
        <v>70.288999999999987</v>
      </c>
      <c r="C31" s="362">
        <f>Report1!R32</f>
        <v>69.483000000000004</v>
      </c>
      <c r="D31" s="363">
        <f t="shared" si="13"/>
        <v>16322.100000000033</v>
      </c>
      <c r="E31" s="363">
        <f>+[1]DailyOct!O30</f>
        <v>676.89999999998918</v>
      </c>
      <c r="F31" s="357">
        <f t="shared" si="0"/>
        <v>9.6302408627237455</v>
      </c>
      <c r="G31" s="357">
        <f t="shared" si="1"/>
        <v>9.7419512686554857</v>
      </c>
      <c r="H31" s="363">
        <f>+[1]DailyOct!P30</f>
        <v>0</v>
      </c>
      <c r="I31" s="363">
        <f t="shared" si="14"/>
        <v>87369</v>
      </c>
      <c r="J31" s="363">
        <f>+[1]DailyOct!Q30</f>
        <v>3217</v>
      </c>
      <c r="K31" s="357">
        <f t="shared" si="2"/>
        <v>45.768185633598435</v>
      </c>
      <c r="L31" s="357">
        <f t="shared" si="3"/>
        <v>46.299094742598903</v>
      </c>
      <c r="M31" s="363">
        <f t="shared" si="15"/>
        <v>361.89999999999418</v>
      </c>
      <c r="N31" s="363">
        <f>+[1]DailyOct!R30</f>
        <v>0</v>
      </c>
      <c r="O31" s="357">
        <f t="shared" si="4"/>
        <v>0</v>
      </c>
      <c r="P31" s="357">
        <f t="shared" si="5"/>
        <v>0</v>
      </c>
      <c r="Q31" s="363">
        <f t="shared" si="16"/>
        <v>351196.50000000012</v>
      </c>
      <c r="R31" s="363">
        <f>+[1]DailyOct!S30</f>
        <v>15435.830000000011</v>
      </c>
      <c r="S31" s="357">
        <f t="shared" si="6"/>
        <v>219.60520138286239</v>
      </c>
      <c r="T31" s="357">
        <f t="shared" si="7"/>
        <v>222.15261286933509</v>
      </c>
      <c r="U31" s="363">
        <f t="shared" si="17"/>
        <v>159703.59999999957</v>
      </c>
      <c r="V31" s="363">
        <f>+[1]DailyOct!T30</f>
        <v>6170.7299999999923</v>
      </c>
      <c r="W31" s="357">
        <f t="shared" si="8"/>
        <v>87.790834981291425</v>
      </c>
      <c r="X31" s="357">
        <f t="shared" si="9"/>
        <v>88.80920512931209</v>
      </c>
      <c r="Y31" s="363">
        <f t="shared" si="18"/>
        <v>146934.6</v>
      </c>
      <c r="Z31" s="558">
        <f>+[1]DailyOct!U30</f>
        <v>6747.73</v>
      </c>
      <c r="AA31" s="363">
        <f t="shared" si="19"/>
        <v>95.999800822319287</v>
      </c>
      <c r="AB31" s="363">
        <f t="shared" si="20"/>
        <v>97.113394643294029</v>
      </c>
      <c r="AC31" s="363">
        <f t="shared" si="21"/>
        <v>32248.189999999991</v>
      </c>
      <c r="AD31" s="360">
        <f t="shared" si="10"/>
        <v>458.7942636827953</v>
      </c>
      <c r="AE31" s="361">
        <f t="shared" si="11"/>
        <v>464.11625865319559</v>
      </c>
      <c r="AF31" s="363">
        <f>+[1]DailyOct!BH30</f>
        <v>28009</v>
      </c>
      <c r="AG31" s="363">
        <f>+[1]DailyOct!BL30</f>
        <v>0</v>
      </c>
      <c r="AH31" s="363">
        <f t="shared" si="22"/>
        <v>28009</v>
      </c>
      <c r="AI31" s="7">
        <f t="shared" si="23"/>
        <v>398.48340423110307</v>
      </c>
      <c r="AJ31" s="7">
        <f t="shared" si="24"/>
        <v>403.10579566224828</v>
      </c>
    </row>
    <row r="32" spans="1:41">
      <c r="A32" s="355">
        <f t="shared" si="12"/>
        <v>45955</v>
      </c>
      <c r="B32" s="362">
        <f>Report1!P33</f>
        <v>65.78</v>
      </c>
      <c r="C32" s="362">
        <f>Report1!R33</f>
        <v>65.763999999999996</v>
      </c>
      <c r="D32" s="363">
        <f t="shared" si="13"/>
        <v>16920.000000000015</v>
      </c>
      <c r="E32" s="363">
        <f>+[1]DailyOct!O31</f>
        <v>597.89999999998145</v>
      </c>
      <c r="F32" s="357">
        <f t="shared" si="0"/>
        <v>9.0893888719972846</v>
      </c>
      <c r="G32" s="357">
        <f t="shared" si="1"/>
        <v>9.0916002676233418</v>
      </c>
      <c r="H32" s="363">
        <f>+[1]DailyOct!P31</f>
        <v>677.19999999995343</v>
      </c>
      <c r="I32" s="363">
        <f t="shared" si="14"/>
        <v>90788</v>
      </c>
      <c r="J32" s="363">
        <f>+[1]DailyOct!Q31</f>
        <v>3419</v>
      </c>
      <c r="K32" s="357">
        <f t="shared" si="2"/>
        <v>51.976284584980235</v>
      </c>
      <c r="L32" s="357">
        <f t="shared" si="3"/>
        <v>51.988930113740047</v>
      </c>
      <c r="M32" s="363">
        <f t="shared" si="15"/>
        <v>361.89999999999418</v>
      </c>
      <c r="N32" s="363">
        <f>+[1]DailyOct!R31</f>
        <v>0</v>
      </c>
      <c r="O32" s="357">
        <f t="shared" si="4"/>
        <v>0</v>
      </c>
      <c r="P32" s="357">
        <f t="shared" si="5"/>
        <v>0</v>
      </c>
      <c r="Q32" s="363">
        <f t="shared" si="16"/>
        <v>365923.92000000004</v>
      </c>
      <c r="R32" s="363">
        <f>+[1]DailyOct!S31</f>
        <v>14727.419999999946</v>
      </c>
      <c r="S32" s="357">
        <f t="shared" si="6"/>
        <v>223.88902401945796</v>
      </c>
      <c r="T32" s="357">
        <f t="shared" si="7"/>
        <v>223.94349492123268</v>
      </c>
      <c r="U32" s="363">
        <f t="shared" si="17"/>
        <v>164961.91999999949</v>
      </c>
      <c r="V32" s="363">
        <f>+[1]DailyOct!T31</f>
        <v>5258.3199999999197</v>
      </c>
      <c r="W32" s="357">
        <f t="shared" si="8"/>
        <v>79.937975068408633</v>
      </c>
      <c r="X32" s="357">
        <f t="shared" si="9"/>
        <v>79.957423514383549</v>
      </c>
      <c r="Y32" s="363">
        <f t="shared" si="18"/>
        <v>153250.92000000001</v>
      </c>
      <c r="Z32" s="558">
        <f>+[1]DailyOct!U31</f>
        <v>6316.32</v>
      </c>
      <c r="AA32" s="363">
        <f t="shared" si="19"/>
        <v>96.021891152325935</v>
      </c>
      <c r="AB32" s="363">
        <f t="shared" si="20"/>
        <v>96.045252721853899</v>
      </c>
      <c r="AC32" s="363">
        <f t="shared" si="21"/>
        <v>30996.1599999998</v>
      </c>
      <c r="AD32" s="360">
        <f t="shared" si="10"/>
        <v>471.20948616600487</v>
      </c>
      <c r="AE32" s="361">
        <f t="shared" si="11"/>
        <v>471.32412870263062</v>
      </c>
      <c r="AF32" s="363">
        <f>+[1]DailyOct!BH31</f>
        <v>29470</v>
      </c>
      <c r="AG32" s="363">
        <f>+[1]DailyOct!BL31</f>
        <v>0</v>
      </c>
      <c r="AH32" s="363">
        <f t="shared" si="22"/>
        <v>29470</v>
      </c>
      <c r="AI32" s="7">
        <f t="shared" si="23"/>
        <v>448.00851322590455</v>
      </c>
      <c r="AJ32" s="7">
        <f t="shared" si="24"/>
        <v>448.11751110029809</v>
      </c>
    </row>
    <row r="33" spans="1:36">
      <c r="A33" s="355">
        <f t="shared" si="12"/>
        <v>45956</v>
      </c>
      <c r="B33" s="362">
        <f>Report1!P34</f>
        <v>65.405000000000001</v>
      </c>
      <c r="C33" s="362">
        <f>Report1!R34</f>
        <v>65.506</v>
      </c>
      <c r="D33" s="363">
        <f t="shared" si="13"/>
        <v>17608.900000000005</v>
      </c>
      <c r="E33" s="363">
        <f>+[1]DailyOct!O32</f>
        <v>688.89999999998963</v>
      </c>
      <c r="F33" s="357">
        <f t="shared" si="0"/>
        <v>10.532833881201585</v>
      </c>
      <c r="G33" s="357">
        <f t="shared" si="1"/>
        <v>10.51659389979528</v>
      </c>
      <c r="H33" s="363">
        <f>+[1]DailyOct!P32</f>
        <v>1187.4000000000233</v>
      </c>
      <c r="I33" s="363">
        <f t="shared" si="14"/>
        <v>95293</v>
      </c>
      <c r="J33" s="363">
        <f>+[1]DailyOct!Q32</f>
        <v>4505</v>
      </c>
      <c r="K33" s="357">
        <f t="shared" si="2"/>
        <v>68.878526106566781</v>
      </c>
      <c r="L33" s="357">
        <f t="shared" si="3"/>
        <v>68.772326199126795</v>
      </c>
      <c r="M33" s="363">
        <f t="shared" si="15"/>
        <v>361.89999999999418</v>
      </c>
      <c r="N33" s="363">
        <f>+[1]DailyOct!R32</f>
        <v>0</v>
      </c>
      <c r="O33" s="357">
        <f t="shared" si="4"/>
        <v>0</v>
      </c>
      <c r="P33" s="357">
        <f t="shared" si="5"/>
        <v>0</v>
      </c>
      <c r="Q33" s="363">
        <f t="shared" si="16"/>
        <v>381185.13</v>
      </c>
      <c r="R33" s="363">
        <f>+[1]DailyOct!S32</f>
        <v>15261.209999999937</v>
      </c>
      <c r="S33" s="357">
        <f t="shared" si="6"/>
        <v>233.33399587187427</v>
      </c>
      <c r="T33" s="357">
        <f t="shared" si="7"/>
        <v>232.97423136811798</v>
      </c>
      <c r="U33" s="363">
        <f t="shared" si="17"/>
        <v>169976.02999999971</v>
      </c>
      <c r="V33" s="363">
        <f>+[1]DailyOct!T32</f>
        <v>5014.1100000002325</v>
      </c>
      <c r="W33" s="357">
        <f t="shared" si="8"/>
        <v>76.662487577405898</v>
      </c>
      <c r="X33" s="357">
        <f t="shared" si="9"/>
        <v>76.544286019604812</v>
      </c>
      <c r="Y33" s="363">
        <f t="shared" si="18"/>
        <v>159284.03</v>
      </c>
      <c r="Z33" s="558">
        <f>+[1]DailyOct!U32</f>
        <v>6033.11</v>
      </c>
      <c r="AA33" s="363">
        <f t="shared" si="19"/>
        <v>92.242336212827752</v>
      </c>
      <c r="AB33" s="363">
        <f t="shared" si="20"/>
        <v>92.100112966751126</v>
      </c>
      <c r="AC33" s="363">
        <f t="shared" si="21"/>
        <v>32689.730000000185</v>
      </c>
      <c r="AD33" s="360">
        <f t="shared" si="10"/>
        <v>499.80475498815355</v>
      </c>
      <c r="AE33" s="361">
        <f t="shared" si="11"/>
        <v>499.03413427777889</v>
      </c>
      <c r="AF33" s="363">
        <f>+[1]DailyOct!BH32</f>
        <v>20119</v>
      </c>
      <c r="AG33" s="363">
        <f>+[1]DailyOct!BL32</f>
        <v>0</v>
      </c>
      <c r="AH33" s="363">
        <f t="shared" si="22"/>
        <v>20119</v>
      </c>
      <c r="AI33" s="7">
        <f t="shared" si="23"/>
        <v>307.60645210610807</v>
      </c>
      <c r="AJ33" s="7">
        <f t="shared" si="24"/>
        <v>307.13217109883067</v>
      </c>
    </row>
    <row r="34" spans="1:36">
      <c r="A34" s="355">
        <f t="shared" si="12"/>
        <v>45957</v>
      </c>
      <c r="B34" s="362">
        <f>Report1!P35</f>
        <v>59.100999999999999</v>
      </c>
      <c r="C34" s="362">
        <f>Report1!R35</f>
        <v>59.281999999999996</v>
      </c>
      <c r="D34" s="363">
        <f t="shared" si="13"/>
        <v>18180.600000000028</v>
      </c>
      <c r="E34" s="363">
        <f>+[1]DailyOct!O33</f>
        <v>571.70000000002119</v>
      </c>
      <c r="F34" s="357">
        <f t="shared" si="0"/>
        <v>9.673271179845031</v>
      </c>
      <c r="G34" s="357">
        <f t="shared" si="1"/>
        <v>9.6437367160355798</v>
      </c>
      <c r="H34" s="363">
        <f>+[1]DailyOct!P33</f>
        <v>1079.3000000000466</v>
      </c>
      <c r="I34" s="363">
        <f t="shared" si="14"/>
        <v>97238</v>
      </c>
      <c r="J34" s="363">
        <f>+[1]DailyOct!Q33</f>
        <v>1945</v>
      </c>
      <c r="K34" s="357">
        <f t="shared" si="2"/>
        <v>32.909764640192215</v>
      </c>
      <c r="L34" s="357">
        <f t="shared" si="3"/>
        <v>32.809284437097268</v>
      </c>
      <c r="M34" s="363">
        <f t="shared" si="15"/>
        <v>361.89999999999418</v>
      </c>
      <c r="N34" s="363">
        <f>+[1]DailyOct!R33</f>
        <v>0</v>
      </c>
      <c r="O34" s="357">
        <f t="shared" si="4"/>
        <v>0</v>
      </c>
      <c r="P34" s="357">
        <f t="shared" si="5"/>
        <v>0</v>
      </c>
      <c r="Q34" s="363">
        <f t="shared" si="16"/>
        <v>395647.34000000061</v>
      </c>
      <c r="R34" s="363">
        <f>+[1]DailyOct!S33</f>
        <v>14462.21000000059</v>
      </c>
      <c r="S34" s="357">
        <f t="shared" si="6"/>
        <v>244.70330451262399</v>
      </c>
      <c r="T34" s="357">
        <f t="shared" si="7"/>
        <v>243.95617556763588</v>
      </c>
      <c r="U34" s="363">
        <f t="shared" si="17"/>
        <v>174700.93999999922</v>
      </c>
      <c r="V34" s="363">
        <f>+[1]DailyOct!T33</f>
        <v>4724.9099999995051</v>
      </c>
      <c r="W34" s="357">
        <f t="shared" si="8"/>
        <v>79.946363005693726</v>
      </c>
      <c r="X34" s="357">
        <f t="shared" si="9"/>
        <v>79.702270503685867</v>
      </c>
      <c r="Y34" s="363">
        <f t="shared" si="18"/>
        <v>165822.94</v>
      </c>
      <c r="Z34" s="558">
        <f>+[1]DailyOct!U33</f>
        <v>6538.91</v>
      </c>
      <c r="AA34" s="363">
        <f t="shared" si="19"/>
        <v>110.6395830865806</v>
      </c>
      <c r="AB34" s="363">
        <f t="shared" si="20"/>
        <v>110.30177794271449</v>
      </c>
      <c r="AC34" s="363">
        <f t="shared" si="21"/>
        <v>29322.030000000163</v>
      </c>
      <c r="AD34" s="360">
        <f t="shared" si="10"/>
        <v>496.13424476743478</v>
      </c>
      <c r="AE34" s="361">
        <f t="shared" si="11"/>
        <v>494.61944603758587</v>
      </c>
      <c r="AF34" s="363">
        <f>+[1]DailyOct!BH33</f>
        <v>28867</v>
      </c>
      <c r="AG34" s="363">
        <f>+[1]DailyOct!BL33</f>
        <v>0</v>
      </c>
      <c r="AH34" s="363">
        <f t="shared" si="22"/>
        <v>28867</v>
      </c>
      <c r="AI34" s="7">
        <f t="shared" si="23"/>
        <v>488.43505186037464</v>
      </c>
      <c r="AJ34" s="7">
        <f t="shared" si="24"/>
        <v>486.94376033197261</v>
      </c>
    </row>
    <row r="35" spans="1:36">
      <c r="A35" s="355">
        <f t="shared" si="12"/>
        <v>45958</v>
      </c>
      <c r="B35" s="362">
        <f>Report1!P36</f>
        <v>65.171999999999997</v>
      </c>
      <c r="C35" s="362">
        <f>Report1!R36</f>
        <v>63.91</v>
      </c>
      <c r="D35" s="363">
        <f t="shared" si="13"/>
        <v>18814.799999999992</v>
      </c>
      <c r="E35" s="363">
        <f>+[1]DailyOct!O34</f>
        <v>634.19999999996435</v>
      </c>
      <c r="F35" s="357">
        <f t="shared" si="0"/>
        <v>9.7311728963353037</v>
      </c>
      <c r="G35" s="357">
        <f t="shared" si="1"/>
        <v>9.923329682365269</v>
      </c>
      <c r="H35" s="363">
        <f>+[1]DailyOct!P34</f>
        <v>22.099999999976717</v>
      </c>
      <c r="I35" s="363">
        <f t="shared" si="14"/>
        <v>100637</v>
      </c>
      <c r="J35" s="363">
        <f>+[1]DailyOct!Q34</f>
        <v>3399</v>
      </c>
      <c r="K35" s="357">
        <f t="shared" si="2"/>
        <v>52.154299392377098</v>
      </c>
      <c r="L35" s="357">
        <f t="shared" si="3"/>
        <v>53.184165232358005</v>
      </c>
      <c r="M35" s="363">
        <f t="shared" si="15"/>
        <v>361.89999999999418</v>
      </c>
      <c r="N35" s="363">
        <f>+[1]DailyOct!R34</f>
        <v>0</v>
      </c>
      <c r="O35" s="357">
        <f t="shared" si="4"/>
        <v>0</v>
      </c>
      <c r="P35" s="357">
        <f t="shared" si="5"/>
        <v>0</v>
      </c>
      <c r="Q35" s="363">
        <f t="shared" si="16"/>
        <v>410419.53000000026</v>
      </c>
      <c r="R35" s="363">
        <f>+[1]DailyOct!S34</f>
        <v>14772.189999999642</v>
      </c>
      <c r="S35" s="357">
        <f t="shared" si="6"/>
        <v>226.66467194500157</v>
      </c>
      <c r="T35" s="357">
        <f t="shared" si="7"/>
        <v>231.14051009231173</v>
      </c>
      <c r="U35" s="363">
        <f t="shared" si="17"/>
        <v>177810.32999999926</v>
      </c>
      <c r="V35" s="363">
        <f>+[1]DailyOct!T34</f>
        <v>3109.3900000000367</v>
      </c>
      <c r="W35" s="357">
        <f t="shared" si="8"/>
        <v>47.710519855153088</v>
      </c>
      <c r="X35" s="357">
        <f t="shared" si="9"/>
        <v>48.652636520106974</v>
      </c>
      <c r="Y35" s="363">
        <f t="shared" si="18"/>
        <v>170755.33000000002</v>
      </c>
      <c r="Z35" s="558">
        <f>+[1]DailyOct!U34</f>
        <v>4932.3900000000003</v>
      </c>
      <c r="AA35" s="363">
        <f t="shared" si="19"/>
        <v>75.68265512796907</v>
      </c>
      <c r="AB35" s="363">
        <f t="shared" si="20"/>
        <v>77.177124080738551</v>
      </c>
      <c r="AC35" s="363">
        <f t="shared" si="21"/>
        <v>26869.269999999618</v>
      </c>
      <c r="AD35" s="360">
        <f t="shared" si="10"/>
        <v>412.28242189896918</v>
      </c>
      <c r="AE35" s="361">
        <f t="shared" si="11"/>
        <v>420.42356438741388</v>
      </c>
      <c r="AF35" s="363">
        <f>+[1]DailyOct!BH34</f>
        <v>29518</v>
      </c>
      <c r="AG35" s="363">
        <f>+[1]DailyOct!BL34</f>
        <v>0</v>
      </c>
      <c r="AH35" s="363">
        <f t="shared" si="22"/>
        <v>29518</v>
      </c>
      <c r="AI35" s="7">
        <f t="shared" si="23"/>
        <v>452.92456883324127</v>
      </c>
      <c r="AJ35" s="7">
        <f t="shared" si="24"/>
        <v>461.86825222969804</v>
      </c>
    </row>
    <row r="36" spans="1:36">
      <c r="A36" s="355">
        <f t="shared" si="12"/>
        <v>45959</v>
      </c>
      <c r="B36" s="362">
        <f>+Report1!P37</f>
        <v>72.42</v>
      </c>
      <c r="C36" s="362">
        <f>Report1!R37</f>
        <v>72.962999999999994</v>
      </c>
      <c r="D36" s="363">
        <f t="shared" si="13"/>
        <v>19560.000000000004</v>
      </c>
      <c r="E36" s="363">
        <f>+[1]DailyOct!O35</f>
        <v>745.20000000001119</v>
      </c>
      <c r="F36" s="357">
        <f t="shared" si="0"/>
        <v>10.289975144987727</v>
      </c>
      <c r="G36" s="357">
        <f t="shared" si="1"/>
        <v>10.213395830763693</v>
      </c>
      <c r="H36" s="363">
        <f>+[1]DailyOct!P35</f>
        <v>4363.5999999999767</v>
      </c>
      <c r="I36" s="363">
        <f t="shared" si="14"/>
        <v>105797</v>
      </c>
      <c r="J36" s="363">
        <f>+[1]DailyOct!Q35</f>
        <v>5160</v>
      </c>
      <c r="K36" s="357">
        <f t="shared" si="2"/>
        <v>71.251035625517815</v>
      </c>
      <c r="L36" s="357">
        <f t="shared" si="3"/>
        <v>70.72077628386991</v>
      </c>
      <c r="M36" s="363">
        <f t="shared" si="15"/>
        <v>361.89999999999418</v>
      </c>
      <c r="N36" s="363">
        <f>+[1]DailyOct!R35</f>
        <v>0</v>
      </c>
      <c r="O36" s="357">
        <f t="shared" si="4"/>
        <v>0</v>
      </c>
      <c r="P36" s="357">
        <f t="shared" si="5"/>
        <v>0</v>
      </c>
      <c r="Q36" s="363">
        <f t="shared" si="16"/>
        <v>427863.91000000009</v>
      </c>
      <c r="R36" s="363">
        <f>+[1]DailyOct!S35</f>
        <v>17444.379999999845</v>
      </c>
      <c r="S36" s="357">
        <f t="shared" si="6"/>
        <v>240.87793427229832</v>
      </c>
      <c r="T36" s="357">
        <f t="shared" si="7"/>
        <v>239.08528980441932</v>
      </c>
      <c r="U36" s="363">
        <f t="shared" si="17"/>
        <v>184123.90999999983</v>
      </c>
      <c r="V36" s="363">
        <f>+[1]DailyOct!T35</f>
        <v>6313.5800000005602</v>
      </c>
      <c r="W36" s="357">
        <f t="shared" si="8"/>
        <v>87.180060756704776</v>
      </c>
      <c r="X36" s="357">
        <f t="shared" si="9"/>
        <v>86.531255567898256</v>
      </c>
      <c r="Y36" s="363">
        <f t="shared" si="18"/>
        <v>178163.91</v>
      </c>
      <c r="Z36" s="558">
        <f>+[1]DailyOct!U35</f>
        <v>7408.58</v>
      </c>
      <c r="AA36" s="363">
        <f t="shared" si="19"/>
        <v>102.30019331676333</v>
      </c>
      <c r="AB36" s="363">
        <f t="shared" si="20"/>
        <v>101.53886216301414</v>
      </c>
      <c r="AC36" s="363">
        <f t="shared" si="21"/>
        <v>41435.340000000397</v>
      </c>
      <c r="AD36" s="360">
        <f t="shared" si="10"/>
        <v>572.15327257664171</v>
      </c>
      <c r="AE36" s="361">
        <f t="shared" si="11"/>
        <v>567.89523457095243</v>
      </c>
      <c r="AF36" s="363">
        <f>+[1]DailyOct!BH35</f>
        <v>22919</v>
      </c>
      <c r="AG36" s="363">
        <f>+[1]DailyOct!BL35</f>
        <v>0</v>
      </c>
      <c r="AH36" s="363">
        <f t="shared" si="22"/>
        <v>22919</v>
      </c>
      <c r="AI36" s="7">
        <f t="shared" si="23"/>
        <v>316.47334990334161</v>
      </c>
      <c r="AJ36" s="7">
        <f t="shared" si="24"/>
        <v>314.11811466085555</v>
      </c>
    </row>
    <row r="37" spans="1:36">
      <c r="A37" s="355">
        <f t="shared" si="12"/>
        <v>45960</v>
      </c>
      <c r="B37" s="362">
        <f>Report1!P38</f>
        <v>68.887</v>
      </c>
      <c r="C37" s="362">
        <f>Report1!R38</f>
        <v>68.492999999999995</v>
      </c>
      <c r="D37" s="363">
        <f t="shared" si="13"/>
        <v>20350.000000000025</v>
      </c>
      <c r="E37" s="363">
        <f>+[1]DailyOct!O36</f>
        <v>790.00000000002046</v>
      </c>
      <c r="F37" s="357">
        <f t="shared" si="0"/>
        <v>11.468056382191422</v>
      </c>
      <c r="G37" s="357">
        <f t="shared" si="1"/>
        <v>11.534025374856125</v>
      </c>
      <c r="H37" s="363">
        <f>+[1]DailyOct!P36</f>
        <v>2341.1999999999534</v>
      </c>
      <c r="I37" s="363">
        <f t="shared" si="14"/>
        <v>109641</v>
      </c>
      <c r="J37" s="363">
        <f>+[1]DailyOct!Q36</f>
        <v>3844</v>
      </c>
      <c r="K37" s="357">
        <f t="shared" si="2"/>
        <v>55.801530041952766</v>
      </c>
      <c r="L37" s="357">
        <f t="shared" si="3"/>
        <v>56.122523469551638</v>
      </c>
      <c r="M37" s="363">
        <f t="shared" si="15"/>
        <v>363.79999999998836</v>
      </c>
      <c r="N37" s="363">
        <f>+[1]DailyOct!R36</f>
        <v>1.8999999999941792</v>
      </c>
      <c r="O37" s="357">
        <f t="shared" si="4"/>
        <v>2.7581401425438461E-2</v>
      </c>
      <c r="P37" s="357">
        <f t="shared" si="5"/>
        <v>2.7740061028049282E-2</v>
      </c>
      <c r="Q37" s="363">
        <f t="shared" si="16"/>
        <v>444369.2100000002</v>
      </c>
      <c r="R37" s="363">
        <f>+[1]DailyOct!S36</f>
        <v>16505.300000000123</v>
      </c>
      <c r="S37" s="357">
        <f t="shared" si="6"/>
        <v>239.59963418351973</v>
      </c>
      <c r="T37" s="357">
        <f t="shared" si="7"/>
        <v>240.97791015140416</v>
      </c>
      <c r="U37" s="363">
        <f t="shared" si="17"/>
        <v>191119.20999999979</v>
      </c>
      <c r="V37" s="363">
        <f>+[1]DailyOct!T36</f>
        <v>6995.2999999999638</v>
      </c>
      <c r="W37" s="357">
        <f t="shared" si="8"/>
        <v>101.54746178524198</v>
      </c>
      <c r="X37" s="357">
        <f t="shared" si="9"/>
        <v>102.13160468952979</v>
      </c>
      <c r="Y37" s="363">
        <f t="shared" si="18"/>
        <v>185541.21</v>
      </c>
      <c r="Z37" s="558">
        <f>+[1]DailyOct!U36</f>
        <v>7377.3</v>
      </c>
      <c r="AA37" s="363">
        <f t="shared" si="19"/>
        <v>107.09277512447922</v>
      </c>
      <c r="AB37" s="363">
        <f t="shared" si="20"/>
        <v>107.70881695939732</v>
      </c>
      <c r="AC37" s="363">
        <f t="shared" si="21"/>
        <v>37855.000000000051</v>
      </c>
      <c r="AD37" s="360">
        <f t="shared" si="10"/>
        <v>549.52313208588055</v>
      </c>
      <c r="AE37" s="361">
        <f t="shared" si="11"/>
        <v>552.68421590527578</v>
      </c>
      <c r="AF37" s="363">
        <f>+[1]DailyOct!BH36</f>
        <v>23842</v>
      </c>
      <c r="AG37" s="363">
        <f>+[1]DailyOct!BL36</f>
        <v>0</v>
      </c>
      <c r="AH37" s="363">
        <f t="shared" si="22"/>
        <v>23842</v>
      </c>
      <c r="AI37" s="7">
        <f t="shared" si="23"/>
        <v>346.10303830911494</v>
      </c>
      <c r="AJ37" s="7">
        <f t="shared" si="24"/>
        <v>348.09396580672478</v>
      </c>
    </row>
    <row r="38" spans="1:36">
      <c r="A38" s="355">
        <f t="shared" si="12"/>
        <v>45961</v>
      </c>
      <c r="B38" s="362">
        <f>Report1!P39</f>
        <v>45.510000000000005</v>
      </c>
      <c r="C38" s="362">
        <f>Report1!R39</f>
        <v>41.704000000000001</v>
      </c>
      <c r="D38" s="363">
        <f t="shared" si="13"/>
        <v>21024.000000000004</v>
      </c>
      <c r="E38" s="363">
        <f>+[1]DailyOct!O37</f>
        <v>673.99999999997817</v>
      </c>
      <c r="F38" s="357">
        <f t="shared" si="0"/>
        <v>14.809931883102134</v>
      </c>
      <c r="G38" s="357">
        <f t="shared" si="1"/>
        <v>16.161519278725738</v>
      </c>
      <c r="H38" s="363">
        <f>+[1]DailyOct!P37</f>
        <v>670.20000000006985</v>
      </c>
      <c r="I38" s="363">
        <f t="shared" si="14"/>
        <v>114738</v>
      </c>
      <c r="J38" s="363">
        <f>+[1]DailyOct!Q37</f>
        <v>5097</v>
      </c>
      <c r="K38" s="357">
        <f t="shared" si="2"/>
        <v>111.9973632168754</v>
      </c>
      <c r="L38" s="357">
        <f t="shared" si="3"/>
        <v>122.21849223096106</v>
      </c>
      <c r="M38" s="363">
        <f t="shared" si="15"/>
        <v>363.79999999998836</v>
      </c>
      <c r="N38" s="363">
        <f>+[1]DailyOct!R37</f>
        <v>0</v>
      </c>
      <c r="O38" s="357">
        <f t="shared" si="4"/>
        <v>0</v>
      </c>
      <c r="P38" s="357">
        <f t="shared" si="5"/>
        <v>0</v>
      </c>
      <c r="Q38" s="363">
        <f t="shared" si="16"/>
        <v>460660.20000000054</v>
      </c>
      <c r="R38" s="363">
        <f>+[1]DailyOct!S37</f>
        <v>16290.990000000314</v>
      </c>
      <c r="S38" s="358">
        <f t="shared" si="6"/>
        <v>357.96506262360606</v>
      </c>
      <c r="T38" s="358">
        <f t="shared" si="7"/>
        <v>390.63375215807389</v>
      </c>
      <c r="U38" s="363">
        <f t="shared" si="17"/>
        <v>199003.19999999995</v>
      </c>
      <c r="V38" s="363">
        <f>+[1]DailyOct!T37</f>
        <v>7883.9900000001599</v>
      </c>
      <c r="W38" s="357">
        <f t="shared" si="8"/>
        <v>173.23643155350823</v>
      </c>
      <c r="X38" s="357">
        <f t="shared" si="9"/>
        <v>189.04637444849797</v>
      </c>
      <c r="Y38" s="363">
        <f t="shared" si="18"/>
        <v>192416.19999999998</v>
      </c>
      <c r="Z38" s="558">
        <f>+[1]DailyOct!U37</f>
        <v>6874.99</v>
      </c>
      <c r="AA38" s="363">
        <f t="shared" si="19"/>
        <v>151.06548011426057</v>
      </c>
      <c r="AB38" s="363">
        <f t="shared" si="20"/>
        <v>164.85205256090543</v>
      </c>
      <c r="AC38" s="363">
        <f t="shared" si="21"/>
        <v>37491.170000000522</v>
      </c>
      <c r="AD38" s="360">
        <f t="shared" si="10"/>
        <v>823.80070314217789</v>
      </c>
      <c r="AE38" s="361">
        <f t="shared" si="11"/>
        <v>898.98259159794077</v>
      </c>
      <c r="AF38" s="363">
        <f>+[1]DailyOct!BH37</f>
        <v>21919</v>
      </c>
      <c r="AG38" s="363">
        <f>+[1]DailyOct!BL37</f>
        <v>0</v>
      </c>
      <c r="AH38" s="363">
        <f t="shared" si="22"/>
        <v>21919</v>
      </c>
      <c r="AI38" s="7">
        <f t="shared" si="23"/>
        <v>481.63041089870353</v>
      </c>
      <c r="AJ38" s="7">
        <f t="shared" si="24"/>
        <v>525.58507577210821</v>
      </c>
    </row>
    <row r="39" spans="1:36">
      <c r="A39" s="355"/>
      <c r="B39" s="362"/>
      <c r="C39" s="362"/>
      <c r="D39" s="346"/>
      <c r="E39" s="363"/>
      <c r="F39" s="357"/>
      <c r="G39" s="357"/>
      <c r="H39" s="363"/>
      <c r="I39" s="350"/>
      <c r="J39" s="363"/>
      <c r="K39" s="357"/>
      <c r="L39" s="357"/>
      <c r="M39" s="352"/>
      <c r="N39" s="363"/>
      <c r="O39" s="357"/>
      <c r="P39" s="357"/>
      <c r="Q39" s="353"/>
      <c r="R39" s="363"/>
      <c r="S39" s="358"/>
      <c r="T39" s="358"/>
      <c r="U39" s="354"/>
      <c r="V39" s="363"/>
      <c r="W39" s="357"/>
      <c r="X39" s="357"/>
      <c r="Y39" s="363"/>
      <c r="Z39" s="363"/>
      <c r="AA39" s="363"/>
      <c r="AB39" s="363"/>
      <c r="AC39" s="363"/>
      <c r="AD39" s="360"/>
      <c r="AE39" s="361"/>
      <c r="AF39" s="363"/>
      <c r="AG39" s="363"/>
      <c r="AH39" s="359"/>
      <c r="AI39" s="448"/>
      <c r="AJ39" s="448"/>
    </row>
    <row r="40" spans="1:36">
      <c r="A40" s="364" t="s">
        <v>29</v>
      </c>
      <c r="B40" s="365">
        <f>SUM(B8:B38)</f>
        <v>1726.1390000000001</v>
      </c>
      <c r="C40" s="365">
        <f>SUM(C8:C38)</f>
        <v>1649.2969999999998</v>
      </c>
      <c r="D40" s="359"/>
      <c r="E40" s="363">
        <f>SUM(E8:E39)</f>
        <v>21024.000000000004</v>
      </c>
      <c r="F40" s="366">
        <f>E40/B40</f>
        <v>12.179783899210898</v>
      </c>
      <c r="G40" s="366">
        <f>E40/C40</f>
        <v>12.747249282573124</v>
      </c>
      <c r="H40" s="363">
        <f>SUM(H8:H39)</f>
        <v>27931.400000000023</v>
      </c>
      <c r="I40" s="367"/>
      <c r="J40" s="363">
        <f>SUM(J8:J39)</f>
        <v>114738</v>
      </c>
      <c r="K40" s="366">
        <f>J40/B40</f>
        <v>66.470892552685498</v>
      </c>
      <c r="L40" s="366">
        <f>J40/C40</f>
        <v>69.567821926554174</v>
      </c>
      <c r="M40" s="368"/>
      <c r="N40" s="363">
        <f>SUM(N8:N39)</f>
        <v>363.79999999998836</v>
      </c>
      <c r="O40" s="366">
        <f>N40/B40</f>
        <v>0.21075938843858363</v>
      </c>
      <c r="P40" s="366">
        <f>N40/C40</f>
        <v>0.22057882843416826</v>
      </c>
      <c r="Q40" s="369"/>
      <c r="R40" s="363">
        <f>SUM(R8:R39)</f>
        <v>460660.20000000054</v>
      </c>
      <c r="S40" s="366">
        <f>R40/B40</f>
        <v>266.87317765255318</v>
      </c>
      <c r="T40" s="366">
        <f>R40/C40</f>
        <v>279.30700171042605</v>
      </c>
      <c r="U40" s="370"/>
      <c r="V40" s="363">
        <f>SUM(V8:V39)</f>
        <v>199003.19999999995</v>
      </c>
      <c r="W40" s="366">
        <f>V40/B40</f>
        <v>115.28805038296449</v>
      </c>
      <c r="X40" s="366">
        <f>V40/C40</f>
        <v>120.65940822059336</v>
      </c>
      <c r="Y40" s="371"/>
      <c r="Z40" s="363">
        <f>SUM(Z8:Z39)</f>
        <v>192416.19999999998</v>
      </c>
      <c r="AA40" s="366">
        <f>Z40/B40</f>
        <v>111.47201934490789</v>
      </c>
      <c r="AB40" s="366">
        <f>Z40/C40</f>
        <v>116.66558539789983</v>
      </c>
      <c r="AC40" s="363">
        <f>+E40+J40+N40+R40+V40+Z40+H40</f>
        <v>1016136.8000000004</v>
      </c>
      <c r="AD40" s="458">
        <f>AC40/B40</f>
        <v>588.67611472772489</v>
      </c>
      <c r="AE40" s="19">
        <f>AC40/C40</f>
        <v>616.10298205841673</v>
      </c>
      <c r="AF40" s="363">
        <f>SUM(AF8:AF39)</f>
        <v>428961</v>
      </c>
      <c r="AG40" s="363">
        <f>SUM(AG8:AG39)</f>
        <v>373275.58799999999</v>
      </c>
      <c r="AH40" s="359">
        <f>+SUM(AH8:AH38)</f>
        <v>802236.58799999999</v>
      </c>
      <c r="AI40" s="366">
        <f>AF40/B40</f>
        <v>248.50895553602575</v>
      </c>
      <c r="AJ40" s="22">
        <f>AF40/C40</f>
        <v>260.08717653642736</v>
      </c>
    </row>
    <row r="41" spans="1:36">
      <c r="U41" s="372"/>
    </row>
    <row r="42" spans="1:36">
      <c r="AC42" s="5">
        <f>+AC40-[1]DailyOct!$V$38</f>
        <v>0</v>
      </c>
      <c r="AF42" s="5">
        <f>+AF40-[1]DailyOct!$BH$38</f>
        <v>0</v>
      </c>
      <c r="AG42" s="5">
        <f>+AG40-[1]DailyOct!$BL$38</f>
        <v>0</v>
      </c>
    </row>
    <row r="43" spans="1:36">
      <c r="G43" s="373"/>
      <c r="H43" s="373"/>
      <c r="I43" s="374"/>
    </row>
    <row r="44" spans="1:36">
      <c r="G44" s="373"/>
      <c r="H44" s="373"/>
      <c r="J44" s="373"/>
      <c r="M44" s="373"/>
    </row>
    <row r="45" spans="1:36">
      <c r="E45" t="s">
        <v>0</v>
      </c>
      <c r="G45" s="373"/>
      <c r="H45" s="373"/>
    </row>
  </sheetData>
  <mergeCells count="13">
    <mergeCell ref="A2:AC2"/>
    <mergeCell ref="A4:A6"/>
    <mergeCell ref="B4:B6"/>
    <mergeCell ref="C4:C6"/>
    <mergeCell ref="D5:G5"/>
    <mergeCell ref="I5:L5"/>
    <mergeCell ref="AC4:AE5"/>
    <mergeCell ref="AF4:AJ5"/>
    <mergeCell ref="M5:P5"/>
    <mergeCell ref="Q5:T5"/>
    <mergeCell ref="U5:X5"/>
    <mergeCell ref="Y5:AB5"/>
    <mergeCell ref="D4:AB4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108"/>
  <sheetViews>
    <sheetView topLeftCell="A80" zoomScaleNormal="100" workbookViewId="0">
      <selection activeCell="A106" sqref="A106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11">
      <c r="A1" s="96" t="s">
        <v>262</v>
      </c>
      <c r="B1" s="379">
        <f>+Report1!A9</f>
        <v>45931</v>
      </c>
      <c r="C1" s="97"/>
      <c r="G1" s="98"/>
      <c r="H1" s="99"/>
    </row>
    <row r="2" spans="1:11" ht="13.5" thickBot="1">
      <c r="A2" s="96"/>
      <c r="B2" s="97"/>
      <c r="C2" s="97"/>
      <c r="G2" s="98"/>
      <c r="H2" s="99"/>
    </row>
    <row r="3" spans="1:11" ht="26.25" thickBot="1">
      <c r="A3" s="598" t="s">
        <v>122</v>
      </c>
      <c r="B3" s="599" t="s">
        <v>10</v>
      </c>
      <c r="C3" s="599" t="s">
        <v>95</v>
      </c>
      <c r="D3" s="599" t="s">
        <v>123</v>
      </c>
      <c r="E3" s="599" t="s">
        <v>124</v>
      </c>
      <c r="F3" s="599" t="s">
        <v>125</v>
      </c>
      <c r="G3" s="600" t="s">
        <v>126</v>
      </c>
      <c r="H3" s="594" t="s">
        <v>127</v>
      </c>
      <c r="I3" s="586" t="s">
        <v>389</v>
      </c>
    </row>
    <row r="4" spans="1:11">
      <c r="A4" s="559">
        <f>+B1</f>
        <v>45931</v>
      </c>
      <c r="B4" t="s">
        <v>434</v>
      </c>
      <c r="C4">
        <v>2</v>
      </c>
      <c r="D4" t="s">
        <v>435</v>
      </c>
      <c r="E4">
        <f>120*2+97</f>
        <v>337</v>
      </c>
      <c r="F4">
        <v>0</v>
      </c>
      <c r="G4">
        <f>+E4*F4</f>
        <v>0</v>
      </c>
      <c r="H4">
        <f>+E4</f>
        <v>337</v>
      </c>
      <c r="I4" s="596">
        <f>+'1'!I38</f>
        <v>0</v>
      </c>
    </row>
    <row r="5" spans="1:11" ht="13.5" thickBot="1">
      <c r="A5" s="416"/>
      <c r="B5" s="417"/>
      <c r="C5" s="418"/>
      <c r="D5" s="419"/>
      <c r="E5" s="418"/>
      <c r="F5" s="418"/>
      <c r="G5" s="418"/>
      <c r="H5" s="595"/>
      <c r="I5" s="597"/>
    </row>
    <row r="6" spans="1:11">
      <c r="A6" s="559">
        <v>45932</v>
      </c>
      <c r="B6" t="s">
        <v>456</v>
      </c>
      <c r="C6">
        <v>2</v>
      </c>
      <c r="D6" t="s">
        <v>455</v>
      </c>
      <c r="E6">
        <f>159*2</f>
        <v>318</v>
      </c>
      <c r="F6">
        <v>35</v>
      </c>
      <c r="G6">
        <f>+E6*F6</f>
        <v>11130</v>
      </c>
      <c r="H6">
        <f>+G6/F6</f>
        <v>318</v>
      </c>
      <c r="I6" s="596">
        <f>+'2'!I38</f>
        <v>42.451000000000001</v>
      </c>
      <c r="K6">
        <f>+SUM(I:I)</f>
        <v>1728.2550000000006</v>
      </c>
    </row>
    <row r="7" spans="1:11" ht="13.5" thickBot="1">
      <c r="A7" s="416"/>
      <c r="B7" s="417"/>
      <c r="C7" s="418"/>
      <c r="D7" s="419"/>
      <c r="E7" s="418"/>
      <c r="F7" s="418"/>
      <c r="G7" s="418"/>
      <c r="H7" s="595"/>
      <c r="I7" s="597"/>
      <c r="K7">
        <f>+K6-'31'!J38</f>
        <v>2.1160000000004402</v>
      </c>
    </row>
    <row r="8" spans="1:11">
      <c r="A8" s="559">
        <v>45933</v>
      </c>
      <c r="B8" t="s">
        <v>456</v>
      </c>
      <c r="C8">
        <v>2</v>
      </c>
      <c r="D8" t="s">
        <v>455</v>
      </c>
      <c r="E8">
        <f>159*2</f>
        <v>318</v>
      </c>
      <c r="F8">
        <v>35</v>
      </c>
      <c r="G8">
        <f>+E8*F8</f>
        <v>11130</v>
      </c>
      <c r="H8">
        <f>+G8/F8</f>
        <v>318</v>
      </c>
      <c r="I8" s="596">
        <f>+'3'!N37</f>
        <v>4.3760000000000003</v>
      </c>
    </row>
    <row r="9" spans="1:11">
      <c r="A9" s="559"/>
      <c r="B9" t="s">
        <v>465</v>
      </c>
      <c r="C9">
        <v>2</v>
      </c>
      <c r="D9" t="s">
        <v>466</v>
      </c>
      <c r="E9">
        <f>40*8</f>
        <v>320</v>
      </c>
      <c r="F9">
        <v>29</v>
      </c>
      <c r="G9">
        <f>+E9*F9</f>
        <v>9280</v>
      </c>
      <c r="H9">
        <f>+G9/F9</f>
        <v>320</v>
      </c>
      <c r="I9" s="596">
        <f>+'3'!N38</f>
        <v>51.667999999999999</v>
      </c>
    </row>
    <row r="10" spans="1:11" ht="13.5" thickBot="1">
      <c r="A10" s="416"/>
      <c r="B10" s="417"/>
      <c r="C10" s="418"/>
      <c r="D10" s="419"/>
      <c r="E10" s="418"/>
      <c r="F10" s="418"/>
      <c r="G10" s="418"/>
      <c r="H10" s="595"/>
      <c r="I10" s="597"/>
    </row>
    <row r="11" spans="1:11">
      <c r="A11" s="559">
        <v>45934</v>
      </c>
      <c r="B11" t="s">
        <v>465</v>
      </c>
      <c r="C11">
        <v>2</v>
      </c>
      <c r="D11" t="s">
        <v>466</v>
      </c>
      <c r="E11">
        <f>40*8</f>
        <v>320</v>
      </c>
      <c r="F11">
        <v>26</v>
      </c>
      <c r="G11">
        <f>+E11*F11</f>
        <v>8320</v>
      </c>
      <c r="H11">
        <f>+G11/F11</f>
        <v>320</v>
      </c>
      <c r="I11" s="596">
        <f>+'4'!I38</f>
        <v>41.531999999999996</v>
      </c>
    </row>
    <row r="12" spans="1:11" ht="13.5" thickBot="1">
      <c r="A12" s="416"/>
      <c r="B12" s="417"/>
      <c r="C12" s="418"/>
      <c r="D12" s="419"/>
      <c r="E12" s="418"/>
      <c r="F12" s="418"/>
      <c r="G12" s="418"/>
      <c r="H12" s="595"/>
      <c r="I12" s="597"/>
    </row>
    <row r="13" spans="1:11">
      <c r="A13" s="559">
        <v>45935</v>
      </c>
      <c r="B13" t="s">
        <v>465</v>
      </c>
      <c r="C13">
        <v>2</v>
      </c>
      <c r="D13" t="s">
        <v>466</v>
      </c>
      <c r="E13">
        <f>40*8</f>
        <v>320</v>
      </c>
      <c r="F13">
        <v>19</v>
      </c>
      <c r="G13">
        <f>+E13*F13</f>
        <v>6080</v>
      </c>
      <c r="H13">
        <f>+G13/F13</f>
        <v>320</v>
      </c>
      <c r="I13" s="596">
        <f>+'5'!N37</f>
        <v>28.067000000000004</v>
      </c>
    </row>
    <row r="14" spans="1:11">
      <c r="A14" s="559"/>
      <c r="B14" t="s">
        <v>488</v>
      </c>
      <c r="C14">
        <v>2</v>
      </c>
      <c r="D14" t="s">
        <v>495</v>
      </c>
      <c r="E14">
        <f>114*2+38.5+63.5</f>
        <v>330</v>
      </c>
      <c r="F14">
        <v>15</v>
      </c>
      <c r="G14">
        <f>+E14*F14</f>
        <v>4950</v>
      </c>
      <c r="H14">
        <f>+G14/F14</f>
        <v>330</v>
      </c>
      <c r="I14" s="596">
        <f>+'5'!N38</f>
        <v>21.413</v>
      </c>
    </row>
    <row r="15" spans="1:11">
      <c r="A15" s="559"/>
      <c r="B15" t="s">
        <v>456</v>
      </c>
      <c r="C15">
        <v>2</v>
      </c>
      <c r="D15" t="s">
        <v>455</v>
      </c>
      <c r="E15">
        <f>159*2</f>
        <v>318</v>
      </c>
      <c r="F15">
        <v>5</v>
      </c>
      <c r="G15">
        <f>+E15*F15</f>
        <v>1590</v>
      </c>
      <c r="H15">
        <f>+G15/F15</f>
        <v>318</v>
      </c>
      <c r="I15" s="596" t="s">
        <v>291</v>
      </c>
    </row>
    <row r="16" spans="1:11" ht="13.5" thickBot="1">
      <c r="A16" s="416"/>
      <c r="B16" s="417"/>
      <c r="C16" s="418"/>
      <c r="D16" s="419"/>
      <c r="E16" s="418"/>
      <c r="F16" s="418"/>
      <c r="G16" s="418"/>
      <c r="H16" s="595"/>
      <c r="I16" s="597"/>
    </row>
    <row r="17" spans="1:9">
      <c r="A17" s="559">
        <v>45936</v>
      </c>
      <c r="B17" t="s">
        <v>488</v>
      </c>
      <c r="C17">
        <v>2</v>
      </c>
      <c r="D17" t="s">
        <v>495</v>
      </c>
      <c r="E17">
        <f>114*2+38.5+63.5</f>
        <v>330</v>
      </c>
      <c r="F17">
        <f>18+1+8+1+14+3</f>
        <v>45</v>
      </c>
      <c r="G17">
        <f>+E17*F17</f>
        <v>14850</v>
      </c>
      <c r="H17" s="601">
        <f>+(E17*F17+E18*F18)/(SUM(F17:F18))</f>
        <v>329.21875</v>
      </c>
      <c r="I17" s="596">
        <f>+'6'!N37</f>
        <v>50.344000000000001</v>
      </c>
    </row>
    <row r="18" spans="1:9">
      <c r="A18" s="559"/>
      <c r="B18" t="s">
        <v>488</v>
      </c>
      <c r="C18">
        <v>2</v>
      </c>
      <c r="D18" t="s">
        <v>496</v>
      </c>
      <c r="E18">
        <f>63.5*5</f>
        <v>317.5</v>
      </c>
      <c r="F18">
        <v>3</v>
      </c>
      <c r="G18">
        <f>+E18*F18</f>
        <v>952.5</v>
      </c>
      <c r="I18" s="596"/>
    </row>
    <row r="19" spans="1:9">
      <c r="A19" s="559"/>
      <c r="B19" t="s">
        <v>497</v>
      </c>
      <c r="C19">
        <v>2</v>
      </c>
      <c r="D19" t="s">
        <v>455</v>
      </c>
      <c r="E19">
        <f>159*2</f>
        <v>318</v>
      </c>
      <c r="F19">
        <v>5</v>
      </c>
      <c r="G19">
        <f>+E19*F19</f>
        <v>1590</v>
      </c>
      <c r="H19">
        <f>+G19/F19</f>
        <v>318</v>
      </c>
      <c r="I19" s="596">
        <f>+'6'!N38</f>
        <v>4.8629999999999995</v>
      </c>
    </row>
    <row r="20" spans="1:9">
      <c r="A20" s="559"/>
      <c r="B20" t="s">
        <v>465</v>
      </c>
      <c r="C20">
        <v>2</v>
      </c>
      <c r="D20" t="s">
        <v>466</v>
      </c>
      <c r="E20">
        <f>40*8</f>
        <v>320</v>
      </c>
      <c r="F20">
        <v>1</v>
      </c>
      <c r="G20">
        <f>+E20*F20</f>
        <v>320</v>
      </c>
      <c r="H20">
        <f>+G20/F20</f>
        <v>320</v>
      </c>
      <c r="I20" s="596">
        <f>+'6'!N39</f>
        <v>2.4350000000000001</v>
      </c>
    </row>
    <row r="21" spans="1:9">
      <c r="A21" s="559"/>
      <c r="B21" t="s">
        <v>500</v>
      </c>
      <c r="C21">
        <v>2</v>
      </c>
      <c r="D21" t="s">
        <v>499</v>
      </c>
      <c r="E21">
        <f>168*2</f>
        <v>336</v>
      </c>
      <c r="F21">
        <v>0</v>
      </c>
      <c r="G21">
        <f>+E21*F21</f>
        <v>0</v>
      </c>
      <c r="H21">
        <f>+E21</f>
        <v>336</v>
      </c>
      <c r="I21" s="596">
        <f>+'6'!N40</f>
        <v>4.57</v>
      </c>
    </row>
    <row r="22" spans="1:9" ht="13.5" thickBot="1">
      <c r="A22" s="416"/>
      <c r="B22" s="417"/>
      <c r="C22" s="418"/>
      <c r="D22" s="419"/>
      <c r="E22" s="418"/>
      <c r="F22" s="418"/>
      <c r="G22" s="418"/>
      <c r="H22" s="595"/>
      <c r="I22" s="597"/>
    </row>
    <row r="23" spans="1:9">
      <c r="A23" s="559">
        <v>45937</v>
      </c>
      <c r="B23" t="s">
        <v>500</v>
      </c>
      <c r="C23">
        <v>2</v>
      </c>
      <c r="D23" t="s">
        <v>499</v>
      </c>
      <c r="E23">
        <f>168*2</f>
        <v>336</v>
      </c>
      <c r="F23">
        <v>10</v>
      </c>
      <c r="G23">
        <f>+E23*F23</f>
        <v>3360</v>
      </c>
      <c r="H23">
        <f>+G23/F23</f>
        <v>336</v>
      </c>
      <c r="I23" s="596">
        <f>+'7'!N37</f>
        <v>5.5919999999999996</v>
      </c>
    </row>
    <row r="24" spans="1:9">
      <c r="A24" s="559"/>
      <c r="B24" t="s">
        <v>510</v>
      </c>
      <c r="C24">
        <v>2</v>
      </c>
      <c r="D24" t="s">
        <v>511</v>
      </c>
      <c r="E24">
        <f>230+93</f>
        <v>323</v>
      </c>
      <c r="F24">
        <f>14+14+6</f>
        <v>34</v>
      </c>
      <c r="G24">
        <f>+E24*F24</f>
        <v>10982</v>
      </c>
      <c r="H24">
        <f>+E24</f>
        <v>323</v>
      </c>
      <c r="I24" s="596">
        <f>+'7'!N38</f>
        <v>63.206999999999994</v>
      </c>
    </row>
    <row r="25" spans="1:9" ht="13.5" thickBot="1">
      <c r="A25" s="416"/>
      <c r="B25" s="417"/>
      <c r="C25" s="418"/>
      <c r="D25" s="419"/>
      <c r="E25" s="418"/>
      <c r="F25" s="418"/>
      <c r="G25" s="418"/>
      <c r="H25" s="595"/>
      <c r="I25" s="597"/>
    </row>
    <row r="26" spans="1:9">
      <c r="A26" s="559">
        <v>45938</v>
      </c>
      <c r="B26" t="s">
        <v>510</v>
      </c>
      <c r="C26">
        <v>2</v>
      </c>
      <c r="D26" t="s">
        <v>511</v>
      </c>
      <c r="E26">
        <f>230+93</f>
        <v>323</v>
      </c>
      <c r="F26">
        <v>10</v>
      </c>
      <c r="G26">
        <f>+E26*F26</f>
        <v>3230</v>
      </c>
      <c r="H26">
        <f>+E26</f>
        <v>323</v>
      </c>
      <c r="I26" s="596">
        <f>+'8'!N37</f>
        <v>13.644</v>
      </c>
    </row>
    <row r="27" spans="1:9">
      <c r="A27" s="559"/>
      <c r="B27" t="s">
        <v>434</v>
      </c>
      <c r="C27">
        <v>2</v>
      </c>
      <c r="D27" t="s">
        <v>525</v>
      </c>
      <c r="E27">
        <f>117.5*2+94</f>
        <v>329</v>
      </c>
      <c r="F27">
        <f>2+1+4+6+2</f>
        <v>15</v>
      </c>
      <c r="G27">
        <f>+E27*F27</f>
        <v>4935</v>
      </c>
      <c r="H27">
        <f>+E27</f>
        <v>329</v>
      </c>
      <c r="I27" s="596">
        <f>+'8'!N38</f>
        <v>13.905000000000001</v>
      </c>
    </row>
    <row r="28" spans="1:9">
      <c r="A28" s="559"/>
      <c r="B28" t="s">
        <v>526</v>
      </c>
      <c r="C28">
        <v>2</v>
      </c>
      <c r="D28" t="s">
        <v>525</v>
      </c>
      <c r="E28">
        <f>117.5*2+94</f>
        <v>329</v>
      </c>
      <c r="F28">
        <f>1+2+2</f>
        <v>5</v>
      </c>
      <c r="G28">
        <f>+E28*F28</f>
        <v>1645</v>
      </c>
      <c r="H28" s="601">
        <f>+(E28*F28+E29*F29)/(SUM(F28:F29))</f>
        <v>317.94736842105266</v>
      </c>
      <c r="I28" s="596">
        <f>+'8'!N39</f>
        <v>34.28</v>
      </c>
    </row>
    <row r="29" spans="1:9">
      <c r="A29" s="559"/>
      <c r="B29" t="s">
        <v>528</v>
      </c>
      <c r="C29">
        <v>2</v>
      </c>
      <c r="D29" t="s">
        <v>529</v>
      </c>
      <c r="E29">
        <f>157*2</f>
        <v>314</v>
      </c>
      <c r="F29">
        <f>5+9</f>
        <v>14</v>
      </c>
      <c r="G29">
        <f>+E29*F29</f>
        <v>4396</v>
      </c>
      <c r="I29" s="596"/>
    </row>
    <row r="30" spans="1:9">
      <c r="A30" s="559"/>
      <c r="B30" t="s">
        <v>527</v>
      </c>
      <c r="C30">
        <v>2</v>
      </c>
      <c r="D30" t="s">
        <v>530</v>
      </c>
      <c r="E30">
        <f>169+149</f>
        <v>318</v>
      </c>
      <c r="F30">
        <v>1</v>
      </c>
      <c r="G30">
        <f>+E30*F30</f>
        <v>318</v>
      </c>
      <c r="H30">
        <f>+E30</f>
        <v>318</v>
      </c>
      <c r="I30" s="596">
        <f>+'8'!N40</f>
        <v>2.7440000000000002</v>
      </c>
    </row>
    <row r="31" spans="1:9" ht="13.5" thickBot="1">
      <c r="A31" s="416"/>
      <c r="B31" s="417"/>
      <c r="C31" s="418"/>
      <c r="D31" s="419"/>
      <c r="E31" s="418"/>
      <c r="F31" s="418"/>
      <c r="G31" s="418"/>
      <c r="H31" s="595"/>
      <c r="I31" s="597"/>
    </row>
    <row r="32" spans="1:9">
      <c r="A32" s="559">
        <v>45939</v>
      </c>
      <c r="B32" t="s">
        <v>527</v>
      </c>
      <c r="C32">
        <v>2</v>
      </c>
      <c r="D32" t="s">
        <v>530</v>
      </c>
      <c r="E32">
        <f>169+149</f>
        <v>318</v>
      </c>
      <c r="F32">
        <f>15+16+3</f>
        <v>34</v>
      </c>
      <c r="G32">
        <f>+E32*F32</f>
        <v>10812</v>
      </c>
      <c r="H32">
        <f>+E32</f>
        <v>318</v>
      </c>
      <c r="I32" s="596">
        <f>+'9'!N37</f>
        <v>43.844000000000001</v>
      </c>
    </row>
    <row r="33" spans="1:9">
      <c r="A33" s="559"/>
      <c r="B33" t="s">
        <v>434</v>
      </c>
      <c r="C33">
        <v>2</v>
      </c>
      <c r="D33" t="s">
        <v>544</v>
      </c>
      <c r="E33">
        <f>107*3</f>
        <v>321</v>
      </c>
      <c r="F33">
        <v>8</v>
      </c>
      <c r="G33">
        <f>+E33*F33</f>
        <v>2568</v>
      </c>
      <c r="H33">
        <f>+E33</f>
        <v>321</v>
      </c>
      <c r="I33" s="596">
        <f>+'9'!N38</f>
        <v>13.723000000000001</v>
      </c>
    </row>
    <row r="34" spans="1:9">
      <c r="A34" s="559"/>
      <c r="B34" t="s">
        <v>545</v>
      </c>
      <c r="C34">
        <v>2</v>
      </c>
      <c r="D34" t="s">
        <v>546</v>
      </c>
      <c r="E34">
        <f>63+84*3</f>
        <v>315</v>
      </c>
      <c r="F34">
        <v>5</v>
      </c>
      <c r="G34">
        <f>+E34*F34</f>
        <v>1575</v>
      </c>
      <c r="H34">
        <f>+E34</f>
        <v>315</v>
      </c>
      <c r="I34" s="596">
        <f>+'9'!N39</f>
        <v>12.212</v>
      </c>
    </row>
    <row r="35" spans="1:9" ht="13.5" thickBot="1">
      <c r="A35" s="416"/>
      <c r="B35" s="417"/>
      <c r="C35" s="418"/>
      <c r="D35" s="419"/>
      <c r="E35" s="418"/>
      <c r="F35" s="418"/>
      <c r="G35" s="418"/>
      <c r="H35" s="595"/>
      <c r="I35" s="597"/>
    </row>
    <row r="36" spans="1:9">
      <c r="A36" s="559">
        <v>45940</v>
      </c>
      <c r="B36" t="s">
        <v>545</v>
      </c>
      <c r="C36">
        <v>2</v>
      </c>
      <c r="D36" t="s">
        <v>546</v>
      </c>
      <c r="E36">
        <f>63+84*3</f>
        <v>315</v>
      </c>
      <c r="F36">
        <f>16+17+8</f>
        <v>41</v>
      </c>
      <c r="G36">
        <f>+E36*F36</f>
        <v>12915</v>
      </c>
      <c r="H36">
        <f>+E36</f>
        <v>315</v>
      </c>
      <c r="I36" s="596">
        <f>+'10'!N37</f>
        <v>47.343999999999994</v>
      </c>
    </row>
    <row r="37" spans="1:9">
      <c r="A37" s="559"/>
      <c r="B37" t="s">
        <v>558</v>
      </c>
      <c r="C37">
        <v>2</v>
      </c>
      <c r="D37" t="s">
        <v>559</v>
      </c>
      <c r="E37">
        <f>114*2+95</f>
        <v>323</v>
      </c>
      <c r="F37">
        <v>4</v>
      </c>
      <c r="G37">
        <f>+E37*F37</f>
        <v>1292</v>
      </c>
      <c r="H37" s="601">
        <f>+(E37*F37+E38*F38)/(SUM(F37:F38))</f>
        <v>322.16666666666669</v>
      </c>
      <c r="I37" s="596">
        <f>+'10'!N38</f>
        <v>20.950000000000003</v>
      </c>
    </row>
    <row r="38" spans="1:9">
      <c r="A38" s="559"/>
      <c r="B38" t="s">
        <v>558</v>
      </c>
      <c r="C38">
        <v>2</v>
      </c>
      <c r="D38" t="s">
        <v>560</v>
      </c>
      <c r="E38">
        <f>150.5+171</f>
        <v>321.5</v>
      </c>
      <c r="F38">
        <v>5</v>
      </c>
      <c r="G38">
        <f>+E38*F38</f>
        <v>1607.5</v>
      </c>
      <c r="I38" s="596"/>
    </row>
    <row r="39" spans="1:9" ht="13.5" thickBot="1">
      <c r="A39" s="416"/>
      <c r="B39" s="417"/>
      <c r="C39" s="418"/>
      <c r="D39" s="419"/>
      <c r="E39" s="418"/>
      <c r="F39" s="418"/>
      <c r="G39" s="418"/>
      <c r="H39" s="595"/>
      <c r="I39" s="597"/>
    </row>
    <row r="40" spans="1:9">
      <c r="A40" s="559">
        <v>45941</v>
      </c>
      <c r="B40" t="s">
        <v>558</v>
      </c>
      <c r="C40">
        <v>2</v>
      </c>
      <c r="D40" t="s">
        <v>559</v>
      </c>
      <c r="E40">
        <f>114*2+95</f>
        <v>323</v>
      </c>
      <c r="F40">
        <v>5</v>
      </c>
      <c r="G40">
        <f>+E40*F40</f>
        <v>1615</v>
      </c>
      <c r="H40" s="601">
        <f>+(E40*F40+E41*F41)/(SUM(F40:F41))</f>
        <v>322.4375</v>
      </c>
      <c r="I40" s="596">
        <f>+'11'!N37</f>
        <v>1.3089999999999999</v>
      </c>
    </row>
    <row r="41" spans="1:9">
      <c r="A41" s="559"/>
      <c r="B41" t="s">
        <v>558</v>
      </c>
      <c r="C41">
        <v>2</v>
      </c>
      <c r="D41" t="s">
        <v>560</v>
      </c>
      <c r="E41">
        <f>150.5+171</f>
        <v>321.5</v>
      </c>
      <c r="F41">
        <v>3</v>
      </c>
      <c r="G41">
        <f>+E41*F41</f>
        <v>964.5</v>
      </c>
      <c r="I41" s="596"/>
    </row>
    <row r="42" spans="1:9">
      <c r="A42" s="559"/>
      <c r="B42" t="s">
        <v>588</v>
      </c>
      <c r="C42">
        <v>2</v>
      </c>
      <c r="D42" t="s">
        <v>597</v>
      </c>
      <c r="E42">
        <f>256+63.5</f>
        <v>319.5</v>
      </c>
      <c r="F42">
        <f>11+19+16</f>
        <v>46</v>
      </c>
      <c r="G42">
        <f>+E42*F42</f>
        <v>14697</v>
      </c>
      <c r="H42">
        <f>+G42/F42</f>
        <v>319.5</v>
      </c>
      <c r="I42" s="596">
        <f>+'11'!N38</f>
        <v>62.680000000000007</v>
      </c>
    </row>
    <row r="43" spans="1:9" ht="13.5" thickBot="1">
      <c r="A43" s="416"/>
      <c r="B43" s="417"/>
      <c r="C43" s="418"/>
      <c r="D43" s="419"/>
      <c r="E43" s="418"/>
      <c r="F43" s="418"/>
      <c r="G43" s="418"/>
      <c r="H43" s="595"/>
      <c r="I43" s="597"/>
    </row>
    <row r="44" spans="1:9">
      <c r="A44" s="559">
        <v>45942</v>
      </c>
      <c r="B44" t="s">
        <v>588</v>
      </c>
      <c r="C44">
        <v>2</v>
      </c>
      <c r="D44" t="s">
        <v>597</v>
      </c>
      <c r="E44">
        <f>256+63.5</f>
        <v>319.5</v>
      </c>
      <c r="F44">
        <f>15+12+19</f>
        <v>46</v>
      </c>
      <c r="G44">
        <f>+E44*F44</f>
        <v>14697</v>
      </c>
      <c r="H44">
        <f>+G44/F44</f>
        <v>319.5</v>
      </c>
      <c r="I44" s="596">
        <f>+'12'!I38</f>
        <v>51.963000000000001</v>
      </c>
    </row>
    <row r="45" spans="1:9" ht="13.5" thickBot="1">
      <c r="A45" s="416"/>
      <c r="B45" s="417"/>
      <c r="C45" s="418"/>
      <c r="D45" s="419"/>
      <c r="E45" s="418"/>
      <c r="F45" s="418"/>
      <c r="G45" s="418"/>
      <c r="H45" s="595"/>
      <c r="I45" s="597"/>
    </row>
    <row r="46" spans="1:9">
      <c r="A46" s="559">
        <v>45943</v>
      </c>
      <c r="B46" t="s">
        <v>588</v>
      </c>
      <c r="C46">
        <v>2</v>
      </c>
      <c r="D46" t="s">
        <v>597</v>
      </c>
      <c r="E46">
        <f>256+63.5</f>
        <v>319.5</v>
      </c>
      <c r="F46">
        <v>47</v>
      </c>
      <c r="G46">
        <f>+E46*F46</f>
        <v>15016.5</v>
      </c>
      <c r="H46">
        <f>+G46/F46</f>
        <v>319.5</v>
      </c>
      <c r="I46" s="596">
        <f>+'13'!I38</f>
        <v>58.326000000000008</v>
      </c>
    </row>
    <row r="47" spans="1:9" ht="13.5" thickBot="1">
      <c r="A47" s="416"/>
      <c r="B47" s="417"/>
      <c r="C47" s="418"/>
      <c r="D47" s="419"/>
      <c r="E47" s="418"/>
      <c r="F47" s="418"/>
      <c r="G47" s="418"/>
      <c r="H47" s="595"/>
      <c r="I47" s="597"/>
    </row>
    <row r="48" spans="1:9">
      <c r="A48" s="559">
        <v>45944</v>
      </c>
      <c r="B48" t="s">
        <v>588</v>
      </c>
      <c r="C48">
        <v>2</v>
      </c>
      <c r="D48" t="s">
        <v>597</v>
      </c>
      <c r="E48">
        <f>256+63.5</f>
        <v>319.5</v>
      </c>
      <c r="F48">
        <v>47</v>
      </c>
      <c r="G48">
        <f>+E48*F48</f>
        <v>15016.5</v>
      </c>
      <c r="H48">
        <f>+G48/F48</f>
        <v>319.5</v>
      </c>
      <c r="I48" s="596">
        <f>+'14'!N37</f>
        <v>21.090000000000003</v>
      </c>
    </row>
    <row r="49" spans="1:9">
      <c r="A49" s="559"/>
      <c r="B49" t="s">
        <v>545</v>
      </c>
      <c r="C49">
        <v>2</v>
      </c>
      <c r="D49" t="s">
        <v>613</v>
      </c>
      <c r="E49">
        <f>84*3+63</f>
        <v>315</v>
      </c>
      <c r="F49">
        <f>15+16</f>
        <v>31</v>
      </c>
      <c r="G49">
        <f>+E49*F49</f>
        <v>9765</v>
      </c>
      <c r="H49">
        <f>+G49/F49</f>
        <v>315</v>
      </c>
      <c r="I49" s="596">
        <f>+'14'!N38</f>
        <v>45.03</v>
      </c>
    </row>
    <row r="50" spans="1:9" ht="13.5" thickBot="1">
      <c r="A50" s="416"/>
      <c r="B50" s="417"/>
      <c r="C50" s="418"/>
      <c r="D50" s="419"/>
      <c r="E50" s="418"/>
      <c r="F50" s="418"/>
      <c r="G50" s="418"/>
      <c r="H50" s="595"/>
      <c r="I50" s="597"/>
    </row>
    <row r="51" spans="1:9">
      <c r="A51" s="559">
        <v>45945</v>
      </c>
      <c r="B51" t="s">
        <v>545</v>
      </c>
      <c r="C51">
        <v>2</v>
      </c>
      <c r="D51" t="s">
        <v>613</v>
      </c>
      <c r="E51">
        <f>84*3+63</f>
        <v>315</v>
      </c>
      <c r="F51">
        <v>8</v>
      </c>
      <c r="G51">
        <f>+E51*F51</f>
        <v>2520</v>
      </c>
      <c r="H51">
        <f>+G51/F51</f>
        <v>315</v>
      </c>
      <c r="I51" s="596">
        <f>+'15'!N37</f>
        <v>4.82</v>
      </c>
    </row>
    <row r="52" spans="1:9">
      <c r="A52" s="559"/>
      <c r="B52" t="s">
        <v>497</v>
      </c>
      <c r="C52">
        <v>2</v>
      </c>
      <c r="D52" t="s">
        <v>626</v>
      </c>
      <c r="E52">
        <f>24+51*2+25.5*8</f>
        <v>330</v>
      </c>
      <c r="F52">
        <f>6+18+1</f>
        <v>25</v>
      </c>
      <c r="G52">
        <f>+E52*F52</f>
        <v>8250</v>
      </c>
      <c r="H52">
        <f>+G52/F52</f>
        <v>330</v>
      </c>
      <c r="I52" s="596">
        <f>+'15'!N38</f>
        <v>28.919</v>
      </c>
    </row>
    <row r="53" spans="1:9">
      <c r="A53" s="559"/>
      <c r="B53" t="s">
        <v>627</v>
      </c>
      <c r="C53">
        <v>2</v>
      </c>
      <c r="D53" t="s">
        <v>628</v>
      </c>
      <c r="E53">
        <f>23*4+46*5</f>
        <v>322</v>
      </c>
      <c r="F53">
        <f>72/4</f>
        <v>18</v>
      </c>
      <c r="G53">
        <f>+E53*F53</f>
        <v>5796</v>
      </c>
      <c r="H53">
        <f>+G53/F53</f>
        <v>322</v>
      </c>
      <c r="I53" s="596">
        <f>+'15'!N39</f>
        <v>20.196000000000002</v>
      </c>
    </row>
    <row r="54" spans="1:9" ht="13.5" thickBot="1">
      <c r="A54" s="416"/>
      <c r="B54" s="417"/>
      <c r="C54" s="418"/>
      <c r="D54" s="419"/>
      <c r="E54" s="418"/>
      <c r="F54" s="418"/>
      <c r="G54" s="418"/>
      <c r="H54" s="595"/>
      <c r="I54" s="597"/>
    </row>
    <row r="55" spans="1:9">
      <c r="A55" s="559">
        <v>45946</v>
      </c>
      <c r="B55" t="s">
        <v>627</v>
      </c>
      <c r="C55">
        <v>2</v>
      </c>
      <c r="D55" t="s">
        <v>628</v>
      </c>
      <c r="E55">
        <f>23*4+46*5</f>
        <v>322</v>
      </c>
      <c r="F55">
        <f>5+90+45</f>
        <v>140</v>
      </c>
      <c r="G55">
        <f>+E55*F55</f>
        <v>45080</v>
      </c>
      <c r="H55">
        <f>+G55/F55</f>
        <v>322</v>
      </c>
      <c r="I55" s="596">
        <f>+'16'!I38</f>
        <v>51.15</v>
      </c>
    </row>
    <row r="56" spans="1:9" ht="13.5" thickBot="1">
      <c r="A56" s="416"/>
      <c r="B56" s="417"/>
      <c r="C56" s="418"/>
      <c r="D56" s="419"/>
      <c r="E56" s="418"/>
      <c r="F56" s="418"/>
      <c r="G56" s="418"/>
      <c r="H56" s="595"/>
      <c r="I56" s="597"/>
    </row>
    <row r="57" spans="1:9">
      <c r="A57" s="559">
        <v>45947</v>
      </c>
      <c r="B57" t="s">
        <v>627</v>
      </c>
      <c r="C57">
        <v>2</v>
      </c>
      <c r="D57" s="604" t="s">
        <v>657</v>
      </c>
      <c r="E57" s="604">
        <f>46*5+23*4</f>
        <v>322</v>
      </c>
      <c r="F57">
        <v>6</v>
      </c>
      <c r="G57">
        <f>+E57*F57</f>
        <v>1932</v>
      </c>
      <c r="H57" s="601">
        <f>+(E57*F57+E58*F58)/(SUM(F57:F58))</f>
        <v>320.70588235294116</v>
      </c>
      <c r="I57" s="596">
        <f>+'17'!N37</f>
        <v>4.9319999999999995</v>
      </c>
    </row>
    <row r="58" spans="1:9">
      <c r="A58" s="559"/>
      <c r="B58" t="s">
        <v>627</v>
      </c>
      <c r="C58">
        <v>2</v>
      </c>
      <c r="D58" s="604" t="s">
        <v>660</v>
      </c>
      <c r="E58" s="604">
        <f>80*4</f>
        <v>320</v>
      </c>
      <c r="F58">
        <f>6+5</f>
        <v>11</v>
      </c>
      <c r="G58">
        <f>+E58*F58</f>
        <v>3520</v>
      </c>
      <c r="I58" s="596"/>
    </row>
    <row r="59" spans="1:9">
      <c r="A59" s="559"/>
      <c r="B59" t="s">
        <v>658</v>
      </c>
      <c r="C59">
        <v>2</v>
      </c>
      <c r="D59" s="604" t="s">
        <v>659</v>
      </c>
      <c r="E59" s="604">
        <f>165*2</f>
        <v>330</v>
      </c>
      <c r="F59">
        <f>2+11</f>
        <v>13</v>
      </c>
      <c r="G59">
        <f>+E59*F59</f>
        <v>4290</v>
      </c>
      <c r="H59" s="601">
        <f>+(E59*F59+E60*F60)/(SUM(F59:F60))</f>
        <v>329.46428571428572</v>
      </c>
      <c r="I59" s="596">
        <f>+'17'!N38</f>
        <v>35.475999999999999</v>
      </c>
    </row>
    <row r="60" spans="1:9">
      <c r="A60" s="559"/>
      <c r="B60" t="s">
        <v>658</v>
      </c>
      <c r="C60">
        <v>2</v>
      </c>
      <c r="D60" s="604" t="s">
        <v>661</v>
      </c>
      <c r="E60" s="604">
        <f>115*2+99</f>
        <v>329</v>
      </c>
      <c r="F60">
        <f>2+6+7</f>
        <v>15</v>
      </c>
      <c r="G60">
        <f>+E60*F60</f>
        <v>4935</v>
      </c>
      <c r="I60" s="596"/>
    </row>
    <row r="61" spans="1:9" ht="13.5" thickBot="1">
      <c r="A61" s="416"/>
      <c r="B61" s="417"/>
      <c r="C61" s="418"/>
      <c r="D61" s="419"/>
      <c r="E61" s="418"/>
      <c r="F61" s="418"/>
      <c r="G61" s="418"/>
      <c r="H61" s="595"/>
      <c r="I61" s="597"/>
    </row>
    <row r="62" spans="1:9">
      <c r="A62" s="559">
        <v>45948</v>
      </c>
      <c r="B62" t="s">
        <v>658</v>
      </c>
      <c r="C62">
        <v>2</v>
      </c>
      <c r="D62" s="604" t="s">
        <v>661</v>
      </c>
      <c r="E62" s="604">
        <f>115*2+99</f>
        <v>329</v>
      </c>
      <c r="F62">
        <f>8+17</f>
        <v>25</v>
      </c>
      <c r="G62">
        <f>+E62*F62</f>
        <v>8225</v>
      </c>
      <c r="H62" s="601">
        <f>+G62/F62</f>
        <v>329</v>
      </c>
      <c r="I62" s="596">
        <f>+'18'!I38</f>
        <v>25.956000000000003</v>
      </c>
    </row>
    <row r="63" spans="1:9" ht="13.5" thickBot="1">
      <c r="A63" s="416"/>
      <c r="B63" s="417"/>
      <c r="C63" s="418"/>
      <c r="D63" s="419"/>
      <c r="E63" s="418"/>
      <c r="F63" s="418"/>
      <c r="G63" s="418"/>
      <c r="H63" s="595"/>
      <c r="I63" s="597"/>
    </row>
    <row r="64" spans="1:9">
      <c r="A64" s="559">
        <v>45949</v>
      </c>
      <c r="B64" t="s">
        <v>658</v>
      </c>
      <c r="C64">
        <v>2</v>
      </c>
      <c r="D64" s="604" t="s">
        <v>661</v>
      </c>
      <c r="E64" s="604">
        <f>115*2+99</f>
        <v>329</v>
      </c>
      <c r="F64">
        <f>17+16+16</f>
        <v>49</v>
      </c>
      <c r="G64">
        <f>+E64*F64</f>
        <v>16121</v>
      </c>
      <c r="H64" s="601">
        <f>+G64/F64</f>
        <v>329</v>
      </c>
      <c r="I64" s="596">
        <f>+'19'!I38</f>
        <v>50.688000000000002</v>
      </c>
    </row>
    <row r="65" spans="1:9" ht="13.5" thickBot="1">
      <c r="A65" s="416"/>
      <c r="B65" s="417"/>
      <c r="C65" s="418"/>
      <c r="D65" s="419"/>
      <c r="E65" s="418"/>
      <c r="F65" s="418"/>
      <c r="G65" s="418"/>
      <c r="H65" s="595"/>
      <c r="I65" s="597"/>
    </row>
    <row r="66" spans="1:9">
      <c r="A66" s="559">
        <v>45950</v>
      </c>
      <c r="B66" t="s">
        <v>658</v>
      </c>
      <c r="C66">
        <v>2</v>
      </c>
      <c r="D66" s="604" t="s">
        <v>661</v>
      </c>
      <c r="E66" s="604">
        <f>115*2+99</f>
        <v>329</v>
      </c>
      <c r="F66">
        <f>16+15+18</f>
        <v>49</v>
      </c>
      <c r="G66">
        <f>+E66*F66</f>
        <v>16121</v>
      </c>
      <c r="H66" s="601">
        <f>+G66/F66</f>
        <v>329</v>
      </c>
      <c r="I66" s="596">
        <f>+'20'!I38</f>
        <v>49.361999999999995</v>
      </c>
    </row>
    <row r="67" spans="1:9" ht="13.5" thickBot="1">
      <c r="A67" s="416"/>
      <c r="B67" s="417"/>
      <c r="C67" s="418"/>
      <c r="D67" s="419"/>
      <c r="E67" s="418"/>
      <c r="F67" s="418"/>
      <c r="G67" s="418"/>
      <c r="H67" s="595"/>
      <c r="I67" s="597"/>
    </row>
    <row r="68" spans="1:9">
      <c r="A68" s="559">
        <v>45951</v>
      </c>
      <c r="B68" t="s">
        <v>658</v>
      </c>
      <c r="C68">
        <v>2</v>
      </c>
      <c r="D68" s="604" t="s">
        <v>661</v>
      </c>
      <c r="E68" s="604">
        <f>115*2+99</f>
        <v>329</v>
      </c>
      <c r="F68">
        <v>11</v>
      </c>
      <c r="G68">
        <f>+E68*F68</f>
        <v>3619</v>
      </c>
      <c r="H68" s="601">
        <f>+G68/F68</f>
        <v>329</v>
      </c>
      <c r="I68" s="596">
        <f>+'21'!N37</f>
        <v>9.3800000000000008</v>
      </c>
    </row>
    <row r="69" spans="1:9">
      <c r="A69" s="559"/>
      <c r="B69" t="s">
        <v>497</v>
      </c>
      <c r="C69">
        <v>2</v>
      </c>
      <c r="D69" s="604" t="s">
        <v>680</v>
      </c>
      <c r="E69" s="604">
        <f>162*2</f>
        <v>324</v>
      </c>
      <c r="F69">
        <v>34</v>
      </c>
      <c r="G69">
        <f>+E69*F69</f>
        <v>11016</v>
      </c>
      <c r="H69" s="601">
        <f>+G69/F69</f>
        <v>324</v>
      </c>
      <c r="I69" s="596">
        <f>+'21'!N38</f>
        <v>39.814</v>
      </c>
    </row>
    <row r="70" spans="1:9">
      <c r="A70" s="559"/>
      <c r="B70" t="s">
        <v>627</v>
      </c>
      <c r="C70">
        <v>2</v>
      </c>
      <c r="D70" s="604" t="s">
        <v>466</v>
      </c>
      <c r="E70" s="604">
        <f>40*8</f>
        <v>320</v>
      </c>
      <c r="F70">
        <v>5</v>
      </c>
      <c r="G70">
        <f>+E70*F70</f>
        <v>1600</v>
      </c>
      <c r="H70" s="601">
        <f>+G70/F70</f>
        <v>320</v>
      </c>
      <c r="I70" s="596">
        <f>+'21'!N39</f>
        <v>3.4109999999999996</v>
      </c>
    </row>
    <row r="71" spans="1:9" ht="13.5" thickBot="1">
      <c r="A71" s="416"/>
      <c r="B71" s="417"/>
      <c r="C71" s="418"/>
      <c r="D71" s="419"/>
      <c r="E71" s="418"/>
      <c r="F71" s="418"/>
      <c r="G71" s="418"/>
      <c r="H71" s="595"/>
      <c r="I71" s="597"/>
    </row>
    <row r="72" spans="1:9">
      <c r="A72" s="559">
        <v>45952</v>
      </c>
      <c r="B72" t="s">
        <v>627</v>
      </c>
      <c r="C72">
        <v>2</v>
      </c>
      <c r="D72" s="604" t="s">
        <v>466</v>
      </c>
      <c r="E72" s="604">
        <f>40*8</f>
        <v>320</v>
      </c>
      <c r="F72">
        <f>144/8</f>
        <v>18</v>
      </c>
      <c r="G72">
        <f>+E72*F72</f>
        <v>5760</v>
      </c>
      <c r="H72" s="601">
        <f>+G72/F72</f>
        <v>320</v>
      </c>
      <c r="I72" s="596">
        <f>+'22'!N37</f>
        <v>16.75</v>
      </c>
    </row>
    <row r="73" spans="1:9">
      <c r="A73" s="559"/>
      <c r="B73" t="s">
        <v>692</v>
      </c>
      <c r="C73">
        <v>2</v>
      </c>
      <c r="D73" s="604" t="s">
        <v>694</v>
      </c>
      <c r="E73" s="604">
        <f>41*8</f>
        <v>328</v>
      </c>
      <c r="F73">
        <f>96/2</f>
        <v>48</v>
      </c>
      <c r="G73">
        <f>+E73*F73</f>
        <v>15744</v>
      </c>
      <c r="H73" s="601">
        <f>+G73/F73</f>
        <v>328</v>
      </c>
      <c r="I73" s="596">
        <f>+'22'!N38</f>
        <v>12.154</v>
      </c>
    </row>
    <row r="74" spans="1:9">
      <c r="A74" s="559"/>
      <c r="B74" t="s">
        <v>693</v>
      </c>
      <c r="C74">
        <v>2</v>
      </c>
      <c r="D74" s="604" t="s">
        <v>695</v>
      </c>
      <c r="E74" s="604">
        <f>164.5*2</f>
        <v>329</v>
      </c>
      <c r="F74">
        <v>14</v>
      </c>
      <c r="G74">
        <f>+E74*F74</f>
        <v>4606</v>
      </c>
      <c r="H74" s="601">
        <f>+G74/F74</f>
        <v>329</v>
      </c>
      <c r="I74" s="596">
        <f>+'22'!N39</f>
        <v>31.046999999999993</v>
      </c>
    </row>
    <row r="75" spans="1:9" ht="13.5" thickBot="1">
      <c r="A75" s="416"/>
      <c r="B75" s="417"/>
      <c r="C75" s="418"/>
      <c r="D75" s="419"/>
      <c r="E75" s="418"/>
      <c r="F75" s="418"/>
      <c r="G75" s="418"/>
      <c r="H75" s="595"/>
      <c r="I75" s="597"/>
    </row>
    <row r="76" spans="1:9">
      <c r="A76" s="559">
        <v>45953</v>
      </c>
      <c r="B76" t="s">
        <v>693</v>
      </c>
      <c r="C76">
        <v>2</v>
      </c>
      <c r="D76" s="604" t="s">
        <v>695</v>
      </c>
      <c r="E76" s="604">
        <f>164.5*2</f>
        <v>329</v>
      </c>
      <c r="F76">
        <f>32+36+32</f>
        <v>100</v>
      </c>
      <c r="G76">
        <f>+E76*F76</f>
        <v>32900</v>
      </c>
      <c r="H76" s="601">
        <f>+G76/F76</f>
        <v>329</v>
      </c>
      <c r="I76" s="596">
        <f>+'23'!I38</f>
        <v>68.073999999999998</v>
      </c>
    </row>
    <row r="77" spans="1:9" ht="13.5" thickBot="1">
      <c r="A77" s="416"/>
      <c r="B77" s="417"/>
      <c r="C77" s="418"/>
      <c r="D77" s="419"/>
      <c r="E77" s="418"/>
      <c r="F77" s="418"/>
      <c r="G77" s="418"/>
      <c r="H77" s="595"/>
      <c r="I77" s="597"/>
    </row>
    <row r="78" spans="1:9">
      <c r="A78" s="559">
        <v>45954</v>
      </c>
      <c r="B78" t="s">
        <v>693</v>
      </c>
      <c r="C78">
        <v>2</v>
      </c>
      <c r="D78" s="604" t="s">
        <v>695</v>
      </c>
      <c r="E78" s="604">
        <f>164.5*2</f>
        <v>329</v>
      </c>
      <c r="F78">
        <v>6</v>
      </c>
      <c r="G78">
        <f>+E78*F78</f>
        <v>1974</v>
      </c>
      <c r="H78" s="601">
        <f>+G78/F78</f>
        <v>329</v>
      </c>
      <c r="I78" s="596">
        <f>+'24'!N37</f>
        <v>4.4450000000000003</v>
      </c>
    </row>
    <row r="79" spans="1:9">
      <c r="A79" s="559"/>
      <c r="B79" t="s">
        <v>434</v>
      </c>
      <c r="C79">
        <v>2</v>
      </c>
      <c r="D79" s="604" t="s">
        <v>659</v>
      </c>
      <c r="E79" s="604">
        <f>164.5*2</f>
        <v>329</v>
      </c>
      <c r="F79">
        <f>56/2</f>
        <v>28</v>
      </c>
      <c r="G79">
        <f>+E79*F79</f>
        <v>9212</v>
      </c>
      <c r="H79" s="601">
        <f>+(E79*F79+E80*F80+E81*F81)/(SUM(F79:F81))</f>
        <v>327.95652173913044</v>
      </c>
      <c r="I79" s="596">
        <f>+'24'!N38</f>
        <v>65.843999999999994</v>
      </c>
    </row>
    <row r="80" spans="1:9">
      <c r="A80" s="559"/>
      <c r="B80" t="s">
        <v>434</v>
      </c>
      <c r="C80">
        <v>2</v>
      </c>
      <c r="D80" s="604" t="s">
        <v>704</v>
      </c>
      <c r="E80" s="604">
        <f>246+63+21</f>
        <v>330</v>
      </c>
      <c r="F80">
        <v>12</v>
      </c>
      <c r="G80">
        <f>+E80*F80</f>
        <v>3960</v>
      </c>
      <c r="I80" s="596"/>
    </row>
    <row r="81" spans="1:14">
      <c r="A81" s="559"/>
      <c r="B81" t="s">
        <v>434</v>
      </c>
      <c r="C81">
        <v>2</v>
      </c>
      <c r="D81" s="604" t="s">
        <v>705</v>
      </c>
      <c r="E81" s="604">
        <f>125+97*2</f>
        <v>319</v>
      </c>
      <c r="F81">
        <v>6</v>
      </c>
      <c r="G81">
        <f>+E81*F81</f>
        <v>1914</v>
      </c>
      <c r="I81" s="596"/>
    </row>
    <row r="82" spans="1:14" ht="13.5" thickBot="1">
      <c r="A82" s="416"/>
      <c r="B82" s="417"/>
      <c r="C82" s="418"/>
      <c r="D82" s="419"/>
      <c r="E82" s="418"/>
      <c r="F82" s="418"/>
      <c r="G82" s="418"/>
      <c r="H82" s="595"/>
      <c r="I82" s="597"/>
    </row>
    <row r="83" spans="1:14">
      <c r="A83" s="559">
        <v>45955</v>
      </c>
      <c r="B83" t="s">
        <v>434</v>
      </c>
      <c r="C83">
        <v>2</v>
      </c>
      <c r="D83" s="604" t="s">
        <v>705</v>
      </c>
      <c r="E83" s="604">
        <f>125+97*2</f>
        <v>319</v>
      </c>
      <c r="F83">
        <f>13+16+18</f>
        <v>47</v>
      </c>
      <c r="G83">
        <f>+E83*F83</f>
        <v>14993</v>
      </c>
      <c r="H83" s="601">
        <f>+(E83*F83+E84*F84)/(SUM(F83:F84))</f>
        <v>319.44897959183675</v>
      </c>
      <c r="I83" s="596">
        <f>+'25'!I38</f>
        <v>65.78</v>
      </c>
    </row>
    <row r="84" spans="1:14">
      <c r="A84" s="559"/>
      <c r="B84" t="s">
        <v>434</v>
      </c>
      <c r="C84">
        <v>2</v>
      </c>
      <c r="D84" s="604" t="s">
        <v>704</v>
      </c>
      <c r="E84" s="604">
        <f>246+63+21</f>
        <v>330</v>
      </c>
      <c r="F84">
        <v>2</v>
      </c>
      <c r="G84">
        <f>+E84*F84</f>
        <v>660</v>
      </c>
      <c r="I84" s="596"/>
    </row>
    <row r="85" spans="1:14" ht="13.5" thickBot="1">
      <c r="A85" s="416"/>
      <c r="B85" s="417"/>
      <c r="C85" s="418"/>
      <c r="D85" s="419"/>
      <c r="E85" s="418"/>
      <c r="F85" s="418"/>
      <c r="G85" s="418"/>
      <c r="H85" s="595"/>
      <c r="I85" s="597"/>
    </row>
    <row r="86" spans="1:14">
      <c r="A86" s="559">
        <v>45956</v>
      </c>
      <c r="B86" t="s">
        <v>434</v>
      </c>
      <c r="C86">
        <v>2</v>
      </c>
      <c r="D86" s="604" t="s">
        <v>705</v>
      </c>
      <c r="E86" s="604">
        <f>125+97*2</f>
        <v>319</v>
      </c>
      <c r="F86">
        <f>12+17</f>
        <v>29</v>
      </c>
      <c r="G86">
        <f>+E86*F86</f>
        <v>9251</v>
      </c>
      <c r="H86" s="601">
        <f>+(E86*F86+E87*F87)/(SUM(F86:F87))</f>
        <v>321.16666666666669</v>
      </c>
      <c r="I86" s="596">
        <f>+'26'!N37</f>
        <v>48.590999999999994</v>
      </c>
    </row>
    <row r="87" spans="1:14">
      <c r="A87" s="559"/>
      <c r="B87" t="s">
        <v>434</v>
      </c>
      <c r="C87">
        <v>2</v>
      </c>
      <c r="D87" s="604" t="s">
        <v>714</v>
      </c>
      <c r="E87" s="604">
        <f>163*2</f>
        <v>326</v>
      </c>
      <c r="F87">
        <v>13</v>
      </c>
      <c r="G87">
        <f>+E87*F87</f>
        <v>4238</v>
      </c>
      <c r="I87" s="596"/>
    </row>
    <row r="88" spans="1:14">
      <c r="A88" s="559"/>
      <c r="B88" t="s">
        <v>526</v>
      </c>
      <c r="C88">
        <v>2</v>
      </c>
      <c r="D88" s="604" t="s">
        <v>715</v>
      </c>
      <c r="E88" s="604">
        <f>120.5+97*2</f>
        <v>314.5</v>
      </c>
      <c r="F88">
        <v>9</v>
      </c>
      <c r="G88">
        <f>+E88*F88</f>
        <v>2830.5</v>
      </c>
      <c r="H88">
        <f>+G88/F88</f>
        <v>314.5</v>
      </c>
      <c r="I88" s="596">
        <f>+'26'!N38</f>
        <v>16.814000000000007</v>
      </c>
    </row>
    <row r="89" spans="1:14" ht="13.5" thickBot="1">
      <c r="A89" s="416"/>
      <c r="B89" s="417"/>
      <c r="C89" s="418"/>
      <c r="D89" s="419"/>
      <c r="E89" s="418"/>
      <c r="F89" s="418"/>
      <c r="G89" s="418"/>
      <c r="H89" s="595"/>
      <c r="I89" s="597"/>
    </row>
    <row r="90" spans="1:14">
      <c r="A90" s="559">
        <v>45957</v>
      </c>
      <c r="B90" t="s">
        <v>526</v>
      </c>
      <c r="C90">
        <v>2</v>
      </c>
      <c r="D90" s="604" t="s">
        <v>715</v>
      </c>
      <c r="E90" s="604">
        <f>120.5+97*2</f>
        <v>314.5</v>
      </c>
      <c r="F90">
        <f>15+16+13</f>
        <v>44</v>
      </c>
      <c r="G90">
        <f>+E90*F90</f>
        <v>13838</v>
      </c>
      <c r="H90">
        <f>+G90/F90</f>
        <v>314.5</v>
      </c>
      <c r="I90" s="596">
        <f>+'27'!I38</f>
        <v>59.100999999999999</v>
      </c>
      <c r="N90" t="s">
        <v>694</v>
      </c>
    </row>
    <row r="91" spans="1:14" ht="13.5" thickBot="1">
      <c r="A91" s="416"/>
      <c r="B91" s="417"/>
      <c r="C91" s="418"/>
      <c r="D91" s="419"/>
      <c r="E91" s="418"/>
      <c r="F91" s="418"/>
      <c r="G91" s="418"/>
      <c r="H91" s="595"/>
      <c r="I91" s="597"/>
    </row>
    <row r="92" spans="1:14">
      <c r="A92" s="559">
        <v>45958</v>
      </c>
      <c r="B92" t="s">
        <v>526</v>
      </c>
      <c r="C92">
        <v>2</v>
      </c>
      <c r="D92" s="604" t="s">
        <v>715</v>
      </c>
      <c r="E92" s="604">
        <f>120.5+97*2</f>
        <v>314.5</v>
      </c>
      <c r="F92">
        <v>8</v>
      </c>
      <c r="G92">
        <f>+E92*F92</f>
        <v>2516</v>
      </c>
      <c r="H92">
        <f>+G92/F92</f>
        <v>314.5</v>
      </c>
      <c r="I92" s="596">
        <f>+'28'!N37</f>
        <v>6.2279999999999998</v>
      </c>
    </row>
    <row r="93" spans="1:14">
      <c r="A93" s="559"/>
      <c r="B93" s="415" t="s">
        <v>527</v>
      </c>
      <c r="C93">
        <v>2</v>
      </c>
      <c r="D93" s="604" t="s">
        <v>735</v>
      </c>
      <c r="E93" s="604">
        <f>149+169</f>
        <v>318</v>
      </c>
      <c r="F93">
        <f>15+10+8</f>
        <v>33</v>
      </c>
      <c r="G93">
        <f>+E93*F93</f>
        <v>10494</v>
      </c>
      <c r="H93">
        <f>+G93/F93</f>
        <v>318</v>
      </c>
      <c r="I93" s="596">
        <f>+'28'!N38</f>
        <v>45.9</v>
      </c>
    </row>
    <row r="94" spans="1:14">
      <c r="A94" s="559"/>
      <c r="B94" s="415" t="s">
        <v>545</v>
      </c>
      <c r="C94">
        <v>2</v>
      </c>
      <c r="D94" s="604" t="s">
        <v>546</v>
      </c>
      <c r="E94" s="604">
        <f>63+84*3</f>
        <v>315</v>
      </c>
      <c r="F94">
        <v>7</v>
      </c>
      <c r="G94">
        <f>+E94*F94</f>
        <v>2205</v>
      </c>
      <c r="H94">
        <f>+G94/F94</f>
        <v>315</v>
      </c>
      <c r="I94" s="596">
        <f>+'28'!N39</f>
        <v>13.043999999999999</v>
      </c>
    </row>
    <row r="95" spans="1:14" ht="13.5" thickBot="1">
      <c r="A95" s="416"/>
      <c r="B95" s="417"/>
      <c r="C95" s="418"/>
      <c r="D95" s="419"/>
      <c r="E95" s="418"/>
      <c r="F95" s="418"/>
      <c r="G95" s="418"/>
      <c r="H95" s="595"/>
      <c r="I95" s="597"/>
    </row>
    <row r="96" spans="1:14">
      <c r="A96" s="559">
        <v>45959</v>
      </c>
      <c r="B96" s="415" t="s">
        <v>545</v>
      </c>
      <c r="C96">
        <v>2</v>
      </c>
      <c r="D96" s="604" t="s">
        <v>546</v>
      </c>
      <c r="E96" s="604">
        <f>63+84*3</f>
        <v>315</v>
      </c>
      <c r="F96">
        <v>10</v>
      </c>
      <c r="G96">
        <f>+E96*F96</f>
        <v>3150</v>
      </c>
      <c r="H96">
        <f>+G96/F96</f>
        <v>315</v>
      </c>
      <c r="I96" s="596">
        <f>+'29'!N37</f>
        <v>7.6560000000000006</v>
      </c>
    </row>
    <row r="97" spans="1:9">
      <c r="A97" s="559"/>
      <c r="B97" s="415" t="s">
        <v>742</v>
      </c>
      <c r="C97">
        <v>2</v>
      </c>
      <c r="D97" s="604" t="s">
        <v>743</v>
      </c>
      <c r="E97" s="604">
        <f>117*2+94</f>
        <v>328</v>
      </c>
      <c r="F97">
        <f>2+9</f>
        <v>11</v>
      </c>
      <c r="G97">
        <f>+E97*F97</f>
        <v>3608</v>
      </c>
      <c r="H97" s="601">
        <f>+(E97*F97+E98*F98)/(SUM(F97:F98))</f>
        <v>329.48837209302326</v>
      </c>
      <c r="I97" s="596">
        <f>+'29'!N38</f>
        <v>64.763999999999996</v>
      </c>
    </row>
    <row r="98" spans="1:9">
      <c r="A98" s="559"/>
      <c r="B98" s="415" t="s">
        <v>742</v>
      </c>
      <c r="C98">
        <v>2</v>
      </c>
      <c r="D98" s="604" t="s">
        <v>659</v>
      </c>
      <c r="E98" s="604">
        <f>165*2</f>
        <v>330</v>
      </c>
      <c r="F98">
        <v>32</v>
      </c>
      <c r="G98">
        <f>+E98*F98</f>
        <v>10560</v>
      </c>
      <c r="H98" s="601"/>
      <c r="I98" s="596"/>
    </row>
    <row r="99" spans="1:9" ht="13.5" thickBot="1">
      <c r="A99" s="416"/>
      <c r="B99" s="417"/>
      <c r="C99" s="418"/>
      <c r="D99" s="419"/>
      <c r="E99" s="418"/>
      <c r="F99" s="418"/>
      <c r="G99" s="418"/>
      <c r="H99" s="595"/>
      <c r="I99" s="597"/>
    </row>
    <row r="100" spans="1:9">
      <c r="A100" s="559">
        <v>45960</v>
      </c>
      <c r="B100" s="415" t="s">
        <v>742</v>
      </c>
      <c r="C100">
        <v>2</v>
      </c>
      <c r="D100" s="604" t="s">
        <v>659</v>
      </c>
      <c r="E100" s="604">
        <f>165*2</f>
        <v>330</v>
      </c>
      <c r="F100">
        <v>32</v>
      </c>
      <c r="G100">
        <f>+E100*F100</f>
        <v>10560</v>
      </c>
      <c r="H100">
        <f>+G100/F100</f>
        <v>330</v>
      </c>
      <c r="I100" s="596">
        <f>+'30'!N37</f>
        <v>19.283000000000001</v>
      </c>
    </row>
    <row r="101" spans="1:9">
      <c r="A101" s="559"/>
      <c r="B101" s="415" t="s">
        <v>753</v>
      </c>
      <c r="C101">
        <v>2</v>
      </c>
      <c r="D101" s="604" t="s">
        <v>680</v>
      </c>
      <c r="E101" s="604">
        <f>162*2</f>
        <v>324</v>
      </c>
      <c r="F101">
        <f>8+11</f>
        <v>19</v>
      </c>
      <c r="G101">
        <f>+E101*F101</f>
        <v>6156</v>
      </c>
      <c r="H101" s="601">
        <f>+(E101*F101+E102*F102)/(SUM(F101:F102))</f>
        <v>325</v>
      </c>
      <c r="I101" s="596">
        <f>+'30'!N38</f>
        <v>45.491</v>
      </c>
    </row>
    <row r="102" spans="1:9">
      <c r="A102" s="559"/>
      <c r="B102" s="415" t="s">
        <v>753</v>
      </c>
      <c r="C102">
        <v>2</v>
      </c>
      <c r="D102" s="604" t="s">
        <v>754</v>
      </c>
      <c r="E102" s="604">
        <f>114*2+98</f>
        <v>326</v>
      </c>
      <c r="F102">
        <f>11+8</f>
        <v>19</v>
      </c>
      <c r="G102">
        <f>+E102*F102</f>
        <v>6194</v>
      </c>
      <c r="I102" s="596"/>
    </row>
    <row r="103" spans="1:9">
      <c r="A103" s="559"/>
      <c r="B103" s="415" t="s">
        <v>692</v>
      </c>
      <c r="C103">
        <v>2</v>
      </c>
      <c r="D103" s="604" t="s">
        <v>694</v>
      </c>
      <c r="E103" s="604">
        <f>41*8</f>
        <v>328</v>
      </c>
      <c r="F103">
        <v>0</v>
      </c>
      <c r="G103">
        <v>0</v>
      </c>
      <c r="H103">
        <f>+E103</f>
        <v>328</v>
      </c>
      <c r="I103" s="596">
        <f>+'30'!N39</f>
        <v>4.1129999999999995</v>
      </c>
    </row>
    <row r="104" spans="1:9" ht="13.5" thickBot="1">
      <c r="A104" s="416"/>
      <c r="B104" s="417"/>
      <c r="C104" s="418"/>
      <c r="D104" s="419"/>
      <c r="E104" s="418"/>
      <c r="F104" s="418"/>
      <c r="G104" s="418"/>
      <c r="H104" s="595"/>
      <c r="I104" s="597"/>
    </row>
    <row r="105" spans="1:9">
      <c r="A105" s="559">
        <v>45961</v>
      </c>
      <c r="B105" s="415" t="s">
        <v>692</v>
      </c>
      <c r="C105">
        <v>2</v>
      </c>
      <c r="D105" s="604" t="s">
        <v>694</v>
      </c>
      <c r="E105" s="604">
        <f>41*8</f>
        <v>328</v>
      </c>
      <c r="F105">
        <v>15</v>
      </c>
      <c r="G105">
        <f>+E105*F105</f>
        <v>4920</v>
      </c>
      <c r="H105">
        <f>+G105/F105</f>
        <v>328</v>
      </c>
      <c r="I105" s="596">
        <f>+'31'!N37</f>
        <v>12.340000000000002</v>
      </c>
    </row>
    <row r="106" spans="1:9">
      <c r="A106" s="559"/>
      <c r="B106" s="415" t="s">
        <v>627</v>
      </c>
      <c r="C106">
        <v>2</v>
      </c>
      <c r="D106" s="604" t="s">
        <v>768</v>
      </c>
      <c r="E106" s="604">
        <f>117.5+23*9</f>
        <v>324.5</v>
      </c>
      <c r="F106">
        <f>9+4</f>
        <v>13</v>
      </c>
      <c r="G106">
        <f>+E106*F106</f>
        <v>4218.5</v>
      </c>
      <c r="H106" s="601">
        <f>+(E106*F106+E107*F107)/(SUM(F106:F107))</f>
        <v>322.625</v>
      </c>
      <c r="I106" s="596">
        <f>+'31'!N38</f>
        <v>33.17</v>
      </c>
    </row>
    <row r="107" spans="1:9">
      <c r="A107" s="559"/>
      <c r="B107" s="415" t="s">
        <v>627</v>
      </c>
      <c r="C107">
        <v>2</v>
      </c>
      <c r="D107" s="604" t="s">
        <v>769</v>
      </c>
      <c r="E107" s="604">
        <f>40*4+23*7</f>
        <v>321</v>
      </c>
      <c r="F107">
        <v>15</v>
      </c>
      <c r="G107">
        <f>+E107*F107</f>
        <v>4815</v>
      </c>
      <c r="H107" s="601"/>
      <c r="I107" s="596"/>
    </row>
    <row r="108" spans="1:9" ht="13.5" thickBot="1">
      <c r="A108" s="416"/>
      <c r="B108" s="417"/>
      <c r="C108" s="418"/>
      <c r="D108" s="419"/>
      <c r="E108" s="418"/>
      <c r="F108" s="418"/>
      <c r="G108" s="418"/>
      <c r="H108" s="595"/>
      <c r="I108" s="597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CS196"/>
  <sheetViews>
    <sheetView zoomScale="90" zoomScaleNormal="90" workbookViewId="0">
      <pane xSplit="6" ySplit="6" topLeftCell="P157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K163" sqref="K163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bestFit="1" customWidth="1"/>
    <col min="17" max="17" width="12.7109375" style="384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34" customWidth="1"/>
    <col min="25" max="25" width="10.140625" style="34" customWidth="1"/>
    <col min="26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176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31"/>
      <c r="Y1" s="31"/>
      <c r="Z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31"/>
      <c r="Y2" s="31"/>
      <c r="Z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53" t="s">
        <v>9</v>
      </c>
      <c r="B3" s="653" t="s">
        <v>10</v>
      </c>
      <c r="C3" s="653" t="s">
        <v>199</v>
      </c>
      <c r="D3" s="653" t="s">
        <v>93</v>
      </c>
      <c r="E3" s="653" t="s">
        <v>94</v>
      </c>
      <c r="F3" s="653" t="s">
        <v>95</v>
      </c>
      <c r="G3" s="658" t="s">
        <v>96</v>
      </c>
      <c r="H3" s="659"/>
      <c r="I3" s="659"/>
      <c r="J3" s="659"/>
      <c r="K3" s="660"/>
      <c r="L3" s="664" t="s">
        <v>97</v>
      </c>
      <c r="M3" s="665"/>
      <c r="N3" s="666"/>
      <c r="O3" s="670" t="s">
        <v>98</v>
      </c>
      <c r="P3" s="655" t="s">
        <v>110</v>
      </c>
      <c r="Q3" s="670" t="s">
        <v>99</v>
      </c>
      <c r="R3" s="672" t="s">
        <v>100</v>
      </c>
      <c r="S3" s="672" t="s">
        <v>101</v>
      </c>
      <c r="T3" s="653" t="s">
        <v>154</v>
      </c>
      <c r="U3" s="653" t="s">
        <v>153</v>
      </c>
      <c r="V3" s="653" t="s">
        <v>155</v>
      </c>
      <c r="W3" s="672" t="s">
        <v>145</v>
      </c>
      <c r="X3" s="681" t="s">
        <v>103</v>
      </c>
      <c r="Y3" s="681" t="s">
        <v>291</v>
      </c>
      <c r="Z3" s="672" t="s">
        <v>104</v>
      </c>
      <c r="AA3" s="653" t="s">
        <v>156</v>
      </c>
      <c r="AB3" s="653" t="s">
        <v>167</v>
      </c>
      <c r="AC3" s="653" t="s">
        <v>165</v>
      </c>
      <c r="AD3" s="653" t="s">
        <v>128</v>
      </c>
      <c r="AE3" s="653" t="s">
        <v>129</v>
      </c>
      <c r="AF3" s="674" t="s">
        <v>130</v>
      </c>
      <c r="AG3" s="674"/>
      <c r="AH3" s="674"/>
      <c r="AI3" s="674"/>
      <c r="AJ3" s="674"/>
      <c r="AK3" s="674"/>
      <c r="AL3" s="674"/>
      <c r="AM3" s="695" t="s">
        <v>131</v>
      </c>
      <c r="AN3" s="704" t="s">
        <v>105</v>
      </c>
      <c r="AO3" s="704"/>
      <c r="AP3" s="704"/>
      <c r="AQ3" s="704"/>
      <c r="AR3" s="704"/>
      <c r="AS3" s="705" t="s">
        <v>106</v>
      </c>
      <c r="AT3" s="700" t="s">
        <v>200</v>
      </c>
      <c r="AU3" s="701"/>
      <c r="AV3" s="707" t="s">
        <v>132</v>
      </c>
      <c r="AW3" s="708"/>
      <c r="AX3" s="676" t="s">
        <v>132</v>
      </c>
      <c r="AY3" s="677"/>
      <c r="AZ3" s="678" t="s">
        <v>305</v>
      </c>
      <c r="BA3" s="698" t="s">
        <v>107</v>
      </c>
      <c r="BB3" s="693" t="s">
        <v>108</v>
      </c>
      <c r="BC3" s="693" t="s">
        <v>109</v>
      </c>
      <c r="BD3" s="687" t="s">
        <v>375</v>
      </c>
      <c r="BE3" s="690" t="s">
        <v>376</v>
      </c>
      <c r="BF3" s="693" t="s">
        <v>377</v>
      </c>
    </row>
    <row r="4" spans="1:58" ht="12" customHeight="1">
      <c r="A4" s="654"/>
      <c r="B4" s="654"/>
      <c r="C4" s="654"/>
      <c r="D4" s="654"/>
      <c r="E4" s="654"/>
      <c r="F4" s="654"/>
      <c r="G4" s="661"/>
      <c r="H4" s="662"/>
      <c r="I4" s="662"/>
      <c r="J4" s="662"/>
      <c r="K4" s="663"/>
      <c r="L4" s="667"/>
      <c r="M4" s="668"/>
      <c r="N4" s="669"/>
      <c r="O4" s="671"/>
      <c r="P4" s="656"/>
      <c r="Q4" s="671"/>
      <c r="R4" s="673"/>
      <c r="S4" s="673"/>
      <c r="T4" s="654"/>
      <c r="U4" s="654"/>
      <c r="V4" s="654"/>
      <c r="W4" s="673"/>
      <c r="X4" s="682"/>
      <c r="Y4" s="682"/>
      <c r="Z4" s="673"/>
      <c r="AA4" s="654"/>
      <c r="AB4" s="654"/>
      <c r="AC4" s="654"/>
      <c r="AD4" s="654"/>
      <c r="AE4" s="654"/>
      <c r="AF4" s="684" t="s">
        <v>133</v>
      </c>
      <c r="AG4" s="685"/>
      <c r="AH4" s="686"/>
      <c r="AI4" s="656" t="s">
        <v>201</v>
      </c>
      <c r="AJ4" s="656" t="s">
        <v>16</v>
      </c>
      <c r="AK4" s="656" t="s">
        <v>134</v>
      </c>
      <c r="AL4" s="656" t="s">
        <v>19</v>
      </c>
      <c r="AM4" s="696"/>
      <c r="AN4" s="699" t="s">
        <v>111</v>
      </c>
      <c r="AO4" s="699" t="s">
        <v>16</v>
      </c>
      <c r="AP4" s="699" t="s">
        <v>112</v>
      </c>
      <c r="AQ4" s="699" t="s">
        <v>19</v>
      </c>
      <c r="AR4" s="698" t="s">
        <v>113</v>
      </c>
      <c r="AS4" s="705"/>
      <c r="AT4" s="702"/>
      <c r="AU4" s="703"/>
      <c r="AV4" s="526" t="s">
        <v>7</v>
      </c>
      <c r="AW4" s="526" t="s">
        <v>135</v>
      </c>
      <c r="AX4" s="527" t="s">
        <v>7</v>
      </c>
      <c r="AY4" s="528" t="s">
        <v>135</v>
      </c>
      <c r="AZ4" s="679"/>
      <c r="BA4" s="698"/>
      <c r="BB4" s="693"/>
      <c r="BC4" s="693"/>
      <c r="BD4" s="688"/>
      <c r="BE4" s="691"/>
      <c r="BF4" s="693"/>
    </row>
    <row r="5" spans="1:58" s="37" customFormat="1" ht="48">
      <c r="A5" s="654"/>
      <c r="B5" s="654"/>
      <c r="C5" s="675"/>
      <c r="D5" s="654"/>
      <c r="E5" s="654"/>
      <c r="F5" s="654"/>
      <c r="G5" s="504" t="s">
        <v>114</v>
      </c>
      <c r="H5" s="503" t="s">
        <v>115</v>
      </c>
      <c r="I5" s="35" t="s">
        <v>116</v>
      </c>
      <c r="J5" s="86" t="s">
        <v>117</v>
      </c>
      <c r="K5" s="86" t="s">
        <v>102</v>
      </c>
      <c r="L5" s="36" t="s">
        <v>118</v>
      </c>
      <c r="M5" s="36" t="s">
        <v>119</v>
      </c>
      <c r="N5" s="503" t="s">
        <v>120</v>
      </c>
      <c r="O5" s="671"/>
      <c r="P5" s="657"/>
      <c r="Q5" s="671"/>
      <c r="R5" s="673"/>
      <c r="S5" s="673"/>
      <c r="T5" s="654"/>
      <c r="U5" s="654"/>
      <c r="V5" s="654"/>
      <c r="W5" s="673"/>
      <c r="X5" s="682"/>
      <c r="Y5" s="683"/>
      <c r="Z5" s="673"/>
      <c r="AA5" s="654"/>
      <c r="AB5" s="675"/>
      <c r="AC5" s="654"/>
      <c r="AD5" s="675"/>
      <c r="AE5" s="654"/>
      <c r="AF5" s="464" t="s">
        <v>292</v>
      </c>
      <c r="AG5" s="530" t="s">
        <v>293</v>
      </c>
      <c r="AH5" s="530" t="s">
        <v>294</v>
      </c>
      <c r="AI5" s="657"/>
      <c r="AJ5" s="657"/>
      <c r="AK5" s="657"/>
      <c r="AL5" s="657"/>
      <c r="AM5" s="697"/>
      <c r="AN5" s="655"/>
      <c r="AO5" s="655"/>
      <c r="AP5" s="655"/>
      <c r="AQ5" s="655"/>
      <c r="AR5" s="672"/>
      <c r="AS5" s="706"/>
      <c r="AT5" s="531" t="s">
        <v>288</v>
      </c>
      <c r="AU5" s="531" t="s">
        <v>289</v>
      </c>
      <c r="AV5" s="529" t="s">
        <v>290</v>
      </c>
      <c r="AW5" s="529" t="s">
        <v>290</v>
      </c>
      <c r="AX5" s="527" t="s">
        <v>18</v>
      </c>
      <c r="AY5" s="527" t="s">
        <v>18</v>
      </c>
      <c r="AZ5" s="680"/>
      <c r="BA5" s="672"/>
      <c r="BB5" s="653"/>
      <c r="BC5" s="653"/>
      <c r="BD5" s="689"/>
      <c r="BE5" s="692"/>
      <c r="BF5" s="694"/>
    </row>
    <row r="6" spans="1:58" ht="12.75" customHeight="1">
      <c r="A6" s="45">
        <f>+Report1!A9</f>
        <v>45931</v>
      </c>
      <c r="B6" s="46" t="s">
        <v>8</v>
      </c>
      <c r="C6" s="454">
        <f>(M6*E6*O6*Q6)/100000000</f>
        <v>69.693972479999985</v>
      </c>
      <c r="D6" s="46" t="s">
        <v>384</v>
      </c>
      <c r="E6" s="47">
        <v>34</v>
      </c>
      <c r="F6" s="47">
        <v>1</v>
      </c>
      <c r="G6" s="505">
        <v>480</v>
      </c>
      <c r="H6" s="49">
        <v>0.12</v>
      </c>
      <c r="I6" s="50">
        <v>0.88</v>
      </c>
      <c r="J6" s="87">
        <f>E6*G6*(1-H6)*1440/1000000*3.4</f>
        <v>70.314393599999988</v>
      </c>
      <c r="K6" s="87">
        <f>(IF(G6&lt;L6,L6,G6)*(1-IF(H6&lt;N6,H6,N6))*E6*O6*Q6)/100000000</f>
        <v>69.693972479999985</v>
      </c>
      <c r="L6" s="40">
        <v>480</v>
      </c>
      <c r="M6" s="40">
        <f>+L6-L6*0.12</f>
        <v>422.4</v>
      </c>
      <c r="N6" s="51">
        <f>1-(M6/L6)</f>
        <v>0.12</v>
      </c>
      <c r="O6" s="52">
        <f>+'Trim Rwd'!H4</f>
        <v>337</v>
      </c>
      <c r="P6" s="53">
        <f>O6*(Q6-R6-S6)</f>
        <v>0</v>
      </c>
      <c r="Q6" s="52">
        <v>1440</v>
      </c>
      <c r="R6" s="506">
        <v>1440</v>
      </c>
      <c r="S6" s="506">
        <v>0</v>
      </c>
      <c r="T6" s="42">
        <f>E6*M6*O6*Q6/100000000</f>
        <v>69.693972479999985</v>
      </c>
      <c r="U6" s="42">
        <f>E6*M6*O6*(Q6-R6-S6)/100000000</f>
        <v>0</v>
      </c>
      <c r="V6" s="42">
        <f>E6*G6*(1-N6)*O6/100*(R6+S6)/1000000</f>
        <v>69.693972479999999</v>
      </c>
      <c r="W6" s="42">
        <f>+'1'!K7/1000</f>
        <v>0</v>
      </c>
      <c r="X6" s="507">
        <f>SUM(W6:W9)/SUM(K6:K9)</f>
        <v>0</v>
      </c>
      <c r="Y6" s="216">
        <v>0</v>
      </c>
      <c r="Z6" s="42">
        <v>0</v>
      </c>
      <c r="AA6" s="54">
        <f>SUM(U6:U9)-SUM(W6:W9)-SUM(Z6:Z9)-SUM(Y6:Y9)</f>
        <v>0</v>
      </c>
      <c r="AB6" s="54">
        <f>(SUM(K6:K9)-SUM(W6:W9)-SUM(Y6:Y9)-SUM(Z6:Z9)-SUM(AC6:AC9)-SUM(V6:V9))-AA6</f>
        <v>-1.4210854715202004E-14</v>
      </c>
      <c r="AC6" s="42">
        <f>K6-T6</f>
        <v>0</v>
      </c>
      <c r="AD6" s="42">
        <f>+AM6+BA6</f>
        <v>0</v>
      </c>
      <c r="AE6" s="234" t="s">
        <v>394</v>
      </c>
      <c r="AF6" s="42">
        <v>0</v>
      </c>
      <c r="AG6" s="42"/>
      <c r="AH6" s="42"/>
      <c r="AI6" s="508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/>
      <c r="C7" s="454"/>
      <c r="D7" s="46"/>
      <c r="E7" s="47"/>
      <c r="F7" s="47"/>
      <c r="G7" s="505"/>
      <c r="H7" s="49"/>
      <c r="I7" s="50"/>
      <c r="J7" s="87"/>
      <c r="K7" s="87"/>
      <c r="L7" s="40"/>
      <c r="M7" s="40"/>
      <c r="N7" s="51"/>
      <c r="O7" s="52"/>
      <c r="P7" s="53"/>
      <c r="Q7" s="52"/>
      <c r="R7" s="506"/>
      <c r="S7" s="506"/>
      <c r="T7" s="42"/>
      <c r="U7" s="42"/>
      <c r="V7" s="42"/>
      <c r="W7" s="42"/>
      <c r="X7" s="43"/>
      <c r="Y7" s="216"/>
      <c r="Z7" s="42"/>
      <c r="AA7" s="42"/>
      <c r="AB7" s="42"/>
      <c r="AC7" s="42"/>
      <c r="AD7" s="42">
        <f>+AM7+BA7</f>
        <v>0</v>
      </c>
      <c r="AE7" s="234" t="s">
        <v>430</v>
      </c>
      <c r="AF7" s="42"/>
      <c r="AG7" s="42">
        <v>0</v>
      </c>
      <c r="AH7" s="42"/>
      <c r="AI7" s="508"/>
      <c r="AJ7" s="42"/>
      <c r="AK7" s="42"/>
      <c r="AL7" s="42"/>
      <c r="AM7" s="42">
        <f>SUM(AF7:AL7)+AT7+AV7+AX7</f>
        <v>0</v>
      </c>
      <c r="AN7" s="88"/>
      <c r="AO7" s="42"/>
      <c r="AP7" s="42"/>
      <c r="AQ7" s="42"/>
      <c r="AR7" s="42">
        <f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0</v>
      </c>
      <c r="BD7" s="56"/>
      <c r="BE7" s="55"/>
      <c r="BF7" s="56"/>
    </row>
    <row r="8" spans="1:58" ht="12.95" customHeight="1">
      <c r="A8" s="45"/>
      <c r="B8" s="46"/>
      <c r="C8" s="454"/>
      <c r="D8" s="46"/>
      <c r="E8" s="47"/>
      <c r="F8" s="47"/>
      <c r="G8" s="505"/>
      <c r="H8" s="49"/>
      <c r="I8" s="50"/>
      <c r="J8" s="87"/>
      <c r="K8" s="87"/>
      <c r="L8" s="40"/>
      <c r="M8" s="40"/>
      <c r="N8" s="51"/>
      <c r="O8" s="52"/>
      <c r="P8" s="53"/>
      <c r="Q8" s="52"/>
      <c r="R8" s="506"/>
      <c r="S8" s="506"/>
      <c r="T8" s="42"/>
      <c r="U8" s="42"/>
      <c r="V8" s="42"/>
      <c r="W8" s="42"/>
      <c r="X8" s="43"/>
      <c r="Y8" s="216"/>
      <c r="Z8" s="42"/>
      <c r="AA8" s="42"/>
      <c r="AB8" s="42"/>
      <c r="AC8" s="42"/>
      <c r="AD8" s="42">
        <f>+AM8+BA8</f>
        <v>0</v>
      </c>
      <c r="AE8" s="234" t="s">
        <v>226</v>
      </c>
      <c r="AF8" s="38"/>
      <c r="AG8" s="38"/>
      <c r="AH8" s="42">
        <v>0</v>
      </c>
      <c r="AI8" s="508"/>
      <c r="AJ8" s="42"/>
      <c r="AK8" s="42"/>
      <c r="AL8" s="42"/>
      <c r="AM8" s="42">
        <f>SUM(AF8:AL8)+AT8+AV8+AX8</f>
        <v>0</v>
      </c>
      <c r="AN8" s="42"/>
      <c r="AO8" s="42"/>
      <c r="AP8" s="42"/>
      <c r="AQ8" s="42"/>
      <c r="AR8" s="42">
        <f>SUM(AN8:AQ8)</f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09"/>
      <c r="BD8" s="509"/>
      <c r="BE8" s="38"/>
      <c r="BF8" s="509"/>
    </row>
    <row r="9" spans="1:58" ht="12.95" customHeight="1">
      <c r="A9" s="45"/>
      <c r="B9" s="46"/>
      <c r="C9" s="454"/>
      <c r="D9" s="46"/>
      <c r="E9" s="47"/>
      <c r="F9" s="47"/>
      <c r="G9" s="505"/>
      <c r="H9" s="49"/>
      <c r="I9" s="50"/>
      <c r="J9" s="87"/>
      <c r="K9" s="87"/>
      <c r="L9" s="40"/>
      <c r="M9" s="40"/>
      <c r="N9" s="51"/>
      <c r="O9" s="52"/>
      <c r="P9" s="53"/>
      <c r="Q9" s="52"/>
      <c r="R9" s="506"/>
      <c r="S9" s="506"/>
      <c r="T9" s="42"/>
      <c r="U9" s="42"/>
      <c r="V9" s="42"/>
      <c r="W9" s="42"/>
      <c r="X9" s="43"/>
      <c r="Y9" s="216"/>
      <c r="Z9" s="42"/>
      <c r="AA9" s="42"/>
      <c r="AB9" s="42"/>
      <c r="AC9" s="42"/>
      <c r="AD9" s="42">
        <f>+AM9+BA9</f>
        <v>1440</v>
      </c>
      <c r="AE9" s="587" t="s">
        <v>432</v>
      </c>
      <c r="AF9" s="42"/>
      <c r="AG9" s="42"/>
      <c r="AH9" s="42"/>
      <c r="AJ9" s="42"/>
      <c r="AK9" s="42"/>
      <c r="AL9" s="42"/>
      <c r="AM9" s="42">
        <f>SUM(AF9:AL9)+AT9+AV9+AX9</f>
        <v>0</v>
      </c>
      <c r="AN9" s="42"/>
      <c r="AO9" s="42"/>
      <c r="AP9" s="42"/>
      <c r="AQ9" s="42"/>
      <c r="AR9" s="42">
        <f>SUM(AN9:AQ9)</f>
        <v>0</v>
      </c>
      <c r="AS9" s="42"/>
      <c r="AT9" s="42"/>
      <c r="AU9" s="42">
        <v>1440</v>
      </c>
      <c r="AV9" s="42"/>
      <c r="AW9" s="42"/>
      <c r="AX9" s="42"/>
      <c r="AY9" s="42"/>
      <c r="AZ9" s="42"/>
      <c r="BA9" s="42">
        <f>+AR9+AS9+AU9+AW9+AY9+AZ9</f>
        <v>1440</v>
      </c>
      <c r="BB9" s="38"/>
      <c r="BC9" s="509"/>
      <c r="BD9" s="509"/>
      <c r="BE9" s="38"/>
      <c r="BF9" s="509"/>
    </row>
    <row r="10" spans="1:58" ht="12.95" customHeight="1">
      <c r="A10" s="45"/>
      <c r="B10" s="46"/>
      <c r="C10" s="454"/>
      <c r="D10" s="46"/>
      <c r="E10" s="47"/>
      <c r="F10" s="47"/>
      <c r="G10" s="505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06"/>
      <c r="S10" s="506"/>
      <c r="T10" s="42"/>
      <c r="U10" s="42"/>
      <c r="V10" s="42"/>
      <c r="W10" s="42"/>
      <c r="X10" s="507"/>
      <c r="Y10" s="216"/>
      <c r="Z10" s="42"/>
      <c r="AA10" s="54"/>
      <c r="AB10" s="54"/>
      <c r="AC10" s="42"/>
      <c r="AD10" s="42"/>
      <c r="AE10" s="237"/>
      <c r="AF10" s="42"/>
      <c r="AG10" s="42"/>
      <c r="AH10" s="42"/>
      <c r="AI10" s="508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55"/>
      <c r="BC10" s="56"/>
      <c r="BD10" s="56"/>
      <c r="BE10" s="55"/>
      <c r="BF10" s="56"/>
    </row>
    <row r="11" spans="1:58" ht="12.75" customHeight="1">
      <c r="A11" s="45">
        <v>45932</v>
      </c>
      <c r="B11" s="46" t="s">
        <v>8</v>
      </c>
      <c r="C11" s="454">
        <f>(M11*E11*O11*Q11)/100000000</f>
        <v>54.381152994461544</v>
      </c>
      <c r="D11" s="46" t="s">
        <v>451</v>
      </c>
      <c r="E11" s="47">
        <v>17</v>
      </c>
      <c r="F11" s="47">
        <v>1</v>
      </c>
      <c r="G11" s="505">
        <v>830</v>
      </c>
      <c r="H11" s="49">
        <v>0.15</v>
      </c>
      <c r="I11" s="50">
        <v>0.88</v>
      </c>
      <c r="J11" s="87">
        <f>E11*G11*(1-H11)*1440/1000000*3.4</f>
        <v>58.720176000000002</v>
      </c>
      <c r="K11" s="87">
        <f>(IF(G11&lt;L11,L11,G11)*(1-IF(H11&lt;N11,H11,N11))*E11*O11*Q11)/100000000</f>
        <v>55.566760319999993</v>
      </c>
      <c r="L11" s="40">
        <v>812.29059829059827</v>
      </c>
      <c r="M11" s="40">
        <v>698.56991452991451</v>
      </c>
      <c r="N11" s="51">
        <f>1-(M11/L11)</f>
        <v>0.14000000000000001</v>
      </c>
      <c r="O11" s="52">
        <f>+'Trim Rwd'!H6</f>
        <v>318</v>
      </c>
      <c r="P11" s="53">
        <f>O11*(Q11-R11-S11)</f>
        <v>366654</v>
      </c>
      <c r="Q11" s="52">
        <v>1440</v>
      </c>
      <c r="R11" s="506">
        <v>240</v>
      </c>
      <c r="S11" s="506">
        <v>47</v>
      </c>
      <c r="T11" s="42">
        <f>E11*M11*O11*Q11/100000000</f>
        <v>54.381152994461544</v>
      </c>
      <c r="U11" s="42">
        <f>E11*M11*O11*(Q11-R11-S11)/100000000</f>
        <v>43.542687085148728</v>
      </c>
      <c r="V11" s="42">
        <f>E11*G11*(1-N11)*O11/100*(R11+S11)/1000000</f>
        <v>11.074764036000003</v>
      </c>
      <c r="W11" s="42">
        <f>+'2'!K34/1000</f>
        <v>35.399000000000001</v>
      </c>
      <c r="X11" s="507">
        <f>SUM(W11:W14)/SUM(K11:K14)</f>
        <v>0.63705351537759047</v>
      </c>
      <c r="Y11" s="216">
        <v>0</v>
      </c>
      <c r="Z11" s="42">
        <v>0</v>
      </c>
      <c r="AA11" s="54">
        <f>SUM(U11:U14)-SUM(W11:W14)-SUM(Z11:Z14)-SUM(Y11:Y14)</f>
        <v>8.1436870851487271</v>
      </c>
      <c r="AB11" s="54">
        <f>(SUM(K11:K14)-SUM(W11:W14)-SUM(Y11:Y14)-SUM(Z11:Z14)-SUM(AC11:AC14)-SUM(V11:V14))-AA11</f>
        <v>-0.23629812668718664</v>
      </c>
      <c r="AC11" s="42">
        <f>K11-T11</f>
        <v>1.1856073255384487</v>
      </c>
      <c r="AD11" s="42">
        <f>+AM11+BA11</f>
        <v>8</v>
      </c>
      <c r="AE11" s="234" t="s">
        <v>452</v>
      </c>
      <c r="AF11" s="42">
        <v>8</v>
      </c>
      <c r="AG11" s="42"/>
      <c r="AH11" s="42"/>
      <c r="AI11" s="508"/>
      <c r="AJ11" s="42"/>
      <c r="AK11" s="42"/>
      <c r="AL11" s="42"/>
      <c r="AM11" s="42">
        <f>SUM(AF11:AL11)+AT11+AV11+AX11</f>
        <v>8</v>
      </c>
      <c r="AN11" s="42"/>
      <c r="AO11" s="42"/>
      <c r="AP11" s="42"/>
      <c r="AQ11" s="42"/>
      <c r="AR11" s="42">
        <f>SUM(AN11:AQ11)</f>
        <v>0</v>
      </c>
      <c r="AS11" s="42"/>
      <c r="AT11" s="42"/>
      <c r="AU11" s="42"/>
      <c r="AV11" s="42"/>
      <c r="AW11" s="42"/>
      <c r="AX11" s="42"/>
      <c r="AY11" s="42"/>
      <c r="AZ11" s="42"/>
      <c r="BA11" s="42">
        <f>+AR11+AS11+AU11+AW11+AY11+AZ11</f>
        <v>0</v>
      </c>
      <c r="BB11" s="38">
        <v>0</v>
      </c>
      <c r="BC11" s="56"/>
      <c r="BD11" s="56"/>
      <c r="BE11" s="38"/>
      <c r="BF11" s="56"/>
    </row>
    <row r="12" spans="1:58" ht="12.95" customHeight="1">
      <c r="A12" s="45"/>
      <c r="B12" s="46"/>
      <c r="C12" s="454"/>
      <c r="D12" s="46"/>
      <c r="E12" s="47"/>
      <c r="F12" s="47"/>
      <c r="G12" s="505"/>
      <c r="H12" s="49"/>
      <c r="I12" s="50"/>
      <c r="J12" s="87"/>
      <c r="K12" s="87"/>
      <c r="L12" s="40"/>
      <c r="M12" s="40"/>
      <c r="N12" s="51"/>
      <c r="O12" s="52"/>
      <c r="P12" s="53"/>
      <c r="Q12" s="52"/>
      <c r="R12" s="506"/>
      <c r="S12" s="506"/>
      <c r="T12" s="42"/>
      <c r="U12" s="42"/>
      <c r="V12" s="42"/>
      <c r="W12" s="42"/>
      <c r="X12" s="43"/>
      <c r="Y12" s="216"/>
      <c r="Z12" s="42"/>
      <c r="AA12" s="42"/>
      <c r="AB12" s="42"/>
      <c r="AC12" s="42"/>
      <c r="AD12" s="42">
        <f>+AM12+BA12</f>
        <v>19</v>
      </c>
      <c r="AE12" s="234" t="s">
        <v>453</v>
      </c>
      <c r="AF12" s="42"/>
      <c r="AG12" s="42">
        <v>19</v>
      </c>
      <c r="AH12" s="42"/>
      <c r="AI12" s="508"/>
      <c r="AJ12" s="42"/>
      <c r="AK12" s="42"/>
      <c r="AL12" s="42"/>
      <c r="AM12" s="42">
        <f>SUM(AF12:AL12)+AT12+AV12+AX12</f>
        <v>19</v>
      </c>
      <c r="AN12" s="88"/>
      <c r="AO12" s="42"/>
      <c r="AP12" s="42"/>
      <c r="AQ12" s="42"/>
      <c r="AR12" s="42">
        <f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55"/>
      <c r="BC12" s="56">
        <v>2</v>
      </c>
      <c r="BD12" s="56"/>
      <c r="BE12" s="55"/>
      <c r="BF12" s="56"/>
    </row>
    <row r="13" spans="1:58" ht="12.95" customHeight="1">
      <c r="A13" s="45"/>
      <c r="B13" s="46"/>
      <c r="C13" s="454"/>
      <c r="D13" s="46"/>
      <c r="E13" s="47"/>
      <c r="F13" s="47"/>
      <c r="G13" s="505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06"/>
      <c r="S13" s="506"/>
      <c r="T13" s="42"/>
      <c r="U13" s="42"/>
      <c r="V13" s="42"/>
      <c r="W13" s="42"/>
      <c r="X13" s="43"/>
      <c r="Y13" s="216"/>
      <c r="Z13" s="42"/>
      <c r="AA13" s="42"/>
      <c r="AB13" s="42"/>
      <c r="AC13" s="42"/>
      <c r="AD13" s="42">
        <f>+AM13+BA13</f>
        <v>20</v>
      </c>
      <c r="AE13" s="234" t="s">
        <v>226</v>
      </c>
      <c r="AF13" s="38"/>
      <c r="AG13" s="38"/>
      <c r="AH13" s="42">
        <v>20</v>
      </c>
      <c r="AI13" s="508"/>
      <c r="AJ13" s="42"/>
      <c r="AK13" s="42"/>
      <c r="AL13" s="42"/>
      <c r="AM13" s="42">
        <f>SUM(AF13:AL13)+AT13+AV13+AX13</f>
        <v>20</v>
      </c>
      <c r="AN13" s="42"/>
      <c r="AO13" s="42"/>
      <c r="AP13" s="42"/>
      <c r="AQ13" s="42"/>
      <c r="AR13" s="42">
        <f>SUM(AN13:AQ13)</f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38"/>
      <c r="BC13" s="509"/>
      <c r="BD13" s="509"/>
      <c r="BE13" s="38"/>
      <c r="BF13" s="509"/>
    </row>
    <row r="14" spans="1:58" ht="12.95" customHeight="1">
      <c r="A14" s="45"/>
      <c r="B14" s="46"/>
      <c r="C14" s="454"/>
      <c r="D14" s="46"/>
      <c r="E14" s="47"/>
      <c r="F14" s="47"/>
      <c r="G14" s="505"/>
      <c r="H14" s="49"/>
      <c r="I14" s="50"/>
      <c r="J14" s="87"/>
      <c r="K14" s="87"/>
      <c r="L14" s="40"/>
      <c r="M14" s="40"/>
      <c r="N14" s="51"/>
      <c r="O14" s="52"/>
      <c r="P14" s="53"/>
      <c r="Q14" s="52"/>
      <c r="R14" s="506"/>
      <c r="S14" s="506"/>
      <c r="T14" s="42"/>
      <c r="U14" s="42"/>
      <c r="V14" s="42"/>
      <c r="W14" s="42"/>
      <c r="X14" s="43"/>
      <c r="Y14" s="216"/>
      <c r="Z14" s="42"/>
      <c r="AA14" s="42"/>
      <c r="AB14" s="42"/>
      <c r="AC14" s="42"/>
      <c r="AD14" s="42">
        <f>+AM14+BA14</f>
        <v>240</v>
      </c>
      <c r="AE14" s="587" t="s">
        <v>432</v>
      </c>
      <c r="AF14" s="42"/>
      <c r="AG14" s="42"/>
      <c r="AH14" s="42"/>
      <c r="AJ14" s="42"/>
      <c r="AK14" s="42"/>
      <c r="AL14" s="42"/>
      <c r="AM14" s="42">
        <f>SUM(AF14:AL14)+AT14+AV14+AX14</f>
        <v>0</v>
      </c>
      <c r="AN14" s="42"/>
      <c r="AO14" s="42"/>
      <c r="AP14" s="42"/>
      <c r="AQ14" s="42"/>
      <c r="AR14" s="42">
        <f>SUM(AN14:AQ14)</f>
        <v>0</v>
      </c>
      <c r="AS14" s="42"/>
      <c r="AT14" s="42"/>
      <c r="AU14" s="42">
        <v>240</v>
      </c>
      <c r="AV14" s="42"/>
      <c r="AW14" s="42"/>
      <c r="AX14" s="42"/>
      <c r="AY14" s="42"/>
      <c r="AZ14" s="42"/>
      <c r="BA14" s="42">
        <f>+AR14+AS14+AU14+AW14+AY14+AZ14</f>
        <v>240</v>
      </c>
      <c r="BB14" s="38"/>
      <c r="BC14" s="509"/>
      <c r="BD14" s="509"/>
      <c r="BE14" s="38"/>
      <c r="BF14" s="509"/>
    </row>
    <row r="15" spans="1:58" ht="12.95" customHeight="1">
      <c r="A15" s="45"/>
      <c r="B15" s="46"/>
      <c r="C15" s="454"/>
      <c r="D15" s="46"/>
      <c r="E15" s="47"/>
      <c r="F15" s="47"/>
      <c r="G15" s="505"/>
      <c r="H15" s="49"/>
      <c r="I15" s="50"/>
      <c r="J15" s="87"/>
      <c r="K15" s="87"/>
      <c r="L15" s="40"/>
      <c r="M15" s="40"/>
      <c r="N15" s="51"/>
      <c r="O15" s="52"/>
      <c r="P15" s="53"/>
      <c r="Q15" s="52"/>
      <c r="R15" s="506"/>
      <c r="S15" s="506"/>
      <c r="T15" s="42"/>
      <c r="U15" s="42"/>
      <c r="V15" s="42"/>
      <c r="W15" s="42"/>
      <c r="X15" s="507"/>
      <c r="Y15" s="216"/>
      <c r="Z15" s="42"/>
      <c r="AA15" s="54"/>
      <c r="AB15" s="54"/>
      <c r="AC15" s="42"/>
      <c r="AD15" s="42"/>
      <c r="AE15" s="237"/>
      <c r="AF15" s="42"/>
      <c r="AG15" s="42"/>
      <c r="AH15" s="42"/>
      <c r="AI15" s="508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55"/>
      <c r="BC15" s="56"/>
      <c r="BD15" s="56"/>
      <c r="BE15" s="55"/>
      <c r="BF15" s="56"/>
    </row>
    <row r="16" spans="1:58" ht="12.75" customHeight="1">
      <c r="A16" s="45">
        <v>45933</v>
      </c>
      <c r="B16" s="46" t="s">
        <v>8</v>
      </c>
      <c r="C16" s="454">
        <f>(M16*E16*O16*Q16)/100000000</f>
        <v>0.38588027999999991</v>
      </c>
      <c r="D16" s="46" t="s">
        <v>451</v>
      </c>
      <c r="E16" s="47">
        <v>17</v>
      </c>
      <c r="F16" s="47">
        <v>1</v>
      </c>
      <c r="G16" s="505">
        <v>830</v>
      </c>
      <c r="H16" s="49">
        <v>0.15</v>
      </c>
      <c r="I16" s="50">
        <v>0.88</v>
      </c>
      <c r="J16" s="87">
        <f>E16*G16*(1-H16)*1440/1000000*3.4</f>
        <v>58.720176000000002</v>
      </c>
      <c r="K16" s="87">
        <f>(IF(G16&lt;L16,L16,G16)*(1-IF(H16&lt;N16,H16,N16))*E16*O16*Q16)/100000000</f>
        <v>0.38588027999999991</v>
      </c>
      <c r="L16" s="40">
        <v>830</v>
      </c>
      <c r="M16" s="40">
        <f>+L16-L16*0.14</f>
        <v>713.8</v>
      </c>
      <c r="N16" s="51">
        <f>1-(M16/L16)</f>
        <v>0.14000000000000001</v>
      </c>
      <c r="O16" s="52">
        <f>+'Trim Rwd'!H8</f>
        <v>318</v>
      </c>
      <c r="P16" s="53">
        <f>O16*(Q16-R16-S16)</f>
        <v>3180</v>
      </c>
      <c r="Q16" s="52">
        <v>10</v>
      </c>
      <c r="R16" s="506">
        <v>0</v>
      </c>
      <c r="S16" s="506">
        <v>0</v>
      </c>
      <c r="T16" s="42">
        <f>E16*M16*O16*Q16/100000000</f>
        <v>0.38588027999999991</v>
      </c>
      <c r="U16" s="42">
        <f>E16*M16*O16*(Q16-R16-S16)/100000000</f>
        <v>0.38588027999999991</v>
      </c>
      <c r="V16" s="42">
        <f>E16*G16*(1-N16)*O16/100*(R16+S16)/1000000</f>
        <v>0</v>
      </c>
      <c r="W16" s="42">
        <f>+'3'!K7/1000</f>
        <v>4.0940000000000003</v>
      </c>
      <c r="X16" s="507">
        <f>SUM(W16:W19)/SUM(K16:K19)</f>
        <v>0.89617873934365733</v>
      </c>
      <c r="Y16" s="216">
        <v>0</v>
      </c>
      <c r="Z16" s="42">
        <v>0</v>
      </c>
      <c r="AA16" s="54">
        <f>SUM(U16:U19)-SUM(W16:W19)-SUM(Z16:Z19)-SUM(Y16:Y19)</f>
        <v>2.4384486000000041</v>
      </c>
      <c r="AB16" s="54">
        <f>(SUM(K16:K19)-SUM(W16:W19)-SUM(Y16:Y19)-SUM(Z16:Z19)-SUM(AC16:AC19)-SUM(V16:V19))-AA16</f>
        <v>0</v>
      </c>
      <c r="AC16" s="42">
        <f>K16-T16</f>
        <v>0</v>
      </c>
      <c r="AD16" s="42">
        <f>+AM16+BA16</f>
        <v>3</v>
      </c>
      <c r="AE16" s="234" t="s">
        <v>391</v>
      </c>
      <c r="AF16" s="42">
        <v>3</v>
      </c>
      <c r="AG16" s="42"/>
      <c r="AH16" s="42"/>
      <c r="AI16" s="508"/>
      <c r="AJ16" s="42"/>
      <c r="AK16" s="42"/>
      <c r="AL16" s="42"/>
      <c r="AM16" s="42">
        <f>SUM(AF16:AL16)+AT16+AV16+AX16</f>
        <v>3</v>
      </c>
      <c r="AN16" s="42"/>
      <c r="AO16" s="42"/>
      <c r="AP16" s="42"/>
      <c r="AQ16" s="42"/>
      <c r="AR16" s="42">
        <f>SUM(AN16:AQ16)</f>
        <v>0</v>
      </c>
      <c r="AS16" s="42"/>
      <c r="AT16" s="42"/>
      <c r="AU16" s="42"/>
      <c r="AV16" s="42"/>
      <c r="AW16" s="42"/>
      <c r="AX16" s="42"/>
      <c r="AY16" s="42"/>
      <c r="AZ16" s="42"/>
      <c r="BA16" s="42">
        <f>+AR16+AS16+AU16+AW16+AY16+AZ16</f>
        <v>0</v>
      </c>
      <c r="BB16" s="38">
        <v>0</v>
      </c>
      <c r="BC16" s="56"/>
      <c r="BD16" s="56"/>
      <c r="BE16" s="38"/>
      <c r="BF16" s="56"/>
    </row>
    <row r="17" spans="1:58" ht="12.95" customHeight="1">
      <c r="A17" s="45"/>
      <c r="B17" s="46" t="s">
        <v>462</v>
      </c>
      <c r="C17" s="454">
        <f>(M17*E17*O17*Q17)/100000000</f>
        <v>58.794278400000003</v>
      </c>
      <c r="D17" s="46" t="s">
        <v>451</v>
      </c>
      <c r="E17" s="47">
        <v>18</v>
      </c>
      <c r="F17" s="47">
        <v>1</v>
      </c>
      <c r="G17" s="505">
        <v>830</v>
      </c>
      <c r="H17" s="49">
        <v>0.15</v>
      </c>
      <c r="I17" s="50">
        <v>0.88</v>
      </c>
      <c r="J17" s="87">
        <f>E17*G17*(1-H17)*1440/1000000*3.4</f>
        <v>62.174304000000006</v>
      </c>
      <c r="K17" s="87">
        <f>(IF(G17&lt;L17,L17,G17)*(1-IF(H17&lt;N17,H17,N17))*E17*O17*Q17)/100000000</f>
        <v>58.794278400000003</v>
      </c>
      <c r="L17" s="40">
        <v>830</v>
      </c>
      <c r="M17" s="40">
        <f>+L17-L17*0.14</f>
        <v>713.8</v>
      </c>
      <c r="N17" s="51">
        <f>1-(M17/L17)</f>
        <v>0.14000000000000001</v>
      </c>
      <c r="O17" s="52">
        <f>+'Trim Rwd'!H9</f>
        <v>320</v>
      </c>
      <c r="P17" s="53">
        <f>O17*(Q17-R17-S17)</f>
        <v>444480</v>
      </c>
      <c r="Q17" s="52">
        <v>1430</v>
      </c>
      <c r="R17" s="506">
        <v>0</v>
      </c>
      <c r="S17" s="506">
        <v>41</v>
      </c>
      <c r="T17" s="42">
        <f>E17*M17*O17*Q17/100000000</f>
        <v>58.794278400000003</v>
      </c>
      <c r="U17" s="42">
        <f>E17*M17*O17*(Q17-R17-S17)/100000000</f>
        <v>57.108568320000003</v>
      </c>
      <c r="V17" s="42">
        <f>E17*G17*(1-N17)*O17/100*(R17+S17)/1000000</f>
        <v>1.6857100799999998</v>
      </c>
      <c r="W17" s="42">
        <f>+'3'!K8/1000</f>
        <v>48.942</v>
      </c>
      <c r="X17" s="43"/>
      <c r="Y17" s="216"/>
      <c r="Z17" s="42">
        <f>+'3'!D34/1000</f>
        <v>2.02</v>
      </c>
      <c r="AA17" s="42"/>
      <c r="AB17" s="42"/>
      <c r="AC17" s="42">
        <f>K17-T17</f>
        <v>0</v>
      </c>
      <c r="AD17" s="42">
        <f>+AM17+BA17</f>
        <v>10</v>
      </c>
      <c r="AE17" s="234" t="s">
        <v>393</v>
      </c>
      <c r="AF17" s="42"/>
      <c r="AG17" s="42">
        <v>10</v>
      </c>
      <c r="AH17" s="42"/>
      <c r="AI17" s="508"/>
      <c r="AJ17" s="42"/>
      <c r="AK17" s="42"/>
      <c r="AL17" s="42"/>
      <c r="AM17" s="42">
        <f>SUM(AF17:AL17)+AT17+AV17+AX17</f>
        <v>10</v>
      </c>
      <c r="AN17" s="88"/>
      <c r="AO17" s="42"/>
      <c r="AP17" s="42"/>
      <c r="AQ17" s="42"/>
      <c r="AR17" s="42">
        <f>SUM(AN17:AQ17)</f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55"/>
      <c r="BC17" s="56">
        <v>2</v>
      </c>
      <c r="BD17" s="56"/>
      <c r="BE17" s="55"/>
      <c r="BF17" s="56"/>
    </row>
    <row r="18" spans="1:58" ht="12.95" customHeight="1">
      <c r="A18" s="45"/>
      <c r="B18" s="46"/>
      <c r="C18" s="454"/>
      <c r="D18" s="46"/>
      <c r="E18" s="47"/>
      <c r="F18" s="47"/>
      <c r="G18" s="505"/>
      <c r="H18" s="49"/>
      <c r="I18" s="50"/>
      <c r="J18" s="87"/>
      <c r="K18" s="87"/>
      <c r="L18" s="40"/>
      <c r="M18" s="40"/>
      <c r="N18" s="51"/>
      <c r="O18" s="52"/>
      <c r="P18" s="53"/>
      <c r="Q18" s="52"/>
      <c r="R18" s="506"/>
      <c r="S18" s="506"/>
      <c r="T18" s="42"/>
      <c r="U18" s="42"/>
      <c r="V18" s="42"/>
      <c r="W18" s="42"/>
      <c r="X18" s="43"/>
      <c r="Y18" s="216"/>
      <c r="Z18" s="42"/>
      <c r="AA18" s="42"/>
      <c r="AB18" s="42"/>
      <c r="AC18" s="42"/>
      <c r="AD18" s="42">
        <f>+AM18+BA18</f>
        <v>20</v>
      </c>
      <c r="AE18" s="234" t="s">
        <v>226</v>
      </c>
      <c r="AF18" s="38"/>
      <c r="AG18" s="38"/>
      <c r="AH18" s="42">
        <v>20</v>
      </c>
      <c r="AI18" s="508"/>
      <c r="AJ18" s="42"/>
      <c r="AK18" s="42"/>
      <c r="AL18" s="42"/>
      <c r="AM18" s="42">
        <f>SUM(AF18:AL18)+AT18+AV18+AX18</f>
        <v>20</v>
      </c>
      <c r="AN18" s="42"/>
      <c r="AO18" s="42"/>
      <c r="AP18" s="42"/>
      <c r="AQ18" s="42"/>
      <c r="AR18" s="42">
        <f>SUM(AN18:AQ18)</f>
        <v>0</v>
      </c>
      <c r="AS18" s="42"/>
      <c r="AT18" s="42"/>
      <c r="AU18" s="42"/>
      <c r="AV18" s="42"/>
      <c r="AW18" s="42"/>
      <c r="AX18" s="42"/>
      <c r="AY18" s="42"/>
      <c r="AZ18" s="42"/>
      <c r="BA18" s="42">
        <f>+AR18+AS18+AU18+AW18+AY18+AZ18</f>
        <v>0</v>
      </c>
      <c r="BB18" s="38"/>
      <c r="BC18" s="509"/>
      <c r="BD18" s="509"/>
      <c r="BE18" s="38"/>
      <c r="BF18" s="509"/>
    </row>
    <row r="19" spans="1:58" ht="12.95" customHeight="1">
      <c r="A19" s="45"/>
      <c r="B19" s="46"/>
      <c r="C19" s="454"/>
      <c r="D19" s="46"/>
      <c r="E19" s="47"/>
      <c r="F19" s="47"/>
      <c r="G19" s="505"/>
      <c r="H19" s="49"/>
      <c r="I19" s="50"/>
      <c r="J19" s="87"/>
      <c r="K19" s="87"/>
      <c r="L19" s="40"/>
      <c r="M19" s="40"/>
      <c r="N19" s="51"/>
      <c r="O19" s="52"/>
      <c r="P19" s="53"/>
      <c r="Q19" s="52"/>
      <c r="R19" s="506"/>
      <c r="S19" s="506"/>
      <c r="T19" s="42"/>
      <c r="U19" s="42"/>
      <c r="V19" s="42"/>
      <c r="W19" s="42"/>
      <c r="X19" s="43"/>
      <c r="Y19" s="216"/>
      <c r="Z19" s="42"/>
      <c r="AA19" s="42"/>
      <c r="AB19" s="42"/>
      <c r="AC19" s="42"/>
      <c r="AD19" s="42">
        <f>+AM19+BA19</f>
        <v>8</v>
      </c>
      <c r="AE19" s="587" t="s">
        <v>463</v>
      </c>
      <c r="AF19" s="42"/>
      <c r="AG19" s="42"/>
      <c r="AH19" s="42"/>
      <c r="AI19" s="34">
        <v>8</v>
      </c>
      <c r="AJ19" s="42"/>
      <c r="AK19" s="42"/>
      <c r="AL19" s="42"/>
      <c r="AM19" s="42">
        <f>SUM(AF19:AL19)+AT19+AV19+AX19</f>
        <v>8</v>
      </c>
      <c r="AN19" s="42"/>
      <c r="AO19" s="42"/>
      <c r="AP19" s="42"/>
      <c r="AQ19" s="42"/>
      <c r="AR19" s="42">
        <f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/>
      <c r="BC19" s="509"/>
      <c r="BD19" s="509"/>
      <c r="BE19" s="38"/>
      <c r="BF19" s="509"/>
    </row>
    <row r="20" spans="1:58" ht="12.95" customHeight="1">
      <c r="A20" s="45"/>
      <c r="B20" s="46"/>
      <c r="C20" s="454"/>
      <c r="D20" s="46"/>
      <c r="E20" s="47"/>
      <c r="F20" s="47"/>
      <c r="G20" s="505"/>
      <c r="H20" s="49"/>
      <c r="I20" s="50"/>
      <c r="J20" s="87"/>
      <c r="K20" s="87"/>
      <c r="L20" s="40"/>
      <c r="M20" s="40"/>
      <c r="N20" s="51"/>
      <c r="O20" s="52"/>
      <c r="P20" s="53"/>
      <c r="Q20" s="52"/>
      <c r="R20" s="506"/>
      <c r="S20" s="506"/>
      <c r="T20" s="42"/>
      <c r="U20" s="42"/>
      <c r="V20" s="42"/>
      <c r="W20" s="42"/>
      <c r="X20" s="507"/>
      <c r="Y20" s="216"/>
      <c r="Z20" s="42"/>
      <c r="AA20" s="54"/>
      <c r="AB20" s="54"/>
      <c r="AC20" s="42"/>
      <c r="AD20" s="42"/>
      <c r="AE20" s="237"/>
      <c r="AF20" s="42"/>
      <c r="AG20" s="42"/>
      <c r="AH20" s="42"/>
      <c r="AI20" s="508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55"/>
      <c r="BC20" s="56"/>
      <c r="BD20" s="56"/>
      <c r="BE20" s="55"/>
      <c r="BF20" s="56"/>
    </row>
    <row r="21" spans="1:58" ht="12.75" customHeight="1">
      <c r="A21" s="45">
        <v>45934</v>
      </c>
      <c r="B21" s="46" t="s">
        <v>462</v>
      </c>
      <c r="C21" s="454">
        <f>(M21*E21*O21*Q21)/100000000</f>
        <v>59.205427200000003</v>
      </c>
      <c r="D21" s="46" t="s">
        <v>451</v>
      </c>
      <c r="E21" s="47">
        <v>18</v>
      </c>
      <c r="F21" s="47">
        <v>1</v>
      </c>
      <c r="G21" s="505">
        <v>830</v>
      </c>
      <c r="H21" s="49">
        <v>0.15</v>
      </c>
      <c r="I21" s="50">
        <v>0.88</v>
      </c>
      <c r="J21" s="87">
        <f>E21*G21*(1-H21)*1440/1000000*3.4</f>
        <v>62.174304000000006</v>
      </c>
      <c r="K21" s="87">
        <f>(IF(G21&lt;L21,L21,G21)*(1-IF(H21&lt;N21,H21,N21))*E21*O21*Q21)/100000000</f>
        <v>59.205427200000003</v>
      </c>
      <c r="L21" s="40">
        <v>830</v>
      </c>
      <c r="M21" s="40">
        <f>+L21-L21*0.14</f>
        <v>713.8</v>
      </c>
      <c r="N21" s="51">
        <f>1-(M21/L21)</f>
        <v>0.14000000000000001</v>
      </c>
      <c r="O21" s="52">
        <f>+'Trim Rwd'!H11</f>
        <v>320</v>
      </c>
      <c r="P21" s="53">
        <f>O21*(Q21-R21-S21)</f>
        <v>353280</v>
      </c>
      <c r="Q21" s="52">
        <v>1440</v>
      </c>
      <c r="R21" s="506">
        <v>286</v>
      </c>
      <c r="S21" s="506">
        <v>50</v>
      </c>
      <c r="T21" s="42">
        <f>E21*M21*O21*Q21/100000000</f>
        <v>59.205427200000003</v>
      </c>
      <c r="U21" s="42">
        <f>E21*M21*O21*(Q21-R21-S21)/100000000</f>
        <v>45.390827520000002</v>
      </c>
      <c r="V21" s="42">
        <f>E21*G21*(1-N21)*O21/100*(R21+S21)/1000000</f>
        <v>13.814599679999999</v>
      </c>
      <c r="W21" s="42">
        <f>+'4'!K34/1000</f>
        <v>32.670999999999999</v>
      </c>
      <c r="X21" s="507">
        <f>SUM(W21:W24)/SUM(K21:K24)</f>
        <v>0.55182441112425584</v>
      </c>
      <c r="Y21" s="216">
        <v>0</v>
      </c>
      <c r="Z21" s="42">
        <f>+'4'!D34/1000</f>
        <v>4.7670000000000003</v>
      </c>
      <c r="AA21" s="54">
        <f>SUM(U21:U24)-SUM(W21:W24)-SUM(Z21:Z24)-SUM(Y21:Y24)</f>
        <v>7.9528275200000023</v>
      </c>
      <c r="AB21" s="54">
        <f>(SUM(K21:K24)-SUM(W21:W24)-SUM(Y21:Y24)-SUM(Z21:Z24)-SUM(AC21:AC24)-SUM(V21:V24))-AA21</f>
        <v>0</v>
      </c>
      <c r="AC21" s="42">
        <f>K21-T21</f>
        <v>0</v>
      </c>
      <c r="AD21" s="42">
        <f>+AM21+BA21</f>
        <v>9</v>
      </c>
      <c r="AE21" s="234" t="s">
        <v>479</v>
      </c>
      <c r="AF21" s="42">
        <v>9</v>
      </c>
      <c r="AG21" s="42"/>
      <c r="AH21" s="42"/>
      <c r="AI21" s="508"/>
      <c r="AJ21" s="42"/>
      <c r="AK21" s="42"/>
      <c r="AL21" s="42"/>
      <c r="AM21" s="42">
        <f>SUM(AF21:AL21)+AT21+AV21+AX21</f>
        <v>9</v>
      </c>
      <c r="AN21" s="42"/>
      <c r="AO21" s="42"/>
      <c r="AP21" s="42"/>
      <c r="AQ21" s="42"/>
      <c r="AR21" s="42">
        <f>SUM(AN21:AQ21)</f>
        <v>0</v>
      </c>
      <c r="AS21" s="42"/>
      <c r="AT21" s="42"/>
      <c r="AU21" s="42"/>
      <c r="AV21" s="42"/>
      <c r="AW21" s="42"/>
      <c r="AX21" s="42"/>
      <c r="AY21" s="42"/>
      <c r="AZ21" s="42"/>
      <c r="BA21" s="42">
        <f>+AR21+AS21+AU21+AW21+AY21+AZ21</f>
        <v>0</v>
      </c>
      <c r="BB21" s="38">
        <v>5</v>
      </c>
      <c r="BC21" s="56"/>
      <c r="BD21" s="56"/>
      <c r="BE21" s="38"/>
      <c r="BF21" s="56"/>
    </row>
    <row r="22" spans="1:58" ht="12.95" customHeight="1">
      <c r="A22" s="45"/>
      <c r="B22" s="46"/>
      <c r="C22" s="454"/>
      <c r="D22" s="46"/>
      <c r="E22" s="47"/>
      <c r="F22" s="47"/>
      <c r="G22" s="505"/>
      <c r="H22" s="49"/>
      <c r="I22" s="50"/>
      <c r="J22" s="87"/>
      <c r="K22" s="87"/>
      <c r="L22" s="40"/>
      <c r="M22" s="40"/>
      <c r="N22" s="51"/>
      <c r="O22" s="52"/>
      <c r="P22" s="53"/>
      <c r="Q22" s="52"/>
      <c r="R22" s="506"/>
      <c r="S22" s="506"/>
      <c r="T22" s="42"/>
      <c r="U22" s="42"/>
      <c r="V22" s="42"/>
      <c r="W22" s="42"/>
      <c r="X22" s="43"/>
      <c r="Y22" s="216"/>
      <c r="Z22" s="42"/>
      <c r="AA22" s="42"/>
      <c r="AB22" s="42"/>
      <c r="AC22" s="42"/>
      <c r="AD22" s="42">
        <f>+AM22+BA22</f>
        <v>21</v>
      </c>
      <c r="AE22" s="234" t="s">
        <v>481</v>
      </c>
      <c r="AF22" s="42"/>
      <c r="AG22" s="42">
        <v>21</v>
      </c>
      <c r="AH22" s="42"/>
      <c r="AI22" s="508"/>
      <c r="AJ22" s="42"/>
      <c r="AK22" s="42"/>
      <c r="AL22" s="42"/>
      <c r="AM22" s="42">
        <f>SUM(AF22:AL22)+AT22+AV22+AX22</f>
        <v>21</v>
      </c>
      <c r="AN22" s="88"/>
      <c r="AO22" s="42"/>
      <c r="AP22" s="42"/>
      <c r="AQ22" s="42"/>
      <c r="AR22" s="42">
        <f>SUM(AN22:AQ22)</f>
        <v>0</v>
      </c>
      <c r="AS22" s="42"/>
      <c r="AT22" s="42"/>
      <c r="AU22" s="42"/>
      <c r="AV22" s="42"/>
      <c r="AW22" s="42"/>
      <c r="AX22" s="42"/>
      <c r="AY22" s="42"/>
      <c r="AZ22" s="42"/>
      <c r="BA22" s="42">
        <f>+AR22+AS22+AU22+AW22+AY22+AZ22</f>
        <v>0</v>
      </c>
      <c r="BB22" s="55"/>
      <c r="BC22" s="56">
        <v>6</v>
      </c>
      <c r="BD22" s="56"/>
      <c r="BE22" s="55"/>
      <c r="BF22" s="56"/>
    </row>
    <row r="23" spans="1:58" ht="12.95" customHeight="1">
      <c r="A23" s="45"/>
      <c r="B23" s="46"/>
      <c r="C23" s="454"/>
      <c r="D23" s="46"/>
      <c r="E23" s="47"/>
      <c r="F23" s="47"/>
      <c r="G23" s="505"/>
      <c r="H23" s="49"/>
      <c r="I23" s="50"/>
      <c r="J23" s="87"/>
      <c r="K23" s="87"/>
      <c r="L23" s="40"/>
      <c r="M23" s="40"/>
      <c r="N23" s="51"/>
      <c r="O23" s="52"/>
      <c r="P23" s="53"/>
      <c r="Q23" s="52"/>
      <c r="R23" s="506"/>
      <c r="S23" s="506"/>
      <c r="T23" s="42"/>
      <c r="U23" s="42"/>
      <c r="V23" s="42"/>
      <c r="W23" s="42"/>
      <c r="X23" s="43"/>
      <c r="Y23" s="216"/>
      <c r="Z23" s="42"/>
      <c r="AA23" s="42"/>
      <c r="AB23" s="42"/>
      <c r="AC23" s="42"/>
      <c r="AD23" s="42">
        <f>+AM23+BA23</f>
        <v>20</v>
      </c>
      <c r="AE23" s="234" t="s">
        <v>226</v>
      </c>
      <c r="AF23" s="38"/>
      <c r="AG23" s="38"/>
      <c r="AH23" s="42">
        <v>20</v>
      </c>
      <c r="AI23" s="508"/>
      <c r="AJ23" s="42"/>
      <c r="AK23" s="42"/>
      <c r="AL23" s="42"/>
      <c r="AM23" s="42">
        <f>SUM(AF23:AL23)+AT23+AV23+AX23</f>
        <v>20</v>
      </c>
      <c r="AN23" s="42"/>
      <c r="AO23" s="42"/>
      <c r="AP23" s="42"/>
      <c r="AQ23" s="42"/>
      <c r="AR23" s="42">
        <f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38"/>
      <c r="BC23" s="509"/>
      <c r="BD23" s="509"/>
      <c r="BE23" s="38"/>
      <c r="BF23" s="509"/>
    </row>
    <row r="24" spans="1:58" ht="12.95" customHeight="1">
      <c r="A24" s="45"/>
      <c r="B24" s="46"/>
      <c r="C24" s="454"/>
      <c r="D24" s="46"/>
      <c r="E24" s="47"/>
      <c r="F24" s="47"/>
      <c r="G24" s="505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06"/>
      <c r="S24" s="506"/>
      <c r="T24" s="42"/>
      <c r="U24" s="42"/>
      <c r="V24" s="42"/>
      <c r="W24" s="42"/>
      <c r="X24" s="43"/>
      <c r="Y24" s="216"/>
      <c r="Z24" s="42"/>
      <c r="AA24" s="42"/>
      <c r="AB24" s="42"/>
      <c r="AC24" s="42"/>
      <c r="AD24" s="42">
        <f>+AM24+BA24</f>
        <v>286</v>
      </c>
      <c r="AE24" s="587" t="s">
        <v>482</v>
      </c>
      <c r="AF24" s="42"/>
      <c r="AG24" s="42"/>
      <c r="AH24" s="42"/>
      <c r="AJ24" s="42"/>
      <c r="AK24" s="42"/>
      <c r="AL24" s="42"/>
      <c r="AM24" s="42">
        <f>SUM(AF24:AL24)+AT24+AV24+AX24</f>
        <v>0</v>
      </c>
      <c r="AN24" s="42">
        <v>286</v>
      </c>
      <c r="AO24" s="42"/>
      <c r="AP24" s="42"/>
      <c r="AQ24" s="42"/>
      <c r="AR24" s="42">
        <f>SUM(AN24:AQ24)</f>
        <v>286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286</v>
      </c>
      <c r="BB24" s="38"/>
      <c r="BC24" s="509"/>
      <c r="BD24" s="509"/>
      <c r="BE24" s="38"/>
      <c r="BF24" s="509">
        <v>1</v>
      </c>
    </row>
    <row r="25" spans="1:58" ht="12.95" customHeight="1">
      <c r="A25" s="45"/>
      <c r="B25" s="46"/>
      <c r="C25" s="454"/>
      <c r="D25" s="46"/>
      <c r="E25" s="47"/>
      <c r="F25" s="47"/>
      <c r="G25" s="505"/>
      <c r="H25" s="49"/>
      <c r="I25" s="50"/>
      <c r="J25" s="87"/>
      <c r="K25" s="87"/>
      <c r="L25" s="40"/>
      <c r="M25" s="40"/>
      <c r="N25" s="51"/>
      <c r="O25" s="52"/>
      <c r="P25" s="53"/>
      <c r="Q25" s="52"/>
      <c r="R25" s="506"/>
      <c r="S25" s="506"/>
      <c r="T25" s="42"/>
      <c r="U25" s="42"/>
      <c r="V25" s="42"/>
      <c r="W25" s="42"/>
      <c r="X25" s="507"/>
      <c r="Y25" s="216"/>
      <c r="Z25" s="42"/>
      <c r="AA25" s="54"/>
      <c r="AB25" s="54"/>
      <c r="AC25" s="42"/>
      <c r="AD25" s="42"/>
      <c r="AE25" s="237"/>
      <c r="AF25" s="42"/>
      <c r="AG25" s="42"/>
      <c r="AH25" s="42"/>
      <c r="AI25" s="508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55"/>
      <c r="BC25" s="56"/>
      <c r="BD25" s="56"/>
      <c r="BE25" s="55"/>
      <c r="BF25" s="56"/>
    </row>
    <row r="26" spans="1:58" ht="12.75" customHeight="1">
      <c r="A26" s="45">
        <v>45935</v>
      </c>
      <c r="B26" s="46" t="s">
        <v>462</v>
      </c>
      <c r="C26" s="454">
        <f>(M26*E26*O26*Q26)/100000000</f>
        <v>38.031264</v>
      </c>
      <c r="D26" s="46" t="s">
        <v>451</v>
      </c>
      <c r="E26" s="47">
        <v>18</v>
      </c>
      <c r="F26" s="47">
        <v>1</v>
      </c>
      <c r="G26" s="505">
        <v>830</v>
      </c>
      <c r="H26" s="49">
        <v>0.15</v>
      </c>
      <c r="I26" s="50">
        <v>0.88</v>
      </c>
      <c r="J26" s="87">
        <f>E26*G26*(1-H26)*1440/1000000*3.4</f>
        <v>62.174304000000006</v>
      </c>
      <c r="K26" s="87">
        <f>(IF(G26&lt;L26,L26,G26)*(1-IF(H26&lt;N26,H26,N26))*E26*O26*Q26)/100000000</f>
        <v>38.031264</v>
      </c>
      <c r="L26" s="40">
        <v>830</v>
      </c>
      <c r="M26" s="40">
        <f>+L26-L26*0.14</f>
        <v>713.8</v>
      </c>
      <c r="N26" s="51">
        <f>1-(M26/L26)</f>
        <v>0.14000000000000001</v>
      </c>
      <c r="O26" s="52">
        <f>+'Trim Rwd'!H13</f>
        <v>320</v>
      </c>
      <c r="P26" s="53">
        <f>O26*(Q26-R26-S26)</f>
        <v>222400</v>
      </c>
      <c r="Q26" s="52">
        <v>925</v>
      </c>
      <c r="R26" s="506">
        <v>200</v>
      </c>
      <c r="S26" s="506">
        <v>30</v>
      </c>
      <c r="T26" s="42">
        <f>E26*M26*O26*Q26/100000000</f>
        <v>38.031264</v>
      </c>
      <c r="U26" s="42">
        <f>E26*M26*O26*(Q26-R26-S26)/100000000</f>
        <v>28.574841599999999</v>
      </c>
      <c r="V26" s="42">
        <f>E26*G26*(1-N26)*O26/100*(R26+S26)/1000000</f>
        <v>9.4564223999999992</v>
      </c>
      <c r="W26" s="42">
        <f>+'5'!K8/1000</f>
        <v>22.361000000000001</v>
      </c>
      <c r="X26" s="507">
        <f>SUM(W26:W29)/SUM(K26:K29)</f>
        <v>0.7189052644259194</v>
      </c>
      <c r="Y26" s="216">
        <v>0</v>
      </c>
      <c r="Z26" s="42">
        <f>+'5'!D34/1000</f>
        <v>3.238</v>
      </c>
      <c r="AA26" s="54">
        <f>SUM(U26:U29)-SUM(W26:W29)-SUM(Z26:Z29)-SUM(Y26:Y29)</f>
        <v>4.1092415999999972</v>
      </c>
      <c r="AB26" s="54">
        <f>(SUM(K26:K29)-SUM(W26:W29)-SUM(Y26:Y29)-SUM(Z26:Z29)-SUM(AC26:AC29)-SUM(V26:V29))-AA26</f>
        <v>0</v>
      </c>
      <c r="AC26" s="42">
        <f>K26-T26</f>
        <v>0</v>
      </c>
      <c r="AD26" s="42">
        <f>+AM26+BA26</f>
        <v>2</v>
      </c>
      <c r="AE26" s="234" t="s">
        <v>391</v>
      </c>
      <c r="AF26" s="42">
        <v>2</v>
      </c>
      <c r="AG26" s="42"/>
      <c r="AH26" s="42"/>
      <c r="AI26" s="508"/>
      <c r="AJ26" s="42"/>
      <c r="AK26" s="42"/>
      <c r="AL26" s="42"/>
      <c r="AM26" s="42">
        <f>SUM(AF26:AL26)+AT26+AV26+AX26</f>
        <v>2</v>
      </c>
      <c r="AN26" s="42"/>
      <c r="AO26" s="42"/>
      <c r="AP26" s="42"/>
      <c r="AQ26" s="42"/>
      <c r="AR26" s="42">
        <f>SUM(AN26:AQ26)</f>
        <v>0</v>
      </c>
      <c r="AS26" s="42"/>
      <c r="AT26" s="42"/>
      <c r="AU26" s="42"/>
      <c r="AV26" s="42"/>
      <c r="AW26" s="42"/>
      <c r="AX26" s="42"/>
      <c r="AY26" s="42"/>
      <c r="AZ26" s="42"/>
      <c r="BA26" s="42">
        <f>+AR26+AS26+AU26+AW26+AY26+AZ26</f>
        <v>0</v>
      </c>
      <c r="BB26" s="38">
        <v>5</v>
      </c>
      <c r="BC26" s="56"/>
      <c r="BD26" s="56"/>
      <c r="BE26" s="38"/>
      <c r="BF26" s="56"/>
    </row>
    <row r="27" spans="1:58" ht="12.95" customHeight="1">
      <c r="A27" s="45"/>
      <c r="B27" s="46" t="s">
        <v>462</v>
      </c>
      <c r="C27" s="454">
        <f>(M27*E27*O27*Q27)/100000000</f>
        <v>24.262062</v>
      </c>
      <c r="D27" s="46" t="s">
        <v>451</v>
      </c>
      <c r="E27" s="47">
        <v>20</v>
      </c>
      <c r="F27" s="47">
        <v>1</v>
      </c>
      <c r="G27" s="505">
        <v>830</v>
      </c>
      <c r="H27" s="49">
        <v>0.15</v>
      </c>
      <c r="I27" s="50">
        <v>0.88</v>
      </c>
      <c r="J27" s="87">
        <f>E27*G27*(1-H27)*1440/1000000*3.4</f>
        <v>69.082560000000001</v>
      </c>
      <c r="K27" s="87">
        <f>(IF(G27&lt;L27,L27,G27)*(1-IF(H27&lt;N27,H27,N27))*E27*O27*Q27)/100000000</f>
        <v>24.262062</v>
      </c>
      <c r="L27" s="40">
        <v>830</v>
      </c>
      <c r="M27" s="40">
        <f>+L27-L27*0.14</f>
        <v>713.8</v>
      </c>
      <c r="N27" s="51">
        <f>1-(M27/L27)</f>
        <v>0.14000000000000001</v>
      </c>
      <c r="O27" s="52">
        <f>+'Trim Rwd'!H14</f>
        <v>330</v>
      </c>
      <c r="P27" s="53">
        <f>O27*(Q27-R27-S27)</f>
        <v>165000</v>
      </c>
      <c r="Q27" s="52">
        <v>515</v>
      </c>
      <c r="R27" s="506">
        <v>0</v>
      </c>
      <c r="S27" s="506">
        <v>15</v>
      </c>
      <c r="T27" s="42">
        <f>E27*M27*O27*Q27/100000000</f>
        <v>24.262062</v>
      </c>
      <c r="U27" s="42">
        <f>E27*M27*O27*(Q27-R27-S27)/100000000</f>
        <v>23.555399999999999</v>
      </c>
      <c r="V27" s="42">
        <f>E27*G27*(1-N27)*O27/100*(R27+S27)/1000000</f>
        <v>0.70666200000000001</v>
      </c>
      <c r="W27" s="42">
        <f>+'5'!K9/1000</f>
        <v>17.285</v>
      </c>
      <c r="X27" s="43"/>
      <c r="Y27" s="216"/>
      <c r="Z27" s="42"/>
      <c r="AA27" s="42"/>
      <c r="AB27" s="42"/>
      <c r="AC27" s="42">
        <f>K27-T27</f>
        <v>0</v>
      </c>
      <c r="AD27" s="42">
        <f>+AM27+BA27</f>
        <v>19</v>
      </c>
      <c r="AE27" s="234" t="s">
        <v>480</v>
      </c>
      <c r="AF27" s="42"/>
      <c r="AG27" s="42">
        <v>19</v>
      </c>
      <c r="AH27" s="42"/>
      <c r="AI27" s="508"/>
      <c r="AJ27" s="42"/>
      <c r="AK27" s="42"/>
      <c r="AL27" s="42"/>
      <c r="AM27" s="42">
        <f>SUM(AF27:AL27)+AT27+AV27+AX27</f>
        <v>19</v>
      </c>
      <c r="AN27" s="88"/>
      <c r="AO27" s="42"/>
      <c r="AP27" s="42"/>
      <c r="AQ27" s="42"/>
      <c r="AR27" s="42">
        <f>SUM(AN27:AQ27)</f>
        <v>0</v>
      </c>
      <c r="AS27" s="42"/>
      <c r="AT27" s="42"/>
      <c r="AU27" s="42"/>
      <c r="AV27" s="42"/>
      <c r="AW27" s="42"/>
      <c r="AX27" s="42"/>
      <c r="AY27" s="42"/>
      <c r="AZ27" s="42"/>
      <c r="BA27" s="42">
        <f>+AR27+AS27+AU27+AW27+AY27+AZ27</f>
        <v>0</v>
      </c>
      <c r="BB27" s="55"/>
      <c r="BC27" s="56">
        <v>6</v>
      </c>
      <c r="BD27" s="56"/>
      <c r="BE27" s="55"/>
      <c r="BF27" s="56"/>
    </row>
    <row r="28" spans="1:58" ht="12.95" customHeight="1">
      <c r="A28" s="45"/>
      <c r="B28" s="46" t="s">
        <v>8</v>
      </c>
      <c r="C28" s="454"/>
      <c r="D28" s="46"/>
      <c r="E28" s="47">
        <v>17</v>
      </c>
      <c r="F28" s="47"/>
      <c r="G28" s="505"/>
      <c r="H28" s="49"/>
      <c r="I28" s="50"/>
      <c r="J28" s="87"/>
      <c r="K28" s="87"/>
      <c r="L28" s="40"/>
      <c r="M28" s="40"/>
      <c r="N28" s="51"/>
      <c r="O28" s="52"/>
      <c r="P28" s="53"/>
      <c r="Q28" s="52"/>
      <c r="R28" s="506"/>
      <c r="S28" s="506"/>
      <c r="T28" s="42"/>
      <c r="U28" s="42"/>
      <c r="V28" s="42"/>
      <c r="W28" s="42">
        <f>+'5'!K7/1000</f>
        <v>5.1369999999999996</v>
      </c>
      <c r="X28" s="43"/>
      <c r="Y28" s="216"/>
      <c r="Z28" s="42"/>
      <c r="AA28" s="42"/>
      <c r="AB28" s="42"/>
      <c r="AC28" s="42"/>
      <c r="AD28" s="42">
        <f>+AM28+BA28</f>
        <v>19</v>
      </c>
      <c r="AE28" s="234" t="s">
        <v>226</v>
      </c>
      <c r="AF28" s="38"/>
      <c r="AG28" s="38"/>
      <c r="AH28" s="42">
        <v>19</v>
      </c>
      <c r="AI28" s="508"/>
      <c r="AJ28" s="42"/>
      <c r="AK28" s="42"/>
      <c r="AL28" s="42"/>
      <c r="AM28" s="42">
        <f>SUM(AF28:AL28)+AT28+AV28+AX28</f>
        <v>19</v>
      </c>
      <c r="AN28" s="42"/>
      <c r="AO28" s="42"/>
      <c r="AP28" s="42"/>
      <c r="AQ28" s="42"/>
      <c r="AR28" s="42">
        <f>SUM(AN28:AQ28)</f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/>
      <c r="BC28" s="509"/>
      <c r="BD28" s="509"/>
      <c r="BE28" s="38"/>
      <c r="BF28" s="509"/>
    </row>
    <row r="29" spans="1:58" ht="12.95" customHeight="1">
      <c r="A29" s="45"/>
      <c r="B29" s="46"/>
      <c r="C29" s="454"/>
      <c r="D29" s="46"/>
      <c r="E29" s="47"/>
      <c r="F29" s="47"/>
      <c r="G29" s="48"/>
      <c r="H29" s="49"/>
      <c r="I29" s="50"/>
      <c r="J29" s="87"/>
      <c r="K29" s="87"/>
      <c r="L29" s="40"/>
      <c r="M29" s="40"/>
      <c r="N29" s="51"/>
      <c r="O29" s="52"/>
      <c r="P29" s="53"/>
      <c r="Q29" s="39"/>
      <c r="R29" s="506"/>
      <c r="S29" s="506"/>
      <c r="T29" s="42"/>
      <c r="U29" s="42"/>
      <c r="V29" s="42"/>
      <c r="W29" s="42"/>
      <c r="X29" s="43"/>
      <c r="Y29" s="216"/>
      <c r="Z29" s="42"/>
      <c r="AA29" s="42"/>
      <c r="AB29" s="42"/>
      <c r="AC29" s="42"/>
      <c r="AD29" s="42">
        <f>+AM29+BA29</f>
        <v>5</v>
      </c>
      <c r="AE29" s="587" t="s">
        <v>463</v>
      </c>
      <c r="AF29" s="42"/>
      <c r="AG29" s="42"/>
      <c r="AH29" s="42"/>
      <c r="AI29" s="508">
        <v>5</v>
      </c>
      <c r="AJ29" s="42"/>
      <c r="AK29" s="42"/>
      <c r="AL29" s="42"/>
      <c r="AM29" s="42">
        <f>SUM(AF29:AL29)+AT29+AV29+AX29</f>
        <v>5</v>
      </c>
      <c r="AN29" s="42"/>
      <c r="AO29" s="42"/>
      <c r="AP29" s="42"/>
      <c r="AQ29" s="42"/>
      <c r="AR29" s="42">
        <f>SUM(AN29:AQ29)</f>
        <v>0</v>
      </c>
      <c r="AS29" s="42"/>
      <c r="AT29" s="42"/>
      <c r="AU29" s="42"/>
      <c r="AV29" s="42"/>
      <c r="AW29" s="42"/>
      <c r="AX29" s="42"/>
      <c r="AY29" s="42"/>
      <c r="AZ29" s="42"/>
      <c r="BA29" s="42">
        <f>+AR29+AS29+AU29+AW29+AY29+AZ29</f>
        <v>0</v>
      </c>
      <c r="BB29" s="38"/>
      <c r="BC29" s="509"/>
      <c r="BD29" s="509"/>
      <c r="BE29" s="38"/>
      <c r="BF29" s="509"/>
    </row>
    <row r="30" spans="1:58" ht="12.95" customHeight="1">
      <c r="A30" s="45"/>
      <c r="B30" s="46"/>
      <c r="C30" s="454"/>
      <c r="D30" s="46"/>
      <c r="E30" s="47"/>
      <c r="F30" s="47"/>
      <c r="G30" s="505"/>
      <c r="H30" s="49"/>
      <c r="I30" s="50"/>
      <c r="J30" s="87"/>
      <c r="K30" s="87"/>
      <c r="L30" s="40"/>
      <c r="M30" s="40"/>
      <c r="N30" s="51"/>
      <c r="O30" s="52"/>
      <c r="P30" s="53"/>
      <c r="Q30" s="52"/>
      <c r="R30" s="506"/>
      <c r="S30" s="506"/>
      <c r="T30" s="42"/>
      <c r="U30" s="42"/>
      <c r="V30" s="42"/>
      <c r="W30" s="42"/>
      <c r="X30" s="507"/>
      <c r="Y30" s="216"/>
      <c r="Z30" s="42"/>
      <c r="AA30" s="54"/>
      <c r="AB30" s="54"/>
      <c r="AC30" s="42"/>
      <c r="AD30" s="42">
        <f>+AM30+BA30</f>
        <v>200</v>
      </c>
      <c r="AE30" s="237" t="s">
        <v>477</v>
      </c>
      <c r="AF30" s="42"/>
      <c r="AG30" s="42"/>
      <c r="AH30" s="42"/>
      <c r="AI30" s="508"/>
      <c r="AJ30" s="42"/>
      <c r="AK30" s="42"/>
      <c r="AL30" s="42"/>
      <c r="AM30" s="42">
        <f>SUM(AF30:AL30)+AT30+AV30+AX30</f>
        <v>0</v>
      </c>
      <c r="AN30" s="42">
        <v>200</v>
      </c>
      <c r="AO30" s="42"/>
      <c r="AP30" s="42"/>
      <c r="AQ30" s="42"/>
      <c r="AR30" s="42">
        <f>SUM(AN30:AQ30)</f>
        <v>200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200</v>
      </c>
      <c r="BB30" s="38"/>
      <c r="BC30" s="509"/>
      <c r="BD30" s="509"/>
      <c r="BE30" s="38"/>
      <c r="BF30" s="509">
        <v>1</v>
      </c>
    </row>
    <row r="31" spans="1:58" ht="12.95" customHeight="1">
      <c r="A31" s="45"/>
      <c r="B31" s="46"/>
      <c r="C31" s="454"/>
      <c r="D31" s="46"/>
      <c r="E31" s="47"/>
      <c r="F31" s="47"/>
      <c r="G31" s="505"/>
      <c r="H31" s="49"/>
      <c r="I31" s="50"/>
      <c r="J31" s="87"/>
      <c r="K31" s="87"/>
      <c r="L31" s="40"/>
      <c r="M31" s="40"/>
      <c r="N31" s="51"/>
      <c r="O31" s="52"/>
      <c r="P31" s="53"/>
      <c r="Q31" s="52"/>
      <c r="R31" s="506"/>
      <c r="S31" s="506"/>
      <c r="T31" s="42"/>
      <c r="U31" s="42"/>
      <c r="V31" s="42"/>
      <c r="W31" s="42"/>
      <c r="X31" s="43"/>
      <c r="Y31" s="216"/>
      <c r="Z31" s="42"/>
      <c r="AA31" s="42"/>
      <c r="AB31" s="42"/>
      <c r="AC31" s="42"/>
      <c r="AD31" s="42"/>
      <c r="AE31" s="584"/>
      <c r="AF31" s="42"/>
      <c r="AG31" s="42"/>
      <c r="AH31" s="42"/>
      <c r="AI31" s="508"/>
      <c r="AJ31" s="42"/>
      <c r="AK31" s="42"/>
      <c r="AL31" s="42"/>
      <c r="AM31" s="42"/>
      <c r="AN31" s="88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55"/>
      <c r="BC31" s="56"/>
      <c r="BD31" s="56"/>
      <c r="BE31" s="55"/>
      <c r="BF31" s="56"/>
    </row>
    <row r="32" spans="1:58" ht="12.75" customHeight="1">
      <c r="A32" s="45">
        <v>45936</v>
      </c>
      <c r="B32" s="46" t="s">
        <v>462</v>
      </c>
      <c r="C32" s="454">
        <f>(M32*E32*O32*Q32)/100000000</f>
        <v>52.122189043749998</v>
      </c>
      <c r="D32" s="46" t="s">
        <v>451</v>
      </c>
      <c r="E32" s="47">
        <v>20</v>
      </c>
      <c r="F32" s="47">
        <v>1</v>
      </c>
      <c r="G32" s="505">
        <v>830</v>
      </c>
      <c r="H32" s="49">
        <v>0.15</v>
      </c>
      <c r="I32" s="50">
        <v>0.88</v>
      </c>
      <c r="J32" s="87">
        <f>E32*G32*(1-H32)*1440/1000000*3.4</f>
        <v>69.082560000000001</v>
      </c>
      <c r="K32" s="87">
        <f>(IF(G32&lt;L32,L32,G32)*(1-IF(H32&lt;N32,H32,N32))*E32*O32*Q32)/100000000</f>
        <v>52.122189043749998</v>
      </c>
      <c r="L32" s="40">
        <v>830</v>
      </c>
      <c r="M32" s="40">
        <f>+L32-L32*0.14</f>
        <v>713.8</v>
      </c>
      <c r="N32" s="51">
        <f>1-(M32/L32)</f>
        <v>0.14000000000000001</v>
      </c>
      <c r="O32" s="52">
        <f>+'Trim Rwd'!H17</f>
        <v>329.21875</v>
      </c>
      <c r="P32" s="53">
        <f>O32*(Q32-R32-S32)</f>
        <v>362799.0625</v>
      </c>
      <c r="Q32" s="52">
        <v>1109</v>
      </c>
      <c r="R32" s="506">
        <v>0</v>
      </c>
      <c r="S32" s="506">
        <v>7</v>
      </c>
      <c r="T32" s="42">
        <f>E32*M32*O32*Q32/100000000</f>
        <v>52.122189043749998</v>
      </c>
      <c r="U32" s="42">
        <f>E32*M32*O32*(Q32-R32-S32)/100000000</f>
        <v>51.793194162500001</v>
      </c>
      <c r="V32" s="42">
        <f>E32*G32*(1-N32)*O32/100*(R32+S32)/1000000</f>
        <v>0.32899488125000004</v>
      </c>
      <c r="W32" s="42">
        <f>+'6'!K9/1000</f>
        <v>54.194000000000003</v>
      </c>
      <c r="X32" s="507">
        <f>SUM(W32:W35)/SUM(K32:K35)</f>
        <v>0.92244267783725575</v>
      </c>
      <c r="Y32" s="216">
        <v>0</v>
      </c>
      <c r="Z32" s="42">
        <v>0</v>
      </c>
      <c r="AA32" s="54">
        <f>SUM(U32:U35)-SUM(W32:W35)-SUM(Z32:Z35)-SUM(Y32:Y35)</f>
        <v>3.6889570992999978</v>
      </c>
      <c r="AB32" s="54">
        <f>(SUM(K32:K35)-SUM(W32:W35)-SUM(Y32:Y35)-SUM(Z32:Z35)-SUM(AC32:AC35)-SUM(V32:V35))-AA32</f>
        <v>-6.2172489379008766E-15</v>
      </c>
      <c r="AC32" s="42">
        <f>K32-T32</f>
        <v>0</v>
      </c>
      <c r="AD32" s="42">
        <f>+AM32+BA32</f>
        <v>0</v>
      </c>
      <c r="AE32" s="234" t="s">
        <v>394</v>
      </c>
      <c r="AF32" s="42">
        <v>0</v>
      </c>
      <c r="AG32" s="42"/>
      <c r="AH32" s="42"/>
      <c r="AI32" s="508"/>
      <c r="AJ32" s="42"/>
      <c r="AK32" s="42"/>
      <c r="AL32" s="42"/>
      <c r="AM32" s="42">
        <f>SUM(AF32:AL32)+AT32+AV32+AX32</f>
        <v>0</v>
      </c>
      <c r="AN32" s="42"/>
      <c r="AO32" s="42"/>
      <c r="AP32" s="42"/>
      <c r="AQ32" s="42"/>
      <c r="AR32" s="42">
        <f>SUM(AN32:AQ32)</f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>
        <v>0</v>
      </c>
      <c r="BC32" s="56"/>
      <c r="BD32" s="56"/>
      <c r="BE32" s="38"/>
      <c r="BF32" s="56"/>
    </row>
    <row r="33" spans="1:58" ht="12.95" customHeight="1">
      <c r="A33" s="45"/>
      <c r="B33" s="46" t="s">
        <v>462</v>
      </c>
      <c r="C33" s="454">
        <f>(M33*E33*O33*Q33)/100000000</f>
        <v>5.2479718079999991</v>
      </c>
      <c r="D33" s="46" t="s">
        <v>451</v>
      </c>
      <c r="E33" s="47">
        <v>17</v>
      </c>
      <c r="F33" s="47">
        <v>1</v>
      </c>
      <c r="G33" s="505">
        <v>830</v>
      </c>
      <c r="H33" s="49">
        <v>0.15</v>
      </c>
      <c r="I33" s="50">
        <v>0.88</v>
      </c>
      <c r="J33" s="87">
        <f>E33*G33*(1-H33)*1440/1000000*3.4</f>
        <v>58.720176000000002</v>
      </c>
      <c r="K33" s="87">
        <f>(IF(G33&lt;L33,L33,G33)*(1-IF(H33&lt;N33,H33,N33))*E33*O33*Q33)/100000000</f>
        <v>5.2479718079999991</v>
      </c>
      <c r="L33" s="40">
        <v>830</v>
      </c>
      <c r="M33" s="40">
        <f>+L33-L33*0.14</f>
        <v>713.8</v>
      </c>
      <c r="N33" s="51">
        <f>1-(M33/L33)</f>
        <v>0.14000000000000001</v>
      </c>
      <c r="O33" s="52">
        <f>+'Trim Rwd'!H19</f>
        <v>318</v>
      </c>
      <c r="P33" s="53">
        <f>O33*(Q33-R33-S33)</f>
        <v>39750</v>
      </c>
      <c r="Q33" s="52">
        <v>136</v>
      </c>
      <c r="R33" s="506">
        <v>0</v>
      </c>
      <c r="S33" s="506">
        <v>11</v>
      </c>
      <c r="T33" s="42">
        <f>E33*M33*O33*Q33/100000000</f>
        <v>5.2479718079999991</v>
      </c>
      <c r="U33" s="42">
        <f>E33*M33*O33*(Q33-R33-S33)/100000000</f>
        <v>4.8235034999999993</v>
      </c>
      <c r="V33" s="42">
        <f>E33*G33*(1-N33)*O33/100*(R33+S33)/1000000</f>
        <v>0.42446830800000007</v>
      </c>
      <c r="W33" s="42">
        <f>+'6'!K10/1000</f>
        <v>5.2530000000000001</v>
      </c>
      <c r="X33" s="43"/>
      <c r="Y33" s="216"/>
      <c r="Z33" s="42"/>
      <c r="AA33" s="42"/>
      <c r="AB33" s="42"/>
      <c r="AC33" s="42">
        <f>K33-T33</f>
        <v>0</v>
      </c>
      <c r="AD33" s="42">
        <f>+AM33+BA33</f>
        <v>7</v>
      </c>
      <c r="AE33" s="234" t="s">
        <v>449</v>
      </c>
      <c r="AF33" s="42"/>
      <c r="AG33" s="42">
        <v>7</v>
      </c>
      <c r="AH33" s="42"/>
      <c r="AI33" s="508"/>
      <c r="AJ33" s="42"/>
      <c r="AK33" s="42"/>
      <c r="AL33" s="42"/>
      <c r="AM33" s="42">
        <f>SUM(AF33:AL33)+AT33+AV33+AX33</f>
        <v>7</v>
      </c>
      <c r="AN33" s="88"/>
      <c r="AO33" s="42"/>
      <c r="AP33" s="42"/>
      <c r="AQ33" s="42"/>
      <c r="AR33" s="42">
        <f>SUM(AN33:AQ33)</f>
        <v>0</v>
      </c>
      <c r="AS33" s="42"/>
      <c r="AT33" s="42"/>
      <c r="AU33" s="42"/>
      <c r="AV33" s="42"/>
      <c r="AW33" s="42"/>
      <c r="AX33" s="42"/>
      <c r="AY33" s="42"/>
      <c r="AZ33" s="42"/>
      <c r="BA33" s="42">
        <f>+AR33+AS33+AU33+AW33+AY33+AZ33</f>
        <v>0</v>
      </c>
      <c r="BB33" s="55"/>
      <c r="BC33" s="56">
        <v>2</v>
      </c>
      <c r="BD33" s="56"/>
      <c r="BE33" s="55"/>
      <c r="BF33" s="56"/>
    </row>
    <row r="34" spans="1:58" ht="12.95" customHeight="1">
      <c r="A34" s="45"/>
      <c r="B34" s="46" t="s">
        <v>462</v>
      </c>
      <c r="C34" s="454">
        <f>(M34*E34*O34*Q34)/100000000</f>
        <v>2.38466304</v>
      </c>
      <c r="D34" s="46" t="s">
        <v>451</v>
      </c>
      <c r="E34" s="47">
        <v>18</v>
      </c>
      <c r="F34" s="47">
        <v>1</v>
      </c>
      <c r="G34" s="505">
        <v>830</v>
      </c>
      <c r="H34" s="49">
        <v>0.15</v>
      </c>
      <c r="I34" s="50">
        <v>0.88</v>
      </c>
      <c r="J34" s="87">
        <f>E34*G34*(1-H34)*1440/1000000*3.4</f>
        <v>62.174304000000006</v>
      </c>
      <c r="K34" s="87">
        <f>(IF(G34&lt;L34,L34,G34)*(1-IF(H34&lt;N34,H34,N34))*E34*O34*Q34)/100000000</f>
        <v>2.38466304</v>
      </c>
      <c r="L34" s="40">
        <v>830</v>
      </c>
      <c r="M34" s="40">
        <f>+L34-L34*0.14</f>
        <v>713.8</v>
      </c>
      <c r="N34" s="51">
        <f>1-(M34/L34)</f>
        <v>0.14000000000000001</v>
      </c>
      <c r="O34" s="52">
        <f>+'Trim Rwd'!H20</f>
        <v>320</v>
      </c>
      <c r="P34" s="53">
        <f>O34*(Q34-R34-S34)</f>
        <v>18560</v>
      </c>
      <c r="Q34" s="52">
        <v>58</v>
      </c>
      <c r="R34" s="506">
        <v>0</v>
      </c>
      <c r="S34" s="506">
        <v>0</v>
      </c>
      <c r="T34" s="42">
        <f>E34*M34*O34*Q34/100000000</f>
        <v>2.38466304</v>
      </c>
      <c r="U34" s="42">
        <f>E34*M34*O34*(Q34-R34-S34)/100000000</f>
        <v>2.38466304</v>
      </c>
      <c r="V34" s="42">
        <f>E34*G34*(1-N34)*O34/100*(R34+S34)/1000000</f>
        <v>0</v>
      </c>
      <c r="W34" s="42">
        <f>+'6'!K8/1000</f>
        <v>1.22</v>
      </c>
      <c r="X34" s="43"/>
      <c r="Y34" s="216"/>
      <c r="Z34" s="42"/>
      <c r="AA34" s="42"/>
      <c r="AB34" s="42"/>
      <c r="AC34" s="42">
        <f>K34-T34</f>
        <v>0</v>
      </c>
      <c r="AD34" s="42">
        <f>+AM34+BA34</f>
        <v>11</v>
      </c>
      <c r="AE34" s="234" t="s">
        <v>226</v>
      </c>
      <c r="AF34" s="38"/>
      <c r="AG34" s="38"/>
      <c r="AH34" s="42">
        <v>11</v>
      </c>
      <c r="AI34" s="508"/>
      <c r="AJ34" s="42"/>
      <c r="AK34" s="42"/>
      <c r="AL34" s="42"/>
      <c r="AM34" s="42">
        <f>SUM(AF34:AL34)+AT34+AV34+AX34</f>
        <v>11</v>
      </c>
      <c r="AN34" s="42"/>
      <c r="AO34" s="42"/>
      <c r="AP34" s="42"/>
      <c r="AQ34" s="42"/>
      <c r="AR34" s="42">
        <f>SUM(AN34:AQ34)</f>
        <v>0</v>
      </c>
      <c r="AS34" s="42"/>
      <c r="AT34" s="42"/>
      <c r="AU34" s="42"/>
      <c r="AV34" s="42"/>
      <c r="AW34" s="42"/>
      <c r="AX34" s="42"/>
      <c r="AY34" s="42"/>
      <c r="AZ34" s="42"/>
      <c r="BA34" s="42">
        <f>+AR34+AS34+AU34+AW34+AY34+AZ34</f>
        <v>0</v>
      </c>
      <c r="BB34" s="38"/>
      <c r="BC34" s="509"/>
      <c r="BD34" s="509"/>
      <c r="BE34" s="38"/>
      <c r="BF34" s="509"/>
    </row>
    <row r="35" spans="1:58" ht="12.95" customHeight="1">
      <c r="A35" s="45"/>
      <c r="B35" s="46" t="s">
        <v>8</v>
      </c>
      <c r="C35" s="454">
        <f>(M35*E35*O35*Q35)/100000000</f>
        <v>6.0129484128000001</v>
      </c>
      <c r="D35" s="46" t="s">
        <v>451</v>
      </c>
      <c r="E35" s="47">
        <v>18.3</v>
      </c>
      <c r="F35" s="47">
        <v>1</v>
      </c>
      <c r="G35" s="505">
        <v>830</v>
      </c>
      <c r="H35" s="49">
        <v>0.15</v>
      </c>
      <c r="I35" s="50">
        <v>0.88</v>
      </c>
      <c r="J35" s="87">
        <f>E35*G35*(1-H35)*1440/1000000*3.4</f>
        <v>63.210542399999994</v>
      </c>
      <c r="K35" s="87">
        <f>(IF(G35&lt;L35,L35,G35)*(1-IF(H35&lt;N35,H35,N35))*E35*O35*Q35)/100000000</f>
        <v>6.0129484128000001</v>
      </c>
      <c r="L35" s="40">
        <v>830</v>
      </c>
      <c r="M35" s="40">
        <f>+L35-L35*0.14</f>
        <v>713.8</v>
      </c>
      <c r="N35" s="51">
        <f>1-(M35/L35)</f>
        <v>0.14000000000000001</v>
      </c>
      <c r="O35" s="52">
        <f>+'Trim Rwd'!H21</f>
        <v>336</v>
      </c>
      <c r="P35" s="53">
        <f>O35*(Q35-R35-S35)</f>
        <v>40992</v>
      </c>
      <c r="Q35" s="52">
        <v>137</v>
      </c>
      <c r="R35" s="506">
        <v>0</v>
      </c>
      <c r="S35" s="506">
        <v>15</v>
      </c>
      <c r="T35" s="42">
        <f>E35*M35*O35*Q35/100000000</f>
        <v>6.0129484128000001</v>
      </c>
      <c r="U35" s="42">
        <f>E35*M35*O35*(Q35-R35-S35)/100000000</f>
        <v>5.3545963967999999</v>
      </c>
      <c r="V35" s="42">
        <f>E35*G35*(1-N35)*O35/100*(R35+S35)/1000000</f>
        <v>0.65835201599999993</v>
      </c>
      <c r="W35" s="42">
        <f>+'6'!K11/1000</f>
        <v>0</v>
      </c>
      <c r="X35" s="43"/>
      <c r="Y35" s="216"/>
      <c r="Z35" s="42"/>
      <c r="AA35" s="42"/>
      <c r="AB35" s="42"/>
      <c r="AC35" s="42">
        <f>K35-T35</f>
        <v>0</v>
      </c>
      <c r="AD35" s="42">
        <f>+AM35+BA35</f>
        <v>15</v>
      </c>
      <c r="AE35" s="587" t="s">
        <v>463</v>
      </c>
      <c r="AF35" s="42"/>
      <c r="AG35" s="42"/>
      <c r="AH35" s="42"/>
      <c r="AI35" s="508">
        <v>15</v>
      </c>
      <c r="AJ35" s="42"/>
      <c r="AK35" s="42"/>
      <c r="AL35" s="42"/>
      <c r="AM35" s="42">
        <f>SUM(AF35:AL35)+AT35+AV35+AX35</f>
        <v>15</v>
      </c>
      <c r="AN35" s="42"/>
      <c r="AO35" s="42"/>
      <c r="AP35" s="42"/>
      <c r="AQ35" s="42"/>
      <c r="AR35" s="42">
        <f>SUM(AN35:AQ35)</f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>+AR35+AS35+AU35+AW35+AY35+AZ35</f>
        <v>0</v>
      </c>
      <c r="BB35" s="38"/>
      <c r="BC35" s="509"/>
      <c r="BD35" s="509"/>
      <c r="BE35" s="38"/>
      <c r="BF35" s="509"/>
    </row>
    <row r="36" spans="1:58" ht="12.95" customHeight="1">
      <c r="A36" s="45"/>
      <c r="B36" s="46"/>
      <c r="C36" s="454"/>
      <c r="D36" s="46"/>
      <c r="E36" s="47"/>
      <c r="F36" s="47"/>
      <c r="G36" s="505"/>
      <c r="H36" s="49"/>
      <c r="I36" s="50"/>
      <c r="J36" s="87"/>
      <c r="K36" s="87"/>
      <c r="L36" s="40"/>
      <c r="M36" s="40"/>
      <c r="N36" s="51"/>
      <c r="O36" s="52"/>
      <c r="P36" s="53"/>
      <c r="Q36" s="52"/>
      <c r="R36" s="506"/>
      <c r="S36" s="506"/>
      <c r="T36" s="42"/>
      <c r="U36" s="42"/>
      <c r="V36" s="42"/>
      <c r="W36" s="42"/>
      <c r="X36" s="507"/>
      <c r="Y36" s="216"/>
      <c r="Z36" s="42"/>
      <c r="AA36" s="54"/>
      <c r="AB36" s="54"/>
      <c r="AC36" s="42"/>
      <c r="AD36" s="42"/>
      <c r="AE36" s="237"/>
      <c r="AF36" s="42"/>
      <c r="AG36" s="42"/>
      <c r="AH36" s="42"/>
      <c r="AI36" s="508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8"/>
      <c r="BC36" s="509"/>
      <c r="BD36" s="509"/>
      <c r="BE36" s="38"/>
      <c r="BF36" s="509"/>
    </row>
    <row r="37" spans="1:58" ht="12.75" customHeight="1">
      <c r="A37" s="45">
        <v>45937</v>
      </c>
      <c r="B37" s="46" t="s">
        <v>8</v>
      </c>
      <c r="C37" s="454">
        <f>(M37*E37*O37*Q37)/100000000</f>
        <v>5.705717471999999</v>
      </c>
      <c r="D37" s="46" t="s">
        <v>451</v>
      </c>
      <c r="E37" s="47">
        <v>18.3</v>
      </c>
      <c r="F37" s="47">
        <v>1</v>
      </c>
      <c r="G37" s="505">
        <v>830</v>
      </c>
      <c r="H37" s="49">
        <v>0.15</v>
      </c>
      <c r="I37" s="50">
        <v>0.88</v>
      </c>
      <c r="J37" s="87">
        <f>E37*G37*(1-H37)*1440/1000000*3.4</f>
        <v>63.210542399999994</v>
      </c>
      <c r="K37" s="87">
        <f>(IF(G37&lt;L37,L37,G37)*(1-IF(H37&lt;N37,H37,N37))*E37*O37*Q37)/100000000</f>
        <v>5.705717471999999</v>
      </c>
      <c r="L37" s="40">
        <v>830</v>
      </c>
      <c r="M37" s="40">
        <f>+L37-L37*0.14</f>
        <v>713.8</v>
      </c>
      <c r="N37" s="51">
        <f>1-(M37/L37)</f>
        <v>0.14000000000000001</v>
      </c>
      <c r="O37" s="52">
        <f>+'Trim Rwd'!H23</f>
        <v>336</v>
      </c>
      <c r="P37" s="53">
        <f>O37*(Q37-R37-S37)</f>
        <v>42000</v>
      </c>
      <c r="Q37" s="52">
        <v>130</v>
      </c>
      <c r="R37" s="506">
        <v>0</v>
      </c>
      <c r="S37" s="506">
        <v>5</v>
      </c>
      <c r="T37" s="42">
        <f>E37*M37*O37*Q37/100000000</f>
        <v>5.705717471999999</v>
      </c>
      <c r="U37" s="42">
        <f>E37*M37*O37*(Q37-R37-S37)/100000000</f>
        <v>5.4862667999999992</v>
      </c>
      <c r="V37" s="42">
        <f>E37*G37*(1-N37)*O37/100*(R37+S37)/1000000</f>
        <v>0.21945067199999996</v>
      </c>
      <c r="W37" s="42">
        <f>+'7'!K11/1000</f>
        <v>10.93</v>
      </c>
      <c r="X37" s="507">
        <f>SUM(W37:W40)/SUM(K37:K40)</f>
        <v>1.0472504372215941</v>
      </c>
      <c r="Y37" s="216">
        <v>0</v>
      </c>
      <c r="Z37" s="42">
        <f>+'7'!D7/1000</f>
        <v>0.55200000000000005</v>
      </c>
      <c r="AA37" s="54">
        <f>SUM(U37:U40)-SUM(W37:W40)-SUM(Z37:Z40)-SUM(Y37:Y40)</f>
        <v>-5.4292610080000046</v>
      </c>
      <c r="AB37" s="54">
        <f>(SUM(K37:K40)-SUM(W37:W40)-SUM(Y37:Y40)-SUM(Z37:Z40)-SUM(AC37:AC40)-SUM(V37:V40))-AA37</f>
        <v>-7.1111679999908972E-3</v>
      </c>
      <c r="AC37" s="42">
        <f>K37-T37</f>
        <v>0</v>
      </c>
      <c r="AD37" s="42">
        <f>+AM37+BA37</f>
        <v>0</v>
      </c>
      <c r="AE37" s="234" t="s">
        <v>394</v>
      </c>
      <c r="AF37" s="42">
        <v>0</v>
      </c>
      <c r="AG37" s="42"/>
      <c r="AH37" s="42"/>
      <c r="AI37" s="508"/>
      <c r="AJ37" s="42"/>
      <c r="AK37" s="42"/>
      <c r="AL37" s="42"/>
      <c r="AM37" s="42">
        <f>SUM(AF37:AL37)+AT37+AV37+AX37</f>
        <v>0</v>
      </c>
      <c r="AN37" s="42"/>
      <c r="AO37" s="42"/>
      <c r="AP37" s="42"/>
      <c r="AQ37" s="42"/>
      <c r="AR37" s="42">
        <f>SUM(AN37:AQ37)</f>
        <v>0</v>
      </c>
      <c r="AS37" s="42"/>
      <c r="AT37" s="42"/>
      <c r="AU37" s="42"/>
      <c r="AV37" s="42"/>
      <c r="AW37" s="42"/>
      <c r="AX37" s="42"/>
      <c r="AY37" s="42"/>
      <c r="AZ37" s="42"/>
      <c r="BA37" s="42">
        <f>+AR37+AS37+AU37+AW37+AY37+AZ37</f>
        <v>0</v>
      </c>
      <c r="BB37" s="38">
        <v>0</v>
      </c>
      <c r="BC37" s="56"/>
      <c r="BD37" s="56"/>
      <c r="BE37" s="38"/>
      <c r="BF37" s="56"/>
    </row>
    <row r="38" spans="1:58" ht="12.95" customHeight="1">
      <c r="A38" s="45"/>
      <c r="B38" s="46" t="s">
        <v>8</v>
      </c>
      <c r="C38" s="454">
        <f>(M38*E38*O38*Q38)/100000000</f>
        <v>59.387141760000013</v>
      </c>
      <c r="D38" s="46" t="s">
        <v>451</v>
      </c>
      <c r="E38" s="47">
        <v>32</v>
      </c>
      <c r="F38" s="47">
        <v>1</v>
      </c>
      <c r="G38" s="505">
        <v>520</v>
      </c>
      <c r="H38" s="49">
        <v>0.14000000000000001</v>
      </c>
      <c r="I38" s="50">
        <v>0.88</v>
      </c>
      <c r="J38" s="87">
        <f>E38*G38*(1-H38)*1440/1000000*3.4</f>
        <v>70.063718399999999</v>
      </c>
      <c r="K38" s="87">
        <f>(IF(G38&lt;L38,L38,G38)*(1-IF(H38&lt;N38,H38,N38))*E38*O38*Q38)/100000000</f>
        <v>60.551595519999999</v>
      </c>
      <c r="L38" s="40">
        <v>510</v>
      </c>
      <c r="M38" s="40">
        <f>+L38-L38*0.14</f>
        <v>438.6</v>
      </c>
      <c r="N38" s="51">
        <f>1-(M38/L38)</f>
        <v>0.1399999999999999</v>
      </c>
      <c r="O38" s="52">
        <f>+'Trim Rwd'!H24</f>
        <v>323</v>
      </c>
      <c r="P38" s="53">
        <f>O38*(Q38-R38-S38)</f>
        <v>420546</v>
      </c>
      <c r="Q38" s="52">
        <v>1310</v>
      </c>
      <c r="R38" s="506">
        <v>0</v>
      </c>
      <c r="S38" s="506">
        <v>8</v>
      </c>
      <c r="T38" s="42">
        <f>E38*M38*O38*Q38/100000000</f>
        <v>59.387141760000013</v>
      </c>
      <c r="U38" s="42">
        <f>E38*M38*O38*(Q38-R38-S38)/100000000</f>
        <v>59.024472192000005</v>
      </c>
      <c r="V38" s="42">
        <f>E38*G38*(1-N38)*O38/100*(R38+S38)/1000000</f>
        <v>0.36978073600000005</v>
      </c>
      <c r="W38" s="42">
        <f>+'7'!K12/1000</f>
        <v>58.457999999999998</v>
      </c>
      <c r="X38" s="43"/>
      <c r="Y38" s="216"/>
      <c r="Z38" s="42"/>
      <c r="AA38" s="42"/>
      <c r="AB38" s="42"/>
      <c r="AC38" s="42">
        <f>K38-T38</f>
        <v>1.1644537599999865</v>
      </c>
      <c r="AD38" s="42">
        <f>+AM38+BA38</f>
        <v>5</v>
      </c>
      <c r="AE38" s="234" t="s">
        <v>449</v>
      </c>
      <c r="AF38" s="42"/>
      <c r="AG38" s="42">
        <v>5</v>
      </c>
      <c r="AH38" s="42"/>
      <c r="AI38" s="508"/>
      <c r="AJ38" s="42"/>
      <c r="AK38" s="42"/>
      <c r="AL38" s="42"/>
      <c r="AM38" s="42">
        <f>SUM(AF38:AL38)+AT38+AV38+AX38</f>
        <v>5</v>
      </c>
      <c r="AN38" s="88"/>
      <c r="AO38" s="42"/>
      <c r="AP38" s="42"/>
      <c r="AQ38" s="42"/>
      <c r="AR38" s="42">
        <f>SUM(AN38:AQ38)</f>
        <v>0</v>
      </c>
      <c r="AS38" s="42"/>
      <c r="AT38" s="42"/>
      <c r="AU38" s="42"/>
      <c r="AV38" s="42"/>
      <c r="AW38" s="42"/>
      <c r="AX38" s="42"/>
      <c r="AY38" s="42"/>
      <c r="AZ38" s="42"/>
      <c r="BA38" s="42">
        <f>+AR38+AS38+AU38+AW38+AY38+AZ38</f>
        <v>0</v>
      </c>
      <c r="BB38" s="55"/>
      <c r="BC38" s="56">
        <v>2</v>
      </c>
      <c r="BD38" s="56"/>
      <c r="BE38" s="55"/>
      <c r="BF38" s="56"/>
    </row>
    <row r="39" spans="1:58" ht="12.95" customHeight="1">
      <c r="A39" s="45"/>
      <c r="B39" s="46"/>
      <c r="C39" s="454"/>
      <c r="D39" s="46"/>
      <c r="E39" s="47"/>
      <c r="F39" s="47"/>
      <c r="G39" s="505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06"/>
      <c r="S39" s="506"/>
      <c r="T39" s="42"/>
      <c r="U39" s="42"/>
      <c r="V39" s="42"/>
      <c r="W39" s="42"/>
      <c r="X39" s="43"/>
      <c r="Y39" s="216"/>
      <c r="Z39" s="42"/>
      <c r="AA39" s="42"/>
      <c r="AB39" s="42"/>
      <c r="AC39" s="42"/>
      <c r="AD39" s="42">
        <f>+AM39+BA39</f>
        <v>4</v>
      </c>
      <c r="AE39" s="234" t="s">
        <v>226</v>
      </c>
      <c r="AF39" s="38"/>
      <c r="AG39" s="38"/>
      <c r="AH39" s="42">
        <v>4</v>
      </c>
      <c r="AI39" s="508"/>
      <c r="AJ39" s="42"/>
      <c r="AK39" s="42"/>
      <c r="AL39" s="42"/>
      <c r="AM39" s="42">
        <f>SUM(AF39:AL39)+AT39+AV39+AX39</f>
        <v>4</v>
      </c>
      <c r="AN39" s="42"/>
      <c r="AO39" s="42"/>
      <c r="AP39" s="42"/>
      <c r="AQ39" s="42"/>
      <c r="AR39" s="42">
        <f>SUM(AN39:AQ39)</f>
        <v>0</v>
      </c>
      <c r="AS39" s="42"/>
      <c r="AT39" s="42"/>
      <c r="AU39" s="42"/>
      <c r="AV39" s="42"/>
      <c r="AW39" s="42"/>
      <c r="AX39" s="42"/>
      <c r="AY39" s="42"/>
      <c r="AZ39" s="42"/>
      <c r="BA39" s="42">
        <f>+AR39+AS39+AU39+AW39+AY39+AZ39</f>
        <v>0</v>
      </c>
      <c r="BB39" s="38"/>
      <c r="BC39" s="509"/>
      <c r="BD39" s="509"/>
      <c r="BE39" s="38"/>
      <c r="BF39" s="509"/>
    </row>
    <row r="40" spans="1:58" ht="12.95" customHeight="1">
      <c r="A40" s="45"/>
      <c r="B40" s="46"/>
      <c r="C40" s="454"/>
      <c r="D40" s="46"/>
      <c r="E40" s="47"/>
      <c r="F40" s="47"/>
      <c r="G40" s="505"/>
      <c r="H40" s="49"/>
      <c r="I40" s="50"/>
      <c r="J40" s="87"/>
      <c r="K40" s="87"/>
      <c r="L40" s="40"/>
      <c r="M40" s="40"/>
      <c r="N40" s="51"/>
      <c r="O40" s="52"/>
      <c r="P40" s="53"/>
      <c r="Q40" s="52"/>
      <c r="R40" s="506"/>
      <c r="S40" s="506"/>
      <c r="T40" s="42"/>
      <c r="U40" s="42"/>
      <c r="V40" s="42"/>
      <c r="W40" s="42"/>
      <c r="X40" s="43"/>
      <c r="Y40" s="216"/>
      <c r="Z40" s="42"/>
      <c r="AA40" s="42"/>
      <c r="AB40" s="42"/>
      <c r="AC40" s="42"/>
      <c r="AD40" s="42">
        <f>+AM40+BA40</f>
        <v>4</v>
      </c>
      <c r="AE40" s="587" t="s">
        <v>463</v>
      </c>
      <c r="AF40" s="42"/>
      <c r="AG40" s="42"/>
      <c r="AH40" s="42"/>
      <c r="AI40" s="508">
        <v>4</v>
      </c>
      <c r="AJ40" s="42"/>
      <c r="AK40" s="42"/>
      <c r="AL40" s="42"/>
      <c r="AM40" s="42">
        <f>SUM(AF40:AL40)+AT40+AV40+AX40</f>
        <v>4</v>
      </c>
      <c r="AN40" s="42"/>
      <c r="AO40" s="42"/>
      <c r="AP40" s="42"/>
      <c r="AQ40" s="42"/>
      <c r="AR40" s="42">
        <f>SUM(AN40:AQ40)</f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/>
      <c r="BC40" s="509"/>
      <c r="BD40" s="509"/>
      <c r="BE40" s="38"/>
      <c r="BF40" s="509"/>
    </row>
    <row r="41" spans="1:58" ht="12.95" customHeight="1">
      <c r="A41" s="45"/>
      <c r="B41" s="46"/>
      <c r="C41" s="454"/>
      <c r="D41" s="46"/>
      <c r="E41" s="47"/>
      <c r="F41" s="47"/>
      <c r="G41" s="505"/>
      <c r="H41" s="49"/>
      <c r="I41" s="50"/>
      <c r="J41" s="87"/>
      <c r="K41" s="87"/>
      <c r="L41" s="40"/>
      <c r="M41" s="40"/>
      <c r="N41" s="51"/>
      <c r="O41" s="52"/>
      <c r="P41" s="53"/>
      <c r="Q41" s="52"/>
      <c r="R41" s="506"/>
      <c r="S41" s="506"/>
      <c r="T41" s="42"/>
      <c r="U41" s="42"/>
      <c r="V41" s="42"/>
      <c r="W41" s="42"/>
      <c r="X41" s="507"/>
      <c r="Y41" s="216"/>
      <c r="Z41" s="42"/>
      <c r="AA41" s="54"/>
      <c r="AB41" s="54"/>
      <c r="AC41" s="42"/>
      <c r="AD41" s="42"/>
      <c r="AE41" s="237"/>
      <c r="AF41" s="42"/>
      <c r="AG41" s="42"/>
      <c r="AH41" s="42"/>
      <c r="AI41" s="508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8"/>
      <c r="BC41" s="509"/>
      <c r="BD41" s="509"/>
      <c r="BE41" s="38"/>
      <c r="BF41" s="509"/>
    </row>
    <row r="42" spans="1:58" ht="12.75" customHeight="1">
      <c r="A42" s="45">
        <v>45938</v>
      </c>
      <c r="B42" s="46" t="s">
        <v>8</v>
      </c>
      <c r="C42" s="454">
        <f>(M42*E42*O42*Q42)/100000000</f>
        <v>13.916390399999999</v>
      </c>
      <c r="D42" s="46" t="s">
        <v>451</v>
      </c>
      <c r="E42" s="47">
        <v>32</v>
      </c>
      <c r="F42" s="47">
        <v>1</v>
      </c>
      <c r="G42" s="505">
        <v>510</v>
      </c>
      <c r="H42" s="49">
        <v>0.12</v>
      </c>
      <c r="I42" s="50">
        <v>0.88</v>
      </c>
      <c r="J42" s="87">
        <f>E42*G42*(1-H42)*1440/1000000*3.4</f>
        <v>70.314393599999988</v>
      </c>
      <c r="K42" s="87">
        <f>(IF(G42&lt;L42,L42,G42)*(1-IF(H42&lt;N42,H42,N42))*E42*O42*Q42)/100000000</f>
        <v>13.916390399999999</v>
      </c>
      <c r="L42" s="40">
        <v>510</v>
      </c>
      <c r="M42" s="40">
        <f>+L42-L42*0.12</f>
        <v>448.8</v>
      </c>
      <c r="N42" s="51">
        <f>1-(M42/L42)</f>
        <v>0.12</v>
      </c>
      <c r="O42" s="52">
        <f>+'Trim Rwd'!H26</f>
        <v>323</v>
      </c>
      <c r="P42" s="53">
        <f>O42*(Q42-R42-S42)</f>
        <v>94639</v>
      </c>
      <c r="Q42" s="52">
        <v>300</v>
      </c>
      <c r="R42" s="506">
        <v>0</v>
      </c>
      <c r="S42" s="506">
        <v>7</v>
      </c>
      <c r="T42" s="42">
        <f>E42*M42*O42*Q42/100000000</f>
        <v>13.916390399999999</v>
      </c>
      <c r="U42" s="42">
        <f>E42*M42*O42*(Q42-R42-S42)/100000000</f>
        <v>13.591674623999998</v>
      </c>
      <c r="V42" s="42">
        <f>E42*G42*(1-N42)*O42/100*(R42+S42)/1000000</f>
        <v>0.32471577600000001</v>
      </c>
      <c r="W42" s="42">
        <f>+'8'!K12/1000</f>
        <v>17.064</v>
      </c>
      <c r="X42" s="507">
        <f>SUM(W42:W45)/SUM(K42:K45)</f>
        <v>0.94454587196052375</v>
      </c>
      <c r="Y42" s="216">
        <v>0</v>
      </c>
      <c r="Z42" s="42">
        <f>+'7'!D12/1000</f>
        <v>0</v>
      </c>
      <c r="AA42" s="54">
        <f>SUM(U42:U45)-SUM(W42:W45)-SUM(Z42:Z45)-SUM(Y42:Y45)</f>
        <v>-1.3667770846315768</v>
      </c>
      <c r="AB42" s="54">
        <f>(SUM(K42:K45)-SUM(W42:W45)-SUM(Y42:Y45)-SUM(Z42:Z45)-SUM(AC42:AC45)-SUM(V42:V45))-AA42</f>
        <v>-2.3350290526307216E-3</v>
      </c>
      <c r="AC42" s="42">
        <f>K42-T42</f>
        <v>0</v>
      </c>
      <c r="AD42" s="42">
        <f>+AM42+BA42</f>
        <v>0</v>
      </c>
      <c r="AE42" s="234" t="s">
        <v>394</v>
      </c>
      <c r="AF42" s="42">
        <v>0</v>
      </c>
      <c r="AG42" s="42"/>
      <c r="AH42" s="42"/>
      <c r="AI42" s="508"/>
      <c r="AJ42" s="42"/>
      <c r="AK42" s="42"/>
      <c r="AL42" s="42"/>
      <c r="AM42" s="42">
        <f>SUM(AF42:AL42)+AT42+AV42+AX42</f>
        <v>0</v>
      </c>
      <c r="AN42" s="42"/>
      <c r="AO42" s="42"/>
      <c r="AP42" s="42"/>
      <c r="AQ42" s="42"/>
      <c r="AR42" s="42">
        <f>SUM(AN42:AQ42)</f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>
        <v>0</v>
      </c>
      <c r="BC42" s="56"/>
      <c r="BD42" s="56"/>
      <c r="BE42" s="38"/>
      <c r="BF42" s="56"/>
    </row>
    <row r="43" spans="1:58" ht="12.95" customHeight="1">
      <c r="A43" s="45"/>
      <c r="B43" s="46" t="s">
        <v>8</v>
      </c>
      <c r="C43" s="454">
        <f>(M43*E43*O43*Q43)/100000000</f>
        <v>17.009879039999998</v>
      </c>
      <c r="D43" s="46" t="s">
        <v>451</v>
      </c>
      <c r="E43" s="47">
        <v>34</v>
      </c>
      <c r="F43" s="47">
        <v>1</v>
      </c>
      <c r="G43" s="505">
        <v>490</v>
      </c>
      <c r="H43" s="49">
        <v>0.14000000000000001</v>
      </c>
      <c r="I43" s="50">
        <v>0.88</v>
      </c>
      <c r="J43" s="87">
        <f>E43*G43*(1-H43)*1440/1000000*3.4</f>
        <v>70.147929599999998</v>
      </c>
      <c r="K43" s="87">
        <f>(IF(G43&lt;L43,L43,G43)*(1-IF(H43&lt;N43,H43,N43))*E43*O43*Q43)/100000000</f>
        <v>17.36425152</v>
      </c>
      <c r="L43" s="40">
        <v>480</v>
      </c>
      <c r="M43" s="40">
        <f>+L43-L43*0.12</f>
        <v>422.4</v>
      </c>
      <c r="N43" s="51">
        <f>1-(M43/L43)</f>
        <v>0.12</v>
      </c>
      <c r="O43" s="52">
        <f>+'Trim Rwd'!H27</f>
        <v>329</v>
      </c>
      <c r="P43" s="53">
        <f>O43*(Q43-R43-S43)</f>
        <v>115808</v>
      </c>
      <c r="Q43" s="52">
        <f>180+180</f>
        <v>360</v>
      </c>
      <c r="R43" s="506">
        <v>0</v>
      </c>
      <c r="S43" s="506">
        <v>8</v>
      </c>
      <c r="T43" s="42">
        <f>E43*M43*O43*Q43/100000000</f>
        <v>17.009879039999998</v>
      </c>
      <c r="U43" s="42">
        <f>E43*M43*O43*(Q43-R43-S43)/100000000</f>
        <v>16.631881727999996</v>
      </c>
      <c r="V43" s="42">
        <f>E43*G43*(1-N43)*O43/100*(R43+S43)/1000000</f>
        <v>0.38587225599999997</v>
      </c>
      <c r="W43" s="42">
        <f>+'8'!K13/1000</f>
        <v>11.576000000000001</v>
      </c>
      <c r="X43" s="43"/>
      <c r="Y43" s="216"/>
      <c r="Z43" s="42">
        <f>+('8'!D8/1000)</f>
        <v>1.4</v>
      </c>
      <c r="AA43" s="42"/>
      <c r="AB43" s="42"/>
      <c r="AC43" s="42">
        <f>K43-T43</f>
        <v>0.3543724800000021</v>
      </c>
      <c r="AD43" s="42">
        <f>+AM43+BA43</f>
        <v>5</v>
      </c>
      <c r="AE43" s="234" t="s">
        <v>392</v>
      </c>
      <c r="AF43" s="42"/>
      <c r="AG43" s="42">
        <v>5</v>
      </c>
      <c r="AH43" s="42"/>
      <c r="AI43" s="508"/>
      <c r="AJ43" s="42"/>
      <c r="AK43" s="42"/>
      <c r="AL43" s="42"/>
      <c r="AM43" s="42">
        <f>SUM(AF43:AL43)+AT43+AV43+AX43</f>
        <v>5</v>
      </c>
      <c r="AN43" s="88"/>
      <c r="AO43" s="42"/>
      <c r="AP43" s="42"/>
      <c r="AQ43" s="42"/>
      <c r="AR43" s="42">
        <f>SUM(AN43:AQ43)</f>
        <v>0</v>
      </c>
      <c r="AS43" s="42"/>
      <c r="AT43" s="42"/>
      <c r="AU43" s="42"/>
      <c r="AV43" s="42"/>
      <c r="AW43" s="42"/>
      <c r="AX43" s="42"/>
      <c r="AY43" s="42"/>
      <c r="AZ43" s="42"/>
      <c r="BA43" s="42">
        <f>+AR43+AS43+AU43+AW43+AY43+AZ43</f>
        <v>0</v>
      </c>
      <c r="BB43" s="55"/>
      <c r="BC43" s="56">
        <v>1</v>
      </c>
      <c r="BD43" s="56"/>
      <c r="BE43" s="55"/>
      <c r="BF43" s="56"/>
    </row>
    <row r="44" spans="1:58" ht="12.95" customHeight="1">
      <c r="A44" s="45"/>
      <c r="B44" s="46" t="s">
        <v>8</v>
      </c>
      <c r="C44" s="454">
        <f>(M44*E44*O44*Q44)/100000000</f>
        <v>31.924011698526321</v>
      </c>
      <c r="D44" s="46" t="s">
        <v>451</v>
      </c>
      <c r="E44" s="47">
        <v>36</v>
      </c>
      <c r="F44" s="47">
        <v>1</v>
      </c>
      <c r="G44" s="505">
        <v>455</v>
      </c>
      <c r="H44" s="49">
        <v>0.12</v>
      </c>
      <c r="I44" s="50">
        <v>0.88</v>
      </c>
      <c r="J44" s="87">
        <f>E44*G44*(1-H44)*1440/1000000*3.4</f>
        <v>70.572902400000004</v>
      </c>
      <c r="K44" s="87">
        <f>(IF(G44&lt;L44,L44,G44)*(1-IF(H44&lt;N44,H44,N44))*E44*O44*Q44)/100000000</f>
        <v>31.924011698526321</v>
      </c>
      <c r="L44" s="40">
        <v>460</v>
      </c>
      <c r="M44" s="40">
        <f>+L44-L44*0.12</f>
        <v>404.8</v>
      </c>
      <c r="N44" s="51">
        <f>1-(M44/L44)</f>
        <v>0.12</v>
      </c>
      <c r="O44" s="52">
        <f>+'Trim Rwd'!H28</f>
        <v>317.94736842105266</v>
      </c>
      <c r="P44" s="53">
        <f>O44*(Q44-R44-S44)</f>
        <v>215568.31578947371</v>
      </c>
      <c r="Q44" s="52">
        <v>689</v>
      </c>
      <c r="R44" s="506">
        <v>0</v>
      </c>
      <c r="S44" s="506">
        <v>11</v>
      </c>
      <c r="T44" s="42">
        <f>E44*M44*O44*Q44/100000000</f>
        <v>31.924011698526321</v>
      </c>
      <c r="U44" s="42">
        <f>E44*M44*O44*(Q44-R44-S44)/100000000</f>
        <v>31.414339523368426</v>
      </c>
      <c r="V44" s="42">
        <f>E44*G44*(1-N44)*O44/100*(R44+S44)/1000000</f>
        <v>0.50413226021052626</v>
      </c>
      <c r="W44" s="42">
        <f>+'8'!K14/1000</f>
        <v>33.555</v>
      </c>
      <c r="X44" s="43"/>
      <c r="Y44" s="216"/>
      <c r="Z44" s="42">
        <f>+('8'!D17+'8'!D25)/1000</f>
        <v>2.09</v>
      </c>
      <c r="AA44" s="42"/>
      <c r="AB44" s="42"/>
      <c r="AC44" s="42"/>
      <c r="AD44" s="42">
        <f>+AM44+BA44</f>
        <v>12</v>
      </c>
      <c r="AE44" s="234" t="s">
        <v>226</v>
      </c>
      <c r="AF44" s="38"/>
      <c r="AG44" s="38"/>
      <c r="AH44" s="42">
        <v>12</v>
      </c>
      <c r="AI44" s="508"/>
      <c r="AJ44" s="42"/>
      <c r="AK44" s="42"/>
      <c r="AL44" s="42"/>
      <c r="AM44" s="42">
        <f>SUM(AF44:AL44)+AT44+AV44+AX44</f>
        <v>12</v>
      </c>
      <c r="AN44" s="42"/>
      <c r="AO44" s="42"/>
      <c r="AP44" s="42"/>
      <c r="AQ44" s="42"/>
      <c r="AR44" s="42">
        <f>SUM(AN44:AQ44)</f>
        <v>0</v>
      </c>
      <c r="AS44" s="42"/>
      <c r="AT44" s="42"/>
      <c r="AU44" s="42"/>
      <c r="AV44" s="42"/>
      <c r="AW44" s="42"/>
      <c r="AX44" s="42"/>
      <c r="AY44" s="42"/>
      <c r="AZ44" s="42"/>
      <c r="BA44" s="42">
        <f>+AR44+AS44+AU44+AW44+AY44+AZ44</f>
        <v>0</v>
      </c>
      <c r="BB44" s="38"/>
      <c r="BC44" s="509"/>
      <c r="BD44" s="509"/>
      <c r="BE44" s="38"/>
      <c r="BF44" s="509"/>
    </row>
    <row r="45" spans="1:58" ht="12.95" customHeight="1">
      <c r="A45" s="45"/>
      <c r="B45" s="46" t="s">
        <v>8</v>
      </c>
      <c r="C45" s="454">
        <f>(M45*E45*O45*Q45)/100000000</f>
        <v>4.1610528959999993</v>
      </c>
      <c r="D45" s="46" t="s">
        <v>451</v>
      </c>
      <c r="E45" s="47">
        <v>38</v>
      </c>
      <c r="F45" s="47">
        <v>1</v>
      </c>
      <c r="G45" s="505">
        <v>430</v>
      </c>
      <c r="H45" s="49">
        <v>0.12</v>
      </c>
      <c r="I45" s="50">
        <v>0.88</v>
      </c>
      <c r="J45" s="87">
        <f>E45*G45*(1-H45)*1440/1000000*3.4</f>
        <v>70.400563199999993</v>
      </c>
      <c r="K45" s="87">
        <f>(IF(G45&lt;L45,L45,G45)*(1-IF(H45&lt;N45,H45,N45))*E45*O45*Q45)/100000000</f>
        <v>4.1610528959999993</v>
      </c>
      <c r="L45" s="40">
        <v>430</v>
      </c>
      <c r="M45" s="40">
        <f>+L45-L45*0.12</f>
        <v>378.4</v>
      </c>
      <c r="N45" s="51">
        <f>1-(M45/L45)</f>
        <v>0.12000000000000011</v>
      </c>
      <c r="O45" s="52">
        <f>+'Trim Rwd'!H30</f>
        <v>318</v>
      </c>
      <c r="P45" s="53">
        <f>O45*(Q45-R45-S45)</f>
        <v>28620</v>
      </c>
      <c r="Q45" s="52">
        <v>91</v>
      </c>
      <c r="R45" s="506">
        <v>0</v>
      </c>
      <c r="S45" s="506">
        <v>1</v>
      </c>
      <c r="T45" s="42">
        <f>E45*M45*O45*Q45/100000000</f>
        <v>4.1610528959999993</v>
      </c>
      <c r="U45" s="42">
        <f>E45*M45*O45*(Q45-R45-S45)/100000000</f>
        <v>4.1153270399999995</v>
      </c>
      <c r="V45" s="42">
        <f>E45*G45*(1-N45)*O45/100*(R45+S45)/1000000</f>
        <v>4.5725856000000002E-2</v>
      </c>
      <c r="W45" s="42">
        <f>+'8'!K15/1000</f>
        <v>1.4350000000000001</v>
      </c>
      <c r="X45" s="43"/>
      <c r="Y45" s="216"/>
      <c r="Z45" s="42"/>
      <c r="AA45" s="42"/>
      <c r="AB45" s="42"/>
      <c r="AC45" s="42"/>
      <c r="AD45" s="42">
        <f>+AM45+BA45</f>
        <v>10</v>
      </c>
      <c r="AE45" s="587" t="s">
        <v>463</v>
      </c>
      <c r="AF45" s="42"/>
      <c r="AG45" s="42"/>
      <c r="AH45" s="42"/>
      <c r="AI45" s="508">
        <v>10</v>
      </c>
      <c r="AJ45" s="42"/>
      <c r="AK45" s="42"/>
      <c r="AL45" s="42"/>
      <c r="AM45" s="42">
        <f>SUM(AF45:AL45)+AT45+AV45+AX45</f>
        <v>10</v>
      </c>
      <c r="AN45" s="42"/>
      <c r="AO45" s="42"/>
      <c r="AP45" s="42"/>
      <c r="AQ45" s="42"/>
      <c r="AR45" s="42">
        <f>SUM(AN45:AQ45)</f>
        <v>0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0</v>
      </c>
      <c r="BB45" s="38"/>
      <c r="BC45" s="509"/>
      <c r="BD45" s="509"/>
      <c r="BE45" s="38"/>
      <c r="BF45" s="509"/>
    </row>
    <row r="46" spans="1:58" ht="12.95" customHeight="1">
      <c r="A46" s="45"/>
      <c r="B46" s="46"/>
      <c r="C46" s="454"/>
      <c r="D46" s="46"/>
      <c r="E46" s="47"/>
      <c r="F46" s="47"/>
      <c r="G46" s="505"/>
      <c r="H46" s="49"/>
      <c r="I46" s="50"/>
      <c r="J46" s="87"/>
      <c r="K46" s="87"/>
      <c r="L46" s="40"/>
      <c r="M46" s="40"/>
      <c r="N46" s="51"/>
      <c r="O46" s="52"/>
      <c r="P46" s="53"/>
      <c r="Q46" s="52"/>
      <c r="R46" s="506"/>
      <c r="S46" s="506"/>
      <c r="T46" s="42"/>
      <c r="U46" s="42"/>
      <c r="V46" s="42"/>
      <c r="W46" s="42"/>
      <c r="X46" s="507"/>
      <c r="Y46" s="216"/>
      <c r="Z46" s="42"/>
      <c r="AA46" s="54"/>
      <c r="AB46" s="54"/>
      <c r="AC46" s="42"/>
      <c r="AD46" s="42"/>
      <c r="AE46" s="237"/>
      <c r="AF46" s="42"/>
      <c r="AG46" s="42"/>
      <c r="AH46" s="42"/>
      <c r="AI46" s="508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8"/>
      <c r="BC46" s="509"/>
      <c r="BD46" s="509"/>
      <c r="BE46" s="38"/>
      <c r="BF46" s="509"/>
    </row>
    <row r="47" spans="1:58" ht="12.75" customHeight="1">
      <c r="A47" s="45">
        <v>45939</v>
      </c>
      <c r="B47" s="46" t="s">
        <v>8</v>
      </c>
      <c r="C47" s="454">
        <f>(M47*E47*O47*Q47)/100000000</f>
        <v>45.199476959999998</v>
      </c>
      <c r="D47" s="46" t="s">
        <v>451</v>
      </c>
      <c r="E47" s="47">
        <v>38</v>
      </c>
      <c r="F47" s="47">
        <v>1</v>
      </c>
      <c r="G47" s="505">
        <v>430</v>
      </c>
      <c r="H47" s="49">
        <v>0.12</v>
      </c>
      <c r="I47" s="50">
        <v>0.88</v>
      </c>
      <c r="J47" s="87">
        <f>E47*G47*(1-H47)*1440/1000000*3.4</f>
        <v>70.400563199999993</v>
      </c>
      <c r="K47" s="87">
        <f>(IF(G47&lt;L47,L47,G47)*(1-IF(H47&lt;N47,H47,N47))*E47*O47*Q47)/100000000</f>
        <v>45.199476959999998</v>
      </c>
      <c r="L47" s="40">
        <v>449.7883597883598</v>
      </c>
      <c r="M47" s="40">
        <v>395.8137566137566</v>
      </c>
      <c r="N47" s="51">
        <f>1-(M47/L47)</f>
        <v>0.12000000000000011</v>
      </c>
      <c r="O47" s="52">
        <f>+'Trim Rwd'!H32</f>
        <v>318</v>
      </c>
      <c r="P47" s="53">
        <f>O47*(Q47-R47-S47)</f>
        <v>297648</v>
      </c>
      <c r="Q47" s="52">
        <v>945</v>
      </c>
      <c r="R47" s="506">
        <v>0</v>
      </c>
      <c r="S47" s="506">
        <v>9</v>
      </c>
      <c r="T47" s="42">
        <f>E47*M47*O47*Q47/100000000</f>
        <v>45.199476959999998</v>
      </c>
      <c r="U47" s="42">
        <f>E47*M47*O47*(Q47-R47-S47)/100000000</f>
        <v>44.76900575085714</v>
      </c>
      <c r="V47" s="42">
        <f>E47*G47*(1-N47)*O47/100*(R47+S47)/1000000</f>
        <v>0.41153270400000003</v>
      </c>
      <c r="W47" s="42">
        <f>+'9'!K15/1000</f>
        <v>48.98</v>
      </c>
      <c r="X47" s="507">
        <f>SUM(W47:W50)/SUM(K47:K50)</f>
        <v>0.98030034084786544</v>
      </c>
      <c r="Y47" s="216">
        <v>0</v>
      </c>
      <c r="Z47" s="42">
        <f>+'9'!D34/1000</f>
        <v>0.622</v>
      </c>
      <c r="AA47" s="54">
        <f>SUM(U47:U50)-SUM(W47:W50)-SUM(Z47:Z50)-SUM(Y47:Y50)</f>
        <v>-0.12413824914284544</v>
      </c>
      <c r="AB47" s="54">
        <f>(SUM(K47:K50)-SUM(W47:W50)-SUM(Y47:Y50)-SUM(Z47:Z50)-SUM(AC47:AC50)-SUM(V47:V50))-AA47</f>
        <v>2.4701097142853179E-2</v>
      </c>
      <c r="AC47" s="42">
        <f>K47-T47</f>
        <v>0</v>
      </c>
      <c r="AD47" s="42">
        <f>+AM47+BA47</f>
        <v>0</v>
      </c>
      <c r="AE47" s="234" t="s">
        <v>394</v>
      </c>
      <c r="AF47" s="42">
        <v>0</v>
      </c>
      <c r="AG47" s="42"/>
      <c r="AH47" s="42"/>
      <c r="AI47" s="508"/>
      <c r="AJ47" s="42"/>
      <c r="AK47" s="42"/>
      <c r="AL47" s="42"/>
      <c r="AM47" s="42">
        <f>SUM(AF47:AL47)+AT47+AV47+AX47</f>
        <v>0</v>
      </c>
      <c r="AN47" s="42"/>
      <c r="AO47" s="42"/>
      <c r="AP47" s="42"/>
      <c r="AQ47" s="42"/>
      <c r="AR47" s="42">
        <f>SUM(AN47:AQ47)</f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>
        <v>0</v>
      </c>
      <c r="BC47" s="56"/>
      <c r="BD47" s="56"/>
      <c r="BE47" s="38"/>
      <c r="BF47" s="56"/>
    </row>
    <row r="48" spans="1:58" ht="12.95" customHeight="1">
      <c r="A48" s="45"/>
      <c r="B48" s="46" t="s">
        <v>8</v>
      </c>
      <c r="C48" s="454">
        <f>(M48*E48*O48*Q48)/100000000</f>
        <v>10.80486</v>
      </c>
      <c r="D48" s="46" t="s">
        <v>451</v>
      </c>
      <c r="E48" s="47">
        <v>34</v>
      </c>
      <c r="F48" s="47">
        <v>1</v>
      </c>
      <c r="G48" s="505">
        <v>480</v>
      </c>
      <c r="H48" s="49">
        <v>0.12</v>
      </c>
      <c r="I48" s="50">
        <v>0.88</v>
      </c>
      <c r="J48" s="87">
        <f>E48*G48*(1-H48)*1440/1000000*3.4</f>
        <v>70.314393599999988</v>
      </c>
      <c r="K48" s="87">
        <f>(IF(G48&lt;L48,L48,G48)*(1-IF(H48&lt;N48,H48,N48))*E48*O48*Q48)/100000000</f>
        <v>10.80486</v>
      </c>
      <c r="L48" s="40">
        <v>500</v>
      </c>
      <c r="M48" s="40">
        <f>+L48-L48*0.12</f>
        <v>440</v>
      </c>
      <c r="N48" s="51">
        <f>1-(M48/L48)</f>
        <v>0.12</v>
      </c>
      <c r="O48" s="52">
        <f>+'Trim Rwd'!H33</f>
        <v>321</v>
      </c>
      <c r="P48" s="53">
        <f>O48*(Q48-R48-S48)</f>
        <v>71262</v>
      </c>
      <c r="Q48" s="52">
        <f>180+30+15</f>
        <v>225</v>
      </c>
      <c r="R48" s="506">
        <v>0</v>
      </c>
      <c r="S48" s="506">
        <v>3</v>
      </c>
      <c r="T48" s="42">
        <f>E48*M48*O48*Q48/100000000</f>
        <v>10.80486</v>
      </c>
      <c r="U48" s="42">
        <f>E48*M48*O48*(Q48-R48-S48)/100000000</f>
        <v>10.660795200000001</v>
      </c>
      <c r="V48" s="42">
        <f>E48*G48*(1-N48)*O48/100*(R48+S48)/1000000</f>
        <v>0.13830220800000001</v>
      </c>
      <c r="W48" s="42">
        <f>+'9'!K13/1000</f>
        <v>11.058999999999999</v>
      </c>
      <c r="X48" s="43"/>
      <c r="Y48" s="216"/>
      <c r="Z48" s="42">
        <v>0</v>
      </c>
      <c r="AA48" s="42"/>
      <c r="AB48" s="42"/>
      <c r="AC48" s="42">
        <f>K48-T48</f>
        <v>0</v>
      </c>
      <c r="AD48" s="42">
        <f>+AM48+BA48</f>
        <v>3</v>
      </c>
      <c r="AE48" s="234" t="s">
        <v>392</v>
      </c>
      <c r="AF48" s="42"/>
      <c r="AG48" s="42">
        <v>3</v>
      </c>
      <c r="AH48" s="42"/>
      <c r="AI48" s="508"/>
      <c r="AJ48" s="42"/>
      <c r="AK48" s="42"/>
      <c r="AL48" s="42"/>
      <c r="AM48" s="42">
        <f>SUM(AF48:AL48)+AT48+AV48+AX48</f>
        <v>3</v>
      </c>
      <c r="AN48" s="88"/>
      <c r="AO48" s="42"/>
      <c r="AP48" s="42"/>
      <c r="AQ48" s="42"/>
      <c r="AR48" s="42">
        <f>SUM(AN48:AQ48)</f>
        <v>0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0</v>
      </c>
      <c r="BB48" s="55"/>
      <c r="BC48" s="56">
        <v>1</v>
      </c>
      <c r="BD48" s="56"/>
      <c r="BE48" s="55"/>
      <c r="BF48" s="56"/>
    </row>
    <row r="49" spans="1:58" ht="12.95" customHeight="1">
      <c r="A49" s="45"/>
      <c r="B49" s="46" t="s">
        <v>8</v>
      </c>
      <c r="C49" s="454">
        <f>(M49*E49*O49*Q49)/100000000</f>
        <v>12.236993999999999</v>
      </c>
      <c r="D49" s="46" t="s">
        <v>451</v>
      </c>
      <c r="E49" s="47">
        <v>30</v>
      </c>
      <c r="F49" s="47">
        <v>1</v>
      </c>
      <c r="G49" s="505">
        <v>545</v>
      </c>
      <c r="H49" s="49">
        <v>0.12</v>
      </c>
      <c r="I49" s="50">
        <v>0.88</v>
      </c>
      <c r="J49" s="87">
        <f>E49*G49*(1-H49)*1440/1000000*3.4</f>
        <v>70.443647999999996</v>
      </c>
      <c r="K49" s="87">
        <f>(IF(G49&lt;L49,L49,G49)*(1-IF(H49&lt;N49,H49,N49))*E49*O49*Q49)/100000000</f>
        <v>12.236993999999999</v>
      </c>
      <c r="L49" s="40">
        <v>545</v>
      </c>
      <c r="M49" s="40">
        <f>+L49-L49*0.12</f>
        <v>479.6</v>
      </c>
      <c r="N49" s="51">
        <f>1-(M49/L49)</f>
        <v>0.12</v>
      </c>
      <c r="O49" s="52">
        <f>+'Trim Rwd'!H34</f>
        <v>315</v>
      </c>
      <c r="P49" s="53">
        <f>O49*(Q49-R49-S49)</f>
        <v>83160</v>
      </c>
      <c r="Q49" s="52">
        <f>30+240</f>
        <v>270</v>
      </c>
      <c r="R49" s="506">
        <v>0</v>
      </c>
      <c r="S49" s="506">
        <v>6</v>
      </c>
      <c r="T49" s="42">
        <f>E49*M49*O49*Q49/100000000</f>
        <v>12.236993999999999</v>
      </c>
      <c r="U49" s="42">
        <f>E49*M49*O49*(Q49-R49-S49)/100000000</f>
        <v>11.9650608</v>
      </c>
      <c r="V49" s="42">
        <f>E49*G49*(1-N49)*O49/100*(R49+S49)/1000000</f>
        <v>0.27193319999999993</v>
      </c>
      <c r="W49" s="42">
        <f>+'9'!K16/1000</f>
        <v>6.8579999999999997</v>
      </c>
      <c r="X49" s="43"/>
      <c r="Y49" s="216"/>
      <c r="Z49" s="42">
        <v>0</v>
      </c>
      <c r="AA49" s="42"/>
      <c r="AB49" s="42"/>
      <c r="AC49" s="42">
        <f>K49-T49</f>
        <v>0</v>
      </c>
      <c r="AD49" s="42">
        <f>+AM49+BA49</f>
        <v>9</v>
      </c>
      <c r="AE49" s="234" t="s">
        <v>226</v>
      </c>
      <c r="AF49" s="38"/>
      <c r="AG49" s="38"/>
      <c r="AH49" s="42">
        <v>9</v>
      </c>
      <c r="AI49" s="508"/>
      <c r="AJ49" s="42"/>
      <c r="AK49" s="42"/>
      <c r="AL49" s="42"/>
      <c r="AM49" s="42">
        <f>SUM(AF49:AL49)+AT49+AV49+AX49</f>
        <v>9</v>
      </c>
      <c r="AN49" s="42"/>
      <c r="AO49" s="42"/>
      <c r="AP49" s="42"/>
      <c r="AQ49" s="42"/>
      <c r="AR49" s="42">
        <f>SUM(AN49:AQ49)</f>
        <v>0</v>
      </c>
      <c r="AS49" s="42"/>
      <c r="AT49" s="42"/>
      <c r="AU49" s="42"/>
      <c r="AV49" s="42"/>
      <c r="AW49" s="42"/>
      <c r="AX49" s="42"/>
      <c r="AY49" s="42"/>
      <c r="AZ49" s="42"/>
      <c r="BA49" s="42">
        <f>+AR49+AS49+AU49+AW49+AY49+AZ49</f>
        <v>0</v>
      </c>
      <c r="BB49" s="38"/>
      <c r="BC49" s="509"/>
      <c r="BD49" s="509"/>
      <c r="BE49" s="38"/>
      <c r="BF49" s="509"/>
    </row>
    <row r="50" spans="1:58" ht="12.95" customHeight="1">
      <c r="A50" s="45"/>
      <c r="B50" s="46"/>
      <c r="C50" s="454"/>
      <c r="D50" s="46"/>
      <c r="E50" s="47"/>
      <c r="F50" s="47"/>
      <c r="G50" s="505"/>
      <c r="H50" s="49"/>
      <c r="I50" s="50"/>
      <c r="J50" s="87"/>
      <c r="K50" s="87"/>
      <c r="L50" s="40"/>
      <c r="M50" s="40"/>
      <c r="N50" s="51"/>
      <c r="O50" s="52"/>
      <c r="P50" s="53"/>
      <c r="Q50" s="52"/>
      <c r="R50" s="506"/>
      <c r="S50" s="506"/>
      <c r="T50" s="42"/>
      <c r="U50" s="42"/>
      <c r="V50" s="42"/>
      <c r="W50" s="42"/>
      <c r="X50" s="43"/>
      <c r="Y50" s="216"/>
      <c r="Z50" s="42"/>
      <c r="AA50" s="42"/>
      <c r="AB50" s="42"/>
      <c r="AC50" s="42"/>
      <c r="AD50" s="42">
        <f>+AM50+BA50</f>
        <v>6</v>
      </c>
      <c r="AE50" s="587" t="s">
        <v>463</v>
      </c>
      <c r="AF50" s="42"/>
      <c r="AG50" s="42"/>
      <c r="AH50" s="42"/>
      <c r="AI50" s="508">
        <v>6</v>
      </c>
      <c r="AJ50" s="42"/>
      <c r="AK50" s="42"/>
      <c r="AL50" s="42"/>
      <c r="AM50" s="42">
        <f>SUM(AF50:AL50)+AT50+AV50+AX50</f>
        <v>6</v>
      </c>
      <c r="AN50" s="42"/>
      <c r="AO50" s="42"/>
      <c r="AP50" s="42"/>
      <c r="AQ50" s="42"/>
      <c r="AR50" s="42">
        <f>SUM(AN50:AQ50)</f>
        <v>0</v>
      </c>
      <c r="AS50" s="42"/>
      <c r="AT50" s="42"/>
      <c r="AU50" s="42"/>
      <c r="AV50" s="42"/>
      <c r="AW50" s="42"/>
      <c r="AX50" s="42"/>
      <c r="AY50" s="42"/>
      <c r="AZ50" s="42"/>
      <c r="BA50" s="42">
        <f>+AR50+AS50+AU50+AW50+AY50+AZ50</f>
        <v>0</v>
      </c>
      <c r="BB50" s="38"/>
      <c r="BC50" s="509"/>
      <c r="BD50" s="509"/>
      <c r="BE50" s="38"/>
      <c r="BF50" s="509"/>
    </row>
    <row r="51" spans="1:58" ht="12.95" customHeight="1">
      <c r="A51" s="45"/>
      <c r="B51" s="46"/>
      <c r="C51" s="454"/>
      <c r="D51" s="46"/>
      <c r="E51" s="47"/>
      <c r="F51" s="47"/>
      <c r="G51" s="505"/>
      <c r="H51" s="49"/>
      <c r="I51" s="50"/>
      <c r="J51" s="87"/>
      <c r="K51" s="87"/>
      <c r="L51" s="40"/>
      <c r="M51" s="40"/>
      <c r="N51" s="51"/>
      <c r="O51" s="52"/>
      <c r="P51" s="53"/>
      <c r="Q51" s="52"/>
      <c r="R51" s="506"/>
      <c r="S51" s="506"/>
      <c r="T51" s="42"/>
      <c r="U51" s="42"/>
      <c r="V51" s="42"/>
      <c r="W51" s="42"/>
      <c r="X51" s="507"/>
      <c r="Y51" s="216"/>
      <c r="Z51" s="42"/>
      <c r="AA51" s="54"/>
      <c r="AB51" s="54"/>
      <c r="AC51" s="42"/>
      <c r="AD51" s="42"/>
      <c r="AE51" s="237"/>
      <c r="AF51" s="42"/>
      <c r="AG51" s="42"/>
      <c r="AH51" s="42"/>
      <c r="AI51" s="508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8"/>
      <c r="BC51" s="509"/>
      <c r="BD51" s="509"/>
      <c r="BE51" s="38"/>
      <c r="BF51" s="509"/>
    </row>
    <row r="52" spans="1:58" ht="12.75" customHeight="1">
      <c r="A52" s="45">
        <v>45940</v>
      </c>
      <c r="B52" s="46" t="s">
        <v>8</v>
      </c>
      <c r="C52" s="454">
        <f>(M52*E52*O52*Q52)/100000000</f>
        <v>51.68394</v>
      </c>
      <c r="D52" s="46" t="s">
        <v>451</v>
      </c>
      <c r="E52" s="47">
        <v>30</v>
      </c>
      <c r="F52" s="47">
        <v>1</v>
      </c>
      <c r="G52" s="505">
        <v>545</v>
      </c>
      <c r="H52" s="49">
        <v>0.12</v>
      </c>
      <c r="I52" s="50">
        <v>0.88</v>
      </c>
      <c r="J52" s="87">
        <f>E52*G52*(1-H52)*1440/1000000*3.4</f>
        <v>70.443647999999996</v>
      </c>
      <c r="K52" s="87">
        <f>(IF(G52&lt;L52,L52,G52)*(1-IF(H52&lt;N52,H52,N52))*E52*O52*Q52)/100000000</f>
        <v>51.68394</v>
      </c>
      <c r="L52" s="40">
        <v>575.46296296296293</v>
      </c>
      <c r="M52" s="40">
        <v>506.40740740740739</v>
      </c>
      <c r="N52" s="51">
        <f>1-(M52/L52)</f>
        <v>0.12</v>
      </c>
      <c r="O52" s="52">
        <f>+'Trim Rwd'!H36</f>
        <v>315</v>
      </c>
      <c r="P52" s="53">
        <f>O52*(Q52-R52-S52)</f>
        <v>337050</v>
      </c>
      <c r="Q52" s="52">
        <v>1080</v>
      </c>
      <c r="R52" s="506">
        <v>0</v>
      </c>
      <c r="S52" s="506">
        <v>10</v>
      </c>
      <c r="T52" s="42">
        <f>E52*M52*O52*Q52/100000000</f>
        <v>51.68394</v>
      </c>
      <c r="U52" s="42">
        <f>E52*M52*O52*(Q52-R52-S52)/100000000</f>
        <v>51.205385</v>
      </c>
      <c r="V52" s="42">
        <f>E52*G52*(1-N52)*O52/100*(R52+S52)/1000000</f>
        <v>0.45322200000000001</v>
      </c>
      <c r="W52" s="42">
        <f>+'10'!K16/1000</f>
        <v>55.247999999999998</v>
      </c>
      <c r="X52" s="507">
        <f>SUM(W52:W55)/SUM(K52:K55)</f>
        <v>0.96058493115280974</v>
      </c>
      <c r="Y52" s="216">
        <v>0</v>
      </c>
      <c r="Z52" s="42">
        <v>0</v>
      </c>
      <c r="AA52" s="54">
        <f>SUM(U52:U55)-SUM(W52:W55)-SUM(Z52:Z55)-SUM(Y52:Y55)</f>
        <v>2.0681500559999932</v>
      </c>
      <c r="AB52" s="54">
        <f>(SUM(K52:K55)-SUM(W52:W55)-SUM(Y52:Y55)-SUM(Z52:Z55)-SUM(AC52:AC55)-SUM(V52:V55))-AA52</f>
        <v>5.2322834666673756E-2</v>
      </c>
      <c r="AC52" s="42">
        <f>K52-T52</f>
        <v>0</v>
      </c>
      <c r="AD52" s="42">
        <f>+AM52+BA52</f>
        <v>0</v>
      </c>
      <c r="AE52" s="234" t="s">
        <v>394</v>
      </c>
      <c r="AF52" s="42">
        <v>0</v>
      </c>
      <c r="AG52" s="42"/>
      <c r="AH52" s="42"/>
      <c r="AI52" s="508"/>
      <c r="AJ52" s="42"/>
      <c r="AK52" s="42"/>
      <c r="AL52" s="42"/>
      <c r="AM52" s="42">
        <f>SUM(AF52:AL52)+AT52+AV52+AX52</f>
        <v>0</v>
      </c>
      <c r="AN52" s="42"/>
      <c r="AO52" s="42"/>
      <c r="AP52" s="42"/>
      <c r="AQ52" s="42"/>
      <c r="AR52" s="42">
        <f>SUM(AN52:AQ52)</f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38">
        <v>0</v>
      </c>
      <c r="BC52" s="56"/>
      <c r="BD52" s="56"/>
      <c r="BE52" s="38"/>
      <c r="BF52" s="56"/>
    </row>
    <row r="53" spans="1:58" ht="12.95" customHeight="1">
      <c r="A53" s="45"/>
      <c r="B53" s="46" t="s">
        <v>8</v>
      </c>
      <c r="C53" s="454">
        <f>(M53*E53*O53*Q53)/100000000</f>
        <v>18.003807359999996</v>
      </c>
      <c r="D53" s="46" t="s">
        <v>451</v>
      </c>
      <c r="E53" s="47">
        <v>28</v>
      </c>
      <c r="F53" s="47">
        <v>1</v>
      </c>
      <c r="G53" s="505">
        <v>545</v>
      </c>
      <c r="H53" s="49">
        <v>0.12</v>
      </c>
      <c r="I53" s="50">
        <v>0.88</v>
      </c>
      <c r="J53" s="87">
        <f>E53*G53*(1-H53)*1440/1000000*3.4</f>
        <v>65.747404799999998</v>
      </c>
      <c r="K53" s="87">
        <f>(IF(G53&lt;L53,L53,G53)*(1-IF(H53&lt;N53,H53,N53))*E53*O53*Q53)/100000000</f>
        <v>18.003807359999996</v>
      </c>
      <c r="L53" s="40">
        <v>630</v>
      </c>
      <c r="M53" s="40">
        <v>554.4</v>
      </c>
      <c r="N53" s="51">
        <f>1-(M53/L53)</f>
        <v>0.12</v>
      </c>
      <c r="O53" s="52">
        <f>+'Trim Rwd'!H37</f>
        <v>322.16666666666669</v>
      </c>
      <c r="P53" s="53">
        <f>O53*(Q53-R53-S53)</f>
        <v>114691.33333333334</v>
      </c>
      <c r="Q53" s="52">
        <v>360</v>
      </c>
      <c r="R53" s="506">
        <v>0</v>
      </c>
      <c r="S53" s="506">
        <v>4</v>
      </c>
      <c r="T53" s="42">
        <f>E53*M53*O53*Q53/100000000</f>
        <v>18.003807359999996</v>
      </c>
      <c r="U53" s="42">
        <f>E53*M53*O53*(Q53-R53-S53)/100000000</f>
        <v>17.803765056</v>
      </c>
      <c r="V53" s="42">
        <f>E53*G53*(1-N53)*O53/100*(R53+S53)/1000000</f>
        <v>0.17305246933333335</v>
      </c>
      <c r="W53" s="42">
        <f>+'10'!K17/1000</f>
        <v>11.693</v>
      </c>
      <c r="X53" s="43"/>
      <c r="Y53" s="216"/>
      <c r="Z53" s="42">
        <v>0</v>
      </c>
      <c r="AA53" s="42"/>
      <c r="AB53" s="42"/>
      <c r="AC53" s="42">
        <f>K53-T53</f>
        <v>0</v>
      </c>
      <c r="AD53" s="42">
        <f>+AM53+BA53</f>
        <v>4</v>
      </c>
      <c r="AE53" s="234" t="s">
        <v>449</v>
      </c>
      <c r="AF53" s="42"/>
      <c r="AG53" s="42">
        <v>4</v>
      </c>
      <c r="AH53" s="42"/>
      <c r="AI53" s="508"/>
      <c r="AJ53" s="42"/>
      <c r="AK53" s="42"/>
      <c r="AL53" s="42"/>
      <c r="AM53" s="42">
        <f>SUM(AF53:AL53)+AT53+AV53+AX53</f>
        <v>4</v>
      </c>
      <c r="AN53" s="88"/>
      <c r="AO53" s="42"/>
      <c r="AP53" s="42"/>
      <c r="AQ53" s="42"/>
      <c r="AR53" s="42">
        <f>SUM(AN53:AQ53)</f>
        <v>0</v>
      </c>
      <c r="AS53" s="42"/>
      <c r="AT53" s="42"/>
      <c r="AU53" s="42"/>
      <c r="AV53" s="42"/>
      <c r="AW53" s="42"/>
      <c r="AX53" s="42"/>
      <c r="AY53" s="42"/>
      <c r="AZ53" s="42"/>
      <c r="BA53" s="42">
        <f>+AR53+AS53+AU53+AW53+AY53+AZ53</f>
        <v>0</v>
      </c>
      <c r="BB53" s="55"/>
      <c r="BC53" s="56">
        <v>2</v>
      </c>
      <c r="BD53" s="56"/>
      <c r="BE53" s="55"/>
      <c r="BF53" s="56"/>
    </row>
    <row r="54" spans="1:58" ht="12.95" customHeight="1">
      <c r="A54" s="45"/>
      <c r="B54" s="46"/>
      <c r="C54" s="454"/>
      <c r="D54" s="46"/>
      <c r="E54" s="47"/>
      <c r="F54" s="47"/>
      <c r="G54" s="505"/>
      <c r="H54" s="49"/>
      <c r="I54" s="50"/>
      <c r="J54" s="87"/>
      <c r="K54" s="87"/>
      <c r="L54" s="40"/>
      <c r="M54" s="40"/>
      <c r="N54" s="51"/>
      <c r="O54" s="52"/>
      <c r="P54" s="53"/>
      <c r="Q54" s="52"/>
      <c r="R54" s="506"/>
      <c r="S54" s="506"/>
      <c r="T54" s="42"/>
      <c r="U54" s="42"/>
      <c r="V54" s="42"/>
      <c r="W54" s="42"/>
      <c r="X54" s="43"/>
      <c r="Y54" s="216"/>
      <c r="Z54" s="42"/>
      <c r="AA54" s="42"/>
      <c r="AB54" s="42"/>
      <c r="AC54" s="42"/>
      <c r="AD54" s="42">
        <f>+AM54+BA54</f>
        <v>8</v>
      </c>
      <c r="AE54" s="234" t="s">
        <v>226</v>
      </c>
      <c r="AF54" s="38"/>
      <c r="AG54" s="38"/>
      <c r="AH54" s="42">
        <v>8</v>
      </c>
      <c r="AI54" s="508"/>
      <c r="AJ54" s="42"/>
      <c r="AK54" s="42"/>
      <c r="AL54" s="42"/>
      <c r="AM54" s="42">
        <f>SUM(AF54:AL54)+AT54+AV54+AX54</f>
        <v>8</v>
      </c>
      <c r="AN54" s="42"/>
      <c r="AO54" s="42"/>
      <c r="AP54" s="42"/>
      <c r="AQ54" s="42"/>
      <c r="AR54" s="42">
        <f>SUM(AN54:AQ54)</f>
        <v>0</v>
      </c>
      <c r="AS54" s="42"/>
      <c r="AT54" s="42"/>
      <c r="AU54" s="42"/>
      <c r="AV54" s="42"/>
      <c r="AW54" s="42"/>
      <c r="AX54" s="42"/>
      <c r="AY54" s="42"/>
      <c r="AZ54" s="42"/>
      <c r="BA54" s="42">
        <f>+AR54+AS54+AU54+AW54+AY54+AZ54</f>
        <v>0</v>
      </c>
      <c r="BB54" s="38"/>
      <c r="BC54" s="509"/>
      <c r="BD54" s="509"/>
      <c r="BE54" s="38"/>
      <c r="BF54" s="509"/>
    </row>
    <row r="55" spans="1:58" ht="12.95" customHeight="1">
      <c r="A55" s="45"/>
      <c r="B55" s="46"/>
      <c r="C55" s="454"/>
      <c r="D55" s="46"/>
      <c r="E55" s="47"/>
      <c r="F55" s="47"/>
      <c r="G55" s="505"/>
      <c r="H55" s="49"/>
      <c r="I55" s="50"/>
      <c r="J55" s="87"/>
      <c r="K55" s="87"/>
      <c r="L55" s="40"/>
      <c r="M55" s="40"/>
      <c r="N55" s="51"/>
      <c r="O55" s="52"/>
      <c r="P55" s="53"/>
      <c r="Q55" s="52"/>
      <c r="R55" s="506"/>
      <c r="S55" s="506"/>
      <c r="T55" s="42"/>
      <c r="U55" s="42"/>
      <c r="V55" s="42"/>
      <c r="W55" s="42"/>
      <c r="X55" s="43"/>
      <c r="Y55" s="216"/>
      <c r="Z55" s="42"/>
      <c r="AA55" s="42"/>
      <c r="AB55" s="42"/>
      <c r="AC55" s="42"/>
      <c r="AD55" s="42">
        <f>+AM55+BA55</f>
        <v>2</v>
      </c>
      <c r="AE55" s="587" t="s">
        <v>463</v>
      </c>
      <c r="AF55" s="42"/>
      <c r="AG55" s="42"/>
      <c r="AH55" s="42"/>
      <c r="AI55" s="508">
        <v>2</v>
      </c>
      <c r="AJ55" s="42"/>
      <c r="AK55" s="42"/>
      <c r="AL55" s="42"/>
      <c r="AM55" s="42">
        <f>SUM(AF55:AL55)+AT55+AV55+AX55</f>
        <v>2</v>
      </c>
      <c r="AN55" s="42"/>
      <c r="AO55" s="42"/>
      <c r="AP55" s="42"/>
      <c r="AQ55" s="42"/>
      <c r="AR55" s="42">
        <f>SUM(AN55:AQ55)</f>
        <v>0</v>
      </c>
      <c r="AS55" s="42"/>
      <c r="AT55" s="42"/>
      <c r="AU55" s="42"/>
      <c r="AV55" s="42"/>
      <c r="AW55" s="42"/>
      <c r="AX55" s="42"/>
      <c r="AY55" s="42"/>
      <c r="AZ55" s="42"/>
      <c r="BA55" s="42">
        <f>+AR55+AS55+AU55+AW55+AY55+AZ55</f>
        <v>0</v>
      </c>
      <c r="BB55" s="38"/>
      <c r="BC55" s="509"/>
      <c r="BD55" s="509"/>
      <c r="BE55" s="38"/>
      <c r="BF55" s="509"/>
    </row>
    <row r="56" spans="1:58" ht="12.95" customHeight="1">
      <c r="A56" s="45"/>
      <c r="B56" s="46"/>
      <c r="C56" s="454"/>
      <c r="D56" s="46"/>
      <c r="E56" s="47"/>
      <c r="F56" s="47"/>
      <c r="G56" s="505"/>
      <c r="H56" s="49"/>
      <c r="I56" s="50"/>
      <c r="J56" s="87"/>
      <c r="K56" s="87"/>
      <c r="L56" s="40"/>
      <c r="M56" s="40"/>
      <c r="N56" s="51"/>
      <c r="O56" s="52"/>
      <c r="P56" s="53"/>
      <c r="Q56" s="52"/>
      <c r="R56" s="506"/>
      <c r="S56" s="506"/>
      <c r="T56" s="42"/>
      <c r="U56" s="42"/>
      <c r="V56" s="42"/>
      <c r="W56" s="42"/>
      <c r="X56" s="43"/>
      <c r="Y56" s="216"/>
      <c r="Z56" s="42"/>
      <c r="AA56" s="54"/>
      <c r="AB56" s="54"/>
      <c r="AC56" s="42"/>
      <c r="AD56" s="42"/>
      <c r="AE56" s="237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8"/>
      <c r="BC56" s="56"/>
      <c r="BD56" s="56"/>
      <c r="BE56" s="55"/>
      <c r="BF56" s="56"/>
    </row>
    <row r="57" spans="1:58" ht="12.75" customHeight="1">
      <c r="A57" s="45">
        <v>45941</v>
      </c>
      <c r="B57" s="46" t="s">
        <v>8</v>
      </c>
      <c r="C57" s="454">
        <f>(M57*E57*O57*Q57)/100000000</f>
        <v>0.50052618000000004</v>
      </c>
      <c r="D57" s="46" t="s">
        <v>451</v>
      </c>
      <c r="E57" s="47">
        <v>28</v>
      </c>
      <c r="F57" s="47">
        <v>1</v>
      </c>
      <c r="G57" s="505">
        <v>545</v>
      </c>
      <c r="H57" s="49">
        <v>0.12</v>
      </c>
      <c r="I57" s="50">
        <v>0.88</v>
      </c>
      <c r="J57" s="87">
        <f>E57*G57*(1-H57)*1440/1000000*3.4</f>
        <v>65.747404799999998</v>
      </c>
      <c r="K57" s="87">
        <f>(IF(G57&lt;L57,L57,G57)*(1-IF(H57&lt;N57,H57,N57))*E57*O57*Q57)/100000000</f>
        <v>0.50052618000000004</v>
      </c>
      <c r="L57" s="40">
        <v>630</v>
      </c>
      <c r="M57" s="40">
        <v>554.4</v>
      </c>
      <c r="N57" s="51">
        <f>1-(M57/L57)</f>
        <v>0.12</v>
      </c>
      <c r="O57" s="52">
        <f>+'Trim Rwd'!H40</f>
        <v>322.4375</v>
      </c>
      <c r="P57" s="53">
        <f>O57*(Q57-R57-S57)</f>
        <v>3224.375</v>
      </c>
      <c r="Q57" s="52">
        <v>10</v>
      </c>
      <c r="R57" s="506">
        <v>0</v>
      </c>
      <c r="S57" s="506">
        <v>0</v>
      </c>
      <c r="T57" s="42">
        <f>E57*M57*O57*Q57/100000000</f>
        <v>0.50052618000000004</v>
      </c>
      <c r="U57" s="42">
        <f>E57*M57*O57*(Q57-R57-S57)/100000000</f>
        <v>0.50052618000000004</v>
      </c>
      <c r="V57" s="42">
        <f>E57*G57*(1-N57)*O57/100*(R57+S57)/1000000</f>
        <v>0</v>
      </c>
      <c r="W57" s="42">
        <f>+'11'!K17/1000</f>
        <v>10.446999999999999</v>
      </c>
      <c r="X57" s="507">
        <f>SUM(W57:W60)/SUM(K57:K60)</f>
        <v>0.90271028045520296</v>
      </c>
      <c r="Y57" s="216">
        <v>0</v>
      </c>
      <c r="Z57" s="42">
        <v>0</v>
      </c>
      <c r="AA57" s="54">
        <f>SUM(U57:U60)-SUM(W57:W60)-SUM(Z57:Z60)-SUM(Y57:Y60)</f>
        <v>-0.58978682505245406</v>
      </c>
      <c r="AB57" s="54">
        <f>(SUM(K57:K60)-SUM(W57:W60)-SUM(Y57:Y60)-SUM(Z57:Z60)-SUM(AC57:AC60)-SUM(V57:V60))-AA57</f>
        <v>-4.7858977447553297E-2</v>
      </c>
      <c r="AC57" s="42">
        <f>K57-T57</f>
        <v>0</v>
      </c>
      <c r="AD57" s="42">
        <f>+AM57+BA57</f>
        <v>8</v>
      </c>
      <c r="AE57" s="234" t="s">
        <v>593</v>
      </c>
      <c r="AF57" s="42">
        <v>8</v>
      </c>
      <c r="AG57" s="42"/>
      <c r="AH57" s="42"/>
      <c r="AI57" s="508"/>
      <c r="AJ57" s="42"/>
      <c r="AK57" s="42"/>
      <c r="AL57" s="42"/>
      <c r="AM57" s="42">
        <f>SUM(AF57:AL57)+AT57+AV57+AX57</f>
        <v>8</v>
      </c>
      <c r="AN57" s="42"/>
      <c r="AO57" s="42"/>
      <c r="AP57" s="42"/>
      <c r="AQ57" s="42"/>
      <c r="AR57" s="42">
        <f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38">
        <v>4</v>
      </c>
      <c r="BC57" s="56"/>
      <c r="BD57" s="56"/>
      <c r="BE57" s="38"/>
      <c r="BF57" s="56"/>
    </row>
    <row r="58" spans="1:58" ht="12.95" customHeight="1">
      <c r="A58" s="45"/>
      <c r="B58" s="46" t="s">
        <v>462</v>
      </c>
      <c r="C58" s="454">
        <f>(M58*E58*O58*Q58)/100000000</f>
        <v>65.334673214999995</v>
      </c>
      <c r="D58" s="46" t="s">
        <v>451</v>
      </c>
      <c r="E58" s="47">
        <v>20.5</v>
      </c>
      <c r="F58" s="47">
        <v>1</v>
      </c>
      <c r="G58" s="505">
        <v>830</v>
      </c>
      <c r="H58" s="49">
        <v>0.14000000000000001</v>
      </c>
      <c r="I58" s="50">
        <v>0.88</v>
      </c>
      <c r="J58" s="87">
        <f>E58*G58*(1-H58)*1440/1000000*3.4</f>
        <v>71.642678399999994</v>
      </c>
      <c r="K58" s="87">
        <f>(IF(G58&lt;L58,L58,G58)*(1-IF(H58&lt;N58,H58,N58))*E58*O58*Q58)/100000000</f>
        <v>66.855525165000003</v>
      </c>
      <c r="L58" s="40">
        <v>811.11888111888106</v>
      </c>
      <c r="M58" s="40">
        <v>697.56223776223771</v>
      </c>
      <c r="N58" s="51">
        <f>1-(M58/L58)</f>
        <v>0.14000000000000001</v>
      </c>
      <c r="O58" s="52">
        <f>+'Trim Rwd'!H42</f>
        <v>319.5</v>
      </c>
      <c r="P58" s="53">
        <f>O58*(Q58-R58-S58)</f>
        <v>442507.5</v>
      </c>
      <c r="Q58" s="52">
        <v>1430</v>
      </c>
      <c r="R58" s="506">
        <v>0</v>
      </c>
      <c r="S58" s="506">
        <v>45</v>
      </c>
      <c r="T58" s="42">
        <f>E58*M58*O58*Q58/100000000</f>
        <v>65.334673214999995</v>
      </c>
      <c r="U58" s="42">
        <f>E58*M58*O58*(Q58-R58-S58)/100000000</f>
        <v>63.278686994947542</v>
      </c>
      <c r="V58" s="42">
        <f>E58*G58*(1-N58)*O58/100*(R58+S58)/1000000</f>
        <v>2.1038451974999997</v>
      </c>
      <c r="W58" s="42">
        <f>+'11'!K18/1000</f>
        <v>50.356000000000002</v>
      </c>
      <c r="X58" s="43"/>
      <c r="Y58" s="216"/>
      <c r="Z58" s="42">
        <f>+'11'!D34/1000</f>
        <v>3.5659999999999998</v>
      </c>
      <c r="AA58" s="42"/>
      <c r="AB58" s="42"/>
      <c r="AC58" s="42">
        <f>K58-T58</f>
        <v>1.5208519500000079</v>
      </c>
      <c r="AD58" s="42">
        <f>+AM58+BA58</f>
        <v>13</v>
      </c>
      <c r="AE58" s="234" t="s">
        <v>480</v>
      </c>
      <c r="AF58" s="42"/>
      <c r="AG58" s="42">
        <v>13</v>
      </c>
      <c r="AH58" s="42"/>
      <c r="AI58" s="508"/>
      <c r="AJ58" s="42"/>
      <c r="AK58" s="42"/>
      <c r="AL58" s="42"/>
      <c r="AM58" s="42">
        <f>SUM(AF58:AL58)+AT58+AV58+AX58</f>
        <v>13</v>
      </c>
      <c r="AN58" s="88"/>
      <c r="AO58" s="42"/>
      <c r="AP58" s="42"/>
      <c r="AQ58" s="42"/>
      <c r="AR58" s="42">
        <f>SUM(AN58:AQ58)</f>
        <v>0</v>
      </c>
      <c r="AS58" s="42"/>
      <c r="AT58" s="42"/>
      <c r="AU58" s="42"/>
      <c r="AV58" s="42"/>
      <c r="AW58" s="42"/>
      <c r="AX58" s="42"/>
      <c r="AY58" s="42"/>
      <c r="AZ58" s="42"/>
      <c r="BA58" s="42">
        <f>+AR58+AS58+AU58+AW58+AY58+AZ58</f>
        <v>0</v>
      </c>
      <c r="BB58" s="55"/>
      <c r="BC58" s="56">
        <v>4</v>
      </c>
      <c r="BD58" s="56"/>
      <c r="BE58" s="55"/>
      <c r="BF58" s="56"/>
    </row>
    <row r="59" spans="1:58" ht="12.95" customHeight="1">
      <c r="A59" s="45"/>
      <c r="B59" s="46"/>
      <c r="C59" s="454"/>
      <c r="D59" s="46"/>
      <c r="E59" s="47"/>
      <c r="F59" s="47"/>
      <c r="G59" s="505"/>
      <c r="H59" s="49"/>
      <c r="I59" s="50"/>
      <c r="J59" s="87"/>
      <c r="K59" s="87"/>
      <c r="L59" s="40"/>
      <c r="M59" s="40"/>
      <c r="N59" s="51"/>
      <c r="O59" s="52"/>
      <c r="P59" s="53"/>
      <c r="Q59" s="52"/>
      <c r="R59" s="506"/>
      <c r="S59" s="506"/>
      <c r="T59" s="42"/>
      <c r="U59" s="42"/>
      <c r="V59" s="42"/>
      <c r="W59" s="42"/>
      <c r="X59" s="43"/>
      <c r="Y59" s="216"/>
      <c r="Z59" s="42"/>
      <c r="AA59" s="42"/>
      <c r="AB59" s="42"/>
      <c r="AC59" s="42"/>
      <c r="AD59" s="42">
        <f>+AM59+BA59</f>
        <v>19</v>
      </c>
      <c r="AE59" s="234" t="s">
        <v>226</v>
      </c>
      <c r="AF59" s="38"/>
      <c r="AG59" s="38"/>
      <c r="AH59" s="42">
        <v>19</v>
      </c>
      <c r="AI59" s="508"/>
      <c r="AJ59" s="42"/>
      <c r="AK59" s="42"/>
      <c r="AL59" s="42"/>
      <c r="AM59" s="42">
        <f>SUM(AF59:AL59)+AT59+AV59+AX59</f>
        <v>19</v>
      </c>
      <c r="AN59" s="42"/>
      <c r="AO59" s="42"/>
      <c r="AP59" s="42"/>
      <c r="AQ59" s="42"/>
      <c r="AR59" s="42">
        <f>SUM(AN59:AQ59)</f>
        <v>0</v>
      </c>
      <c r="AS59" s="42"/>
      <c r="AT59" s="42"/>
      <c r="AU59" s="42"/>
      <c r="AV59" s="42"/>
      <c r="AW59" s="42"/>
      <c r="AX59" s="42"/>
      <c r="AY59" s="42"/>
      <c r="AZ59" s="42"/>
      <c r="BA59" s="42">
        <f>+AR59+AS59+AU59+AW59+AY59+AZ59</f>
        <v>0</v>
      </c>
      <c r="BB59" s="38"/>
      <c r="BC59" s="509"/>
      <c r="BD59" s="509"/>
      <c r="BE59" s="38"/>
      <c r="BF59" s="509"/>
    </row>
    <row r="60" spans="1:58" ht="12.95" customHeight="1">
      <c r="A60" s="45"/>
      <c r="B60" s="46"/>
      <c r="C60" s="454"/>
      <c r="D60" s="46"/>
      <c r="E60" s="47"/>
      <c r="F60" s="47"/>
      <c r="G60" s="505"/>
      <c r="H60" s="49"/>
      <c r="I60" s="50"/>
      <c r="J60" s="87"/>
      <c r="K60" s="87"/>
      <c r="L60" s="40"/>
      <c r="M60" s="40"/>
      <c r="N60" s="51"/>
      <c r="O60" s="52"/>
      <c r="P60" s="53"/>
      <c r="Q60" s="52"/>
      <c r="R60" s="506"/>
      <c r="S60" s="506"/>
      <c r="T60" s="42"/>
      <c r="U60" s="42"/>
      <c r="V60" s="42"/>
      <c r="W60" s="42"/>
      <c r="X60" s="43"/>
      <c r="Y60" s="216"/>
      <c r="Z60" s="42"/>
      <c r="AA60" s="42"/>
      <c r="AB60" s="42"/>
      <c r="AC60" s="42"/>
      <c r="AD60" s="42">
        <f>+AM60+BA60</f>
        <v>5</v>
      </c>
      <c r="AE60" s="587" t="s">
        <v>463</v>
      </c>
      <c r="AF60" s="42"/>
      <c r="AG60" s="42"/>
      <c r="AH60" s="42"/>
      <c r="AI60" s="508">
        <v>5</v>
      </c>
      <c r="AJ60" s="42"/>
      <c r="AK60" s="42"/>
      <c r="AL60" s="42"/>
      <c r="AM60" s="42">
        <f>SUM(AF60:AL60)+AT60+AV60+AX60</f>
        <v>5</v>
      </c>
      <c r="AN60" s="42"/>
      <c r="AO60" s="42"/>
      <c r="AP60" s="42"/>
      <c r="AQ60" s="42"/>
      <c r="AR60" s="42">
        <f>SUM(AN60:AQ60)</f>
        <v>0</v>
      </c>
      <c r="AS60" s="42"/>
      <c r="AT60" s="42"/>
      <c r="AU60" s="42"/>
      <c r="AV60" s="42"/>
      <c r="AW60" s="42"/>
      <c r="AX60" s="42"/>
      <c r="AY60" s="42"/>
      <c r="AZ60" s="42"/>
      <c r="BA60" s="42">
        <f>+AR60+AS60+AU60+AW60+AY60+AZ60</f>
        <v>0</v>
      </c>
      <c r="BB60" s="38"/>
      <c r="BC60" s="509"/>
      <c r="BD60" s="509"/>
      <c r="BE60" s="38"/>
      <c r="BF60" s="509"/>
    </row>
    <row r="61" spans="1:58" ht="12.95" customHeight="1">
      <c r="A61" s="45"/>
      <c r="B61" s="46"/>
      <c r="C61" s="454"/>
      <c r="D61" s="46"/>
      <c r="E61" s="47"/>
      <c r="F61" s="47"/>
      <c r="G61" s="505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06"/>
      <c r="S61" s="506"/>
      <c r="T61" s="42"/>
      <c r="U61" s="42"/>
      <c r="V61" s="42"/>
      <c r="W61" s="42"/>
      <c r="X61" s="43"/>
      <c r="Y61" s="216"/>
      <c r="Z61" s="42"/>
      <c r="AA61" s="42"/>
      <c r="AB61" s="42"/>
      <c r="AC61" s="42"/>
      <c r="AD61" s="42"/>
      <c r="AE61" s="234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8"/>
      <c r="BC61" s="56"/>
      <c r="BD61" s="56"/>
      <c r="BE61" s="56"/>
      <c r="BF61" s="56"/>
    </row>
    <row r="62" spans="1:58" ht="12.95" customHeight="1">
      <c r="A62" s="45">
        <v>45942</v>
      </c>
      <c r="B62" s="46" t="s">
        <v>462</v>
      </c>
      <c r="C62" s="454">
        <f>(M62*E62*O62*Q62)/100000000</f>
        <v>65.152066603514385</v>
      </c>
      <c r="D62" s="46" t="s">
        <v>451</v>
      </c>
      <c r="E62" s="47">
        <v>20.5</v>
      </c>
      <c r="F62" s="47">
        <v>1</v>
      </c>
      <c r="G62" s="505">
        <v>830</v>
      </c>
      <c r="H62" s="49">
        <v>0.14000000000000001</v>
      </c>
      <c r="I62" s="50">
        <v>0.88</v>
      </c>
      <c r="J62" s="87">
        <f>E62*G62*(1-H62)*1440/1000000*3.4</f>
        <v>71.642678399999994</v>
      </c>
      <c r="K62" s="87">
        <f>(IF(G62&lt;L62,L62,G62)*(1-IF(H62&lt;N62,H62,N62))*E62*O62*Q62)/100000000</f>
        <v>67.323046320000003</v>
      </c>
      <c r="L62" s="40">
        <v>803.23482428115017</v>
      </c>
      <c r="M62" s="40">
        <v>690.78194888178916</v>
      </c>
      <c r="N62" s="51">
        <f>1-(M62/L62)</f>
        <v>0.14000000000000001</v>
      </c>
      <c r="O62" s="52">
        <f>+'Trim Rwd'!H44</f>
        <v>319.5</v>
      </c>
      <c r="P62" s="53">
        <f>O62*(Q62-R62-S62)</f>
        <v>386595</v>
      </c>
      <c r="Q62" s="52">
        <v>1440</v>
      </c>
      <c r="R62" s="506">
        <v>188</v>
      </c>
      <c r="S62" s="506">
        <v>42</v>
      </c>
      <c r="T62" s="42">
        <f>E62*M62*O62*Q62/100000000</f>
        <v>65.152066603514385</v>
      </c>
      <c r="U62" s="42">
        <f>E62*M62*O62*(Q62-R62-S62)/100000000</f>
        <v>54.74583374323084</v>
      </c>
      <c r="V62" s="42">
        <f>E62*G62*(1-N62)*O62/100*(R62+S62)/1000000</f>
        <v>10.752986564999999</v>
      </c>
      <c r="W62" s="42">
        <f>+'12'!K34/1000</f>
        <v>51.13</v>
      </c>
      <c r="X62" s="507">
        <f>SUM(W62:W65)/SUM(K62:K65)</f>
        <v>0.75947246589182571</v>
      </c>
      <c r="Y62" s="216">
        <v>0</v>
      </c>
      <c r="Z62" s="42">
        <f>+'12'!D34/1000</f>
        <v>1.1100000000000001</v>
      </c>
      <c r="AA62" s="54">
        <f>SUM(U62:U65)-SUM(W62:W65)-SUM(Z62:Z65)-SUM(Y62:Y65)</f>
        <v>2.5058337432308369</v>
      </c>
      <c r="AB62" s="54">
        <f>(SUM(K62:K65)-SUM(W62:W65)-SUM(Y62:Y65)-SUM(Z62:Z65)-SUM(AC62:AC65)-SUM(V62:V65))-AA62</f>
        <v>-0.34675370471645284</v>
      </c>
      <c r="AC62" s="42">
        <f>K62-T62</f>
        <v>2.1709797164856184</v>
      </c>
      <c r="AD62" s="42">
        <f>+AM62+BA62</f>
        <v>0</v>
      </c>
      <c r="AE62" s="234" t="s">
        <v>394</v>
      </c>
      <c r="AF62" s="42">
        <v>0</v>
      </c>
      <c r="AG62" s="42"/>
      <c r="AH62" s="42"/>
      <c r="AI62" s="508"/>
      <c r="AJ62" s="42"/>
      <c r="AK62" s="42"/>
      <c r="AL62" s="42"/>
      <c r="AM62" s="42">
        <f>SUM(AF62:AL62)+AT62+AV62+AX62</f>
        <v>0</v>
      </c>
      <c r="AN62" s="42"/>
      <c r="AO62" s="42"/>
      <c r="AP62" s="42"/>
      <c r="AQ62" s="42"/>
      <c r="AR62" s="42">
        <f>SUM(AN62:AQ62)</f>
        <v>0</v>
      </c>
      <c r="AS62" s="42"/>
      <c r="AT62" s="42"/>
      <c r="AU62" s="42"/>
      <c r="AV62" s="42"/>
      <c r="AW62" s="42"/>
      <c r="AX62" s="42"/>
      <c r="AY62" s="42"/>
      <c r="AZ62" s="42"/>
      <c r="BA62" s="42">
        <f>+AR62+AS62+AU62+AW62+AY62+AZ62</f>
        <v>0</v>
      </c>
      <c r="BB62" s="38">
        <v>0</v>
      </c>
      <c r="BC62" s="56"/>
      <c r="BD62" s="56"/>
      <c r="BE62" s="38"/>
      <c r="BF62" s="56"/>
    </row>
    <row r="63" spans="1:58" ht="12.95" customHeight="1">
      <c r="A63" s="45"/>
      <c r="B63" s="46"/>
      <c r="C63" s="454"/>
      <c r="D63" s="46"/>
      <c r="E63" s="47"/>
      <c r="F63" s="47"/>
      <c r="G63" s="505"/>
      <c r="H63" s="49"/>
      <c r="I63" s="50"/>
      <c r="J63" s="87"/>
      <c r="K63" s="87"/>
      <c r="L63" s="40"/>
      <c r="M63" s="40"/>
      <c r="N63" s="51"/>
      <c r="O63" s="52"/>
      <c r="P63" s="53"/>
      <c r="Q63" s="52"/>
      <c r="R63" s="506"/>
      <c r="S63" s="506"/>
      <c r="T63" s="42"/>
      <c r="U63" s="42"/>
      <c r="V63" s="42"/>
      <c r="W63" s="42"/>
      <c r="X63" s="43"/>
      <c r="Y63" s="216"/>
      <c r="Z63" s="42"/>
      <c r="AA63" s="42"/>
      <c r="AB63" s="42"/>
      <c r="AC63" s="42"/>
      <c r="AD63" s="42">
        <f>+AM63+BA63</f>
        <v>12</v>
      </c>
      <c r="AE63" s="234" t="s">
        <v>393</v>
      </c>
      <c r="AF63" s="42"/>
      <c r="AG63" s="42">
        <v>12</v>
      </c>
      <c r="AH63" s="42"/>
      <c r="AI63" s="508"/>
      <c r="AJ63" s="42"/>
      <c r="AK63" s="42"/>
      <c r="AL63" s="42"/>
      <c r="AM63" s="42">
        <f>SUM(AF63:AL63)+AT63+AV63+AX63</f>
        <v>12</v>
      </c>
      <c r="AN63" s="88"/>
      <c r="AO63" s="42"/>
      <c r="AP63" s="42"/>
      <c r="AQ63" s="42"/>
      <c r="AR63" s="42">
        <f>SUM(AN63:AQ63)</f>
        <v>0</v>
      </c>
      <c r="AS63" s="42"/>
      <c r="AT63" s="42"/>
      <c r="AU63" s="42"/>
      <c r="AV63" s="42"/>
      <c r="AW63" s="42"/>
      <c r="AX63" s="42"/>
      <c r="AY63" s="42"/>
      <c r="AZ63" s="42"/>
      <c r="BA63" s="42">
        <f>+AR63+AS63+AU63+AW63+AY63+AZ63</f>
        <v>0</v>
      </c>
      <c r="BB63" s="55"/>
      <c r="BC63" s="56">
        <v>3</v>
      </c>
      <c r="BD63" s="56"/>
      <c r="BE63" s="55"/>
      <c r="BF63" s="56"/>
    </row>
    <row r="64" spans="1:58" ht="12.95" customHeight="1">
      <c r="A64" s="45"/>
      <c r="B64" s="46"/>
      <c r="C64" s="454"/>
      <c r="D64" s="46"/>
      <c r="E64" s="47"/>
      <c r="F64" s="47"/>
      <c r="G64" s="505"/>
      <c r="H64" s="49"/>
      <c r="I64" s="50"/>
      <c r="J64" s="87"/>
      <c r="K64" s="87"/>
      <c r="L64" s="40"/>
      <c r="M64" s="40"/>
      <c r="N64" s="51"/>
      <c r="O64" s="52"/>
      <c r="P64" s="53"/>
      <c r="Q64" s="52"/>
      <c r="R64" s="506"/>
      <c r="S64" s="506"/>
      <c r="T64" s="42"/>
      <c r="U64" s="42"/>
      <c r="V64" s="42"/>
      <c r="W64" s="42"/>
      <c r="X64" s="43"/>
      <c r="Y64" s="216"/>
      <c r="Z64" s="42"/>
      <c r="AA64" s="42"/>
      <c r="AB64" s="42"/>
      <c r="AC64" s="42"/>
      <c r="AD64" s="42">
        <f>+AM64+BA64</f>
        <v>15</v>
      </c>
      <c r="AE64" s="234" t="s">
        <v>226</v>
      </c>
      <c r="AF64" s="38"/>
      <c r="AG64" s="38"/>
      <c r="AH64" s="42">
        <v>15</v>
      </c>
      <c r="AI64" s="508"/>
      <c r="AJ64" s="42"/>
      <c r="AK64" s="42"/>
      <c r="AL64" s="42"/>
      <c r="AM64" s="42">
        <f>SUM(AF64:AL64)+AT64+AV64+AX64</f>
        <v>15</v>
      </c>
      <c r="AN64" s="42"/>
      <c r="AO64" s="42"/>
      <c r="AP64" s="42"/>
      <c r="AQ64" s="42"/>
      <c r="AR64" s="42">
        <f>SUM(AN64:AQ64)</f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38"/>
      <c r="BC64" s="509"/>
      <c r="BD64" s="56"/>
      <c r="BE64" s="56"/>
      <c r="BF64" s="56"/>
    </row>
    <row r="65" spans="1:58" ht="12.95" customHeight="1">
      <c r="A65" s="45"/>
      <c r="B65" s="46"/>
      <c r="C65" s="454"/>
      <c r="D65" s="46"/>
      <c r="E65" s="47"/>
      <c r="F65" s="47"/>
      <c r="G65" s="505"/>
      <c r="H65" s="49"/>
      <c r="I65" s="50"/>
      <c r="J65" s="87"/>
      <c r="K65" s="87"/>
      <c r="L65" s="40"/>
      <c r="M65" s="40"/>
      <c r="N65" s="51"/>
      <c r="O65" s="52"/>
      <c r="P65" s="53"/>
      <c r="Q65" s="52"/>
      <c r="R65" s="506"/>
      <c r="S65" s="506"/>
      <c r="T65" s="42"/>
      <c r="U65" s="42"/>
      <c r="V65" s="42"/>
      <c r="W65" s="42"/>
      <c r="X65" s="43"/>
      <c r="Y65" s="216"/>
      <c r="Z65" s="42"/>
      <c r="AA65" s="42"/>
      <c r="AB65" s="42"/>
      <c r="AC65" s="42"/>
      <c r="AD65" s="42">
        <f>+AM65+BA65</f>
        <v>15</v>
      </c>
      <c r="AE65" s="237" t="s">
        <v>575</v>
      </c>
      <c r="AF65" s="42"/>
      <c r="AG65" s="42"/>
      <c r="AH65" s="42"/>
      <c r="AI65" s="508"/>
      <c r="AJ65" s="42"/>
      <c r="AK65" s="42">
        <v>15</v>
      </c>
      <c r="AL65" s="42"/>
      <c r="AM65" s="42">
        <f>SUM(AF65:AL65)+AT65+AV65+AX65</f>
        <v>15</v>
      </c>
      <c r="AN65" s="42"/>
      <c r="AO65" s="42"/>
      <c r="AP65" s="42"/>
      <c r="AQ65" s="42"/>
      <c r="AR65" s="42">
        <f>SUM(AN65:AQ65)</f>
        <v>0</v>
      </c>
      <c r="AS65" s="42"/>
      <c r="AT65" s="42"/>
      <c r="AU65" s="42"/>
      <c r="AV65" s="42"/>
      <c r="AW65" s="42"/>
      <c r="AX65" s="42"/>
      <c r="AY65" s="42"/>
      <c r="AZ65" s="42"/>
      <c r="BA65" s="42">
        <f>+AR65+AS65+AU65+AW65+AY65+AZ65</f>
        <v>0</v>
      </c>
      <c r="BB65" s="38"/>
      <c r="BC65" s="509"/>
      <c r="BD65" s="56"/>
      <c r="BE65" s="56"/>
      <c r="BF65" s="56"/>
    </row>
    <row r="66" spans="1:58" ht="12.95" customHeight="1">
      <c r="A66" s="45"/>
      <c r="B66" s="46"/>
      <c r="C66" s="454"/>
      <c r="D66" s="46"/>
      <c r="E66" s="47"/>
      <c r="F66" s="47"/>
      <c r="G66" s="505"/>
      <c r="H66" s="49"/>
      <c r="I66" s="50"/>
      <c r="J66" s="87"/>
      <c r="K66" s="87"/>
      <c r="L66" s="40"/>
      <c r="M66" s="40"/>
      <c r="N66" s="51"/>
      <c r="O66" s="52"/>
      <c r="P66" s="53"/>
      <c r="Q66" s="52"/>
      <c r="R66" s="506"/>
      <c r="S66" s="506"/>
      <c r="T66" s="42"/>
      <c r="U66" s="42"/>
      <c r="V66" s="42"/>
      <c r="W66" s="42"/>
      <c r="X66" s="43"/>
      <c r="Y66" s="216"/>
      <c r="Z66" s="42"/>
      <c r="AA66" s="42"/>
      <c r="AB66" s="42"/>
      <c r="AC66" s="42"/>
      <c r="AD66" s="42">
        <f>+AM66+BA66</f>
        <v>188</v>
      </c>
      <c r="AE66" s="237" t="s">
        <v>576</v>
      </c>
      <c r="AF66" s="42"/>
      <c r="AG66" s="42"/>
      <c r="AH66" s="42"/>
      <c r="AI66" s="508"/>
      <c r="AJ66" s="42"/>
      <c r="AK66" s="42"/>
      <c r="AL66" s="42"/>
      <c r="AM66" s="42">
        <f>SUM(AF66:AL66)+AT66+AV66+AX66</f>
        <v>0</v>
      </c>
      <c r="AN66" s="42">
        <v>188</v>
      </c>
      <c r="AO66" s="42"/>
      <c r="AP66" s="42"/>
      <c r="AQ66" s="42"/>
      <c r="AR66" s="42">
        <f>SUM(AN66:AQ66)</f>
        <v>188</v>
      </c>
      <c r="AS66" s="42"/>
      <c r="AT66" s="42"/>
      <c r="AU66" s="42"/>
      <c r="AV66" s="42"/>
      <c r="AW66" s="42"/>
      <c r="AX66" s="42"/>
      <c r="AY66" s="42"/>
      <c r="AZ66" s="42"/>
      <c r="BA66" s="42">
        <f>+AR66+AS66+AU66+AW66+AY66+AZ66</f>
        <v>188</v>
      </c>
      <c r="BB66" s="38"/>
      <c r="BC66" s="509"/>
      <c r="BD66" s="56"/>
      <c r="BE66" s="56"/>
      <c r="BF66" s="56">
        <v>1</v>
      </c>
    </row>
    <row r="67" spans="1:58" ht="12.95" customHeight="1">
      <c r="A67" s="45"/>
      <c r="B67" s="46"/>
      <c r="C67" s="454"/>
      <c r="D67" s="46"/>
      <c r="E67" s="47"/>
      <c r="F67" s="47"/>
      <c r="G67" s="505"/>
      <c r="H67" s="49"/>
      <c r="I67" s="50"/>
      <c r="J67" s="87"/>
      <c r="K67" s="87"/>
      <c r="L67" s="40"/>
      <c r="M67" s="40"/>
      <c r="N67" s="51"/>
      <c r="O67" s="52"/>
      <c r="P67" s="53"/>
      <c r="Q67" s="52"/>
      <c r="R67" s="506"/>
      <c r="S67" s="506"/>
      <c r="T67" s="42"/>
      <c r="U67" s="42"/>
      <c r="V67" s="42"/>
      <c r="W67" s="42"/>
      <c r="X67" s="43"/>
      <c r="Y67" s="216"/>
      <c r="Z67" s="42"/>
      <c r="AA67" s="42"/>
      <c r="AB67" s="42"/>
      <c r="AC67" s="42"/>
      <c r="AD67" s="42"/>
      <c r="AE67" s="234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8"/>
      <c r="BC67" s="56"/>
      <c r="BD67" s="56"/>
      <c r="BE67" s="56"/>
      <c r="BF67" s="56"/>
    </row>
    <row r="68" spans="1:58" ht="12.95" customHeight="1">
      <c r="A68" s="45">
        <v>45943</v>
      </c>
      <c r="B68" s="46" t="s">
        <v>462</v>
      </c>
      <c r="C68" s="454">
        <f>(M68*E68*O68*Q68)/100000000</f>
        <v>67.323046320000003</v>
      </c>
      <c r="D68" s="46" t="s">
        <v>451</v>
      </c>
      <c r="E68" s="47">
        <v>20.5</v>
      </c>
      <c r="F68" s="47">
        <v>1</v>
      </c>
      <c r="G68" s="505">
        <v>830</v>
      </c>
      <c r="H68" s="49">
        <v>0.14000000000000001</v>
      </c>
      <c r="I68" s="50">
        <v>0.88</v>
      </c>
      <c r="J68" s="87">
        <f>E68*G68*(1-H68)*1440/1000000*3.4</f>
        <v>71.642678399999994</v>
      </c>
      <c r="K68" s="87">
        <f>(IF(G68&lt;L68,L68,G68)*(1-IF(H68&lt;N68,H68,N68))*E68*O68*Q68)/100000000</f>
        <v>67.323046320000003</v>
      </c>
      <c r="L68" s="40">
        <v>830</v>
      </c>
      <c r="M68" s="40">
        <v>713.8</v>
      </c>
      <c r="N68" s="51">
        <f>1-(M68/L68)</f>
        <v>0.14000000000000001</v>
      </c>
      <c r="O68" s="52">
        <f>+'Trim Rwd'!H46</f>
        <v>319.5</v>
      </c>
      <c r="P68" s="53">
        <f>O68*(Q68-R68-S68)</f>
        <v>406404</v>
      </c>
      <c r="Q68" s="52">
        <v>1440</v>
      </c>
      <c r="R68" s="506">
        <f>45+70</f>
        <v>115</v>
      </c>
      <c r="S68" s="506">
        <v>53</v>
      </c>
      <c r="T68" s="42">
        <f>E68*M68*O68*Q68/100000000</f>
        <v>67.323046320000003</v>
      </c>
      <c r="U68" s="42">
        <f>E68*M68*O68*(Q68-R68-S68)/100000000</f>
        <v>59.468690915999993</v>
      </c>
      <c r="V68" s="42">
        <f>E68*G68*(1-N68)*O68/100*(R68+S68)/1000000</f>
        <v>7.8543554040000005</v>
      </c>
      <c r="W68" s="42">
        <f>+'13'!K34/1000</f>
        <v>54.646000000000001</v>
      </c>
      <c r="X68" s="507">
        <f>SUM(W68:W71)/SUM(K68:K71)</f>
        <v>0.81169826659739297</v>
      </c>
      <c r="Y68" s="216">
        <v>0</v>
      </c>
      <c r="Z68" s="42">
        <f>+'13'!D34/1000</f>
        <v>0.22</v>
      </c>
      <c r="AA68" s="54">
        <f>SUM(U68:U71)-SUM(W68:W71)-SUM(Z68:Z71)-SUM(Y68:Y71)</f>
        <v>4.6026909159999922</v>
      </c>
      <c r="AB68" s="54">
        <f>(SUM(K68:K71)-SUM(W68:W71)-SUM(Y68:Y71)-SUM(Z68:Z71)-SUM(AC68:AC71)-SUM(V68:V71))-AA68</f>
        <v>8.8817841970012523E-15</v>
      </c>
      <c r="AC68" s="42">
        <f>K68-T68</f>
        <v>0</v>
      </c>
      <c r="AD68" s="42">
        <f>+AM68+BA68</f>
        <v>4</v>
      </c>
      <c r="AE68" s="234" t="s">
        <v>452</v>
      </c>
      <c r="AF68" s="42">
        <v>4</v>
      </c>
      <c r="AG68" s="42"/>
      <c r="AH68" s="42"/>
      <c r="AI68" s="508"/>
      <c r="AJ68" s="42"/>
      <c r="AK68" s="42"/>
      <c r="AL68" s="42"/>
      <c r="AM68" s="42">
        <f>SUM(AF68:AL68)+AT68+AV68+AX68</f>
        <v>4</v>
      </c>
      <c r="AN68" s="42"/>
      <c r="AO68" s="42"/>
      <c r="AP68" s="42"/>
      <c r="AQ68" s="42"/>
      <c r="AR68" s="42">
        <f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38">
        <v>2</v>
      </c>
      <c r="BC68" s="56"/>
      <c r="BD68" s="56"/>
      <c r="BE68" s="38"/>
      <c r="BF68" s="56"/>
    </row>
    <row r="69" spans="1:58" ht="12.95" customHeight="1">
      <c r="A69" s="45"/>
      <c r="B69" s="46"/>
      <c r="C69" s="454"/>
      <c r="D69" s="46"/>
      <c r="E69" s="47"/>
      <c r="F69" s="47"/>
      <c r="G69" s="505"/>
      <c r="H69" s="49"/>
      <c r="I69" s="50"/>
      <c r="J69" s="87"/>
      <c r="K69" s="87"/>
      <c r="L69" s="40"/>
      <c r="M69" s="40"/>
      <c r="N69" s="51"/>
      <c r="O69" s="52"/>
      <c r="P69" s="53"/>
      <c r="Q69" s="52"/>
      <c r="R69" s="506"/>
      <c r="S69" s="506"/>
      <c r="T69" s="42"/>
      <c r="U69" s="42"/>
      <c r="V69" s="42"/>
      <c r="W69" s="42"/>
      <c r="X69" s="43"/>
      <c r="Y69" s="216"/>
      <c r="Z69" s="42"/>
      <c r="AA69" s="42"/>
      <c r="AB69" s="42"/>
      <c r="AC69" s="42"/>
      <c r="AD69" s="42">
        <f>+AM69+BA69</f>
        <v>21</v>
      </c>
      <c r="AE69" s="234" t="s">
        <v>393</v>
      </c>
      <c r="AF69" s="42"/>
      <c r="AG69" s="42">
        <v>21</v>
      </c>
      <c r="AH69" s="42"/>
      <c r="AI69" s="508"/>
      <c r="AJ69" s="42"/>
      <c r="AK69" s="42"/>
      <c r="AL69" s="42"/>
      <c r="AM69" s="42">
        <f>SUM(AF69:AL69)+AT69+AV69+AX69</f>
        <v>21</v>
      </c>
      <c r="AN69" s="88"/>
      <c r="AO69" s="42"/>
      <c r="AP69" s="42"/>
      <c r="AQ69" s="42"/>
      <c r="AR69" s="42">
        <f>SUM(AN69:AQ69)</f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55"/>
      <c r="BC69" s="56">
        <v>3</v>
      </c>
      <c r="BD69" s="56"/>
      <c r="BE69" s="55"/>
      <c r="BF69" s="56"/>
    </row>
    <row r="70" spans="1:58" ht="12.95" customHeight="1">
      <c r="A70" s="45"/>
      <c r="B70" s="46"/>
      <c r="C70" s="454"/>
      <c r="D70" s="46"/>
      <c r="E70" s="47"/>
      <c r="F70" s="47"/>
      <c r="G70" s="505"/>
      <c r="H70" s="49"/>
      <c r="I70" s="50"/>
      <c r="J70" s="87"/>
      <c r="K70" s="87"/>
      <c r="L70" s="40"/>
      <c r="M70" s="40"/>
      <c r="N70" s="51"/>
      <c r="O70" s="52"/>
      <c r="P70" s="53"/>
      <c r="Q70" s="52"/>
      <c r="R70" s="506"/>
      <c r="S70" s="506"/>
      <c r="T70" s="42"/>
      <c r="U70" s="42"/>
      <c r="V70" s="42"/>
      <c r="W70" s="42"/>
      <c r="X70" s="43"/>
      <c r="Y70" s="216"/>
      <c r="Z70" s="42"/>
      <c r="AA70" s="42"/>
      <c r="AB70" s="42"/>
      <c r="AC70" s="42"/>
      <c r="AD70" s="42">
        <f>+AM70+BA70</f>
        <v>28</v>
      </c>
      <c r="AE70" s="234" t="s">
        <v>226</v>
      </c>
      <c r="AF70" s="38"/>
      <c r="AG70" s="38"/>
      <c r="AH70" s="42">
        <v>28</v>
      </c>
      <c r="AI70" s="508"/>
      <c r="AJ70" s="42"/>
      <c r="AK70" s="42"/>
      <c r="AL70" s="42"/>
      <c r="AM70" s="42">
        <f>SUM(AF70:AL70)+AT70+AV70+AX70</f>
        <v>28</v>
      </c>
      <c r="AN70" s="42"/>
      <c r="AO70" s="42"/>
      <c r="AP70" s="42"/>
      <c r="AQ70" s="42"/>
      <c r="AR70" s="42">
        <f>SUM(AN70:AQ70)</f>
        <v>0</v>
      </c>
      <c r="AS70" s="42"/>
      <c r="AT70" s="42"/>
      <c r="AU70" s="42"/>
      <c r="AV70" s="42"/>
      <c r="AW70" s="42"/>
      <c r="AX70" s="42"/>
      <c r="AY70" s="42"/>
      <c r="AZ70" s="42"/>
      <c r="BA70" s="42">
        <f>+AR70+AS70+AU70+AW70+AY70+AZ70</f>
        <v>0</v>
      </c>
      <c r="BB70" s="38"/>
      <c r="BC70" s="509"/>
      <c r="BD70" s="56"/>
      <c r="BE70" s="56"/>
      <c r="BF70" s="56"/>
    </row>
    <row r="71" spans="1:58" ht="12.95" customHeight="1">
      <c r="A71" s="45"/>
      <c r="B71" s="46"/>
      <c r="C71" s="454"/>
      <c r="D71" s="46"/>
      <c r="E71" s="47"/>
      <c r="F71" s="47"/>
      <c r="G71" s="505"/>
      <c r="H71" s="49"/>
      <c r="I71" s="50"/>
      <c r="J71" s="87"/>
      <c r="K71" s="87"/>
      <c r="L71" s="40"/>
      <c r="M71" s="40"/>
      <c r="N71" s="51"/>
      <c r="O71" s="52"/>
      <c r="P71" s="53"/>
      <c r="Q71" s="52"/>
      <c r="R71" s="506"/>
      <c r="S71" s="506"/>
      <c r="T71" s="42"/>
      <c r="U71" s="42"/>
      <c r="V71" s="42"/>
      <c r="W71" s="42"/>
      <c r="X71" s="43"/>
      <c r="Y71" s="216"/>
      <c r="Z71" s="42"/>
      <c r="AA71" s="42"/>
      <c r="AB71" s="42"/>
      <c r="AC71" s="42"/>
      <c r="AD71" s="42">
        <f>+AM71+BA71</f>
        <v>45</v>
      </c>
      <c r="AE71" s="237" t="s">
        <v>601</v>
      </c>
      <c r="AF71" s="42"/>
      <c r="AG71" s="42"/>
      <c r="AH71" s="42"/>
      <c r="AI71" s="42"/>
      <c r="AJ71" s="42"/>
      <c r="AK71" s="42"/>
      <c r="AL71" s="42"/>
      <c r="AM71" s="42">
        <f>SUM(AF71:AL71)+AT71+AV71+AX71</f>
        <v>0</v>
      </c>
      <c r="AN71" s="42"/>
      <c r="AO71" s="42"/>
      <c r="AP71" s="42">
        <v>45</v>
      </c>
      <c r="AQ71" s="42"/>
      <c r="AR71" s="42">
        <f>SUM(AN71:AQ71)</f>
        <v>45</v>
      </c>
      <c r="AS71" s="42"/>
      <c r="AT71" s="42"/>
      <c r="AU71" s="42"/>
      <c r="AV71" s="42"/>
      <c r="AW71" s="42"/>
      <c r="AX71" s="42"/>
      <c r="AY71" s="42"/>
      <c r="AZ71" s="42"/>
      <c r="BA71" s="42">
        <f>+AR71+AS71+AU71+AW71+AY71+AZ71</f>
        <v>45</v>
      </c>
      <c r="BB71" s="38"/>
      <c r="BC71" s="509"/>
      <c r="BD71" s="56"/>
      <c r="BE71" s="56"/>
      <c r="BF71" s="56"/>
    </row>
    <row r="72" spans="1:58" ht="12.95" customHeight="1">
      <c r="A72" s="45"/>
      <c r="B72" s="46"/>
      <c r="C72" s="454"/>
      <c r="D72" s="46"/>
      <c r="E72" s="47"/>
      <c r="F72" s="47"/>
      <c r="G72" s="505"/>
      <c r="H72" s="49"/>
      <c r="I72" s="50"/>
      <c r="J72" s="87"/>
      <c r="K72" s="87"/>
      <c r="L72" s="40"/>
      <c r="M72" s="40"/>
      <c r="N72" s="51"/>
      <c r="O72" s="52"/>
      <c r="P72" s="53"/>
      <c r="Q72" s="52"/>
      <c r="R72" s="506"/>
      <c r="S72" s="506"/>
      <c r="T72" s="42"/>
      <c r="U72" s="42"/>
      <c r="V72" s="42"/>
      <c r="W72" s="42"/>
      <c r="X72" s="507"/>
      <c r="Y72" s="216"/>
      <c r="Z72" s="42"/>
      <c r="AA72" s="54"/>
      <c r="AB72" s="54"/>
      <c r="AC72" s="42"/>
      <c r="AD72" s="42">
        <f>+AM72+BA72</f>
        <v>70</v>
      </c>
      <c r="AE72" s="237" t="s">
        <v>602</v>
      </c>
      <c r="AF72" s="42"/>
      <c r="AG72" s="42"/>
      <c r="AH72" s="42"/>
      <c r="AI72" s="508"/>
      <c r="AJ72" s="42"/>
      <c r="AK72" s="42"/>
      <c r="AL72" s="42"/>
      <c r="AM72" s="42">
        <f>SUM(AF72:AL72)+AT72+AV72+AX72</f>
        <v>0</v>
      </c>
      <c r="AN72" s="42">
        <v>70</v>
      </c>
      <c r="AO72" s="42"/>
      <c r="AP72" s="42"/>
      <c r="AQ72" s="42"/>
      <c r="AR72" s="42">
        <f>SUM(AN72:AQ72)</f>
        <v>70</v>
      </c>
      <c r="AS72" s="42"/>
      <c r="AT72" s="42"/>
      <c r="AU72" s="42"/>
      <c r="AV72" s="42"/>
      <c r="AW72" s="42"/>
      <c r="AX72" s="42"/>
      <c r="AY72" s="42"/>
      <c r="AZ72" s="42"/>
      <c r="BA72" s="42">
        <f>+AR72+AS72+AU72+AW72+AY72+AZ72</f>
        <v>70</v>
      </c>
      <c r="BB72" s="38"/>
      <c r="BC72" s="509"/>
      <c r="BD72" s="56"/>
      <c r="BE72" s="56"/>
      <c r="BF72" s="56"/>
    </row>
    <row r="73" spans="1:58" ht="12.95" customHeight="1">
      <c r="A73" s="45"/>
      <c r="B73" s="46"/>
      <c r="C73" s="454"/>
      <c r="D73" s="46"/>
      <c r="E73" s="47"/>
      <c r="F73" s="47"/>
      <c r="G73" s="505"/>
      <c r="H73" s="49"/>
      <c r="I73" s="50"/>
      <c r="J73" s="87"/>
      <c r="K73" s="87"/>
      <c r="L73" s="40"/>
      <c r="M73" s="40"/>
      <c r="N73" s="51"/>
      <c r="O73" s="52"/>
      <c r="P73" s="53"/>
      <c r="Q73" s="52"/>
      <c r="R73" s="506"/>
      <c r="S73" s="506"/>
      <c r="T73" s="42"/>
      <c r="U73" s="42"/>
      <c r="V73" s="42"/>
      <c r="W73" s="42"/>
      <c r="X73" s="43"/>
      <c r="Y73" s="216"/>
      <c r="Z73" s="42"/>
      <c r="AA73" s="42"/>
      <c r="AB73" s="42"/>
      <c r="AC73" s="42"/>
      <c r="AD73" s="42"/>
      <c r="AE73" s="234"/>
      <c r="AF73" s="42"/>
      <c r="AG73" s="42"/>
      <c r="AH73" s="42"/>
      <c r="AI73" s="508"/>
      <c r="AJ73" s="42"/>
      <c r="AK73" s="42"/>
      <c r="AL73" s="42"/>
      <c r="AM73" s="42"/>
      <c r="AN73" s="88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55"/>
      <c r="BC73" s="56"/>
      <c r="BD73" s="56"/>
      <c r="BE73" s="56"/>
      <c r="BF73" s="56"/>
    </row>
    <row r="74" spans="1:58" ht="12.95" customHeight="1">
      <c r="A74" s="45">
        <v>45944</v>
      </c>
      <c r="B74" s="46" t="s">
        <v>462</v>
      </c>
      <c r="C74" s="454">
        <f>(M74*E74*O74*Q74)/100000000</f>
        <v>20.804691397500001</v>
      </c>
      <c r="D74" s="46" t="s">
        <v>451</v>
      </c>
      <c r="E74" s="47">
        <v>20.5</v>
      </c>
      <c r="F74" s="47">
        <v>1</v>
      </c>
      <c r="G74" s="505">
        <v>830</v>
      </c>
      <c r="H74" s="49">
        <v>0.14000000000000001</v>
      </c>
      <c r="I74" s="50">
        <v>0.88</v>
      </c>
      <c r="J74" s="87">
        <f>E74*G74*(1-H74)*1440/1000000*3.4</f>
        <v>71.642678399999994</v>
      </c>
      <c r="K74" s="87">
        <f>(IF(G74&lt;L74,L74,G74)*(1-IF(H74&lt;N74,H74,N74))*E74*O74*Q74)/100000000</f>
        <v>20.804691397500001</v>
      </c>
      <c r="L74" s="40">
        <v>830</v>
      </c>
      <c r="M74" s="40">
        <f>+L74-L74*0.14</f>
        <v>713.8</v>
      </c>
      <c r="N74" s="51">
        <f>1-(M74/L74)</f>
        <v>0.14000000000000001</v>
      </c>
      <c r="O74" s="52">
        <f>+'Trim Rwd'!H48</f>
        <v>319.5</v>
      </c>
      <c r="P74" s="53">
        <f>O74*(Q74-R74-S74)</f>
        <v>140580</v>
      </c>
      <c r="Q74" s="52">
        <v>445</v>
      </c>
      <c r="R74" s="506">
        <v>0</v>
      </c>
      <c r="S74" s="506">
        <v>5</v>
      </c>
      <c r="T74" s="42">
        <f>E74*M74*O74*Q74/100000000</f>
        <v>20.804691397500001</v>
      </c>
      <c r="U74" s="42">
        <f>E74*M74*O74*(Q74-R74-S74)/100000000</f>
        <v>20.570930820000001</v>
      </c>
      <c r="V74" s="42">
        <f>E74*G74*(1-N74)*O74/100*(R74+S74)/1000000</f>
        <v>0.23376057750000001</v>
      </c>
      <c r="W74" s="42">
        <f>+'14'!K18/1000</f>
        <v>24.890999999999998</v>
      </c>
      <c r="X74" s="507">
        <f>SUM(W74:W77)/SUM(K74:K77)</f>
        <v>1.055614176867316</v>
      </c>
      <c r="Y74" s="216">
        <v>0</v>
      </c>
      <c r="Z74" s="42">
        <v>0</v>
      </c>
      <c r="AA74" s="54">
        <f>SUM(U74:U77)-SUM(W74:W77)-SUM(Z74:Z77)-SUM(Y74:Y77)</f>
        <v>-4.6691391799999957</v>
      </c>
      <c r="AB74" s="54">
        <f>(SUM(K74:K77)-SUM(W74:W77)-SUM(Y74:Y77)-SUM(Z74:Z77)-SUM(AC74:AC77)-SUM(V74:V77))-AA74</f>
        <v>4.1579999999932227E-3</v>
      </c>
      <c r="AC74" s="42">
        <f>K74-T74</f>
        <v>0</v>
      </c>
      <c r="AD74" s="42">
        <f>+AM74+BA74</f>
        <v>0</v>
      </c>
      <c r="AE74" s="234" t="s">
        <v>394</v>
      </c>
      <c r="AF74" s="42">
        <v>0</v>
      </c>
      <c r="AG74" s="42"/>
      <c r="AH74" s="42"/>
      <c r="AI74" s="508"/>
      <c r="AJ74" s="42"/>
      <c r="AK74" s="42"/>
      <c r="AL74" s="42"/>
      <c r="AM74" s="42">
        <f>SUM(AF74:AL74)+AT74+AV74+AX74</f>
        <v>0</v>
      </c>
      <c r="AN74" s="42"/>
      <c r="AO74" s="42"/>
      <c r="AP74" s="42"/>
      <c r="AQ74" s="42"/>
      <c r="AR74" s="42">
        <f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>+AR74+AS74+AU74+AW74+AY74+AZ74</f>
        <v>0</v>
      </c>
      <c r="BB74" s="38">
        <v>0</v>
      </c>
      <c r="BC74" s="56"/>
      <c r="BD74" s="56"/>
      <c r="BE74" s="38"/>
      <c r="BF74" s="56"/>
    </row>
    <row r="75" spans="1:58" ht="12.95" customHeight="1">
      <c r="A75" s="45"/>
      <c r="B75" s="46" t="s">
        <v>8</v>
      </c>
      <c r="C75" s="454">
        <f>(M75*E75*O75*Q75)/100000000</f>
        <v>45.509309999999999</v>
      </c>
      <c r="D75" s="46" t="s">
        <v>451</v>
      </c>
      <c r="E75" s="47">
        <v>30</v>
      </c>
      <c r="F75" s="47">
        <v>1</v>
      </c>
      <c r="G75" s="505">
        <v>545</v>
      </c>
      <c r="H75" s="49">
        <v>0.12</v>
      </c>
      <c r="I75" s="50">
        <v>0.88</v>
      </c>
      <c r="J75" s="87">
        <f>E75*G75*(1-H75)*1440/1000000*3.4</f>
        <v>70.443647999999996</v>
      </c>
      <c r="K75" s="87">
        <f>(IF(G75&lt;L75,L75,G75)*(1-IF(H75&lt;N75,H75,N75))*E75*O75*Q75)/100000000</f>
        <v>45.509309999999999</v>
      </c>
      <c r="L75" s="40">
        <v>550</v>
      </c>
      <c r="M75" s="40">
        <f>+L75-L75*0.12</f>
        <v>484</v>
      </c>
      <c r="N75" s="51">
        <f>1-(M75/L75)</f>
        <v>0.12</v>
      </c>
      <c r="O75" s="52">
        <f>+'Trim Rwd'!H49</f>
        <v>315</v>
      </c>
      <c r="P75" s="53">
        <f>O75*(Q75-R75-S75)</f>
        <v>310275</v>
      </c>
      <c r="Q75" s="52">
        <v>995</v>
      </c>
      <c r="R75" s="506">
        <v>0</v>
      </c>
      <c r="S75" s="506">
        <v>10</v>
      </c>
      <c r="T75" s="42">
        <f>E75*M75*O75*Q75/100000000</f>
        <v>45.509309999999999</v>
      </c>
      <c r="U75" s="42">
        <f>E75*M75*O75*(Q75-R75-S75)/100000000</f>
        <v>45.051929999999999</v>
      </c>
      <c r="V75" s="42">
        <f>E75*G75*(1-N75)*O75/100*(R75+S75)/1000000</f>
        <v>0.45322200000000001</v>
      </c>
      <c r="W75" s="42">
        <f>+'14'!K16/1000</f>
        <v>45.110999999999997</v>
      </c>
      <c r="X75" s="43"/>
      <c r="Y75" s="216"/>
      <c r="Z75" s="42">
        <f>+'14'!D25/1000</f>
        <v>0.28999999999999998</v>
      </c>
      <c r="AA75" s="42"/>
      <c r="AB75" s="42"/>
      <c r="AC75" s="42"/>
      <c r="AD75" s="42">
        <f>+AM75+BA75</f>
        <v>2</v>
      </c>
      <c r="AE75" s="234" t="s">
        <v>392</v>
      </c>
      <c r="AF75" s="42"/>
      <c r="AG75" s="42">
        <v>2</v>
      </c>
      <c r="AH75" s="42"/>
      <c r="AI75" s="508"/>
      <c r="AJ75" s="42"/>
      <c r="AK75" s="42"/>
      <c r="AL75" s="42"/>
      <c r="AM75" s="42">
        <f>SUM(AF75:AL75)+AT75+AV75+AX75</f>
        <v>2</v>
      </c>
      <c r="AN75" s="88"/>
      <c r="AO75" s="42"/>
      <c r="AP75" s="42"/>
      <c r="AQ75" s="42"/>
      <c r="AR75" s="42">
        <f>SUM(AN75:AQ75)</f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>+AR75+AS75+AU75+AW75+AY75+AZ75</f>
        <v>0</v>
      </c>
      <c r="BB75" s="55"/>
      <c r="BC75" s="56">
        <v>1</v>
      </c>
      <c r="BD75" s="56"/>
      <c r="BE75" s="55"/>
      <c r="BF75" s="56"/>
    </row>
    <row r="76" spans="1:58" ht="12.95" customHeight="1">
      <c r="A76" s="45"/>
      <c r="B76" s="46"/>
      <c r="C76" s="454"/>
      <c r="D76" s="46"/>
      <c r="E76" s="47"/>
      <c r="F76" s="47"/>
      <c r="G76" s="505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06"/>
      <c r="S76" s="506"/>
      <c r="T76" s="42"/>
      <c r="U76" s="42"/>
      <c r="V76" s="42"/>
      <c r="W76" s="42"/>
      <c r="X76" s="43"/>
      <c r="Y76" s="216"/>
      <c r="Z76" s="42"/>
      <c r="AA76" s="42"/>
      <c r="AB76" s="42"/>
      <c r="AC76" s="42"/>
      <c r="AD76" s="42">
        <f>+AM76+BA76</f>
        <v>10</v>
      </c>
      <c r="AE76" s="234" t="s">
        <v>226</v>
      </c>
      <c r="AF76" s="38"/>
      <c r="AG76" s="38"/>
      <c r="AH76" s="42">
        <v>10</v>
      </c>
      <c r="AI76" s="508"/>
      <c r="AJ76" s="42"/>
      <c r="AK76" s="42"/>
      <c r="AL76" s="42"/>
      <c r="AM76" s="42">
        <f>SUM(AF76:AL76)+AT76+AV76+AX76</f>
        <v>10</v>
      </c>
      <c r="AN76" s="42"/>
      <c r="AO76" s="42"/>
      <c r="AP76" s="42"/>
      <c r="AQ76" s="42"/>
      <c r="AR76" s="42">
        <f>SUM(AN76:AQ76)</f>
        <v>0</v>
      </c>
      <c r="AS76" s="42"/>
      <c r="AT76" s="42"/>
      <c r="AU76" s="42"/>
      <c r="AV76" s="42"/>
      <c r="AW76" s="42"/>
      <c r="AX76" s="42"/>
      <c r="AY76" s="42"/>
      <c r="AZ76" s="42"/>
      <c r="BA76" s="42">
        <f>+AR76+AS76+AU76+AW76+AY76+AZ76</f>
        <v>0</v>
      </c>
      <c r="BB76" s="38"/>
      <c r="BC76" s="509"/>
      <c r="BD76" s="56"/>
      <c r="BE76" s="56"/>
      <c r="BF76" s="56"/>
    </row>
    <row r="77" spans="1:58" ht="12.95" customHeight="1">
      <c r="A77" s="45"/>
      <c r="B77" s="46"/>
      <c r="C77" s="454"/>
      <c r="D77" s="46"/>
      <c r="E77" s="47"/>
      <c r="F77" s="47"/>
      <c r="G77" s="505"/>
      <c r="H77" s="49"/>
      <c r="I77" s="50"/>
      <c r="J77" s="87"/>
      <c r="K77" s="87"/>
      <c r="L77" s="40"/>
      <c r="M77" s="40"/>
      <c r="N77" s="51"/>
      <c r="O77" s="52"/>
      <c r="P77" s="53"/>
      <c r="Q77" s="52"/>
      <c r="R77" s="506"/>
      <c r="S77" s="506"/>
      <c r="T77" s="42"/>
      <c r="U77" s="42"/>
      <c r="V77" s="42"/>
      <c r="W77" s="42"/>
      <c r="X77" s="43"/>
      <c r="Y77" s="216"/>
      <c r="Z77" s="42"/>
      <c r="AA77" s="42"/>
      <c r="AB77" s="42"/>
      <c r="AC77" s="42"/>
      <c r="AD77" s="42">
        <f>+AM77+BA77</f>
        <v>3</v>
      </c>
      <c r="AE77" s="587" t="s">
        <v>463</v>
      </c>
      <c r="AF77" s="42"/>
      <c r="AG77" s="42"/>
      <c r="AH77" s="42"/>
      <c r="AI77" s="42">
        <v>3</v>
      </c>
      <c r="AJ77" s="42"/>
      <c r="AK77" s="42"/>
      <c r="AL77" s="42"/>
      <c r="AM77" s="42">
        <f>SUM(AF77:AL77)+AT77+AV77+AX77</f>
        <v>3</v>
      </c>
      <c r="AN77" s="42"/>
      <c r="AO77" s="42"/>
      <c r="AP77" s="42"/>
      <c r="AQ77" s="42"/>
      <c r="AR77" s="42">
        <f>SUM(AN77:AQ77)</f>
        <v>0</v>
      </c>
      <c r="AS77" s="42"/>
      <c r="AT77" s="42"/>
      <c r="AU77" s="42"/>
      <c r="AV77" s="42"/>
      <c r="AW77" s="42"/>
      <c r="AX77" s="42"/>
      <c r="AY77" s="42"/>
      <c r="AZ77" s="42"/>
      <c r="BA77" s="42">
        <f>+AR77+AS77+AU77+AW77+AY77+AZ77</f>
        <v>0</v>
      </c>
      <c r="BB77" s="38"/>
      <c r="BC77" s="509"/>
      <c r="BD77" s="56"/>
      <c r="BE77" s="56"/>
      <c r="BF77" s="56"/>
    </row>
    <row r="78" spans="1:58" ht="12.95" customHeight="1">
      <c r="A78" s="45"/>
      <c r="B78" s="46"/>
      <c r="C78" s="454"/>
      <c r="D78" s="46"/>
      <c r="E78" s="47"/>
      <c r="F78" s="47"/>
      <c r="G78" s="505"/>
      <c r="H78" s="49"/>
      <c r="I78" s="50"/>
      <c r="J78" s="87"/>
      <c r="K78" s="87"/>
      <c r="L78" s="40"/>
      <c r="M78" s="40"/>
      <c r="N78" s="51"/>
      <c r="O78" s="52"/>
      <c r="P78" s="53"/>
      <c r="Q78" s="52"/>
      <c r="R78" s="506"/>
      <c r="S78" s="506"/>
      <c r="T78" s="42"/>
      <c r="U78" s="42"/>
      <c r="V78" s="42"/>
      <c r="W78" s="42"/>
      <c r="X78" s="507"/>
      <c r="Y78" s="216"/>
      <c r="Z78" s="42"/>
      <c r="AA78" s="54"/>
      <c r="AB78" s="54"/>
      <c r="AC78" s="42"/>
      <c r="AD78" s="42"/>
      <c r="AE78" s="237"/>
      <c r="AF78" s="42"/>
      <c r="AG78" s="42"/>
      <c r="AH78" s="42"/>
      <c r="AI78" s="508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8"/>
      <c r="BC78" s="509"/>
      <c r="BD78" s="56"/>
      <c r="BE78" s="56"/>
      <c r="BF78" s="56"/>
    </row>
    <row r="79" spans="1:58" ht="12.95" customHeight="1">
      <c r="A79" s="45">
        <v>45945</v>
      </c>
      <c r="B79" s="46" t="s">
        <v>8</v>
      </c>
      <c r="C79" s="454">
        <f>(M79*E79*O79*Q79)/100000000</f>
        <v>2.7442799999999998</v>
      </c>
      <c r="D79" s="46" t="s">
        <v>451</v>
      </c>
      <c r="E79" s="47">
        <v>30</v>
      </c>
      <c r="F79" s="47">
        <v>1</v>
      </c>
      <c r="G79" s="505">
        <v>545</v>
      </c>
      <c r="H79" s="49">
        <v>0.12</v>
      </c>
      <c r="I79" s="50">
        <v>0.88</v>
      </c>
      <c r="J79" s="87">
        <f>E79*G79*(1-H79)*1440/1000000*3.4</f>
        <v>70.443647999999996</v>
      </c>
      <c r="K79" s="87">
        <f>(IF(G79&lt;L79,L79,G79)*(1-IF(H79&lt;N79,H79,N79))*E79*O79*Q79)/100000000</f>
        <v>2.7442799999999998</v>
      </c>
      <c r="L79" s="40">
        <v>550</v>
      </c>
      <c r="M79" s="40">
        <f>+L79-L79*0.12</f>
        <v>484</v>
      </c>
      <c r="N79" s="51">
        <f>1-(M79/L79)</f>
        <v>0.12</v>
      </c>
      <c r="O79" s="52">
        <f>+'Trim Rwd'!H51</f>
        <v>315</v>
      </c>
      <c r="P79" s="53">
        <f>O79*(Q79-R79-S79)</f>
        <v>17325</v>
      </c>
      <c r="Q79" s="52">
        <v>60</v>
      </c>
      <c r="R79" s="506">
        <v>0</v>
      </c>
      <c r="S79" s="506">
        <v>5</v>
      </c>
      <c r="T79" s="42">
        <f>E79*M79*O79*Q79/100000000</f>
        <v>2.7442799999999998</v>
      </c>
      <c r="U79" s="42">
        <f>E79*M79*O79*(Q79-R79-S79)/100000000</f>
        <v>2.51559</v>
      </c>
      <c r="V79" s="42">
        <f>E79*G79*(1-N79)*O79/100*(R79+S79)/1000000</f>
        <v>0.22661100000000001</v>
      </c>
      <c r="W79" s="42">
        <f>+'15'!K16/1000</f>
        <v>10.84</v>
      </c>
      <c r="X79" s="507">
        <f>SUM(W79:W82)/SUM(K79:K82)</f>
        <v>0.89034242852245338</v>
      </c>
      <c r="Y79" s="216">
        <v>0</v>
      </c>
      <c r="Z79" s="42">
        <f>+'12'!D51/1000</f>
        <v>0</v>
      </c>
      <c r="AA79" s="54">
        <f>SUM(U79:U82)-SUM(W79:W82)-SUM(Z79:Z82)-SUM(Y79:Y82)</f>
        <v>3.4626441599999946</v>
      </c>
      <c r="AB79" s="54">
        <f>(SUM(K79:K82)-SUM(W79:W82)-SUM(Y79:Y82)-SUM(Z79:Z82)-SUM(AC79:AC82)-SUM(V79:V82))-AA79</f>
        <v>2.0789999999974995E-3</v>
      </c>
      <c r="AC79" s="42">
        <f>K79-T79</f>
        <v>0</v>
      </c>
      <c r="AD79" s="42">
        <f>+AM79+BA79</f>
        <v>2</v>
      </c>
      <c r="AE79" s="234" t="s">
        <v>391</v>
      </c>
      <c r="AF79" s="42">
        <v>2</v>
      </c>
      <c r="AG79" s="42"/>
      <c r="AH79" s="42"/>
      <c r="AI79" s="508"/>
      <c r="AJ79" s="42"/>
      <c r="AK79" s="42"/>
      <c r="AL79" s="42"/>
      <c r="AM79" s="42">
        <f>SUM(AF79:AL79)+AT79+AV79+AX79</f>
        <v>2</v>
      </c>
      <c r="AN79" s="42"/>
      <c r="AO79" s="42"/>
      <c r="AP79" s="42"/>
      <c r="AQ79" s="42"/>
      <c r="AR79" s="42">
        <f>SUM(AN79:AQ79)</f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38">
        <v>1</v>
      </c>
      <c r="BC79" s="56"/>
      <c r="BD79" s="56"/>
      <c r="BE79" s="38"/>
      <c r="BF79" s="56"/>
    </row>
    <row r="80" spans="1:58" ht="12.95" customHeight="1">
      <c r="A80" s="45"/>
      <c r="B80" s="46" t="s">
        <v>462</v>
      </c>
      <c r="C80" s="454">
        <f>(M80*E80*O80*Q80)/100000000</f>
        <v>30.834018599999997</v>
      </c>
      <c r="D80" s="46" t="s">
        <v>384</v>
      </c>
      <c r="E80" s="47">
        <v>17</v>
      </c>
      <c r="F80" s="47">
        <v>1</v>
      </c>
      <c r="G80" s="505">
        <v>830</v>
      </c>
      <c r="H80" s="49">
        <v>0.14000000000000001</v>
      </c>
      <c r="I80" s="50">
        <v>0.88</v>
      </c>
      <c r="J80" s="87">
        <f>E80*G80*(1-H80)*1440/1000000*3.4</f>
        <v>59.411001599999999</v>
      </c>
      <c r="K80" s="87">
        <f>(IF(G80&lt;L80,L80,G80)*(1-IF(H80&lt;N80,H80,N80))*E80*O80*Q80)/100000000</f>
        <v>30.834018599999997</v>
      </c>
      <c r="L80" s="40">
        <v>830</v>
      </c>
      <c r="M80" s="40">
        <f>+L80-L80*0.14</f>
        <v>713.8</v>
      </c>
      <c r="N80" s="51">
        <f>1-(M80/L80)</f>
        <v>0.14000000000000001</v>
      </c>
      <c r="O80" s="52">
        <f>+'Trim Rwd'!H52</f>
        <v>330</v>
      </c>
      <c r="P80" s="53">
        <f>O80*(Q80-R80-S80)</f>
        <v>244200</v>
      </c>
      <c r="Q80" s="52">
        <v>770</v>
      </c>
      <c r="R80" s="506">
        <v>0</v>
      </c>
      <c r="S80" s="506">
        <v>30</v>
      </c>
      <c r="T80" s="42">
        <f>E80*M80*O80*Q80/100000000</f>
        <v>30.834018599999997</v>
      </c>
      <c r="U80" s="42">
        <f>E80*M80*O80*(Q80-R80-S80)/100000000</f>
        <v>29.632693199999995</v>
      </c>
      <c r="V80" s="42">
        <f>E80*G80*(1-N80)*O80/100*(R80+S80)/1000000</f>
        <v>1.2013254</v>
      </c>
      <c r="W80" s="42">
        <f>+'15'!K19/1000</f>
        <v>23.266999999999999</v>
      </c>
      <c r="X80" s="43"/>
      <c r="Y80" s="216"/>
      <c r="Z80" s="42">
        <f>+'15'!D34/1000</f>
        <v>0.33</v>
      </c>
      <c r="AA80" s="42"/>
      <c r="AB80" s="42"/>
      <c r="AC80" s="42">
        <f>K80-T80</f>
        <v>0</v>
      </c>
      <c r="AD80" s="42">
        <f>+AM80+BA80</f>
        <v>17</v>
      </c>
      <c r="AE80" s="234" t="s">
        <v>480</v>
      </c>
      <c r="AF80" s="42"/>
      <c r="AG80" s="42">
        <v>17</v>
      </c>
      <c r="AH80" s="42"/>
      <c r="AI80" s="508"/>
      <c r="AJ80" s="42"/>
      <c r="AK80" s="42"/>
      <c r="AL80" s="42"/>
      <c r="AM80" s="42">
        <f>SUM(AF80:AL80)+AT80+AV80+AX80</f>
        <v>17</v>
      </c>
      <c r="AN80" s="88"/>
      <c r="AO80" s="42"/>
      <c r="AP80" s="42"/>
      <c r="AQ80" s="42"/>
      <c r="AR80" s="42">
        <f>SUM(AN80:AQ80)</f>
        <v>0</v>
      </c>
      <c r="AS80" s="42"/>
      <c r="AT80" s="42"/>
      <c r="AU80" s="42"/>
      <c r="AV80" s="42"/>
      <c r="AW80" s="42"/>
      <c r="AX80" s="42"/>
      <c r="AY80" s="42"/>
      <c r="AZ80" s="42"/>
      <c r="BA80" s="42">
        <f>+AR80+AS80+AU80+AW80+AY80+AZ80</f>
        <v>0</v>
      </c>
      <c r="BB80" s="55"/>
      <c r="BC80" s="56">
        <v>4</v>
      </c>
      <c r="BD80" s="56"/>
      <c r="BE80" s="55"/>
      <c r="BF80" s="56"/>
    </row>
    <row r="81" spans="1:58" ht="12.95" customHeight="1">
      <c r="A81" s="45"/>
      <c r="B81" s="46" t="s">
        <v>462</v>
      </c>
      <c r="C81" s="454">
        <f>(M81*E81*O81*Q81)/100000000</f>
        <v>22.432735359999999</v>
      </c>
      <c r="D81" s="46" t="s">
        <v>384</v>
      </c>
      <c r="E81" s="47">
        <v>16</v>
      </c>
      <c r="F81" s="47">
        <v>1</v>
      </c>
      <c r="G81" s="505">
        <v>830</v>
      </c>
      <c r="H81" s="49">
        <v>0.14000000000000001</v>
      </c>
      <c r="I81" s="50">
        <v>0.88</v>
      </c>
      <c r="J81" s="87">
        <f>E81*G81*(1-H81)*1440/1000000*3.4</f>
        <v>55.916236799999993</v>
      </c>
      <c r="K81" s="87">
        <f>(IF(G81&lt;L81,L81,G81)*(1-IF(H81&lt;N81,H81,N81))*E81*O81*Q81)/100000000</f>
        <v>22.432735359999999</v>
      </c>
      <c r="L81" s="40">
        <v>830</v>
      </c>
      <c r="M81" s="40">
        <f>+L81-L81*0.14</f>
        <v>713.8</v>
      </c>
      <c r="N81" s="51">
        <f>1-(M81/L81)</f>
        <v>0.14000000000000001</v>
      </c>
      <c r="O81" s="52">
        <f>+'Trim Rwd'!H53</f>
        <v>322</v>
      </c>
      <c r="P81" s="53">
        <f>O81*(Q81-R81-S81)</f>
        <v>188370</v>
      </c>
      <c r="Q81" s="52">
        <v>610</v>
      </c>
      <c r="R81" s="506">
        <v>0</v>
      </c>
      <c r="S81" s="506">
        <v>25</v>
      </c>
      <c r="T81" s="42">
        <f>E81*M81*O81*Q81/100000000</f>
        <v>22.432735359999999</v>
      </c>
      <c r="U81" s="42">
        <f>E81*M81*O81*(Q81-R81-S81)/100000000</f>
        <v>21.51336096</v>
      </c>
      <c r="V81" s="42">
        <f>E81*G81*(1-N81)*O81/100*(R81+S81)/1000000</f>
        <v>0.91937439999999993</v>
      </c>
      <c r="W81" s="42">
        <f>+'15'!K20/1000</f>
        <v>15.762</v>
      </c>
      <c r="X81" s="43"/>
      <c r="Y81" s="216"/>
      <c r="Z81" s="42"/>
      <c r="AA81" s="42"/>
      <c r="AB81" s="42"/>
      <c r="AC81" s="42">
        <f>K81-T81</f>
        <v>0</v>
      </c>
      <c r="AD81" s="42">
        <f>+AM81+BA81</f>
        <v>10</v>
      </c>
      <c r="AE81" s="234" t="s">
        <v>226</v>
      </c>
      <c r="AF81" s="38"/>
      <c r="AG81" s="38"/>
      <c r="AH81" s="42">
        <v>10</v>
      </c>
      <c r="AI81" s="508"/>
      <c r="AJ81" s="42"/>
      <c r="AK81" s="42"/>
      <c r="AL81" s="42"/>
      <c r="AM81" s="42">
        <f>SUM(AF81:AL81)+AT81+AV81+AX81</f>
        <v>10</v>
      </c>
      <c r="AN81" s="42"/>
      <c r="AO81" s="42"/>
      <c r="AP81" s="42"/>
      <c r="AQ81" s="42"/>
      <c r="AR81" s="42">
        <f>SUM(AN81:AQ81)</f>
        <v>0</v>
      </c>
      <c r="AS81" s="42"/>
      <c r="AT81" s="42"/>
      <c r="AU81" s="42"/>
      <c r="AV81" s="42"/>
      <c r="AW81" s="42"/>
      <c r="AX81" s="42"/>
      <c r="AY81" s="42"/>
      <c r="AZ81" s="42"/>
      <c r="BA81" s="42">
        <f>+AR81+AS81+AU81+AW81+AY81+AZ81</f>
        <v>0</v>
      </c>
      <c r="BB81" s="38"/>
      <c r="BC81" s="509"/>
      <c r="BD81" s="56"/>
      <c r="BE81" s="56"/>
      <c r="BF81" s="56"/>
    </row>
    <row r="82" spans="1:58" ht="12.95" customHeight="1">
      <c r="A82" s="45"/>
      <c r="B82" s="46"/>
      <c r="C82" s="454"/>
      <c r="D82" s="46"/>
      <c r="E82" s="47"/>
      <c r="F82" s="47"/>
      <c r="G82" s="505"/>
      <c r="H82" s="49"/>
      <c r="I82" s="50"/>
      <c r="J82" s="87"/>
      <c r="K82" s="87"/>
      <c r="L82" s="40"/>
      <c r="M82" s="40"/>
      <c r="N82" s="51"/>
      <c r="O82" s="52"/>
      <c r="P82" s="53"/>
      <c r="Q82" s="52"/>
      <c r="R82" s="506"/>
      <c r="S82" s="506"/>
      <c r="T82" s="42"/>
      <c r="U82" s="42"/>
      <c r="V82" s="42"/>
      <c r="W82" s="42"/>
      <c r="X82" s="43"/>
      <c r="Y82" s="216"/>
      <c r="Z82" s="42"/>
      <c r="AA82" s="42"/>
      <c r="AB82" s="42"/>
      <c r="AC82" s="42"/>
      <c r="AD82" s="42">
        <f>+AM82+BA82</f>
        <v>31</v>
      </c>
      <c r="AE82" s="587" t="s">
        <v>463</v>
      </c>
      <c r="AF82" s="42"/>
      <c r="AG82" s="42"/>
      <c r="AH82" s="42"/>
      <c r="AI82" s="42">
        <v>31</v>
      </c>
      <c r="AJ82" s="42"/>
      <c r="AK82" s="42"/>
      <c r="AL82" s="42"/>
      <c r="AM82" s="42">
        <f>SUM(AF82:AL82)+AT82+AV82+AX82</f>
        <v>31</v>
      </c>
      <c r="AN82" s="42"/>
      <c r="AO82" s="42"/>
      <c r="AP82" s="42"/>
      <c r="AQ82" s="42"/>
      <c r="AR82" s="42">
        <f>SUM(AN82:AQ82)</f>
        <v>0</v>
      </c>
      <c r="AS82" s="42"/>
      <c r="AT82" s="42"/>
      <c r="AU82" s="42"/>
      <c r="AV82" s="42"/>
      <c r="AW82" s="42"/>
      <c r="AX82" s="42"/>
      <c r="AY82" s="42"/>
      <c r="AZ82" s="42"/>
      <c r="BA82" s="42">
        <f>+AR82+AS82+AU82+AW82+AY82+AZ82</f>
        <v>0</v>
      </c>
      <c r="BB82" s="38"/>
      <c r="BC82" s="509"/>
      <c r="BD82" s="56"/>
      <c r="BE82" s="56"/>
      <c r="BF82" s="56"/>
    </row>
    <row r="83" spans="1:58" ht="12.95" customHeight="1">
      <c r="A83" s="45"/>
      <c r="B83" s="46"/>
      <c r="C83" s="454"/>
      <c r="D83" s="46"/>
      <c r="E83" s="47"/>
      <c r="F83" s="47"/>
      <c r="G83" s="505"/>
      <c r="H83" s="49"/>
      <c r="I83" s="50"/>
      <c r="J83" s="87"/>
      <c r="K83" s="87"/>
      <c r="L83" s="40"/>
      <c r="M83" s="40"/>
      <c r="N83" s="51"/>
      <c r="O83" s="52"/>
      <c r="P83" s="53"/>
      <c r="Q83" s="52"/>
      <c r="R83" s="506"/>
      <c r="S83" s="506"/>
      <c r="T83" s="42"/>
      <c r="U83" s="42"/>
      <c r="V83" s="42"/>
      <c r="W83" s="42"/>
      <c r="X83" s="43"/>
      <c r="Y83" s="216"/>
      <c r="Z83" s="42"/>
      <c r="AA83" s="42"/>
      <c r="AB83" s="42"/>
      <c r="AC83" s="42"/>
      <c r="AD83" s="42"/>
      <c r="AE83" s="602"/>
      <c r="AF83" s="42"/>
      <c r="AG83" s="42"/>
      <c r="AH83" s="42"/>
      <c r="AI83" s="603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8"/>
      <c r="BC83" s="509"/>
      <c r="BD83" s="56"/>
      <c r="BE83" s="56"/>
      <c r="BF83" s="56"/>
    </row>
    <row r="84" spans="1:58" ht="12.95" customHeight="1">
      <c r="A84" s="45">
        <v>45946</v>
      </c>
      <c r="B84" s="46" t="s">
        <v>462</v>
      </c>
      <c r="C84" s="454">
        <f>(M84*E84*O84*Q84)/100000000</f>
        <v>52.955965439999993</v>
      </c>
      <c r="D84" s="46" t="s">
        <v>384</v>
      </c>
      <c r="E84" s="47">
        <v>16</v>
      </c>
      <c r="F84" s="47">
        <v>1</v>
      </c>
      <c r="G84" s="505">
        <v>830</v>
      </c>
      <c r="H84" s="49">
        <v>0.14000000000000001</v>
      </c>
      <c r="I84" s="50">
        <v>0.88</v>
      </c>
      <c r="J84" s="87">
        <f>E84*G84*(1-H84)*1440/1000000*3.4</f>
        <v>55.916236799999993</v>
      </c>
      <c r="K84" s="87">
        <f>(IF(G84&lt;L84,L84,G84)*(1-IF(H84&lt;N84,H84,N84))*E84*O84*Q84)/100000000</f>
        <v>52.955965439999993</v>
      </c>
      <c r="L84" s="40">
        <v>830</v>
      </c>
      <c r="M84" s="40">
        <f>+L84-L84*0.14</f>
        <v>713.8</v>
      </c>
      <c r="N84" s="51">
        <f>1-(M84/L84)</f>
        <v>0.14000000000000001</v>
      </c>
      <c r="O84" s="52">
        <f>+'Trim Rwd'!H55</f>
        <v>322</v>
      </c>
      <c r="P84" s="53">
        <f>O84*(Q84-R84-S84)</f>
        <v>255990</v>
      </c>
      <c r="Q84" s="52">
        <v>1440</v>
      </c>
      <c r="R84" s="506">
        <v>0</v>
      </c>
      <c r="S84" s="506">
        <v>645</v>
      </c>
      <c r="T84" s="42">
        <f>E84*M84*O84*Q84/100000000</f>
        <v>52.955965439999993</v>
      </c>
      <c r="U84" s="42">
        <f>E84*M84*O84*(Q84-R84-S84)/100000000</f>
        <v>29.236105919999996</v>
      </c>
      <c r="V84" s="42">
        <f>E84*G84*(1-N84)*O84/100*(R84+S84)/1000000</f>
        <v>23.719859519999996</v>
      </c>
      <c r="W84" s="42">
        <f>+'16'!K20/1000</f>
        <v>24.524000000000001</v>
      </c>
      <c r="X84" s="507">
        <f>SUM(W84:W87)/SUM(K84:K87)</f>
        <v>0.46310174493534839</v>
      </c>
      <c r="Y84" s="216">
        <v>0</v>
      </c>
      <c r="Z84" s="42">
        <f>+'16'!D34/1000</f>
        <v>1.26</v>
      </c>
      <c r="AA84" s="54">
        <f>SUM(U84:U87)-SUM(W84:W87)-SUM(Z84:Z87)-SUM(Y84:Y87)</f>
        <v>3.4521059199999957</v>
      </c>
      <c r="AB84" s="54">
        <f>(SUM(K84:K87)-SUM(W84:W87)-SUM(Y84:Y87)-SUM(Z84:Z87)-SUM(AC84:AC87)-SUM(V84:V87))-AA84</f>
        <v>0</v>
      </c>
      <c r="AC84" s="42">
        <f>K84-T84</f>
        <v>0</v>
      </c>
      <c r="AD84" s="42">
        <f>+AM84+BA84</f>
        <v>3</v>
      </c>
      <c r="AE84" s="234" t="s">
        <v>452</v>
      </c>
      <c r="AF84" s="42">
        <v>3</v>
      </c>
      <c r="AG84" s="42"/>
      <c r="AH84" s="42"/>
      <c r="AI84" s="508"/>
      <c r="AJ84" s="42"/>
      <c r="AK84" s="42"/>
      <c r="AL84" s="42"/>
      <c r="AM84" s="42">
        <f>SUM(AF84:AL84)+AT84+AV84+AX84</f>
        <v>3</v>
      </c>
      <c r="AN84" s="42"/>
      <c r="AO84" s="42"/>
      <c r="AP84" s="42"/>
      <c r="AQ84" s="42"/>
      <c r="AR84" s="42">
        <f>SUM(AN84:AQ84)</f>
        <v>0</v>
      </c>
      <c r="AS84" s="42"/>
      <c r="AT84" s="42"/>
      <c r="AU84" s="42"/>
      <c r="AV84" s="42"/>
      <c r="AW84" s="42"/>
      <c r="AX84" s="42"/>
      <c r="AY84" s="42"/>
      <c r="AZ84" s="42"/>
      <c r="BA84" s="42">
        <f>+AR84+AS84+AU84+AW84+AY84+AZ84</f>
        <v>0</v>
      </c>
      <c r="BB84" s="38">
        <v>2</v>
      </c>
      <c r="BC84" s="56"/>
      <c r="BD84" s="56"/>
      <c r="BE84" s="38"/>
      <c r="BF84" s="56"/>
    </row>
    <row r="85" spans="1:58" ht="12.95" customHeight="1">
      <c r="A85" s="45"/>
      <c r="B85" s="46"/>
      <c r="C85" s="454"/>
      <c r="D85" s="46"/>
      <c r="E85" s="47"/>
      <c r="F85" s="47"/>
      <c r="G85" s="505"/>
      <c r="H85" s="49"/>
      <c r="I85" s="50"/>
      <c r="J85" s="87"/>
      <c r="K85" s="87"/>
      <c r="L85" s="40"/>
      <c r="M85" s="40"/>
      <c r="N85" s="51"/>
      <c r="O85" s="52"/>
      <c r="P85" s="53"/>
      <c r="Q85" s="52"/>
      <c r="R85" s="506"/>
      <c r="S85" s="506"/>
      <c r="T85" s="42"/>
      <c r="U85" s="42"/>
      <c r="V85" s="42"/>
      <c r="W85" s="42"/>
      <c r="X85" s="43"/>
      <c r="Y85" s="216"/>
      <c r="Z85" s="42"/>
      <c r="AA85" s="42"/>
      <c r="AB85" s="42"/>
      <c r="AC85" s="42">
        <f>K85-T85</f>
        <v>0</v>
      </c>
      <c r="AD85" s="42">
        <f>+AM85+BA85</f>
        <v>17</v>
      </c>
      <c r="AE85" s="234" t="s">
        <v>481</v>
      </c>
      <c r="AF85" s="42"/>
      <c r="AG85" s="42">
        <v>17</v>
      </c>
      <c r="AH85" s="42"/>
      <c r="AI85" s="508"/>
      <c r="AJ85" s="42"/>
      <c r="AK85" s="42"/>
      <c r="AL85" s="42"/>
      <c r="AM85" s="42">
        <f>SUM(AF85:AL85)+AT85+AV85+AX85</f>
        <v>17</v>
      </c>
      <c r="AN85" s="88"/>
      <c r="AO85" s="42"/>
      <c r="AP85" s="42"/>
      <c r="AQ85" s="42"/>
      <c r="AR85" s="42">
        <f>SUM(AN85:AQ85)</f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>+AR85+AS85+AU85+AW85+AY85+AZ85</f>
        <v>0</v>
      </c>
      <c r="BB85" s="55"/>
      <c r="BC85" s="56">
        <v>6</v>
      </c>
      <c r="BD85" s="56"/>
      <c r="BE85" s="55"/>
      <c r="BF85" s="56"/>
    </row>
    <row r="86" spans="1:58" ht="12.95" customHeight="1">
      <c r="A86" s="45"/>
      <c r="B86" s="46"/>
      <c r="C86" s="454"/>
      <c r="D86" s="46"/>
      <c r="E86" s="47"/>
      <c r="F86" s="47"/>
      <c r="G86" s="505"/>
      <c r="H86" s="49"/>
      <c r="I86" s="50"/>
      <c r="J86" s="87"/>
      <c r="K86" s="87"/>
      <c r="L86" s="40"/>
      <c r="M86" s="40"/>
      <c r="N86" s="51"/>
      <c r="O86" s="52"/>
      <c r="P86" s="53"/>
      <c r="Q86" s="52"/>
      <c r="R86" s="506"/>
      <c r="S86" s="506"/>
      <c r="T86" s="42"/>
      <c r="U86" s="42"/>
      <c r="V86" s="42"/>
      <c r="W86" s="42"/>
      <c r="X86" s="43"/>
      <c r="Y86" s="216"/>
      <c r="Z86" s="42"/>
      <c r="AA86" s="42"/>
      <c r="AB86" s="42"/>
      <c r="AC86" s="42"/>
      <c r="AD86" s="42">
        <f>+AM86+BA86</f>
        <v>15</v>
      </c>
      <c r="AE86" s="234" t="s">
        <v>226</v>
      </c>
      <c r="AF86" s="38"/>
      <c r="AG86" s="38"/>
      <c r="AH86" s="42">
        <v>15</v>
      </c>
      <c r="AI86" s="508"/>
      <c r="AJ86" s="42"/>
      <c r="AK86" s="42"/>
      <c r="AL86" s="42"/>
      <c r="AM86" s="42">
        <f>SUM(AF86:AL86)+AT86+AV86+AX86</f>
        <v>15</v>
      </c>
      <c r="AN86" s="42"/>
      <c r="AO86" s="42"/>
      <c r="AP86" s="42"/>
      <c r="AQ86" s="42"/>
      <c r="AR86" s="42">
        <f>SUM(AN86:AQ86)</f>
        <v>0</v>
      </c>
      <c r="AS86" s="42"/>
      <c r="AT86" s="42"/>
      <c r="AU86" s="42"/>
      <c r="AV86" s="42"/>
      <c r="AW86" s="42"/>
      <c r="AX86" s="42"/>
      <c r="AY86" s="42"/>
      <c r="AZ86" s="42"/>
      <c r="BA86" s="42">
        <f>+AR86+AS86+AU86+AW86+AY86+AZ86</f>
        <v>0</v>
      </c>
      <c r="BB86" s="38"/>
      <c r="BC86" s="509"/>
      <c r="BD86" s="56"/>
      <c r="BE86" s="56"/>
      <c r="BF86" s="56"/>
    </row>
    <row r="87" spans="1:58" ht="12.95" customHeight="1">
      <c r="A87" s="45"/>
      <c r="B87" s="46"/>
      <c r="C87" s="454"/>
      <c r="D87" s="46"/>
      <c r="E87" s="47"/>
      <c r="F87" s="47"/>
      <c r="G87" s="505"/>
      <c r="H87" s="49"/>
      <c r="I87" s="50"/>
      <c r="J87" s="87"/>
      <c r="K87" s="87"/>
      <c r="L87" s="40"/>
      <c r="M87" s="40"/>
      <c r="N87" s="51"/>
      <c r="O87" s="52"/>
      <c r="P87" s="53"/>
      <c r="Q87" s="52"/>
      <c r="R87" s="506"/>
      <c r="S87" s="506"/>
      <c r="T87" s="42"/>
      <c r="U87" s="42"/>
      <c r="V87" s="42"/>
      <c r="W87" s="42"/>
      <c r="X87" s="43"/>
      <c r="Y87" s="216"/>
      <c r="Z87" s="42"/>
      <c r="AA87" s="42"/>
      <c r="AB87" s="42"/>
      <c r="AC87" s="42"/>
      <c r="AD87" s="42">
        <f>+AM87+BA87</f>
        <v>610</v>
      </c>
      <c r="AE87" s="237" t="s">
        <v>637</v>
      </c>
      <c r="AF87" s="42"/>
      <c r="AG87" s="42"/>
      <c r="AH87" s="42"/>
      <c r="AI87" s="42">
        <v>610</v>
      </c>
      <c r="AJ87" s="42"/>
      <c r="AK87" s="42"/>
      <c r="AL87" s="42"/>
      <c r="AM87" s="42">
        <f>SUM(AF87:AL87)+AT87+AV87+AX87</f>
        <v>610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/>
      <c r="BC87" s="509"/>
      <c r="BD87" s="56"/>
      <c r="BE87" s="56"/>
      <c r="BF87" s="56"/>
    </row>
    <row r="88" spans="1:58" ht="12.95" customHeight="1">
      <c r="A88" s="45"/>
      <c r="B88" s="46"/>
      <c r="C88" s="454"/>
      <c r="D88" s="46"/>
      <c r="E88" s="47"/>
      <c r="F88" s="47"/>
      <c r="G88" s="505"/>
      <c r="H88" s="49"/>
      <c r="I88" s="50"/>
      <c r="J88" s="87"/>
      <c r="K88" s="87"/>
      <c r="L88" s="40"/>
      <c r="M88" s="40"/>
      <c r="N88" s="51"/>
      <c r="O88" s="52"/>
      <c r="P88" s="53"/>
      <c r="Q88" s="52"/>
      <c r="R88" s="506"/>
      <c r="S88" s="506"/>
      <c r="T88" s="42"/>
      <c r="U88" s="42"/>
      <c r="V88" s="42"/>
      <c r="W88" s="42"/>
      <c r="X88" s="507"/>
      <c r="Y88" s="216"/>
      <c r="Z88" s="42"/>
      <c r="AA88" s="54"/>
      <c r="AB88" s="54"/>
      <c r="AC88" s="42"/>
      <c r="AD88" s="42"/>
      <c r="AE88" s="237"/>
      <c r="AF88" s="42"/>
      <c r="AG88" s="42"/>
      <c r="AH88" s="42"/>
      <c r="AI88" s="508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8"/>
      <c r="BC88" s="509"/>
      <c r="BD88" s="56"/>
      <c r="BE88" s="56"/>
      <c r="BF88" s="56"/>
    </row>
    <row r="89" spans="1:58" ht="12.95" customHeight="1">
      <c r="A89" s="45">
        <v>45947</v>
      </c>
      <c r="B89" s="46" t="s">
        <v>462</v>
      </c>
      <c r="C89" s="454">
        <f>(M89*E89*O89*Q89)/100000000</f>
        <v>10.59099105882353</v>
      </c>
      <c r="D89" s="46" t="s">
        <v>384</v>
      </c>
      <c r="E89" s="47">
        <v>16</v>
      </c>
      <c r="F89" s="47">
        <v>1</v>
      </c>
      <c r="G89" s="505">
        <v>830</v>
      </c>
      <c r="H89" s="49">
        <v>0.14000000000000001</v>
      </c>
      <c r="I89" s="50">
        <v>0.88</v>
      </c>
      <c r="J89" s="87">
        <f>E89*G89*(1-H89)*1440/1000000*3.4</f>
        <v>55.916236799999993</v>
      </c>
      <c r="K89" s="87">
        <f>(IF(G89&lt;L89,L89,G89)*(1-IF(H89&lt;N89,H89,N89))*E89*O89*Q89)/100000000</f>
        <v>10.988153223529411</v>
      </c>
      <c r="L89" s="40">
        <v>800</v>
      </c>
      <c r="M89" s="40">
        <f>+L89-L89*0.14</f>
        <v>688</v>
      </c>
      <c r="N89" s="51">
        <f>1-(M89/L89)</f>
        <v>0.14000000000000001</v>
      </c>
      <c r="O89" s="52">
        <f>+'Trim Rwd'!H57</f>
        <v>320.70588235294116</v>
      </c>
      <c r="P89" s="53">
        <f>O89*(Q89-R89-S89)</f>
        <v>84987.058823529413</v>
      </c>
      <c r="Q89" s="52">
        <v>300</v>
      </c>
      <c r="R89" s="506">
        <v>0</v>
      </c>
      <c r="S89" s="506">
        <v>35</v>
      </c>
      <c r="T89" s="42">
        <f>E89*M89*O89*Q89/100000000</f>
        <v>10.59099105882353</v>
      </c>
      <c r="U89" s="42">
        <f>E89*M89*O89*(Q89-R89-S89)/100000000</f>
        <v>9.3553754352941176</v>
      </c>
      <c r="V89" s="42">
        <f>E89*G89*(1-N89)*O89/100*(R89+S89)/1000000</f>
        <v>1.2819512094117644</v>
      </c>
      <c r="W89" s="42">
        <f>+'17'!K20/1000</f>
        <v>15.311999999999999</v>
      </c>
      <c r="X89" s="507">
        <f>SUM(W89:W92)/SUM(K89:K92)</f>
        <v>0.81809221905780738</v>
      </c>
      <c r="Y89" s="216">
        <v>0</v>
      </c>
      <c r="Z89" s="42">
        <f>+'16'!D39/1000</f>
        <v>0</v>
      </c>
      <c r="AA89" s="54">
        <f>SUM(U89:U92)-SUM(W89:W92)-SUM(Z89:Z92)-SUM(Y89:Y92)</f>
        <v>-0.56846335042017415</v>
      </c>
      <c r="AB89" s="54">
        <f>(SUM(K89:K92)-SUM(W89:W92)-SUM(Y89:Y92)-SUM(Z89:Z92)-SUM(AC89:AC92)-SUM(V89:V92))-AA89</f>
        <v>-0.30852359391806417</v>
      </c>
      <c r="AC89" s="42">
        <f>K89-T89</f>
        <v>0.39716216470588073</v>
      </c>
      <c r="AD89" s="42">
        <f>+AM89+BA89</f>
        <v>13</v>
      </c>
      <c r="AE89" s="234" t="s">
        <v>593</v>
      </c>
      <c r="AF89" s="42">
        <v>13</v>
      </c>
      <c r="AG89" s="42"/>
      <c r="AH89" s="42"/>
      <c r="AI89" s="508"/>
      <c r="AJ89" s="42"/>
      <c r="AK89" s="42"/>
      <c r="AL89" s="42"/>
      <c r="AM89" s="42">
        <f>SUM(AF89:AL89)+AT89+AV89+AX89</f>
        <v>13</v>
      </c>
      <c r="AN89" s="42"/>
      <c r="AO89" s="42"/>
      <c r="AP89" s="42"/>
      <c r="AQ89" s="42"/>
      <c r="AR89" s="42">
        <f>SUM(AN89:AQ89)</f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>
        <v>4</v>
      </c>
      <c r="BC89" s="56"/>
      <c r="BD89" s="56"/>
      <c r="BE89" s="38"/>
      <c r="BF89" s="56"/>
    </row>
    <row r="90" spans="1:58" ht="12.95" customHeight="1">
      <c r="A90" s="45"/>
      <c r="B90" s="46" t="s">
        <v>462</v>
      </c>
      <c r="C90" s="454">
        <f>(M90*E90*O90*Q90)/100000000</f>
        <v>40.052841428571426</v>
      </c>
      <c r="D90" s="46" t="s">
        <v>384</v>
      </c>
      <c r="E90" s="47">
        <v>15.5</v>
      </c>
      <c r="F90" s="47">
        <v>1</v>
      </c>
      <c r="G90" s="505">
        <v>830</v>
      </c>
      <c r="H90" s="49">
        <v>0.14000000000000001</v>
      </c>
      <c r="I90" s="50">
        <v>0.88</v>
      </c>
      <c r="J90" s="87">
        <f>E90*G90*(1-H90)*1440/1000000*3.4</f>
        <v>54.168854400000001</v>
      </c>
      <c r="K90" s="87">
        <f>(IF(G90&lt;L90,L90,G90)*(1-IF(H90&lt;N90,H90,N90))*E90*O90*Q90)/100000000</f>
        <v>41.554822982142859</v>
      </c>
      <c r="L90" s="40">
        <v>800</v>
      </c>
      <c r="M90" s="40">
        <f>+L90-L90*0.14</f>
        <v>688</v>
      </c>
      <c r="N90" s="51">
        <f>1-(M90/L90)</f>
        <v>0.14000000000000001</v>
      </c>
      <c r="O90" s="52">
        <f>+'Trim Rwd'!H59</f>
        <v>329.46428571428572</v>
      </c>
      <c r="P90" s="53">
        <f>O90*(Q90-R90-S90)</f>
        <v>310025.89285714284</v>
      </c>
      <c r="Q90" s="52">
        <v>1140</v>
      </c>
      <c r="R90" s="506">
        <v>160</v>
      </c>
      <c r="S90" s="506">
        <f>35+4</f>
        <v>39</v>
      </c>
      <c r="T90" s="42">
        <f>E90*M90*O90*Q90/100000000</f>
        <v>40.052841428571426</v>
      </c>
      <c r="U90" s="42">
        <f>E90*M90*O90*(Q90-R90-S90)/100000000</f>
        <v>33.061161214285711</v>
      </c>
      <c r="V90" s="42">
        <f>E90*G90*(1-N90)*O90/100*(R90+S90)/1000000</f>
        <v>7.2538682223214286</v>
      </c>
      <c r="W90" s="42">
        <f>+'17'!K21/1000</f>
        <v>27.672999999999998</v>
      </c>
      <c r="X90" s="43"/>
      <c r="Y90" s="216"/>
      <c r="Z90" s="42"/>
      <c r="AA90" s="42"/>
      <c r="AB90" s="42"/>
      <c r="AC90" s="42">
        <f>K90-T90</f>
        <v>1.5019815535714329</v>
      </c>
      <c r="AD90" s="42">
        <f>+AM90+BA90</f>
        <v>28</v>
      </c>
      <c r="AE90" s="234" t="s">
        <v>653</v>
      </c>
      <c r="AF90" s="42"/>
      <c r="AG90" s="42">
        <v>28</v>
      </c>
      <c r="AH90" s="42"/>
      <c r="AI90" s="508"/>
      <c r="AJ90" s="42"/>
      <c r="AK90" s="42"/>
      <c r="AL90" s="42"/>
      <c r="AM90" s="42">
        <f>SUM(AF90:AL90)+AT90+AV90+AX90</f>
        <v>28</v>
      </c>
      <c r="AN90" s="88"/>
      <c r="AO90" s="42"/>
      <c r="AP90" s="42"/>
      <c r="AQ90" s="42"/>
      <c r="AR90" s="42">
        <f>SUM(AN90:AQ90)</f>
        <v>0</v>
      </c>
      <c r="AS90" s="42"/>
      <c r="AT90" s="42"/>
      <c r="AU90" s="42"/>
      <c r="AV90" s="42"/>
      <c r="AW90" s="42"/>
      <c r="AX90" s="42"/>
      <c r="AY90" s="42"/>
      <c r="AZ90" s="42"/>
      <c r="BA90" s="42">
        <f>+AR90+AS90+AU90+AW90+AY90+AZ90</f>
        <v>0</v>
      </c>
      <c r="BB90" s="55"/>
      <c r="BC90" s="56">
        <v>10</v>
      </c>
      <c r="BD90" s="56"/>
      <c r="BE90" s="55"/>
      <c r="BF90" s="56"/>
    </row>
    <row r="91" spans="1:58" ht="12.95" customHeight="1">
      <c r="A91" s="45"/>
      <c r="B91" s="46"/>
      <c r="C91" s="454"/>
      <c r="D91" s="46"/>
      <c r="E91" s="47"/>
      <c r="F91" s="47"/>
      <c r="G91" s="505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06"/>
      <c r="S91" s="506"/>
      <c r="T91" s="42"/>
      <c r="U91" s="42"/>
      <c r="V91" s="42"/>
      <c r="W91" s="42"/>
      <c r="X91" s="43"/>
      <c r="Y91" s="216"/>
      <c r="Z91" s="42"/>
      <c r="AA91" s="42"/>
      <c r="AB91" s="42"/>
      <c r="AC91" s="42"/>
      <c r="AD91" s="42">
        <f>+AM91+BA91</f>
        <v>29</v>
      </c>
      <c r="AE91" s="234" t="s">
        <v>226</v>
      </c>
      <c r="AF91" s="38"/>
      <c r="AG91" s="38"/>
      <c r="AH91" s="42">
        <v>29</v>
      </c>
      <c r="AI91" s="508"/>
      <c r="AJ91" s="42"/>
      <c r="AK91" s="42"/>
      <c r="AL91" s="42"/>
      <c r="AM91" s="42">
        <f>SUM(AF91:AL91)+AT91+AV91+AX91</f>
        <v>29</v>
      </c>
      <c r="AN91" s="42"/>
      <c r="AO91" s="42"/>
      <c r="AP91" s="42"/>
      <c r="AQ91" s="42"/>
      <c r="AR91" s="42">
        <f>SUM(AN91:AQ91)</f>
        <v>0</v>
      </c>
      <c r="AS91" s="42"/>
      <c r="AT91" s="42"/>
      <c r="AU91" s="42"/>
      <c r="AV91" s="42"/>
      <c r="AW91" s="42"/>
      <c r="AX91" s="42"/>
      <c r="AY91" s="42"/>
      <c r="AZ91" s="42"/>
      <c r="BA91" s="42">
        <f>+AR91+AS91+AU91+AW91+AY91+AZ91</f>
        <v>0</v>
      </c>
      <c r="BB91" s="38"/>
      <c r="BC91" s="509"/>
      <c r="BD91" s="56"/>
      <c r="BE91" s="56"/>
      <c r="BF91" s="56"/>
    </row>
    <row r="92" spans="1:58" ht="12.95" customHeight="1">
      <c r="A92" s="45"/>
      <c r="B92" s="46"/>
      <c r="C92" s="454"/>
      <c r="D92" s="46"/>
      <c r="E92" s="47"/>
      <c r="F92" s="47"/>
      <c r="G92" s="505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06"/>
      <c r="S92" s="506"/>
      <c r="T92" s="42"/>
      <c r="U92" s="42"/>
      <c r="V92" s="42"/>
      <c r="W92" s="42"/>
      <c r="X92" s="507"/>
      <c r="Y92" s="216"/>
      <c r="Z92" s="42"/>
      <c r="AA92" s="54"/>
      <c r="AB92" s="54"/>
      <c r="AC92" s="42"/>
      <c r="AD92" s="42">
        <f>+AM92+BA92</f>
        <v>4</v>
      </c>
      <c r="AE92" s="587" t="s">
        <v>463</v>
      </c>
      <c r="AF92" s="42"/>
      <c r="AG92" s="42"/>
      <c r="AH92" s="42"/>
      <c r="AI92" s="42">
        <v>4</v>
      </c>
      <c r="AJ92" s="42"/>
      <c r="AK92" s="42"/>
      <c r="AL92" s="42"/>
      <c r="AM92" s="42">
        <f>SUM(AF92:AL92)+AT92+AV92+AX92</f>
        <v>4</v>
      </c>
      <c r="AN92" s="42"/>
      <c r="AO92" s="42"/>
      <c r="AP92" s="42"/>
      <c r="AQ92" s="42"/>
      <c r="AR92" s="42">
        <f>SUM(AN92:AQ92)</f>
        <v>0</v>
      </c>
      <c r="AS92" s="42"/>
      <c r="AT92" s="42"/>
      <c r="AU92" s="42"/>
      <c r="AV92" s="42"/>
      <c r="AW92" s="42"/>
      <c r="AX92" s="42"/>
      <c r="AY92" s="42"/>
      <c r="AZ92" s="42"/>
      <c r="BA92" s="42">
        <f>+AR92+AS92+AU92+AW92+AY92+AZ92</f>
        <v>0</v>
      </c>
      <c r="BB92" s="38"/>
      <c r="BC92" s="56"/>
      <c r="BD92" s="56"/>
      <c r="BE92" s="56"/>
      <c r="BF92" s="56"/>
    </row>
    <row r="93" spans="1:58" ht="12.95" customHeight="1">
      <c r="A93" s="45"/>
      <c r="B93" s="46"/>
      <c r="C93" s="454"/>
      <c r="D93" s="46"/>
      <c r="E93" s="47"/>
      <c r="F93" s="47"/>
      <c r="G93" s="505"/>
      <c r="H93" s="49"/>
      <c r="I93" s="50"/>
      <c r="J93" s="87"/>
      <c r="K93" s="87"/>
      <c r="L93" s="40"/>
      <c r="M93" s="40"/>
      <c r="N93" s="51"/>
      <c r="O93" s="52"/>
      <c r="P93" s="53"/>
      <c r="Q93" s="52"/>
      <c r="R93" s="506"/>
      <c r="S93" s="506"/>
      <c r="T93" s="42"/>
      <c r="U93" s="42"/>
      <c r="V93" s="42"/>
      <c r="W93" s="42"/>
      <c r="X93" s="507"/>
      <c r="Y93" s="216"/>
      <c r="Z93" s="42"/>
      <c r="AA93" s="54"/>
      <c r="AB93" s="54"/>
      <c r="AC93" s="42"/>
      <c r="AD93" s="42">
        <f>+AM93+BA93</f>
        <v>160</v>
      </c>
      <c r="AE93" s="234" t="s">
        <v>673</v>
      </c>
      <c r="AF93" s="42"/>
      <c r="AG93" s="42"/>
      <c r="AH93" s="42"/>
      <c r="AI93" s="508"/>
      <c r="AJ93" s="42"/>
      <c r="AK93" s="42"/>
      <c r="AL93" s="42"/>
      <c r="AM93" s="42">
        <f>SUM(AF93:AL93)+AT93+AV93+AX93</f>
        <v>0</v>
      </c>
      <c r="AN93" s="42"/>
      <c r="AO93" s="42">
        <v>160</v>
      </c>
      <c r="AP93" s="42"/>
      <c r="AQ93" s="42"/>
      <c r="AR93" s="42">
        <f>SUM(AN93:AQ93)</f>
        <v>160</v>
      </c>
      <c r="AS93" s="42"/>
      <c r="AT93" s="42"/>
      <c r="AU93" s="42"/>
      <c r="AV93" s="42"/>
      <c r="AW93" s="42"/>
      <c r="AX93" s="42"/>
      <c r="AY93" s="42"/>
      <c r="AZ93" s="42"/>
      <c r="BA93" s="42">
        <f>+AR93+AS93+AU93+AW93+AY93+AZ93</f>
        <v>160</v>
      </c>
      <c r="BB93" s="38"/>
      <c r="BC93" s="56"/>
      <c r="BD93" s="56"/>
      <c r="BE93" s="56"/>
      <c r="BF93" s="56"/>
    </row>
    <row r="94" spans="1:58" ht="12.95" customHeight="1">
      <c r="A94" s="45"/>
      <c r="B94" s="46"/>
      <c r="C94" s="454"/>
      <c r="D94" s="46"/>
      <c r="E94" s="47"/>
      <c r="F94" s="47"/>
      <c r="G94" s="505"/>
      <c r="H94" s="49"/>
      <c r="I94" s="50"/>
      <c r="J94" s="87"/>
      <c r="K94" s="87"/>
      <c r="L94" s="40"/>
      <c r="M94" s="40"/>
      <c r="N94" s="51"/>
      <c r="O94" s="52"/>
      <c r="P94" s="53"/>
      <c r="Q94" s="52"/>
      <c r="R94" s="506"/>
      <c r="S94" s="506"/>
      <c r="T94" s="42"/>
      <c r="U94" s="42"/>
      <c r="V94" s="42"/>
      <c r="W94" s="42"/>
      <c r="X94" s="43"/>
      <c r="Y94" s="216"/>
      <c r="Z94" s="42"/>
      <c r="AA94" s="42"/>
      <c r="AB94" s="42"/>
      <c r="AC94" s="42"/>
      <c r="AD94" s="42"/>
      <c r="AE94" s="234"/>
      <c r="AF94" s="42"/>
      <c r="AG94" s="42"/>
      <c r="AH94" s="42"/>
      <c r="AI94" s="508"/>
      <c r="AJ94" s="42"/>
      <c r="AK94" s="42"/>
      <c r="AL94" s="42"/>
      <c r="AM94" s="42"/>
      <c r="AN94" s="88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55"/>
      <c r="BC94" s="56"/>
      <c r="BD94" s="56"/>
      <c r="BE94" s="56"/>
      <c r="BF94" s="56"/>
    </row>
    <row r="95" spans="1:58" ht="12.95" customHeight="1">
      <c r="A95" s="45">
        <v>45948</v>
      </c>
      <c r="B95" s="46" t="s">
        <v>462</v>
      </c>
      <c r="C95" s="454">
        <f>(M95*E95*O95*Q95)/100000000</f>
        <v>52.41633264</v>
      </c>
      <c r="D95" s="46" t="s">
        <v>384</v>
      </c>
      <c r="E95" s="47">
        <v>15.5</v>
      </c>
      <c r="F95" s="47">
        <v>1</v>
      </c>
      <c r="G95" s="505">
        <v>830</v>
      </c>
      <c r="H95" s="49">
        <v>0.14000000000000001</v>
      </c>
      <c r="I95" s="50">
        <v>0.88</v>
      </c>
      <c r="J95" s="87">
        <f>E95*G95*(1-H95)*1440/1000000*3.4</f>
        <v>54.168854400000001</v>
      </c>
      <c r="K95" s="87">
        <f>(IF(G95&lt;L95,L95,G95)*(1-IF(H95&lt;N95,H95,N95))*E95*O95*Q95)/100000000</f>
        <v>52.41633264</v>
      </c>
      <c r="L95" s="40">
        <v>830</v>
      </c>
      <c r="M95" s="40">
        <f>+L95-L95*0.14</f>
        <v>713.8</v>
      </c>
      <c r="N95" s="51">
        <f>1-(M95/L95)</f>
        <v>0.14000000000000001</v>
      </c>
      <c r="O95" s="52">
        <f>+'Trim Rwd'!H62</f>
        <v>329</v>
      </c>
      <c r="P95" s="53">
        <f>O95*(Q95-R95-S95)</f>
        <v>254975</v>
      </c>
      <c r="Q95" s="52">
        <v>1440</v>
      </c>
      <c r="R95" s="506">
        <v>630</v>
      </c>
      <c r="S95" s="506">
        <v>35</v>
      </c>
      <c r="T95" s="42">
        <f>E95*M95*O95*Q95/100000000</f>
        <v>52.41633264</v>
      </c>
      <c r="U95" s="42">
        <f>E95*M95*O95*(Q95-R95-S95)/100000000</f>
        <v>28.210179024999999</v>
      </c>
      <c r="V95" s="42">
        <f>E95*G95*(1-N95)*O95/100*(R95+S95)/1000000</f>
        <v>24.206153614999998</v>
      </c>
      <c r="W95" s="42">
        <f>+'18'!K34/1000</f>
        <v>24.611999999999998</v>
      </c>
      <c r="X95" s="507">
        <f>SUM(W95:W98)/SUM(K95:K98)</f>
        <v>0.46954830222551791</v>
      </c>
      <c r="Y95" s="216">
        <v>0</v>
      </c>
      <c r="Z95" s="42">
        <f>+'18'!D34/1000</f>
        <v>0.5</v>
      </c>
      <c r="AA95" s="54">
        <f>SUM(U95:U98)-SUM(W95:W98)-SUM(Z95:Z98)-SUM(Y95:Y98)</f>
        <v>3.0981790250000003</v>
      </c>
      <c r="AB95" s="54">
        <f>(SUM(K95:K98)-SUM(W95:W98)-SUM(Y95:Y98)-SUM(Z95:Z98)-SUM(AC95:AC98)-SUM(V95:V98))-AA95</f>
        <v>3.5527136788005009E-15</v>
      </c>
      <c r="AC95" s="42">
        <f>K95-T95</f>
        <v>0</v>
      </c>
      <c r="AD95" s="42">
        <f>+AM95+BA95</f>
        <v>6</v>
      </c>
      <c r="AE95" s="234" t="s">
        <v>651</v>
      </c>
      <c r="AF95" s="42">
        <v>6</v>
      </c>
      <c r="AG95" s="42"/>
      <c r="AH95" s="42"/>
      <c r="AI95" s="508"/>
      <c r="AJ95" s="42"/>
      <c r="AK95" s="42"/>
      <c r="AL95" s="42"/>
      <c r="AM95" s="42">
        <f>SUM(AF95:AL95)+AT95+AV95+AX95</f>
        <v>6</v>
      </c>
      <c r="AN95" s="42"/>
      <c r="AO95" s="42"/>
      <c r="AP95" s="42"/>
      <c r="AQ95" s="42"/>
      <c r="AR95" s="42">
        <f>SUM(AN95:AQ95)</f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38">
        <v>3</v>
      </c>
      <c r="BC95" s="56"/>
      <c r="BD95" s="56"/>
      <c r="BE95" s="38"/>
      <c r="BF95" s="56"/>
    </row>
    <row r="96" spans="1:58" ht="12.95" customHeight="1">
      <c r="A96" s="45"/>
      <c r="B96" s="46"/>
      <c r="C96" s="454"/>
      <c r="D96" s="46"/>
      <c r="E96" s="47"/>
      <c r="F96" s="47"/>
      <c r="G96" s="505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06"/>
      <c r="S96" s="506"/>
      <c r="T96" s="42"/>
      <c r="U96" s="42"/>
      <c r="V96" s="42"/>
      <c r="W96" s="42"/>
      <c r="X96" s="43"/>
      <c r="Y96" s="216"/>
      <c r="Z96" s="42"/>
      <c r="AA96" s="42"/>
      <c r="AB96" s="42"/>
      <c r="AC96" s="42"/>
      <c r="AD96" s="42">
        <f>+AM96+BA96</f>
        <v>16</v>
      </c>
      <c r="AE96" s="234" t="s">
        <v>670</v>
      </c>
      <c r="AF96" s="42"/>
      <c r="AG96" s="42">
        <v>16</v>
      </c>
      <c r="AH96" s="42"/>
      <c r="AI96" s="508"/>
      <c r="AJ96" s="42"/>
      <c r="AK96" s="42"/>
      <c r="AL96" s="42"/>
      <c r="AM96" s="42">
        <f>SUM(AF96:AL96)+AT96+AV96+AX96</f>
        <v>16</v>
      </c>
      <c r="AN96" s="88"/>
      <c r="AO96" s="42"/>
      <c r="AP96" s="42"/>
      <c r="AQ96" s="42"/>
      <c r="AR96" s="42">
        <f>SUM(AN96:AQ96)</f>
        <v>0</v>
      </c>
      <c r="AS96" s="42"/>
      <c r="AT96" s="42"/>
      <c r="AU96" s="42"/>
      <c r="AV96" s="42"/>
      <c r="AW96" s="42"/>
      <c r="AX96" s="42"/>
      <c r="AY96" s="42"/>
      <c r="AZ96" s="42"/>
      <c r="BA96" s="42">
        <f>+AR96+AS96+AU96+AW96+AY96+AZ96</f>
        <v>0</v>
      </c>
      <c r="BB96" s="55"/>
      <c r="BC96" s="56">
        <v>7</v>
      </c>
      <c r="BD96" s="56"/>
      <c r="BE96" s="55"/>
      <c r="BF96" s="56"/>
    </row>
    <row r="97" spans="1:58" ht="12.95" customHeight="1">
      <c r="A97" s="45"/>
      <c r="B97" s="46"/>
      <c r="C97" s="454"/>
      <c r="D97" s="46"/>
      <c r="E97" s="47"/>
      <c r="F97" s="47"/>
      <c r="G97" s="505"/>
      <c r="H97" s="49"/>
      <c r="I97" s="50"/>
      <c r="J97" s="87"/>
      <c r="K97" s="87"/>
      <c r="L97" s="40"/>
      <c r="M97" s="40"/>
      <c r="N97" s="51"/>
      <c r="O97" s="52"/>
      <c r="P97" s="53"/>
      <c r="Q97" s="52"/>
      <c r="R97" s="506"/>
      <c r="S97" s="506"/>
      <c r="T97" s="42"/>
      <c r="U97" s="42"/>
      <c r="V97" s="42"/>
      <c r="W97" s="42"/>
      <c r="X97" s="43"/>
      <c r="Y97" s="216"/>
      <c r="Z97" s="42"/>
      <c r="AA97" s="42"/>
      <c r="AB97" s="42"/>
      <c r="AC97" s="42"/>
      <c r="AD97" s="42">
        <f>+AM97+BA97</f>
        <v>13</v>
      </c>
      <c r="AE97" s="234" t="s">
        <v>226</v>
      </c>
      <c r="AF97" s="38"/>
      <c r="AG97" s="38"/>
      <c r="AH97" s="42">
        <v>13</v>
      </c>
      <c r="AI97" s="508"/>
      <c r="AJ97" s="42"/>
      <c r="AK97" s="42"/>
      <c r="AL97" s="42"/>
      <c r="AM97" s="42">
        <f>SUM(AF97:AL97)+AT97+AV97+AX97</f>
        <v>13</v>
      </c>
      <c r="AN97" s="42"/>
      <c r="AO97" s="42"/>
      <c r="AP97" s="42"/>
      <c r="AQ97" s="42"/>
      <c r="AR97" s="42">
        <f>SUM(AN97:AQ97)</f>
        <v>0</v>
      </c>
      <c r="AS97" s="42"/>
      <c r="AT97" s="42"/>
      <c r="AU97" s="42"/>
      <c r="AV97" s="42"/>
      <c r="AW97" s="42"/>
      <c r="AX97" s="42"/>
      <c r="AY97" s="42"/>
      <c r="AZ97" s="42"/>
      <c r="BA97" s="42">
        <f>+AR97+AS97+AU97+AW97+AY97+AZ97</f>
        <v>0</v>
      </c>
      <c r="BB97" s="38"/>
      <c r="BC97" s="509"/>
      <c r="BD97" s="56"/>
      <c r="BE97" s="56"/>
      <c r="BF97" s="56"/>
    </row>
    <row r="98" spans="1:58" ht="12.95" customHeight="1">
      <c r="A98" s="45"/>
      <c r="B98" s="46"/>
      <c r="C98" s="454"/>
      <c r="D98" s="46"/>
      <c r="E98" s="47"/>
      <c r="F98" s="47"/>
      <c r="G98" s="505"/>
      <c r="H98" s="49"/>
      <c r="I98" s="50"/>
      <c r="J98" s="87"/>
      <c r="K98" s="87"/>
      <c r="L98" s="40"/>
      <c r="M98" s="40"/>
      <c r="N98" s="51"/>
      <c r="O98" s="52"/>
      <c r="P98" s="53"/>
      <c r="Q98" s="52"/>
      <c r="R98" s="506"/>
      <c r="S98" s="506"/>
      <c r="T98" s="42"/>
      <c r="U98" s="42"/>
      <c r="V98" s="42"/>
      <c r="W98" s="42"/>
      <c r="X98" s="43"/>
      <c r="Y98" s="216"/>
      <c r="Z98" s="42"/>
      <c r="AA98" s="42"/>
      <c r="AB98" s="42"/>
      <c r="AC98" s="42"/>
      <c r="AD98" s="42">
        <f>+AM98+BA98</f>
        <v>630</v>
      </c>
      <c r="AE98" s="234" t="s">
        <v>671</v>
      </c>
      <c r="AF98" s="38"/>
      <c r="AG98" s="38"/>
      <c r="AH98" s="42"/>
      <c r="AI98" s="508"/>
      <c r="AJ98" s="42"/>
      <c r="AK98" s="42"/>
      <c r="AL98" s="42"/>
      <c r="AM98" s="42">
        <f>SUM(AF98:AL98)+AT98+AV98+AX98</f>
        <v>0</v>
      </c>
      <c r="AN98" s="42"/>
      <c r="AO98" s="42">
        <v>630</v>
      </c>
      <c r="AP98" s="42"/>
      <c r="AQ98" s="42"/>
      <c r="AR98" s="42">
        <f>SUM(AN98:AQ98)</f>
        <v>630</v>
      </c>
      <c r="AS98" s="42"/>
      <c r="AT98" s="42"/>
      <c r="AU98" s="42"/>
      <c r="AV98" s="42"/>
      <c r="AW98" s="42"/>
      <c r="AX98" s="42"/>
      <c r="AY98" s="42"/>
      <c r="AZ98" s="42"/>
      <c r="BA98" s="42">
        <f>+AR98+AS98+AU98+AW98+AY98+AZ98</f>
        <v>630</v>
      </c>
      <c r="BB98" s="38"/>
      <c r="BC98" s="509"/>
      <c r="BD98" s="56"/>
      <c r="BE98" s="56"/>
      <c r="BF98" s="56"/>
    </row>
    <row r="99" spans="1:58" ht="12.95" customHeight="1">
      <c r="A99" s="45"/>
      <c r="B99" s="46"/>
      <c r="C99" s="454"/>
      <c r="D99" s="46"/>
      <c r="E99" s="47"/>
      <c r="F99" s="47"/>
      <c r="G99" s="505"/>
      <c r="H99" s="49"/>
      <c r="I99" s="50"/>
      <c r="J99" s="87"/>
      <c r="K99" s="87"/>
      <c r="L99" s="40"/>
      <c r="M99" s="40"/>
      <c r="N99" s="51"/>
      <c r="O99" s="52"/>
      <c r="P99" s="53"/>
      <c r="Q99" s="52"/>
      <c r="R99" s="506"/>
      <c r="S99" s="506"/>
      <c r="T99" s="42"/>
      <c r="U99" s="42"/>
      <c r="V99" s="42"/>
      <c r="W99" s="42"/>
      <c r="X99" s="507"/>
      <c r="Y99" s="216"/>
      <c r="Z99" s="42"/>
      <c r="AA99" s="54"/>
      <c r="AB99" s="54"/>
      <c r="AC99" s="42"/>
      <c r="AD99" s="42"/>
      <c r="AE99" s="234"/>
      <c r="AF99" s="42"/>
      <c r="AG99" s="42"/>
      <c r="AH99" s="42"/>
      <c r="AI99" s="508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8"/>
      <c r="BC99" s="56"/>
      <c r="BD99" s="56"/>
      <c r="BE99" s="56"/>
      <c r="BF99" s="56"/>
    </row>
    <row r="100" spans="1:58" ht="12.95" customHeight="1">
      <c r="A100" s="45">
        <v>45949</v>
      </c>
      <c r="B100" s="46" t="s">
        <v>462</v>
      </c>
      <c r="C100" s="454">
        <f>(M100*E100*O100*Q100)/100000000</f>
        <v>52.41633264</v>
      </c>
      <c r="D100" s="46" t="s">
        <v>384</v>
      </c>
      <c r="E100" s="47">
        <v>15.5</v>
      </c>
      <c r="F100" s="47">
        <v>1</v>
      </c>
      <c r="G100" s="505">
        <v>830</v>
      </c>
      <c r="H100" s="49">
        <v>0.14000000000000001</v>
      </c>
      <c r="I100" s="50">
        <v>0.88</v>
      </c>
      <c r="J100" s="87">
        <f>E100*G100*(1-H100)*1440/1000000*3.4</f>
        <v>54.168854400000001</v>
      </c>
      <c r="K100" s="87">
        <f>(IF(G100&lt;L100,L100,G100)*(1-IF(H100&lt;N100,H100,N100))*E100*O100*Q100)/100000000</f>
        <v>52.41633264</v>
      </c>
      <c r="L100" s="40">
        <v>830</v>
      </c>
      <c r="M100" s="40">
        <f>+L100-L100*0.14</f>
        <v>713.8</v>
      </c>
      <c r="N100" s="51">
        <f>1-(M100/L100)</f>
        <v>0.14000000000000001</v>
      </c>
      <c r="O100" s="52">
        <f>+'Trim Rwd'!H64</f>
        <v>329</v>
      </c>
      <c r="P100" s="53">
        <f>O100*(Q100-R100-S100)</f>
        <v>457310</v>
      </c>
      <c r="Q100" s="52">
        <v>1440</v>
      </c>
      <c r="R100" s="506">
        <v>0</v>
      </c>
      <c r="S100" s="506">
        <v>50</v>
      </c>
      <c r="T100" s="42">
        <f>E100*M100*O100*Q100/100000000</f>
        <v>52.41633264</v>
      </c>
      <c r="U100" s="42">
        <f>E100*M100*O100*(Q100-R100-S100)/100000000</f>
        <v>50.596321090000004</v>
      </c>
      <c r="V100" s="42">
        <f>E100*G100*(1-N100)*O100/100*(R100+S100)/1000000</f>
        <v>1.82001155</v>
      </c>
      <c r="W100" s="42">
        <f>+'19'!K34/1000</f>
        <v>49.045999999999999</v>
      </c>
      <c r="X100" s="507">
        <f>SUM(W100:W103)/SUM(K100:K103)</f>
        <v>0.93570071635595453</v>
      </c>
      <c r="Y100" s="216">
        <v>0</v>
      </c>
      <c r="Z100" s="42">
        <f>+'16'!D50/1000</f>
        <v>0</v>
      </c>
      <c r="AA100" s="54">
        <f>SUM(U100:U103)-SUM(W100:W103)-SUM(Z100:Z103)-SUM(Y100:Y103)</f>
        <v>1.5503210900000042</v>
      </c>
      <c r="AB100" s="54">
        <f>(SUM(K100:K103)-SUM(W100:W103)-SUM(Y100:Y103)-SUM(Z100:Z103)-SUM(AC100:AC103)-SUM(V100:V103))-AA100</f>
        <v>-3.3306690738754696E-15</v>
      </c>
      <c r="AC100" s="42">
        <f>K100-T100</f>
        <v>0</v>
      </c>
      <c r="AD100" s="42">
        <f>+AM100+BA100</f>
        <v>0</v>
      </c>
      <c r="AE100" s="234" t="s">
        <v>394</v>
      </c>
      <c r="AF100" s="42">
        <v>0</v>
      </c>
      <c r="AG100" s="42"/>
      <c r="AH100" s="42"/>
      <c r="AI100" s="508"/>
      <c r="AJ100" s="42"/>
      <c r="AK100" s="42"/>
      <c r="AL100" s="42"/>
      <c r="AM100" s="42">
        <f>SUM(AF100:AL100)+AT100+AV100+AX100</f>
        <v>0</v>
      </c>
      <c r="AN100" s="42"/>
      <c r="AO100" s="42"/>
      <c r="AP100" s="42"/>
      <c r="AQ100" s="42"/>
      <c r="AR100" s="42">
        <f>SUM(AN100:AQ100)</f>
        <v>0</v>
      </c>
      <c r="AS100" s="42"/>
      <c r="AT100" s="42"/>
      <c r="AU100" s="42"/>
      <c r="AV100" s="42"/>
      <c r="AW100" s="42"/>
      <c r="AX100" s="42"/>
      <c r="AY100" s="42"/>
      <c r="AZ100" s="42"/>
      <c r="BA100" s="42">
        <f>+AR100+AS100+AU100+AW100+AY100+AZ100</f>
        <v>0</v>
      </c>
      <c r="BB100" s="38">
        <v>0</v>
      </c>
      <c r="BC100" s="56"/>
      <c r="BD100" s="56"/>
      <c r="BE100" s="38"/>
      <c r="BF100" s="56"/>
    </row>
    <row r="101" spans="1:58" ht="12.95" customHeight="1">
      <c r="A101" s="45"/>
      <c r="B101" s="46"/>
      <c r="C101" s="454"/>
      <c r="D101" s="46"/>
      <c r="E101" s="47"/>
      <c r="F101" s="47"/>
      <c r="G101" s="505"/>
      <c r="H101" s="49"/>
      <c r="I101" s="50"/>
      <c r="J101" s="87"/>
      <c r="K101" s="87"/>
      <c r="L101" s="40"/>
      <c r="M101" s="40"/>
      <c r="N101" s="51"/>
      <c r="O101" s="52"/>
      <c r="P101" s="53"/>
      <c r="Q101" s="52"/>
      <c r="R101" s="506"/>
      <c r="S101" s="506"/>
      <c r="T101" s="42"/>
      <c r="U101" s="42"/>
      <c r="V101" s="42"/>
      <c r="W101" s="42"/>
      <c r="X101" s="43"/>
      <c r="Y101" s="216"/>
      <c r="Z101" s="42"/>
      <c r="AA101" s="42"/>
      <c r="AB101" s="42"/>
      <c r="AC101" s="42"/>
      <c r="AD101" s="42">
        <f>+AM101+BA101</f>
        <v>25</v>
      </c>
      <c r="AE101" s="234" t="s">
        <v>653</v>
      </c>
      <c r="AF101" s="42"/>
      <c r="AG101" s="42">
        <v>25</v>
      </c>
      <c r="AH101" s="42"/>
      <c r="AI101" s="508"/>
      <c r="AJ101" s="42"/>
      <c r="AK101" s="42"/>
      <c r="AL101" s="42"/>
      <c r="AM101" s="42">
        <f>SUM(AF101:AL101)+AT101+AV101+AX101</f>
        <v>25</v>
      </c>
      <c r="AN101" s="88"/>
      <c r="AO101" s="42"/>
      <c r="AP101" s="42"/>
      <c r="AQ101" s="42"/>
      <c r="AR101" s="42">
        <f>SUM(AN101:AQ101)</f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55"/>
      <c r="BC101" s="56">
        <v>10</v>
      </c>
      <c r="BD101" s="56"/>
      <c r="BE101" s="55"/>
      <c r="BF101" s="56"/>
    </row>
    <row r="102" spans="1:58" ht="12.95" customHeight="1">
      <c r="A102" s="45"/>
      <c r="B102" s="46"/>
      <c r="C102" s="454"/>
      <c r="D102" s="46"/>
      <c r="E102" s="47"/>
      <c r="F102" s="47"/>
      <c r="G102" s="505"/>
      <c r="H102" s="49"/>
      <c r="I102" s="50"/>
      <c r="J102" s="87"/>
      <c r="K102" s="87"/>
      <c r="L102" s="40"/>
      <c r="M102" s="40"/>
      <c r="N102" s="51"/>
      <c r="O102" s="52"/>
      <c r="P102" s="53"/>
      <c r="Q102" s="52"/>
      <c r="R102" s="506"/>
      <c r="S102" s="506"/>
      <c r="T102" s="42"/>
      <c r="U102" s="42"/>
      <c r="V102" s="42"/>
      <c r="W102" s="42"/>
      <c r="X102" s="43"/>
      <c r="Y102" s="216"/>
      <c r="Z102" s="42"/>
      <c r="AA102" s="42"/>
      <c r="AB102" s="42"/>
      <c r="AC102" s="42"/>
      <c r="AD102" s="42">
        <f>+AM102+BA102</f>
        <v>25</v>
      </c>
      <c r="AE102" s="234" t="s">
        <v>226</v>
      </c>
      <c r="AF102" s="38"/>
      <c r="AG102" s="38"/>
      <c r="AH102" s="42">
        <v>25</v>
      </c>
      <c r="AI102" s="508"/>
      <c r="AJ102" s="42"/>
      <c r="AK102" s="42"/>
      <c r="AL102" s="42"/>
      <c r="AM102" s="42">
        <f>SUM(AF102:AL102)+AT102+AV102+AX102</f>
        <v>25</v>
      </c>
      <c r="AN102" s="42"/>
      <c r="AO102" s="42"/>
      <c r="AP102" s="42"/>
      <c r="AQ102" s="42"/>
      <c r="AR102" s="42">
        <f>SUM(AN102:AQ102)</f>
        <v>0</v>
      </c>
      <c r="AS102" s="42"/>
      <c r="AT102" s="42"/>
      <c r="AU102" s="42"/>
      <c r="AV102" s="42"/>
      <c r="AW102" s="42"/>
      <c r="AX102" s="42"/>
      <c r="AY102" s="42"/>
      <c r="AZ102" s="42"/>
      <c r="BA102" s="42">
        <f>+AR102+AS102+AU102+AW102+AY102+AZ102</f>
        <v>0</v>
      </c>
      <c r="BB102" s="38"/>
      <c r="BC102" s="509"/>
      <c r="BD102" s="56"/>
      <c r="BE102" s="56"/>
      <c r="BF102" s="56"/>
    </row>
    <row r="103" spans="1:58" ht="12.95" customHeight="1">
      <c r="A103" s="45"/>
      <c r="B103" s="46"/>
      <c r="C103" s="454"/>
      <c r="D103" s="46"/>
      <c r="E103" s="47"/>
      <c r="F103" s="47"/>
      <c r="G103" s="505"/>
      <c r="H103" s="49"/>
      <c r="I103" s="50"/>
      <c r="J103" s="87"/>
      <c r="K103" s="87"/>
      <c r="L103" s="40"/>
      <c r="M103" s="40"/>
      <c r="N103" s="51"/>
      <c r="O103" s="52"/>
      <c r="P103" s="53"/>
      <c r="Q103" s="52"/>
      <c r="R103" s="506"/>
      <c r="S103" s="506"/>
      <c r="T103" s="42"/>
      <c r="U103" s="42"/>
      <c r="V103" s="42"/>
      <c r="W103" s="42"/>
      <c r="X103" s="43"/>
      <c r="Y103" s="216"/>
      <c r="Z103" s="42"/>
      <c r="AA103" s="42"/>
      <c r="AB103" s="42"/>
      <c r="AC103" s="42"/>
      <c r="AD103" s="42"/>
      <c r="AE103" s="234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8"/>
      <c r="BC103" s="509"/>
      <c r="BD103" s="56"/>
      <c r="BE103" s="56"/>
      <c r="BF103" s="56"/>
    </row>
    <row r="104" spans="1:58" ht="12.95" customHeight="1">
      <c r="A104" s="45">
        <v>45950</v>
      </c>
      <c r="B104" s="46" t="s">
        <v>462</v>
      </c>
      <c r="C104" s="454">
        <f>(M104*E104*O104*Q104)/100000000</f>
        <v>52.41633264</v>
      </c>
      <c r="D104" s="46" t="s">
        <v>384</v>
      </c>
      <c r="E104" s="47">
        <v>15.5</v>
      </c>
      <c r="F104" s="47">
        <v>1</v>
      </c>
      <c r="G104" s="505">
        <v>830</v>
      </c>
      <c r="H104" s="49">
        <v>0.14000000000000001</v>
      </c>
      <c r="I104" s="50">
        <v>0.88</v>
      </c>
      <c r="J104" s="87">
        <f>E104*G104*(1-H104)*1440/1000000*3.4</f>
        <v>54.168854400000001</v>
      </c>
      <c r="K104" s="87">
        <f>(IF(G104&lt;L104,L104,G104)*(1-IF(H104&lt;N104,H104,N104))*E104*O104*Q104)/100000000</f>
        <v>52.41633264</v>
      </c>
      <c r="L104" s="40">
        <v>830</v>
      </c>
      <c r="M104" s="40">
        <f>+L104-L104*0.14</f>
        <v>713.8</v>
      </c>
      <c r="N104" s="51">
        <f>1-(M104/L104)</f>
        <v>0.14000000000000001</v>
      </c>
      <c r="O104" s="52">
        <f>+'Trim Rwd'!H66</f>
        <v>329</v>
      </c>
      <c r="P104" s="53">
        <f>O104*(Q104-R104-S104)</f>
        <v>460600</v>
      </c>
      <c r="Q104" s="52">
        <v>1440</v>
      </c>
      <c r="R104" s="506">
        <v>0</v>
      </c>
      <c r="S104" s="506">
        <v>40</v>
      </c>
      <c r="T104" s="42">
        <f>E104*M104*O104*Q104/100000000</f>
        <v>52.41633264</v>
      </c>
      <c r="U104" s="42">
        <f>E104*M104*O104*(Q104-R104-S104)/100000000</f>
        <v>50.9603234</v>
      </c>
      <c r="V104" s="42">
        <f>E104*G104*(1-N104)*O104/100*(R104+S104)/1000000</f>
        <v>1.45600924</v>
      </c>
      <c r="W104" s="42">
        <f>+'20'!K34/1000</f>
        <v>49.627000000000002</v>
      </c>
      <c r="X104" s="507">
        <f>SUM(W104:W107)/SUM(K104:K107)</f>
        <v>0.94678504772248417</v>
      </c>
      <c r="Y104" s="216">
        <v>0</v>
      </c>
      <c r="Z104" s="42">
        <f>+'20'!D34/1000</f>
        <v>0.25</v>
      </c>
      <c r="AA104" s="54">
        <f>SUM(U104:U107)-SUM(W104:W107)-SUM(Z104:Z107)-SUM(Y104:Y107)</f>
        <v>1.0833233999999976</v>
      </c>
      <c r="AB104" s="54">
        <f>(SUM(K104:K107)-SUM(W104:W107)-SUM(Y104:Y107)-SUM(Z104:Z107)-SUM(AC104:AC107)-SUM(V104:V107))-AA104</f>
        <v>0</v>
      </c>
      <c r="AC104" s="42">
        <f>K104-T104</f>
        <v>0</v>
      </c>
      <c r="AD104" s="42">
        <f>+AM104+BA104</f>
        <v>2</v>
      </c>
      <c r="AE104" s="234" t="s">
        <v>452</v>
      </c>
      <c r="AF104" s="42">
        <v>2</v>
      </c>
      <c r="AG104" s="42"/>
      <c r="AH104" s="42"/>
      <c r="AI104" s="508"/>
      <c r="AJ104" s="42"/>
      <c r="AK104" s="42"/>
      <c r="AL104" s="42"/>
      <c r="AM104" s="42">
        <f>SUM(AF104:AL104)+AT104+AV104+AX104</f>
        <v>2</v>
      </c>
      <c r="AN104" s="42"/>
      <c r="AO104" s="42"/>
      <c r="AP104" s="42"/>
      <c r="AQ104" s="42"/>
      <c r="AR104" s="42">
        <f>SUM(AN104:AQ104)</f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38">
        <v>2</v>
      </c>
      <c r="BC104" s="56"/>
      <c r="BD104" s="56"/>
      <c r="BE104" s="38"/>
      <c r="BF104" s="56"/>
    </row>
    <row r="105" spans="1:58" ht="12.95" customHeight="1">
      <c r="A105" s="45"/>
      <c r="B105" s="46"/>
      <c r="C105" s="454"/>
      <c r="D105" s="46"/>
      <c r="E105" s="47"/>
      <c r="F105" s="47"/>
      <c r="G105" s="505"/>
      <c r="H105" s="49"/>
      <c r="I105" s="50"/>
      <c r="J105" s="87"/>
      <c r="K105" s="87"/>
      <c r="L105" s="40"/>
      <c r="M105" s="40"/>
      <c r="N105" s="51"/>
      <c r="O105" s="52"/>
      <c r="P105" s="53"/>
      <c r="Q105" s="52"/>
      <c r="R105" s="506"/>
      <c r="S105" s="506"/>
      <c r="T105" s="42"/>
      <c r="U105" s="42"/>
      <c r="V105" s="42"/>
      <c r="W105" s="42"/>
      <c r="X105" s="43"/>
      <c r="Y105" s="216"/>
      <c r="Z105" s="42"/>
      <c r="AA105" s="42"/>
      <c r="AB105" s="42"/>
      <c r="AC105" s="42"/>
      <c r="AD105" s="42">
        <f>+AM105+BA105</f>
        <v>21</v>
      </c>
      <c r="AE105" s="234" t="s">
        <v>675</v>
      </c>
      <c r="AF105" s="42"/>
      <c r="AG105" s="42">
        <v>21</v>
      </c>
      <c r="AH105" s="42"/>
      <c r="AI105" s="508"/>
      <c r="AJ105" s="42"/>
      <c r="AK105" s="42"/>
      <c r="AL105" s="42"/>
      <c r="AM105" s="42">
        <f>SUM(AF105:AL105)+AT105+AV105+AX105</f>
        <v>21</v>
      </c>
      <c r="AN105" s="88"/>
      <c r="AO105" s="42"/>
      <c r="AP105" s="42"/>
      <c r="AQ105" s="42"/>
      <c r="AR105" s="42">
        <f>SUM(AN105:AQ105)</f>
        <v>0</v>
      </c>
      <c r="AS105" s="42"/>
      <c r="AT105" s="42"/>
      <c r="AU105" s="42"/>
      <c r="AV105" s="42"/>
      <c r="AW105" s="42"/>
      <c r="AX105" s="42"/>
      <c r="AY105" s="42"/>
      <c r="AZ105" s="42"/>
      <c r="BA105" s="42">
        <f>+AR105+AS105+AU105+AW105+AY105+AZ105</f>
        <v>0</v>
      </c>
      <c r="BB105" s="55"/>
      <c r="BC105" s="56">
        <v>12</v>
      </c>
      <c r="BD105" s="56"/>
      <c r="BE105" s="55"/>
      <c r="BF105" s="56"/>
    </row>
    <row r="106" spans="1:58" ht="12.95" customHeight="1">
      <c r="A106" s="45"/>
      <c r="B106" s="46"/>
      <c r="C106" s="454"/>
      <c r="D106" s="46"/>
      <c r="E106" s="47"/>
      <c r="F106" s="47"/>
      <c r="G106" s="505"/>
      <c r="H106" s="49"/>
      <c r="I106" s="50"/>
      <c r="J106" s="87"/>
      <c r="K106" s="87"/>
      <c r="L106" s="40"/>
      <c r="M106" s="40"/>
      <c r="N106" s="51"/>
      <c r="O106" s="52"/>
      <c r="P106" s="53"/>
      <c r="Q106" s="52"/>
      <c r="R106" s="506"/>
      <c r="S106" s="506"/>
      <c r="T106" s="42"/>
      <c r="U106" s="42"/>
      <c r="V106" s="42"/>
      <c r="W106" s="42"/>
      <c r="X106" s="43"/>
      <c r="Y106" s="216"/>
      <c r="Z106" s="42"/>
      <c r="AA106" s="42"/>
      <c r="AB106" s="42"/>
      <c r="AC106" s="42"/>
      <c r="AD106" s="42">
        <f>+AM106+BA106</f>
        <v>17</v>
      </c>
      <c r="AE106" s="234" t="s">
        <v>226</v>
      </c>
      <c r="AF106" s="38"/>
      <c r="AG106" s="38"/>
      <c r="AH106" s="42">
        <v>17</v>
      </c>
      <c r="AI106" s="508"/>
      <c r="AJ106" s="42"/>
      <c r="AK106" s="42"/>
      <c r="AL106" s="42"/>
      <c r="AM106" s="42">
        <f>SUM(AF106:AL106)+AT106+AV106+AX106</f>
        <v>17</v>
      </c>
      <c r="AN106" s="42"/>
      <c r="AO106" s="42"/>
      <c r="AP106" s="42"/>
      <c r="AQ106" s="42"/>
      <c r="AR106" s="42">
        <f>SUM(AN106:AQ106)</f>
        <v>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0</v>
      </c>
      <c r="BB106" s="38"/>
      <c r="BC106" s="509"/>
      <c r="BD106" s="56"/>
      <c r="BE106" s="56"/>
      <c r="BF106" s="56"/>
    </row>
    <row r="107" spans="1:58" ht="12.75" customHeight="1">
      <c r="A107" s="45"/>
      <c r="B107" s="46"/>
      <c r="C107" s="454"/>
      <c r="D107" s="46"/>
      <c r="E107" s="47"/>
      <c r="F107" s="47"/>
      <c r="G107" s="505"/>
      <c r="H107" s="49"/>
      <c r="I107" s="50"/>
      <c r="J107" s="87"/>
      <c r="K107" s="87"/>
      <c r="L107" s="40"/>
      <c r="M107" s="40"/>
      <c r="N107" s="51"/>
      <c r="O107" s="52"/>
      <c r="P107" s="53"/>
      <c r="Q107" s="52"/>
      <c r="R107" s="506"/>
      <c r="S107" s="506"/>
      <c r="T107" s="42"/>
      <c r="U107" s="42"/>
      <c r="V107" s="42"/>
      <c r="W107" s="42"/>
      <c r="X107" s="43"/>
      <c r="Y107" s="216"/>
      <c r="Z107" s="42"/>
      <c r="AA107" s="42"/>
      <c r="AB107" s="42"/>
      <c r="AC107" s="42"/>
      <c r="AD107" s="42"/>
      <c r="AE107" s="234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8"/>
      <c r="BC107" s="509"/>
      <c r="BD107" s="56"/>
      <c r="BE107" s="56"/>
      <c r="BF107" s="56"/>
    </row>
    <row r="108" spans="1:58" ht="12.95" customHeight="1">
      <c r="A108" s="45">
        <v>45951</v>
      </c>
      <c r="B108" s="46" t="s">
        <v>462</v>
      </c>
      <c r="C108" s="454">
        <f>(M108*E108*O108*Q108)/100000000</f>
        <v>9.6460612149999996</v>
      </c>
      <c r="D108" s="46" t="s">
        <v>384</v>
      </c>
      <c r="E108" s="47">
        <v>15.5</v>
      </c>
      <c r="F108" s="47">
        <v>1</v>
      </c>
      <c r="G108" s="505">
        <v>830</v>
      </c>
      <c r="H108" s="49">
        <v>0.14000000000000001</v>
      </c>
      <c r="I108" s="50">
        <v>0.88</v>
      </c>
      <c r="J108" s="87">
        <f>E108*G108*(1-H108)*1440/1000000*3.4</f>
        <v>54.168854400000001</v>
      </c>
      <c r="K108" s="87">
        <f>(IF(G108&lt;L108,L108,G108)*(1-IF(H108&lt;N108,H108,N108))*E108*O108*Q108)/100000000</f>
        <v>9.6460612149999996</v>
      </c>
      <c r="L108" s="40">
        <v>830</v>
      </c>
      <c r="M108" s="40">
        <f>+L108-L108*0.14</f>
        <v>713.8</v>
      </c>
      <c r="N108" s="51">
        <f>1-(M108/L108)</f>
        <v>0.14000000000000001</v>
      </c>
      <c r="O108" s="52">
        <f>+'Trim Rwd'!H68</f>
        <v>329</v>
      </c>
      <c r="P108" s="53">
        <f>O108*(Q108-R108-S108)</f>
        <v>84882</v>
      </c>
      <c r="Q108" s="52">
        <f>240+25</f>
        <v>265</v>
      </c>
      <c r="R108" s="506">
        <v>0</v>
      </c>
      <c r="S108" s="506">
        <v>7</v>
      </c>
      <c r="T108" s="42">
        <f>E108*M108*O108*Q108/100000000</f>
        <v>9.6460612149999996</v>
      </c>
      <c r="U108" s="42">
        <f>E108*M108*O108*(Q108-R108-S108)/100000000</f>
        <v>9.3912595980000013</v>
      </c>
      <c r="V108" s="42">
        <f>E108*G108*(1-N108)*O108/100*(R108+S108)/1000000</f>
        <v>0.25480161699999998</v>
      </c>
      <c r="W108" s="42">
        <f>+'21'!K21/1000</f>
        <v>11.215</v>
      </c>
      <c r="X108" s="507">
        <f>SUM(W108:W111)/SUM(K108:K111)</f>
        <v>0.89679113892552742</v>
      </c>
      <c r="Y108" s="216">
        <v>0</v>
      </c>
      <c r="Z108" s="42">
        <v>0</v>
      </c>
      <c r="AA108" s="54">
        <f>SUM(U108:U111)-SUM(W108:W111)-SUM(Z108:Z111)-SUM(Y108:Y111)</f>
        <v>3.1732002700000042</v>
      </c>
      <c r="AB108" s="54">
        <f>(SUM(K108:K111)-SUM(W108:W111)-SUM(Y108:Y111)-SUM(Z108:Z111)-SUM(AC108:AC111)-SUM(V108:V111))-AA108</f>
        <v>-4.4408920985006262E-15</v>
      </c>
      <c r="AC108" s="42">
        <f>K108-T108</f>
        <v>0</v>
      </c>
      <c r="AD108" s="42">
        <f>+AM108+BA108</f>
        <v>7</v>
      </c>
      <c r="AE108" s="234" t="s">
        <v>651</v>
      </c>
      <c r="AF108" s="42">
        <v>7</v>
      </c>
      <c r="AG108" s="42"/>
      <c r="AH108" s="42"/>
      <c r="AI108" s="508"/>
      <c r="AJ108" s="42"/>
      <c r="AK108" s="42"/>
      <c r="AL108" s="42"/>
      <c r="AM108" s="42">
        <f>SUM(AF108:AL108)+AT108+AV108+AX108</f>
        <v>7</v>
      </c>
      <c r="AN108" s="42"/>
      <c r="AO108" s="42"/>
      <c r="AP108" s="42"/>
      <c r="AQ108" s="42"/>
      <c r="AR108" s="42">
        <f>SUM(AN108:AQ108)</f>
        <v>0</v>
      </c>
      <c r="AS108" s="42"/>
      <c r="AT108" s="42"/>
      <c r="AU108" s="42"/>
      <c r="AV108" s="42"/>
      <c r="AW108" s="42"/>
      <c r="AX108" s="42"/>
      <c r="AY108" s="42"/>
      <c r="AZ108" s="42"/>
      <c r="BA108" s="42">
        <f>+AR108+AS108+AU108+AW108+AY108+AZ108</f>
        <v>0</v>
      </c>
      <c r="BB108" s="38">
        <v>3</v>
      </c>
      <c r="BC108" s="56"/>
      <c r="BD108" s="56"/>
      <c r="BE108" s="38"/>
      <c r="BF108" s="56"/>
    </row>
    <row r="109" spans="1:58" ht="12.95" customHeight="1">
      <c r="A109" s="45"/>
      <c r="B109" s="46" t="s">
        <v>462</v>
      </c>
      <c r="C109" s="454">
        <f>(M109*E109*O109*Q109)/100000000</f>
        <v>41.478489719999992</v>
      </c>
      <c r="D109" s="46" t="s">
        <v>384</v>
      </c>
      <c r="E109" s="47">
        <v>17</v>
      </c>
      <c r="F109" s="47">
        <v>1</v>
      </c>
      <c r="G109" s="505">
        <v>830</v>
      </c>
      <c r="H109" s="49">
        <v>0.14000000000000001</v>
      </c>
      <c r="I109" s="50">
        <v>0.88</v>
      </c>
      <c r="J109" s="87">
        <f>E109*G109*(1-H109)*1440/1000000*3.4</f>
        <v>59.411001599999999</v>
      </c>
      <c r="K109" s="87">
        <f>(IF(G109&lt;L109,L109,G109)*(1-IF(H109&lt;N109,H109,N109))*E109*O109*Q109)/100000000</f>
        <v>41.478489719999992</v>
      </c>
      <c r="L109" s="40">
        <v>830</v>
      </c>
      <c r="M109" s="40">
        <f>+L109-L109*0.14</f>
        <v>713.8</v>
      </c>
      <c r="N109" s="51">
        <f>1-(M109/L109)</f>
        <v>0.14000000000000001</v>
      </c>
      <c r="O109" s="52">
        <f>+'Trim Rwd'!H69</f>
        <v>324</v>
      </c>
      <c r="P109" s="53">
        <f>O109*(Q109-R109-S109)</f>
        <v>326592</v>
      </c>
      <c r="Q109" s="52">
        <f>480-Q108+480+360</f>
        <v>1055</v>
      </c>
      <c r="R109" s="506">
        <v>0</v>
      </c>
      <c r="S109" s="506">
        <v>47</v>
      </c>
      <c r="T109" s="42">
        <f>E109*M109*O109*Q109/100000000</f>
        <v>41.478489719999992</v>
      </c>
      <c r="U109" s="42">
        <f>E109*M109*O109*(Q109-R109-S109)/100000000</f>
        <v>39.630632831999996</v>
      </c>
      <c r="V109" s="42">
        <f>E109*G109*(1-N109)*O109/100*(R109+S109)/1000000</f>
        <v>1.8478568880000001</v>
      </c>
      <c r="W109" s="42">
        <f>+'21'!K19/1000</f>
        <v>33.845999999999997</v>
      </c>
      <c r="X109" s="43"/>
      <c r="Y109" s="216"/>
      <c r="Z109" s="42">
        <v>0</v>
      </c>
      <c r="AA109" s="42"/>
      <c r="AB109" s="42"/>
      <c r="AC109" s="42">
        <f>K109-T109</f>
        <v>0</v>
      </c>
      <c r="AD109" s="42">
        <f>+AM109+BA109</f>
        <v>27</v>
      </c>
      <c r="AE109" s="234" t="s">
        <v>653</v>
      </c>
      <c r="AF109" s="42"/>
      <c r="AG109" s="42">
        <v>27</v>
      </c>
      <c r="AH109" s="42"/>
      <c r="AI109" s="508"/>
      <c r="AJ109" s="42"/>
      <c r="AK109" s="42"/>
      <c r="AL109" s="42"/>
      <c r="AM109" s="42">
        <f>SUM(AF109:AL109)+AT109+AV109+AX109</f>
        <v>27</v>
      </c>
      <c r="AN109" s="88"/>
      <c r="AO109" s="42"/>
      <c r="AP109" s="42"/>
      <c r="AQ109" s="42"/>
      <c r="AR109" s="42">
        <f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55"/>
      <c r="BC109" s="56">
        <v>10</v>
      </c>
      <c r="BD109" s="56"/>
      <c r="BE109" s="55"/>
      <c r="BF109" s="56"/>
    </row>
    <row r="110" spans="1:58" ht="12.95" customHeight="1">
      <c r="A110" s="45"/>
      <c r="B110" s="46" t="s">
        <v>462</v>
      </c>
      <c r="C110" s="454">
        <f>(M110*E110*O110*Q110)/100000000</f>
        <v>4.3855871999999998</v>
      </c>
      <c r="D110" s="46" t="s">
        <v>384</v>
      </c>
      <c r="E110" s="47">
        <v>16</v>
      </c>
      <c r="F110" s="47">
        <v>1</v>
      </c>
      <c r="G110" s="505">
        <v>830</v>
      </c>
      <c r="H110" s="49">
        <v>0.14000000000000001</v>
      </c>
      <c r="I110" s="50">
        <v>0.88</v>
      </c>
      <c r="J110" s="87">
        <f>E110*G110*(1-H110)*1440/1000000*3.4</f>
        <v>55.916236799999993</v>
      </c>
      <c r="K110" s="87">
        <f>(IF(G110&lt;L110,L110,G110)*(1-IF(H110&lt;N110,H110,N110))*E110*O110*Q110)/100000000</f>
        <v>4.3855871999999998</v>
      </c>
      <c r="L110" s="40">
        <v>830</v>
      </c>
      <c r="M110" s="40">
        <f>+L110-L110*0.14</f>
        <v>713.8</v>
      </c>
      <c r="N110" s="51">
        <f>1-(M110/L110)</f>
        <v>0.14000000000000001</v>
      </c>
      <c r="O110" s="52">
        <f>+'Trim Rwd'!H70</f>
        <v>320</v>
      </c>
      <c r="P110" s="53">
        <f>O110*(Q110-R110-S110)</f>
        <v>36480</v>
      </c>
      <c r="Q110" s="52">
        <v>120</v>
      </c>
      <c r="R110" s="506">
        <v>0</v>
      </c>
      <c r="S110" s="506">
        <v>6</v>
      </c>
      <c r="T110" s="42">
        <f>E110*M110*O110*Q110/100000000</f>
        <v>4.3855871999999998</v>
      </c>
      <c r="U110" s="42">
        <f>E110*M110*O110*(Q110-R110-S110)/100000000</f>
        <v>4.16630784</v>
      </c>
      <c r="V110" s="42">
        <f>E110*G110*(1-N110)*O110/100*(R110+S110)/1000000</f>
        <v>0.21927935999999998</v>
      </c>
      <c r="W110" s="42">
        <f>+'21'!K20/1000</f>
        <v>4.72</v>
      </c>
      <c r="X110" s="43"/>
      <c r="Y110" s="216"/>
      <c r="Z110" s="42">
        <f>+'21'!D34/1000</f>
        <v>0.23400000000000001</v>
      </c>
      <c r="AA110" s="42"/>
      <c r="AB110" s="42"/>
      <c r="AC110" s="42">
        <f>K110-T110</f>
        <v>0</v>
      </c>
      <c r="AD110" s="42">
        <f>+AM110+BA110</f>
        <v>16</v>
      </c>
      <c r="AE110" s="234" t="s">
        <v>226</v>
      </c>
      <c r="AF110" s="38"/>
      <c r="AG110" s="38"/>
      <c r="AH110" s="42">
        <v>16</v>
      </c>
      <c r="AI110" s="508"/>
      <c r="AJ110" s="42"/>
      <c r="AK110" s="42"/>
      <c r="AL110" s="42"/>
      <c r="AM110" s="42">
        <f>SUM(AF110:AL110)+AT110+AV110+AX110</f>
        <v>16</v>
      </c>
      <c r="AN110" s="42"/>
      <c r="AO110" s="42"/>
      <c r="AP110" s="42"/>
      <c r="AQ110" s="42"/>
      <c r="AR110" s="42">
        <f>SUM(AN110:AQ110)</f>
        <v>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0</v>
      </c>
      <c r="BB110" s="38"/>
      <c r="BC110" s="509"/>
      <c r="BD110" s="56"/>
      <c r="BE110" s="56"/>
      <c r="BF110" s="56"/>
    </row>
    <row r="111" spans="1:58" ht="12.95" customHeight="1">
      <c r="A111" s="45"/>
      <c r="B111" s="46"/>
      <c r="C111" s="454"/>
      <c r="D111" s="46"/>
      <c r="E111" s="47"/>
      <c r="F111" s="47"/>
      <c r="G111" s="505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06"/>
      <c r="S111" s="506"/>
      <c r="T111" s="42"/>
      <c r="U111" s="42"/>
      <c r="V111" s="42"/>
      <c r="W111" s="42"/>
      <c r="X111" s="43"/>
      <c r="Y111" s="216"/>
      <c r="Z111" s="42"/>
      <c r="AA111" s="42"/>
      <c r="AB111" s="42"/>
      <c r="AC111" s="42"/>
      <c r="AD111" s="42">
        <f>+AM111+BA111</f>
        <v>10</v>
      </c>
      <c r="AE111" s="587" t="s">
        <v>463</v>
      </c>
      <c r="AF111" s="38"/>
      <c r="AG111" s="38"/>
      <c r="AH111" s="38"/>
      <c r="AI111" s="34">
        <v>10</v>
      </c>
      <c r="AJ111" s="42"/>
      <c r="AK111" s="42"/>
      <c r="AL111" s="42"/>
      <c r="AM111" s="42">
        <f>SUM(AF111:AL111)+AT111+AV111+AX111</f>
        <v>10</v>
      </c>
      <c r="AN111" s="42"/>
      <c r="AO111" s="42"/>
      <c r="AP111" s="42"/>
      <c r="AQ111" s="42"/>
      <c r="AR111" s="42">
        <f>SUM(AN111:AQ111)</f>
        <v>0</v>
      </c>
      <c r="AS111" s="42"/>
      <c r="AT111" s="42"/>
      <c r="AU111" s="42"/>
      <c r="AV111" s="42"/>
      <c r="AW111" s="42"/>
      <c r="AX111" s="42"/>
      <c r="AY111" s="42"/>
      <c r="AZ111" s="42"/>
      <c r="BA111" s="42">
        <f>+AR111+AS111+AU111+AW111+AY111+AZ111</f>
        <v>0</v>
      </c>
      <c r="BB111" s="38"/>
      <c r="BC111" s="509"/>
      <c r="BD111" s="56"/>
      <c r="BE111" s="56"/>
      <c r="BF111" s="56"/>
    </row>
    <row r="112" spans="1:58" ht="12.95" customHeight="1">
      <c r="A112" s="45"/>
      <c r="B112" s="46"/>
      <c r="C112" s="454"/>
      <c r="D112" s="46"/>
      <c r="E112" s="47"/>
      <c r="F112" s="47"/>
      <c r="G112" s="505"/>
      <c r="H112" s="49"/>
      <c r="I112" s="50"/>
      <c r="J112" s="87"/>
      <c r="K112" s="87"/>
      <c r="L112" s="40"/>
      <c r="M112" s="40"/>
      <c r="N112" s="51"/>
      <c r="O112" s="52"/>
      <c r="P112" s="53"/>
      <c r="Q112" s="52"/>
      <c r="R112" s="506"/>
      <c r="S112" s="506"/>
      <c r="T112" s="42"/>
      <c r="U112" s="42"/>
      <c r="V112" s="42"/>
      <c r="W112" s="42"/>
      <c r="X112" s="43"/>
      <c r="Y112" s="216"/>
      <c r="Z112" s="42"/>
      <c r="AA112" s="42"/>
      <c r="AB112" s="42"/>
      <c r="AC112" s="42"/>
      <c r="AD112" s="42"/>
      <c r="AE112" s="234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8"/>
      <c r="BC112" s="56"/>
      <c r="BD112" s="56"/>
      <c r="BE112" s="56"/>
      <c r="BF112" s="56"/>
    </row>
    <row r="113" spans="1:58" ht="12.95" customHeight="1">
      <c r="A113" s="45">
        <v>45952</v>
      </c>
      <c r="B113" s="46" t="s">
        <v>462</v>
      </c>
      <c r="C113" s="454">
        <f>(M113*E113*O113*Q113)/100000000</f>
        <v>15.7150208</v>
      </c>
      <c r="D113" s="46" t="s">
        <v>384</v>
      </c>
      <c r="E113" s="47">
        <v>16</v>
      </c>
      <c r="F113" s="47">
        <v>1</v>
      </c>
      <c r="G113" s="505">
        <v>830</v>
      </c>
      <c r="H113" s="49">
        <v>0.14000000000000001</v>
      </c>
      <c r="I113" s="50">
        <v>0.88</v>
      </c>
      <c r="J113" s="87">
        <f>E113*G113*(1-H113)*1440/1000000*3.4</f>
        <v>55.916236799999993</v>
      </c>
      <c r="K113" s="87">
        <f>(IF(G113&lt;L113,L113,G113)*(1-IF(H113&lt;N113,H113,N113))*E113*O113*Q113)/100000000</f>
        <v>15.7150208</v>
      </c>
      <c r="L113" s="40">
        <v>830</v>
      </c>
      <c r="M113" s="40">
        <f>+L113-L113*0.14</f>
        <v>713.8</v>
      </c>
      <c r="N113" s="51">
        <f>1-(M113/L113)</f>
        <v>0.14000000000000001</v>
      </c>
      <c r="O113" s="52">
        <f>+'Trim Rwd'!H72</f>
        <v>320</v>
      </c>
      <c r="P113" s="53">
        <f>O113*(Q113-R113-S113)</f>
        <v>134080</v>
      </c>
      <c r="Q113" s="52">
        <v>430</v>
      </c>
      <c r="R113" s="506">
        <v>0</v>
      </c>
      <c r="S113" s="506">
        <v>11</v>
      </c>
      <c r="T113" s="42">
        <f>E113*M113*O113*Q113/100000000</f>
        <v>15.7150208</v>
      </c>
      <c r="U113" s="42">
        <f>E113*M113*O113*(Q113-R113-S113)/100000000</f>
        <v>15.31300864</v>
      </c>
      <c r="V113" s="42">
        <f>E113*G113*(1-N113)*O113/100*(R113+S113)/1000000</f>
        <v>0.40201215999999995</v>
      </c>
      <c r="W113" s="42">
        <f>+'22'!K20/1000</f>
        <v>17.297000000000001</v>
      </c>
      <c r="X113" s="507">
        <f>SUM(W113:W116)/SUM(K113:K116)</f>
        <v>0.81392113754927486</v>
      </c>
      <c r="Y113" s="216">
        <v>0</v>
      </c>
      <c r="Z113" s="42">
        <v>0</v>
      </c>
      <c r="AA113" s="54">
        <f>SUM(U113:U116)-SUM(W113:W116)-SUM(Z113:Z116)-SUM(Y113:Y116)</f>
        <v>9.1231137039999979</v>
      </c>
      <c r="AB113" s="54">
        <f>(SUM(K113:K116)-SUM(W113:W116)-SUM(Y113:Y116)-SUM(Z113:Z116)-SUM(AC113:AC116)-SUM(V113:V116))-AA113</f>
        <v>0</v>
      </c>
      <c r="AC113" s="42">
        <f>K113-T113</f>
        <v>0</v>
      </c>
      <c r="AD113" s="42">
        <f>+AM113+BA113</f>
        <v>0</v>
      </c>
      <c r="AE113" s="234" t="s">
        <v>394</v>
      </c>
      <c r="AF113" s="42">
        <v>0</v>
      </c>
      <c r="AG113" s="42"/>
      <c r="AH113" s="42"/>
      <c r="AI113" s="508"/>
      <c r="AJ113" s="42"/>
      <c r="AK113" s="42"/>
      <c r="AL113" s="42"/>
      <c r="AM113" s="42">
        <f>SUM(AF113:AL113)+AT113+AV113+AX113</f>
        <v>0</v>
      </c>
      <c r="AN113" s="42"/>
      <c r="AO113" s="42"/>
      <c r="AP113" s="42"/>
      <c r="AQ113" s="42"/>
      <c r="AR113" s="42">
        <f>SUM(AN113:AQ113)</f>
        <v>0</v>
      </c>
      <c r="AS113" s="42"/>
      <c r="AT113" s="42"/>
      <c r="AU113" s="42"/>
      <c r="AV113" s="42"/>
      <c r="AW113" s="42"/>
      <c r="AX113" s="42"/>
      <c r="AY113" s="42"/>
      <c r="AZ113" s="42"/>
      <c r="BA113" s="42">
        <f>+AR113+AS113+AU113+AW113+AY113+AZ113</f>
        <v>0</v>
      </c>
      <c r="BB113" s="38">
        <v>0</v>
      </c>
      <c r="BC113" s="56"/>
      <c r="BD113" s="56"/>
      <c r="BE113" s="38"/>
      <c r="BF113" s="56"/>
    </row>
    <row r="114" spans="1:58" ht="12.95" customHeight="1">
      <c r="A114" s="45"/>
      <c r="B114" s="46" t="s">
        <v>8</v>
      </c>
      <c r="C114" s="454">
        <f>(M114*E114*O114*Q114)/100000000</f>
        <v>15.9314848</v>
      </c>
      <c r="D114" s="46" t="s">
        <v>384</v>
      </c>
      <c r="E114" s="47">
        <v>19</v>
      </c>
      <c r="F114" s="47">
        <v>1</v>
      </c>
      <c r="G114" s="505">
        <v>830</v>
      </c>
      <c r="H114" s="49">
        <v>0.12</v>
      </c>
      <c r="I114" s="50">
        <v>0.88</v>
      </c>
      <c r="J114" s="87">
        <f>E114*G114*(1-H114)*1440/1000000*3.4</f>
        <v>67.944729600000002</v>
      </c>
      <c r="K114" s="87">
        <f>(IF(G114&lt;L114,L114,G114)*(1-IF(H114&lt;N114,H114,N114))*E114*O114*Q114)/100000000</f>
        <v>15.9314848</v>
      </c>
      <c r="L114" s="40">
        <v>830</v>
      </c>
      <c r="M114" s="40">
        <f>+L114-L114*0.12</f>
        <v>730.4</v>
      </c>
      <c r="N114" s="51">
        <f>1-(M114/L114)</f>
        <v>0.12</v>
      </c>
      <c r="O114" s="52">
        <f>+'Trim Rwd'!H73</f>
        <v>328</v>
      </c>
      <c r="P114" s="53">
        <f>O114*(Q114-R114-S114)</f>
        <v>110208</v>
      </c>
      <c r="Q114" s="52">
        <v>350</v>
      </c>
      <c r="R114" s="506">
        <v>0</v>
      </c>
      <c r="S114" s="506">
        <v>14</v>
      </c>
      <c r="T114" s="42">
        <f>E114*M114*O114*Q114/100000000</f>
        <v>15.9314848</v>
      </c>
      <c r="U114" s="42">
        <f>E114*M114*O114*(Q114-R114-S114)/100000000</f>
        <v>15.294225407999999</v>
      </c>
      <c r="V114" s="42">
        <f>E114*G114*(1-N114)*O114/100*(R114+S114)/1000000</f>
        <v>0.63725939200000004</v>
      </c>
      <c r="W114" s="42">
        <f>+'22'!K22/1000</f>
        <v>13.803000000000001</v>
      </c>
      <c r="X114" s="43"/>
      <c r="Y114" s="216"/>
      <c r="Z114" s="42">
        <f>+'22'!D17/1000</f>
        <v>1.0580000000000001</v>
      </c>
      <c r="AA114" s="42"/>
      <c r="AB114" s="42"/>
      <c r="AC114" s="42">
        <f>K114-T114</f>
        <v>0</v>
      </c>
      <c r="AD114" s="42">
        <f>+AM114+BA114</f>
        <v>11</v>
      </c>
      <c r="AE114" s="234" t="s">
        <v>481</v>
      </c>
      <c r="AF114" s="42"/>
      <c r="AG114" s="42">
        <v>11</v>
      </c>
      <c r="AH114" s="42"/>
      <c r="AI114" s="508"/>
      <c r="AJ114" s="42"/>
      <c r="AK114" s="42"/>
      <c r="AL114" s="42"/>
      <c r="AM114" s="42">
        <f>SUM(AF114:AL114)+AT114+AV114+AX114</f>
        <v>11</v>
      </c>
      <c r="AN114" s="88"/>
      <c r="AO114" s="42"/>
      <c r="AP114" s="42"/>
      <c r="AQ114" s="42"/>
      <c r="AR114" s="42">
        <f>SUM(AN114:AQ114)</f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55"/>
      <c r="BC114" s="56">
        <v>6</v>
      </c>
      <c r="BD114" s="56"/>
      <c r="BE114" s="55"/>
      <c r="BF114" s="56"/>
    </row>
    <row r="115" spans="1:58" ht="12.95" customHeight="1">
      <c r="A115" s="45"/>
      <c r="B115" s="46" t="s">
        <v>8</v>
      </c>
      <c r="C115" s="454">
        <f>(M115*E115*O115*Q115)/100000000</f>
        <v>31.471403040000006</v>
      </c>
      <c r="D115" s="46" t="s">
        <v>384</v>
      </c>
      <c r="E115" s="47">
        <v>30.5</v>
      </c>
      <c r="F115" s="47">
        <v>1</v>
      </c>
      <c r="G115" s="505">
        <v>540</v>
      </c>
      <c r="H115" s="49">
        <v>0.12</v>
      </c>
      <c r="I115" s="50">
        <v>0.88</v>
      </c>
      <c r="J115" s="87">
        <f>E115*G115*(1-H115)*1440/1000000*3.4</f>
        <v>70.960665599999999</v>
      </c>
      <c r="K115" s="87">
        <f>(IF(G115&lt;L115,L115,G115)*(1-IF(H115&lt;N115,H115,N115))*E115*O115*Q115)/100000000</f>
        <v>31.471403040000006</v>
      </c>
      <c r="L115" s="40">
        <v>540</v>
      </c>
      <c r="M115" s="40">
        <f>+L115-L115*0.12</f>
        <v>475.2</v>
      </c>
      <c r="N115" s="51">
        <f>1-(M115/L115)</f>
        <v>0.12</v>
      </c>
      <c r="O115" s="52">
        <f>+'Trim Rwd'!H74</f>
        <v>329</v>
      </c>
      <c r="P115" s="53">
        <f>O115*(Q115-R115-S115)</f>
        <v>213521</v>
      </c>
      <c r="Q115" s="52">
        <v>660</v>
      </c>
      <c r="R115" s="506">
        <v>0</v>
      </c>
      <c r="S115" s="506">
        <v>11</v>
      </c>
      <c r="T115" s="42">
        <f>E115*M115*O115*Q115/100000000</f>
        <v>31.471403040000006</v>
      </c>
      <c r="U115" s="42">
        <f>E115*M115*O115*(Q115-R115-S115)/100000000</f>
        <v>30.946879656000004</v>
      </c>
      <c r="V115" s="42">
        <f>E115*G115*(1-N115)*O115/100*(R115+S115)/1000000</f>
        <v>0.52452338400000009</v>
      </c>
      <c r="W115" s="42">
        <f>+'22'!K23/1000</f>
        <v>20.273</v>
      </c>
      <c r="X115" s="43"/>
      <c r="Y115" s="216"/>
      <c r="Z115" s="42"/>
      <c r="AA115" s="42"/>
      <c r="AB115" s="42"/>
      <c r="AC115" s="42">
        <f>K115-T115</f>
        <v>0</v>
      </c>
      <c r="AD115" s="42">
        <f>+AM115+BA115</f>
        <v>14</v>
      </c>
      <c r="AE115" s="234" t="s">
        <v>226</v>
      </c>
      <c r="AF115" s="38"/>
      <c r="AG115" s="38"/>
      <c r="AH115" s="42">
        <v>14</v>
      </c>
      <c r="AI115" s="508"/>
      <c r="AJ115" s="42"/>
      <c r="AK115" s="42"/>
      <c r="AL115" s="42"/>
      <c r="AM115" s="42">
        <f>SUM(AF115:AL115)+AT115+AV115+AX115</f>
        <v>14</v>
      </c>
      <c r="AN115" s="42"/>
      <c r="AO115" s="42"/>
      <c r="AP115" s="42"/>
      <c r="AQ115" s="42"/>
      <c r="AR115" s="42">
        <f>SUM(AN115:AQ115)</f>
        <v>0</v>
      </c>
      <c r="AS115" s="42"/>
      <c r="AT115" s="42"/>
      <c r="AU115" s="42"/>
      <c r="AV115" s="42"/>
      <c r="AW115" s="42"/>
      <c r="AX115" s="42"/>
      <c r="AY115" s="42"/>
      <c r="AZ115" s="42"/>
      <c r="BA115" s="42">
        <f>+AR115+AS115+AU115+AW115+AY115+AZ115</f>
        <v>0</v>
      </c>
      <c r="BB115" s="38"/>
      <c r="BC115" s="509"/>
      <c r="BD115" s="56"/>
      <c r="BE115" s="56"/>
      <c r="BF115" s="56"/>
    </row>
    <row r="116" spans="1:58" ht="12.95" customHeight="1">
      <c r="A116" s="45"/>
      <c r="B116" s="46"/>
      <c r="C116" s="454"/>
      <c r="D116" s="46"/>
      <c r="E116" s="47"/>
      <c r="F116" s="47"/>
      <c r="G116" s="505"/>
      <c r="H116" s="49"/>
      <c r="I116" s="50"/>
      <c r="J116" s="87"/>
      <c r="K116" s="87"/>
      <c r="L116" s="40"/>
      <c r="M116" s="40"/>
      <c r="N116" s="51"/>
      <c r="O116" s="52"/>
      <c r="P116" s="53"/>
      <c r="Q116" s="52"/>
      <c r="R116" s="506"/>
      <c r="S116" s="506"/>
      <c r="T116" s="42"/>
      <c r="U116" s="42"/>
      <c r="V116" s="42"/>
      <c r="W116" s="42"/>
      <c r="X116" s="43"/>
      <c r="Y116" s="216"/>
      <c r="Z116" s="42"/>
      <c r="AA116" s="42"/>
      <c r="AB116" s="42"/>
      <c r="AC116" s="42"/>
      <c r="AD116" s="42">
        <f>+AM116+BA116</f>
        <v>11</v>
      </c>
      <c r="AE116" s="587" t="s">
        <v>463</v>
      </c>
      <c r="AF116" s="38"/>
      <c r="AG116" s="38"/>
      <c r="AH116" s="38"/>
      <c r="AI116" s="34">
        <v>11</v>
      </c>
      <c r="AJ116" s="42"/>
      <c r="AK116" s="42"/>
      <c r="AL116" s="42"/>
      <c r="AM116" s="42">
        <f>SUM(AF116:AL116)+AT116+AV116+AX116</f>
        <v>11</v>
      </c>
      <c r="AN116" s="42"/>
      <c r="AO116" s="42"/>
      <c r="AP116" s="42"/>
      <c r="AQ116" s="42"/>
      <c r="AR116" s="42">
        <f>SUM(AN116:AQ116)</f>
        <v>0</v>
      </c>
      <c r="AS116" s="42"/>
      <c r="AT116" s="42"/>
      <c r="AU116" s="42"/>
      <c r="AV116" s="42"/>
      <c r="AW116" s="42"/>
      <c r="AX116" s="42"/>
      <c r="AY116" s="42"/>
      <c r="AZ116" s="42"/>
      <c r="BA116" s="42">
        <f>+AR116+AS116+AU116+AW116+AY116+AZ116</f>
        <v>0</v>
      </c>
      <c r="BB116" s="38"/>
      <c r="BC116" s="509"/>
      <c r="BD116" s="56"/>
      <c r="BE116" s="56"/>
      <c r="BF116" s="56"/>
    </row>
    <row r="117" spans="1:58" ht="12.95" customHeight="1">
      <c r="A117" s="45"/>
      <c r="B117" s="46"/>
      <c r="C117" s="454"/>
      <c r="D117" s="46"/>
      <c r="E117" s="47"/>
      <c r="F117" s="47"/>
      <c r="G117" s="48"/>
      <c r="H117" s="49"/>
      <c r="I117" s="50"/>
      <c r="J117" s="87"/>
      <c r="K117" s="87"/>
      <c r="L117" s="40"/>
      <c r="M117" s="40"/>
      <c r="N117" s="51"/>
      <c r="O117" s="52"/>
      <c r="P117" s="53"/>
      <c r="Q117" s="52"/>
      <c r="R117" s="506"/>
      <c r="S117" s="506"/>
      <c r="T117" s="42"/>
      <c r="U117" s="42"/>
      <c r="V117" s="42"/>
      <c r="W117" s="42"/>
      <c r="X117" s="43"/>
      <c r="Y117" s="216"/>
      <c r="Z117" s="42"/>
      <c r="AA117" s="42"/>
      <c r="AB117" s="42"/>
      <c r="AC117" s="42"/>
      <c r="AD117" s="42"/>
      <c r="AE117" s="234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8"/>
      <c r="BC117" s="56"/>
      <c r="BD117" s="56"/>
      <c r="BE117" s="56"/>
      <c r="BF117" s="56"/>
    </row>
    <row r="118" spans="1:58" ht="12.95" customHeight="1">
      <c r="A118" s="45">
        <v>45953</v>
      </c>
      <c r="B118" s="46" t="s">
        <v>8</v>
      </c>
      <c r="C118" s="454">
        <f>(M118*E118*O118*Q118)/100000000</f>
        <v>68.664879360000015</v>
      </c>
      <c r="D118" s="46" t="s">
        <v>384</v>
      </c>
      <c r="E118" s="47">
        <v>30.5</v>
      </c>
      <c r="F118" s="47">
        <v>1</v>
      </c>
      <c r="G118" s="505">
        <v>540</v>
      </c>
      <c r="H118" s="49">
        <v>0.12</v>
      </c>
      <c r="I118" s="50">
        <v>0.88</v>
      </c>
      <c r="J118" s="87">
        <f>E118*G118*(1-H118)*1440/1000000*3.4</f>
        <v>70.960665599999999</v>
      </c>
      <c r="K118" s="87">
        <f>(IF(G118&lt;L118,L118,G118)*(1-IF(H118&lt;N118,H118,N118))*E118*O118*Q118)/100000000</f>
        <v>68.664879360000015</v>
      </c>
      <c r="L118" s="40">
        <v>540</v>
      </c>
      <c r="M118" s="40">
        <v>475.2</v>
      </c>
      <c r="N118" s="51">
        <f>1-(M118/L118)</f>
        <v>0.12</v>
      </c>
      <c r="O118" s="52">
        <f>+'Trim Rwd'!H76</f>
        <v>329</v>
      </c>
      <c r="P118" s="53">
        <f>O118*(Q118-R118-S118)</f>
        <v>469483</v>
      </c>
      <c r="Q118" s="52">
        <v>1440</v>
      </c>
      <c r="R118" s="506">
        <v>0</v>
      </c>
      <c r="S118" s="506">
        <v>13</v>
      </c>
      <c r="T118" s="42">
        <f>E118*M118*O118*Q118/100000000</f>
        <v>68.664879360000015</v>
      </c>
      <c r="U118" s="42">
        <f>E118*M118*O118*(Q118-R118-S118)/100000000</f>
        <v>68.044988087999997</v>
      </c>
      <c r="V118" s="42">
        <f>E118*G118*(1-N118)*O118/100*(R118+S118)/1000000</f>
        <v>0.61989127200000005</v>
      </c>
      <c r="W118" s="42">
        <f>+'23'!K34/1000</f>
        <v>70.382000000000005</v>
      </c>
      <c r="X118" s="507">
        <f>SUM(W118:W121)/SUM(K118:K121)</f>
        <v>1.0250072621696076</v>
      </c>
      <c r="Y118" s="216">
        <v>0</v>
      </c>
      <c r="Z118" s="42">
        <f>+'23'!D34/1000</f>
        <v>1.4</v>
      </c>
      <c r="AA118" s="54">
        <f>SUM(U118:U121)-SUM(W118:W121)-SUM(Z118:Z121)-SUM(Y118:Y121)</f>
        <v>-3.7370119120000083</v>
      </c>
      <c r="AB118" s="54">
        <f>(SUM(K118:K121)-SUM(W118:W121)-SUM(Y118:Y121)-SUM(Z118:Z121)-SUM(AC118:AC121)-SUM(V118:V121))-AA118</f>
        <v>1.8207657603852567E-14</v>
      </c>
      <c r="AC118" s="42">
        <f>K118-T118</f>
        <v>0</v>
      </c>
      <c r="AD118" s="42">
        <f>+AM118+BA118</f>
        <v>0</v>
      </c>
      <c r="AE118" s="234" t="s">
        <v>394</v>
      </c>
      <c r="AF118" s="42">
        <v>0</v>
      </c>
      <c r="AG118" s="42"/>
      <c r="AH118" s="42"/>
      <c r="AI118" s="508"/>
      <c r="AJ118" s="42"/>
      <c r="AK118" s="42"/>
      <c r="AL118" s="42"/>
      <c r="AM118" s="42">
        <f>SUM(AF118:AL118)+AT118+AV118+AX118</f>
        <v>0</v>
      </c>
      <c r="AN118" s="42"/>
      <c r="AO118" s="42"/>
      <c r="AP118" s="42"/>
      <c r="AQ118" s="42"/>
      <c r="AR118" s="42">
        <f>SUM(AN118:AQ118)</f>
        <v>0</v>
      </c>
      <c r="AS118" s="42"/>
      <c r="AT118" s="42"/>
      <c r="AU118" s="42"/>
      <c r="AV118" s="42"/>
      <c r="AW118" s="42"/>
      <c r="AX118" s="42"/>
      <c r="AY118" s="42"/>
      <c r="AZ118" s="42"/>
      <c r="BA118" s="42">
        <f>+AR118+AS118+AU118+AW118+AY118+AZ118</f>
        <v>0</v>
      </c>
      <c r="BB118" s="38">
        <v>0</v>
      </c>
      <c r="BC118" s="56"/>
      <c r="BD118" s="56"/>
      <c r="BE118" s="38"/>
      <c r="BF118" s="56"/>
    </row>
    <row r="119" spans="1:58" ht="12.95" customHeight="1">
      <c r="A119" s="45"/>
      <c r="B119" s="46"/>
      <c r="C119" s="454"/>
      <c r="D119" s="46"/>
      <c r="E119" s="47"/>
      <c r="F119" s="47"/>
      <c r="G119" s="505"/>
      <c r="H119" s="49"/>
      <c r="I119" s="50"/>
      <c r="J119" s="87"/>
      <c r="K119" s="87"/>
      <c r="L119" s="40"/>
      <c r="M119" s="40"/>
      <c r="N119" s="51"/>
      <c r="O119" s="52"/>
      <c r="P119" s="53"/>
      <c r="Q119" s="52"/>
      <c r="R119" s="506"/>
      <c r="S119" s="506"/>
      <c r="T119" s="42"/>
      <c r="U119" s="42"/>
      <c r="V119" s="42"/>
      <c r="W119" s="42"/>
      <c r="X119" s="43"/>
      <c r="Y119" s="216"/>
      <c r="Z119" s="42"/>
      <c r="AA119" s="42"/>
      <c r="AB119" s="42"/>
      <c r="AC119" s="42"/>
      <c r="AD119" s="42">
        <f>+AM119+BA119</f>
        <v>3</v>
      </c>
      <c r="AE119" s="234" t="s">
        <v>449</v>
      </c>
      <c r="AF119" s="42"/>
      <c r="AG119" s="42">
        <v>3</v>
      </c>
      <c r="AH119" s="42"/>
      <c r="AI119" s="508"/>
      <c r="AJ119" s="42"/>
      <c r="AK119" s="42"/>
      <c r="AL119" s="42"/>
      <c r="AM119" s="42">
        <f>SUM(AF119:AL119)+AT119+AV119+AX119</f>
        <v>3</v>
      </c>
      <c r="AN119" s="88"/>
      <c r="AO119" s="42"/>
      <c r="AP119" s="42"/>
      <c r="AQ119" s="42"/>
      <c r="AR119" s="42">
        <f>SUM(AN119:AQ119)</f>
        <v>0</v>
      </c>
      <c r="AS119" s="42"/>
      <c r="AT119" s="42"/>
      <c r="AU119" s="42"/>
      <c r="AV119" s="42"/>
      <c r="AW119" s="42"/>
      <c r="AX119" s="42"/>
      <c r="AY119" s="42"/>
      <c r="AZ119" s="42"/>
      <c r="BA119" s="42">
        <f>+AR119+AS119+AU119+AW119+AY119+AZ119</f>
        <v>0</v>
      </c>
      <c r="BB119" s="55"/>
      <c r="BC119" s="56">
        <v>2</v>
      </c>
      <c r="BD119" s="56"/>
      <c r="BE119" s="55"/>
      <c r="BF119" s="56"/>
    </row>
    <row r="120" spans="1:58" ht="12.95" customHeight="1">
      <c r="A120" s="45"/>
      <c r="B120" s="46"/>
      <c r="C120" s="454"/>
      <c r="D120" s="46"/>
      <c r="E120" s="47"/>
      <c r="F120" s="47"/>
      <c r="G120" s="505"/>
      <c r="H120" s="49"/>
      <c r="I120" s="50"/>
      <c r="J120" s="87"/>
      <c r="K120" s="87"/>
      <c r="L120" s="40"/>
      <c r="M120" s="40"/>
      <c r="N120" s="51"/>
      <c r="O120" s="52"/>
      <c r="P120" s="53"/>
      <c r="Q120" s="52"/>
      <c r="R120" s="506"/>
      <c r="S120" s="506"/>
      <c r="T120" s="42"/>
      <c r="U120" s="42"/>
      <c r="V120" s="42"/>
      <c r="W120" s="42"/>
      <c r="X120" s="43"/>
      <c r="Y120" s="216"/>
      <c r="Z120" s="42"/>
      <c r="AA120" s="42"/>
      <c r="AB120" s="42"/>
      <c r="AC120" s="42"/>
      <c r="AD120" s="42">
        <f>+AM120+BA120</f>
        <v>10</v>
      </c>
      <c r="AE120" s="234" t="s">
        <v>226</v>
      </c>
      <c r="AF120" s="38"/>
      <c r="AG120" s="38"/>
      <c r="AH120" s="42">
        <v>10</v>
      </c>
      <c r="AI120" s="508"/>
      <c r="AJ120" s="42"/>
      <c r="AK120" s="42"/>
      <c r="AL120" s="42"/>
      <c r="AM120" s="42">
        <f>SUM(AF120:AL120)+AT120+AV120+AX120</f>
        <v>10</v>
      </c>
      <c r="AN120" s="42"/>
      <c r="AO120" s="42"/>
      <c r="AP120" s="42"/>
      <c r="AQ120" s="42"/>
      <c r="AR120" s="42">
        <f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38"/>
      <c r="BC120" s="509"/>
      <c r="BD120" s="56"/>
      <c r="BE120" s="56"/>
      <c r="BF120" s="56"/>
    </row>
    <row r="121" spans="1:58" ht="12.95" customHeight="1">
      <c r="A121" s="45"/>
      <c r="B121" s="46"/>
      <c r="C121" s="454"/>
      <c r="D121" s="46"/>
      <c r="E121" s="47"/>
      <c r="F121" s="47"/>
      <c r="G121" s="505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06"/>
      <c r="S121" s="506"/>
      <c r="T121" s="42"/>
      <c r="U121" s="42"/>
      <c r="V121" s="42"/>
      <c r="W121" s="42"/>
      <c r="X121" s="43"/>
      <c r="Y121" s="216"/>
      <c r="Z121" s="42"/>
      <c r="AA121" s="42"/>
      <c r="AB121" s="42"/>
      <c r="AC121" s="42"/>
      <c r="AD121" s="42"/>
      <c r="AE121" s="587"/>
      <c r="AF121" s="38"/>
      <c r="AG121" s="38"/>
      <c r="AH121" s="38"/>
      <c r="AI121" s="508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8"/>
      <c r="BC121" s="509"/>
      <c r="BD121" s="56"/>
      <c r="BE121" s="56"/>
      <c r="BF121" s="56"/>
    </row>
    <row r="122" spans="1:58" ht="12.95" customHeight="1">
      <c r="A122" s="45">
        <v>45954</v>
      </c>
      <c r="B122" s="46" t="s">
        <v>8</v>
      </c>
      <c r="C122" s="454">
        <f>(M122*E122*O122*Q122)/100000000</f>
        <v>2.6226169200000005</v>
      </c>
      <c r="D122" s="46" t="s">
        <v>384</v>
      </c>
      <c r="E122" s="47">
        <v>30.5</v>
      </c>
      <c r="F122" s="47">
        <v>1</v>
      </c>
      <c r="G122" s="505">
        <v>540</v>
      </c>
      <c r="H122" s="49">
        <v>0.12</v>
      </c>
      <c r="I122" s="50">
        <v>0.88</v>
      </c>
      <c r="J122" s="87">
        <f>E122*G122*(1-H122)*1440/1000000*3.4</f>
        <v>70.960665599999999</v>
      </c>
      <c r="K122" s="87">
        <f>(IF(G122&lt;L122,L122,G122)*(1-IF(H122&lt;N122,H122,N122))*E122*O122*Q122)/100000000</f>
        <v>2.6226169200000005</v>
      </c>
      <c r="L122" s="40">
        <v>540</v>
      </c>
      <c r="M122" s="40">
        <v>475.2</v>
      </c>
      <c r="N122" s="51">
        <f>1-(M122/L122)</f>
        <v>0.12</v>
      </c>
      <c r="O122" s="52">
        <f>+'Trim Rwd'!H78</f>
        <v>329</v>
      </c>
      <c r="P122" s="53">
        <f>O122*(Q122-R122-S122)</f>
        <v>17766</v>
      </c>
      <c r="Q122" s="52">
        <v>55</v>
      </c>
      <c r="R122" s="506">
        <v>0</v>
      </c>
      <c r="S122" s="506">
        <v>1</v>
      </c>
      <c r="T122" s="42">
        <f>E122*M122*O122*Q122/100000000</f>
        <v>2.6226169200000005</v>
      </c>
      <c r="U122" s="42">
        <f>E122*M122*O122*(Q122-R122-S122)/100000000</f>
        <v>2.5749329760000004</v>
      </c>
      <c r="V122" s="42">
        <f>E122*G122*(1-N122)*O122/100*(R122+S122)/1000000</f>
        <v>4.7683944000000006E-2</v>
      </c>
      <c r="W122" s="42">
        <f>+'24'!K23/1000</f>
        <v>8.3559999999999999</v>
      </c>
      <c r="X122" s="507">
        <f>SUM(W122:W125)/SUM(K122:K125)</f>
        <v>0.98454249440749664</v>
      </c>
      <c r="Y122" s="216">
        <v>0</v>
      </c>
      <c r="Z122" s="42">
        <v>0</v>
      </c>
      <c r="AA122" s="54">
        <f>SUM(U122:U125)-SUM(W122:W125)-SUM(Z122:Z125)-SUM(Y122:Y125)</f>
        <v>-0.24053509356522051</v>
      </c>
      <c r="AB122" s="54">
        <f>(SUM(K122:K125)-SUM(W122:W125)-SUM(Y122:Y125)-SUM(Z122:Z125)-SUM(AC122:AC125)-SUM(V122:V125))-AA122</f>
        <v>2.3549901913043847E-2</v>
      </c>
      <c r="AC122" s="42">
        <f>K122-T122</f>
        <v>0</v>
      </c>
      <c r="AD122" s="42">
        <f>+AM122+BA122</f>
        <v>0</v>
      </c>
      <c r="AE122" s="234" t="s">
        <v>394</v>
      </c>
      <c r="AF122" s="42">
        <v>0</v>
      </c>
      <c r="AG122" s="42"/>
      <c r="AH122" s="42"/>
      <c r="AI122" s="508"/>
      <c r="AJ122" s="42"/>
      <c r="AK122" s="42"/>
      <c r="AL122" s="42"/>
      <c r="AM122" s="42">
        <f>SUM(AF122:AL122)+AT122+AV122+AX122</f>
        <v>0</v>
      </c>
      <c r="AN122" s="42"/>
      <c r="AO122" s="42"/>
      <c r="AP122" s="42"/>
      <c r="AQ122" s="42"/>
      <c r="AR122" s="42">
        <f>SUM(AN122:AQ122)</f>
        <v>0</v>
      </c>
      <c r="AS122" s="42"/>
      <c r="AT122" s="42"/>
      <c r="AU122" s="42"/>
      <c r="AV122" s="42"/>
      <c r="AW122" s="42"/>
      <c r="AX122" s="42"/>
      <c r="AY122" s="42"/>
      <c r="AZ122" s="42"/>
      <c r="BA122" s="42">
        <f>+AR122+AS122+AU122+AW122+AY122+AZ122</f>
        <v>0</v>
      </c>
      <c r="BB122" s="38">
        <v>0</v>
      </c>
      <c r="BC122" s="56"/>
      <c r="BD122" s="56"/>
      <c r="BE122" s="38"/>
      <c r="BF122" s="56"/>
    </row>
    <row r="123" spans="1:58" ht="12.95" customHeight="1">
      <c r="A123" s="45"/>
      <c r="B123" s="46" t="s">
        <v>8</v>
      </c>
      <c r="C123" s="454">
        <f>(M123*E123*O123*Q123)/100000000</f>
        <v>67.951279478260872</v>
      </c>
      <c r="D123" s="46" t="s">
        <v>384</v>
      </c>
      <c r="E123" s="47">
        <v>34</v>
      </c>
      <c r="F123" s="47">
        <v>1</v>
      </c>
      <c r="G123" s="505">
        <v>480</v>
      </c>
      <c r="H123" s="49">
        <v>0.12</v>
      </c>
      <c r="I123" s="50">
        <v>0.88</v>
      </c>
      <c r="J123" s="87">
        <f>E123*G123*(1-H123)*1440/1000000*3.4</f>
        <v>70.314393599999988</v>
      </c>
      <c r="K123" s="87">
        <f>(IF(G123&lt;L123,L123,G123)*(1-IF(H123&lt;N123,H123,N123))*E123*O123*Q123)/100000000</f>
        <v>67.951279478260872</v>
      </c>
      <c r="L123" s="40">
        <v>500</v>
      </c>
      <c r="M123" s="40">
        <v>440</v>
      </c>
      <c r="N123" s="51">
        <f>1-(M123/L123)</f>
        <v>0.12</v>
      </c>
      <c r="O123" s="52">
        <f>+'Trim Rwd'!H79</f>
        <v>327.95652173913044</v>
      </c>
      <c r="P123" s="53">
        <f>O123*(Q123-R123-S123)</f>
        <v>450284.30434782611</v>
      </c>
      <c r="Q123" s="52">
        <v>1385</v>
      </c>
      <c r="R123" s="506">
        <v>0</v>
      </c>
      <c r="S123" s="506">
        <v>12</v>
      </c>
      <c r="T123" s="42">
        <f>E123*M123*O123*Q123/100000000</f>
        <v>67.951279478260872</v>
      </c>
      <c r="U123" s="42">
        <f>E123*M123*O123*(Q123-R123-S123)/100000000</f>
        <v>67.362531930434784</v>
      </c>
      <c r="V123" s="42">
        <f>E123*G123*(1-N123)*O123/100*(R123+S123)/1000000</f>
        <v>0.56519764591304356</v>
      </c>
      <c r="W123" s="42">
        <f>+'24'!K24/1000</f>
        <v>61.127000000000002</v>
      </c>
      <c r="X123" s="43"/>
      <c r="Y123" s="216"/>
      <c r="Z123" s="42">
        <f>+'24'!D34/1000</f>
        <v>0.69499999999999995</v>
      </c>
      <c r="AA123" s="42"/>
      <c r="AB123" s="42"/>
      <c r="AC123" s="42">
        <f>K123-T123</f>
        <v>0</v>
      </c>
      <c r="AD123" s="42">
        <f>+AM123+BA123</f>
        <v>3</v>
      </c>
      <c r="AE123" s="234" t="s">
        <v>392</v>
      </c>
      <c r="AF123" s="42"/>
      <c r="AG123" s="42">
        <v>3</v>
      </c>
      <c r="AH123" s="42"/>
      <c r="AI123" s="508"/>
      <c r="AJ123" s="42"/>
      <c r="AK123" s="42"/>
      <c r="AL123" s="42"/>
      <c r="AM123" s="42">
        <f>SUM(AF123:AL123)+AT123+AV123+AX123</f>
        <v>3</v>
      </c>
      <c r="AN123" s="88"/>
      <c r="AO123" s="42"/>
      <c r="AP123" s="42"/>
      <c r="AQ123" s="42"/>
      <c r="AR123" s="42">
        <f>SUM(AN123:AQ123)</f>
        <v>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0</v>
      </c>
      <c r="BB123" s="55"/>
      <c r="BC123" s="56">
        <v>1</v>
      </c>
      <c r="BD123" s="56"/>
      <c r="BE123" s="55"/>
      <c r="BF123" s="56"/>
    </row>
    <row r="124" spans="1:58" ht="12.95" customHeight="1">
      <c r="A124" s="45"/>
      <c r="B124" s="46"/>
      <c r="C124" s="454"/>
      <c r="D124" s="46"/>
      <c r="E124" s="47"/>
      <c r="F124" s="47"/>
      <c r="G124" s="505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06"/>
      <c r="S124" s="506"/>
      <c r="T124" s="42"/>
      <c r="U124" s="42"/>
      <c r="V124" s="42"/>
      <c r="W124" s="42"/>
      <c r="X124" s="43"/>
      <c r="Y124" s="216"/>
      <c r="Z124" s="42"/>
      <c r="AA124" s="42"/>
      <c r="AB124" s="42"/>
      <c r="AC124" s="42"/>
      <c r="AD124" s="42">
        <f>+AM124+BA124</f>
        <v>8</v>
      </c>
      <c r="AE124" s="234" t="s">
        <v>226</v>
      </c>
      <c r="AF124" s="38"/>
      <c r="AG124" s="38"/>
      <c r="AH124" s="42">
        <v>8</v>
      </c>
      <c r="AI124" s="508"/>
      <c r="AJ124" s="42"/>
      <c r="AK124" s="42"/>
      <c r="AL124" s="42"/>
      <c r="AM124" s="42">
        <f>SUM(AF124:AL124)+AT124+AV124+AX124</f>
        <v>8</v>
      </c>
      <c r="AN124" s="42"/>
      <c r="AO124" s="42"/>
      <c r="AP124" s="42"/>
      <c r="AQ124" s="42"/>
      <c r="AR124" s="42">
        <f>SUM(AN124:AQ124)</f>
        <v>0</v>
      </c>
      <c r="AS124" s="42"/>
      <c r="AT124" s="42"/>
      <c r="AU124" s="42"/>
      <c r="AV124" s="42"/>
      <c r="AW124" s="42"/>
      <c r="AX124" s="42"/>
      <c r="AY124" s="42"/>
      <c r="AZ124" s="42"/>
      <c r="BA124" s="42">
        <f>+AR124+AS124+AU124+AW124+AY124+AZ124</f>
        <v>0</v>
      </c>
      <c r="BB124" s="38"/>
      <c r="BC124" s="509"/>
      <c r="BD124" s="56"/>
      <c r="BE124" s="56"/>
      <c r="BF124" s="56"/>
    </row>
    <row r="125" spans="1:58" ht="12.95" customHeight="1">
      <c r="A125" s="45"/>
      <c r="B125" s="46"/>
      <c r="C125" s="454"/>
      <c r="D125" s="46"/>
      <c r="E125" s="47"/>
      <c r="F125" s="47"/>
      <c r="G125" s="505"/>
      <c r="H125" s="49"/>
      <c r="I125" s="50"/>
      <c r="J125" s="87"/>
      <c r="K125" s="87"/>
      <c r="L125" s="40"/>
      <c r="M125" s="40"/>
      <c r="N125" s="51"/>
      <c r="O125" s="52"/>
      <c r="P125" s="53"/>
      <c r="Q125" s="52"/>
      <c r="R125" s="506"/>
      <c r="S125" s="506"/>
      <c r="T125" s="42"/>
      <c r="U125" s="42"/>
      <c r="V125" s="42"/>
      <c r="W125" s="42"/>
      <c r="X125" s="507"/>
      <c r="Y125" s="216"/>
      <c r="Z125" s="42"/>
      <c r="AA125" s="54"/>
      <c r="AB125" s="54"/>
      <c r="AC125" s="42"/>
      <c r="AD125" s="42">
        <f>+AM125+BA125</f>
        <v>2</v>
      </c>
      <c r="AE125" s="587" t="s">
        <v>463</v>
      </c>
      <c r="AF125" s="38"/>
      <c r="AG125" s="38"/>
      <c r="AH125" s="38"/>
      <c r="AI125" s="34">
        <v>2</v>
      </c>
      <c r="AJ125" s="42"/>
      <c r="AK125" s="42"/>
      <c r="AL125" s="42"/>
      <c r="AM125" s="42">
        <f>SUM(AF125:AL125)+AT125+AV125+AX125</f>
        <v>2</v>
      </c>
      <c r="AN125" s="42"/>
      <c r="AO125" s="42"/>
      <c r="AP125" s="42"/>
      <c r="AQ125" s="42"/>
      <c r="AR125" s="42">
        <f>SUM(AN125:AQ125)</f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/>
      <c r="BC125" s="509"/>
      <c r="BD125" s="56"/>
      <c r="BE125" s="56"/>
      <c r="BF125" s="56"/>
    </row>
    <row r="126" spans="1:58" ht="12.95" customHeight="1">
      <c r="A126" s="45"/>
      <c r="B126" s="46"/>
      <c r="C126" s="454"/>
      <c r="D126" s="46"/>
      <c r="E126" s="47"/>
      <c r="F126" s="47"/>
      <c r="G126" s="505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06"/>
      <c r="S126" s="506"/>
      <c r="T126" s="42"/>
      <c r="U126" s="42"/>
      <c r="V126" s="42"/>
      <c r="W126" s="42"/>
      <c r="X126" s="507"/>
      <c r="Y126" s="216"/>
      <c r="Z126" s="42"/>
      <c r="AA126" s="54"/>
      <c r="AB126" s="54"/>
      <c r="AC126" s="42"/>
      <c r="AD126" s="42"/>
      <c r="AE126" s="234"/>
      <c r="AF126" s="42"/>
      <c r="AG126" s="42"/>
      <c r="AH126" s="42"/>
      <c r="AI126" s="508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8"/>
      <c r="BC126" s="56"/>
      <c r="BD126" s="56"/>
      <c r="BE126" s="56"/>
      <c r="BF126" s="56"/>
    </row>
    <row r="127" spans="1:58" ht="12.95" customHeight="1">
      <c r="A127" s="45">
        <v>45955</v>
      </c>
      <c r="B127" s="46" t="s">
        <v>8</v>
      </c>
      <c r="C127" s="454">
        <f>(M127*E127*O127*Q127)/100000000</f>
        <v>67.440637439999989</v>
      </c>
      <c r="D127" s="46" t="s">
        <v>384</v>
      </c>
      <c r="E127" s="47">
        <v>34</v>
      </c>
      <c r="F127" s="47">
        <v>1</v>
      </c>
      <c r="G127" s="505">
        <v>480</v>
      </c>
      <c r="H127" s="49">
        <v>0.12</v>
      </c>
      <c r="I127" s="50">
        <v>0.88</v>
      </c>
      <c r="J127" s="87">
        <f>E127*G127*(1-H127)*1440/1000000*3.4</f>
        <v>70.314393599999988</v>
      </c>
      <c r="K127" s="87">
        <f>(IF(G127&lt;L127,L127,G127)*(1-IF(H127&lt;N127,H127,N127))*E127*O127*Q127)/100000000</f>
        <v>67.440637439999989</v>
      </c>
      <c r="L127" s="40">
        <v>490</v>
      </c>
      <c r="M127" s="40">
        <v>431.2</v>
      </c>
      <c r="N127" s="51">
        <f>1-(M127/L127)</f>
        <v>0.12</v>
      </c>
      <c r="O127" s="52">
        <f>+'Trim Rwd'!H83</f>
        <v>319.44897959183675</v>
      </c>
      <c r="P127" s="53">
        <f>O127*(Q127-R127-S127)</f>
        <v>454256.44897959183</v>
      </c>
      <c r="Q127" s="52">
        <v>1440</v>
      </c>
      <c r="R127" s="506">
        <v>0</v>
      </c>
      <c r="S127" s="506">
        <v>18</v>
      </c>
      <c r="T127" s="42">
        <f>E127*M127*O127*Q127/100000000</f>
        <v>67.440637439999989</v>
      </c>
      <c r="U127" s="42">
        <f>E127*M127*O127*(Q127-R127-S127)/100000000</f>
        <v>66.597629471999994</v>
      </c>
      <c r="V127" s="42">
        <f>E127*G127*(1-N127)*O127/100*(R127+S127)/1000000</f>
        <v>0.82580372375510214</v>
      </c>
      <c r="W127" s="42">
        <f>+'25'!K34/1000</f>
        <v>65.763999999999996</v>
      </c>
      <c r="X127" s="507">
        <f>SUM(W127:W130)/SUM(K127:K130)</f>
        <v>0.97513906297977015</v>
      </c>
      <c r="Y127" s="216">
        <v>0</v>
      </c>
      <c r="Z127" s="42">
        <v>0</v>
      </c>
      <c r="AA127" s="54">
        <f>SUM(U127:U130)-SUM(W127:W130)-SUM(Z127:Z130)-SUM(Y127:Y130)</f>
        <v>0.83362947199999837</v>
      </c>
      <c r="AB127" s="54">
        <f>(SUM(K127:K130)-SUM(W127:W130)-SUM(Y127:Y130)-SUM(Z127:Z130)-SUM(AC127:AC130)-SUM(V127:V130))-AA127</f>
        <v>1.7204244244892752E-2</v>
      </c>
      <c r="AC127" s="42">
        <f>K127-T127</f>
        <v>0</v>
      </c>
      <c r="AD127" s="42">
        <f>+AM127+BA127</f>
        <v>0</v>
      </c>
      <c r="AE127" s="234" t="s">
        <v>394</v>
      </c>
      <c r="AF127" s="42">
        <v>0</v>
      </c>
      <c r="AG127" s="42"/>
      <c r="AH127" s="42"/>
      <c r="AI127" s="508"/>
      <c r="AJ127" s="42"/>
      <c r="AK127" s="42"/>
      <c r="AL127" s="42"/>
      <c r="AM127" s="42">
        <f>SUM(AF127:AL127)+AT127+AV127+AX127</f>
        <v>0</v>
      </c>
      <c r="AN127" s="42"/>
      <c r="AO127" s="42"/>
      <c r="AP127" s="42"/>
      <c r="AQ127" s="42"/>
      <c r="AR127" s="42">
        <f>SUM(AN127:AQ127)</f>
        <v>0</v>
      </c>
      <c r="AS127" s="42"/>
      <c r="AT127" s="42"/>
      <c r="AU127" s="42"/>
      <c r="AV127" s="42"/>
      <c r="AW127" s="42"/>
      <c r="AX127" s="42"/>
      <c r="AY127" s="42"/>
      <c r="AZ127" s="42"/>
      <c r="BA127" s="42">
        <f>+AR127+AS127+AU127+AW127+AY127+AZ127</f>
        <v>0</v>
      </c>
      <c r="BB127" s="38">
        <v>0</v>
      </c>
      <c r="BC127" s="56"/>
      <c r="BD127" s="56"/>
      <c r="BE127" s="38"/>
      <c r="BF127" s="56"/>
    </row>
    <row r="128" spans="1:58" ht="12.95" customHeight="1">
      <c r="A128" s="45"/>
      <c r="B128" s="46"/>
      <c r="C128" s="454"/>
      <c r="D128" s="46"/>
      <c r="E128" s="47"/>
      <c r="F128" s="47"/>
      <c r="G128" s="505"/>
      <c r="H128" s="49"/>
      <c r="I128" s="50"/>
      <c r="J128" s="87"/>
      <c r="K128" s="87"/>
      <c r="L128" s="40"/>
      <c r="M128" s="40"/>
      <c r="N128" s="51"/>
      <c r="O128" s="52"/>
      <c r="P128" s="53"/>
      <c r="Q128" s="52"/>
      <c r="R128" s="506"/>
      <c r="S128" s="506"/>
      <c r="T128" s="42"/>
      <c r="U128" s="42"/>
      <c r="V128" s="42"/>
      <c r="W128" s="42"/>
      <c r="X128" s="43"/>
      <c r="Y128" s="216"/>
      <c r="Z128" s="42"/>
      <c r="AA128" s="42"/>
      <c r="AB128" s="42"/>
      <c r="AC128" s="42"/>
      <c r="AD128" s="42">
        <f>+AM128+BA128</f>
        <v>9</v>
      </c>
      <c r="AE128" s="234" t="s">
        <v>393</v>
      </c>
      <c r="AF128" s="42"/>
      <c r="AG128" s="42">
        <v>9</v>
      </c>
      <c r="AH128" s="42"/>
      <c r="AI128" s="508"/>
      <c r="AJ128" s="42"/>
      <c r="AK128" s="42"/>
      <c r="AL128" s="42"/>
      <c r="AM128" s="42">
        <f>SUM(AF128:AL128)+AT128+AV128+AX128</f>
        <v>9</v>
      </c>
      <c r="AN128" s="88"/>
      <c r="AO128" s="42"/>
      <c r="AP128" s="42"/>
      <c r="AQ128" s="42"/>
      <c r="AR128" s="42">
        <f>SUM(AN128:AQ128)</f>
        <v>0</v>
      </c>
      <c r="AS128" s="42"/>
      <c r="AT128" s="42"/>
      <c r="AU128" s="42"/>
      <c r="AV128" s="42"/>
      <c r="AW128" s="42"/>
      <c r="AX128" s="42"/>
      <c r="AY128" s="42"/>
      <c r="AZ128" s="42"/>
      <c r="BA128" s="42">
        <f>+AR128+AS128+AU128+AW128+AY128+AZ128</f>
        <v>0</v>
      </c>
      <c r="BB128" s="55"/>
      <c r="BC128" s="56">
        <v>3</v>
      </c>
      <c r="BD128" s="56"/>
      <c r="BE128" s="55"/>
      <c r="BF128" s="56"/>
    </row>
    <row r="129" spans="1:58" ht="12.95" customHeight="1">
      <c r="A129" s="45"/>
      <c r="B129" s="46"/>
      <c r="C129" s="454"/>
      <c r="D129" s="46"/>
      <c r="E129" s="47"/>
      <c r="F129" s="47"/>
      <c r="G129" s="505"/>
      <c r="H129" s="49"/>
      <c r="I129" s="50"/>
      <c r="J129" s="87"/>
      <c r="K129" s="87"/>
      <c r="L129" s="40"/>
      <c r="M129" s="40"/>
      <c r="N129" s="51"/>
      <c r="O129" s="52"/>
      <c r="P129" s="53"/>
      <c r="Q129" s="52"/>
      <c r="R129" s="506"/>
      <c r="S129" s="506"/>
      <c r="T129" s="42"/>
      <c r="U129" s="42"/>
      <c r="V129" s="42"/>
      <c r="W129" s="42"/>
      <c r="X129" s="43"/>
      <c r="Y129" s="216"/>
      <c r="Z129" s="42"/>
      <c r="AA129" s="42"/>
      <c r="AB129" s="42"/>
      <c r="AC129" s="42"/>
      <c r="AD129" s="42">
        <f>+AM129+BA129</f>
        <v>9</v>
      </c>
      <c r="AE129" s="234" t="s">
        <v>226</v>
      </c>
      <c r="AF129" s="38"/>
      <c r="AG129" s="38"/>
      <c r="AH129" s="42">
        <v>9</v>
      </c>
      <c r="AI129" s="508"/>
      <c r="AJ129" s="42"/>
      <c r="AK129" s="42"/>
      <c r="AL129" s="42"/>
      <c r="AM129" s="42">
        <f>SUM(AF129:AL129)+AT129+AV129+AX129</f>
        <v>9</v>
      </c>
      <c r="AN129" s="42"/>
      <c r="AO129" s="42"/>
      <c r="AP129" s="42"/>
      <c r="AQ129" s="42"/>
      <c r="AR129" s="42">
        <f>SUM(AN129:AQ129)</f>
        <v>0</v>
      </c>
      <c r="AS129" s="42"/>
      <c r="AT129" s="42"/>
      <c r="AU129" s="42"/>
      <c r="AV129" s="42"/>
      <c r="AW129" s="42"/>
      <c r="AX129" s="42"/>
      <c r="AY129" s="42"/>
      <c r="AZ129" s="42"/>
      <c r="BA129" s="42">
        <f>+AR129+AS129+AU129+AW129+AY129+AZ129</f>
        <v>0</v>
      </c>
      <c r="BB129" s="38"/>
      <c r="BC129" s="509"/>
      <c r="BD129" s="56"/>
      <c r="BE129" s="56"/>
      <c r="BF129" s="56"/>
    </row>
    <row r="130" spans="1:58" ht="12.95" customHeight="1">
      <c r="A130" s="45"/>
      <c r="B130" s="46"/>
      <c r="C130" s="454"/>
      <c r="D130" s="46"/>
      <c r="E130" s="47"/>
      <c r="F130" s="47"/>
      <c r="G130" s="505"/>
      <c r="H130" s="49"/>
      <c r="I130" s="50"/>
      <c r="J130" s="87"/>
      <c r="K130" s="87"/>
      <c r="L130" s="40"/>
      <c r="M130" s="40"/>
      <c r="N130" s="51"/>
      <c r="O130" s="52"/>
      <c r="P130" s="53"/>
      <c r="Q130" s="52"/>
      <c r="R130" s="506"/>
      <c r="S130" s="506"/>
      <c r="T130" s="42"/>
      <c r="U130" s="42"/>
      <c r="V130" s="42"/>
      <c r="W130" s="42"/>
      <c r="X130" s="507"/>
      <c r="Y130" s="216"/>
      <c r="Z130" s="42"/>
      <c r="AA130" s="54"/>
      <c r="AB130" s="54"/>
      <c r="AC130" s="42"/>
      <c r="AD130" s="42"/>
      <c r="AE130" s="587"/>
      <c r="AF130" s="38"/>
      <c r="AG130" s="38"/>
      <c r="AH130" s="38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8"/>
      <c r="BC130" s="509"/>
      <c r="BD130" s="56"/>
      <c r="BE130" s="56"/>
      <c r="BF130" s="56"/>
    </row>
    <row r="131" spans="1:58" ht="12.95" customHeight="1">
      <c r="A131" s="45">
        <v>45956</v>
      </c>
      <c r="B131" s="46" t="s">
        <v>8</v>
      </c>
      <c r="C131" s="454">
        <f>(M131*E131*O131*Q131)/100000000</f>
        <v>51.731702439999999</v>
      </c>
      <c r="D131" s="46" t="s">
        <v>384</v>
      </c>
      <c r="E131" s="47">
        <v>34</v>
      </c>
      <c r="F131" s="47">
        <v>1</v>
      </c>
      <c r="G131" s="505">
        <v>480</v>
      </c>
      <c r="H131" s="49">
        <v>0.12</v>
      </c>
      <c r="I131" s="50">
        <v>0.88</v>
      </c>
      <c r="J131" s="87">
        <f>E131*G131*(1-H131)*1440/1000000*3.4</f>
        <v>70.314393599999988</v>
      </c>
      <c r="K131" s="87">
        <f>(IF(G131&lt;L131,L131,G131)*(1-IF(H131&lt;N131,H131,N131))*E131*O131*Q131)/100000000</f>
        <v>51.731702439999999</v>
      </c>
      <c r="L131" s="40">
        <v>485</v>
      </c>
      <c r="M131" s="40">
        <f>+L131-L131*0.12</f>
        <v>426.8</v>
      </c>
      <c r="N131" s="51">
        <f>1-(M131/L131)</f>
        <v>0.12</v>
      </c>
      <c r="O131" s="52">
        <f>+'Trim Rwd'!H86</f>
        <v>321.16666666666669</v>
      </c>
      <c r="P131" s="53">
        <f>O131*(Q131-R131-S131)</f>
        <v>350071.66666666669</v>
      </c>
      <c r="Q131" s="52">
        <v>1110</v>
      </c>
      <c r="R131" s="506">
        <v>0</v>
      </c>
      <c r="S131" s="506">
        <v>20</v>
      </c>
      <c r="T131" s="42">
        <f>E131*M131*O131*Q131/100000000</f>
        <v>51.731702439999999</v>
      </c>
      <c r="U131" s="42">
        <f>E131*M131*O131*(Q131-R131-S131)/100000000</f>
        <v>50.799599693333327</v>
      </c>
      <c r="V131" s="42">
        <f>E131*G131*(1-N131)*O131/100*(R131+S131)/1000000</f>
        <v>0.92249344</v>
      </c>
      <c r="W131" s="42">
        <f>+'26'!K24/1000</f>
        <v>54.097000000000001</v>
      </c>
      <c r="X131" s="507">
        <f>SUM(W131:W134)/SUM(K131:K134)</f>
        <v>0.97980613190252985</v>
      </c>
      <c r="Y131" s="216">
        <v>0</v>
      </c>
      <c r="Z131" s="42">
        <f>+'26'!D7/1000</f>
        <v>0.96</v>
      </c>
      <c r="AA131" s="54">
        <f>SUM(U131:U134)-SUM(W131:W134)-SUM(Z131:Z134)-SUM(Y131:Y134)</f>
        <v>-1.131177106666676</v>
      </c>
      <c r="AB131" s="54">
        <f>(SUM(K131:K134)-SUM(W131:W134)-SUM(Y131:Y134)-SUM(Z131:Z134)-SUM(AC131:AC134)-SUM(V131:V134))-AA131</f>
        <v>1.2100146666681688E-2</v>
      </c>
      <c r="AC131" s="42">
        <f>K131-T131</f>
        <v>0</v>
      </c>
      <c r="AD131" s="42">
        <f>+AM131+BA131</f>
        <v>0</v>
      </c>
      <c r="AE131" s="234" t="s">
        <v>394</v>
      </c>
      <c r="AF131" s="42">
        <v>0</v>
      </c>
      <c r="AG131" s="42"/>
      <c r="AH131" s="42"/>
      <c r="AI131" s="508"/>
      <c r="AJ131" s="42"/>
      <c r="AK131" s="42"/>
      <c r="AL131" s="42"/>
      <c r="AM131" s="42">
        <f>SUM(AF131:AL131)+AT131+AV131+AX131</f>
        <v>0</v>
      </c>
      <c r="AN131" s="42"/>
      <c r="AO131" s="42"/>
      <c r="AP131" s="42"/>
      <c r="AQ131" s="42"/>
      <c r="AR131" s="42">
        <f>SUM(AN131:AQ131)</f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38">
        <v>0</v>
      </c>
      <c r="BC131" s="56"/>
      <c r="BD131" s="56"/>
      <c r="BE131" s="38"/>
      <c r="BF131" s="56"/>
    </row>
    <row r="132" spans="1:58" ht="12.95" customHeight="1">
      <c r="A132" s="45"/>
      <c r="B132" s="46" t="s">
        <v>8</v>
      </c>
      <c r="C132" s="454">
        <f>(M132*E132*O132*Q132)/100000000</f>
        <v>15.124380480000003</v>
      </c>
      <c r="D132" s="46" t="s">
        <v>384</v>
      </c>
      <c r="E132" s="47">
        <v>36</v>
      </c>
      <c r="F132" s="47">
        <v>1</v>
      </c>
      <c r="G132" s="505">
        <v>455</v>
      </c>
      <c r="H132" s="49">
        <v>0.12</v>
      </c>
      <c r="I132" s="50">
        <v>0.88</v>
      </c>
      <c r="J132" s="87">
        <f>E132*G132*(1-H132)*1440/1000000*3.4</f>
        <v>70.572902400000004</v>
      </c>
      <c r="K132" s="87">
        <f>(IF(G132&lt;L132,L132,G132)*(1-IF(H132&lt;N132,H132,N132))*E132*O132*Q132)/100000000</f>
        <v>15.124380480000003</v>
      </c>
      <c r="L132" s="40">
        <v>460</v>
      </c>
      <c r="M132" s="40">
        <f>+L132-L132*0.12</f>
        <v>404.8</v>
      </c>
      <c r="N132" s="51">
        <f>1-(M132/L132)</f>
        <v>0.12</v>
      </c>
      <c r="O132" s="52">
        <f>+'Trim Rwd'!H88</f>
        <v>314.5</v>
      </c>
      <c r="P132" s="53">
        <f>O132*(Q132-R132-S132)</f>
        <v>102212.5</v>
      </c>
      <c r="Q132" s="52">
        <v>330</v>
      </c>
      <c r="R132" s="506">
        <v>0</v>
      </c>
      <c r="S132" s="506">
        <v>5</v>
      </c>
      <c r="T132" s="42">
        <f>E132*M132*O132*Q132/100000000</f>
        <v>15.124380480000003</v>
      </c>
      <c r="U132" s="42">
        <f>E132*M132*O132*(Q132-R132-S132)/100000000</f>
        <v>14.895223200000002</v>
      </c>
      <c r="V132" s="42">
        <f>E132*G132*(1-N132)*O132/100*(R132+S132)/1000000</f>
        <v>0.22666644</v>
      </c>
      <c r="W132" s="42">
        <f>+'26'!K25/1000</f>
        <v>11.409000000000001</v>
      </c>
      <c r="X132" s="43"/>
      <c r="Y132" s="216"/>
      <c r="Z132" s="42">
        <f>+'26'!D26/1000</f>
        <v>0.36</v>
      </c>
      <c r="AA132" s="42"/>
      <c r="AB132" s="42"/>
      <c r="AC132" s="42">
        <f>K132-T132</f>
        <v>0</v>
      </c>
      <c r="AD132" s="42">
        <f>+AM132+BA132</f>
        <v>9</v>
      </c>
      <c r="AE132" s="234" t="s">
        <v>393</v>
      </c>
      <c r="AF132" s="42"/>
      <c r="AG132" s="42">
        <v>9</v>
      </c>
      <c r="AH132" s="42"/>
      <c r="AI132" s="508"/>
      <c r="AJ132" s="42"/>
      <c r="AK132" s="42"/>
      <c r="AL132" s="42"/>
      <c r="AM132" s="42">
        <f>SUM(AF132:AL132)+AT132+AV132+AX132</f>
        <v>9</v>
      </c>
      <c r="AN132" s="88"/>
      <c r="AO132" s="42"/>
      <c r="AP132" s="42"/>
      <c r="AQ132" s="42"/>
      <c r="AR132" s="42">
        <f>SUM(AN132:AQ132)</f>
        <v>0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0</v>
      </c>
      <c r="BB132" s="55"/>
      <c r="BC132" s="56">
        <v>3</v>
      </c>
      <c r="BD132" s="56"/>
      <c r="BE132" s="55"/>
      <c r="BF132" s="56"/>
    </row>
    <row r="133" spans="1:58" ht="12.95" customHeight="1">
      <c r="A133" s="45"/>
      <c r="B133" s="46"/>
      <c r="C133" s="454"/>
      <c r="D133" s="46"/>
      <c r="E133" s="47"/>
      <c r="F133" s="47"/>
      <c r="G133" s="505"/>
      <c r="H133" s="49"/>
      <c r="I133" s="50"/>
      <c r="J133" s="87"/>
      <c r="K133" s="87"/>
      <c r="L133" s="40"/>
      <c r="M133" s="40"/>
      <c r="N133" s="51"/>
      <c r="O133" s="52"/>
      <c r="P133" s="53"/>
      <c r="Q133" s="52"/>
      <c r="R133" s="506"/>
      <c r="S133" s="506"/>
      <c r="T133" s="42"/>
      <c r="U133" s="42"/>
      <c r="V133" s="42"/>
      <c r="W133" s="42"/>
      <c r="X133" s="43"/>
      <c r="Y133" s="216"/>
      <c r="Z133" s="42"/>
      <c r="AA133" s="42"/>
      <c r="AB133" s="42"/>
      <c r="AC133" s="42"/>
      <c r="AD133" s="42">
        <f>+AM133+BA133</f>
        <v>11</v>
      </c>
      <c r="AE133" s="234" t="s">
        <v>226</v>
      </c>
      <c r="AF133" s="38"/>
      <c r="AG133" s="38"/>
      <c r="AH133" s="42">
        <v>11</v>
      </c>
      <c r="AI133" s="508"/>
      <c r="AJ133" s="42"/>
      <c r="AK133" s="42"/>
      <c r="AL133" s="42"/>
      <c r="AM133" s="42">
        <f>SUM(AF133:AL133)+AT133+AV133+AX133</f>
        <v>11</v>
      </c>
      <c r="AN133" s="42"/>
      <c r="AO133" s="42"/>
      <c r="AP133" s="42"/>
      <c r="AQ133" s="42"/>
      <c r="AR133" s="42">
        <f>SUM(AN133:AQ133)</f>
        <v>0</v>
      </c>
      <c r="AS133" s="42"/>
      <c r="AT133" s="42"/>
      <c r="AU133" s="42"/>
      <c r="AV133" s="42"/>
      <c r="AW133" s="42"/>
      <c r="AX133" s="42"/>
      <c r="AY133" s="42"/>
      <c r="AZ133" s="42"/>
      <c r="BA133" s="42">
        <f>+AR133+AS133+AU133+AW133+AY133+AZ133</f>
        <v>0</v>
      </c>
      <c r="BB133" s="38"/>
      <c r="BC133" s="509"/>
      <c r="BD133" s="56"/>
      <c r="BE133" s="56"/>
      <c r="BF133" s="56"/>
    </row>
    <row r="134" spans="1:58" ht="12.95" customHeight="1">
      <c r="A134" s="45"/>
      <c r="B134" s="46"/>
      <c r="C134" s="454"/>
      <c r="D134" s="46"/>
      <c r="E134" s="47"/>
      <c r="F134" s="47"/>
      <c r="G134" s="505"/>
      <c r="H134" s="49"/>
      <c r="I134" s="50"/>
      <c r="J134" s="87"/>
      <c r="K134" s="87"/>
      <c r="L134" s="40"/>
      <c r="M134" s="40"/>
      <c r="N134" s="51"/>
      <c r="O134" s="52"/>
      <c r="P134" s="53"/>
      <c r="Q134" s="52"/>
      <c r="R134" s="506"/>
      <c r="S134" s="506"/>
      <c r="T134" s="42"/>
      <c r="U134" s="42"/>
      <c r="V134" s="42"/>
      <c r="W134" s="42"/>
      <c r="X134" s="507"/>
      <c r="Y134" s="216"/>
      <c r="Z134" s="42"/>
      <c r="AA134" s="54"/>
      <c r="AB134" s="54"/>
      <c r="AC134" s="42"/>
      <c r="AD134" s="42">
        <f>+AM134+BA134</f>
        <v>5</v>
      </c>
      <c r="AE134" s="234" t="s">
        <v>463</v>
      </c>
      <c r="AF134" s="38"/>
      <c r="AG134" s="38"/>
      <c r="AH134" s="38"/>
      <c r="AI134" s="34">
        <v>5</v>
      </c>
      <c r="AJ134" s="42"/>
      <c r="AK134" s="42"/>
      <c r="AL134" s="42"/>
      <c r="AM134" s="42">
        <f>SUM(AF134:AL134)+AT134+AV134+AX134</f>
        <v>5</v>
      </c>
      <c r="AN134" s="42"/>
      <c r="AO134" s="42"/>
      <c r="AP134" s="42"/>
      <c r="AQ134" s="42"/>
      <c r="AR134" s="42">
        <f>SUM(AN134:AQ134)</f>
        <v>0</v>
      </c>
      <c r="AS134" s="42"/>
      <c r="AT134" s="42"/>
      <c r="AU134" s="42"/>
      <c r="AV134" s="42"/>
      <c r="AW134" s="42"/>
      <c r="AX134" s="42"/>
      <c r="AY134" s="42"/>
      <c r="AZ134" s="42"/>
      <c r="BA134" s="42">
        <f>+AR134+AS134+AU134+AW134+AY134+AZ134</f>
        <v>0</v>
      </c>
      <c r="BB134" s="38"/>
      <c r="BC134" s="509"/>
      <c r="BD134" s="56"/>
      <c r="BE134" s="56"/>
      <c r="BF134" s="56"/>
    </row>
    <row r="135" spans="1:58" ht="12.95" customHeight="1">
      <c r="A135" s="45"/>
      <c r="B135" s="46"/>
      <c r="C135" s="454"/>
      <c r="D135" s="46"/>
      <c r="E135" s="47"/>
      <c r="F135" s="47"/>
      <c r="G135" s="48"/>
      <c r="H135" s="49"/>
      <c r="I135" s="50"/>
      <c r="J135" s="87"/>
      <c r="K135" s="87"/>
      <c r="L135" s="40"/>
      <c r="M135" s="40"/>
      <c r="N135" s="51"/>
      <c r="O135" s="52"/>
      <c r="P135" s="53"/>
      <c r="Q135" s="52"/>
      <c r="R135" s="506"/>
      <c r="S135" s="506"/>
      <c r="T135" s="42"/>
      <c r="U135" s="42"/>
      <c r="V135" s="42"/>
      <c r="W135" s="42"/>
      <c r="X135" s="507"/>
      <c r="Y135" s="216"/>
      <c r="Z135" s="42"/>
      <c r="AA135" s="54"/>
      <c r="AB135" s="54"/>
      <c r="AC135" s="42"/>
      <c r="AD135" s="42"/>
      <c r="AE135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8"/>
      <c r="BC135" s="56"/>
      <c r="BD135" s="56"/>
      <c r="BE135" s="56"/>
      <c r="BF135" s="56"/>
    </row>
    <row r="136" spans="1:58" ht="12.95" customHeight="1">
      <c r="A136" s="45">
        <v>45957</v>
      </c>
      <c r="B136" s="46" t="s">
        <v>8</v>
      </c>
      <c r="C136" s="454">
        <f>(M136*E136*O136*Q136)/100000000</f>
        <v>64.562572799999998</v>
      </c>
      <c r="D136" s="46" t="s">
        <v>384</v>
      </c>
      <c r="E136" s="47">
        <v>36</v>
      </c>
      <c r="F136" s="47">
        <v>1</v>
      </c>
      <c r="G136" s="505">
        <v>455</v>
      </c>
      <c r="H136" s="49">
        <v>0.12</v>
      </c>
      <c r="I136" s="50">
        <v>0.88</v>
      </c>
      <c r="J136" s="87">
        <f>E136*G136*(1-H136)*1440/1000000*3.4</f>
        <v>70.572902400000004</v>
      </c>
      <c r="K136" s="87">
        <f>(IF(G136&lt;L136,L136,G136)*(1-IF(H136&lt;N136,H136,N136))*E136*O136*Q136)/100000000</f>
        <v>65.27993472</v>
      </c>
      <c r="L136" s="40">
        <v>450</v>
      </c>
      <c r="M136" s="40">
        <v>396</v>
      </c>
      <c r="N136" s="51">
        <f>1-(M136/L136)</f>
        <v>0.12</v>
      </c>
      <c r="O136" s="52">
        <f>+'Trim Rwd'!H90</f>
        <v>314.5</v>
      </c>
      <c r="P136" s="53">
        <f>O136*(Q136-R136-S136)</f>
        <v>413567.5</v>
      </c>
      <c r="Q136" s="52">
        <v>1440</v>
      </c>
      <c r="R136" s="506">
        <v>110</v>
      </c>
      <c r="S136" s="506">
        <v>15</v>
      </c>
      <c r="T136" s="42">
        <f>E136*M136*O136*Q136/100000000</f>
        <v>64.562572799999998</v>
      </c>
      <c r="U136" s="42">
        <f>E136*M136*O136*(Q136-R136-S136)/100000000</f>
        <v>58.958182800000003</v>
      </c>
      <c r="V136" s="42">
        <f>E136*G136*(1-N136)*O136/100*(R136+S136)/1000000</f>
        <v>5.6666610000000004</v>
      </c>
      <c r="W136" s="42">
        <f>+'27'!K34/1000</f>
        <v>59.281999999999996</v>
      </c>
      <c r="X136" s="507">
        <f>SUM(W136:W139)/SUM(K136:K139)</f>
        <v>0.90811978066880017</v>
      </c>
      <c r="Y136" s="216">
        <v>0</v>
      </c>
      <c r="Z136" s="42">
        <f>+'27'!D34/1000</f>
        <v>0.43</v>
      </c>
      <c r="AA136" s="54">
        <f>SUM(U136:U139)-SUM(W136:W139)-SUM(Z136:Z139)-SUM(Y136:Y139)</f>
        <v>-0.75381719999999341</v>
      </c>
      <c r="AB136" s="54">
        <f>(SUM(K136:K139)-SUM(W136:W139)-SUM(Y136:Y139)-SUM(Z136:Z139)-SUM(AC136:AC139)-SUM(V136:V139))-AA136</f>
        <v>-6.2271000000005072E-2</v>
      </c>
      <c r="AC136" s="42">
        <f>K136-T136</f>
        <v>0.71736192000000187</v>
      </c>
      <c r="AD136" s="42">
        <f>+AM136+BA136</f>
        <v>0</v>
      </c>
      <c r="AE136" s="234" t="s">
        <v>394</v>
      </c>
      <c r="AF136" s="42">
        <v>0</v>
      </c>
      <c r="AG136" s="42"/>
      <c r="AH136" s="42"/>
      <c r="AI136" s="508"/>
      <c r="AJ136" s="42"/>
      <c r="AK136" s="42"/>
      <c r="AL136" s="42"/>
      <c r="AM136" s="42">
        <f>SUM(AF136:AL136)+AT136+AV136+AX136</f>
        <v>0</v>
      </c>
      <c r="AN136" s="42"/>
      <c r="AO136" s="42"/>
      <c r="AP136" s="42"/>
      <c r="AQ136" s="42"/>
      <c r="AR136" s="42">
        <f>SUM(AN136:AQ136)</f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38">
        <v>0</v>
      </c>
      <c r="BC136" s="56"/>
      <c r="BD136" s="56"/>
      <c r="BE136" s="38"/>
      <c r="BF136" s="56"/>
    </row>
    <row r="137" spans="1:58" ht="12.95" customHeight="1">
      <c r="A137" s="45"/>
      <c r="B137" s="46"/>
      <c r="C137" s="454"/>
      <c r="D137" s="46"/>
      <c r="E137" s="47"/>
      <c r="F137" s="47"/>
      <c r="G137" s="505"/>
      <c r="H137" s="49"/>
      <c r="I137" s="50"/>
      <c r="J137" s="87"/>
      <c r="K137" s="87"/>
      <c r="L137" s="40"/>
      <c r="M137" s="40"/>
      <c r="N137" s="51"/>
      <c r="O137" s="52"/>
      <c r="P137" s="53"/>
      <c r="Q137" s="52"/>
      <c r="R137" s="506"/>
      <c r="S137" s="506"/>
      <c r="T137" s="42"/>
      <c r="U137" s="42"/>
      <c r="V137" s="42"/>
      <c r="W137" s="42"/>
      <c r="X137" s="43"/>
      <c r="Y137" s="216"/>
      <c r="Z137" s="42"/>
      <c r="AA137" s="42"/>
      <c r="AB137" s="42"/>
      <c r="AC137" s="42"/>
      <c r="AD137" s="42">
        <f>+AM137+BA137</f>
        <v>4</v>
      </c>
      <c r="AE137" s="234" t="s">
        <v>449</v>
      </c>
      <c r="AF137" s="42"/>
      <c r="AG137" s="42">
        <v>4</v>
      </c>
      <c r="AH137" s="42"/>
      <c r="AI137" s="508"/>
      <c r="AJ137" s="42"/>
      <c r="AK137" s="42"/>
      <c r="AL137" s="42"/>
      <c r="AM137" s="42">
        <f>SUM(AF137:AL137)+AT137+AV137+AX137</f>
        <v>4</v>
      </c>
      <c r="AN137" s="88"/>
      <c r="AO137" s="42"/>
      <c r="AP137" s="42"/>
      <c r="AQ137" s="42"/>
      <c r="AR137" s="42">
        <f>SUM(AN137:AQ137)</f>
        <v>0</v>
      </c>
      <c r="AS137" s="42"/>
      <c r="AT137" s="42"/>
      <c r="AU137" s="42"/>
      <c r="AV137" s="42"/>
      <c r="AW137" s="42"/>
      <c r="AX137" s="42"/>
      <c r="AY137" s="42"/>
      <c r="AZ137" s="42"/>
      <c r="BA137" s="42">
        <f>+AR137+AS137+AU137+AW137+AY137+AZ137</f>
        <v>0</v>
      </c>
      <c r="BB137" s="55"/>
      <c r="BC137" s="56">
        <v>2</v>
      </c>
      <c r="BD137" s="56"/>
      <c r="BE137" s="55"/>
      <c r="BF137" s="56"/>
    </row>
    <row r="138" spans="1:58" ht="12.95" customHeight="1">
      <c r="A138" s="45"/>
      <c r="B138" s="46"/>
      <c r="C138" s="454"/>
      <c r="D138" s="46"/>
      <c r="E138" s="47"/>
      <c r="F138" s="47"/>
      <c r="G138" s="505"/>
      <c r="H138" s="49"/>
      <c r="I138" s="50"/>
      <c r="J138" s="87"/>
      <c r="K138" s="87"/>
      <c r="L138" s="40"/>
      <c r="M138" s="40"/>
      <c r="N138" s="51"/>
      <c r="O138" s="52"/>
      <c r="P138" s="53"/>
      <c r="Q138" s="52"/>
      <c r="R138" s="506"/>
      <c r="S138" s="506"/>
      <c r="T138" s="42"/>
      <c r="U138" s="42"/>
      <c r="V138" s="42"/>
      <c r="W138" s="42"/>
      <c r="X138" s="43"/>
      <c r="Y138" s="216"/>
      <c r="Z138" s="42"/>
      <c r="AA138" s="42"/>
      <c r="AB138" s="42"/>
      <c r="AC138" s="42"/>
      <c r="AD138" s="42">
        <f>+AM138+BA138</f>
        <v>11</v>
      </c>
      <c r="AE138" s="234" t="s">
        <v>226</v>
      </c>
      <c r="AF138" s="38"/>
      <c r="AG138" s="38"/>
      <c r="AH138" s="42">
        <v>11</v>
      </c>
      <c r="AI138" s="508"/>
      <c r="AJ138" s="42"/>
      <c r="AK138" s="42"/>
      <c r="AL138" s="42"/>
      <c r="AM138" s="42">
        <f>SUM(AF138:AL138)+AT138+AV138+AX138</f>
        <v>11</v>
      </c>
      <c r="AN138" s="42"/>
      <c r="AO138" s="42"/>
      <c r="AP138" s="42"/>
      <c r="AQ138" s="42"/>
      <c r="AR138" s="42">
        <f>SUM(AN138:AQ138)</f>
        <v>0</v>
      </c>
      <c r="AS138" s="42"/>
      <c r="AT138" s="42"/>
      <c r="AU138" s="42"/>
      <c r="AV138" s="42"/>
      <c r="AW138" s="42"/>
      <c r="AX138" s="42"/>
      <c r="AY138" s="42"/>
      <c r="AZ138" s="42"/>
      <c r="BA138" s="42">
        <f>+AR138+AS138+AU138+AW138+AY138+AZ138</f>
        <v>0</v>
      </c>
      <c r="BB138" s="38"/>
      <c r="BC138" s="509"/>
      <c r="BD138" s="56"/>
      <c r="BE138" s="56"/>
      <c r="BF138" s="56"/>
    </row>
    <row r="139" spans="1:58" ht="12.95" customHeight="1">
      <c r="A139" s="45"/>
      <c r="B139" s="46"/>
      <c r="C139" s="454"/>
      <c r="D139" s="46"/>
      <c r="E139" s="47"/>
      <c r="F139" s="47"/>
      <c r="G139" s="505"/>
      <c r="H139" s="49"/>
      <c r="I139" s="50"/>
      <c r="J139" s="87"/>
      <c r="K139" s="87"/>
      <c r="L139" s="40"/>
      <c r="M139" s="40"/>
      <c r="N139" s="51"/>
      <c r="O139" s="52"/>
      <c r="P139" s="53"/>
      <c r="Q139" s="52"/>
      <c r="R139" s="506"/>
      <c r="S139" s="506"/>
      <c r="T139" s="42"/>
      <c r="U139" s="42"/>
      <c r="V139" s="42"/>
      <c r="W139" s="42"/>
      <c r="X139" s="507"/>
      <c r="Y139" s="216"/>
      <c r="Z139" s="42"/>
      <c r="AA139" s="54"/>
      <c r="AB139" s="54"/>
      <c r="AC139" s="42"/>
      <c r="AD139" s="42">
        <f>+AM139+BA139</f>
        <v>110</v>
      </c>
      <c r="AE139" s="237" t="s">
        <v>719</v>
      </c>
      <c r="AF139" s="38"/>
      <c r="AG139" s="38"/>
      <c r="AH139" s="38"/>
      <c r="AJ139" s="42"/>
      <c r="AK139" s="42"/>
      <c r="AL139" s="42"/>
      <c r="AM139" s="42">
        <f>SUM(AF139:AL139)+AT139+AV139+AX139</f>
        <v>0</v>
      </c>
      <c r="AN139" s="42"/>
      <c r="AO139" s="42"/>
      <c r="AP139" s="42">
        <v>110</v>
      </c>
      <c r="AQ139" s="42"/>
      <c r="AR139" s="42">
        <f>SUM(AN139:AQ139)</f>
        <v>110</v>
      </c>
      <c r="AS139" s="42"/>
      <c r="AT139" s="42"/>
      <c r="AU139" s="42"/>
      <c r="AV139" s="42"/>
      <c r="AW139" s="42"/>
      <c r="AX139" s="42"/>
      <c r="AY139" s="42"/>
      <c r="AZ139" s="42"/>
      <c r="BA139" s="42">
        <f>+AR139+AS139+AU139+AW139+AY139+AZ139</f>
        <v>110</v>
      </c>
      <c r="BB139" s="38"/>
      <c r="BC139" s="509"/>
      <c r="BD139" s="56"/>
      <c r="BE139" s="56"/>
      <c r="BF139" s="56"/>
    </row>
    <row r="140" spans="1:58" ht="12.95" customHeight="1">
      <c r="A140" s="45"/>
      <c r="B140" s="3"/>
      <c r="C140" s="454"/>
      <c r="D140" s="46"/>
      <c r="E140" s="251"/>
      <c r="F140" s="47"/>
      <c r="G140" s="48"/>
      <c r="H140" s="49"/>
      <c r="I140" s="50"/>
      <c r="J140" s="87"/>
      <c r="K140" s="87"/>
      <c r="L140" s="40"/>
      <c r="M140" s="40"/>
      <c r="N140" s="51"/>
      <c r="O140" s="52"/>
      <c r="P140" s="53"/>
      <c r="Q140" s="383"/>
      <c r="R140" s="55"/>
      <c r="S140" s="55"/>
      <c r="T140" s="42"/>
      <c r="U140" s="42"/>
      <c r="V140" s="42"/>
      <c r="W140" s="38"/>
      <c r="X140" s="43"/>
      <c r="Y140" s="43"/>
      <c r="Z140" s="38"/>
      <c r="AA140" s="54"/>
      <c r="AB140" s="54"/>
      <c r="AC140" s="42"/>
      <c r="AD140" s="42"/>
      <c r="AE140" s="24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8"/>
      <c r="BC140" s="56"/>
      <c r="BD140" s="56"/>
      <c r="BE140" s="55"/>
      <c r="BF140" s="56"/>
    </row>
    <row r="141" spans="1:58" ht="12.95" customHeight="1">
      <c r="A141" s="45">
        <v>45958</v>
      </c>
      <c r="B141" s="46" t="s">
        <v>8</v>
      </c>
      <c r="C141" s="454">
        <f>(M141*E141*O141*Q141)/100000000</f>
        <v>5.4997747200000013</v>
      </c>
      <c r="D141" s="46" t="s">
        <v>384</v>
      </c>
      <c r="E141" s="47">
        <v>36</v>
      </c>
      <c r="F141" s="47">
        <v>1</v>
      </c>
      <c r="G141" s="505">
        <v>455</v>
      </c>
      <c r="H141" s="49">
        <v>0.12</v>
      </c>
      <c r="I141" s="50">
        <v>0.88</v>
      </c>
      <c r="J141" s="87">
        <f>E141*G141*(1-H141)*1440/1000000*3.4</f>
        <v>70.572902400000004</v>
      </c>
      <c r="K141" s="87">
        <f>(IF(G141&lt;L141,L141,G141)*(1-IF(H141&lt;N141,H141,N141))*E141*O141*Q141)/100000000</f>
        <v>5.4997747200000013</v>
      </c>
      <c r="L141" s="40">
        <v>460</v>
      </c>
      <c r="M141" s="40">
        <f>+L141-L141*0.12</f>
        <v>404.8</v>
      </c>
      <c r="N141" s="51">
        <f>1-(M141/L141)</f>
        <v>0.12</v>
      </c>
      <c r="O141" s="52">
        <f>+'Trim Rwd'!H92</f>
        <v>314.5</v>
      </c>
      <c r="P141" s="53">
        <f>O141*(Q141-R141-S141)</f>
        <v>36167.5</v>
      </c>
      <c r="Q141" s="52">
        <v>120</v>
      </c>
      <c r="R141" s="506">
        <v>0</v>
      </c>
      <c r="S141" s="506">
        <v>5</v>
      </c>
      <c r="T141" s="42">
        <f>E141*M141*O141*Q141/100000000</f>
        <v>5.4997747200000013</v>
      </c>
      <c r="U141" s="42">
        <f>E141*M141*O141*(Q141-R141-S141)/100000000</f>
        <v>5.2706174400000005</v>
      </c>
      <c r="V141" s="42">
        <f>E141*G141*(1-N141)*O141/100*(R141+S141)/1000000</f>
        <v>0.22666644</v>
      </c>
      <c r="W141" s="42">
        <f>+'28'!K25/1000</f>
        <v>11.108000000000001</v>
      </c>
      <c r="X141" s="507">
        <f>SUM(W141:W144)/SUM(K141:K144)</f>
        <v>0.97036088299112555</v>
      </c>
      <c r="Y141" s="216">
        <v>0</v>
      </c>
      <c r="Z141" s="42">
        <f>+'27'!D39/1000</f>
        <v>0</v>
      </c>
      <c r="AA141" s="54">
        <f>SUM(U141:U144)-SUM(W141:W144)-SUM(Z141:Z144)-SUM(Y141:Y144)</f>
        <v>0.71690748799999682</v>
      </c>
      <c r="AB141" s="54">
        <f>(SUM(K141:K144)-SUM(W141:W144)-SUM(Y141:Y144)-SUM(Z141:Z144)-SUM(AC141:AC144)-SUM(V141:V144))-AA141</f>
        <v>4.5698400000109274E-3</v>
      </c>
      <c r="AC141" s="42">
        <f>K141-T141</f>
        <v>0</v>
      </c>
      <c r="AD141" s="42">
        <f>+AM141+BA141</f>
        <v>0</v>
      </c>
      <c r="AE141" s="234" t="s">
        <v>394</v>
      </c>
      <c r="AF141" s="42">
        <v>0</v>
      </c>
      <c r="AG141" s="42"/>
      <c r="AH141" s="42"/>
      <c r="AI141" s="508"/>
      <c r="AJ141" s="42"/>
      <c r="AK141" s="42"/>
      <c r="AL141" s="42"/>
      <c r="AM141" s="42">
        <f>SUM(AF141:AL141)+AT141+AV141+AX141</f>
        <v>0</v>
      </c>
      <c r="AN141" s="42"/>
      <c r="AO141" s="42"/>
      <c r="AP141" s="42"/>
      <c r="AQ141" s="42"/>
      <c r="AR141" s="42">
        <f>SUM(AN141:AQ141)</f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38">
        <v>0</v>
      </c>
      <c r="BC141" s="56"/>
      <c r="BD141" s="56"/>
      <c r="BE141" s="56"/>
      <c r="BF141" s="56"/>
    </row>
    <row r="142" spans="1:58" ht="12.95" customHeight="1">
      <c r="A142" s="45"/>
      <c r="B142" s="46" t="s">
        <v>8</v>
      </c>
      <c r="C142" s="454">
        <f>(M142*E142*O142*Q142)/100000000</f>
        <v>44.582709600000001</v>
      </c>
      <c r="D142" s="46" t="s">
        <v>384</v>
      </c>
      <c r="E142" s="47">
        <v>38</v>
      </c>
      <c r="F142" s="47">
        <v>1</v>
      </c>
      <c r="G142" s="505">
        <v>430</v>
      </c>
      <c r="H142" s="49">
        <v>0.12</v>
      </c>
      <c r="I142" s="50">
        <v>0.88</v>
      </c>
      <c r="J142" s="87">
        <f>E142*G142*(1-H142)*1440/1000000*3.4</f>
        <v>70.400563199999993</v>
      </c>
      <c r="K142" s="87">
        <f>(IF(G142&lt;L142,L142,G142)*(1-IF(H142&lt;N142,H142,N142))*E142*O142*Q142)/100000000</f>
        <v>44.582709600000001</v>
      </c>
      <c r="L142" s="40">
        <v>430</v>
      </c>
      <c r="M142" s="40">
        <f>+L142-L142*0.12</f>
        <v>378.4</v>
      </c>
      <c r="N142" s="51">
        <f>1-(M142/L142)</f>
        <v>0.12000000000000011</v>
      </c>
      <c r="O142" s="52">
        <f>+'Trim Rwd'!H93</f>
        <v>318</v>
      </c>
      <c r="P142" s="53">
        <f>O142*(Q142-R142-S142)</f>
        <v>304644</v>
      </c>
      <c r="Q142" s="52">
        <v>975</v>
      </c>
      <c r="R142" s="506">
        <v>0</v>
      </c>
      <c r="S142" s="506">
        <v>17</v>
      </c>
      <c r="T142" s="42">
        <f>E142*M142*O142*Q142/100000000</f>
        <v>44.582709600000001</v>
      </c>
      <c r="U142" s="42">
        <f>E142*M142*O142*(Q142-R142-S142)/100000000</f>
        <v>43.805370047999993</v>
      </c>
      <c r="V142" s="42">
        <f>E142*G142*(1-N142)*O142/100*(R142+S142)/1000000</f>
        <v>0.77733955200000004</v>
      </c>
      <c r="W142" s="42">
        <f>+'28'!K26/1000</f>
        <v>44.905000000000001</v>
      </c>
      <c r="X142" s="43"/>
      <c r="Y142" s="216"/>
      <c r="Z142" s="42"/>
      <c r="AA142" s="42"/>
      <c r="AB142" s="42"/>
      <c r="AC142" s="42">
        <f>K142-T142</f>
        <v>0</v>
      </c>
      <c r="AD142" s="42">
        <f>+AM142+BA142</f>
        <v>10</v>
      </c>
      <c r="AE142" s="234" t="s">
        <v>393</v>
      </c>
      <c r="AF142" s="42"/>
      <c r="AG142" s="42">
        <v>10</v>
      </c>
      <c r="AH142" s="42"/>
      <c r="AI142" s="508"/>
      <c r="AJ142" s="42"/>
      <c r="AK142" s="42"/>
      <c r="AL142" s="42"/>
      <c r="AM142" s="42">
        <f>SUM(AF142:AL142)+AT142+AV142+AX142</f>
        <v>10</v>
      </c>
      <c r="AN142" s="88"/>
      <c r="AO142" s="42"/>
      <c r="AP142" s="42"/>
      <c r="AQ142" s="42"/>
      <c r="AR142" s="42">
        <f>SUM(AN142:AQ142)</f>
        <v>0</v>
      </c>
      <c r="AS142" s="42"/>
      <c r="AT142" s="42"/>
      <c r="AU142" s="42"/>
      <c r="AV142" s="42"/>
      <c r="AW142" s="42"/>
      <c r="AX142" s="42"/>
      <c r="AY142" s="42"/>
      <c r="AZ142" s="42"/>
      <c r="BA142" s="42">
        <f>+AR142+AS142+AU142+AW142+AY142+AZ142</f>
        <v>0</v>
      </c>
      <c r="BB142" s="55"/>
      <c r="BC142" s="56">
        <v>3</v>
      </c>
      <c r="BD142" s="56"/>
      <c r="BE142" s="56"/>
      <c r="BF142" s="56"/>
    </row>
    <row r="143" spans="1:58" ht="12.95" customHeight="1">
      <c r="A143" s="45"/>
      <c r="B143" s="46" t="s">
        <v>8</v>
      </c>
      <c r="C143" s="454">
        <f>(M143*E143*O143*Q143)/100000000</f>
        <v>15.77961</v>
      </c>
      <c r="D143" s="46" t="s">
        <v>384</v>
      </c>
      <c r="E143" s="47">
        <v>30</v>
      </c>
      <c r="F143" s="47">
        <v>1</v>
      </c>
      <c r="G143" s="505">
        <v>545</v>
      </c>
      <c r="H143" s="49">
        <v>0.12</v>
      </c>
      <c r="I143" s="50">
        <v>0.88</v>
      </c>
      <c r="J143" s="87">
        <f>E143*G143*(1-H143)*1440/1000000*3.4</f>
        <v>70.443647999999996</v>
      </c>
      <c r="K143" s="87">
        <f>(IF(G143&lt;L143,L143,G143)*(1-IF(H143&lt;N143,H143,N143))*E143*O143*Q143)/100000000</f>
        <v>15.77961</v>
      </c>
      <c r="L143" s="40">
        <v>550</v>
      </c>
      <c r="M143" s="40">
        <f>+L143-L143*0.12</f>
        <v>484</v>
      </c>
      <c r="N143" s="51">
        <f>1-(M143/L143)</f>
        <v>0.12</v>
      </c>
      <c r="O143" s="52">
        <f>+'Trim Rwd'!H94</f>
        <v>315</v>
      </c>
      <c r="P143" s="53">
        <f>O143*(Q143-R143-S143)</f>
        <v>107100</v>
      </c>
      <c r="Q143" s="52">
        <v>345</v>
      </c>
      <c r="R143" s="506">
        <v>0</v>
      </c>
      <c r="S143" s="506">
        <v>5</v>
      </c>
      <c r="T143" s="42">
        <f>E143*M143*O143*Q143/100000000</f>
        <v>15.77961</v>
      </c>
      <c r="U143" s="42">
        <f>E143*M143*O143*(Q143-R143-S143)/100000000</f>
        <v>15.55092</v>
      </c>
      <c r="V143" s="42">
        <f>E143*G143*(1-N143)*O143/100*(R143+S143)/1000000</f>
        <v>0.22661100000000001</v>
      </c>
      <c r="W143" s="42">
        <f>+'28'!K27/1000</f>
        <v>7.8970000000000002</v>
      </c>
      <c r="X143" s="43"/>
      <c r="Y143" s="216"/>
      <c r="Z143" s="42"/>
      <c r="AA143" s="42"/>
      <c r="AB143" s="42"/>
      <c r="AC143" s="42">
        <f>K143-T143</f>
        <v>0</v>
      </c>
      <c r="AD143" s="42">
        <f>+AM143+BA143</f>
        <v>10</v>
      </c>
      <c r="AE143" s="234" t="s">
        <v>226</v>
      </c>
      <c r="AF143" s="38"/>
      <c r="AG143" s="38"/>
      <c r="AH143" s="38">
        <v>10</v>
      </c>
      <c r="AJ143" s="42"/>
      <c r="AK143" s="42"/>
      <c r="AL143" s="42"/>
      <c r="AM143" s="42">
        <f>SUM(AF143:AL143)+AT143+AV143+AX143</f>
        <v>10</v>
      </c>
      <c r="AN143" s="42"/>
      <c r="AO143" s="42"/>
      <c r="AP143" s="42"/>
      <c r="AQ143" s="42"/>
      <c r="AR143" s="42">
        <f>SUM(AN143:AQ143)</f>
        <v>0</v>
      </c>
      <c r="AS143" s="42"/>
      <c r="AT143" s="42"/>
      <c r="AU143" s="42"/>
      <c r="AV143" s="42"/>
      <c r="AW143" s="42"/>
      <c r="AX143" s="42"/>
      <c r="AY143" s="42"/>
      <c r="AZ143" s="42"/>
      <c r="BA143" s="42">
        <f>+AR143+AS143+AU143+AW143+AY143+AZ143</f>
        <v>0</v>
      </c>
      <c r="BB143" s="38"/>
      <c r="BC143" s="509"/>
      <c r="BD143" s="56"/>
      <c r="BE143" s="56"/>
      <c r="BF143" s="56"/>
    </row>
    <row r="144" spans="1:58" ht="12.95" customHeight="1">
      <c r="A144" s="45"/>
      <c r="B144" s="565"/>
      <c r="C144" s="454"/>
      <c r="D144" s="46"/>
      <c r="E144" s="47"/>
      <c r="F144" s="47"/>
      <c r="G144" s="48"/>
      <c r="H144" s="49"/>
      <c r="I144" s="50"/>
      <c r="J144" s="87"/>
      <c r="K144" s="87"/>
      <c r="L144" s="40"/>
      <c r="M144" s="40"/>
      <c r="N144" s="51"/>
      <c r="O144" s="52"/>
      <c r="P144" s="53"/>
      <c r="Q144" s="39"/>
      <c r="R144" s="506"/>
      <c r="S144" s="506"/>
      <c r="T144" s="42"/>
      <c r="U144" s="42"/>
      <c r="V144" s="42"/>
      <c r="W144" s="42"/>
      <c r="X144" s="43"/>
      <c r="Y144" s="43"/>
      <c r="Z144" s="42"/>
      <c r="AA144" s="54"/>
      <c r="AB144" s="54"/>
      <c r="AC144" s="42"/>
      <c r="AD144" s="42">
        <f>+AM144+BA144</f>
        <v>7</v>
      </c>
      <c r="AE144" s="234" t="s">
        <v>463</v>
      </c>
      <c r="AF144" s="42"/>
      <c r="AG144" s="42"/>
      <c r="AH144" s="42"/>
      <c r="AI144" s="42">
        <v>7</v>
      </c>
      <c r="AJ144" s="42"/>
      <c r="AK144" s="42"/>
      <c r="AL144" s="42"/>
      <c r="AM144" s="42">
        <f>SUM(AF144:AL144)+AT144+AV144+AX144</f>
        <v>7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>+AR144+AS144+AU144+AW144+AY144+AZ144</f>
        <v>0</v>
      </c>
      <c r="BB144" s="38"/>
      <c r="BC144" s="509"/>
      <c r="BD144" s="56"/>
      <c r="BE144" s="56"/>
      <c r="BF144" s="56"/>
    </row>
    <row r="145" spans="1:58" ht="12.95" customHeight="1">
      <c r="A145" s="45"/>
      <c r="B145" s="3"/>
      <c r="C145" s="454"/>
      <c r="D145" s="46"/>
      <c r="E145" s="251"/>
      <c r="F145" s="47"/>
      <c r="G145" s="48"/>
      <c r="H145" s="49"/>
      <c r="I145" s="50"/>
      <c r="J145" s="87"/>
      <c r="K145" s="87"/>
      <c r="L145" s="40"/>
      <c r="M145" s="40"/>
      <c r="N145" s="51"/>
      <c r="O145" s="52"/>
      <c r="P145" s="53"/>
      <c r="Q145" s="383"/>
      <c r="R145" s="55"/>
      <c r="S145" s="55"/>
      <c r="T145" s="42"/>
      <c r="U145" s="42"/>
      <c r="V145" s="42"/>
      <c r="W145" s="38"/>
      <c r="X145" s="43"/>
      <c r="Y145" s="43"/>
      <c r="Z145" s="38"/>
      <c r="AA145" s="54"/>
      <c r="AB145" s="54"/>
      <c r="AC145" s="42"/>
      <c r="AD145" s="42"/>
      <c r="AE145" s="24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8"/>
      <c r="BC145" s="56"/>
      <c r="BD145" s="509"/>
      <c r="BE145" s="38"/>
      <c r="BF145" s="509"/>
    </row>
    <row r="146" spans="1:58" ht="12.95" customHeight="1">
      <c r="A146" s="45">
        <v>45959</v>
      </c>
      <c r="B146" s="46" t="s">
        <v>8</v>
      </c>
      <c r="C146" s="454">
        <f>(M146*E146*O146*Q146)/100000000</f>
        <v>5.4885599999999997</v>
      </c>
      <c r="D146" s="46" t="s">
        <v>384</v>
      </c>
      <c r="E146" s="47">
        <v>30</v>
      </c>
      <c r="F146" s="47">
        <v>1</v>
      </c>
      <c r="G146" s="505">
        <v>545</v>
      </c>
      <c r="H146" s="49">
        <v>0.12</v>
      </c>
      <c r="I146" s="50">
        <v>0.88</v>
      </c>
      <c r="J146" s="87">
        <f>E146*G146*(1-H146)*1440/1000000*3.4</f>
        <v>70.443647999999996</v>
      </c>
      <c r="K146" s="87">
        <f>(IF(G146&lt;L146,L146,G146)*(1-IF(H146&lt;N146,H146,N146))*E146*O146*Q146)/100000000</f>
        <v>5.4885599999999997</v>
      </c>
      <c r="L146" s="40">
        <v>550</v>
      </c>
      <c r="M146" s="40">
        <f>+L146-L146*0.12</f>
        <v>484</v>
      </c>
      <c r="N146" s="51">
        <f>1-(M146/L146)</f>
        <v>0.12</v>
      </c>
      <c r="O146" s="52">
        <f>+'Trim Rwd'!H96</f>
        <v>315</v>
      </c>
      <c r="P146" s="53">
        <f>O146*(Q146-R146-S146)</f>
        <v>35280</v>
      </c>
      <c r="Q146" s="52">
        <v>120</v>
      </c>
      <c r="R146" s="506">
        <v>0</v>
      </c>
      <c r="S146" s="506">
        <v>8</v>
      </c>
      <c r="T146" s="42">
        <f>E146*M146*O146*Q146/100000000</f>
        <v>5.4885599999999997</v>
      </c>
      <c r="U146" s="42">
        <f>E146*M146*O146*(Q146-R146-S146)/100000000</f>
        <v>5.1226560000000001</v>
      </c>
      <c r="V146" s="42">
        <f>E146*G146*(1-N146)*O146/100*(R146+S146)/1000000</f>
        <v>0.3625776</v>
      </c>
      <c r="W146" s="42">
        <f>+'29'!K27/1000</f>
        <v>12.305</v>
      </c>
      <c r="X146" s="507">
        <f>SUM(W146:W149)/SUM(K146:K149)</f>
        <v>0.98321760510606426</v>
      </c>
      <c r="Y146" s="216">
        <v>0</v>
      </c>
      <c r="Z146" s="42">
        <f>+'29'!D34/1000</f>
        <v>0.19500000000000001</v>
      </c>
      <c r="AA146" s="54">
        <f>SUM(U146:U149)-SUM(W146:W149)-SUM(Z146:Z149)-SUM(Y146:Y149)</f>
        <v>-0.148477109581371</v>
      </c>
      <c r="AB146" s="54">
        <f>(SUM(K146:K149)-SUM(W146:W149)-SUM(Y146:Y149)-SUM(Z146:Z149)-SUM(AC146:AC149)-SUM(V146:V149))-AA146</f>
        <v>3.9860070697656569E-2</v>
      </c>
      <c r="AC146" s="42">
        <f>K146-T146</f>
        <v>0</v>
      </c>
      <c r="AD146" s="42">
        <f>+AM146+BA146</f>
        <v>0</v>
      </c>
      <c r="AE146" s="234" t="s">
        <v>394</v>
      </c>
      <c r="AF146" s="42">
        <v>0</v>
      </c>
      <c r="AG146" s="42"/>
      <c r="AH146" s="42"/>
      <c r="AI146" s="508"/>
      <c r="AJ146" s="42"/>
      <c r="AK146" s="42"/>
      <c r="AL146" s="42"/>
      <c r="AM146" s="42">
        <f>SUM(AF146:AL146)+AT146+AV146+AX146</f>
        <v>0</v>
      </c>
      <c r="AN146" s="42"/>
      <c r="AO146" s="42"/>
      <c r="AP146" s="42"/>
      <c r="AQ146" s="42"/>
      <c r="AR146" s="42">
        <f>SUM(AN146:AQ146)</f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>+AR146+AS146+AU146+AW146+AY146+AZ146</f>
        <v>0</v>
      </c>
      <c r="BB146" s="38">
        <v>0</v>
      </c>
      <c r="BC146" s="56"/>
      <c r="BD146" s="56"/>
      <c r="BE146" s="56"/>
      <c r="BF146" s="56"/>
    </row>
    <row r="147" spans="1:58" ht="12.95" customHeight="1">
      <c r="A147" s="45"/>
      <c r="B147" s="46" t="s">
        <v>8</v>
      </c>
      <c r="C147" s="454">
        <f>(M147*E147*O147*Q147)/100000000</f>
        <v>68.719834582325589</v>
      </c>
      <c r="D147" s="46" t="s">
        <v>384</v>
      </c>
      <c r="E147" s="47">
        <v>31.5</v>
      </c>
      <c r="F147" s="47">
        <v>1</v>
      </c>
      <c r="G147" s="505">
        <v>545</v>
      </c>
      <c r="H147" s="49">
        <v>0.12</v>
      </c>
      <c r="I147" s="50">
        <v>0.88</v>
      </c>
      <c r="J147" s="87">
        <f>E147*G147*(1-H147)*1440/1000000*3.4</f>
        <v>73.965830400000002</v>
      </c>
      <c r="K147" s="87">
        <f>(IF(G147&lt;L147,L147,G147)*(1-IF(H147&lt;N147,H147,N147))*E147*O147*Q147)/100000000</f>
        <v>68.719834582325589</v>
      </c>
      <c r="L147" s="40">
        <v>570</v>
      </c>
      <c r="M147" s="40">
        <f>+L147-L147*0.12</f>
        <v>501.6</v>
      </c>
      <c r="N147" s="51">
        <f>1-(M147/L147)</f>
        <v>0.12</v>
      </c>
      <c r="O147" s="52">
        <f>+'Trim Rwd'!H97</f>
        <v>329.48837209302326</v>
      </c>
      <c r="P147" s="53">
        <f>O147*(Q147-R147-S147)</f>
        <v>429652.83720930235</v>
      </c>
      <c r="Q147" s="52">
        <v>1320</v>
      </c>
      <c r="R147" s="506">
        <v>0</v>
      </c>
      <c r="S147" s="506">
        <v>16</v>
      </c>
      <c r="T147" s="42">
        <f>E147*M147*O147*Q147/100000000</f>
        <v>68.719834582325589</v>
      </c>
      <c r="U147" s="42">
        <f>E147*M147*O147*(Q147-R147-S147)/100000000</f>
        <v>67.886866890418617</v>
      </c>
      <c r="V147" s="42">
        <f>E147*G147*(1-N147)*O147/100*(R147+S147)/1000000</f>
        <v>0.79643402120930229</v>
      </c>
      <c r="W147" s="42">
        <f>+'29'!K28/1000</f>
        <v>60.658000000000001</v>
      </c>
      <c r="X147" s="43"/>
      <c r="Y147" s="216"/>
      <c r="Z147" s="42"/>
      <c r="AA147" s="42"/>
      <c r="AB147" s="42"/>
      <c r="AC147" s="42">
        <f>K147-T147</f>
        <v>0</v>
      </c>
      <c r="AD147" s="42">
        <f>+AM147+BA147</f>
        <v>8</v>
      </c>
      <c r="AE147" s="234" t="s">
        <v>393</v>
      </c>
      <c r="AF147" s="42"/>
      <c r="AG147" s="42">
        <v>8</v>
      </c>
      <c r="AH147" s="42"/>
      <c r="AI147" s="508"/>
      <c r="AJ147" s="42"/>
      <c r="AK147" s="42"/>
      <c r="AL147" s="42"/>
      <c r="AM147" s="42">
        <f>SUM(AF147:AL147)+AT147+AV147+AX147</f>
        <v>8</v>
      </c>
      <c r="AN147" s="88"/>
      <c r="AO147" s="42"/>
      <c r="AP147" s="42"/>
      <c r="AQ147" s="42"/>
      <c r="AR147" s="42">
        <f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>+AR147+AS147+AU147+AW147+AY147+AZ147</f>
        <v>0</v>
      </c>
      <c r="BB147" s="55"/>
      <c r="BC147" s="56">
        <v>3</v>
      </c>
      <c r="BD147" s="56"/>
      <c r="BE147" s="56"/>
      <c r="BF147" s="56"/>
    </row>
    <row r="148" spans="1:58" ht="12.95" customHeight="1">
      <c r="A148" s="45"/>
      <c r="B148" s="46"/>
      <c r="C148" s="454"/>
      <c r="D148" s="46"/>
      <c r="E148" s="47"/>
      <c r="F148" s="47"/>
      <c r="G148" s="505"/>
      <c r="H148" s="49"/>
      <c r="I148" s="50"/>
      <c r="J148" s="87"/>
      <c r="K148" s="87"/>
      <c r="L148" s="40"/>
      <c r="M148" s="40"/>
      <c r="N148" s="51"/>
      <c r="O148" s="52"/>
      <c r="P148" s="53"/>
      <c r="Q148" s="52"/>
      <c r="R148" s="506"/>
      <c r="S148" s="506"/>
      <c r="T148" s="42"/>
      <c r="U148" s="42"/>
      <c r="V148" s="42"/>
      <c r="W148" s="42"/>
      <c r="X148" s="43"/>
      <c r="Y148" s="216"/>
      <c r="Z148" s="42"/>
      <c r="AA148" s="42"/>
      <c r="AB148" s="42"/>
      <c r="AC148" s="42"/>
      <c r="AD148" s="42">
        <f>+AM148+BA148</f>
        <v>16</v>
      </c>
      <c r="AE148" s="234" t="s">
        <v>226</v>
      </c>
      <c r="AF148" s="38"/>
      <c r="AG148" s="38"/>
      <c r="AH148" s="38">
        <v>16</v>
      </c>
      <c r="AJ148" s="42"/>
      <c r="AK148" s="42"/>
      <c r="AL148" s="42"/>
      <c r="AM148" s="42">
        <f>SUM(AF148:AL148)+AT148+AV148+AX148</f>
        <v>16</v>
      </c>
      <c r="AN148" s="42"/>
      <c r="AO148" s="42"/>
      <c r="AP148" s="42"/>
      <c r="AQ148" s="42"/>
      <c r="AR148" s="42">
        <f>SUM(AN148:AQ148)</f>
        <v>0</v>
      </c>
      <c r="AS148" s="42"/>
      <c r="AT148" s="42"/>
      <c r="AU148" s="42"/>
      <c r="AV148" s="42"/>
      <c r="AW148" s="42"/>
      <c r="AX148" s="42"/>
      <c r="AY148" s="42"/>
      <c r="AZ148" s="42"/>
      <c r="BA148" s="42">
        <f>+AR148+AS148+AU148+AW148+AY148+AZ148</f>
        <v>0</v>
      </c>
      <c r="BB148" s="38"/>
      <c r="BC148" s="509"/>
      <c r="BD148" s="56"/>
      <c r="BE148" s="56"/>
      <c r="BF148" s="56"/>
    </row>
    <row r="149" spans="1:58" ht="12.95" customHeight="1">
      <c r="A149" s="45"/>
      <c r="B149" s="566"/>
      <c r="C149" s="454"/>
      <c r="D149" s="46"/>
      <c r="E149" s="47"/>
      <c r="F149" s="47"/>
      <c r="G149" s="48"/>
      <c r="H149" s="49"/>
      <c r="I149" s="50"/>
      <c r="J149" s="87"/>
      <c r="K149" s="87"/>
      <c r="L149" s="40"/>
      <c r="M149" s="40"/>
      <c r="N149" s="51"/>
      <c r="O149" s="52"/>
      <c r="P149" s="53"/>
      <c r="Q149" s="39"/>
      <c r="R149" s="506"/>
      <c r="S149" s="506"/>
      <c r="T149" s="42"/>
      <c r="U149" s="42"/>
      <c r="V149" s="42"/>
      <c r="W149" s="42"/>
      <c r="X149" s="43"/>
      <c r="Y149" s="43"/>
      <c r="Z149" s="42"/>
      <c r="AA149" s="54"/>
      <c r="AB149" s="54"/>
      <c r="AC149" s="42"/>
      <c r="AD149" s="42"/>
      <c r="AE149" s="234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8"/>
      <c r="BC149" s="56"/>
      <c r="BD149" s="509"/>
      <c r="BE149" s="38"/>
      <c r="BF149" s="509"/>
    </row>
    <row r="150" spans="1:58" ht="12.95" customHeight="1">
      <c r="A150" s="45">
        <v>45960</v>
      </c>
      <c r="B150" s="46" t="s">
        <v>8</v>
      </c>
      <c r="C150" s="454">
        <f>(M150*E150*O150*Q150)/100000000</f>
        <v>17.877023999999999</v>
      </c>
      <c r="D150" s="46" t="s">
        <v>384</v>
      </c>
      <c r="E150" s="47">
        <v>30</v>
      </c>
      <c r="F150" s="47">
        <v>1</v>
      </c>
      <c r="G150" s="505">
        <v>545</v>
      </c>
      <c r="H150" s="49">
        <v>0.12</v>
      </c>
      <c r="I150" s="50">
        <v>0.88</v>
      </c>
      <c r="J150" s="87">
        <f>E150*G150*(1-H150)*1440/1000000*3.4</f>
        <v>70.443647999999996</v>
      </c>
      <c r="K150" s="87">
        <f>(IF(G150&lt;L150,L150,G150)*(1-IF(H150&lt;N150,H150,N150))*E150*O150*Q150)/100000000</f>
        <v>17.877023999999999</v>
      </c>
      <c r="L150" s="40">
        <v>570</v>
      </c>
      <c r="M150" s="40">
        <f>+L150-L150*0.12</f>
        <v>501.6</v>
      </c>
      <c r="N150" s="51">
        <f>1-(M150/L150)</f>
        <v>0.12</v>
      </c>
      <c r="O150" s="52">
        <f>+'Trim Rwd'!H100</f>
        <v>330</v>
      </c>
      <c r="P150" s="53">
        <f>O150*(Q150-R150-S150)</f>
        <v>115830</v>
      </c>
      <c r="Q150" s="52">
        <v>360</v>
      </c>
      <c r="R150" s="506">
        <v>0</v>
      </c>
      <c r="S150" s="506">
        <v>9</v>
      </c>
      <c r="T150" s="42">
        <f>E150*M150*O150*Q150/100000000</f>
        <v>17.877023999999999</v>
      </c>
      <c r="U150" s="42">
        <f>E150*M150*O150*(Q150-R150-S150)/100000000</f>
        <v>17.430098399999999</v>
      </c>
      <c r="V150" s="42">
        <f>E150*G150*(1-N150)*O150/100*(R150+S150)/1000000</f>
        <v>0.42732360000000003</v>
      </c>
      <c r="W150" s="42">
        <f>+'30'!K28/1000</f>
        <v>25.213999999999999</v>
      </c>
      <c r="X150" s="507">
        <f>SUM(W150:W153)/SUM(K150:K153)</f>
        <v>0.91218582770484657</v>
      </c>
      <c r="Y150" s="216">
        <v>0</v>
      </c>
      <c r="Z150" s="42">
        <v>0</v>
      </c>
      <c r="AA150" s="54">
        <f>SUM(U150:U153)-SUM(W150:W153)-SUM(Z150:Z153)-SUM(Y150:Y153)</f>
        <v>-1.6657208219999831</v>
      </c>
      <c r="AB150" s="54">
        <f>(SUM(K150:K153)-SUM(W150:W153)-SUM(Y150:Y153)-SUM(Z150:Z153)-SUM(AC150:AC153)-SUM(V150:V153))-AA150</f>
        <v>-5.726050000000571E-2</v>
      </c>
      <c r="AC150" s="42">
        <f>K150-T150</f>
        <v>0</v>
      </c>
      <c r="AD150" s="42">
        <f>+AM150+BA150</f>
        <v>0</v>
      </c>
      <c r="AE150" s="234" t="s">
        <v>394</v>
      </c>
      <c r="AF150" s="42">
        <v>0</v>
      </c>
      <c r="AG150" s="42"/>
      <c r="AH150" s="42"/>
      <c r="AI150" s="508"/>
      <c r="AJ150" s="42"/>
      <c r="AK150" s="42"/>
      <c r="AL150" s="42"/>
      <c r="AM150" s="42">
        <f>SUM(AF150:AL150)+AT150+AV150+AX150</f>
        <v>0</v>
      </c>
      <c r="AN150" s="42"/>
      <c r="AO150" s="42"/>
      <c r="AP150" s="42"/>
      <c r="AQ150" s="42"/>
      <c r="AR150" s="42">
        <f>SUM(AN150:AQ150)</f>
        <v>0</v>
      </c>
      <c r="AS150" s="42"/>
      <c r="AT150" s="42"/>
      <c r="AU150" s="42"/>
      <c r="AV150" s="42"/>
      <c r="AW150" s="42"/>
      <c r="AX150" s="42"/>
      <c r="AY150" s="42"/>
      <c r="AZ150" s="42"/>
      <c r="BA150" s="42">
        <f>+AR150+AS150+AU150+AW150+AY150+AZ150</f>
        <v>0</v>
      </c>
      <c r="BB150" s="38">
        <v>0</v>
      </c>
      <c r="BC150" s="56"/>
      <c r="BD150" s="56"/>
      <c r="BE150" s="56"/>
      <c r="BF150" s="56"/>
    </row>
    <row r="151" spans="1:58" ht="12.95" customHeight="1">
      <c r="A151" s="45"/>
      <c r="B151" s="46" t="s">
        <v>462</v>
      </c>
      <c r="C151" s="454">
        <f>(M151*E151*O151*Q151)/100000000</f>
        <v>42.836868750000008</v>
      </c>
      <c r="D151" s="46" t="s">
        <v>384</v>
      </c>
      <c r="E151" s="47">
        <v>25</v>
      </c>
      <c r="F151" s="47">
        <v>1</v>
      </c>
      <c r="G151" s="505">
        <v>780</v>
      </c>
      <c r="H151" s="49">
        <v>0.14000000000000001</v>
      </c>
      <c r="I151" s="50">
        <v>0.88</v>
      </c>
      <c r="J151" s="87">
        <f>E151*G151*(1-H151)*1440/1000000*3.4</f>
        <v>82.105919999999998</v>
      </c>
      <c r="K151" s="87">
        <f>(IF(G151&lt;L151,L151,G151)*(1-IF(H151&lt;N151,H151,N151))*E151*O151*Q151)/100000000</f>
        <v>49.869787500000001</v>
      </c>
      <c r="L151" s="40">
        <v>670</v>
      </c>
      <c r="M151" s="40">
        <f>+L151-L151*0.14</f>
        <v>576.20000000000005</v>
      </c>
      <c r="N151" s="51">
        <f>1-(M151/L151)</f>
        <v>0.1399999999999999</v>
      </c>
      <c r="O151" s="52">
        <f>+'Trim Rwd'!H101</f>
        <v>325</v>
      </c>
      <c r="P151" s="53">
        <f>O151*(Q151-R151-S151)</f>
        <v>294125</v>
      </c>
      <c r="Q151" s="52">
        <v>915</v>
      </c>
      <c r="R151" s="506">
        <v>0</v>
      </c>
      <c r="S151" s="506">
        <v>10</v>
      </c>
      <c r="T151" s="42">
        <f>E151*M151*O151*Q151/100000000</f>
        <v>42.836868750000008</v>
      </c>
      <c r="U151" s="42">
        <f>E151*M151*O151*(Q151-R151-S151)/100000000</f>
        <v>42.36870625000001</v>
      </c>
      <c r="V151" s="42">
        <f>E151*G151*(1-N151)*O151/100*(R151+S151)/1000000</f>
        <v>0.54502500000000009</v>
      </c>
      <c r="W151" s="42">
        <f>+'30'!K29/1000</f>
        <v>43.279000000000003</v>
      </c>
      <c r="X151" s="43"/>
      <c r="Y151" s="216"/>
      <c r="Z151" s="42"/>
      <c r="AA151" s="42"/>
      <c r="AB151" s="42"/>
      <c r="AC151" s="42">
        <f>K151-T151</f>
        <v>7.0329187499999932</v>
      </c>
      <c r="AD151" s="42">
        <f>+AM151+BA151</f>
        <v>9</v>
      </c>
      <c r="AE151" s="234" t="s">
        <v>480</v>
      </c>
      <c r="AF151" s="42"/>
      <c r="AG151" s="42">
        <v>9</v>
      </c>
      <c r="AH151" s="42"/>
      <c r="AI151" s="508"/>
      <c r="AJ151" s="42"/>
      <c r="AK151" s="42"/>
      <c r="AL151" s="42"/>
      <c r="AM151" s="42">
        <f>SUM(AF151:AL151)+AT151+AV151+AX151</f>
        <v>9</v>
      </c>
      <c r="AN151" s="88"/>
      <c r="AO151" s="42"/>
      <c r="AP151" s="42"/>
      <c r="AQ151" s="42"/>
      <c r="AR151" s="42">
        <f>SUM(AN151:AQ151)</f>
        <v>0</v>
      </c>
      <c r="AS151" s="42"/>
      <c r="AT151" s="42"/>
      <c r="AU151" s="42"/>
      <c r="AV151" s="42"/>
      <c r="AW151" s="42"/>
      <c r="AX151" s="42"/>
      <c r="AY151" s="42"/>
      <c r="AZ151" s="42"/>
      <c r="BA151" s="42">
        <f>+AR151+AS151+AU151+AW151+AY151+AZ151</f>
        <v>0</v>
      </c>
      <c r="BB151" s="55"/>
      <c r="BC151" s="56">
        <v>4</v>
      </c>
      <c r="BD151" s="56"/>
      <c r="BE151" s="56"/>
      <c r="BF151" s="56"/>
    </row>
    <row r="152" spans="1:58" ht="12.95" customHeight="1">
      <c r="A152" s="45"/>
      <c r="B152" s="46" t="s">
        <v>8</v>
      </c>
      <c r="C152" s="454">
        <f>(M152*E152*O152*Q152)/100000000</f>
        <v>7.3398626399999989</v>
      </c>
      <c r="D152" s="46" t="s">
        <v>384</v>
      </c>
      <c r="E152" s="47">
        <v>19</v>
      </c>
      <c r="F152" s="47">
        <v>1</v>
      </c>
      <c r="G152" s="505">
        <v>830</v>
      </c>
      <c r="H152" s="49">
        <v>0.14000000000000001</v>
      </c>
      <c r="I152" s="50">
        <v>0.88</v>
      </c>
      <c r="J152" s="87">
        <f>E152*G152*(1-H152)*1440/1000000*3.4</f>
        <v>66.400531200000003</v>
      </c>
      <c r="K152" s="87">
        <f>(IF(G152&lt;L152,L152,G152)*(1-IF(H152&lt;N152,H152,N152))*E152*O152*Q152)/100000000</f>
        <v>7.3398626399999989</v>
      </c>
      <c r="L152" s="40">
        <v>830</v>
      </c>
      <c r="M152" s="40">
        <f>+L152-L152*0.14</f>
        <v>713.8</v>
      </c>
      <c r="N152" s="51">
        <f>1-(M152/L152)</f>
        <v>0.14000000000000001</v>
      </c>
      <c r="O152" s="52">
        <f>+'Trim Rwd'!H103</f>
        <v>328</v>
      </c>
      <c r="P152" s="53">
        <f>O152*(Q152-R152-S152)</f>
        <v>51824</v>
      </c>
      <c r="Q152" s="52">
        <v>165</v>
      </c>
      <c r="R152" s="506">
        <v>0</v>
      </c>
      <c r="S152" s="506">
        <v>7</v>
      </c>
      <c r="T152" s="42">
        <f>E152*M152*O152*Q152/100000000</f>
        <v>7.3398626399999989</v>
      </c>
      <c r="U152" s="42">
        <f>E152*M152*O152*(Q152-R152-S152)/100000000</f>
        <v>7.0284745279999994</v>
      </c>
      <c r="V152" s="42">
        <f>E152*G152*(1-N152)*O152/100*(R152+S152)/1000000</f>
        <v>0.31138811199999994</v>
      </c>
      <c r="W152" s="42">
        <f>+'30'!K22/1000</f>
        <v>0</v>
      </c>
      <c r="X152" s="43"/>
      <c r="Y152" s="216"/>
      <c r="Z152" s="42"/>
      <c r="AA152" s="42"/>
      <c r="AB152" s="42"/>
      <c r="AC152" s="42">
        <f>K152-T152</f>
        <v>0</v>
      </c>
      <c r="AD152" s="42">
        <f>+AM152+BA152</f>
        <v>10</v>
      </c>
      <c r="AE152" s="234" t="s">
        <v>226</v>
      </c>
      <c r="AF152" s="38"/>
      <c r="AG152" s="38"/>
      <c r="AH152" s="38">
        <v>10</v>
      </c>
      <c r="AJ152" s="42"/>
      <c r="AK152" s="42"/>
      <c r="AL152" s="42"/>
      <c r="AM152" s="42">
        <f>SUM(AF152:AL152)+AT152+AV152+AX152</f>
        <v>10</v>
      </c>
      <c r="AN152" s="42"/>
      <c r="AO152" s="42"/>
      <c r="AP152" s="42"/>
      <c r="AQ152" s="42"/>
      <c r="AR152" s="42">
        <f>SUM(AN152:AQ152)</f>
        <v>0</v>
      </c>
      <c r="AS152" s="42"/>
      <c r="AT152" s="42"/>
      <c r="AU152" s="42"/>
      <c r="AV152" s="42"/>
      <c r="AW152" s="42"/>
      <c r="AX152" s="42"/>
      <c r="AY152" s="42"/>
      <c r="AZ152" s="42"/>
      <c r="BA152" s="42">
        <f>+AR152+AS152+AU152+AW152+AY152+AZ152</f>
        <v>0</v>
      </c>
      <c r="BB152" s="38"/>
      <c r="BC152" s="509"/>
      <c r="BD152" s="56"/>
      <c r="BE152" s="56"/>
      <c r="BF152" s="56"/>
    </row>
    <row r="153" spans="1:58" ht="12.95" customHeight="1">
      <c r="A153" s="45"/>
      <c r="B153" s="568"/>
      <c r="C153" s="454"/>
      <c r="D153" s="46"/>
      <c r="E153" s="47"/>
      <c r="F153" s="47"/>
      <c r="G153" s="48"/>
      <c r="H153" s="49"/>
      <c r="I153" s="50"/>
      <c r="J153" s="87"/>
      <c r="K153" s="87"/>
      <c r="L153" s="40"/>
      <c r="M153" s="40"/>
      <c r="N153" s="51"/>
      <c r="O153" s="52"/>
      <c r="P153" s="53"/>
      <c r="Q153" s="39"/>
      <c r="R153" s="506"/>
      <c r="S153" s="506"/>
      <c r="T153" s="42"/>
      <c r="U153" s="42"/>
      <c r="V153" s="42"/>
      <c r="W153" s="42"/>
      <c r="X153" s="43"/>
      <c r="Y153" s="43"/>
      <c r="Z153" s="42"/>
      <c r="AA153" s="54"/>
      <c r="AB153" s="54"/>
      <c r="AC153" s="42"/>
      <c r="AD153" s="42">
        <f>+AM153+BA153</f>
        <v>7</v>
      </c>
      <c r="AE153" s="234" t="s">
        <v>463</v>
      </c>
      <c r="AF153" s="42"/>
      <c r="AG153" s="42"/>
      <c r="AH153" s="42"/>
      <c r="AI153" s="42">
        <v>7</v>
      </c>
      <c r="AJ153" s="42"/>
      <c r="AK153" s="42"/>
      <c r="AL153" s="42"/>
      <c r="AM153" s="42">
        <f>SUM(AF153:AL153)+AT153+AV153+AX153</f>
        <v>7</v>
      </c>
      <c r="AN153" s="42"/>
      <c r="AO153" s="42"/>
      <c r="AP153" s="42"/>
      <c r="AQ153" s="42"/>
      <c r="AR153" s="42">
        <f>SUM(AN153:AQ153)</f>
        <v>0</v>
      </c>
      <c r="AS153" s="42"/>
      <c r="AT153" s="42"/>
      <c r="AU153" s="42"/>
      <c r="AV153" s="42"/>
      <c r="AW153" s="42"/>
      <c r="AX153" s="42"/>
      <c r="AY153" s="42"/>
      <c r="AZ153" s="42"/>
      <c r="BA153" s="42">
        <f>+AR153+AS153+AU153+AW153+AY153+AZ153</f>
        <v>0</v>
      </c>
      <c r="BB153" s="38"/>
      <c r="BC153" s="509"/>
      <c r="BD153" s="56"/>
      <c r="BE153" s="56"/>
      <c r="BF153" s="56"/>
    </row>
    <row r="154" spans="1:58" ht="12.95" customHeight="1">
      <c r="A154" s="45"/>
      <c r="B154" s="568"/>
      <c r="C154" s="454"/>
      <c r="D154" s="46"/>
      <c r="E154" s="47"/>
      <c r="F154" s="47"/>
      <c r="G154" s="48"/>
      <c r="H154" s="49"/>
      <c r="I154" s="50"/>
      <c r="J154" s="87"/>
      <c r="K154" s="87"/>
      <c r="L154" s="40"/>
      <c r="M154" s="40"/>
      <c r="N154" s="51"/>
      <c r="O154" s="52"/>
      <c r="P154" s="53"/>
      <c r="Q154" s="39"/>
      <c r="R154" s="506"/>
      <c r="S154" s="506"/>
      <c r="T154" s="42"/>
      <c r="U154" s="42"/>
      <c r="V154" s="42"/>
      <c r="W154" s="42"/>
      <c r="X154" s="43"/>
      <c r="Y154" s="43"/>
      <c r="Z154" s="42"/>
      <c r="AA154" s="54"/>
      <c r="AB154" s="54"/>
      <c r="AC154" s="42"/>
      <c r="AD154" s="42"/>
      <c r="AE154" s="234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8"/>
      <c r="BC154" s="56"/>
      <c r="BD154" s="509"/>
      <c r="BE154" s="38"/>
      <c r="BF154" s="509"/>
    </row>
    <row r="155" spans="1:58" ht="12.95" customHeight="1">
      <c r="A155" s="45">
        <v>45961</v>
      </c>
      <c r="B155" s="46" t="s">
        <v>8</v>
      </c>
      <c r="C155" s="454">
        <f>(M155*E155*O155*Q155)/100000000</f>
        <v>19.177623623529414</v>
      </c>
      <c r="D155" s="46" t="s">
        <v>384</v>
      </c>
      <c r="E155" s="47">
        <v>19</v>
      </c>
      <c r="F155" s="47">
        <v>1</v>
      </c>
      <c r="G155" s="505">
        <v>830</v>
      </c>
      <c r="H155" s="49">
        <v>0.14000000000000001</v>
      </c>
      <c r="I155" s="50">
        <v>0.88</v>
      </c>
      <c r="J155" s="87">
        <f>E155*G155*(1-H155)*1440/1000000*3.4</f>
        <v>66.400531200000003</v>
      </c>
      <c r="K155" s="87">
        <f>(IF(G155&lt;L155,L155,G155)*(1-IF(H155&lt;N155,H155,N155))*E155*O155*Q155)/100000000</f>
        <v>19.572967039999998</v>
      </c>
      <c r="L155" s="40">
        <v>813.23529411764707</v>
      </c>
      <c r="M155" s="40">
        <v>699.38235294117646</v>
      </c>
      <c r="N155" s="51">
        <f>1-(M155/L155)</f>
        <v>0.14000000000000001</v>
      </c>
      <c r="O155" s="52">
        <f>+'Trim Rwd'!H105</f>
        <v>328</v>
      </c>
      <c r="P155" s="53">
        <f>O155*(Q155-R155-S155)</f>
        <v>105616</v>
      </c>
      <c r="Q155" s="52">
        <v>440</v>
      </c>
      <c r="R155" s="506">
        <v>100</v>
      </c>
      <c r="S155" s="506">
        <v>18</v>
      </c>
      <c r="T155" s="42">
        <f>E155*M155*O155*Q155/100000000</f>
        <v>19.177623623529414</v>
      </c>
      <c r="U155" s="42">
        <f>E155*M155*O155*(Q155-R155-S155)/100000000</f>
        <v>14.034533651764708</v>
      </c>
      <c r="V155" s="42">
        <f>E155*G155*(1-N155)*O155/100*(R155+S155)/1000000</f>
        <v>5.2491138879999992</v>
      </c>
      <c r="W155" s="42">
        <f>+'31'!K22/1000</f>
        <v>16.309999999999999</v>
      </c>
      <c r="X155" s="507">
        <f>SUM(W155:W158)/SUM(K155:K158)</f>
        <v>0.7391793760168448</v>
      </c>
      <c r="Y155" s="216">
        <f>+SUM(RBP!$AG$3:$AG$4)</f>
        <v>3.5</v>
      </c>
      <c r="Z155" s="42">
        <f>+'31'!D7/1000</f>
        <v>0.78</v>
      </c>
      <c r="AA155" s="54">
        <f>SUM(U155:U158)-SUM(W155:W158)-SUM(Z155:Z158)-SUM(Y155:Y158)</f>
        <v>-0.2987313082352836</v>
      </c>
      <c r="AB155" s="54">
        <f>(SUM(K155:K158)-SUM(W155:W158)-SUM(Y155:Y158)-SUM(Z155:Z158)-SUM(AC155:AC158)-SUM(V155:V158))-AA155</f>
        <v>-0.22721735223528849</v>
      </c>
      <c r="AC155" s="42">
        <f>K155-T155</f>
        <v>0.39534341647058469</v>
      </c>
      <c r="AD155" s="42">
        <f t="shared" ref="AD155:AD160" si="0">+AM155+BA155</f>
        <v>10</v>
      </c>
      <c r="AE155" s="234" t="s">
        <v>593</v>
      </c>
      <c r="AF155" s="42">
        <v>10</v>
      </c>
      <c r="AG155" s="42"/>
      <c r="AH155" s="42"/>
      <c r="AI155" s="508"/>
      <c r="AJ155" s="42"/>
      <c r="AK155" s="42"/>
      <c r="AL155" s="42"/>
      <c r="AM155" s="42">
        <f t="shared" ref="AM155:AM160" si="1">SUM(AF155:AL155)+AT155+AV155+AX155</f>
        <v>10</v>
      </c>
      <c r="AN155" s="42"/>
      <c r="AO155" s="42"/>
      <c r="AP155" s="42"/>
      <c r="AQ155" s="42"/>
      <c r="AR155" s="42">
        <f t="shared" ref="AR155:AR160" si="2">SUM(AN155:AQ155)</f>
        <v>0</v>
      </c>
      <c r="AS155" s="42"/>
      <c r="AT155" s="42"/>
      <c r="AU155" s="42"/>
      <c r="AV155" s="42"/>
      <c r="AW155" s="42"/>
      <c r="AX155" s="42"/>
      <c r="AY155" s="42"/>
      <c r="AZ155" s="42"/>
      <c r="BA155" s="42">
        <f t="shared" ref="BA155:BA160" si="3">+AR155+AS155+AU155+AW155+AY155+AZ155</f>
        <v>0</v>
      </c>
      <c r="BB155" s="38">
        <v>4</v>
      </c>
      <c r="BC155" s="56"/>
      <c r="BD155" s="56"/>
      <c r="BE155" s="56"/>
      <c r="BF155" s="56"/>
    </row>
    <row r="156" spans="1:58" ht="12.95" customHeight="1">
      <c r="A156" s="45"/>
      <c r="B156" s="46" t="s">
        <v>462</v>
      </c>
      <c r="C156" s="454">
        <f>(M156*E156*O156*Q156)/100000000</f>
        <v>35.514560000000003</v>
      </c>
      <c r="D156" s="46" t="s">
        <v>384</v>
      </c>
      <c r="E156" s="47">
        <v>16</v>
      </c>
      <c r="F156" s="47">
        <v>1</v>
      </c>
      <c r="G156" s="505">
        <v>830</v>
      </c>
      <c r="H156" s="49">
        <v>0.14000000000000001</v>
      </c>
      <c r="I156" s="50">
        <v>0.88</v>
      </c>
      <c r="J156" s="87">
        <f>E156*G156*(1-H156)*1440/1000000*3.4</f>
        <v>55.916236799999993</v>
      </c>
      <c r="K156" s="87">
        <f>(IF(G156&lt;L156,L156,G156)*(1-IF(H156&lt;N156,H156,N156))*E156*O156*Q156)/100000000</f>
        <v>36.846355999999993</v>
      </c>
      <c r="L156" s="40">
        <v>800</v>
      </c>
      <c r="M156" s="40">
        <f>+L156-L156*0.14</f>
        <v>688</v>
      </c>
      <c r="N156" s="51">
        <f>1-(M156/L156)</f>
        <v>0.14000000000000001</v>
      </c>
      <c r="O156" s="52">
        <f>+'Trim Rwd'!H106</f>
        <v>322.625</v>
      </c>
      <c r="P156" s="53">
        <f>O156*(Q156-R156-S156)</f>
        <v>293266.125</v>
      </c>
      <c r="Q156" s="52">
        <v>1000</v>
      </c>
      <c r="R156" s="506">
        <v>0</v>
      </c>
      <c r="S156" s="506">
        <f>36+55</f>
        <v>91</v>
      </c>
      <c r="T156" s="42">
        <f>E156*M156*O156*Q156/100000000</f>
        <v>35.514560000000003</v>
      </c>
      <c r="U156" s="42">
        <f>E156*M156*O156*(Q156-R156-S156)/100000000</f>
        <v>32.282735039999999</v>
      </c>
      <c r="V156" s="42">
        <f>E156*G156*(1-N156)*O156/100*(R156+S156)/1000000</f>
        <v>3.3530183960000004</v>
      </c>
      <c r="W156" s="42">
        <f>+'31'!K20/1000</f>
        <v>25.393999999999998</v>
      </c>
      <c r="X156" s="43"/>
      <c r="Y156" s="216"/>
      <c r="Z156" s="42">
        <f>+('31'!D16+'31'!D25)/1000</f>
        <v>0.63200000000000001</v>
      </c>
      <c r="AA156" s="42"/>
      <c r="AB156" s="42"/>
      <c r="AC156" s="42">
        <f>K156-T156</f>
        <v>1.33179599999999</v>
      </c>
      <c r="AD156" s="42">
        <f t="shared" si="0"/>
        <v>20</v>
      </c>
      <c r="AE156" s="234" t="s">
        <v>481</v>
      </c>
      <c r="AF156" s="42"/>
      <c r="AG156" s="42">
        <v>20</v>
      </c>
      <c r="AH156" s="42"/>
      <c r="AI156" s="508"/>
      <c r="AJ156" s="42"/>
      <c r="AK156" s="42"/>
      <c r="AL156" s="42"/>
      <c r="AM156" s="42">
        <f t="shared" si="1"/>
        <v>20</v>
      </c>
      <c r="AN156" s="88"/>
      <c r="AO156" s="42"/>
      <c r="AP156" s="42"/>
      <c r="AQ156" s="42"/>
      <c r="AR156" s="42">
        <f t="shared" si="2"/>
        <v>0</v>
      </c>
      <c r="AS156" s="42"/>
      <c r="AT156" s="42"/>
      <c r="AU156" s="42"/>
      <c r="AV156" s="42"/>
      <c r="AW156" s="42"/>
      <c r="AX156" s="42"/>
      <c r="AY156" s="42"/>
      <c r="AZ156" s="42"/>
      <c r="BA156" s="42">
        <f t="shared" si="3"/>
        <v>0</v>
      </c>
      <c r="BB156" s="55"/>
      <c r="BC156" s="56">
        <v>6</v>
      </c>
      <c r="BD156" s="56"/>
      <c r="BE156" s="56"/>
      <c r="BF156" s="56"/>
    </row>
    <row r="157" spans="1:58" ht="12.95" customHeight="1">
      <c r="A157" s="45"/>
      <c r="B157" s="46"/>
      <c r="C157" s="454"/>
      <c r="D157" s="46"/>
      <c r="E157" s="47"/>
      <c r="F157" s="47"/>
      <c r="G157" s="505"/>
      <c r="H157" s="49"/>
      <c r="I157" s="50"/>
      <c r="J157" s="87"/>
      <c r="K157" s="87"/>
      <c r="L157" s="40"/>
      <c r="M157" s="40"/>
      <c r="N157" s="51"/>
      <c r="O157" s="52"/>
      <c r="P157" s="53"/>
      <c r="Q157" s="52"/>
      <c r="R157" s="506"/>
      <c r="S157" s="506"/>
      <c r="T157" s="42"/>
      <c r="U157" s="42"/>
      <c r="V157" s="42"/>
      <c r="W157" s="42"/>
      <c r="X157" s="43"/>
      <c r="Y157" s="216"/>
      <c r="Z157" s="42"/>
      <c r="AA157" s="42"/>
      <c r="AB157" s="42"/>
      <c r="AC157" s="42"/>
      <c r="AD157" s="42">
        <f t="shared" si="0"/>
        <v>16</v>
      </c>
      <c r="AE157" s="234" t="s">
        <v>226</v>
      </c>
      <c r="AF157" s="38"/>
      <c r="AG157" s="38"/>
      <c r="AH157" s="38">
        <v>16</v>
      </c>
      <c r="AJ157" s="42"/>
      <c r="AK157" s="42"/>
      <c r="AL157" s="42"/>
      <c r="AM157" s="42">
        <f t="shared" si="1"/>
        <v>16</v>
      </c>
      <c r="AN157" s="42"/>
      <c r="AO157" s="42"/>
      <c r="AP157" s="42"/>
      <c r="AQ157" s="42"/>
      <c r="AR157" s="42">
        <f t="shared" si="2"/>
        <v>0</v>
      </c>
      <c r="AS157" s="42"/>
      <c r="AT157" s="42"/>
      <c r="AU157" s="42"/>
      <c r="AV157" s="42"/>
      <c r="AW157" s="42"/>
      <c r="AX157" s="42"/>
      <c r="AY157" s="42"/>
      <c r="AZ157" s="42"/>
      <c r="BA157" s="42">
        <f t="shared" si="3"/>
        <v>0</v>
      </c>
      <c r="BB157" s="38"/>
      <c r="BC157" s="509"/>
      <c r="BD157" s="56"/>
      <c r="BE157" s="56"/>
      <c r="BF157" s="56"/>
    </row>
    <row r="158" spans="1:58" ht="12.95" customHeight="1">
      <c r="A158" s="45"/>
      <c r="B158" s="568"/>
      <c r="C158" s="454"/>
      <c r="D158" s="46"/>
      <c r="E158" s="47"/>
      <c r="F158" s="47"/>
      <c r="G158" s="48"/>
      <c r="H158" s="49"/>
      <c r="I158" s="50"/>
      <c r="J158" s="87"/>
      <c r="K158" s="87"/>
      <c r="L158" s="40"/>
      <c r="M158" s="40"/>
      <c r="N158" s="51"/>
      <c r="O158" s="52"/>
      <c r="P158" s="53"/>
      <c r="Q158" s="39"/>
      <c r="R158" s="506"/>
      <c r="S158" s="506"/>
      <c r="T158" s="42"/>
      <c r="U158" s="42"/>
      <c r="V158" s="42"/>
      <c r="W158" s="42"/>
      <c r="X158" s="43"/>
      <c r="Y158" s="43"/>
      <c r="Z158" s="42"/>
      <c r="AA158" s="54"/>
      <c r="AB158" s="54"/>
      <c r="AC158" s="42"/>
      <c r="AD158" s="42">
        <f t="shared" si="0"/>
        <v>8</v>
      </c>
      <c r="AE158" s="234" t="s">
        <v>463</v>
      </c>
      <c r="AF158" s="42"/>
      <c r="AG158" s="42"/>
      <c r="AH158" s="42"/>
      <c r="AI158" s="42">
        <v>8</v>
      </c>
      <c r="AJ158" s="42"/>
      <c r="AK158" s="42"/>
      <c r="AL158" s="42"/>
      <c r="AM158" s="42">
        <f t="shared" si="1"/>
        <v>8</v>
      </c>
      <c r="AN158" s="42"/>
      <c r="AO158" s="42"/>
      <c r="AP158" s="42"/>
      <c r="AQ158" s="42"/>
      <c r="AR158" s="42">
        <f t="shared" si="2"/>
        <v>0</v>
      </c>
      <c r="AS158" s="42"/>
      <c r="AT158" s="42"/>
      <c r="AU158" s="42"/>
      <c r="AV158" s="42"/>
      <c r="AW158" s="42"/>
      <c r="AX158" s="42"/>
      <c r="AY158" s="42"/>
      <c r="AZ158" s="42"/>
      <c r="BA158" s="42">
        <f t="shared" si="3"/>
        <v>0</v>
      </c>
      <c r="BB158" s="38"/>
      <c r="BC158" s="509"/>
      <c r="BD158" s="56"/>
      <c r="BE158" s="56"/>
      <c r="BF158" s="56"/>
    </row>
    <row r="159" spans="1:58" ht="12.95" customHeight="1">
      <c r="A159" s="45"/>
      <c r="B159" s="566"/>
      <c r="C159" s="454"/>
      <c r="D159" s="46"/>
      <c r="E159" s="47"/>
      <c r="F159" s="47"/>
      <c r="G159" s="48"/>
      <c r="H159" s="49"/>
      <c r="I159" s="50"/>
      <c r="J159" s="87"/>
      <c r="K159" s="87"/>
      <c r="L159" s="40"/>
      <c r="M159" s="40"/>
      <c r="N159" s="51"/>
      <c r="O159" s="52"/>
      <c r="P159" s="53"/>
      <c r="Q159" s="39"/>
      <c r="R159" s="506"/>
      <c r="S159" s="506"/>
      <c r="T159" s="42"/>
      <c r="U159" s="42"/>
      <c r="V159" s="42"/>
      <c r="W159" s="42"/>
      <c r="X159" s="43"/>
      <c r="Y159" s="43"/>
      <c r="Z159" s="42"/>
      <c r="AA159" s="54"/>
      <c r="AB159" s="54"/>
      <c r="AC159" s="42"/>
      <c r="AD159" s="42">
        <f t="shared" si="0"/>
        <v>100</v>
      </c>
      <c r="AE159" s="237" t="s">
        <v>765</v>
      </c>
      <c r="AF159" s="42"/>
      <c r="AG159" s="42"/>
      <c r="AH159" s="42"/>
      <c r="AI159" s="42"/>
      <c r="AJ159" s="42"/>
      <c r="AK159" s="42"/>
      <c r="AL159" s="42"/>
      <c r="AM159" s="42">
        <f t="shared" si="1"/>
        <v>0</v>
      </c>
      <c r="AN159" s="42">
        <v>100</v>
      </c>
      <c r="AO159" s="42"/>
      <c r="AP159" s="42"/>
      <c r="AQ159" s="42"/>
      <c r="AR159" s="42">
        <f t="shared" si="2"/>
        <v>100</v>
      </c>
      <c r="AS159" s="42"/>
      <c r="AT159" s="42"/>
      <c r="AU159" s="42"/>
      <c r="AV159" s="42"/>
      <c r="AW159" s="42"/>
      <c r="AX159" s="42"/>
      <c r="AY159" s="42"/>
      <c r="AZ159" s="42"/>
      <c r="BA159" s="42">
        <f t="shared" si="3"/>
        <v>100</v>
      </c>
      <c r="BB159" s="38"/>
      <c r="BC159" s="509"/>
      <c r="BD159" s="56"/>
      <c r="BE159" s="56"/>
      <c r="BF159" s="56">
        <v>1</v>
      </c>
    </row>
    <row r="160" spans="1:58" ht="12.95" customHeight="1">
      <c r="A160" s="45"/>
      <c r="B160" s="566"/>
      <c r="C160" s="454"/>
      <c r="D160" s="46"/>
      <c r="E160" s="47"/>
      <c r="F160" s="47"/>
      <c r="G160" s="48"/>
      <c r="H160" s="49"/>
      <c r="I160" s="50"/>
      <c r="J160" s="87"/>
      <c r="K160" s="87"/>
      <c r="L160" s="40"/>
      <c r="M160" s="40"/>
      <c r="N160" s="51"/>
      <c r="O160" s="52"/>
      <c r="P160" s="53"/>
      <c r="Q160" s="39"/>
      <c r="R160" s="506"/>
      <c r="S160" s="506"/>
      <c r="T160" s="42"/>
      <c r="U160" s="42"/>
      <c r="V160" s="42"/>
      <c r="W160" s="42"/>
      <c r="X160" s="43"/>
      <c r="Y160" s="43"/>
      <c r="Z160" s="42"/>
      <c r="AA160" s="54"/>
      <c r="AB160" s="54"/>
      <c r="AC160" s="42"/>
      <c r="AD160" s="42">
        <f t="shared" si="0"/>
        <v>55</v>
      </c>
      <c r="AE160" s="237" t="s">
        <v>764</v>
      </c>
      <c r="AF160" s="42"/>
      <c r="AG160" s="42"/>
      <c r="AH160" s="42"/>
      <c r="AI160" s="42">
        <v>55</v>
      </c>
      <c r="AJ160" s="42"/>
      <c r="AK160" s="42"/>
      <c r="AL160" s="42"/>
      <c r="AM160" s="42">
        <f t="shared" si="1"/>
        <v>55</v>
      </c>
      <c r="AN160" s="42"/>
      <c r="AO160" s="42"/>
      <c r="AP160" s="42"/>
      <c r="AQ160" s="42"/>
      <c r="AR160" s="42">
        <f t="shared" si="2"/>
        <v>0</v>
      </c>
      <c r="AS160" s="42"/>
      <c r="AT160" s="42"/>
      <c r="AU160" s="42"/>
      <c r="AV160" s="42"/>
      <c r="AW160" s="42"/>
      <c r="AX160" s="42"/>
      <c r="AY160" s="42"/>
      <c r="AZ160" s="42"/>
      <c r="BA160" s="42">
        <f t="shared" si="3"/>
        <v>0</v>
      </c>
      <c r="BB160" s="38"/>
      <c r="BC160" s="509"/>
      <c r="BD160" s="56"/>
      <c r="BE160" s="56"/>
      <c r="BF160" s="56"/>
    </row>
    <row r="161" spans="1:97" ht="12.95" customHeight="1">
      <c r="A161" s="45"/>
      <c r="B161" s="566"/>
      <c r="C161" s="454"/>
      <c r="D161" s="46"/>
      <c r="E161" s="47"/>
      <c r="F161" s="47"/>
      <c r="G161" s="48"/>
      <c r="H161" s="49"/>
      <c r="I161" s="50"/>
      <c r="J161" s="87"/>
      <c r="K161" s="87"/>
      <c r="L161" s="40"/>
      <c r="M161" s="40"/>
      <c r="N161" s="51"/>
      <c r="O161" s="52"/>
      <c r="P161" s="53"/>
      <c r="Q161" s="39"/>
      <c r="R161" s="506"/>
      <c r="S161" s="506"/>
      <c r="T161" s="42"/>
      <c r="U161" s="42"/>
      <c r="V161" s="42"/>
      <c r="W161" s="42"/>
      <c r="X161" s="43"/>
      <c r="Y161" s="43"/>
      <c r="Z161" s="42"/>
      <c r="AA161" s="54"/>
      <c r="AB161" s="54"/>
      <c r="AC161" s="42"/>
      <c r="AD161" s="42"/>
      <c r="AE161" s="234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38"/>
      <c r="BC161" s="56"/>
      <c r="BD161" s="509"/>
      <c r="BE161" s="38"/>
      <c r="BF161" s="509"/>
    </row>
    <row r="162" spans="1:97">
      <c r="R162" s="510"/>
      <c r="S162" s="510"/>
      <c r="AA162" s="252">
        <f>U162-W162-Z162</f>
        <v>0</v>
      </c>
      <c r="AB162" s="252"/>
      <c r="AC162" s="253">
        <f>K162-T162</f>
        <v>0</v>
      </c>
      <c r="AD162" s="42"/>
      <c r="AF162" s="57"/>
      <c r="AG162" s="57"/>
      <c r="AH162" s="57"/>
      <c r="AI162" s="57"/>
      <c r="AJ162" s="57"/>
      <c r="AK162" s="57"/>
      <c r="AL162" s="57"/>
      <c r="AM162" s="42"/>
      <c r="AN162" s="57"/>
      <c r="AO162" s="57"/>
      <c r="AP162" s="57"/>
      <c r="AQ162" s="57"/>
      <c r="AR162" s="42"/>
      <c r="AS162" s="57"/>
      <c r="AT162" s="57"/>
      <c r="AU162" s="57"/>
      <c r="AV162" s="57"/>
      <c r="AW162" s="57"/>
      <c r="AX162" s="57"/>
      <c r="AY162" s="57"/>
      <c r="AZ162" s="57"/>
      <c r="BA162" s="42"/>
      <c r="BB162" s="68"/>
      <c r="BC162" s="68"/>
      <c r="BD162" s="509"/>
      <c r="BE162" s="38"/>
      <c r="BF162" s="509"/>
    </row>
    <row r="163" spans="1:97">
      <c r="A163" s="61"/>
      <c r="B163" s="62"/>
      <c r="C163" s="456">
        <f>SUM(C6:C161)</f>
        <v>1941.5817683780629</v>
      </c>
      <c r="D163" s="62"/>
      <c r="E163" s="63"/>
      <c r="F163" s="63"/>
      <c r="G163" s="64"/>
      <c r="H163" s="64"/>
      <c r="I163" s="65">
        <v>0.85</v>
      </c>
      <c r="J163" s="87"/>
      <c r="K163" s="89">
        <f>SUM(K6:K161)</f>
        <v>1959.3545974148353</v>
      </c>
      <c r="L163" s="67"/>
      <c r="M163" s="67"/>
      <c r="N163" s="68"/>
      <c r="O163" s="69">
        <f>P163/(Q163-R163-S163)</f>
        <v>322.83355518543431</v>
      </c>
      <c r="P163" s="66">
        <f>SUM(P6:P161)</f>
        <v>12738366.420506867</v>
      </c>
      <c r="Q163" s="385">
        <f>SUM(Q6:Q162)</f>
        <v>44640</v>
      </c>
      <c r="R163" s="66">
        <f t="shared" ref="R163:W163" si="4">SUM(R6:R161)</f>
        <v>3469</v>
      </c>
      <c r="S163" s="66">
        <f t="shared" si="4"/>
        <v>1713</v>
      </c>
      <c r="T163" s="66">
        <f t="shared" si="4"/>
        <v>1941.5817683780629</v>
      </c>
      <c r="U163" s="66">
        <f t="shared" si="4"/>
        <v>1723.0362248993836</v>
      </c>
      <c r="V163" s="409">
        <f t="shared" si="4"/>
        <v>219.66062779540448</v>
      </c>
      <c r="W163" s="460">
        <f t="shared" si="4"/>
        <v>1649.2969999999998</v>
      </c>
      <c r="X163" s="511">
        <f>W163/K163</f>
        <v>0.84175524031029181</v>
      </c>
      <c r="Y163" s="410">
        <f>SUM(Y6:Y161)</f>
        <v>3.5</v>
      </c>
      <c r="Z163" s="460">
        <f>SUM(Z6:Z161)</f>
        <v>28.959</v>
      </c>
      <c r="AA163" s="66">
        <f>SUM(AA6:AA161)</f>
        <v>41.28022489938396</v>
      </c>
      <c r="AB163" s="66">
        <f>SUM(AB6:AB161)</f>
        <v>-1.1150843167253719</v>
      </c>
      <c r="AC163" s="66">
        <f>SUM(AC6:AC161)</f>
        <v>17.772829036771949</v>
      </c>
      <c r="AD163" s="42">
        <f>SUM(AD6:AD162)</f>
        <v>5182</v>
      </c>
      <c r="AE163" s="70"/>
      <c r="AF163" s="66">
        <f t="shared" ref="AF163:BF163" si="5">SUM(AF6:AF162)</f>
        <v>77</v>
      </c>
      <c r="AG163" s="66">
        <f t="shared" si="5"/>
        <v>378</v>
      </c>
      <c r="AH163" s="66">
        <f t="shared" si="5"/>
        <v>435</v>
      </c>
      <c r="AI163" s="66">
        <f t="shared" si="5"/>
        <v>808</v>
      </c>
      <c r="AJ163" s="66">
        <f t="shared" si="5"/>
        <v>0</v>
      </c>
      <c r="AK163" s="66">
        <f t="shared" si="5"/>
        <v>15</v>
      </c>
      <c r="AL163" s="66">
        <f t="shared" si="5"/>
        <v>0</v>
      </c>
      <c r="AM163" s="66">
        <f t="shared" si="5"/>
        <v>1713</v>
      </c>
      <c r="AN163" s="57">
        <f t="shared" si="5"/>
        <v>844</v>
      </c>
      <c r="AO163" s="57">
        <f t="shared" si="5"/>
        <v>790</v>
      </c>
      <c r="AP163" s="57">
        <f t="shared" si="5"/>
        <v>155</v>
      </c>
      <c r="AQ163" s="57">
        <f t="shared" si="5"/>
        <v>0</v>
      </c>
      <c r="AR163" s="66">
        <f t="shared" si="5"/>
        <v>1789</v>
      </c>
      <c r="AS163" s="66">
        <f t="shared" si="5"/>
        <v>0</v>
      </c>
      <c r="AT163" s="66">
        <f t="shared" si="5"/>
        <v>0</v>
      </c>
      <c r="AU163" s="66">
        <f t="shared" si="5"/>
        <v>1680</v>
      </c>
      <c r="AV163" s="66">
        <f t="shared" si="5"/>
        <v>0</v>
      </c>
      <c r="AW163" s="66">
        <f t="shared" si="5"/>
        <v>0</v>
      </c>
      <c r="AX163" s="66">
        <f t="shared" si="5"/>
        <v>0</v>
      </c>
      <c r="AY163" s="66">
        <f t="shared" si="5"/>
        <v>0</v>
      </c>
      <c r="AZ163" s="66">
        <f t="shared" si="5"/>
        <v>0</v>
      </c>
      <c r="BA163" s="66">
        <f t="shared" si="5"/>
        <v>3469</v>
      </c>
      <c r="BB163" s="57">
        <f t="shared" si="5"/>
        <v>35</v>
      </c>
      <c r="BC163" s="57">
        <f t="shared" si="5"/>
        <v>127</v>
      </c>
      <c r="BD163" s="57">
        <f t="shared" si="5"/>
        <v>0</v>
      </c>
      <c r="BE163" s="57">
        <f t="shared" si="5"/>
        <v>0</v>
      </c>
      <c r="BF163" s="57">
        <f t="shared" si="5"/>
        <v>4</v>
      </c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</row>
    <row r="164" spans="1:97">
      <c r="A164" s="61"/>
      <c r="B164" s="62"/>
      <c r="C164" s="62"/>
      <c r="D164" s="62"/>
      <c r="E164" s="63"/>
      <c r="F164" s="63"/>
      <c r="G164" s="64"/>
      <c r="H164" s="64"/>
      <c r="I164" s="64"/>
      <c r="J164" s="90"/>
      <c r="K164" s="90"/>
      <c r="L164" s="67"/>
      <c r="M164" s="67"/>
      <c r="N164" s="68"/>
      <c r="O164" s="651"/>
      <c r="P164" s="652"/>
      <c r="Q164" s="64">
        <f>31*1440-Q163</f>
        <v>0</v>
      </c>
      <c r="R164" s="71">
        <f>R163/Q163</f>
        <v>7.7710573476702516E-2</v>
      </c>
      <c r="S164" s="71">
        <f>S163/Q163</f>
        <v>3.8373655913978497E-2</v>
      </c>
      <c r="T164" s="396"/>
      <c r="U164" s="396"/>
      <c r="V164" s="398">
        <f>V163/K163</f>
        <v>0.11210866480484127</v>
      </c>
      <c r="W164" s="414" t="s">
        <v>169</v>
      </c>
      <c r="X164" s="512">
        <v>0.85</v>
      </c>
      <c r="Y164" s="411">
        <f>Y163/K163</f>
        <v>1.7863024919623463E-3</v>
      </c>
      <c r="Z164" s="72">
        <f>Z163/K163</f>
        <v>1.4779866818496452E-2</v>
      </c>
      <c r="AA164" s="72">
        <f>AA163/K163</f>
        <v>2.1068276744724473E-2</v>
      </c>
      <c r="AB164" s="72">
        <f>AB163/K163</f>
        <v>-5.691079696327606E-4</v>
      </c>
      <c r="AC164" s="513">
        <f>AC163/K163</f>
        <v>9.0707567993161368E-3</v>
      </c>
      <c r="AD164" s="399"/>
      <c r="AE164" s="44"/>
      <c r="AF164" s="72">
        <f>AF163/$AD$163*$V$164</f>
        <v>1.6658369722062482E-3</v>
      </c>
      <c r="AG164" s="72">
        <f>AG163/$AD$163*$V$164</f>
        <v>8.1777451362852194E-3</v>
      </c>
      <c r="AH164" s="72">
        <f>AH163/$AD$163*$V$164</f>
        <v>9.4108971806456873E-3</v>
      </c>
      <c r="AI164" s="72">
        <f>AI163/$AD$163*$V$164</f>
        <v>1.7480471084969459E-2</v>
      </c>
      <c r="AJ164" s="72">
        <f t="shared" ref="AJ164:BA164" si="6">AJ163/$AD$163*$V$164</f>
        <v>0</v>
      </c>
      <c r="AK164" s="72">
        <f t="shared" si="6"/>
        <v>3.2451369588433406E-4</v>
      </c>
      <c r="AL164" s="72">
        <f t="shared" si="6"/>
        <v>0</v>
      </c>
      <c r="AM164" s="72">
        <f t="shared" si="6"/>
        <v>3.7059464069990944E-2</v>
      </c>
      <c r="AN164" s="72">
        <f t="shared" si="6"/>
        <v>1.8259303955091864E-2</v>
      </c>
      <c r="AO164" s="72">
        <f t="shared" si="6"/>
        <v>1.7091054649908261E-2</v>
      </c>
      <c r="AP164" s="72">
        <f t="shared" si="6"/>
        <v>3.3533081908047853E-3</v>
      </c>
      <c r="AQ164" s="72">
        <f t="shared" si="6"/>
        <v>0</v>
      </c>
      <c r="AR164" s="72">
        <f t="shared" si="6"/>
        <v>3.8703666795804906E-2</v>
      </c>
      <c r="AS164" s="72">
        <f t="shared" si="6"/>
        <v>0</v>
      </c>
      <c r="AT164" s="72">
        <f t="shared" si="6"/>
        <v>0</v>
      </c>
      <c r="AU164" s="72">
        <f t="shared" si="6"/>
        <v>3.634553393904541E-2</v>
      </c>
      <c r="AV164" s="72">
        <f>AV163/$AD$163*$V$164</f>
        <v>0</v>
      </c>
      <c r="AW164" s="72">
        <f>AW163/$AD$163*$V$164</f>
        <v>0</v>
      </c>
      <c r="AX164" s="72">
        <f>AX163/$AD$163*$V$164</f>
        <v>0</v>
      </c>
      <c r="AY164" s="72">
        <f>AY163/$AD$163*$V$164</f>
        <v>0</v>
      </c>
      <c r="AZ164" s="72">
        <f>AZ163/$AD$163*$V$164</f>
        <v>0</v>
      </c>
      <c r="BA164" s="72">
        <f t="shared" si="6"/>
        <v>7.504920073485033E-2</v>
      </c>
      <c r="BB164" s="39" t="s">
        <v>168</v>
      </c>
      <c r="BC164" s="39" t="s">
        <v>168</v>
      </c>
      <c r="BD164" s="39" t="s">
        <v>378</v>
      </c>
      <c r="BE164" s="39" t="s">
        <v>378</v>
      </c>
      <c r="BF164" s="39" t="s">
        <v>378</v>
      </c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</row>
    <row r="165" spans="1:97">
      <c r="A165" s="61"/>
      <c r="B165" s="62"/>
      <c r="C165" s="62"/>
      <c r="D165" s="62"/>
      <c r="E165" s="63"/>
      <c r="F165" s="63"/>
      <c r="G165" s="39"/>
      <c r="H165" s="39"/>
      <c r="I165" s="39"/>
      <c r="J165" s="87"/>
      <c r="K165" s="87"/>
      <c r="L165" s="40"/>
      <c r="M165" s="40"/>
      <c r="N165" s="38"/>
      <c r="O165" s="41"/>
      <c r="P165" s="33"/>
      <c r="Q165" s="39"/>
      <c r="R165" s="42">
        <f>R163-(BA163)</f>
        <v>0</v>
      </c>
      <c r="S165" s="42">
        <f>+S163-AM163</f>
        <v>0</v>
      </c>
      <c r="T165" s="38"/>
      <c r="U165" s="38"/>
      <c r="V165" s="38"/>
      <c r="W165" s="412">
        <f>+W163-'31'!M34/1000</f>
        <v>0</v>
      </c>
      <c r="X165" s="413"/>
      <c r="Y165" s="73">
        <f>+Y163-(SUM(RBP!AG3:AG4))</f>
        <v>0</v>
      </c>
      <c r="Z165" s="42">
        <f>+Z163-'31'!J56/1000</f>
        <v>0</v>
      </c>
      <c r="AA165" s="38"/>
      <c r="AB165" s="38"/>
      <c r="AC165" s="38"/>
      <c r="AD165" s="38"/>
      <c r="AE165" s="44"/>
      <c r="AF165" s="386"/>
      <c r="AG165" s="386"/>
      <c r="AH165" s="386"/>
      <c r="AI165" s="386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514">
        <f>BB163/($Q$163/1440)/2</f>
        <v>0.56451612903225812</v>
      </c>
      <c r="BC165" s="514">
        <f>BC163/($Q$163/1440)/2</f>
        <v>2.0483870967741935</v>
      </c>
      <c r="BD165" s="514">
        <f>BD163/($Q$163/1440)</f>
        <v>0</v>
      </c>
      <c r="BE165" s="514">
        <f>BE163/($Q$163/1440)</f>
        <v>0</v>
      </c>
      <c r="BF165" s="514">
        <f>BF163/($Q$163/1440)</f>
        <v>0.12903225806451613</v>
      </c>
    </row>
    <row r="166" spans="1:97">
      <c r="A166" s="74"/>
      <c r="B166" s="75"/>
      <c r="C166" s="75"/>
      <c r="D166" s="75"/>
      <c r="E166" s="76"/>
      <c r="F166" s="76"/>
      <c r="G166" s="77"/>
      <c r="H166" s="77"/>
      <c r="I166" s="77"/>
      <c r="J166" s="91"/>
      <c r="K166" s="91"/>
      <c r="O166" s="78"/>
      <c r="P166" s="79"/>
      <c r="Q166" s="77"/>
      <c r="R166" s="58"/>
      <c r="S166" s="58"/>
      <c r="U166" s="80"/>
      <c r="V166" s="80"/>
      <c r="W166" s="81" t="s">
        <v>121</v>
      </c>
      <c r="X166" s="515">
        <f>W163/U163</f>
        <v>0.95720390329942728</v>
      </c>
      <c r="Y166" s="515"/>
      <c r="Z166" s="569"/>
      <c r="AA166" s="34" t="s">
        <v>382</v>
      </c>
      <c r="AD166" s="88"/>
      <c r="AE166" s="83"/>
      <c r="AF166" s="84"/>
      <c r="AG166" s="84"/>
      <c r="AH166" s="84"/>
      <c r="AI166" s="84"/>
      <c r="AJ166" s="84"/>
      <c r="AK166" s="84"/>
      <c r="AL166" s="84"/>
      <c r="AM166" s="84"/>
      <c r="AN166" s="82"/>
      <c r="AO166" s="82"/>
      <c r="AP166" s="82"/>
      <c r="AQ166" s="82"/>
      <c r="AR166" s="82"/>
      <c r="AS166" s="84"/>
      <c r="AT166" s="84"/>
      <c r="AU166" s="84"/>
      <c r="AV166" s="84"/>
      <c r="AW166" s="84"/>
      <c r="AX166" s="84"/>
      <c r="AY166" s="84"/>
      <c r="AZ166" s="84"/>
      <c r="BA166" s="82"/>
      <c r="BB166" s="32"/>
      <c r="BC166" s="82"/>
      <c r="BD166" s="82"/>
      <c r="BE166" s="32"/>
      <c r="BF166" s="82"/>
    </row>
    <row r="167" spans="1:97">
      <c r="A167" s="74"/>
      <c r="B167" s="75"/>
      <c r="C167" s="75"/>
      <c r="D167" s="75"/>
      <c r="E167" s="76"/>
      <c r="F167" s="76"/>
      <c r="G167" s="77"/>
      <c r="H167" s="77"/>
      <c r="I167" s="77"/>
      <c r="J167" s="91"/>
      <c r="K167" s="91"/>
      <c r="O167" s="78"/>
      <c r="P167" s="79"/>
      <c r="Q167" s="77"/>
      <c r="R167" s="58"/>
      <c r="S167" s="58"/>
      <c r="U167" s="80"/>
      <c r="V167" s="80"/>
      <c r="W167" s="81"/>
      <c r="X167" s="82"/>
      <c r="Y167" s="82"/>
      <c r="Z167" s="58"/>
      <c r="AA167" s="94"/>
      <c r="AB167" s="94"/>
      <c r="AD167" s="88"/>
      <c r="AE167" s="83"/>
      <c r="AF167" s="84"/>
      <c r="AG167" s="84"/>
      <c r="AH167" s="84"/>
      <c r="AI167" s="84"/>
      <c r="AJ167" s="84"/>
      <c r="AK167" s="84"/>
      <c r="AL167" s="84"/>
      <c r="AM167" s="84"/>
      <c r="AN167" s="84"/>
      <c r="AO167" s="82"/>
      <c r="AP167" s="82"/>
      <c r="AQ167" s="82"/>
      <c r="AR167" s="84"/>
      <c r="AS167" s="82"/>
      <c r="AT167" s="82"/>
      <c r="AU167" s="82"/>
      <c r="AV167" s="82"/>
      <c r="AW167" s="82"/>
      <c r="AX167" s="82"/>
      <c r="AY167" s="82"/>
      <c r="AZ167" s="82"/>
      <c r="BA167" s="82"/>
      <c r="BB167" s="32"/>
      <c r="BC167" s="82"/>
      <c r="BD167" s="82"/>
      <c r="BE167" s="32"/>
      <c r="BF167" s="82"/>
    </row>
    <row r="168" spans="1:97">
      <c r="A168" s="74"/>
      <c r="B168" s="75"/>
      <c r="C168" s="75"/>
      <c r="D168" s="75"/>
      <c r="E168" s="76"/>
      <c r="F168" s="76"/>
      <c r="G168" s="77"/>
      <c r="H168" s="77"/>
      <c r="I168" s="77"/>
      <c r="J168" s="91"/>
      <c r="K168" s="91"/>
      <c r="O168" s="78"/>
      <c r="P168" s="79"/>
      <c r="Q168" s="77"/>
      <c r="R168" s="397"/>
      <c r="S168" s="58"/>
      <c r="U168" s="80"/>
      <c r="V168" s="80"/>
      <c r="W168" s="81" t="s">
        <v>144</v>
      </c>
      <c r="X168" s="386">
        <f>+W163+Y163</f>
        <v>1652.7969999999998</v>
      </c>
      <c r="Y168" s="82"/>
      <c r="Z168" s="58"/>
      <c r="AD168" s="88"/>
      <c r="AE168" s="83"/>
      <c r="AF168" s="88"/>
      <c r="AG168" s="88"/>
      <c r="AH168" s="88"/>
      <c r="AI168" s="88"/>
      <c r="AJ168" s="82"/>
      <c r="AK168" s="82"/>
      <c r="AL168" s="82"/>
      <c r="AM168" s="84"/>
      <c r="AN168" s="82"/>
      <c r="AO168" s="82"/>
      <c r="AP168" s="82"/>
      <c r="AQ168" s="82"/>
      <c r="AR168" s="84"/>
      <c r="AS168" s="82"/>
      <c r="AT168" s="82"/>
      <c r="AU168" s="82"/>
      <c r="AV168" s="82"/>
      <c r="AW168" s="82"/>
      <c r="AX168" s="82"/>
      <c r="AY168" s="82"/>
      <c r="AZ168" s="82"/>
      <c r="BA168" s="82"/>
      <c r="BB168" s="32"/>
      <c r="BC168" s="82"/>
      <c r="BD168" s="82"/>
      <c r="BE168" s="32"/>
      <c r="BF168" s="82"/>
    </row>
    <row r="169" spans="1:97">
      <c r="A169" s="74"/>
      <c r="C169" s="75" t="s">
        <v>295</v>
      </c>
      <c r="D169" s="75"/>
      <c r="E169" s="76"/>
      <c r="F169" s="76"/>
      <c r="G169" s="77"/>
      <c r="H169" s="77"/>
      <c r="I169" s="77"/>
      <c r="J169" s="91"/>
      <c r="K169" s="91"/>
      <c r="O169" s="78"/>
      <c r="P169" s="79"/>
      <c r="Q169" s="77"/>
      <c r="R169" s="397"/>
      <c r="S169" s="58"/>
      <c r="U169" s="80"/>
      <c r="V169" s="407"/>
      <c r="W169" s="408"/>
      <c r="X169" s="402"/>
      <c r="Y169" s="408"/>
      <c r="Z169" s="402"/>
      <c r="AD169" s="395"/>
      <c r="AE169" s="83"/>
      <c r="AF169" s="395"/>
      <c r="AG169" s="395"/>
      <c r="AH169" s="395"/>
      <c r="AI169" s="395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32"/>
      <c r="BC169" s="82"/>
      <c r="BD169" s="82"/>
      <c r="BE169" s="32"/>
      <c r="BF169" s="82"/>
    </row>
    <row r="170" spans="1:97">
      <c r="A170" s="74"/>
      <c r="B170" s="75"/>
      <c r="C170" s="75" t="s">
        <v>296</v>
      </c>
      <c r="D170" s="75"/>
      <c r="E170" s="76"/>
      <c r="F170" s="76"/>
      <c r="G170" s="77"/>
      <c r="H170" s="77"/>
      <c r="I170" s="77"/>
      <c r="J170" s="91"/>
      <c r="K170" s="91"/>
      <c r="O170" s="78"/>
      <c r="P170" s="79"/>
      <c r="Q170" s="77"/>
      <c r="R170" s="397"/>
      <c r="S170" s="58"/>
      <c r="V170" s="400"/>
      <c r="W170" s="401" t="s">
        <v>303</v>
      </c>
      <c r="X170" s="400"/>
      <c r="Y170" s="400"/>
      <c r="Z170" s="402"/>
      <c r="AE170" s="83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32"/>
      <c r="BE170" s="32"/>
    </row>
    <row r="171" spans="1:97">
      <c r="A171" s="74"/>
      <c r="B171" s="75"/>
      <c r="C171" s="75"/>
      <c r="D171" s="75"/>
      <c r="E171" s="76"/>
      <c r="F171" s="76"/>
      <c r="G171" s="77"/>
      <c r="H171" s="77"/>
      <c r="I171" s="77"/>
      <c r="J171" s="91"/>
      <c r="K171" s="91"/>
      <c r="O171" s="78"/>
      <c r="P171" s="79"/>
      <c r="Q171" s="77"/>
      <c r="R171" s="397"/>
      <c r="S171" s="58"/>
      <c r="V171" s="400"/>
      <c r="W171" s="403" t="s">
        <v>291</v>
      </c>
      <c r="X171" s="516">
        <f>Y164</f>
        <v>1.7863024919623463E-3</v>
      </c>
      <c r="Y171" s="404"/>
      <c r="Z171" s="402"/>
      <c r="AE171" s="83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32"/>
      <c r="BE171" s="32"/>
    </row>
    <row r="172" spans="1:97">
      <c r="R172" s="94"/>
      <c r="V172" s="400"/>
      <c r="W172" s="403" t="s">
        <v>148</v>
      </c>
      <c r="X172" s="406">
        <f>Z164</f>
        <v>1.4779866818496452E-2</v>
      </c>
      <c r="Y172" s="405"/>
      <c r="Z172" s="400"/>
    </row>
    <row r="173" spans="1:97">
      <c r="R173" s="94"/>
      <c r="V173" s="400"/>
      <c r="W173" s="403" t="s">
        <v>149</v>
      </c>
      <c r="X173" s="406">
        <f>AC164</f>
        <v>9.0707567993161368E-3</v>
      </c>
      <c r="Y173" s="406"/>
      <c r="Z173" s="400"/>
    </row>
    <row r="174" spans="1:97" ht="15" customHeight="1">
      <c r="R174" s="94"/>
      <c r="V174" s="400"/>
      <c r="W174" s="403" t="s">
        <v>150</v>
      </c>
      <c r="X174" s="406">
        <f>AA164</f>
        <v>2.1068276744724473E-2</v>
      </c>
      <c r="Y174" s="405"/>
      <c r="Z174" s="400"/>
    </row>
    <row r="175" spans="1:97">
      <c r="V175" s="400"/>
      <c r="W175" s="403" t="s">
        <v>166</v>
      </c>
      <c r="X175" s="406">
        <f>AB164</f>
        <v>-5.691079696327606E-4</v>
      </c>
      <c r="Y175" s="405" t="s">
        <v>164</v>
      </c>
      <c r="Z175" s="400"/>
    </row>
    <row r="176" spans="1:97">
      <c r="V176" s="400"/>
      <c r="W176" s="403" t="s">
        <v>202</v>
      </c>
      <c r="X176" s="406">
        <f>AF164</f>
        <v>1.6658369722062482E-3</v>
      </c>
      <c r="Y176" s="405"/>
      <c r="Z176" s="400"/>
    </row>
    <row r="177" spans="22:26">
      <c r="V177" s="400"/>
      <c r="W177" s="403" t="s">
        <v>203</v>
      </c>
      <c r="X177" s="406">
        <f>+AG164</f>
        <v>8.1777451362852194E-3</v>
      </c>
      <c r="Y177" s="405"/>
      <c r="Z177" s="400"/>
    </row>
    <row r="178" spans="22:26">
      <c r="V178" s="400"/>
      <c r="W178" s="403" t="s">
        <v>297</v>
      </c>
      <c r="X178" s="406">
        <f>+AH164</f>
        <v>9.4108971806456873E-3</v>
      </c>
      <c r="Y178" s="405"/>
      <c r="Z178" s="400"/>
    </row>
    <row r="179" spans="22:26">
      <c r="V179" s="400"/>
      <c r="W179" s="403" t="s">
        <v>227</v>
      </c>
      <c r="X179" s="406">
        <f>+AI164</f>
        <v>1.7480471084969459E-2</v>
      </c>
      <c r="Y179" s="405"/>
      <c r="Z179" s="400"/>
    </row>
    <row r="180" spans="22:26">
      <c r="V180" s="400"/>
      <c r="W180" s="403" t="s">
        <v>157</v>
      </c>
      <c r="X180" s="406">
        <f>+AJ164</f>
        <v>0</v>
      </c>
      <c r="Y180" s="405"/>
      <c r="Z180" s="400"/>
    </row>
    <row r="181" spans="22:26">
      <c r="V181" s="400"/>
      <c r="W181" s="403" t="s">
        <v>159</v>
      </c>
      <c r="X181" s="406">
        <f>+AK164</f>
        <v>3.2451369588433406E-4</v>
      </c>
      <c r="Y181" s="405"/>
      <c r="Z181" s="400"/>
    </row>
    <row r="182" spans="22:26">
      <c r="V182" s="400"/>
      <c r="W182" s="403" t="s">
        <v>158</v>
      </c>
      <c r="X182" s="406">
        <f>+AL164</f>
        <v>0</v>
      </c>
      <c r="Y182" s="405"/>
      <c r="Z182" s="400"/>
    </row>
    <row r="183" spans="22:26">
      <c r="V183" s="400"/>
      <c r="W183" s="403" t="s">
        <v>151</v>
      </c>
      <c r="X183" s="406">
        <f>+AN164</f>
        <v>1.8259303955091864E-2</v>
      </c>
      <c r="Y183" s="405"/>
      <c r="Z183" s="400"/>
    </row>
    <row r="184" spans="22:26">
      <c r="V184" s="400"/>
      <c r="W184" s="403" t="s">
        <v>161</v>
      </c>
      <c r="X184" s="406">
        <f>+AO164</f>
        <v>1.7091054649908261E-2</v>
      </c>
      <c r="Y184" s="405"/>
      <c r="Z184" s="400"/>
    </row>
    <row r="185" spans="22:26">
      <c r="V185" s="400"/>
      <c r="W185" s="403" t="s">
        <v>152</v>
      </c>
      <c r="X185" s="406">
        <f>+AP164</f>
        <v>3.3533081908047853E-3</v>
      </c>
      <c r="Y185" s="405"/>
      <c r="Z185" s="400"/>
    </row>
    <row r="186" spans="22:26">
      <c r="V186" s="400"/>
      <c r="W186" s="403" t="s">
        <v>160</v>
      </c>
      <c r="X186" s="406">
        <f>+AQ164</f>
        <v>0</v>
      </c>
      <c r="Y186" s="405"/>
      <c r="Z186" s="400"/>
    </row>
    <row r="187" spans="22:26">
      <c r="V187" s="400"/>
      <c r="W187" s="403" t="s">
        <v>163</v>
      </c>
      <c r="X187" s="406">
        <f>+AS164</f>
        <v>0</v>
      </c>
      <c r="Y187" s="405"/>
      <c r="Z187" s="400"/>
    </row>
    <row r="188" spans="22:26">
      <c r="V188" s="400"/>
      <c r="W188" s="403" t="s">
        <v>298</v>
      </c>
      <c r="X188" s="406">
        <f>+AT164</f>
        <v>0</v>
      </c>
      <c r="Y188" s="405"/>
      <c r="Z188" s="400"/>
    </row>
    <row r="189" spans="22:26">
      <c r="V189" s="400"/>
      <c r="W189" s="403" t="s">
        <v>243</v>
      </c>
      <c r="X189" s="406">
        <f>+AU164</f>
        <v>3.634553393904541E-2</v>
      </c>
      <c r="Y189" s="405"/>
      <c r="Z189" s="400"/>
    </row>
    <row r="190" spans="22:26">
      <c r="V190" s="400"/>
      <c r="W190" s="403" t="s">
        <v>306</v>
      </c>
      <c r="X190" s="406">
        <f>+AW164</f>
        <v>0</v>
      </c>
      <c r="Y190" s="405"/>
      <c r="Z190" s="400"/>
    </row>
    <row r="191" spans="22:26">
      <c r="V191" s="400"/>
      <c r="W191" s="403" t="s">
        <v>307</v>
      </c>
      <c r="X191" s="406">
        <f>+AV164</f>
        <v>0</v>
      </c>
      <c r="Y191" s="405"/>
      <c r="Z191" s="400"/>
    </row>
    <row r="192" spans="22:26">
      <c r="V192" s="400"/>
      <c r="W192" s="400" t="s">
        <v>162</v>
      </c>
      <c r="X192" s="406">
        <f>+AX164+AY164</f>
        <v>0</v>
      </c>
      <c r="Y192" s="406"/>
      <c r="Z192" s="400"/>
    </row>
    <row r="193" spans="22:26">
      <c r="V193" s="400"/>
      <c r="W193" s="400" t="s">
        <v>305</v>
      </c>
      <c r="X193" s="406">
        <f>+AZ165</f>
        <v>0</v>
      </c>
      <c r="Y193" s="400"/>
      <c r="Z193" s="400"/>
    </row>
    <row r="194" spans="22:26">
      <c r="V194" s="400"/>
      <c r="W194" s="400"/>
      <c r="X194" s="532">
        <f>SUM(X171:X193)</f>
        <v>0.15824475968970791</v>
      </c>
      <c r="Y194" s="400"/>
      <c r="Z194" s="400"/>
    </row>
    <row r="196" spans="22:26">
      <c r="X196" s="94">
        <f>+X194+X163</f>
        <v>0.99999999999999978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64:P164"/>
    <mergeCell ref="T3:T5"/>
    <mergeCell ref="P3:P5"/>
    <mergeCell ref="G3:K4"/>
    <mergeCell ref="L3:N4"/>
    <mergeCell ref="O3:O5"/>
    <mergeCell ref="Q3:Q5"/>
    <mergeCell ref="R3:R5"/>
    <mergeCell ref="S3:S5"/>
  </mergeCells>
  <phoneticPr fontId="30" type="noConversion"/>
  <conditionalFormatting sqref="B76:C76 B87:C87 B140:C140 C164 B145:C145 C162 B162:B164">
    <cfRule type="cellIs" dxfId="27059" priority="22440" stopIfTrue="1" operator="equal">
      <formula>"Towel"</formula>
    </cfRule>
    <cfRule type="cellIs" dxfId="27058" priority="22441" stopIfTrue="1" operator="equal">
      <formula>"Napkin Hs"</formula>
    </cfRule>
  </conditionalFormatting>
  <conditionalFormatting sqref="C11">
    <cfRule type="cellIs" dxfId="27057" priority="21952" stopIfTrue="1" operator="equal">
      <formula>"Towel"</formula>
    </cfRule>
    <cfRule type="cellIs" dxfId="27056" priority="21953" stopIfTrue="1" operator="equal">
      <formula>"Napkin Hs"</formula>
    </cfRule>
  </conditionalFormatting>
  <conditionalFormatting sqref="C50">
    <cfRule type="cellIs" dxfId="27055" priority="21450" stopIfTrue="1" operator="equal">
      <formula>"Towel"</formula>
    </cfRule>
    <cfRule type="cellIs" dxfId="27054" priority="21451" stopIfTrue="1" operator="equal">
      <formula>"Napkin Hs"</formula>
    </cfRule>
  </conditionalFormatting>
  <conditionalFormatting sqref="B40:C40">
    <cfRule type="cellIs" dxfId="27053" priority="22350" stopIfTrue="1" operator="equal">
      <formula>"Towel"</formula>
    </cfRule>
    <cfRule type="cellIs" dxfId="27052" priority="22351" stopIfTrue="1" operator="equal">
      <formula>"Napkin Hs"</formula>
    </cfRule>
  </conditionalFormatting>
  <conditionalFormatting sqref="B56:C56">
    <cfRule type="cellIs" dxfId="27051" priority="22302" stopIfTrue="1" operator="equal">
      <formula>"Towel"</formula>
    </cfRule>
    <cfRule type="cellIs" dxfId="27050" priority="22303" stopIfTrue="1" operator="equal">
      <formula>"Napkin Hs"</formula>
    </cfRule>
  </conditionalFormatting>
  <conditionalFormatting sqref="B61:C61">
    <cfRule type="cellIs" dxfId="27049" priority="22296" stopIfTrue="1" operator="equal">
      <formula>"Towel"</formula>
    </cfRule>
    <cfRule type="cellIs" dxfId="27048" priority="22297" stopIfTrue="1" operator="equal">
      <formula>"Napkin Hs"</formula>
    </cfRule>
  </conditionalFormatting>
  <conditionalFormatting sqref="B71:C71">
    <cfRule type="cellIs" dxfId="27047" priority="22258" stopIfTrue="1" operator="equal">
      <formula>"Towel"</formula>
    </cfRule>
    <cfRule type="cellIs" dxfId="27046" priority="22259" stopIfTrue="1" operator="equal">
      <formula>"Napkin Hs"</formula>
    </cfRule>
  </conditionalFormatting>
  <conditionalFormatting sqref="B77:C77">
    <cfRule type="cellIs" dxfId="27045" priority="22228" stopIfTrue="1" operator="equal">
      <formula>"Towel"</formula>
    </cfRule>
    <cfRule type="cellIs" dxfId="27044" priority="22229" stopIfTrue="1" operator="equal">
      <formula>"Napkin Hs"</formula>
    </cfRule>
  </conditionalFormatting>
  <conditionalFormatting sqref="B88:C88">
    <cfRule type="cellIs" dxfId="27043" priority="22190" stopIfTrue="1" operator="equal">
      <formula>"Towel"</formula>
    </cfRule>
    <cfRule type="cellIs" dxfId="27042" priority="22191" stopIfTrue="1" operator="equal">
      <formula>"Napkin Hs"</formula>
    </cfRule>
  </conditionalFormatting>
  <conditionalFormatting sqref="B92:C92">
    <cfRule type="cellIs" dxfId="27041" priority="22164" stopIfTrue="1" operator="equal">
      <formula>"Towel"</formula>
    </cfRule>
    <cfRule type="cellIs" dxfId="27040" priority="22165" stopIfTrue="1" operator="equal">
      <formula>"Napkin Hs"</formula>
    </cfRule>
  </conditionalFormatting>
  <conditionalFormatting sqref="B98:C98">
    <cfRule type="cellIs" dxfId="27039" priority="22142" stopIfTrue="1" operator="equal">
      <formula>"Towel"</formula>
    </cfRule>
    <cfRule type="cellIs" dxfId="27038" priority="22143" stopIfTrue="1" operator="equal">
      <formula>"Napkin Hs"</formula>
    </cfRule>
  </conditionalFormatting>
  <conditionalFormatting sqref="C11">
    <cfRule type="cellIs" dxfId="27037" priority="21958" stopIfTrue="1" operator="equal">
      <formula>"Towel"</formula>
    </cfRule>
    <cfRule type="cellIs" dxfId="27036" priority="21959" stopIfTrue="1" operator="equal">
      <formula>"Napkin Hs"</formula>
    </cfRule>
  </conditionalFormatting>
  <conditionalFormatting sqref="B125:C125">
    <cfRule type="cellIs" dxfId="27035" priority="22010" stopIfTrue="1" operator="equal">
      <formula>"Towel"</formula>
    </cfRule>
    <cfRule type="cellIs" dxfId="27034" priority="22011" stopIfTrue="1" operator="equal">
      <formula>"Napkin Hs"</formula>
    </cfRule>
  </conditionalFormatting>
  <conditionalFormatting sqref="B11">
    <cfRule type="cellIs" dxfId="27033" priority="21912" stopIfTrue="1" operator="equal">
      <formula>"Towel"</formula>
    </cfRule>
    <cfRule type="cellIs" dxfId="27032" priority="21913" stopIfTrue="1" operator="equal">
      <formula>"Napkin Hs"</formula>
    </cfRule>
  </conditionalFormatting>
  <conditionalFormatting sqref="C76 C87 C140 C145">
    <cfRule type="cellIs" dxfId="27031" priority="22439" stopIfTrue="1" operator="equal">
      <formula>"Napkin Hs"</formula>
    </cfRule>
  </conditionalFormatting>
  <conditionalFormatting sqref="C11">
    <cfRule type="cellIs" dxfId="27030" priority="21956" stopIfTrue="1" operator="equal">
      <formula>"Towel"</formula>
    </cfRule>
    <cfRule type="cellIs" dxfId="27029" priority="21957" stopIfTrue="1" operator="equal">
      <formula>"Napkin Hs"</formula>
    </cfRule>
  </conditionalFormatting>
  <conditionalFormatting sqref="C50">
    <cfRule type="cellIs" dxfId="27028" priority="21448" stopIfTrue="1" operator="equal">
      <formula>"Towel"</formula>
    </cfRule>
    <cfRule type="cellIs" dxfId="27027" priority="21449" stopIfTrue="1" operator="equal">
      <formula>"Napkin Hs"</formula>
    </cfRule>
  </conditionalFormatting>
  <conditionalFormatting sqref="C76 C87 C140 C145">
    <cfRule type="cellIs" dxfId="27026" priority="22438" stopIfTrue="1" operator="equal">
      <formula>"Towel"</formula>
    </cfRule>
  </conditionalFormatting>
  <conditionalFormatting sqref="C40">
    <cfRule type="cellIs" dxfId="27025" priority="22348" stopIfTrue="1" operator="equal">
      <formula>"Towel"</formula>
    </cfRule>
    <cfRule type="cellIs" dxfId="27024" priority="22349" stopIfTrue="1" operator="equal">
      <formula>"Napkin Hs"</formula>
    </cfRule>
  </conditionalFormatting>
  <conditionalFormatting sqref="C40">
    <cfRule type="cellIs" dxfId="27023" priority="22342" stopIfTrue="1" operator="equal">
      <formula>"Towel"</formula>
    </cfRule>
    <cfRule type="cellIs" dxfId="27022" priority="22343" stopIfTrue="1" operator="equal">
      <formula>"Napkin Hs"</formula>
    </cfRule>
  </conditionalFormatting>
  <conditionalFormatting sqref="C56">
    <cfRule type="cellIs" dxfId="27021" priority="22300" stopIfTrue="1" operator="equal">
      <formula>"Towel"</formula>
    </cfRule>
    <cfRule type="cellIs" dxfId="27020" priority="22301" stopIfTrue="1" operator="equal">
      <formula>"Napkin Hs"</formula>
    </cfRule>
  </conditionalFormatting>
  <conditionalFormatting sqref="C56">
    <cfRule type="cellIs" dxfId="27019" priority="22298" stopIfTrue="1" operator="equal">
      <formula>"Towel"</formula>
    </cfRule>
    <cfRule type="cellIs" dxfId="27018" priority="22299" stopIfTrue="1" operator="equal">
      <formula>"Napkin Hs"</formula>
    </cfRule>
  </conditionalFormatting>
  <conditionalFormatting sqref="C61">
    <cfRule type="cellIs" dxfId="27017" priority="22288" stopIfTrue="1" operator="equal">
      <formula>"Towel"</formula>
    </cfRule>
    <cfRule type="cellIs" dxfId="27016" priority="22289" stopIfTrue="1" operator="equal">
      <formula>"Napkin Hs"</formula>
    </cfRule>
  </conditionalFormatting>
  <conditionalFormatting sqref="C61">
    <cfRule type="cellIs" dxfId="27015" priority="22294" stopIfTrue="1" operator="equal">
      <formula>"Towel"</formula>
    </cfRule>
    <cfRule type="cellIs" dxfId="27014" priority="22295" stopIfTrue="1" operator="equal">
      <formula>"Napkin Hs"</formula>
    </cfRule>
  </conditionalFormatting>
  <conditionalFormatting sqref="C71">
    <cfRule type="cellIs" dxfId="27013" priority="22250" stopIfTrue="1" operator="equal">
      <formula>"Towel"</formula>
    </cfRule>
    <cfRule type="cellIs" dxfId="27012" priority="22251" stopIfTrue="1" operator="equal">
      <formula>"Napkin Hs"</formula>
    </cfRule>
  </conditionalFormatting>
  <conditionalFormatting sqref="C71">
    <cfRule type="cellIs" dxfId="27011" priority="22256" stopIfTrue="1" operator="equal">
      <formula>"Towel"</formula>
    </cfRule>
    <cfRule type="cellIs" dxfId="27010" priority="22257" stopIfTrue="1" operator="equal">
      <formula>"Napkin Hs"</formula>
    </cfRule>
  </conditionalFormatting>
  <conditionalFormatting sqref="C76">
    <cfRule type="cellIs" dxfId="27009" priority="22244" stopIfTrue="1" operator="equal">
      <formula>"Towel"</formula>
    </cfRule>
    <cfRule type="cellIs" dxfId="27008" priority="22245" stopIfTrue="1" operator="equal">
      <formula>"Napkin Hs"</formula>
    </cfRule>
  </conditionalFormatting>
  <conditionalFormatting sqref="C77">
    <cfRule type="cellIs" dxfId="27007" priority="22226" stopIfTrue="1" operator="equal">
      <formula>"Towel"</formula>
    </cfRule>
    <cfRule type="cellIs" dxfId="27006" priority="22227" stopIfTrue="1" operator="equal">
      <formula>"Napkin Hs"</formula>
    </cfRule>
  </conditionalFormatting>
  <conditionalFormatting sqref="C77">
    <cfRule type="cellIs" dxfId="27005" priority="22220" stopIfTrue="1" operator="equal">
      <formula>"Towel"</formula>
    </cfRule>
    <cfRule type="cellIs" dxfId="27004" priority="22221" stopIfTrue="1" operator="equal">
      <formula>"Napkin Hs"</formula>
    </cfRule>
  </conditionalFormatting>
  <conditionalFormatting sqref="C87">
    <cfRule type="cellIs" dxfId="27003" priority="22196" stopIfTrue="1" operator="equal">
      <formula>"Towel"</formula>
    </cfRule>
    <cfRule type="cellIs" dxfId="27002" priority="22197" stopIfTrue="1" operator="equal">
      <formula>"Napkin Hs"</formula>
    </cfRule>
  </conditionalFormatting>
  <conditionalFormatting sqref="C88">
    <cfRule type="cellIs" dxfId="27001" priority="22188" stopIfTrue="1" operator="equal">
      <formula>"Towel"</formula>
    </cfRule>
    <cfRule type="cellIs" dxfId="27000" priority="22189" stopIfTrue="1" operator="equal">
      <formula>"Napkin Hs"</formula>
    </cfRule>
  </conditionalFormatting>
  <conditionalFormatting sqref="C88">
    <cfRule type="cellIs" dxfId="26999" priority="22182" stopIfTrue="1" operator="equal">
      <formula>"Towel"</formula>
    </cfRule>
    <cfRule type="cellIs" dxfId="26998" priority="22183" stopIfTrue="1" operator="equal">
      <formula>"Napkin Hs"</formula>
    </cfRule>
  </conditionalFormatting>
  <conditionalFormatting sqref="C92">
    <cfRule type="cellIs" dxfId="26997" priority="22158" stopIfTrue="1" operator="equal">
      <formula>"Towel"</formula>
    </cfRule>
    <cfRule type="cellIs" dxfId="26996" priority="22159" stopIfTrue="1" operator="equal">
      <formula>"Napkin Hs"</formula>
    </cfRule>
  </conditionalFormatting>
  <conditionalFormatting sqref="C92">
    <cfRule type="cellIs" dxfId="26995" priority="22162" stopIfTrue="1" operator="equal">
      <formula>"Towel"</formula>
    </cfRule>
    <cfRule type="cellIs" dxfId="26994" priority="22163" stopIfTrue="1" operator="equal">
      <formula>"Napkin Hs"</formula>
    </cfRule>
  </conditionalFormatting>
  <conditionalFormatting sqref="C98">
    <cfRule type="cellIs" dxfId="26993" priority="22144" stopIfTrue="1" operator="equal">
      <formula>"Towel"</formula>
    </cfRule>
    <cfRule type="cellIs" dxfId="26992" priority="22145" stopIfTrue="1" operator="equal">
      <formula>"Napkin Hs"</formula>
    </cfRule>
  </conditionalFormatting>
  <conditionalFormatting sqref="C98">
    <cfRule type="cellIs" dxfId="26991" priority="22140" stopIfTrue="1" operator="equal">
      <formula>"Towel"</formula>
    </cfRule>
    <cfRule type="cellIs" dxfId="26990" priority="22141" stopIfTrue="1" operator="equal">
      <formula>"Napkin Hs"</formula>
    </cfRule>
  </conditionalFormatting>
  <conditionalFormatting sqref="C125">
    <cfRule type="cellIs" dxfId="26989" priority="22006" stopIfTrue="1" operator="equal">
      <formula>"Towel"</formula>
    </cfRule>
    <cfRule type="cellIs" dxfId="26988" priority="22007" stopIfTrue="1" operator="equal">
      <formula>"Napkin Hs"</formula>
    </cfRule>
  </conditionalFormatting>
  <conditionalFormatting sqref="C125">
    <cfRule type="cellIs" dxfId="26987" priority="22008" stopIfTrue="1" operator="equal">
      <formula>"Towel"</formula>
    </cfRule>
    <cfRule type="cellIs" dxfId="26986" priority="22009" stopIfTrue="1" operator="equal">
      <formula>"Napkin Hs"</formula>
    </cfRule>
  </conditionalFormatting>
  <conditionalFormatting sqref="C140 C145">
    <cfRule type="cellIs" dxfId="26985" priority="22014" stopIfTrue="1" operator="equal">
      <formula>"Towel"</formula>
    </cfRule>
    <cfRule type="cellIs" dxfId="26984" priority="22015" stopIfTrue="1" operator="equal">
      <formula>"Napkin Hs"</formula>
    </cfRule>
  </conditionalFormatting>
  <conditionalFormatting sqref="C10">
    <cfRule type="cellIs" dxfId="26983" priority="21924" stopIfTrue="1" operator="equal">
      <formula>"Towel"</formula>
    </cfRule>
    <cfRule type="cellIs" dxfId="26982" priority="21925" stopIfTrue="1" operator="equal">
      <formula>"Napkin Hs"</formula>
    </cfRule>
  </conditionalFormatting>
  <conditionalFormatting sqref="C10">
    <cfRule type="cellIs" dxfId="26981" priority="21926" stopIfTrue="1" operator="equal">
      <formula>"Towel"</formula>
    </cfRule>
    <cfRule type="cellIs" dxfId="26980" priority="21927" stopIfTrue="1" operator="equal">
      <formula>"Napkin Hs"</formula>
    </cfRule>
  </conditionalFormatting>
  <conditionalFormatting sqref="C11">
    <cfRule type="cellIs" dxfId="26979" priority="21928" stopIfTrue="1" operator="equal">
      <formula>"Towel"</formula>
    </cfRule>
    <cfRule type="cellIs" dxfId="26978" priority="21929" stopIfTrue="1" operator="equal">
      <formula>"Napkin Hs"</formula>
    </cfRule>
  </conditionalFormatting>
  <conditionalFormatting sqref="C11">
    <cfRule type="cellIs" dxfId="26977" priority="21930" stopIfTrue="1" operator="equal">
      <formula>"Towel"</formula>
    </cfRule>
    <cfRule type="cellIs" dxfId="26976" priority="21931" stopIfTrue="1" operator="equal">
      <formula>"Napkin Hs"</formula>
    </cfRule>
  </conditionalFormatting>
  <conditionalFormatting sqref="C11">
    <cfRule type="cellIs" dxfId="26975" priority="21932" stopIfTrue="1" operator="equal">
      <formula>"Towel"</formula>
    </cfRule>
    <cfRule type="cellIs" dxfId="26974" priority="21933" stopIfTrue="1" operator="equal">
      <formula>"Napkin Hs"</formula>
    </cfRule>
  </conditionalFormatting>
  <conditionalFormatting sqref="B10:C10">
    <cfRule type="cellIs" dxfId="26973" priority="21922" stopIfTrue="1" operator="equal">
      <formula>"Towel"</formula>
    </cfRule>
    <cfRule type="cellIs" dxfId="26972" priority="21923" stopIfTrue="1" operator="equal">
      <formula>"Napkin Hs"</formula>
    </cfRule>
  </conditionalFormatting>
  <conditionalFormatting sqref="B10:C10">
    <cfRule type="cellIs" dxfId="26971" priority="21916" stopIfTrue="1" operator="equal">
      <formula>"Towel"</formula>
    </cfRule>
    <cfRule type="cellIs" dxfId="26970" priority="21917" stopIfTrue="1" operator="equal">
      <formula>"Napkin Hs"</formula>
    </cfRule>
  </conditionalFormatting>
  <conditionalFormatting sqref="C10">
    <cfRule type="cellIs" dxfId="26969" priority="21918" stopIfTrue="1" operator="equal">
      <formula>"Towel"</formula>
    </cfRule>
    <cfRule type="cellIs" dxfId="26968" priority="21919" stopIfTrue="1" operator="equal">
      <formula>"Napkin Hs"</formula>
    </cfRule>
  </conditionalFormatting>
  <conditionalFormatting sqref="C10">
    <cfRule type="cellIs" dxfId="26967" priority="21920" stopIfTrue="1" operator="equal">
      <formula>"Towel"</formula>
    </cfRule>
    <cfRule type="cellIs" dxfId="26966" priority="21921" stopIfTrue="1" operator="equal">
      <formula>"Napkin Hs"</formula>
    </cfRule>
  </conditionalFormatting>
  <conditionalFormatting sqref="B11">
    <cfRule type="cellIs" dxfId="26965" priority="21914" stopIfTrue="1" operator="equal">
      <formula>"Towel"</formula>
    </cfRule>
    <cfRule type="cellIs" dxfId="26964" priority="21915" stopIfTrue="1" operator="equal">
      <formula>"Napkin Hs"</formula>
    </cfRule>
  </conditionalFormatting>
  <conditionalFormatting sqref="B39:C39">
    <cfRule type="cellIs" dxfId="26963" priority="21680" stopIfTrue="1" operator="equal">
      <formula>"Towel"</formula>
    </cfRule>
    <cfRule type="cellIs" dxfId="26962" priority="21681" stopIfTrue="1" operator="equal">
      <formula>"Napkin Hs"</formula>
    </cfRule>
  </conditionalFormatting>
  <conditionalFormatting sqref="C39">
    <cfRule type="cellIs" dxfId="26961" priority="21676" stopIfTrue="1" operator="equal">
      <formula>"Towel"</formula>
    </cfRule>
    <cfRule type="cellIs" dxfId="26960" priority="21677" stopIfTrue="1" operator="equal">
      <formula>"Napkin Hs"</formula>
    </cfRule>
  </conditionalFormatting>
  <conditionalFormatting sqref="C39">
    <cfRule type="cellIs" dxfId="26959" priority="21678" stopIfTrue="1" operator="equal">
      <formula>"Towel"</formula>
    </cfRule>
    <cfRule type="cellIs" dxfId="26958" priority="21679" stopIfTrue="1" operator="equal">
      <formula>"Napkin Hs"</formula>
    </cfRule>
  </conditionalFormatting>
  <conditionalFormatting sqref="C38">
    <cfRule type="cellIs" dxfId="26957" priority="21672" stopIfTrue="1" operator="equal">
      <formula>"Towel"</formula>
    </cfRule>
    <cfRule type="cellIs" dxfId="26956" priority="21673" stopIfTrue="1" operator="equal">
      <formula>"Napkin Hs"</formula>
    </cfRule>
  </conditionalFormatting>
  <conditionalFormatting sqref="C38">
    <cfRule type="cellIs" dxfId="26955" priority="21674" stopIfTrue="1" operator="equal">
      <formula>"Towel"</formula>
    </cfRule>
    <cfRule type="cellIs" dxfId="26954" priority="21675" stopIfTrue="1" operator="equal">
      <formula>"Napkin Hs"</formula>
    </cfRule>
  </conditionalFormatting>
  <conditionalFormatting sqref="C38">
    <cfRule type="cellIs" dxfId="26953" priority="21670" stopIfTrue="1" operator="equal">
      <formula>"Towel"</formula>
    </cfRule>
    <cfRule type="cellIs" dxfId="26952" priority="21671" stopIfTrue="1" operator="equal">
      <formula>"Napkin Hs"</formula>
    </cfRule>
  </conditionalFormatting>
  <conditionalFormatting sqref="C38">
    <cfRule type="cellIs" dxfId="26951" priority="21664" stopIfTrue="1" operator="equal">
      <formula>"Towel"</formula>
    </cfRule>
    <cfRule type="cellIs" dxfId="26950" priority="21665" stopIfTrue="1" operator="equal">
      <formula>"Napkin Hs"</formula>
    </cfRule>
  </conditionalFormatting>
  <conditionalFormatting sqref="C38">
    <cfRule type="cellIs" dxfId="26949" priority="21666" stopIfTrue="1" operator="equal">
      <formula>"Towel"</formula>
    </cfRule>
    <cfRule type="cellIs" dxfId="26948" priority="21667" stopIfTrue="1" operator="equal">
      <formula>"Napkin Hs"</formula>
    </cfRule>
  </conditionalFormatting>
  <conditionalFormatting sqref="C38">
    <cfRule type="cellIs" dxfId="26947" priority="21668" stopIfTrue="1" operator="equal">
      <formula>"Towel"</formula>
    </cfRule>
    <cfRule type="cellIs" dxfId="26946" priority="21669" stopIfTrue="1" operator="equal">
      <formula>"Napkin Hs"</formula>
    </cfRule>
  </conditionalFormatting>
  <conditionalFormatting sqref="C41">
    <cfRule type="cellIs" dxfId="26945" priority="21592" stopIfTrue="1" operator="equal">
      <formula>"Towel"</formula>
    </cfRule>
    <cfRule type="cellIs" dxfId="26944" priority="21593" stopIfTrue="1" operator="equal">
      <formula>"Napkin Hs"</formula>
    </cfRule>
  </conditionalFormatting>
  <conditionalFormatting sqref="B41:C41">
    <cfRule type="cellIs" dxfId="26943" priority="21594" stopIfTrue="1" operator="equal">
      <formula>"Towel"</formula>
    </cfRule>
    <cfRule type="cellIs" dxfId="26942" priority="21595" stopIfTrue="1" operator="equal">
      <formula>"Napkin Hs"</formula>
    </cfRule>
  </conditionalFormatting>
  <conditionalFormatting sqref="C41">
    <cfRule type="cellIs" dxfId="26941" priority="21590" stopIfTrue="1" operator="equal">
      <formula>"Towel"</formula>
    </cfRule>
    <cfRule type="cellIs" dxfId="26940" priority="21591" stopIfTrue="1" operator="equal">
      <formula>"Napkin Hs"</formula>
    </cfRule>
  </conditionalFormatting>
  <conditionalFormatting sqref="B41:C41">
    <cfRule type="cellIs" dxfId="26939" priority="21588" stopIfTrue="1" operator="equal">
      <formula>"Towel"</formula>
    </cfRule>
    <cfRule type="cellIs" dxfId="26938" priority="21589" stopIfTrue="1" operator="equal">
      <formula>"Napkin Hs"</formula>
    </cfRule>
  </conditionalFormatting>
  <conditionalFormatting sqref="C41">
    <cfRule type="cellIs" dxfId="26937" priority="21596" stopIfTrue="1" operator="equal">
      <formula>"Towel"</formula>
    </cfRule>
    <cfRule type="cellIs" dxfId="26936" priority="21597" stopIfTrue="1" operator="equal">
      <formula>"Napkin Hs"</formula>
    </cfRule>
  </conditionalFormatting>
  <conditionalFormatting sqref="C41">
    <cfRule type="cellIs" dxfId="26935" priority="21598" stopIfTrue="1" operator="equal">
      <formula>"Towel"</formula>
    </cfRule>
    <cfRule type="cellIs" dxfId="26934" priority="21599" stopIfTrue="1" operator="equal">
      <formula>"Napkin Hs"</formula>
    </cfRule>
  </conditionalFormatting>
  <conditionalFormatting sqref="C46">
    <cfRule type="cellIs" dxfId="26933" priority="21544" stopIfTrue="1" operator="equal">
      <formula>"Towel"</formula>
    </cfRule>
    <cfRule type="cellIs" dxfId="26932" priority="21545" stopIfTrue="1" operator="equal">
      <formula>"Napkin Hs"</formula>
    </cfRule>
  </conditionalFormatting>
  <conditionalFormatting sqref="B46:C46">
    <cfRule type="cellIs" dxfId="26931" priority="21546" stopIfTrue="1" operator="equal">
      <formula>"Towel"</formula>
    </cfRule>
    <cfRule type="cellIs" dxfId="26930" priority="21547" stopIfTrue="1" operator="equal">
      <formula>"Napkin Hs"</formula>
    </cfRule>
  </conditionalFormatting>
  <conditionalFormatting sqref="C46">
    <cfRule type="cellIs" dxfId="26929" priority="21542" stopIfTrue="1" operator="equal">
      <formula>"Towel"</formula>
    </cfRule>
    <cfRule type="cellIs" dxfId="26928" priority="21543" stopIfTrue="1" operator="equal">
      <formula>"Napkin Hs"</formula>
    </cfRule>
  </conditionalFormatting>
  <conditionalFormatting sqref="B46:C46">
    <cfRule type="cellIs" dxfId="26927" priority="21540" stopIfTrue="1" operator="equal">
      <formula>"Towel"</formula>
    </cfRule>
    <cfRule type="cellIs" dxfId="26926" priority="21541" stopIfTrue="1" operator="equal">
      <formula>"Napkin Hs"</formula>
    </cfRule>
  </conditionalFormatting>
  <conditionalFormatting sqref="C46">
    <cfRule type="cellIs" dxfId="26925" priority="21548" stopIfTrue="1" operator="equal">
      <formula>"Towel"</formula>
    </cfRule>
    <cfRule type="cellIs" dxfId="26924" priority="21549" stopIfTrue="1" operator="equal">
      <formula>"Napkin Hs"</formula>
    </cfRule>
  </conditionalFormatting>
  <conditionalFormatting sqref="C46">
    <cfRule type="cellIs" dxfId="26923" priority="21550" stopIfTrue="1" operator="equal">
      <formula>"Towel"</formula>
    </cfRule>
    <cfRule type="cellIs" dxfId="26922" priority="21551" stopIfTrue="1" operator="equal">
      <formula>"Napkin Hs"</formula>
    </cfRule>
  </conditionalFormatting>
  <conditionalFormatting sqref="C41">
    <cfRule type="cellIs" dxfId="26921" priority="21520" stopIfTrue="1" operator="equal">
      <formula>"Towel"</formula>
    </cfRule>
    <cfRule type="cellIs" dxfId="26920" priority="21521" stopIfTrue="1" operator="equal">
      <formula>"Napkin Hs"</formula>
    </cfRule>
  </conditionalFormatting>
  <conditionalFormatting sqref="B41:C41">
    <cfRule type="cellIs" dxfId="26919" priority="21522" stopIfTrue="1" operator="equal">
      <formula>"Towel"</formula>
    </cfRule>
    <cfRule type="cellIs" dxfId="26918" priority="21523" stopIfTrue="1" operator="equal">
      <formula>"Napkin Hs"</formula>
    </cfRule>
  </conditionalFormatting>
  <conditionalFormatting sqref="C41">
    <cfRule type="cellIs" dxfId="26917" priority="21518" stopIfTrue="1" operator="equal">
      <formula>"Towel"</formula>
    </cfRule>
    <cfRule type="cellIs" dxfId="26916" priority="21519" stopIfTrue="1" operator="equal">
      <formula>"Napkin Hs"</formula>
    </cfRule>
  </conditionalFormatting>
  <conditionalFormatting sqref="B41:C41">
    <cfRule type="cellIs" dxfId="26915" priority="21516" stopIfTrue="1" operator="equal">
      <formula>"Towel"</formula>
    </cfRule>
    <cfRule type="cellIs" dxfId="26914" priority="21517" stopIfTrue="1" operator="equal">
      <formula>"Napkin Hs"</formula>
    </cfRule>
  </conditionalFormatting>
  <conditionalFormatting sqref="C41">
    <cfRule type="cellIs" dxfId="26913" priority="21524" stopIfTrue="1" operator="equal">
      <formula>"Towel"</formula>
    </cfRule>
    <cfRule type="cellIs" dxfId="26912" priority="21525" stopIfTrue="1" operator="equal">
      <formula>"Napkin Hs"</formula>
    </cfRule>
  </conditionalFormatting>
  <conditionalFormatting sqref="C41">
    <cfRule type="cellIs" dxfId="26911" priority="21526" stopIfTrue="1" operator="equal">
      <formula>"Towel"</formula>
    </cfRule>
    <cfRule type="cellIs" dxfId="26910" priority="21527" stopIfTrue="1" operator="equal">
      <formula>"Napkin Hs"</formula>
    </cfRule>
  </conditionalFormatting>
  <conditionalFormatting sqref="C50">
    <cfRule type="cellIs" dxfId="26909" priority="21480" stopIfTrue="1" operator="equal">
      <formula>"Towel"</formula>
    </cfRule>
    <cfRule type="cellIs" dxfId="26908" priority="21481" stopIfTrue="1" operator="equal">
      <formula>"Napkin Hs"</formula>
    </cfRule>
  </conditionalFormatting>
  <conditionalFormatting sqref="B50:C50">
    <cfRule type="cellIs" dxfId="26907" priority="21482" stopIfTrue="1" operator="equal">
      <formula>"Towel"</formula>
    </cfRule>
    <cfRule type="cellIs" dxfId="26906" priority="21483" stopIfTrue="1" operator="equal">
      <formula>"Napkin Hs"</formula>
    </cfRule>
  </conditionalFormatting>
  <conditionalFormatting sqref="C50">
    <cfRule type="cellIs" dxfId="26905" priority="21478" stopIfTrue="1" operator="equal">
      <formula>"Towel"</formula>
    </cfRule>
    <cfRule type="cellIs" dxfId="26904" priority="21479" stopIfTrue="1" operator="equal">
      <formula>"Napkin Hs"</formula>
    </cfRule>
  </conditionalFormatting>
  <conditionalFormatting sqref="B50:C50">
    <cfRule type="cellIs" dxfId="26903" priority="21476" stopIfTrue="1" operator="equal">
      <formula>"Towel"</formula>
    </cfRule>
    <cfRule type="cellIs" dxfId="26902" priority="21477" stopIfTrue="1" operator="equal">
      <formula>"Napkin Hs"</formula>
    </cfRule>
  </conditionalFormatting>
  <conditionalFormatting sqref="C50">
    <cfRule type="cellIs" dxfId="26901" priority="21484" stopIfTrue="1" operator="equal">
      <formula>"Towel"</formula>
    </cfRule>
    <cfRule type="cellIs" dxfId="26900" priority="21485" stopIfTrue="1" operator="equal">
      <formula>"Napkin Hs"</formula>
    </cfRule>
  </conditionalFormatting>
  <conditionalFormatting sqref="C50">
    <cfRule type="cellIs" dxfId="26899" priority="21486" stopIfTrue="1" operator="equal">
      <formula>"Towel"</formula>
    </cfRule>
    <cfRule type="cellIs" dxfId="26898" priority="21487" stopIfTrue="1" operator="equal">
      <formula>"Napkin Hs"</formula>
    </cfRule>
  </conditionalFormatting>
  <conditionalFormatting sqref="C51">
    <cfRule type="cellIs" dxfId="26897" priority="21468" stopIfTrue="1" operator="equal">
      <formula>"Towel"</formula>
    </cfRule>
    <cfRule type="cellIs" dxfId="26896" priority="21469" stopIfTrue="1" operator="equal">
      <formula>"Napkin Hs"</formula>
    </cfRule>
  </conditionalFormatting>
  <conditionalFormatting sqref="B51:C51">
    <cfRule type="cellIs" dxfId="26895" priority="21470" stopIfTrue="1" operator="equal">
      <formula>"Towel"</formula>
    </cfRule>
    <cfRule type="cellIs" dxfId="26894" priority="21471" stopIfTrue="1" operator="equal">
      <formula>"Napkin Hs"</formula>
    </cfRule>
  </conditionalFormatting>
  <conditionalFormatting sqref="C51">
    <cfRule type="cellIs" dxfId="26893" priority="21466" stopIfTrue="1" operator="equal">
      <formula>"Towel"</formula>
    </cfRule>
    <cfRule type="cellIs" dxfId="26892" priority="21467" stopIfTrue="1" operator="equal">
      <formula>"Napkin Hs"</formula>
    </cfRule>
  </conditionalFormatting>
  <conditionalFormatting sqref="B51:C51">
    <cfRule type="cellIs" dxfId="26891" priority="21464" stopIfTrue="1" operator="equal">
      <formula>"Towel"</formula>
    </cfRule>
    <cfRule type="cellIs" dxfId="26890" priority="21465" stopIfTrue="1" operator="equal">
      <formula>"Napkin Hs"</formula>
    </cfRule>
  </conditionalFormatting>
  <conditionalFormatting sqref="C51">
    <cfRule type="cellIs" dxfId="26889" priority="21472" stopIfTrue="1" operator="equal">
      <formula>"Towel"</formula>
    </cfRule>
    <cfRule type="cellIs" dxfId="26888" priority="21473" stopIfTrue="1" operator="equal">
      <formula>"Napkin Hs"</formula>
    </cfRule>
  </conditionalFormatting>
  <conditionalFormatting sqref="C51">
    <cfRule type="cellIs" dxfId="26887" priority="21474" stopIfTrue="1" operator="equal">
      <formula>"Towel"</formula>
    </cfRule>
    <cfRule type="cellIs" dxfId="26886" priority="21475" stopIfTrue="1" operator="equal">
      <formula>"Napkin Hs"</formula>
    </cfRule>
  </conditionalFormatting>
  <conditionalFormatting sqref="C50">
    <cfRule type="cellIs" dxfId="26885" priority="21444" stopIfTrue="1" operator="equal">
      <formula>"Towel"</formula>
    </cfRule>
    <cfRule type="cellIs" dxfId="26884" priority="21445" stopIfTrue="1" operator="equal">
      <formula>"Napkin Hs"</formula>
    </cfRule>
  </conditionalFormatting>
  <conditionalFormatting sqref="B50:C50">
    <cfRule type="cellIs" dxfId="26883" priority="21446" stopIfTrue="1" operator="equal">
      <formula>"Towel"</formula>
    </cfRule>
    <cfRule type="cellIs" dxfId="26882" priority="21447" stopIfTrue="1" operator="equal">
      <formula>"Napkin Hs"</formula>
    </cfRule>
  </conditionalFormatting>
  <conditionalFormatting sqref="C50">
    <cfRule type="cellIs" dxfId="26881" priority="21442" stopIfTrue="1" operator="equal">
      <formula>"Towel"</formula>
    </cfRule>
    <cfRule type="cellIs" dxfId="26880" priority="21443" stopIfTrue="1" operator="equal">
      <formula>"Napkin Hs"</formula>
    </cfRule>
  </conditionalFormatting>
  <conditionalFormatting sqref="B50:C50">
    <cfRule type="cellIs" dxfId="26879" priority="21440" stopIfTrue="1" operator="equal">
      <formula>"Towel"</formula>
    </cfRule>
    <cfRule type="cellIs" dxfId="26878" priority="21441" stopIfTrue="1" operator="equal">
      <formula>"Napkin Hs"</formula>
    </cfRule>
  </conditionalFormatting>
  <conditionalFormatting sqref="C51">
    <cfRule type="cellIs" dxfId="26877" priority="21432" stopIfTrue="1" operator="equal">
      <formula>"Towel"</formula>
    </cfRule>
    <cfRule type="cellIs" dxfId="26876" priority="21433" stopIfTrue="1" operator="equal">
      <formula>"Napkin Hs"</formula>
    </cfRule>
  </conditionalFormatting>
  <conditionalFormatting sqref="B51:C51">
    <cfRule type="cellIs" dxfId="26875" priority="21434" stopIfTrue="1" operator="equal">
      <formula>"Towel"</formula>
    </cfRule>
    <cfRule type="cellIs" dxfId="26874" priority="21435" stopIfTrue="1" operator="equal">
      <formula>"Napkin Hs"</formula>
    </cfRule>
  </conditionalFormatting>
  <conditionalFormatting sqref="C51">
    <cfRule type="cellIs" dxfId="26873" priority="21430" stopIfTrue="1" operator="equal">
      <formula>"Towel"</formula>
    </cfRule>
    <cfRule type="cellIs" dxfId="26872" priority="21431" stopIfTrue="1" operator="equal">
      <formula>"Napkin Hs"</formula>
    </cfRule>
  </conditionalFormatting>
  <conditionalFormatting sqref="B51:C51">
    <cfRule type="cellIs" dxfId="26871" priority="21428" stopIfTrue="1" operator="equal">
      <formula>"Towel"</formula>
    </cfRule>
    <cfRule type="cellIs" dxfId="26870" priority="21429" stopIfTrue="1" operator="equal">
      <formula>"Napkin Hs"</formula>
    </cfRule>
  </conditionalFormatting>
  <conditionalFormatting sqref="C51">
    <cfRule type="cellIs" dxfId="26869" priority="21436" stopIfTrue="1" operator="equal">
      <formula>"Towel"</formula>
    </cfRule>
    <cfRule type="cellIs" dxfId="26868" priority="21437" stopIfTrue="1" operator="equal">
      <formula>"Napkin Hs"</formula>
    </cfRule>
  </conditionalFormatting>
  <conditionalFormatting sqref="C51">
    <cfRule type="cellIs" dxfId="26867" priority="21438" stopIfTrue="1" operator="equal">
      <formula>"Towel"</formula>
    </cfRule>
    <cfRule type="cellIs" dxfId="26866" priority="21439" stopIfTrue="1" operator="equal">
      <formula>"Napkin Hs"</formula>
    </cfRule>
  </conditionalFormatting>
  <conditionalFormatting sqref="B67:C67">
    <cfRule type="cellIs" dxfId="26865" priority="21342" stopIfTrue="1" operator="equal">
      <formula>"Towel"</formula>
    </cfRule>
    <cfRule type="cellIs" dxfId="26864" priority="21343" stopIfTrue="1" operator="equal">
      <formula>"Napkin Hs"</formula>
    </cfRule>
  </conditionalFormatting>
  <conditionalFormatting sqref="C67">
    <cfRule type="cellIs" dxfId="26863" priority="21338" stopIfTrue="1" operator="equal">
      <formula>"Towel"</formula>
    </cfRule>
    <cfRule type="cellIs" dxfId="26862" priority="21339" stopIfTrue="1" operator="equal">
      <formula>"Napkin Hs"</formula>
    </cfRule>
  </conditionalFormatting>
  <conditionalFormatting sqref="C67">
    <cfRule type="cellIs" dxfId="26861" priority="21340" stopIfTrue="1" operator="equal">
      <formula>"Towel"</formula>
    </cfRule>
    <cfRule type="cellIs" dxfId="26860" priority="21341" stopIfTrue="1" operator="equal">
      <formula>"Napkin Hs"</formula>
    </cfRule>
  </conditionalFormatting>
  <conditionalFormatting sqref="C74">
    <cfRule type="cellIs" dxfId="26859" priority="21292" stopIfTrue="1" operator="equal">
      <formula>"Towel"</formula>
    </cfRule>
    <cfRule type="cellIs" dxfId="26858" priority="21293" stopIfTrue="1" operator="equal">
      <formula>"Napkin Hs"</formula>
    </cfRule>
  </conditionalFormatting>
  <conditionalFormatting sqref="C74">
    <cfRule type="cellIs" dxfId="26857" priority="21294" stopIfTrue="1" operator="equal">
      <formula>"Towel"</formula>
    </cfRule>
    <cfRule type="cellIs" dxfId="26856" priority="21295" stopIfTrue="1" operator="equal">
      <formula>"Napkin Hs"</formula>
    </cfRule>
  </conditionalFormatting>
  <conditionalFormatting sqref="C74">
    <cfRule type="cellIs" dxfId="26855" priority="21290" stopIfTrue="1" operator="equal">
      <formula>"Towel"</formula>
    </cfRule>
    <cfRule type="cellIs" dxfId="26854" priority="21291" stopIfTrue="1" operator="equal">
      <formula>"Napkin Hs"</formula>
    </cfRule>
  </conditionalFormatting>
  <conditionalFormatting sqref="C74">
    <cfRule type="cellIs" dxfId="26853" priority="21288" stopIfTrue="1" operator="equal">
      <formula>"Towel"</formula>
    </cfRule>
    <cfRule type="cellIs" dxfId="26852" priority="21289" stopIfTrue="1" operator="equal">
      <formula>"Napkin Hs"</formula>
    </cfRule>
  </conditionalFormatting>
  <conditionalFormatting sqref="C74">
    <cfRule type="cellIs" dxfId="26851" priority="21296" stopIfTrue="1" operator="equal">
      <formula>"Towel"</formula>
    </cfRule>
    <cfRule type="cellIs" dxfId="26850" priority="21297" stopIfTrue="1" operator="equal">
      <formula>"Napkin Hs"</formula>
    </cfRule>
  </conditionalFormatting>
  <conditionalFormatting sqref="C74">
    <cfRule type="cellIs" dxfId="26849" priority="21298" stopIfTrue="1" operator="equal">
      <formula>"Towel"</formula>
    </cfRule>
    <cfRule type="cellIs" dxfId="26848" priority="21299" stopIfTrue="1" operator="equal">
      <formula>"Napkin Hs"</formula>
    </cfRule>
  </conditionalFormatting>
  <conditionalFormatting sqref="C73">
    <cfRule type="cellIs" dxfId="26847" priority="21268" stopIfTrue="1" operator="equal">
      <formula>"Towel"</formula>
    </cfRule>
    <cfRule type="cellIs" dxfId="26846" priority="21269" stopIfTrue="1" operator="equal">
      <formula>"Napkin Hs"</formula>
    </cfRule>
  </conditionalFormatting>
  <conditionalFormatting sqref="B73:C73">
    <cfRule type="cellIs" dxfId="26845" priority="21270" stopIfTrue="1" operator="equal">
      <formula>"Towel"</formula>
    </cfRule>
    <cfRule type="cellIs" dxfId="26844" priority="21271" stopIfTrue="1" operator="equal">
      <formula>"Napkin Hs"</formula>
    </cfRule>
  </conditionalFormatting>
  <conditionalFormatting sqref="C73">
    <cfRule type="cellIs" dxfId="26843" priority="21266" stopIfTrue="1" operator="equal">
      <formula>"Towel"</formula>
    </cfRule>
    <cfRule type="cellIs" dxfId="26842" priority="21267" stopIfTrue="1" operator="equal">
      <formula>"Napkin Hs"</formula>
    </cfRule>
  </conditionalFormatting>
  <conditionalFormatting sqref="B73:C73">
    <cfRule type="cellIs" dxfId="26841" priority="21264" stopIfTrue="1" operator="equal">
      <formula>"Towel"</formula>
    </cfRule>
    <cfRule type="cellIs" dxfId="26840" priority="21265" stopIfTrue="1" operator="equal">
      <formula>"Napkin Hs"</formula>
    </cfRule>
  </conditionalFormatting>
  <conditionalFormatting sqref="C73">
    <cfRule type="cellIs" dxfId="26839" priority="21272" stopIfTrue="1" operator="equal">
      <formula>"Towel"</formula>
    </cfRule>
    <cfRule type="cellIs" dxfId="26838" priority="21273" stopIfTrue="1" operator="equal">
      <formula>"Napkin Hs"</formula>
    </cfRule>
  </conditionalFormatting>
  <conditionalFormatting sqref="C73">
    <cfRule type="cellIs" dxfId="26837" priority="21274" stopIfTrue="1" operator="equal">
      <formula>"Towel"</formula>
    </cfRule>
    <cfRule type="cellIs" dxfId="26836" priority="21275" stopIfTrue="1" operator="equal">
      <formula>"Napkin Hs"</formula>
    </cfRule>
  </conditionalFormatting>
  <conditionalFormatting sqref="B74">
    <cfRule type="cellIs" dxfId="26835" priority="21262" stopIfTrue="1" operator="equal">
      <formula>"Towel"</formula>
    </cfRule>
    <cfRule type="cellIs" dxfId="26834" priority="21263" stopIfTrue="1" operator="equal">
      <formula>"Napkin Hs"</formula>
    </cfRule>
  </conditionalFormatting>
  <conditionalFormatting sqref="C72">
    <cfRule type="cellIs" dxfId="26833" priority="21254" stopIfTrue="1" operator="equal">
      <formula>"Towel"</formula>
    </cfRule>
    <cfRule type="cellIs" dxfId="26832" priority="21255" stopIfTrue="1" operator="equal">
      <formula>"Napkin Hs"</formula>
    </cfRule>
  </conditionalFormatting>
  <conditionalFormatting sqref="B72:C72">
    <cfRule type="cellIs" dxfId="26831" priority="21256" stopIfTrue="1" operator="equal">
      <formula>"Towel"</formula>
    </cfRule>
    <cfRule type="cellIs" dxfId="26830" priority="21257" stopIfTrue="1" operator="equal">
      <formula>"Napkin Hs"</formula>
    </cfRule>
  </conditionalFormatting>
  <conditionalFormatting sqref="C72">
    <cfRule type="cellIs" dxfId="26829" priority="21252" stopIfTrue="1" operator="equal">
      <formula>"Towel"</formula>
    </cfRule>
    <cfRule type="cellIs" dxfId="26828" priority="21253" stopIfTrue="1" operator="equal">
      <formula>"Napkin Hs"</formula>
    </cfRule>
  </conditionalFormatting>
  <conditionalFormatting sqref="B72:C72">
    <cfRule type="cellIs" dxfId="26827" priority="21250" stopIfTrue="1" operator="equal">
      <formula>"Towel"</formula>
    </cfRule>
    <cfRule type="cellIs" dxfId="26826" priority="21251" stopIfTrue="1" operator="equal">
      <formula>"Napkin Hs"</formula>
    </cfRule>
  </conditionalFormatting>
  <conditionalFormatting sqref="C72">
    <cfRule type="cellIs" dxfId="26825" priority="21258" stopIfTrue="1" operator="equal">
      <formula>"Towel"</formula>
    </cfRule>
    <cfRule type="cellIs" dxfId="26824" priority="21259" stopIfTrue="1" operator="equal">
      <formula>"Napkin Hs"</formula>
    </cfRule>
  </conditionalFormatting>
  <conditionalFormatting sqref="C72">
    <cfRule type="cellIs" dxfId="26823" priority="21260" stopIfTrue="1" operator="equal">
      <formula>"Towel"</formula>
    </cfRule>
    <cfRule type="cellIs" dxfId="26822" priority="21261" stopIfTrue="1" operator="equal">
      <formula>"Napkin Hs"</formula>
    </cfRule>
  </conditionalFormatting>
  <conditionalFormatting sqref="C78">
    <cfRule type="cellIs" dxfId="26821" priority="21188" stopIfTrue="1" operator="equal">
      <formula>"Towel"</formula>
    </cfRule>
    <cfRule type="cellIs" dxfId="26820" priority="21189" stopIfTrue="1" operator="equal">
      <formula>"Napkin Hs"</formula>
    </cfRule>
  </conditionalFormatting>
  <conditionalFormatting sqref="B78:C78">
    <cfRule type="cellIs" dxfId="26819" priority="21190" stopIfTrue="1" operator="equal">
      <formula>"Towel"</formula>
    </cfRule>
    <cfRule type="cellIs" dxfId="26818" priority="21191" stopIfTrue="1" operator="equal">
      <formula>"Napkin Hs"</formula>
    </cfRule>
  </conditionalFormatting>
  <conditionalFormatting sqref="C78">
    <cfRule type="cellIs" dxfId="26817" priority="21186" stopIfTrue="1" operator="equal">
      <formula>"Towel"</formula>
    </cfRule>
    <cfRule type="cellIs" dxfId="26816" priority="21187" stopIfTrue="1" operator="equal">
      <formula>"Napkin Hs"</formula>
    </cfRule>
  </conditionalFormatting>
  <conditionalFormatting sqref="B78:C78">
    <cfRule type="cellIs" dxfId="26815" priority="21184" stopIfTrue="1" operator="equal">
      <formula>"Towel"</formula>
    </cfRule>
    <cfRule type="cellIs" dxfId="26814" priority="21185" stopIfTrue="1" operator="equal">
      <formula>"Napkin Hs"</formula>
    </cfRule>
  </conditionalFormatting>
  <conditionalFormatting sqref="C78">
    <cfRule type="cellIs" dxfId="26813" priority="21192" stopIfTrue="1" operator="equal">
      <formula>"Towel"</formula>
    </cfRule>
    <cfRule type="cellIs" dxfId="26812" priority="21193" stopIfTrue="1" operator="equal">
      <formula>"Napkin Hs"</formula>
    </cfRule>
  </conditionalFormatting>
  <conditionalFormatting sqref="C78">
    <cfRule type="cellIs" dxfId="26811" priority="21194" stopIfTrue="1" operator="equal">
      <formula>"Towel"</formula>
    </cfRule>
    <cfRule type="cellIs" dxfId="26810" priority="21195" stopIfTrue="1" operator="equal">
      <formula>"Napkin Hs"</formula>
    </cfRule>
  </conditionalFormatting>
  <conditionalFormatting sqref="C86">
    <cfRule type="cellIs" dxfId="26809" priority="21180" stopIfTrue="1" operator="equal">
      <formula>"Towel"</formula>
    </cfRule>
    <cfRule type="cellIs" dxfId="26808" priority="21181" stopIfTrue="1" operator="equal">
      <formula>"Napkin Hs"</formula>
    </cfRule>
  </conditionalFormatting>
  <conditionalFormatting sqref="C86">
    <cfRule type="cellIs" dxfId="26807" priority="21182" stopIfTrue="1" operator="equal">
      <formula>"Towel"</formula>
    </cfRule>
    <cfRule type="cellIs" dxfId="26806" priority="21183" stopIfTrue="1" operator="equal">
      <formula>"Napkin Hs"</formula>
    </cfRule>
  </conditionalFormatting>
  <conditionalFormatting sqref="B86:C86">
    <cfRule type="cellIs" dxfId="26805" priority="21178" stopIfTrue="1" operator="equal">
      <formula>"Towel"</formula>
    </cfRule>
    <cfRule type="cellIs" dxfId="26804" priority="21179" stopIfTrue="1" operator="equal">
      <formula>"Napkin Hs"</formula>
    </cfRule>
  </conditionalFormatting>
  <conditionalFormatting sqref="B86:C86">
    <cfRule type="cellIs" dxfId="26803" priority="21172" stopIfTrue="1" operator="equal">
      <formula>"Towel"</formula>
    </cfRule>
    <cfRule type="cellIs" dxfId="26802" priority="21173" stopIfTrue="1" operator="equal">
      <formula>"Napkin Hs"</formula>
    </cfRule>
  </conditionalFormatting>
  <conditionalFormatting sqref="C86">
    <cfRule type="cellIs" dxfId="26801" priority="21174" stopIfTrue="1" operator="equal">
      <formula>"Towel"</formula>
    </cfRule>
    <cfRule type="cellIs" dxfId="26800" priority="21175" stopIfTrue="1" operator="equal">
      <formula>"Napkin Hs"</formula>
    </cfRule>
  </conditionalFormatting>
  <conditionalFormatting sqref="C86">
    <cfRule type="cellIs" dxfId="26799" priority="21176" stopIfTrue="1" operator="equal">
      <formula>"Towel"</formula>
    </cfRule>
    <cfRule type="cellIs" dxfId="26798" priority="21177" stopIfTrue="1" operator="equal">
      <formula>"Napkin Hs"</formula>
    </cfRule>
  </conditionalFormatting>
  <conditionalFormatting sqref="C94">
    <cfRule type="cellIs" dxfId="26797" priority="21026" stopIfTrue="1" operator="equal">
      <formula>"Towel"</formula>
    </cfRule>
    <cfRule type="cellIs" dxfId="26796" priority="21027" stopIfTrue="1" operator="equal">
      <formula>"Napkin Hs"</formula>
    </cfRule>
  </conditionalFormatting>
  <conditionalFormatting sqref="C94">
    <cfRule type="cellIs" dxfId="26795" priority="21028" stopIfTrue="1" operator="equal">
      <formula>"Towel"</formula>
    </cfRule>
    <cfRule type="cellIs" dxfId="26794" priority="21029" stopIfTrue="1" operator="equal">
      <formula>"Napkin Hs"</formula>
    </cfRule>
  </conditionalFormatting>
  <conditionalFormatting sqref="B94:C94">
    <cfRule type="cellIs" dxfId="26793" priority="21024" stopIfTrue="1" operator="equal">
      <formula>"Towel"</formula>
    </cfRule>
    <cfRule type="cellIs" dxfId="26792" priority="21025" stopIfTrue="1" operator="equal">
      <formula>"Napkin Hs"</formula>
    </cfRule>
  </conditionalFormatting>
  <conditionalFormatting sqref="B94:C94">
    <cfRule type="cellIs" dxfId="26791" priority="21018" stopIfTrue="1" operator="equal">
      <formula>"Towel"</formula>
    </cfRule>
    <cfRule type="cellIs" dxfId="26790" priority="21019" stopIfTrue="1" operator="equal">
      <formula>"Napkin Hs"</formula>
    </cfRule>
  </conditionalFormatting>
  <conditionalFormatting sqref="C94">
    <cfRule type="cellIs" dxfId="26789" priority="21020" stopIfTrue="1" operator="equal">
      <formula>"Towel"</formula>
    </cfRule>
    <cfRule type="cellIs" dxfId="26788" priority="21021" stopIfTrue="1" operator="equal">
      <formula>"Napkin Hs"</formula>
    </cfRule>
  </conditionalFormatting>
  <conditionalFormatting sqref="C94">
    <cfRule type="cellIs" dxfId="26787" priority="21022" stopIfTrue="1" operator="equal">
      <formula>"Towel"</formula>
    </cfRule>
    <cfRule type="cellIs" dxfId="26786" priority="21023" stopIfTrue="1" operator="equal">
      <formula>"Napkin Hs"</formula>
    </cfRule>
  </conditionalFormatting>
  <conditionalFormatting sqref="B93:C93">
    <cfRule type="cellIs" dxfId="26785" priority="21016" stopIfTrue="1" operator="equal">
      <formula>"Towel"</formula>
    </cfRule>
    <cfRule type="cellIs" dxfId="26784" priority="21017" stopIfTrue="1" operator="equal">
      <formula>"Napkin Hs"</formula>
    </cfRule>
  </conditionalFormatting>
  <conditionalFormatting sqref="C93">
    <cfRule type="cellIs" dxfId="26783" priority="21014" stopIfTrue="1" operator="equal">
      <formula>"Towel"</formula>
    </cfRule>
    <cfRule type="cellIs" dxfId="26782" priority="21015" stopIfTrue="1" operator="equal">
      <formula>"Napkin Hs"</formula>
    </cfRule>
  </conditionalFormatting>
  <conditionalFormatting sqref="B92:C92">
    <cfRule type="cellIs" dxfId="26781" priority="21128" stopIfTrue="1" operator="equal">
      <formula>"Towel"</formula>
    </cfRule>
    <cfRule type="cellIs" dxfId="26780" priority="21129" stopIfTrue="1" operator="equal">
      <formula>"Napkin Hs"</formula>
    </cfRule>
  </conditionalFormatting>
  <conditionalFormatting sqref="C92">
    <cfRule type="cellIs" dxfId="26779" priority="21126" stopIfTrue="1" operator="equal">
      <formula>"Towel"</formula>
    </cfRule>
    <cfRule type="cellIs" dxfId="26778" priority="21127" stopIfTrue="1" operator="equal">
      <formula>"Napkin Hs"</formula>
    </cfRule>
  </conditionalFormatting>
  <conditionalFormatting sqref="C92">
    <cfRule type="cellIs" dxfId="26777" priority="21124" stopIfTrue="1" operator="equal">
      <formula>"Towel"</formula>
    </cfRule>
    <cfRule type="cellIs" dxfId="26776" priority="21125" stopIfTrue="1" operator="equal">
      <formula>"Napkin Hs"</formula>
    </cfRule>
  </conditionalFormatting>
  <conditionalFormatting sqref="C88">
    <cfRule type="cellIs" dxfId="26775" priority="21094" stopIfTrue="1" operator="equal">
      <formula>"Towel"</formula>
    </cfRule>
    <cfRule type="cellIs" dxfId="26774" priority="21095" stopIfTrue="1" operator="equal">
      <formula>"Napkin Hs"</formula>
    </cfRule>
  </conditionalFormatting>
  <conditionalFormatting sqref="B88:C88">
    <cfRule type="cellIs" dxfId="26773" priority="21090" stopIfTrue="1" operator="equal">
      <formula>"Towel"</formula>
    </cfRule>
    <cfRule type="cellIs" dxfId="26772" priority="21091" stopIfTrue="1" operator="equal">
      <formula>"Napkin Hs"</formula>
    </cfRule>
  </conditionalFormatting>
  <conditionalFormatting sqref="C88">
    <cfRule type="cellIs" dxfId="26771" priority="21092" stopIfTrue="1" operator="equal">
      <formula>"Towel"</formula>
    </cfRule>
    <cfRule type="cellIs" dxfId="26770" priority="21093" stopIfTrue="1" operator="equal">
      <formula>"Napkin Hs"</formula>
    </cfRule>
  </conditionalFormatting>
  <conditionalFormatting sqref="C88">
    <cfRule type="cellIs" dxfId="26769" priority="21088" stopIfTrue="1" operator="equal">
      <formula>"Towel"</formula>
    </cfRule>
    <cfRule type="cellIs" dxfId="26768" priority="21089" stopIfTrue="1" operator="equal">
      <formula>"Napkin Hs"</formula>
    </cfRule>
  </conditionalFormatting>
  <conditionalFormatting sqref="B88:C88">
    <cfRule type="cellIs" dxfId="26767" priority="21084" stopIfTrue="1" operator="equal">
      <formula>"Towel"</formula>
    </cfRule>
    <cfRule type="cellIs" dxfId="26766" priority="21085" stopIfTrue="1" operator="equal">
      <formula>"Napkin Hs"</formula>
    </cfRule>
  </conditionalFormatting>
  <conditionalFormatting sqref="C88">
    <cfRule type="cellIs" dxfId="26765" priority="21086" stopIfTrue="1" operator="equal">
      <formula>"Towel"</formula>
    </cfRule>
    <cfRule type="cellIs" dxfId="26764" priority="21087" stopIfTrue="1" operator="equal">
      <formula>"Napkin Hs"</formula>
    </cfRule>
  </conditionalFormatting>
  <conditionalFormatting sqref="B94:C94">
    <cfRule type="cellIs" dxfId="26763" priority="21034" stopIfTrue="1" operator="equal">
      <formula>"Towel"</formula>
    </cfRule>
    <cfRule type="cellIs" dxfId="26762" priority="21035" stopIfTrue="1" operator="equal">
      <formula>"Napkin Hs"</formula>
    </cfRule>
  </conditionalFormatting>
  <conditionalFormatting sqref="C94">
    <cfRule type="cellIs" dxfId="26761" priority="21032" stopIfTrue="1" operator="equal">
      <formula>"Towel"</formula>
    </cfRule>
    <cfRule type="cellIs" dxfId="26760" priority="21033" stopIfTrue="1" operator="equal">
      <formula>"Napkin Hs"</formula>
    </cfRule>
  </conditionalFormatting>
  <conditionalFormatting sqref="C94">
    <cfRule type="cellIs" dxfId="26759" priority="21030" stopIfTrue="1" operator="equal">
      <formula>"Towel"</formula>
    </cfRule>
    <cfRule type="cellIs" dxfId="26758" priority="21031" stopIfTrue="1" operator="equal">
      <formula>"Napkin Hs"</formula>
    </cfRule>
  </conditionalFormatting>
  <conditionalFormatting sqref="C93">
    <cfRule type="cellIs" dxfId="26757" priority="21010" stopIfTrue="1" operator="equal">
      <formula>"Towel"</formula>
    </cfRule>
    <cfRule type="cellIs" dxfId="26756" priority="21011" stopIfTrue="1" operator="equal">
      <formula>"Napkin Hs"</formula>
    </cfRule>
  </conditionalFormatting>
  <conditionalFormatting sqref="B93:C93">
    <cfRule type="cellIs" dxfId="26755" priority="21006" stopIfTrue="1" operator="equal">
      <formula>"Towel"</formula>
    </cfRule>
    <cfRule type="cellIs" dxfId="26754" priority="21007" stopIfTrue="1" operator="equal">
      <formula>"Napkin Hs"</formula>
    </cfRule>
  </conditionalFormatting>
  <conditionalFormatting sqref="C93">
    <cfRule type="cellIs" dxfId="26753" priority="21008" stopIfTrue="1" operator="equal">
      <formula>"Towel"</formula>
    </cfRule>
    <cfRule type="cellIs" dxfId="26752" priority="21009" stopIfTrue="1" operator="equal">
      <formula>"Napkin Hs"</formula>
    </cfRule>
  </conditionalFormatting>
  <conditionalFormatting sqref="C93">
    <cfRule type="cellIs" dxfId="26751" priority="21004" stopIfTrue="1" operator="equal">
      <formula>"Towel"</formula>
    </cfRule>
    <cfRule type="cellIs" dxfId="26750" priority="21005" stopIfTrue="1" operator="equal">
      <formula>"Napkin Hs"</formula>
    </cfRule>
  </conditionalFormatting>
  <conditionalFormatting sqref="B93:C93">
    <cfRule type="cellIs" dxfId="26749" priority="21000" stopIfTrue="1" operator="equal">
      <formula>"Towel"</formula>
    </cfRule>
    <cfRule type="cellIs" dxfId="26748" priority="21001" stopIfTrue="1" operator="equal">
      <formula>"Napkin Hs"</formula>
    </cfRule>
  </conditionalFormatting>
  <conditionalFormatting sqref="C93">
    <cfRule type="cellIs" dxfId="26747" priority="21002" stopIfTrue="1" operator="equal">
      <formula>"Towel"</formula>
    </cfRule>
    <cfRule type="cellIs" dxfId="26746" priority="21003" stopIfTrue="1" operator="equal">
      <formula>"Napkin Hs"</formula>
    </cfRule>
  </conditionalFormatting>
  <conditionalFormatting sqref="C93">
    <cfRule type="cellIs" dxfId="26745" priority="21012" stopIfTrue="1" operator="equal">
      <formula>"Towel"</formula>
    </cfRule>
    <cfRule type="cellIs" dxfId="26744" priority="21013" stopIfTrue="1" operator="equal">
      <formula>"Napkin Hs"</formula>
    </cfRule>
  </conditionalFormatting>
  <conditionalFormatting sqref="B107:C107">
    <cfRule type="cellIs" dxfId="26743" priority="20936" stopIfTrue="1" operator="equal">
      <formula>"Towel"</formula>
    </cfRule>
    <cfRule type="cellIs" dxfId="26742" priority="20937" stopIfTrue="1" operator="equal">
      <formula>"Napkin Hs"</formula>
    </cfRule>
  </conditionalFormatting>
  <conditionalFormatting sqref="C107">
    <cfRule type="cellIs" dxfId="26741" priority="20932" stopIfTrue="1" operator="equal">
      <formula>"Towel"</formula>
    </cfRule>
    <cfRule type="cellIs" dxfId="26740" priority="20933" stopIfTrue="1" operator="equal">
      <formula>"Napkin Hs"</formula>
    </cfRule>
  </conditionalFormatting>
  <conditionalFormatting sqref="C107">
    <cfRule type="cellIs" dxfId="26739" priority="20934" stopIfTrue="1" operator="equal">
      <formula>"Towel"</formula>
    </cfRule>
    <cfRule type="cellIs" dxfId="26738" priority="20935" stopIfTrue="1" operator="equal">
      <formula>"Napkin Hs"</formula>
    </cfRule>
  </conditionalFormatting>
  <conditionalFormatting sqref="C99">
    <cfRule type="cellIs" dxfId="26737" priority="20874" stopIfTrue="1" operator="equal">
      <formula>"Towel"</formula>
    </cfRule>
    <cfRule type="cellIs" dxfId="26736" priority="20875" stopIfTrue="1" operator="equal">
      <formula>"Napkin Hs"</formula>
    </cfRule>
  </conditionalFormatting>
  <conditionalFormatting sqref="C99">
    <cfRule type="cellIs" dxfId="26735" priority="20872" stopIfTrue="1" operator="equal">
      <formula>"Towel"</formula>
    </cfRule>
    <cfRule type="cellIs" dxfId="26734" priority="20873" stopIfTrue="1" operator="equal">
      <formula>"Napkin Hs"</formula>
    </cfRule>
  </conditionalFormatting>
  <conditionalFormatting sqref="B99:C99">
    <cfRule type="cellIs" dxfId="26733" priority="20870" stopIfTrue="1" operator="equal">
      <formula>"Towel"</formula>
    </cfRule>
    <cfRule type="cellIs" dxfId="26732" priority="20871" stopIfTrue="1" operator="equal">
      <formula>"Napkin Hs"</formula>
    </cfRule>
  </conditionalFormatting>
  <conditionalFormatting sqref="B99:C99">
    <cfRule type="cellIs" dxfId="26731" priority="20880" stopIfTrue="1" operator="equal">
      <formula>"Towel"</formula>
    </cfRule>
    <cfRule type="cellIs" dxfId="26730" priority="20881" stopIfTrue="1" operator="equal">
      <formula>"Napkin Hs"</formula>
    </cfRule>
  </conditionalFormatting>
  <conditionalFormatting sqref="C99">
    <cfRule type="cellIs" dxfId="26729" priority="20878" stopIfTrue="1" operator="equal">
      <formula>"Towel"</formula>
    </cfRule>
    <cfRule type="cellIs" dxfId="26728" priority="20879" stopIfTrue="1" operator="equal">
      <formula>"Napkin Hs"</formula>
    </cfRule>
  </conditionalFormatting>
  <conditionalFormatting sqref="C99">
    <cfRule type="cellIs" dxfId="26727" priority="20876" stopIfTrue="1" operator="equal">
      <formula>"Towel"</formula>
    </cfRule>
    <cfRule type="cellIs" dxfId="26726" priority="20877" stopIfTrue="1" operator="equal">
      <formula>"Napkin Hs"</formula>
    </cfRule>
  </conditionalFormatting>
  <conditionalFormatting sqref="C99">
    <cfRule type="cellIs" dxfId="26725" priority="20868" stopIfTrue="1" operator="equal">
      <formula>"Towel"</formula>
    </cfRule>
    <cfRule type="cellIs" dxfId="26724" priority="20869" stopIfTrue="1" operator="equal">
      <formula>"Napkin Hs"</formula>
    </cfRule>
  </conditionalFormatting>
  <conditionalFormatting sqref="C99">
    <cfRule type="cellIs" dxfId="26723" priority="20866" stopIfTrue="1" operator="equal">
      <formula>"Towel"</formula>
    </cfRule>
    <cfRule type="cellIs" dxfId="26722" priority="20867" stopIfTrue="1" operator="equal">
      <formula>"Napkin Hs"</formula>
    </cfRule>
  </conditionalFormatting>
  <conditionalFormatting sqref="B99:C99">
    <cfRule type="cellIs" dxfId="26721" priority="20864" stopIfTrue="1" operator="equal">
      <formula>"Towel"</formula>
    </cfRule>
    <cfRule type="cellIs" dxfId="26720" priority="20865" stopIfTrue="1" operator="equal">
      <formula>"Napkin Hs"</formula>
    </cfRule>
  </conditionalFormatting>
  <conditionalFormatting sqref="C104">
    <cfRule type="cellIs" dxfId="26719" priority="20838" stopIfTrue="1" operator="equal">
      <formula>"Towel"</formula>
    </cfRule>
    <cfRule type="cellIs" dxfId="26718" priority="20839" stopIfTrue="1" operator="equal">
      <formula>"Napkin Hs"</formula>
    </cfRule>
  </conditionalFormatting>
  <conditionalFormatting sqref="C104">
    <cfRule type="cellIs" dxfId="26717" priority="20836" stopIfTrue="1" operator="equal">
      <formula>"Towel"</formula>
    </cfRule>
    <cfRule type="cellIs" dxfId="26716" priority="20837" stopIfTrue="1" operator="equal">
      <formula>"Napkin Hs"</formula>
    </cfRule>
  </conditionalFormatting>
  <conditionalFormatting sqref="B104:C104">
    <cfRule type="cellIs" dxfId="26715" priority="20834" stopIfTrue="1" operator="equal">
      <formula>"Towel"</formula>
    </cfRule>
    <cfRule type="cellIs" dxfId="26714" priority="20835" stopIfTrue="1" operator="equal">
      <formula>"Napkin Hs"</formula>
    </cfRule>
  </conditionalFormatting>
  <conditionalFormatting sqref="B104:C104">
    <cfRule type="cellIs" dxfId="26713" priority="20844" stopIfTrue="1" operator="equal">
      <formula>"Towel"</formula>
    </cfRule>
    <cfRule type="cellIs" dxfId="26712" priority="20845" stopIfTrue="1" operator="equal">
      <formula>"Napkin Hs"</formula>
    </cfRule>
  </conditionalFormatting>
  <conditionalFormatting sqref="C104">
    <cfRule type="cellIs" dxfId="26711" priority="20842" stopIfTrue="1" operator="equal">
      <formula>"Towel"</formula>
    </cfRule>
    <cfRule type="cellIs" dxfId="26710" priority="20843" stopIfTrue="1" operator="equal">
      <formula>"Napkin Hs"</formula>
    </cfRule>
  </conditionalFormatting>
  <conditionalFormatting sqref="C104">
    <cfRule type="cellIs" dxfId="26709" priority="20840" stopIfTrue="1" operator="equal">
      <formula>"Towel"</formula>
    </cfRule>
    <cfRule type="cellIs" dxfId="26708" priority="20841" stopIfTrue="1" operator="equal">
      <formula>"Napkin Hs"</formula>
    </cfRule>
  </conditionalFormatting>
  <conditionalFormatting sqref="C104">
    <cfRule type="cellIs" dxfId="26707" priority="20832" stopIfTrue="1" operator="equal">
      <formula>"Towel"</formula>
    </cfRule>
    <cfRule type="cellIs" dxfId="26706" priority="20833" stopIfTrue="1" operator="equal">
      <formula>"Napkin Hs"</formula>
    </cfRule>
  </conditionalFormatting>
  <conditionalFormatting sqref="C104">
    <cfRule type="cellIs" dxfId="26705" priority="20830" stopIfTrue="1" operator="equal">
      <formula>"Towel"</formula>
    </cfRule>
    <cfRule type="cellIs" dxfId="26704" priority="20831" stopIfTrue="1" operator="equal">
      <formula>"Napkin Hs"</formula>
    </cfRule>
  </conditionalFormatting>
  <conditionalFormatting sqref="B104:C104">
    <cfRule type="cellIs" dxfId="26703" priority="20828" stopIfTrue="1" operator="equal">
      <formula>"Towel"</formula>
    </cfRule>
    <cfRule type="cellIs" dxfId="26702" priority="20829" stopIfTrue="1" operator="equal">
      <formula>"Napkin Hs"</formula>
    </cfRule>
  </conditionalFormatting>
  <conditionalFormatting sqref="B105:C105">
    <cfRule type="cellIs" dxfId="26701" priority="20826" stopIfTrue="1" operator="equal">
      <formula>"Towel"</formula>
    </cfRule>
    <cfRule type="cellIs" dxfId="26700" priority="20827" stopIfTrue="1" operator="equal">
      <formula>"Napkin Hs"</formula>
    </cfRule>
  </conditionalFormatting>
  <conditionalFormatting sqref="C105">
    <cfRule type="cellIs" dxfId="26699" priority="20824" stopIfTrue="1" operator="equal">
      <formula>"Towel"</formula>
    </cfRule>
    <cfRule type="cellIs" dxfId="26698" priority="20825" stopIfTrue="1" operator="equal">
      <formula>"Napkin Hs"</formula>
    </cfRule>
  </conditionalFormatting>
  <conditionalFormatting sqref="C105">
    <cfRule type="cellIs" dxfId="26697" priority="20822" stopIfTrue="1" operator="equal">
      <formula>"Towel"</formula>
    </cfRule>
    <cfRule type="cellIs" dxfId="26696" priority="20823" stopIfTrue="1" operator="equal">
      <formula>"Napkin Hs"</formula>
    </cfRule>
  </conditionalFormatting>
  <conditionalFormatting sqref="C105">
    <cfRule type="cellIs" dxfId="26695" priority="20814" stopIfTrue="1" operator="equal">
      <formula>"Towel"</formula>
    </cfRule>
    <cfRule type="cellIs" dxfId="26694" priority="20815" stopIfTrue="1" operator="equal">
      <formula>"Napkin Hs"</formula>
    </cfRule>
  </conditionalFormatting>
  <conditionalFormatting sqref="B105:C105">
    <cfRule type="cellIs" dxfId="26693" priority="20816" stopIfTrue="1" operator="equal">
      <formula>"Towel"</formula>
    </cfRule>
    <cfRule type="cellIs" dxfId="26692" priority="20817" stopIfTrue="1" operator="equal">
      <formula>"Napkin Hs"</formula>
    </cfRule>
  </conditionalFormatting>
  <conditionalFormatting sqref="C105">
    <cfRule type="cellIs" dxfId="26691" priority="20812" stopIfTrue="1" operator="equal">
      <formula>"Towel"</formula>
    </cfRule>
    <cfRule type="cellIs" dxfId="26690" priority="20813" stopIfTrue="1" operator="equal">
      <formula>"Napkin Hs"</formula>
    </cfRule>
  </conditionalFormatting>
  <conditionalFormatting sqref="B105:C105">
    <cfRule type="cellIs" dxfId="26689" priority="20810" stopIfTrue="1" operator="equal">
      <formula>"Towel"</formula>
    </cfRule>
    <cfRule type="cellIs" dxfId="26688" priority="20811" stopIfTrue="1" operator="equal">
      <formula>"Napkin Hs"</formula>
    </cfRule>
  </conditionalFormatting>
  <conditionalFormatting sqref="C105">
    <cfRule type="cellIs" dxfId="26687" priority="20818" stopIfTrue="1" operator="equal">
      <formula>"Towel"</formula>
    </cfRule>
    <cfRule type="cellIs" dxfId="26686" priority="20819" stopIfTrue="1" operator="equal">
      <formula>"Napkin Hs"</formula>
    </cfRule>
  </conditionalFormatting>
  <conditionalFormatting sqref="C105">
    <cfRule type="cellIs" dxfId="26685" priority="20820" stopIfTrue="1" operator="equal">
      <formula>"Towel"</formula>
    </cfRule>
    <cfRule type="cellIs" dxfId="26684" priority="20821" stopIfTrue="1" operator="equal">
      <formula>"Napkin Hs"</formula>
    </cfRule>
  </conditionalFormatting>
  <conditionalFormatting sqref="B106:C106">
    <cfRule type="cellIs" dxfId="26683" priority="20808" stopIfTrue="1" operator="equal">
      <formula>"Towel"</formula>
    </cfRule>
    <cfRule type="cellIs" dxfId="26682" priority="20809" stopIfTrue="1" operator="equal">
      <formula>"Napkin Hs"</formula>
    </cfRule>
  </conditionalFormatting>
  <conditionalFormatting sqref="C106">
    <cfRule type="cellIs" dxfId="26681" priority="20806" stopIfTrue="1" operator="equal">
      <formula>"Towel"</formula>
    </cfRule>
    <cfRule type="cellIs" dxfId="26680" priority="20807" stopIfTrue="1" operator="equal">
      <formula>"Napkin Hs"</formula>
    </cfRule>
  </conditionalFormatting>
  <conditionalFormatting sqref="C106">
    <cfRule type="cellIs" dxfId="26679" priority="20804" stopIfTrue="1" operator="equal">
      <formula>"Towel"</formula>
    </cfRule>
    <cfRule type="cellIs" dxfId="26678" priority="20805" stopIfTrue="1" operator="equal">
      <formula>"Napkin Hs"</formula>
    </cfRule>
  </conditionalFormatting>
  <conditionalFormatting sqref="C106">
    <cfRule type="cellIs" dxfId="26677" priority="20796" stopIfTrue="1" operator="equal">
      <formula>"Towel"</formula>
    </cfRule>
    <cfRule type="cellIs" dxfId="26676" priority="20797" stopIfTrue="1" operator="equal">
      <formula>"Napkin Hs"</formula>
    </cfRule>
  </conditionalFormatting>
  <conditionalFormatting sqref="B106:C106">
    <cfRule type="cellIs" dxfId="26675" priority="20798" stopIfTrue="1" operator="equal">
      <formula>"Towel"</formula>
    </cfRule>
    <cfRule type="cellIs" dxfId="26674" priority="20799" stopIfTrue="1" operator="equal">
      <formula>"Napkin Hs"</formula>
    </cfRule>
  </conditionalFormatting>
  <conditionalFormatting sqref="C106">
    <cfRule type="cellIs" dxfId="26673" priority="20794" stopIfTrue="1" operator="equal">
      <formula>"Towel"</formula>
    </cfRule>
    <cfRule type="cellIs" dxfId="26672" priority="20795" stopIfTrue="1" operator="equal">
      <formula>"Napkin Hs"</formula>
    </cfRule>
  </conditionalFormatting>
  <conditionalFormatting sqref="B106:C106">
    <cfRule type="cellIs" dxfId="26671" priority="20792" stopIfTrue="1" operator="equal">
      <formula>"Towel"</formula>
    </cfRule>
    <cfRule type="cellIs" dxfId="26670" priority="20793" stopIfTrue="1" operator="equal">
      <formula>"Napkin Hs"</formula>
    </cfRule>
  </conditionalFormatting>
  <conditionalFormatting sqref="C106">
    <cfRule type="cellIs" dxfId="26669" priority="20800" stopIfTrue="1" operator="equal">
      <formula>"Towel"</formula>
    </cfRule>
    <cfRule type="cellIs" dxfId="26668" priority="20801" stopIfTrue="1" operator="equal">
      <formula>"Napkin Hs"</formula>
    </cfRule>
  </conditionalFormatting>
  <conditionalFormatting sqref="C106">
    <cfRule type="cellIs" dxfId="26667" priority="20802" stopIfTrue="1" operator="equal">
      <formula>"Towel"</formula>
    </cfRule>
    <cfRule type="cellIs" dxfId="26666" priority="20803" stopIfTrue="1" operator="equal">
      <formula>"Napkin Hs"</formula>
    </cfRule>
  </conditionalFormatting>
  <conditionalFormatting sqref="B104:C104">
    <cfRule type="cellIs" dxfId="26665" priority="20788" stopIfTrue="1" operator="equal">
      <formula>"Towel"</formula>
    </cfRule>
    <cfRule type="cellIs" dxfId="26664" priority="20789" stopIfTrue="1" operator="equal">
      <formula>"Napkin Hs"</formula>
    </cfRule>
  </conditionalFormatting>
  <conditionalFormatting sqref="C104">
    <cfRule type="cellIs" dxfId="26663" priority="20790" stopIfTrue="1" operator="equal">
      <formula>"Towel"</formula>
    </cfRule>
    <cfRule type="cellIs" dxfId="26662" priority="20791" stopIfTrue="1" operator="equal">
      <formula>"Napkin Hs"</formula>
    </cfRule>
  </conditionalFormatting>
  <conditionalFormatting sqref="C104">
    <cfRule type="cellIs" dxfId="26661" priority="20786" stopIfTrue="1" operator="equal">
      <formula>"Towel"</formula>
    </cfRule>
    <cfRule type="cellIs" dxfId="26660" priority="20787" stopIfTrue="1" operator="equal">
      <formula>"Napkin Hs"</formula>
    </cfRule>
  </conditionalFormatting>
  <conditionalFormatting sqref="C105">
    <cfRule type="cellIs" dxfId="26659" priority="20772" stopIfTrue="1" operator="equal">
      <formula>"Towel"</formula>
    </cfRule>
    <cfRule type="cellIs" dxfId="26658" priority="20773" stopIfTrue="1" operator="equal">
      <formula>"Napkin Hs"</formula>
    </cfRule>
  </conditionalFormatting>
  <conditionalFormatting sqref="C105">
    <cfRule type="cellIs" dxfId="26657" priority="20770" stopIfTrue="1" operator="equal">
      <formula>"Towel"</formula>
    </cfRule>
    <cfRule type="cellIs" dxfId="26656" priority="20771" stopIfTrue="1" operator="equal">
      <formula>"Napkin Hs"</formula>
    </cfRule>
  </conditionalFormatting>
  <conditionalFormatting sqref="B105:C105">
    <cfRule type="cellIs" dxfId="26655" priority="20768" stopIfTrue="1" operator="equal">
      <formula>"Towel"</formula>
    </cfRule>
    <cfRule type="cellIs" dxfId="26654" priority="20769" stopIfTrue="1" operator="equal">
      <formula>"Napkin Hs"</formula>
    </cfRule>
  </conditionalFormatting>
  <conditionalFormatting sqref="B105:C105">
    <cfRule type="cellIs" dxfId="26653" priority="20778" stopIfTrue="1" operator="equal">
      <formula>"Towel"</formula>
    </cfRule>
    <cfRule type="cellIs" dxfId="26652" priority="20779" stopIfTrue="1" operator="equal">
      <formula>"Napkin Hs"</formula>
    </cfRule>
  </conditionalFormatting>
  <conditionalFormatting sqref="C105">
    <cfRule type="cellIs" dxfId="26651" priority="20776" stopIfTrue="1" operator="equal">
      <formula>"Towel"</formula>
    </cfRule>
    <cfRule type="cellIs" dxfId="26650" priority="20777" stopIfTrue="1" operator="equal">
      <formula>"Napkin Hs"</formula>
    </cfRule>
  </conditionalFormatting>
  <conditionalFormatting sqref="C105">
    <cfRule type="cellIs" dxfId="26649" priority="20774" stopIfTrue="1" operator="equal">
      <formula>"Towel"</formula>
    </cfRule>
    <cfRule type="cellIs" dxfId="26648" priority="20775" stopIfTrue="1" operator="equal">
      <formula>"Napkin Hs"</formula>
    </cfRule>
  </conditionalFormatting>
  <conditionalFormatting sqref="C105">
    <cfRule type="cellIs" dxfId="26647" priority="20766" stopIfTrue="1" operator="equal">
      <formula>"Towel"</formula>
    </cfRule>
    <cfRule type="cellIs" dxfId="26646" priority="20767" stopIfTrue="1" operator="equal">
      <formula>"Napkin Hs"</formula>
    </cfRule>
  </conditionalFormatting>
  <conditionalFormatting sqref="C105">
    <cfRule type="cellIs" dxfId="26645" priority="20764" stopIfTrue="1" operator="equal">
      <formula>"Towel"</formula>
    </cfRule>
    <cfRule type="cellIs" dxfId="26644" priority="20765" stopIfTrue="1" operator="equal">
      <formula>"Napkin Hs"</formula>
    </cfRule>
  </conditionalFormatting>
  <conditionalFormatting sqref="B105:C105">
    <cfRule type="cellIs" dxfId="26643" priority="20762" stopIfTrue="1" operator="equal">
      <formula>"Towel"</formula>
    </cfRule>
    <cfRule type="cellIs" dxfId="26642" priority="20763" stopIfTrue="1" operator="equal">
      <formula>"Napkin Hs"</formula>
    </cfRule>
  </conditionalFormatting>
  <conditionalFormatting sqref="B106:C106">
    <cfRule type="cellIs" dxfId="26641" priority="20760" stopIfTrue="1" operator="equal">
      <formula>"Towel"</formula>
    </cfRule>
    <cfRule type="cellIs" dxfId="26640" priority="20761" stopIfTrue="1" operator="equal">
      <formula>"Napkin Hs"</formula>
    </cfRule>
  </conditionalFormatting>
  <conditionalFormatting sqref="C106">
    <cfRule type="cellIs" dxfId="26639" priority="20758" stopIfTrue="1" operator="equal">
      <formula>"Towel"</formula>
    </cfRule>
    <cfRule type="cellIs" dxfId="26638" priority="20759" stopIfTrue="1" operator="equal">
      <formula>"Napkin Hs"</formula>
    </cfRule>
  </conditionalFormatting>
  <conditionalFormatting sqref="C106">
    <cfRule type="cellIs" dxfId="26637" priority="20756" stopIfTrue="1" operator="equal">
      <formula>"Towel"</formula>
    </cfRule>
    <cfRule type="cellIs" dxfId="26636" priority="20757" stopIfTrue="1" operator="equal">
      <formula>"Napkin Hs"</formula>
    </cfRule>
  </conditionalFormatting>
  <conditionalFormatting sqref="C106">
    <cfRule type="cellIs" dxfId="26635" priority="20748" stopIfTrue="1" operator="equal">
      <formula>"Towel"</formula>
    </cfRule>
    <cfRule type="cellIs" dxfId="26634" priority="20749" stopIfTrue="1" operator="equal">
      <formula>"Napkin Hs"</formula>
    </cfRule>
  </conditionalFormatting>
  <conditionalFormatting sqref="B106:C106">
    <cfRule type="cellIs" dxfId="26633" priority="20750" stopIfTrue="1" operator="equal">
      <formula>"Towel"</formula>
    </cfRule>
    <cfRule type="cellIs" dxfId="26632" priority="20751" stopIfTrue="1" operator="equal">
      <formula>"Napkin Hs"</formula>
    </cfRule>
  </conditionalFormatting>
  <conditionalFormatting sqref="C106">
    <cfRule type="cellIs" dxfId="26631" priority="20746" stopIfTrue="1" operator="equal">
      <formula>"Towel"</formula>
    </cfRule>
    <cfRule type="cellIs" dxfId="26630" priority="20747" stopIfTrue="1" operator="equal">
      <formula>"Napkin Hs"</formula>
    </cfRule>
  </conditionalFormatting>
  <conditionalFormatting sqref="B106:C106">
    <cfRule type="cellIs" dxfId="26629" priority="20744" stopIfTrue="1" operator="equal">
      <formula>"Towel"</formula>
    </cfRule>
    <cfRule type="cellIs" dxfId="26628" priority="20745" stopIfTrue="1" operator="equal">
      <formula>"Napkin Hs"</formula>
    </cfRule>
  </conditionalFormatting>
  <conditionalFormatting sqref="C106">
    <cfRule type="cellIs" dxfId="26627" priority="20752" stopIfTrue="1" operator="equal">
      <formula>"Towel"</formula>
    </cfRule>
    <cfRule type="cellIs" dxfId="26626" priority="20753" stopIfTrue="1" operator="equal">
      <formula>"Napkin Hs"</formula>
    </cfRule>
  </conditionalFormatting>
  <conditionalFormatting sqref="C106">
    <cfRule type="cellIs" dxfId="26625" priority="20754" stopIfTrue="1" operator="equal">
      <formula>"Towel"</formula>
    </cfRule>
    <cfRule type="cellIs" dxfId="26624" priority="20755" stopIfTrue="1" operator="equal">
      <formula>"Napkin Hs"</formula>
    </cfRule>
  </conditionalFormatting>
  <conditionalFormatting sqref="B107:C107">
    <cfRule type="cellIs" dxfId="26623" priority="20742" stopIfTrue="1" operator="equal">
      <formula>"Towel"</formula>
    </cfRule>
    <cfRule type="cellIs" dxfId="26622" priority="20743" stopIfTrue="1" operator="equal">
      <formula>"Napkin Hs"</formula>
    </cfRule>
  </conditionalFormatting>
  <conditionalFormatting sqref="C107">
    <cfRule type="cellIs" dxfId="26621" priority="20740" stopIfTrue="1" operator="equal">
      <formula>"Towel"</formula>
    </cfRule>
    <cfRule type="cellIs" dxfId="26620" priority="20741" stopIfTrue="1" operator="equal">
      <formula>"Napkin Hs"</formula>
    </cfRule>
  </conditionalFormatting>
  <conditionalFormatting sqref="C107">
    <cfRule type="cellIs" dxfId="26619" priority="20738" stopIfTrue="1" operator="equal">
      <formula>"Towel"</formula>
    </cfRule>
    <cfRule type="cellIs" dxfId="26618" priority="20739" stopIfTrue="1" operator="equal">
      <formula>"Napkin Hs"</formula>
    </cfRule>
  </conditionalFormatting>
  <conditionalFormatting sqref="C107">
    <cfRule type="cellIs" dxfId="26617" priority="20730" stopIfTrue="1" operator="equal">
      <formula>"Towel"</formula>
    </cfRule>
    <cfRule type="cellIs" dxfId="26616" priority="20731" stopIfTrue="1" operator="equal">
      <formula>"Napkin Hs"</formula>
    </cfRule>
  </conditionalFormatting>
  <conditionalFormatting sqref="B107:C107">
    <cfRule type="cellIs" dxfId="26615" priority="20732" stopIfTrue="1" operator="equal">
      <formula>"Towel"</formula>
    </cfRule>
    <cfRule type="cellIs" dxfId="26614" priority="20733" stopIfTrue="1" operator="equal">
      <formula>"Napkin Hs"</formula>
    </cfRule>
  </conditionalFormatting>
  <conditionalFormatting sqref="C107">
    <cfRule type="cellIs" dxfId="26613" priority="20728" stopIfTrue="1" operator="equal">
      <formula>"Towel"</formula>
    </cfRule>
    <cfRule type="cellIs" dxfId="26612" priority="20729" stopIfTrue="1" operator="equal">
      <formula>"Napkin Hs"</formula>
    </cfRule>
  </conditionalFormatting>
  <conditionalFormatting sqref="B107:C107">
    <cfRule type="cellIs" dxfId="26611" priority="20726" stopIfTrue="1" operator="equal">
      <formula>"Towel"</formula>
    </cfRule>
    <cfRule type="cellIs" dxfId="26610" priority="20727" stopIfTrue="1" operator="equal">
      <formula>"Napkin Hs"</formula>
    </cfRule>
  </conditionalFormatting>
  <conditionalFormatting sqref="C107">
    <cfRule type="cellIs" dxfId="26609" priority="20734" stopIfTrue="1" operator="equal">
      <formula>"Towel"</formula>
    </cfRule>
    <cfRule type="cellIs" dxfId="26608" priority="20735" stopIfTrue="1" operator="equal">
      <formula>"Napkin Hs"</formula>
    </cfRule>
  </conditionalFormatting>
  <conditionalFormatting sqref="C107">
    <cfRule type="cellIs" dxfId="26607" priority="20736" stopIfTrue="1" operator="equal">
      <formula>"Towel"</formula>
    </cfRule>
    <cfRule type="cellIs" dxfId="26606" priority="20737" stopIfTrue="1" operator="equal">
      <formula>"Napkin Hs"</formula>
    </cfRule>
  </conditionalFormatting>
  <conditionalFormatting sqref="B112:C112">
    <cfRule type="cellIs" dxfId="26605" priority="20722" stopIfTrue="1" operator="equal">
      <formula>"Towel"</formula>
    </cfRule>
    <cfRule type="cellIs" dxfId="26604" priority="20723" stopIfTrue="1" operator="equal">
      <formula>"Napkin Hs"</formula>
    </cfRule>
  </conditionalFormatting>
  <conditionalFormatting sqref="C112">
    <cfRule type="cellIs" dxfId="26603" priority="20724" stopIfTrue="1" operator="equal">
      <formula>"Towel"</formula>
    </cfRule>
    <cfRule type="cellIs" dxfId="26602" priority="20725" stopIfTrue="1" operator="equal">
      <formula>"Napkin Hs"</formula>
    </cfRule>
  </conditionalFormatting>
  <conditionalFormatting sqref="C112">
    <cfRule type="cellIs" dxfId="26601" priority="20720" stopIfTrue="1" operator="equal">
      <formula>"Towel"</formula>
    </cfRule>
    <cfRule type="cellIs" dxfId="26600" priority="20721" stopIfTrue="1" operator="equal">
      <formula>"Napkin Hs"</formula>
    </cfRule>
  </conditionalFormatting>
  <conditionalFormatting sqref="B111:C111">
    <cfRule type="cellIs" dxfId="26599" priority="20718" stopIfTrue="1" operator="equal">
      <formula>"Towel"</formula>
    </cfRule>
    <cfRule type="cellIs" dxfId="26598" priority="20719" stopIfTrue="1" operator="equal">
      <formula>"Napkin Hs"</formula>
    </cfRule>
  </conditionalFormatting>
  <conditionalFormatting sqref="C111">
    <cfRule type="cellIs" dxfId="26597" priority="20714" stopIfTrue="1" operator="equal">
      <formula>"Towel"</formula>
    </cfRule>
    <cfRule type="cellIs" dxfId="26596" priority="20715" stopIfTrue="1" operator="equal">
      <formula>"Napkin Hs"</formula>
    </cfRule>
  </conditionalFormatting>
  <conditionalFormatting sqref="C111">
    <cfRule type="cellIs" dxfId="26595" priority="20716" stopIfTrue="1" operator="equal">
      <formula>"Towel"</formula>
    </cfRule>
    <cfRule type="cellIs" dxfId="26594" priority="20717" stopIfTrue="1" operator="equal">
      <formula>"Napkin Hs"</formula>
    </cfRule>
  </conditionalFormatting>
  <conditionalFormatting sqref="B112:C112">
    <cfRule type="cellIs" dxfId="26593" priority="20676" stopIfTrue="1" operator="equal">
      <formula>"Towel"</formula>
    </cfRule>
    <cfRule type="cellIs" dxfId="26592" priority="20677" stopIfTrue="1" operator="equal">
      <formula>"Napkin Hs"</formula>
    </cfRule>
  </conditionalFormatting>
  <conditionalFormatting sqref="C112">
    <cfRule type="cellIs" dxfId="26591" priority="20674" stopIfTrue="1" operator="equal">
      <formula>"Towel"</formula>
    </cfRule>
    <cfRule type="cellIs" dxfId="26590" priority="20675" stopIfTrue="1" operator="equal">
      <formula>"Napkin Hs"</formula>
    </cfRule>
  </conditionalFormatting>
  <conditionalFormatting sqref="C112">
    <cfRule type="cellIs" dxfId="26589" priority="20672" stopIfTrue="1" operator="equal">
      <formula>"Towel"</formula>
    </cfRule>
    <cfRule type="cellIs" dxfId="26588" priority="20673" stopIfTrue="1" operator="equal">
      <formula>"Napkin Hs"</formula>
    </cfRule>
  </conditionalFormatting>
  <conditionalFormatting sqref="B111:C111">
    <cfRule type="cellIs" dxfId="26587" priority="20634" stopIfTrue="1" operator="equal">
      <formula>"Towel"</formula>
    </cfRule>
    <cfRule type="cellIs" dxfId="26586" priority="20635" stopIfTrue="1" operator="equal">
      <formula>"Napkin Hs"</formula>
    </cfRule>
  </conditionalFormatting>
  <conditionalFormatting sqref="C111">
    <cfRule type="cellIs" dxfId="26585" priority="20632" stopIfTrue="1" operator="equal">
      <formula>"Towel"</formula>
    </cfRule>
    <cfRule type="cellIs" dxfId="26584" priority="20633" stopIfTrue="1" operator="equal">
      <formula>"Napkin Hs"</formula>
    </cfRule>
  </conditionalFormatting>
  <conditionalFormatting sqref="C111">
    <cfRule type="cellIs" dxfId="26583" priority="20630" stopIfTrue="1" operator="equal">
      <formula>"Towel"</formula>
    </cfRule>
    <cfRule type="cellIs" dxfId="26582" priority="20631" stopIfTrue="1" operator="equal">
      <formula>"Napkin Hs"</formula>
    </cfRule>
  </conditionalFormatting>
  <conditionalFormatting sqref="C111">
    <cfRule type="cellIs" dxfId="26581" priority="20622" stopIfTrue="1" operator="equal">
      <formula>"Towel"</formula>
    </cfRule>
    <cfRule type="cellIs" dxfId="26580" priority="20623" stopIfTrue="1" operator="equal">
      <formula>"Napkin Hs"</formula>
    </cfRule>
  </conditionalFormatting>
  <conditionalFormatting sqref="B111:C111">
    <cfRule type="cellIs" dxfId="26579" priority="20624" stopIfTrue="1" operator="equal">
      <formula>"Towel"</formula>
    </cfRule>
    <cfRule type="cellIs" dxfId="26578" priority="20625" stopIfTrue="1" operator="equal">
      <formula>"Napkin Hs"</formula>
    </cfRule>
  </conditionalFormatting>
  <conditionalFormatting sqref="C111">
    <cfRule type="cellIs" dxfId="26577" priority="20620" stopIfTrue="1" operator="equal">
      <formula>"Towel"</formula>
    </cfRule>
    <cfRule type="cellIs" dxfId="26576" priority="20621" stopIfTrue="1" operator="equal">
      <formula>"Napkin Hs"</formula>
    </cfRule>
  </conditionalFormatting>
  <conditionalFormatting sqref="B111:C111">
    <cfRule type="cellIs" dxfId="26575" priority="20618" stopIfTrue="1" operator="equal">
      <formula>"Towel"</formula>
    </cfRule>
    <cfRule type="cellIs" dxfId="26574" priority="20619" stopIfTrue="1" operator="equal">
      <formula>"Napkin Hs"</formula>
    </cfRule>
  </conditionalFormatting>
  <conditionalFormatting sqref="C111">
    <cfRule type="cellIs" dxfId="26573" priority="20626" stopIfTrue="1" operator="equal">
      <formula>"Towel"</formula>
    </cfRule>
    <cfRule type="cellIs" dxfId="26572" priority="20627" stopIfTrue="1" operator="equal">
      <formula>"Napkin Hs"</formula>
    </cfRule>
  </conditionalFormatting>
  <conditionalFormatting sqref="C111">
    <cfRule type="cellIs" dxfId="26571" priority="20628" stopIfTrue="1" operator="equal">
      <formula>"Towel"</formula>
    </cfRule>
    <cfRule type="cellIs" dxfId="26570" priority="20629" stopIfTrue="1" operator="equal">
      <formula>"Napkin Hs"</formula>
    </cfRule>
  </conditionalFormatting>
  <conditionalFormatting sqref="B117:C117">
    <cfRule type="cellIs" dxfId="26569" priority="20590" stopIfTrue="1" operator="equal">
      <formula>"Towel"</formula>
    </cfRule>
    <cfRule type="cellIs" dxfId="26568" priority="20591" stopIfTrue="1" operator="equal">
      <formula>"Napkin Hs"</formula>
    </cfRule>
  </conditionalFormatting>
  <conditionalFormatting sqref="C117">
    <cfRule type="cellIs" dxfId="26567" priority="20592" stopIfTrue="1" operator="equal">
      <formula>"Towel"</formula>
    </cfRule>
    <cfRule type="cellIs" dxfId="26566" priority="20593" stopIfTrue="1" operator="equal">
      <formula>"Napkin Hs"</formula>
    </cfRule>
  </conditionalFormatting>
  <conditionalFormatting sqref="C117">
    <cfRule type="cellIs" dxfId="26565" priority="20588" stopIfTrue="1" operator="equal">
      <formula>"Towel"</formula>
    </cfRule>
    <cfRule type="cellIs" dxfId="26564" priority="20589" stopIfTrue="1" operator="equal">
      <formula>"Napkin Hs"</formula>
    </cfRule>
  </conditionalFormatting>
  <conditionalFormatting sqref="B117:C117">
    <cfRule type="cellIs" dxfId="26563" priority="20562" stopIfTrue="1" operator="equal">
      <formula>"Towel"</formula>
    </cfRule>
    <cfRule type="cellIs" dxfId="26562" priority="20563" stopIfTrue="1" operator="equal">
      <formula>"Napkin Hs"</formula>
    </cfRule>
  </conditionalFormatting>
  <conditionalFormatting sqref="C117">
    <cfRule type="cellIs" dxfId="26561" priority="20560" stopIfTrue="1" operator="equal">
      <formula>"Towel"</formula>
    </cfRule>
    <cfRule type="cellIs" dxfId="26560" priority="20561" stopIfTrue="1" operator="equal">
      <formula>"Napkin Hs"</formula>
    </cfRule>
  </conditionalFormatting>
  <conditionalFormatting sqref="C117">
    <cfRule type="cellIs" dxfId="26559" priority="20558" stopIfTrue="1" operator="equal">
      <formula>"Towel"</formula>
    </cfRule>
    <cfRule type="cellIs" dxfId="26558" priority="20559" stopIfTrue="1" operator="equal">
      <formula>"Napkin Hs"</formula>
    </cfRule>
  </conditionalFormatting>
  <conditionalFormatting sqref="B126:C126">
    <cfRule type="cellIs" dxfId="26557" priority="20176" stopIfTrue="1" operator="equal">
      <formula>"Towel"</formula>
    </cfRule>
    <cfRule type="cellIs" dxfId="26556" priority="20177" stopIfTrue="1" operator="equal">
      <formula>"Napkin Hs"</formula>
    </cfRule>
  </conditionalFormatting>
  <conditionalFormatting sqref="C126">
    <cfRule type="cellIs" dxfId="26555" priority="20174" stopIfTrue="1" operator="equal">
      <formula>"Towel"</formula>
    </cfRule>
    <cfRule type="cellIs" dxfId="26554" priority="20175" stopIfTrue="1" operator="equal">
      <formula>"Napkin Hs"</formula>
    </cfRule>
  </conditionalFormatting>
  <conditionalFormatting sqref="C126">
    <cfRule type="cellIs" dxfId="26553" priority="20172" stopIfTrue="1" operator="equal">
      <formula>"Towel"</formula>
    </cfRule>
    <cfRule type="cellIs" dxfId="26552" priority="20173" stopIfTrue="1" operator="equal">
      <formula>"Napkin Hs"</formula>
    </cfRule>
  </conditionalFormatting>
  <conditionalFormatting sqref="B126:C126">
    <cfRule type="cellIs" dxfId="26551" priority="20170" stopIfTrue="1" operator="equal">
      <formula>"Towel"</formula>
    </cfRule>
    <cfRule type="cellIs" dxfId="26550" priority="20171" stopIfTrue="1" operator="equal">
      <formula>"Napkin Hs"</formula>
    </cfRule>
  </conditionalFormatting>
  <conditionalFormatting sqref="C126">
    <cfRule type="cellIs" dxfId="26549" priority="20168" stopIfTrue="1" operator="equal">
      <formula>"Towel"</formula>
    </cfRule>
    <cfRule type="cellIs" dxfId="26548" priority="20169" stopIfTrue="1" operator="equal">
      <formula>"Napkin Hs"</formula>
    </cfRule>
  </conditionalFormatting>
  <conditionalFormatting sqref="C126">
    <cfRule type="cellIs" dxfId="26547" priority="20166" stopIfTrue="1" operator="equal">
      <formula>"Towel"</formula>
    </cfRule>
    <cfRule type="cellIs" dxfId="26546" priority="20167" stopIfTrue="1" operator="equal">
      <formula>"Napkin Hs"</formula>
    </cfRule>
  </conditionalFormatting>
  <conditionalFormatting sqref="C126">
    <cfRule type="cellIs" dxfId="26545" priority="20158" stopIfTrue="1" operator="equal">
      <formula>"Towel"</formula>
    </cfRule>
    <cfRule type="cellIs" dxfId="26544" priority="20159" stopIfTrue="1" operator="equal">
      <formula>"Napkin Hs"</formula>
    </cfRule>
  </conditionalFormatting>
  <conditionalFormatting sqref="B126:C126">
    <cfRule type="cellIs" dxfId="26543" priority="20160" stopIfTrue="1" operator="equal">
      <formula>"Towel"</formula>
    </cfRule>
    <cfRule type="cellIs" dxfId="26542" priority="20161" stopIfTrue="1" operator="equal">
      <formula>"Napkin Hs"</formula>
    </cfRule>
  </conditionalFormatting>
  <conditionalFormatting sqref="C126">
    <cfRule type="cellIs" dxfId="26541" priority="20156" stopIfTrue="1" operator="equal">
      <formula>"Towel"</formula>
    </cfRule>
    <cfRule type="cellIs" dxfId="26540" priority="20157" stopIfTrue="1" operator="equal">
      <formula>"Napkin Hs"</formula>
    </cfRule>
  </conditionalFormatting>
  <conditionalFormatting sqref="B126:C126">
    <cfRule type="cellIs" dxfId="26539" priority="20154" stopIfTrue="1" operator="equal">
      <formula>"Towel"</formula>
    </cfRule>
    <cfRule type="cellIs" dxfId="26538" priority="20155" stopIfTrue="1" operator="equal">
      <formula>"Napkin Hs"</formula>
    </cfRule>
  </conditionalFormatting>
  <conditionalFormatting sqref="C126">
    <cfRule type="cellIs" dxfId="26537" priority="20162" stopIfTrue="1" operator="equal">
      <formula>"Towel"</formula>
    </cfRule>
    <cfRule type="cellIs" dxfId="26536" priority="20163" stopIfTrue="1" operator="equal">
      <formula>"Napkin Hs"</formula>
    </cfRule>
  </conditionalFormatting>
  <conditionalFormatting sqref="C126">
    <cfRule type="cellIs" dxfId="26535" priority="20164" stopIfTrue="1" operator="equal">
      <formula>"Towel"</formula>
    </cfRule>
    <cfRule type="cellIs" dxfId="26534" priority="20165" stopIfTrue="1" operator="equal">
      <formula>"Napkin Hs"</formula>
    </cfRule>
  </conditionalFormatting>
  <conditionalFormatting sqref="B135:C135">
    <cfRule type="cellIs" dxfId="26533" priority="20152" stopIfTrue="1" operator="equal">
      <formula>"Towel"</formula>
    </cfRule>
    <cfRule type="cellIs" dxfId="26532" priority="20153" stopIfTrue="1" operator="equal">
      <formula>"Napkin Hs"</formula>
    </cfRule>
  </conditionalFormatting>
  <conditionalFormatting sqref="C135">
    <cfRule type="cellIs" dxfId="26531" priority="20151" stopIfTrue="1" operator="equal">
      <formula>"Napkin Hs"</formula>
    </cfRule>
  </conditionalFormatting>
  <conditionalFormatting sqref="C135">
    <cfRule type="cellIs" dxfId="26530" priority="20150" stopIfTrue="1" operator="equal">
      <formula>"Towel"</formula>
    </cfRule>
  </conditionalFormatting>
  <conditionalFormatting sqref="C135">
    <cfRule type="cellIs" dxfId="26529" priority="20148" stopIfTrue="1" operator="equal">
      <formula>"Towel"</formula>
    </cfRule>
    <cfRule type="cellIs" dxfId="26528" priority="20149" stopIfTrue="1" operator="equal">
      <formula>"Napkin Hs"</formula>
    </cfRule>
  </conditionalFormatting>
  <conditionalFormatting sqref="B144:C144">
    <cfRule type="cellIs" dxfId="26527" priority="19964" stopIfTrue="1" operator="equal">
      <formula>"Towel"</formula>
    </cfRule>
    <cfRule type="cellIs" dxfId="26526" priority="19965" stopIfTrue="1" operator="equal">
      <formula>"Napkin Hs"</formula>
    </cfRule>
  </conditionalFormatting>
  <conditionalFormatting sqref="C144">
    <cfRule type="cellIs" dxfId="26525" priority="19963" stopIfTrue="1" operator="equal">
      <formula>"Napkin Hs"</formula>
    </cfRule>
  </conditionalFormatting>
  <conditionalFormatting sqref="C144">
    <cfRule type="cellIs" dxfId="26524" priority="19962" stopIfTrue="1" operator="equal">
      <formula>"Towel"</formula>
    </cfRule>
  </conditionalFormatting>
  <conditionalFormatting sqref="C144">
    <cfRule type="cellIs" dxfId="26523" priority="19960" stopIfTrue="1" operator="equal">
      <formula>"Towel"</formula>
    </cfRule>
    <cfRule type="cellIs" dxfId="26522" priority="19961" stopIfTrue="1" operator="equal">
      <formula>"Napkin Hs"</formula>
    </cfRule>
  </conditionalFormatting>
  <conditionalFormatting sqref="B142:C142">
    <cfRule type="cellIs" dxfId="26521" priority="19910" stopIfTrue="1" operator="equal">
      <formula>"Towel"</formula>
    </cfRule>
    <cfRule type="cellIs" dxfId="26520" priority="19911" stopIfTrue="1" operator="equal">
      <formula>"Napkin Hs"</formula>
    </cfRule>
  </conditionalFormatting>
  <conditionalFormatting sqref="C142">
    <cfRule type="cellIs" dxfId="26519" priority="19906" stopIfTrue="1" operator="equal">
      <formula>"Towel"</formula>
    </cfRule>
    <cfRule type="cellIs" dxfId="26518" priority="19907" stopIfTrue="1" operator="equal">
      <formula>"Napkin Hs"</formula>
    </cfRule>
  </conditionalFormatting>
  <conditionalFormatting sqref="C142">
    <cfRule type="cellIs" dxfId="26517" priority="19908" stopIfTrue="1" operator="equal">
      <formula>"Towel"</formula>
    </cfRule>
    <cfRule type="cellIs" dxfId="26516" priority="19909" stopIfTrue="1" operator="equal">
      <formula>"Napkin Hs"</formula>
    </cfRule>
  </conditionalFormatting>
  <conditionalFormatting sqref="B142:C142">
    <cfRule type="cellIs" dxfId="26515" priority="19904" stopIfTrue="1" operator="equal">
      <formula>"Towel"</formula>
    </cfRule>
    <cfRule type="cellIs" dxfId="26514" priority="19905" stopIfTrue="1" operator="equal">
      <formula>"Napkin Hs"</formula>
    </cfRule>
  </conditionalFormatting>
  <conditionalFormatting sqref="C142">
    <cfRule type="cellIs" dxfId="26513" priority="19902" stopIfTrue="1" operator="equal">
      <formula>"Towel"</formula>
    </cfRule>
    <cfRule type="cellIs" dxfId="26512" priority="19903" stopIfTrue="1" operator="equal">
      <formula>"Napkin Hs"</formula>
    </cfRule>
  </conditionalFormatting>
  <conditionalFormatting sqref="C142">
    <cfRule type="cellIs" dxfId="26511" priority="19900" stopIfTrue="1" operator="equal">
      <formula>"Towel"</formula>
    </cfRule>
    <cfRule type="cellIs" dxfId="26510" priority="19901" stopIfTrue="1" operator="equal">
      <formula>"Napkin Hs"</formula>
    </cfRule>
  </conditionalFormatting>
  <conditionalFormatting sqref="C142">
    <cfRule type="cellIs" dxfId="26509" priority="19892" stopIfTrue="1" operator="equal">
      <formula>"Towel"</formula>
    </cfRule>
    <cfRule type="cellIs" dxfId="26508" priority="19893" stopIfTrue="1" operator="equal">
      <formula>"Napkin Hs"</formula>
    </cfRule>
  </conditionalFormatting>
  <conditionalFormatting sqref="B142:C142">
    <cfRule type="cellIs" dxfId="26507" priority="19894" stopIfTrue="1" operator="equal">
      <formula>"Towel"</formula>
    </cfRule>
    <cfRule type="cellIs" dxfId="26506" priority="19895" stopIfTrue="1" operator="equal">
      <formula>"Napkin Hs"</formula>
    </cfRule>
  </conditionalFormatting>
  <conditionalFormatting sqref="C142">
    <cfRule type="cellIs" dxfId="26505" priority="19890" stopIfTrue="1" operator="equal">
      <formula>"Towel"</formula>
    </cfRule>
    <cfRule type="cellIs" dxfId="26504" priority="19891" stopIfTrue="1" operator="equal">
      <formula>"Napkin Hs"</formula>
    </cfRule>
  </conditionalFormatting>
  <conditionalFormatting sqref="B142:C142">
    <cfRule type="cellIs" dxfId="26503" priority="19888" stopIfTrue="1" operator="equal">
      <formula>"Towel"</formula>
    </cfRule>
    <cfRule type="cellIs" dxfId="26502" priority="19889" stopIfTrue="1" operator="equal">
      <formula>"Napkin Hs"</formula>
    </cfRule>
  </conditionalFormatting>
  <conditionalFormatting sqref="C142">
    <cfRule type="cellIs" dxfId="26501" priority="19896" stopIfTrue="1" operator="equal">
      <formula>"Towel"</formula>
    </cfRule>
    <cfRule type="cellIs" dxfId="26500" priority="19897" stopIfTrue="1" operator="equal">
      <formula>"Napkin Hs"</formula>
    </cfRule>
  </conditionalFormatting>
  <conditionalFormatting sqref="C142">
    <cfRule type="cellIs" dxfId="26499" priority="19898" stopIfTrue="1" operator="equal">
      <formula>"Towel"</formula>
    </cfRule>
    <cfRule type="cellIs" dxfId="26498" priority="19899" stopIfTrue="1" operator="equal">
      <formula>"Napkin Hs"</formula>
    </cfRule>
  </conditionalFormatting>
  <conditionalFormatting sqref="B141:C141">
    <cfRule type="cellIs" dxfId="26497" priority="19862" stopIfTrue="1" operator="equal">
      <formula>"Towel"</formula>
    </cfRule>
    <cfRule type="cellIs" dxfId="26496" priority="19863" stopIfTrue="1" operator="equal">
      <formula>"Napkin Hs"</formula>
    </cfRule>
  </conditionalFormatting>
  <conditionalFormatting sqref="C141">
    <cfRule type="cellIs" dxfId="26495" priority="19858" stopIfTrue="1" operator="equal">
      <formula>"Towel"</formula>
    </cfRule>
    <cfRule type="cellIs" dxfId="26494" priority="19859" stopIfTrue="1" operator="equal">
      <formula>"Napkin Hs"</formula>
    </cfRule>
  </conditionalFormatting>
  <conditionalFormatting sqref="C141">
    <cfRule type="cellIs" dxfId="26493" priority="19860" stopIfTrue="1" operator="equal">
      <formula>"Towel"</formula>
    </cfRule>
    <cfRule type="cellIs" dxfId="26492" priority="19861" stopIfTrue="1" operator="equal">
      <formula>"Napkin Hs"</formula>
    </cfRule>
  </conditionalFormatting>
  <conditionalFormatting sqref="B141:C141">
    <cfRule type="cellIs" dxfId="26491" priority="19856" stopIfTrue="1" operator="equal">
      <formula>"Towel"</formula>
    </cfRule>
    <cfRule type="cellIs" dxfId="26490" priority="19857" stopIfTrue="1" operator="equal">
      <formula>"Napkin Hs"</formula>
    </cfRule>
  </conditionalFormatting>
  <conditionalFormatting sqref="C141">
    <cfRule type="cellIs" dxfId="26489" priority="19854" stopIfTrue="1" operator="equal">
      <formula>"Towel"</formula>
    </cfRule>
    <cfRule type="cellIs" dxfId="26488" priority="19855" stopIfTrue="1" operator="equal">
      <formula>"Napkin Hs"</formula>
    </cfRule>
  </conditionalFormatting>
  <conditionalFormatting sqref="C141">
    <cfRule type="cellIs" dxfId="26487" priority="19852" stopIfTrue="1" operator="equal">
      <formula>"Towel"</formula>
    </cfRule>
    <cfRule type="cellIs" dxfId="26486" priority="19853" stopIfTrue="1" operator="equal">
      <formula>"Napkin Hs"</formula>
    </cfRule>
  </conditionalFormatting>
  <conditionalFormatting sqref="C141">
    <cfRule type="cellIs" dxfId="26485" priority="19844" stopIfTrue="1" operator="equal">
      <formula>"Towel"</formula>
    </cfRule>
    <cfRule type="cellIs" dxfId="26484" priority="19845" stopIfTrue="1" operator="equal">
      <formula>"Napkin Hs"</formula>
    </cfRule>
  </conditionalFormatting>
  <conditionalFormatting sqref="B141:C141">
    <cfRule type="cellIs" dxfId="26483" priority="19846" stopIfTrue="1" operator="equal">
      <formula>"Towel"</formula>
    </cfRule>
    <cfRule type="cellIs" dxfId="26482" priority="19847" stopIfTrue="1" operator="equal">
      <formula>"Napkin Hs"</formula>
    </cfRule>
  </conditionalFormatting>
  <conditionalFormatting sqref="C141">
    <cfRule type="cellIs" dxfId="26481" priority="19842" stopIfTrue="1" operator="equal">
      <formula>"Towel"</formula>
    </cfRule>
    <cfRule type="cellIs" dxfId="26480" priority="19843" stopIfTrue="1" operator="equal">
      <formula>"Napkin Hs"</formula>
    </cfRule>
  </conditionalFormatting>
  <conditionalFormatting sqref="B141:C141">
    <cfRule type="cellIs" dxfId="26479" priority="19840" stopIfTrue="1" operator="equal">
      <formula>"Towel"</formula>
    </cfRule>
    <cfRule type="cellIs" dxfId="26478" priority="19841" stopIfTrue="1" operator="equal">
      <formula>"Napkin Hs"</formula>
    </cfRule>
  </conditionalFormatting>
  <conditionalFormatting sqref="C141">
    <cfRule type="cellIs" dxfId="26477" priority="19848" stopIfTrue="1" operator="equal">
      <formula>"Towel"</formula>
    </cfRule>
    <cfRule type="cellIs" dxfId="26476" priority="19849" stopIfTrue="1" operator="equal">
      <formula>"Napkin Hs"</formula>
    </cfRule>
  </conditionalFormatting>
  <conditionalFormatting sqref="C141">
    <cfRule type="cellIs" dxfId="26475" priority="19850" stopIfTrue="1" operator="equal">
      <formula>"Towel"</formula>
    </cfRule>
    <cfRule type="cellIs" dxfId="26474" priority="19851" stopIfTrue="1" operator="equal">
      <formula>"Napkin Hs"</formula>
    </cfRule>
  </conditionalFormatting>
  <conditionalFormatting sqref="B143:C143">
    <cfRule type="cellIs" dxfId="26473" priority="19838" stopIfTrue="1" operator="equal">
      <formula>"Towel"</formula>
    </cfRule>
    <cfRule type="cellIs" dxfId="26472" priority="19839" stopIfTrue="1" operator="equal">
      <formula>"Napkin Hs"</formula>
    </cfRule>
  </conditionalFormatting>
  <conditionalFormatting sqref="C143">
    <cfRule type="cellIs" dxfId="26471" priority="19834" stopIfTrue="1" operator="equal">
      <formula>"Towel"</formula>
    </cfRule>
    <cfRule type="cellIs" dxfId="26470" priority="19835" stopIfTrue="1" operator="equal">
      <formula>"Napkin Hs"</formula>
    </cfRule>
  </conditionalFormatting>
  <conditionalFormatting sqref="C143">
    <cfRule type="cellIs" dxfId="26469" priority="19836" stopIfTrue="1" operator="equal">
      <formula>"Towel"</formula>
    </cfRule>
    <cfRule type="cellIs" dxfId="26468" priority="19837" stopIfTrue="1" operator="equal">
      <formula>"Napkin Hs"</formula>
    </cfRule>
  </conditionalFormatting>
  <conditionalFormatting sqref="B143:C143">
    <cfRule type="cellIs" dxfId="26467" priority="19832" stopIfTrue="1" operator="equal">
      <formula>"Towel"</formula>
    </cfRule>
    <cfRule type="cellIs" dxfId="26466" priority="19833" stopIfTrue="1" operator="equal">
      <formula>"Napkin Hs"</formula>
    </cfRule>
  </conditionalFormatting>
  <conditionalFormatting sqref="C143">
    <cfRule type="cellIs" dxfId="26465" priority="19830" stopIfTrue="1" operator="equal">
      <formula>"Towel"</formula>
    </cfRule>
    <cfRule type="cellIs" dxfId="26464" priority="19831" stopIfTrue="1" operator="equal">
      <formula>"Napkin Hs"</formula>
    </cfRule>
  </conditionalFormatting>
  <conditionalFormatting sqref="C143">
    <cfRule type="cellIs" dxfId="26463" priority="19828" stopIfTrue="1" operator="equal">
      <formula>"Towel"</formula>
    </cfRule>
    <cfRule type="cellIs" dxfId="26462" priority="19829" stopIfTrue="1" operator="equal">
      <formula>"Napkin Hs"</formula>
    </cfRule>
  </conditionalFormatting>
  <conditionalFormatting sqref="C143">
    <cfRule type="cellIs" dxfId="26461" priority="19820" stopIfTrue="1" operator="equal">
      <formula>"Towel"</formula>
    </cfRule>
    <cfRule type="cellIs" dxfId="26460" priority="19821" stopIfTrue="1" operator="equal">
      <formula>"Napkin Hs"</formula>
    </cfRule>
  </conditionalFormatting>
  <conditionalFormatting sqref="B143:C143">
    <cfRule type="cellIs" dxfId="26459" priority="19822" stopIfTrue="1" operator="equal">
      <formula>"Towel"</formula>
    </cfRule>
    <cfRule type="cellIs" dxfId="26458" priority="19823" stopIfTrue="1" operator="equal">
      <formula>"Napkin Hs"</formula>
    </cfRule>
  </conditionalFormatting>
  <conditionalFormatting sqref="C143">
    <cfRule type="cellIs" dxfId="26457" priority="19818" stopIfTrue="1" operator="equal">
      <formula>"Towel"</formula>
    </cfRule>
    <cfRule type="cellIs" dxfId="26456" priority="19819" stopIfTrue="1" operator="equal">
      <formula>"Napkin Hs"</formula>
    </cfRule>
  </conditionalFormatting>
  <conditionalFormatting sqref="B143:C143">
    <cfRule type="cellIs" dxfId="26455" priority="19816" stopIfTrue="1" operator="equal">
      <formula>"Towel"</formula>
    </cfRule>
    <cfRule type="cellIs" dxfId="26454" priority="19817" stopIfTrue="1" operator="equal">
      <formula>"Napkin Hs"</formula>
    </cfRule>
  </conditionalFormatting>
  <conditionalFormatting sqref="C143">
    <cfRule type="cellIs" dxfId="26453" priority="19824" stopIfTrue="1" operator="equal">
      <formula>"Towel"</formula>
    </cfRule>
    <cfRule type="cellIs" dxfId="26452" priority="19825" stopIfTrue="1" operator="equal">
      <formula>"Napkin Hs"</formula>
    </cfRule>
  </conditionalFormatting>
  <conditionalFormatting sqref="C143">
    <cfRule type="cellIs" dxfId="26451" priority="19826" stopIfTrue="1" operator="equal">
      <formula>"Towel"</formula>
    </cfRule>
    <cfRule type="cellIs" dxfId="26450" priority="19827" stopIfTrue="1" operator="equal">
      <formula>"Napkin Hs"</formula>
    </cfRule>
  </conditionalFormatting>
  <conditionalFormatting sqref="B149:C149 B159:C161">
    <cfRule type="cellIs" dxfId="26449" priority="19814" stopIfTrue="1" operator="equal">
      <formula>"Towel"</formula>
    </cfRule>
    <cfRule type="cellIs" dxfId="26448" priority="19815" stopIfTrue="1" operator="equal">
      <formula>"Napkin Hs"</formula>
    </cfRule>
  </conditionalFormatting>
  <conditionalFormatting sqref="C149 C159:C161">
    <cfRule type="cellIs" dxfId="26447" priority="19813" stopIfTrue="1" operator="equal">
      <formula>"Napkin Hs"</formula>
    </cfRule>
  </conditionalFormatting>
  <conditionalFormatting sqref="C149 C159:C161">
    <cfRule type="cellIs" dxfId="26446" priority="19812" stopIfTrue="1" operator="equal">
      <formula>"Towel"</formula>
    </cfRule>
  </conditionalFormatting>
  <conditionalFormatting sqref="C149 C159:C161">
    <cfRule type="cellIs" dxfId="26445" priority="19810" stopIfTrue="1" operator="equal">
      <formula>"Towel"</formula>
    </cfRule>
    <cfRule type="cellIs" dxfId="26444" priority="19811" stopIfTrue="1" operator="equal">
      <formula>"Napkin Hs"</formula>
    </cfRule>
  </conditionalFormatting>
  <conditionalFormatting sqref="B16:C16">
    <cfRule type="cellIs" dxfId="26443" priority="19506" stopIfTrue="1" operator="equal">
      <formula>"Towel"</formula>
    </cfRule>
    <cfRule type="cellIs" dxfId="26442" priority="19507" stopIfTrue="1" operator="equal">
      <formula>"Napkin Hs"</formula>
    </cfRule>
  </conditionalFormatting>
  <conditionalFormatting sqref="C16">
    <cfRule type="cellIs" dxfId="26441" priority="19502" stopIfTrue="1" operator="equal">
      <formula>"Towel"</formula>
    </cfRule>
    <cfRule type="cellIs" dxfId="26440" priority="19503" stopIfTrue="1" operator="equal">
      <formula>"Napkin Hs"</formula>
    </cfRule>
  </conditionalFormatting>
  <conditionalFormatting sqref="C16">
    <cfRule type="cellIs" dxfId="26439" priority="19505" stopIfTrue="1" operator="equal">
      <formula>"Napkin Hs"</formula>
    </cfRule>
  </conditionalFormatting>
  <conditionalFormatting sqref="C16">
    <cfRule type="cellIs" dxfId="26438" priority="19504" stopIfTrue="1" operator="equal">
      <formula>"Towel"</formula>
    </cfRule>
  </conditionalFormatting>
  <conditionalFormatting sqref="B20:C20">
    <cfRule type="cellIs" dxfId="26437" priority="19488" stopIfTrue="1" operator="equal">
      <formula>"Towel"</formula>
    </cfRule>
    <cfRule type="cellIs" dxfId="26436" priority="19489" stopIfTrue="1" operator="equal">
      <formula>"Napkin Hs"</formula>
    </cfRule>
  </conditionalFormatting>
  <conditionalFormatting sqref="C20">
    <cfRule type="cellIs" dxfId="26435" priority="19484" stopIfTrue="1" operator="equal">
      <formula>"Towel"</formula>
    </cfRule>
    <cfRule type="cellIs" dxfId="26434" priority="19485" stopIfTrue="1" operator="equal">
      <formula>"Napkin Hs"</formula>
    </cfRule>
  </conditionalFormatting>
  <conditionalFormatting sqref="C20">
    <cfRule type="cellIs" dxfId="26433" priority="19487" stopIfTrue="1" operator="equal">
      <formula>"Napkin Hs"</formula>
    </cfRule>
  </conditionalFormatting>
  <conditionalFormatting sqref="C20">
    <cfRule type="cellIs" dxfId="26432" priority="19486" stopIfTrue="1" operator="equal">
      <formula>"Towel"</formula>
    </cfRule>
  </conditionalFormatting>
  <conditionalFormatting sqref="B29:C29">
    <cfRule type="cellIs" dxfId="26431" priority="19408" stopIfTrue="1" operator="equal">
      <formula>"Towel"</formula>
    </cfRule>
    <cfRule type="cellIs" dxfId="26430" priority="19409" stopIfTrue="1" operator="equal">
      <formula>"Napkin Hs"</formula>
    </cfRule>
  </conditionalFormatting>
  <conditionalFormatting sqref="C29">
    <cfRule type="cellIs" dxfId="26429" priority="19404" stopIfTrue="1" operator="equal">
      <formula>"Towel"</formula>
    </cfRule>
    <cfRule type="cellIs" dxfId="26428" priority="19405" stopIfTrue="1" operator="equal">
      <formula>"Napkin Hs"</formula>
    </cfRule>
  </conditionalFormatting>
  <conditionalFormatting sqref="C29">
    <cfRule type="cellIs" dxfId="26427" priority="19407" stopIfTrue="1" operator="equal">
      <formula>"Napkin Hs"</formula>
    </cfRule>
  </conditionalFormatting>
  <conditionalFormatting sqref="C29">
    <cfRule type="cellIs" dxfId="26426" priority="19406" stopIfTrue="1" operator="equal">
      <formula>"Towel"</formula>
    </cfRule>
  </conditionalFormatting>
  <conditionalFormatting sqref="C31">
    <cfRule type="cellIs" dxfId="26425" priority="19378" stopIfTrue="1" operator="equal">
      <formula>"Towel"</formula>
    </cfRule>
    <cfRule type="cellIs" dxfId="26424" priority="19379" stopIfTrue="1" operator="equal">
      <formula>"Napkin Hs"</formula>
    </cfRule>
  </conditionalFormatting>
  <conditionalFormatting sqref="C31">
    <cfRule type="cellIs" dxfId="26423" priority="19380" stopIfTrue="1" operator="equal">
      <formula>"Towel"</formula>
    </cfRule>
    <cfRule type="cellIs" dxfId="26422" priority="19381" stopIfTrue="1" operator="equal">
      <formula>"Napkin Hs"</formula>
    </cfRule>
  </conditionalFormatting>
  <conditionalFormatting sqref="C31">
    <cfRule type="cellIs" dxfId="26421" priority="19376" stopIfTrue="1" operator="equal">
      <formula>"Towel"</formula>
    </cfRule>
    <cfRule type="cellIs" dxfId="26420" priority="19377" stopIfTrue="1" operator="equal">
      <formula>"Napkin Hs"</formula>
    </cfRule>
  </conditionalFormatting>
  <conditionalFormatting sqref="B31">
    <cfRule type="cellIs" dxfId="26419" priority="19374" stopIfTrue="1" operator="equal">
      <formula>"Towel"</formula>
    </cfRule>
    <cfRule type="cellIs" dxfId="26418" priority="19375" stopIfTrue="1" operator="equal">
      <formula>"Napkin Hs"</formula>
    </cfRule>
  </conditionalFormatting>
  <conditionalFormatting sqref="C30">
    <cfRule type="cellIs" dxfId="26417" priority="19370" stopIfTrue="1" operator="equal">
      <formula>"Towel"</formula>
    </cfRule>
    <cfRule type="cellIs" dxfId="26416" priority="19371" stopIfTrue="1" operator="equal">
      <formula>"Napkin Hs"</formula>
    </cfRule>
  </conditionalFormatting>
  <conditionalFormatting sqref="C30">
    <cfRule type="cellIs" dxfId="26415" priority="19372" stopIfTrue="1" operator="equal">
      <formula>"Towel"</formula>
    </cfRule>
    <cfRule type="cellIs" dxfId="26414" priority="19373" stopIfTrue="1" operator="equal">
      <formula>"Napkin Hs"</formula>
    </cfRule>
  </conditionalFormatting>
  <conditionalFormatting sqref="C30">
    <cfRule type="cellIs" dxfId="26413" priority="19368" stopIfTrue="1" operator="equal">
      <formula>"Towel"</formula>
    </cfRule>
    <cfRule type="cellIs" dxfId="26412" priority="19369" stopIfTrue="1" operator="equal">
      <formula>"Napkin Hs"</formula>
    </cfRule>
  </conditionalFormatting>
  <conditionalFormatting sqref="B30">
    <cfRule type="cellIs" dxfId="26411" priority="19366" stopIfTrue="1" operator="equal">
      <formula>"Towel"</formula>
    </cfRule>
    <cfRule type="cellIs" dxfId="26410" priority="19367" stopIfTrue="1" operator="equal">
      <formula>"Napkin Hs"</formula>
    </cfRule>
  </conditionalFormatting>
  <conditionalFormatting sqref="C15">
    <cfRule type="cellIs" dxfId="26409" priority="19110" stopIfTrue="1" operator="equal">
      <formula>"Towel"</formula>
    </cfRule>
    <cfRule type="cellIs" dxfId="26408" priority="19111" stopIfTrue="1" operator="equal">
      <formula>"Napkin Hs"</formula>
    </cfRule>
  </conditionalFormatting>
  <conditionalFormatting sqref="C15">
    <cfRule type="cellIs" dxfId="26407" priority="19106" stopIfTrue="1" operator="equal">
      <formula>"Towel"</formula>
    </cfRule>
    <cfRule type="cellIs" dxfId="26406" priority="19107" stopIfTrue="1" operator="equal">
      <formula>"Napkin Hs"</formula>
    </cfRule>
  </conditionalFormatting>
  <conditionalFormatting sqref="C15">
    <cfRule type="cellIs" dxfId="26405" priority="19109" stopIfTrue="1" operator="equal">
      <formula>"Napkin Hs"</formula>
    </cfRule>
  </conditionalFormatting>
  <conditionalFormatting sqref="C15">
    <cfRule type="cellIs" dxfId="26404" priority="19108" stopIfTrue="1" operator="equal">
      <formula>"Towel"</formula>
    </cfRule>
  </conditionalFormatting>
  <conditionalFormatting sqref="B12:C12">
    <cfRule type="cellIs" dxfId="26403" priority="18820" stopIfTrue="1" operator="equal">
      <formula>"Towel"</formula>
    </cfRule>
  </conditionalFormatting>
  <conditionalFormatting sqref="B12:C12">
    <cfRule type="cellIs" dxfId="26402" priority="18821" stopIfTrue="1" operator="equal">
      <formula>"Napkin Hs"</formula>
    </cfRule>
    <cfRule type="cellIs" dxfId="26401" priority="18826" stopIfTrue="1" operator="equal">
      <formula>"Towel"</formula>
    </cfRule>
    <cfRule type="cellIs" dxfId="26400" priority="18827" stopIfTrue="1" operator="equal">
      <formula>"Napkin Hs"</formula>
    </cfRule>
    <cfRule type="cellIs" dxfId="26399" priority="18836" stopIfTrue="1" operator="equal">
      <formula>"Towel"</formula>
    </cfRule>
    <cfRule type="cellIs" dxfId="26398" priority="18837" stopIfTrue="1" operator="equal">
      <formula>"Napkin Hs"</formula>
    </cfRule>
    <cfRule type="cellIs" dxfId="26397" priority="18842" stopIfTrue="1" operator="equal">
      <formula>"Towel"</formula>
    </cfRule>
    <cfRule type="cellIs" dxfId="26396" priority="18843" stopIfTrue="1" operator="equal">
      <formula>"Napkin Hs"</formula>
    </cfRule>
  </conditionalFormatting>
  <conditionalFormatting sqref="C12">
    <cfRule type="cellIs" dxfId="26395" priority="18822" stopIfTrue="1" operator="equal">
      <formula>"Towel"</formula>
    </cfRule>
    <cfRule type="cellIs" dxfId="26394" priority="18823" stopIfTrue="1" operator="equal">
      <formula>"Napkin Hs"</formula>
    </cfRule>
    <cfRule type="cellIs" dxfId="26393" priority="18824" stopIfTrue="1" operator="equal">
      <formula>"Towel"</formula>
    </cfRule>
    <cfRule type="cellIs" dxfId="26392" priority="18825" stopIfTrue="1" operator="equal">
      <formula>"Napkin Hs"</formula>
    </cfRule>
    <cfRule type="cellIs" dxfId="26391" priority="18828" stopIfTrue="1" operator="equal">
      <formula>"Towel"</formula>
    </cfRule>
    <cfRule type="cellIs" dxfId="26390" priority="18829" stopIfTrue="1" operator="equal">
      <formula>"Napkin Hs"</formula>
    </cfRule>
    <cfRule type="cellIs" dxfId="26389" priority="18830" stopIfTrue="1" operator="equal">
      <formula>"Towel"</formula>
    </cfRule>
    <cfRule type="cellIs" dxfId="26388" priority="18831" stopIfTrue="1" operator="equal">
      <formula>"Napkin Hs"</formula>
    </cfRule>
    <cfRule type="cellIs" dxfId="26387" priority="18832" stopIfTrue="1" operator="equal">
      <formula>"Towel"</formula>
    </cfRule>
    <cfRule type="cellIs" dxfId="26386" priority="18833" stopIfTrue="1" operator="equal">
      <formula>"Napkin Hs"</formula>
    </cfRule>
    <cfRule type="cellIs" dxfId="26385" priority="18834" stopIfTrue="1" operator="equal">
      <formula>"Towel"</formula>
    </cfRule>
    <cfRule type="cellIs" dxfId="26384" priority="18835" stopIfTrue="1" operator="equal">
      <formula>"Napkin Hs"</formula>
    </cfRule>
    <cfRule type="cellIs" dxfId="26383" priority="18838" stopIfTrue="1" operator="equal">
      <formula>"Towel"</formula>
    </cfRule>
    <cfRule type="cellIs" dxfId="26382" priority="18839" stopIfTrue="1" operator="equal">
      <formula>"Napkin Hs"</formula>
    </cfRule>
    <cfRule type="cellIs" dxfId="26381" priority="18841" stopIfTrue="1" operator="equal">
      <formula>"Napkin Hs"</formula>
    </cfRule>
  </conditionalFormatting>
  <conditionalFormatting sqref="C12">
    <cfRule type="cellIs" dxfId="26380" priority="18840" stopIfTrue="1" operator="equal">
      <formula>"Towel"</formula>
    </cfRule>
  </conditionalFormatting>
  <conditionalFormatting sqref="B12:C12">
    <cfRule type="cellIs" dxfId="26379" priority="18818" stopIfTrue="1" operator="equal">
      <formula>"Towel"</formula>
    </cfRule>
    <cfRule type="cellIs" dxfId="26378" priority="18819" stopIfTrue="1" operator="equal">
      <formula>"Napkin Hs"</formula>
    </cfRule>
  </conditionalFormatting>
  <conditionalFormatting sqref="C12">
    <cfRule type="cellIs" dxfId="26377" priority="18817" stopIfTrue="1" operator="equal">
      <formula>"Napkin Hs"</formula>
    </cfRule>
  </conditionalFormatting>
  <conditionalFormatting sqref="C12">
    <cfRule type="cellIs" dxfId="26376" priority="18816" stopIfTrue="1" operator="equal">
      <formula>"Towel"</formula>
    </cfRule>
  </conditionalFormatting>
  <conditionalFormatting sqref="C12">
    <cfRule type="cellIs" dxfId="26375" priority="18814" stopIfTrue="1" operator="equal">
      <formula>"Towel"</formula>
    </cfRule>
  </conditionalFormatting>
  <conditionalFormatting sqref="C12">
    <cfRule type="cellIs" dxfId="26374" priority="18815" stopIfTrue="1" operator="equal">
      <formula>"Napkin Hs"</formula>
    </cfRule>
  </conditionalFormatting>
  <conditionalFormatting sqref="B12">
    <cfRule type="cellIs" dxfId="26373" priority="18718" stopIfTrue="1" operator="equal">
      <formula>"Napkin Hs"</formula>
    </cfRule>
  </conditionalFormatting>
  <conditionalFormatting sqref="B12:C12">
    <cfRule type="cellIs" dxfId="26372" priority="18717" stopIfTrue="1" operator="equal">
      <formula>"Towel"</formula>
    </cfRule>
  </conditionalFormatting>
  <conditionalFormatting sqref="B12:C12">
    <cfRule type="cellIs" dxfId="26371" priority="18728" stopIfTrue="1" operator="equal">
      <formula>"Towel"</formula>
    </cfRule>
    <cfRule type="cellIs" dxfId="26370" priority="18729" stopIfTrue="1" operator="equal">
      <formula>"Napkin Hs"</formula>
    </cfRule>
    <cfRule type="cellIs" dxfId="26369" priority="18734" stopIfTrue="1" operator="equal">
      <formula>"Towel"</formula>
    </cfRule>
    <cfRule type="cellIs" dxfId="26368" priority="18735" stopIfTrue="1" operator="equal">
      <formula>"Napkin Hs"</formula>
    </cfRule>
    <cfRule type="cellIs" dxfId="26367" priority="18740" stopIfTrue="1" operator="equal">
      <formula>"Towel"</formula>
    </cfRule>
    <cfRule type="cellIs" dxfId="26366" priority="18741" stopIfTrue="1" operator="equal">
      <formula>"Napkin Hs"</formula>
    </cfRule>
    <cfRule type="cellIs" dxfId="26365" priority="18742" stopIfTrue="1" operator="equal">
      <formula>"Towel"</formula>
    </cfRule>
    <cfRule type="cellIs" dxfId="26364" priority="18743" stopIfTrue="1" operator="equal">
      <formula>"Napkin Hs"</formula>
    </cfRule>
    <cfRule type="cellIs" dxfId="26363" priority="18748" stopIfTrue="1" operator="equal">
      <formula>"Towel"</formula>
    </cfRule>
    <cfRule type="cellIs" dxfId="26362" priority="18749" stopIfTrue="1" operator="equal">
      <formula>"Napkin Hs"</formula>
    </cfRule>
    <cfRule type="cellIs" dxfId="26361" priority="18758" stopIfTrue="1" operator="equal">
      <formula>"Towel"</formula>
    </cfRule>
    <cfRule type="cellIs" dxfId="26360" priority="18759" stopIfTrue="1" operator="equal">
      <formula>"Napkin Hs"</formula>
    </cfRule>
    <cfRule type="cellIs" dxfId="26359" priority="18764" stopIfTrue="1" operator="equal">
      <formula>"Towel"</formula>
    </cfRule>
    <cfRule type="cellIs" dxfId="26358" priority="18765" stopIfTrue="1" operator="equal">
      <formula>"Napkin Hs"</formula>
    </cfRule>
    <cfRule type="cellIs" dxfId="26357" priority="18766" stopIfTrue="1" operator="equal">
      <formula>"Towel"</formula>
    </cfRule>
    <cfRule type="cellIs" dxfId="26356" priority="18767" stopIfTrue="1" operator="equal">
      <formula>"Napkin Hs"</formula>
    </cfRule>
    <cfRule type="cellIs" dxfId="26355" priority="18772" stopIfTrue="1" operator="equal">
      <formula>"Towel"</formula>
    </cfRule>
    <cfRule type="cellIs" dxfId="26354" priority="18773" stopIfTrue="1" operator="equal">
      <formula>"Napkin Hs"</formula>
    </cfRule>
    <cfRule type="cellIs" dxfId="26353" priority="18782" stopIfTrue="1" operator="equal">
      <formula>"Towel"</formula>
    </cfRule>
    <cfRule type="cellIs" dxfId="26352" priority="18783" stopIfTrue="1" operator="equal">
      <formula>"Napkin Hs"</formula>
    </cfRule>
    <cfRule type="cellIs" dxfId="26351" priority="18784" stopIfTrue="1" operator="equal">
      <formula>"Towel"</formula>
    </cfRule>
    <cfRule type="cellIs" dxfId="26350" priority="18785" stopIfTrue="1" operator="equal">
      <formula>"Napkin Hs"</formula>
    </cfRule>
    <cfRule type="cellIs" dxfId="26349" priority="18790" stopIfTrue="1" operator="equal">
      <formula>"Towel"</formula>
    </cfRule>
    <cfRule type="cellIs" dxfId="26348" priority="18791" stopIfTrue="1" operator="equal">
      <formula>"Napkin Hs"</formula>
    </cfRule>
    <cfRule type="cellIs" dxfId="26347" priority="18800" stopIfTrue="1" operator="equal">
      <formula>"Towel"</formula>
    </cfRule>
    <cfRule type="cellIs" dxfId="26346" priority="18801" stopIfTrue="1" operator="equal">
      <formula>"Napkin Hs"</formula>
    </cfRule>
    <cfRule type="cellIs" dxfId="26345" priority="18802" stopIfTrue="1" operator="equal">
      <formula>"Towel"</formula>
    </cfRule>
    <cfRule type="cellIs" dxfId="26344" priority="18803" stopIfTrue="1" operator="equal">
      <formula>"Napkin Hs"</formula>
    </cfRule>
    <cfRule type="cellIs" dxfId="26343" priority="18809" stopIfTrue="1" operator="equal">
      <formula>"Napkin Hs"</formula>
    </cfRule>
  </conditionalFormatting>
  <conditionalFormatting sqref="B12:C12">
    <cfRule type="cellIs" dxfId="26342" priority="18808" stopIfTrue="1" operator="equal">
      <formula>"Towel"</formula>
    </cfRule>
  </conditionalFormatting>
  <conditionalFormatting sqref="C12">
    <cfRule type="cellIs" dxfId="26341" priority="18719" stopIfTrue="1" operator="equal">
      <formula>"Napkin Hs"</formula>
    </cfRule>
    <cfRule type="cellIs" dxfId="26340" priority="18720" stopIfTrue="1" operator="equal">
      <formula>"Towel"</formula>
    </cfRule>
    <cfRule type="cellIs" dxfId="26339" priority="18721" stopIfTrue="1" operator="equal">
      <formula>"Napkin Hs"</formula>
    </cfRule>
    <cfRule type="cellIs" dxfId="26338" priority="18722" stopIfTrue="1" operator="equal">
      <formula>"Towel"</formula>
    </cfRule>
    <cfRule type="cellIs" dxfId="26337" priority="18723" stopIfTrue="1" operator="equal">
      <formula>"Napkin Hs"</formula>
    </cfRule>
    <cfRule type="cellIs" dxfId="26336" priority="18724" stopIfTrue="1" operator="equal">
      <formula>"Towel"</formula>
    </cfRule>
    <cfRule type="cellIs" dxfId="26335" priority="18725" stopIfTrue="1" operator="equal">
      <formula>"Napkin Hs"</formula>
    </cfRule>
    <cfRule type="cellIs" dxfId="26334" priority="18726" stopIfTrue="1" operator="equal">
      <formula>"Towel"</formula>
    </cfRule>
    <cfRule type="cellIs" dxfId="26333" priority="18727" stopIfTrue="1" operator="equal">
      <formula>"Napkin Hs"</formula>
    </cfRule>
    <cfRule type="cellIs" dxfId="26332" priority="18730" stopIfTrue="1" operator="equal">
      <formula>"Towel"</formula>
    </cfRule>
    <cfRule type="cellIs" dxfId="26331" priority="18731" stopIfTrue="1" operator="equal">
      <formula>"Napkin Hs"</formula>
    </cfRule>
    <cfRule type="cellIs" dxfId="26330" priority="18732" stopIfTrue="1" operator="equal">
      <formula>"Towel"</formula>
    </cfRule>
    <cfRule type="cellIs" dxfId="26329" priority="18733" stopIfTrue="1" operator="equal">
      <formula>"Napkin Hs"</formula>
    </cfRule>
    <cfRule type="cellIs" dxfId="26328" priority="18736" stopIfTrue="1" operator="equal">
      <formula>"Towel"</formula>
    </cfRule>
    <cfRule type="cellIs" dxfId="26327" priority="18737" stopIfTrue="1" operator="equal">
      <formula>"Napkin Hs"</formula>
    </cfRule>
    <cfRule type="cellIs" dxfId="26326" priority="18738" stopIfTrue="1" operator="equal">
      <formula>"Towel"</formula>
    </cfRule>
    <cfRule type="cellIs" dxfId="26325" priority="18739" stopIfTrue="1" operator="equal">
      <formula>"Napkin Hs"</formula>
    </cfRule>
    <cfRule type="cellIs" dxfId="26324" priority="18744" stopIfTrue="1" operator="equal">
      <formula>"Towel"</formula>
    </cfRule>
    <cfRule type="cellIs" dxfId="26323" priority="18745" stopIfTrue="1" operator="equal">
      <formula>"Napkin Hs"</formula>
    </cfRule>
    <cfRule type="cellIs" dxfId="26322" priority="18746" stopIfTrue="1" operator="equal">
      <formula>"Towel"</formula>
    </cfRule>
    <cfRule type="cellIs" dxfId="26321" priority="18747" stopIfTrue="1" operator="equal">
      <formula>"Napkin Hs"</formula>
    </cfRule>
    <cfRule type="cellIs" dxfId="26320" priority="18750" stopIfTrue="1" operator="equal">
      <formula>"Towel"</formula>
    </cfRule>
    <cfRule type="cellIs" dxfId="26319" priority="18751" stopIfTrue="1" operator="equal">
      <formula>"Napkin Hs"</formula>
    </cfRule>
    <cfRule type="cellIs" dxfId="26318" priority="18752" stopIfTrue="1" operator="equal">
      <formula>"Towel"</formula>
    </cfRule>
    <cfRule type="cellIs" dxfId="26317" priority="18753" stopIfTrue="1" operator="equal">
      <formula>"Napkin Hs"</formula>
    </cfRule>
    <cfRule type="cellIs" dxfId="26316" priority="18754" stopIfTrue="1" operator="equal">
      <formula>"Towel"</formula>
    </cfRule>
    <cfRule type="cellIs" dxfId="26315" priority="18755" stopIfTrue="1" operator="equal">
      <formula>"Napkin Hs"</formula>
    </cfRule>
    <cfRule type="cellIs" dxfId="26314" priority="18756" stopIfTrue="1" operator="equal">
      <formula>"Towel"</formula>
    </cfRule>
    <cfRule type="cellIs" dxfId="26313" priority="18757" stopIfTrue="1" operator="equal">
      <formula>"Napkin Hs"</formula>
    </cfRule>
    <cfRule type="cellIs" dxfId="26312" priority="18760" stopIfTrue="1" operator="equal">
      <formula>"Towel"</formula>
    </cfRule>
    <cfRule type="cellIs" dxfId="26311" priority="18761" stopIfTrue="1" operator="equal">
      <formula>"Napkin Hs"</formula>
    </cfRule>
    <cfRule type="cellIs" dxfId="26310" priority="18762" stopIfTrue="1" operator="equal">
      <formula>"Towel"</formula>
    </cfRule>
    <cfRule type="cellIs" dxfId="26309" priority="18763" stopIfTrue="1" operator="equal">
      <formula>"Napkin Hs"</formula>
    </cfRule>
    <cfRule type="cellIs" dxfId="26308" priority="18768" stopIfTrue="1" operator="equal">
      <formula>"Towel"</formula>
    </cfRule>
    <cfRule type="cellIs" dxfId="26307" priority="18769" stopIfTrue="1" operator="equal">
      <formula>"Napkin Hs"</formula>
    </cfRule>
    <cfRule type="cellIs" dxfId="26306" priority="18770" stopIfTrue="1" operator="equal">
      <formula>"Towel"</formula>
    </cfRule>
    <cfRule type="cellIs" dxfId="26305" priority="18771" stopIfTrue="1" operator="equal">
      <formula>"Napkin Hs"</formula>
    </cfRule>
    <cfRule type="cellIs" dxfId="26304" priority="18774" stopIfTrue="1" operator="equal">
      <formula>"Towel"</formula>
    </cfRule>
    <cfRule type="cellIs" dxfId="26303" priority="18775" stopIfTrue="1" operator="equal">
      <formula>"Napkin Hs"</formula>
    </cfRule>
    <cfRule type="cellIs" dxfId="26302" priority="18776" stopIfTrue="1" operator="equal">
      <formula>"Towel"</formula>
    </cfRule>
    <cfRule type="cellIs" dxfId="26301" priority="18777" stopIfTrue="1" operator="equal">
      <formula>"Napkin Hs"</formula>
    </cfRule>
    <cfRule type="cellIs" dxfId="26300" priority="18778" stopIfTrue="1" operator="equal">
      <formula>"Towel"</formula>
    </cfRule>
    <cfRule type="cellIs" dxfId="26299" priority="18779" stopIfTrue="1" operator="equal">
      <formula>"Napkin Hs"</formula>
    </cfRule>
    <cfRule type="cellIs" dxfId="26298" priority="18780" stopIfTrue="1" operator="equal">
      <formula>"Towel"</formula>
    </cfRule>
    <cfRule type="cellIs" dxfId="26297" priority="18781" stopIfTrue="1" operator="equal">
      <formula>"Napkin Hs"</formula>
    </cfRule>
    <cfRule type="cellIs" dxfId="26296" priority="18786" stopIfTrue="1" operator="equal">
      <formula>"Towel"</formula>
    </cfRule>
    <cfRule type="cellIs" dxfId="26295" priority="18787" stopIfTrue="1" operator="equal">
      <formula>"Napkin Hs"</formula>
    </cfRule>
    <cfRule type="cellIs" dxfId="26294" priority="18788" stopIfTrue="1" operator="equal">
      <formula>"Towel"</formula>
    </cfRule>
    <cfRule type="cellIs" dxfId="26293" priority="18789" stopIfTrue="1" operator="equal">
      <formula>"Napkin Hs"</formula>
    </cfRule>
    <cfRule type="cellIs" dxfId="26292" priority="18792" stopIfTrue="1" operator="equal">
      <formula>"Towel"</formula>
    </cfRule>
    <cfRule type="cellIs" dxfId="26291" priority="18793" stopIfTrue="1" operator="equal">
      <formula>"Napkin Hs"</formula>
    </cfRule>
    <cfRule type="cellIs" dxfId="26290" priority="18794" stopIfTrue="1" operator="equal">
      <formula>"Towel"</formula>
    </cfRule>
    <cfRule type="cellIs" dxfId="26289" priority="18795" stopIfTrue="1" operator="equal">
      <formula>"Napkin Hs"</formula>
    </cfRule>
    <cfRule type="cellIs" dxfId="26288" priority="18796" stopIfTrue="1" operator="equal">
      <formula>"Towel"</formula>
    </cfRule>
    <cfRule type="cellIs" dxfId="26287" priority="18797" stopIfTrue="1" operator="equal">
      <formula>"Napkin Hs"</formula>
    </cfRule>
    <cfRule type="cellIs" dxfId="26286" priority="18798" stopIfTrue="1" operator="equal">
      <formula>"Towel"</formula>
    </cfRule>
    <cfRule type="cellIs" dxfId="26285" priority="18799" stopIfTrue="1" operator="equal">
      <formula>"Napkin Hs"</formula>
    </cfRule>
    <cfRule type="cellIs" dxfId="26284" priority="18804" stopIfTrue="1" operator="equal">
      <formula>"Towel"</formula>
    </cfRule>
    <cfRule type="cellIs" dxfId="26283" priority="18805" stopIfTrue="1" operator="equal">
      <formula>"Napkin Hs"</formula>
    </cfRule>
    <cfRule type="cellIs" dxfId="26282" priority="18806" stopIfTrue="1" operator="equal">
      <formula>"Towel"</formula>
    </cfRule>
    <cfRule type="cellIs" dxfId="26281" priority="18807" stopIfTrue="1" operator="equal">
      <formula>"Napkin Hs"</formula>
    </cfRule>
    <cfRule type="cellIs" dxfId="26280" priority="18810" stopIfTrue="1" operator="equal">
      <formula>"Towel"</formula>
    </cfRule>
    <cfRule type="cellIs" dxfId="26279" priority="18811" stopIfTrue="1" operator="equal">
      <formula>"Napkin Hs"</formula>
    </cfRule>
    <cfRule type="cellIs" dxfId="26278" priority="18812" stopIfTrue="1" operator="equal">
      <formula>"Towel"</formula>
    </cfRule>
    <cfRule type="cellIs" dxfId="26277" priority="18813" stopIfTrue="1" operator="equal">
      <formula>"Napkin Hs"</formula>
    </cfRule>
  </conditionalFormatting>
  <conditionalFormatting sqref="B13:C14">
    <cfRule type="cellIs" dxfId="26276" priority="18693" stopIfTrue="1" operator="equal">
      <formula>"Towel"</formula>
    </cfRule>
  </conditionalFormatting>
  <conditionalFormatting sqref="B13:C14">
    <cfRule type="cellIs" dxfId="26275" priority="18694" stopIfTrue="1" operator="equal">
      <formula>"Napkin Hs"</formula>
    </cfRule>
    <cfRule type="cellIs" dxfId="26274" priority="18699" stopIfTrue="1" operator="equal">
      <formula>"Towel"</formula>
    </cfRule>
    <cfRule type="cellIs" dxfId="26273" priority="18700" stopIfTrue="1" operator="equal">
      <formula>"Napkin Hs"</formula>
    </cfRule>
    <cfRule type="cellIs" dxfId="26272" priority="18709" stopIfTrue="1" operator="equal">
      <formula>"Towel"</formula>
    </cfRule>
    <cfRule type="cellIs" dxfId="26271" priority="18710" stopIfTrue="1" operator="equal">
      <formula>"Napkin Hs"</formula>
    </cfRule>
    <cfRule type="cellIs" dxfId="26270" priority="18715" stopIfTrue="1" operator="equal">
      <formula>"Towel"</formula>
    </cfRule>
    <cfRule type="cellIs" dxfId="26269" priority="18716" stopIfTrue="1" operator="equal">
      <formula>"Napkin Hs"</formula>
    </cfRule>
  </conditionalFormatting>
  <conditionalFormatting sqref="C13:C14">
    <cfRule type="cellIs" dxfId="26268" priority="18695" stopIfTrue="1" operator="equal">
      <formula>"Towel"</formula>
    </cfRule>
    <cfRule type="cellIs" dxfId="26267" priority="18696" stopIfTrue="1" operator="equal">
      <formula>"Napkin Hs"</formula>
    </cfRule>
    <cfRule type="cellIs" dxfId="26266" priority="18697" stopIfTrue="1" operator="equal">
      <formula>"Towel"</formula>
    </cfRule>
    <cfRule type="cellIs" dxfId="26265" priority="18698" stopIfTrue="1" operator="equal">
      <formula>"Napkin Hs"</formula>
    </cfRule>
    <cfRule type="cellIs" dxfId="26264" priority="18701" stopIfTrue="1" operator="equal">
      <formula>"Towel"</formula>
    </cfRule>
    <cfRule type="cellIs" dxfId="26263" priority="18702" stopIfTrue="1" operator="equal">
      <formula>"Napkin Hs"</formula>
    </cfRule>
    <cfRule type="cellIs" dxfId="26262" priority="18703" stopIfTrue="1" operator="equal">
      <formula>"Towel"</formula>
    </cfRule>
    <cfRule type="cellIs" dxfId="26261" priority="18704" stopIfTrue="1" operator="equal">
      <formula>"Napkin Hs"</formula>
    </cfRule>
    <cfRule type="cellIs" dxfId="26260" priority="18705" stopIfTrue="1" operator="equal">
      <formula>"Towel"</formula>
    </cfRule>
    <cfRule type="cellIs" dxfId="26259" priority="18706" stopIfTrue="1" operator="equal">
      <formula>"Napkin Hs"</formula>
    </cfRule>
    <cfRule type="cellIs" dxfId="26258" priority="18707" stopIfTrue="1" operator="equal">
      <formula>"Towel"</formula>
    </cfRule>
    <cfRule type="cellIs" dxfId="26257" priority="18708" stopIfTrue="1" operator="equal">
      <formula>"Napkin Hs"</formula>
    </cfRule>
    <cfRule type="cellIs" dxfId="26256" priority="18711" stopIfTrue="1" operator="equal">
      <formula>"Towel"</formula>
    </cfRule>
    <cfRule type="cellIs" dxfId="26255" priority="18712" stopIfTrue="1" operator="equal">
      <formula>"Napkin Hs"</formula>
    </cfRule>
    <cfRule type="cellIs" dxfId="26254" priority="18714" stopIfTrue="1" operator="equal">
      <formula>"Napkin Hs"</formula>
    </cfRule>
  </conditionalFormatting>
  <conditionalFormatting sqref="C13:C14">
    <cfRule type="cellIs" dxfId="26253" priority="18713" stopIfTrue="1" operator="equal">
      <formula>"Towel"</formula>
    </cfRule>
  </conditionalFormatting>
  <conditionalFormatting sqref="B13:C14">
    <cfRule type="cellIs" dxfId="26252" priority="18691" stopIfTrue="1" operator="equal">
      <formula>"Towel"</formula>
    </cfRule>
    <cfRule type="cellIs" dxfId="26251" priority="18692" stopIfTrue="1" operator="equal">
      <formula>"Napkin Hs"</formula>
    </cfRule>
  </conditionalFormatting>
  <conditionalFormatting sqref="C13:C14">
    <cfRule type="cellIs" dxfId="26250" priority="18690" stopIfTrue="1" operator="equal">
      <formula>"Napkin Hs"</formula>
    </cfRule>
  </conditionalFormatting>
  <conditionalFormatting sqref="C13:C14">
    <cfRule type="cellIs" dxfId="26249" priority="18689" stopIfTrue="1" operator="equal">
      <formula>"Towel"</formula>
    </cfRule>
  </conditionalFormatting>
  <conditionalFormatting sqref="C13:C14">
    <cfRule type="cellIs" dxfId="26248" priority="18687" stopIfTrue="1" operator="equal">
      <formula>"Towel"</formula>
    </cfRule>
  </conditionalFormatting>
  <conditionalFormatting sqref="C13:C14">
    <cfRule type="cellIs" dxfId="26247" priority="18688" stopIfTrue="1" operator="equal">
      <formula>"Napkin Hs"</formula>
    </cfRule>
  </conditionalFormatting>
  <conditionalFormatting sqref="B13:B14">
    <cfRule type="cellIs" dxfId="26246" priority="18591" stopIfTrue="1" operator="equal">
      <formula>"Napkin Hs"</formula>
    </cfRule>
  </conditionalFormatting>
  <conditionalFormatting sqref="B13:C14">
    <cfRule type="cellIs" dxfId="26245" priority="18590" stopIfTrue="1" operator="equal">
      <formula>"Towel"</formula>
    </cfRule>
  </conditionalFormatting>
  <conditionalFormatting sqref="B13:C14">
    <cfRule type="cellIs" dxfId="26244" priority="18601" stopIfTrue="1" operator="equal">
      <formula>"Towel"</formula>
    </cfRule>
    <cfRule type="cellIs" dxfId="26243" priority="18602" stopIfTrue="1" operator="equal">
      <formula>"Napkin Hs"</formula>
    </cfRule>
    <cfRule type="cellIs" dxfId="26242" priority="18607" stopIfTrue="1" operator="equal">
      <formula>"Towel"</formula>
    </cfRule>
    <cfRule type="cellIs" dxfId="26241" priority="18608" stopIfTrue="1" operator="equal">
      <formula>"Napkin Hs"</formula>
    </cfRule>
    <cfRule type="cellIs" dxfId="26240" priority="18613" stopIfTrue="1" operator="equal">
      <formula>"Towel"</formula>
    </cfRule>
    <cfRule type="cellIs" dxfId="26239" priority="18614" stopIfTrue="1" operator="equal">
      <formula>"Napkin Hs"</formula>
    </cfRule>
    <cfRule type="cellIs" dxfId="26238" priority="18615" stopIfTrue="1" operator="equal">
      <formula>"Towel"</formula>
    </cfRule>
    <cfRule type="cellIs" dxfId="26237" priority="18616" stopIfTrue="1" operator="equal">
      <formula>"Napkin Hs"</formula>
    </cfRule>
    <cfRule type="cellIs" dxfId="26236" priority="18621" stopIfTrue="1" operator="equal">
      <formula>"Towel"</formula>
    </cfRule>
    <cfRule type="cellIs" dxfId="26235" priority="18622" stopIfTrue="1" operator="equal">
      <formula>"Napkin Hs"</formula>
    </cfRule>
    <cfRule type="cellIs" dxfId="26234" priority="18631" stopIfTrue="1" operator="equal">
      <formula>"Towel"</formula>
    </cfRule>
    <cfRule type="cellIs" dxfId="26233" priority="18632" stopIfTrue="1" operator="equal">
      <formula>"Napkin Hs"</formula>
    </cfRule>
    <cfRule type="cellIs" dxfId="26232" priority="18637" stopIfTrue="1" operator="equal">
      <formula>"Towel"</formula>
    </cfRule>
    <cfRule type="cellIs" dxfId="26231" priority="18638" stopIfTrue="1" operator="equal">
      <formula>"Napkin Hs"</formula>
    </cfRule>
    <cfRule type="cellIs" dxfId="26230" priority="18639" stopIfTrue="1" operator="equal">
      <formula>"Towel"</formula>
    </cfRule>
    <cfRule type="cellIs" dxfId="26229" priority="18640" stopIfTrue="1" operator="equal">
      <formula>"Napkin Hs"</formula>
    </cfRule>
    <cfRule type="cellIs" dxfId="26228" priority="18645" stopIfTrue="1" operator="equal">
      <formula>"Towel"</formula>
    </cfRule>
    <cfRule type="cellIs" dxfId="26227" priority="18646" stopIfTrue="1" operator="equal">
      <formula>"Napkin Hs"</formula>
    </cfRule>
    <cfRule type="cellIs" dxfId="26226" priority="18655" stopIfTrue="1" operator="equal">
      <formula>"Towel"</formula>
    </cfRule>
    <cfRule type="cellIs" dxfId="26225" priority="18656" stopIfTrue="1" operator="equal">
      <formula>"Napkin Hs"</formula>
    </cfRule>
    <cfRule type="cellIs" dxfId="26224" priority="18657" stopIfTrue="1" operator="equal">
      <formula>"Towel"</formula>
    </cfRule>
    <cfRule type="cellIs" dxfId="26223" priority="18658" stopIfTrue="1" operator="equal">
      <formula>"Napkin Hs"</formula>
    </cfRule>
    <cfRule type="cellIs" dxfId="26222" priority="18663" stopIfTrue="1" operator="equal">
      <formula>"Towel"</formula>
    </cfRule>
    <cfRule type="cellIs" dxfId="26221" priority="18664" stopIfTrue="1" operator="equal">
      <formula>"Napkin Hs"</formula>
    </cfRule>
    <cfRule type="cellIs" dxfId="26220" priority="18673" stopIfTrue="1" operator="equal">
      <formula>"Towel"</formula>
    </cfRule>
    <cfRule type="cellIs" dxfId="26219" priority="18674" stopIfTrue="1" operator="equal">
      <formula>"Napkin Hs"</formula>
    </cfRule>
    <cfRule type="cellIs" dxfId="26218" priority="18675" stopIfTrue="1" operator="equal">
      <formula>"Towel"</formula>
    </cfRule>
    <cfRule type="cellIs" dxfId="26217" priority="18676" stopIfTrue="1" operator="equal">
      <formula>"Napkin Hs"</formula>
    </cfRule>
    <cfRule type="cellIs" dxfId="26216" priority="18682" stopIfTrue="1" operator="equal">
      <formula>"Napkin Hs"</formula>
    </cfRule>
  </conditionalFormatting>
  <conditionalFormatting sqref="B13:C14">
    <cfRule type="cellIs" dxfId="26215" priority="18681" stopIfTrue="1" operator="equal">
      <formula>"Towel"</formula>
    </cfRule>
  </conditionalFormatting>
  <conditionalFormatting sqref="C13:C14">
    <cfRule type="cellIs" dxfId="26214" priority="18592" stopIfTrue="1" operator="equal">
      <formula>"Napkin Hs"</formula>
    </cfRule>
    <cfRule type="cellIs" dxfId="26213" priority="18593" stopIfTrue="1" operator="equal">
      <formula>"Towel"</formula>
    </cfRule>
    <cfRule type="cellIs" dxfId="26212" priority="18594" stopIfTrue="1" operator="equal">
      <formula>"Napkin Hs"</formula>
    </cfRule>
    <cfRule type="cellIs" dxfId="26211" priority="18595" stopIfTrue="1" operator="equal">
      <formula>"Towel"</formula>
    </cfRule>
    <cfRule type="cellIs" dxfId="26210" priority="18596" stopIfTrue="1" operator="equal">
      <formula>"Napkin Hs"</formula>
    </cfRule>
    <cfRule type="cellIs" dxfId="26209" priority="18597" stopIfTrue="1" operator="equal">
      <formula>"Towel"</formula>
    </cfRule>
    <cfRule type="cellIs" dxfId="26208" priority="18598" stopIfTrue="1" operator="equal">
      <formula>"Napkin Hs"</formula>
    </cfRule>
    <cfRule type="cellIs" dxfId="26207" priority="18599" stopIfTrue="1" operator="equal">
      <formula>"Towel"</formula>
    </cfRule>
    <cfRule type="cellIs" dxfId="26206" priority="18600" stopIfTrue="1" operator="equal">
      <formula>"Napkin Hs"</formula>
    </cfRule>
    <cfRule type="cellIs" dxfId="26205" priority="18603" stopIfTrue="1" operator="equal">
      <formula>"Towel"</formula>
    </cfRule>
    <cfRule type="cellIs" dxfId="26204" priority="18604" stopIfTrue="1" operator="equal">
      <formula>"Napkin Hs"</formula>
    </cfRule>
    <cfRule type="cellIs" dxfId="26203" priority="18605" stopIfTrue="1" operator="equal">
      <formula>"Towel"</formula>
    </cfRule>
    <cfRule type="cellIs" dxfId="26202" priority="18606" stopIfTrue="1" operator="equal">
      <formula>"Napkin Hs"</formula>
    </cfRule>
    <cfRule type="cellIs" dxfId="26201" priority="18609" stopIfTrue="1" operator="equal">
      <formula>"Towel"</formula>
    </cfRule>
    <cfRule type="cellIs" dxfId="26200" priority="18610" stopIfTrue="1" operator="equal">
      <formula>"Napkin Hs"</formula>
    </cfRule>
    <cfRule type="cellIs" dxfId="26199" priority="18611" stopIfTrue="1" operator="equal">
      <formula>"Towel"</formula>
    </cfRule>
    <cfRule type="cellIs" dxfId="26198" priority="18612" stopIfTrue="1" operator="equal">
      <formula>"Napkin Hs"</formula>
    </cfRule>
    <cfRule type="cellIs" dxfId="26197" priority="18617" stopIfTrue="1" operator="equal">
      <formula>"Towel"</formula>
    </cfRule>
    <cfRule type="cellIs" dxfId="26196" priority="18618" stopIfTrue="1" operator="equal">
      <formula>"Napkin Hs"</formula>
    </cfRule>
    <cfRule type="cellIs" dxfId="26195" priority="18619" stopIfTrue="1" operator="equal">
      <formula>"Towel"</formula>
    </cfRule>
    <cfRule type="cellIs" dxfId="26194" priority="18620" stopIfTrue="1" operator="equal">
      <formula>"Napkin Hs"</formula>
    </cfRule>
    <cfRule type="cellIs" dxfId="26193" priority="18623" stopIfTrue="1" operator="equal">
      <formula>"Towel"</formula>
    </cfRule>
    <cfRule type="cellIs" dxfId="26192" priority="18624" stopIfTrue="1" operator="equal">
      <formula>"Napkin Hs"</formula>
    </cfRule>
    <cfRule type="cellIs" dxfId="26191" priority="18625" stopIfTrue="1" operator="equal">
      <formula>"Towel"</formula>
    </cfRule>
    <cfRule type="cellIs" dxfId="26190" priority="18626" stopIfTrue="1" operator="equal">
      <formula>"Napkin Hs"</formula>
    </cfRule>
    <cfRule type="cellIs" dxfId="26189" priority="18627" stopIfTrue="1" operator="equal">
      <formula>"Towel"</formula>
    </cfRule>
    <cfRule type="cellIs" dxfId="26188" priority="18628" stopIfTrue="1" operator="equal">
      <formula>"Napkin Hs"</formula>
    </cfRule>
    <cfRule type="cellIs" dxfId="26187" priority="18629" stopIfTrue="1" operator="equal">
      <formula>"Towel"</formula>
    </cfRule>
    <cfRule type="cellIs" dxfId="26186" priority="18630" stopIfTrue="1" operator="equal">
      <formula>"Napkin Hs"</formula>
    </cfRule>
    <cfRule type="cellIs" dxfId="26185" priority="18633" stopIfTrue="1" operator="equal">
      <formula>"Towel"</formula>
    </cfRule>
    <cfRule type="cellIs" dxfId="26184" priority="18634" stopIfTrue="1" operator="equal">
      <formula>"Napkin Hs"</formula>
    </cfRule>
    <cfRule type="cellIs" dxfId="26183" priority="18635" stopIfTrue="1" operator="equal">
      <formula>"Towel"</formula>
    </cfRule>
    <cfRule type="cellIs" dxfId="26182" priority="18636" stopIfTrue="1" operator="equal">
      <formula>"Napkin Hs"</formula>
    </cfRule>
    <cfRule type="cellIs" dxfId="26181" priority="18641" stopIfTrue="1" operator="equal">
      <formula>"Towel"</formula>
    </cfRule>
    <cfRule type="cellIs" dxfId="26180" priority="18642" stopIfTrue="1" operator="equal">
      <formula>"Napkin Hs"</formula>
    </cfRule>
    <cfRule type="cellIs" dxfId="26179" priority="18643" stopIfTrue="1" operator="equal">
      <formula>"Towel"</formula>
    </cfRule>
    <cfRule type="cellIs" dxfId="26178" priority="18644" stopIfTrue="1" operator="equal">
      <formula>"Napkin Hs"</formula>
    </cfRule>
    <cfRule type="cellIs" dxfId="26177" priority="18647" stopIfTrue="1" operator="equal">
      <formula>"Towel"</formula>
    </cfRule>
    <cfRule type="cellIs" dxfId="26176" priority="18648" stopIfTrue="1" operator="equal">
      <formula>"Napkin Hs"</formula>
    </cfRule>
    <cfRule type="cellIs" dxfId="26175" priority="18649" stopIfTrue="1" operator="equal">
      <formula>"Towel"</formula>
    </cfRule>
    <cfRule type="cellIs" dxfId="26174" priority="18650" stopIfTrue="1" operator="equal">
      <formula>"Napkin Hs"</formula>
    </cfRule>
    <cfRule type="cellIs" dxfId="26173" priority="18651" stopIfTrue="1" operator="equal">
      <formula>"Towel"</formula>
    </cfRule>
    <cfRule type="cellIs" dxfId="26172" priority="18652" stopIfTrue="1" operator="equal">
      <formula>"Napkin Hs"</formula>
    </cfRule>
    <cfRule type="cellIs" dxfId="26171" priority="18653" stopIfTrue="1" operator="equal">
      <formula>"Towel"</formula>
    </cfRule>
    <cfRule type="cellIs" dxfId="26170" priority="18654" stopIfTrue="1" operator="equal">
      <formula>"Napkin Hs"</formula>
    </cfRule>
    <cfRule type="cellIs" dxfId="26169" priority="18659" stopIfTrue="1" operator="equal">
      <formula>"Towel"</formula>
    </cfRule>
    <cfRule type="cellIs" dxfId="26168" priority="18660" stopIfTrue="1" operator="equal">
      <formula>"Napkin Hs"</formula>
    </cfRule>
    <cfRule type="cellIs" dxfId="26167" priority="18661" stopIfTrue="1" operator="equal">
      <formula>"Towel"</formula>
    </cfRule>
    <cfRule type="cellIs" dxfId="26166" priority="18662" stopIfTrue="1" operator="equal">
      <formula>"Napkin Hs"</formula>
    </cfRule>
    <cfRule type="cellIs" dxfId="26165" priority="18665" stopIfTrue="1" operator="equal">
      <formula>"Towel"</formula>
    </cfRule>
    <cfRule type="cellIs" dxfId="26164" priority="18666" stopIfTrue="1" operator="equal">
      <formula>"Napkin Hs"</formula>
    </cfRule>
    <cfRule type="cellIs" dxfId="26163" priority="18667" stopIfTrue="1" operator="equal">
      <formula>"Towel"</formula>
    </cfRule>
    <cfRule type="cellIs" dxfId="26162" priority="18668" stopIfTrue="1" operator="equal">
      <formula>"Napkin Hs"</formula>
    </cfRule>
    <cfRule type="cellIs" dxfId="26161" priority="18669" stopIfTrue="1" operator="equal">
      <formula>"Towel"</formula>
    </cfRule>
    <cfRule type="cellIs" dxfId="26160" priority="18670" stopIfTrue="1" operator="equal">
      <formula>"Napkin Hs"</formula>
    </cfRule>
    <cfRule type="cellIs" dxfId="26159" priority="18671" stopIfTrue="1" operator="equal">
      <formula>"Towel"</formula>
    </cfRule>
    <cfRule type="cellIs" dxfId="26158" priority="18672" stopIfTrue="1" operator="equal">
      <formula>"Napkin Hs"</formula>
    </cfRule>
    <cfRule type="cellIs" dxfId="26157" priority="18677" stopIfTrue="1" operator="equal">
      <formula>"Towel"</formula>
    </cfRule>
    <cfRule type="cellIs" dxfId="26156" priority="18678" stopIfTrue="1" operator="equal">
      <formula>"Napkin Hs"</formula>
    </cfRule>
    <cfRule type="cellIs" dxfId="26155" priority="18679" stopIfTrue="1" operator="equal">
      <formula>"Towel"</formula>
    </cfRule>
    <cfRule type="cellIs" dxfId="26154" priority="18680" stopIfTrue="1" operator="equal">
      <formula>"Napkin Hs"</formula>
    </cfRule>
    <cfRule type="cellIs" dxfId="26153" priority="18683" stopIfTrue="1" operator="equal">
      <formula>"Towel"</formula>
    </cfRule>
    <cfRule type="cellIs" dxfId="26152" priority="18684" stopIfTrue="1" operator="equal">
      <formula>"Napkin Hs"</formula>
    </cfRule>
    <cfRule type="cellIs" dxfId="26151" priority="18685" stopIfTrue="1" operator="equal">
      <formula>"Towel"</formula>
    </cfRule>
    <cfRule type="cellIs" dxfId="26150" priority="18686" stopIfTrue="1" operator="equal">
      <formula>"Napkin Hs"</formula>
    </cfRule>
  </conditionalFormatting>
  <conditionalFormatting sqref="B15">
    <cfRule type="cellIs" dxfId="26149" priority="18582" stopIfTrue="1" operator="equal">
      <formula>"Towel"</formula>
    </cfRule>
  </conditionalFormatting>
  <conditionalFormatting sqref="B15">
    <cfRule type="cellIs" dxfId="26148" priority="18583" stopIfTrue="1" operator="equal">
      <formula>"Napkin Hs"</formula>
    </cfRule>
    <cfRule type="cellIs" dxfId="26147" priority="18584" stopIfTrue="1" operator="equal">
      <formula>"Towel"</formula>
    </cfRule>
    <cfRule type="cellIs" dxfId="26146" priority="18585" stopIfTrue="1" operator="equal">
      <formula>"Napkin Hs"</formula>
    </cfRule>
    <cfRule type="cellIs" dxfId="26145" priority="18586" stopIfTrue="1" operator="equal">
      <formula>"Towel"</formula>
    </cfRule>
    <cfRule type="cellIs" dxfId="26144" priority="18587" stopIfTrue="1" operator="equal">
      <formula>"Napkin Hs"</formula>
    </cfRule>
    <cfRule type="cellIs" dxfId="26143" priority="18588" stopIfTrue="1" operator="equal">
      <formula>"Towel"</formula>
    </cfRule>
    <cfRule type="cellIs" dxfId="26142" priority="18589" stopIfTrue="1" operator="equal">
      <formula>"Napkin Hs"</formula>
    </cfRule>
  </conditionalFormatting>
  <conditionalFormatting sqref="B15">
    <cfRule type="cellIs" dxfId="26141" priority="18580" stopIfTrue="1" operator="equal">
      <formula>"Towel"</formula>
    </cfRule>
    <cfRule type="cellIs" dxfId="26140" priority="18581" stopIfTrue="1" operator="equal">
      <formula>"Napkin Hs"</formula>
    </cfRule>
  </conditionalFormatting>
  <conditionalFormatting sqref="B15">
    <cfRule type="cellIs" dxfId="26139" priority="18549" stopIfTrue="1" operator="equal">
      <formula>"Napkin Hs"</formula>
    </cfRule>
  </conditionalFormatting>
  <conditionalFormatting sqref="B15">
    <cfRule type="cellIs" dxfId="26138" priority="18548" stopIfTrue="1" operator="equal">
      <formula>"Towel"</formula>
    </cfRule>
  </conditionalFormatting>
  <conditionalFormatting sqref="B15">
    <cfRule type="cellIs" dxfId="26137" priority="18550" stopIfTrue="1" operator="equal">
      <formula>"Towel"</formula>
    </cfRule>
    <cfRule type="cellIs" dxfId="26136" priority="18551" stopIfTrue="1" operator="equal">
      <formula>"Napkin Hs"</formula>
    </cfRule>
    <cfRule type="cellIs" dxfId="26135" priority="18552" stopIfTrue="1" operator="equal">
      <formula>"Towel"</formula>
    </cfRule>
    <cfRule type="cellIs" dxfId="26134" priority="18553" stopIfTrue="1" operator="equal">
      <formula>"Napkin Hs"</formula>
    </cfRule>
    <cfRule type="cellIs" dxfId="26133" priority="18554" stopIfTrue="1" operator="equal">
      <formula>"Towel"</formula>
    </cfRule>
    <cfRule type="cellIs" dxfId="26132" priority="18555" stopIfTrue="1" operator="equal">
      <formula>"Napkin Hs"</formula>
    </cfRule>
    <cfRule type="cellIs" dxfId="26131" priority="18556" stopIfTrue="1" operator="equal">
      <formula>"Towel"</formula>
    </cfRule>
    <cfRule type="cellIs" dxfId="26130" priority="18557" stopIfTrue="1" operator="equal">
      <formula>"Napkin Hs"</formula>
    </cfRule>
    <cfRule type="cellIs" dxfId="26129" priority="18558" stopIfTrue="1" operator="equal">
      <formula>"Towel"</formula>
    </cfRule>
    <cfRule type="cellIs" dxfId="26128" priority="18559" stopIfTrue="1" operator="equal">
      <formula>"Napkin Hs"</formula>
    </cfRule>
    <cfRule type="cellIs" dxfId="26127" priority="18560" stopIfTrue="1" operator="equal">
      <formula>"Towel"</formula>
    </cfRule>
    <cfRule type="cellIs" dxfId="26126" priority="18561" stopIfTrue="1" operator="equal">
      <formula>"Napkin Hs"</formula>
    </cfRule>
    <cfRule type="cellIs" dxfId="26125" priority="18562" stopIfTrue="1" operator="equal">
      <formula>"Towel"</formula>
    </cfRule>
    <cfRule type="cellIs" dxfId="26124" priority="18563" stopIfTrue="1" operator="equal">
      <formula>"Napkin Hs"</formula>
    </cfRule>
    <cfRule type="cellIs" dxfId="26123" priority="18564" stopIfTrue="1" operator="equal">
      <formula>"Towel"</formula>
    </cfRule>
    <cfRule type="cellIs" dxfId="26122" priority="18565" stopIfTrue="1" operator="equal">
      <formula>"Napkin Hs"</formula>
    </cfRule>
    <cfRule type="cellIs" dxfId="26121" priority="18566" stopIfTrue="1" operator="equal">
      <formula>"Towel"</formula>
    </cfRule>
    <cfRule type="cellIs" dxfId="26120" priority="18567" stopIfTrue="1" operator="equal">
      <formula>"Napkin Hs"</formula>
    </cfRule>
    <cfRule type="cellIs" dxfId="26119" priority="18568" stopIfTrue="1" operator="equal">
      <formula>"Towel"</formula>
    </cfRule>
    <cfRule type="cellIs" dxfId="26118" priority="18569" stopIfTrue="1" operator="equal">
      <formula>"Napkin Hs"</formula>
    </cfRule>
    <cfRule type="cellIs" dxfId="26117" priority="18570" stopIfTrue="1" operator="equal">
      <formula>"Towel"</formula>
    </cfRule>
    <cfRule type="cellIs" dxfId="26116" priority="18571" stopIfTrue="1" operator="equal">
      <formula>"Napkin Hs"</formula>
    </cfRule>
    <cfRule type="cellIs" dxfId="26115" priority="18572" stopIfTrue="1" operator="equal">
      <formula>"Towel"</formula>
    </cfRule>
    <cfRule type="cellIs" dxfId="26114" priority="18573" stopIfTrue="1" operator="equal">
      <formula>"Napkin Hs"</formula>
    </cfRule>
    <cfRule type="cellIs" dxfId="26113" priority="18574" stopIfTrue="1" operator="equal">
      <formula>"Towel"</formula>
    </cfRule>
    <cfRule type="cellIs" dxfId="26112" priority="18575" stopIfTrue="1" operator="equal">
      <formula>"Napkin Hs"</formula>
    </cfRule>
    <cfRule type="cellIs" dxfId="26111" priority="18576" stopIfTrue="1" operator="equal">
      <formula>"Towel"</formula>
    </cfRule>
    <cfRule type="cellIs" dxfId="26110" priority="18577" stopIfTrue="1" operator="equal">
      <formula>"Napkin Hs"</formula>
    </cfRule>
    <cfRule type="cellIs" dxfId="26109" priority="18579" stopIfTrue="1" operator="equal">
      <formula>"Napkin Hs"</formula>
    </cfRule>
  </conditionalFormatting>
  <conditionalFormatting sqref="B15">
    <cfRule type="cellIs" dxfId="26108" priority="18578" stopIfTrue="1" operator="equal">
      <formula>"Towel"</formula>
    </cfRule>
  </conditionalFormatting>
  <conditionalFormatting sqref="B18:C19">
    <cfRule type="cellIs" dxfId="26107" priority="18397" stopIfTrue="1" operator="equal">
      <formula>"Towel"</formula>
    </cfRule>
  </conditionalFormatting>
  <conditionalFormatting sqref="B18:C19">
    <cfRule type="cellIs" dxfId="26106" priority="18398" stopIfTrue="1" operator="equal">
      <formula>"Napkin Hs"</formula>
    </cfRule>
    <cfRule type="cellIs" dxfId="26105" priority="18403" stopIfTrue="1" operator="equal">
      <formula>"Towel"</formula>
    </cfRule>
    <cfRule type="cellIs" dxfId="26104" priority="18404" stopIfTrue="1" operator="equal">
      <formula>"Napkin Hs"</formula>
    </cfRule>
    <cfRule type="cellIs" dxfId="26103" priority="18413" stopIfTrue="1" operator="equal">
      <formula>"Towel"</formula>
    </cfRule>
    <cfRule type="cellIs" dxfId="26102" priority="18414" stopIfTrue="1" operator="equal">
      <formula>"Napkin Hs"</formula>
    </cfRule>
    <cfRule type="cellIs" dxfId="26101" priority="18419" stopIfTrue="1" operator="equal">
      <formula>"Towel"</formula>
    </cfRule>
    <cfRule type="cellIs" dxfId="26100" priority="18420" stopIfTrue="1" operator="equal">
      <formula>"Napkin Hs"</formula>
    </cfRule>
  </conditionalFormatting>
  <conditionalFormatting sqref="C18:C19">
    <cfRule type="cellIs" dxfId="26099" priority="18399" stopIfTrue="1" operator="equal">
      <formula>"Towel"</formula>
    </cfRule>
    <cfRule type="cellIs" dxfId="26098" priority="18400" stopIfTrue="1" operator="equal">
      <formula>"Napkin Hs"</formula>
    </cfRule>
    <cfRule type="cellIs" dxfId="26097" priority="18401" stopIfTrue="1" operator="equal">
      <formula>"Towel"</formula>
    </cfRule>
    <cfRule type="cellIs" dxfId="26096" priority="18402" stopIfTrue="1" operator="equal">
      <formula>"Napkin Hs"</formula>
    </cfRule>
    <cfRule type="cellIs" dxfId="26095" priority="18405" stopIfTrue="1" operator="equal">
      <formula>"Towel"</formula>
    </cfRule>
    <cfRule type="cellIs" dxfId="26094" priority="18406" stopIfTrue="1" operator="equal">
      <formula>"Napkin Hs"</formula>
    </cfRule>
    <cfRule type="cellIs" dxfId="26093" priority="18407" stopIfTrue="1" operator="equal">
      <formula>"Towel"</formula>
    </cfRule>
    <cfRule type="cellIs" dxfId="26092" priority="18408" stopIfTrue="1" operator="equal">
      <formula>"Napkin Hs"</formula>
    </cfRule>
    <cfRule type="cellIs" dxfId="26091" priority="18409" stopIfTrue="1" operator="equal">
      <formula>"Towel"</formula>
    </cfRule>
    <cfRule type="cellIs" dxfId="26090" priority="18410" stopIfTrue="1" operator="equal">
      <formula>"Napkin Hs"</formula>
    </cfRule>
    <cfRule type="cellIs" dxfId="26089" priority="18411" stopIfTrue="1" operator="equal">
      <formula>"Towel"</formula>
    </cfRule>
    <cfRule type="cellIs" dxfId="26088" priority="18412" stopIfTrue="1" operator="equal">
      <formula>"Napkin Hs"</formula>
    </cfRule>
    <cfRule type="cellIs" dxfId="26087" priority="18415" stopIfTrue="1" operator="equal">
      <formula>"Towel"</formula>
    </cfRule>
    <cfRule type="cellIs" dxfId="26086" priority="18416" stopIfTrue="1" operator="equal">
      <formula>"Napkin Hs"</formula>
    </cfRule>
    <cfRule type="cellIs" dxfId="26085" priority="18418" stopIfTrue="1" operator="equal">
      <formula>"Napkin Hs"</formula>
    </cfRule>
  </conditionalFormatting>
  <conditionalFormatting sqref="C18:C19">
    <cfRule type="cellIs" dxfId="26084" priority="18417" stopIfTrue="1" operator="equal">
      <formula>"Towel"</formula>
    </cfRule>
  </conditionalFormatting>
  <conditionalFormatting sqref="B18:C19">
    <cfRule type="cellIs" dxfId="26083" priority="18395" stopIfTrue="1" operator="equal">
      <formula>"Towel"</formula>
    </cfRule>
    <cfRule type="cellIs" dxfId="26082" priority="18396" stopIfTrue="1" operator="equal">
      <formula>"Napkin Hs"</formula>
    </cfRule>
  </conditionalFormatting>
  <conditionalFormatting sqref="C18:C19">
    <cfRule type="cellIs" dxfId="26081" priority="18394" stopIfTrue="1" operator="equal">
      <formula>"Napkin Hs"</formula>
    </cfRule>
  </conditionalFormatting>
  <conditionalFormatting sqref="C18:C19">
    <cfRule type="cellIs" dxfId="26080" priority="18393" stopIfTrue="1" operator="equal">
      <formula>"Towel"</formula>
    </cfRule>
  </conditionalFormatting>
  <conditionalFormatting sqref="C18:C19">
    <cfRule type="cellIs" dxfId="26079" priority="18391" stopIfTrue="1" operator="equal">
      <formula>"Towel"</formula>
    </cfRule>
  </conditionalFormatting>
  <conditionalFormatting sqref="C18:C19">
    <cfRule type="cellIs" dxfId="26078" priority="18392" stopIfTrue="1" operator="equal">
      <formula>"Napkin Hs"</formula>
    </cfRule>
  </conditionalFormatting>
  <conditionalFormatting sqref="B18:B19">
    <cfRule type="cellIs" dxfId="26077" priority="18295" stopIfTrue="1" operator="equal">
      <formula>"Napkin Hs"</formula>
    </cfRule>
  </conditionalFormatting>
  <conditionalFormatting sqref="B18:C19">
    <cfRule type="cellIs" dxfId="26076" priority="18294" stopIfTrue="1" operator="equal">
      <formula>"Towel"</formula>
    </cfRule>
  </conditionalFormatting>
  <conditionalFormatting sqref="B18:C19">
    <cfRule type="cellIs" dxfId="26075" priority="18305" stopIfTrue="1" operator="equal">
      <formula>"Towel"</formula>
    </cfRule>
    <cfRule type="cellIs" dxfId="26074" priority="18306" stopIfTrue="1" operator="equal">
      <formula>"Napkin Hs"</formula>
    </cfRule>
    <cfRule type="cellIs" dxfId="26073" priority="18311" stopIfTrue="1" operator="equal">
      <formula>"Towel"</formula>
    </cfRule>
    <cfRule type="cellIs" dxfId="26072" priority="18312" stopIfTrue="1" operator="equal">
      <formula>"Napkin Hs"</formula>
    </cfRule>
    <cfRule type="cellIs" dxfId="26071" priority="18317" stopIfTrue="1" operator="equal">
      <formula>"Towel"</formula>
    </cfRule>
    <cfRule type="cellIs" dxfId="26070" priority="18318" stopIfTrue="1" operator="equal">
      <formula>"Napkin Hs"</formula>
    </cfRule>
    <cfRule type="cellIs" dxfId="26069" priority="18319" stopIfTrue="1" operator="equal">
      <formula>"Towel"</formula>
    </cfRule>
    <cfRule type="cellIs" dxfId="26068" priority="18320" stopIfTrue="1" operator="equal">
      <formula>"Napkin Hs"</formula>
    </cfRule>
    <cfRule type="cellIs" dxfId="26067" priority="18325" stopIfTrue="1" operator="equal">
      <formula>"Towel"</formula>
    </cfRule>
    <cfRule type="cellIs" dxfId="26066" priority="18326" stopIfTrue="1" operator="equal">
      <formula>"Napkin Hs"</formula>
    </cfRule>
    <cfRule type="cellIs" dxfId="26065" priority="18335" stopIfTrue="1" operator="equal">
      <formula>"Towel"</formula>
    </cfRule>
    <cfRule type="cellIs" dxfId="26064" priority="18336" stopIfTrue="1" operator="equal">
      <formula>"Napkin Hs"</formula>
    </cfRule>
    <cfRule type="cellIs" dxfId="26063" priority="18341" stopIfTrue="1" operator="equal">
      <formula>"Towel"</formula>
    </cfRule>
    <cfRule type="cellIs" dxfId="26062" priority="18342" stopIfTrue="1" operator="equal">
      <formula>"Napkin Hs"</formula>
    </cfRule>
    <cfRule type="cellIs" dxfId="26061" priority="18343" stopIfTrue="1" operator="equal">
      <formula>"Towel"</formula>
    </cfRule>
    <cfRule type="cellIs" dxfId="26060" priority="18344" stopIfTrue="1" operator="equal">
      <formula>"Napkin Hs"</formula>
    </cfRule>
    <cfRule type="cellIs" dxfId="26059" priority="18349" stopIfTrue="1" operator="equal">
      <formula>"Towel"</formula>
    </cfRule>
    <cfRule type="cellIs" dxfId="26058" priority="18350" stopIfTrue="1" operator="equal">
      <formula>"Napkin Hs"</formula>
    </cfRule>
    <cfRule type="cellIs" dxfId="26057" priority="18359" stopIfTrue="1" operator="equal">
      <formula>"Towel"</formula>
    </cfRule>
    <cfRule type="cellIs" dxfId="26056" priority="18360" stopIfTrue="1" operator="equal">
      <formula>"Napkin Hs"</formula>
    </cfRule>
    <cfRule type="cellIs" dxfId="26055" priority="18361" stopIfTrue="1" operator="equal">
      <formula>"Towel"</formula>
    </cfRule>
    <cfRule type="cellIs" dxfId="26054" priority="18362" stopIfTrue="1" operator="equal">
      <formula>"Napkin Hs"</formula>
    </cfRule>
    <cfRule type="cellIs" dxfId="26053" priority="18367" stopIfTrue="1" operator="equal">
      <formula>"Towel"</formula>
    </cfRule>
    <cfRule type="cellIs" dxfId="26052" priority="18368" stopIfTrue="1" operator="equal">
      <formula>"Napkin Hs"</formula>
    </cfRule>
    <cfRule type="cellIs" dxfId="26051" priority="18377" stopIfTrue="1" operator="equal">
      <formula>"Towel"</formula>
    </cfRule>
    <cfRule type="cellIs" dxfId="26050" priority="18378" stopIfTrue="1" operator="equal">
      <formula>"Napkin Hs"</formula>
    </cfRule>
    <cfRule type="cellIs" dxfId="26049" priority="18379" stopIfTrue="1" operator="equal">
      <formula>"Towel"</formula>
    </cfRule>
    <cfRule type="cellIs" dxfId="26048" priority="18380" stopIfTrue="1" operator="equal">
      <formula>"Napkin Hs"</formula>
    </cfRule>
    <cfRule type="cellIs" dxfId="26047" priority="18386" stopIfTrue="1" operator="equal">
      <formula>"Napkin Hs"</formula>
    </cfRule>
  </conditionalFormatting>
  <conditionalFormatting sqref="B18:C19">
    <cfRule type="cellIs" dxfId="26046" priority="18385" stopIfTrue="1" operator="equal">
      <formula>"Towel"</formula>
    </cfRule>
  </conditionalFormatting>
  <conditionalFormatting sqref="C18:C19">
    <cfRule type="cellIs" dxfId="26045" priority="18296" stopIfTrue="1" operator="equal">
      <formula>"Napkin Hs"</formula>
    </cfRule>
    <cfRule type="cellIs" dxfId="26044" priority="18297" stopIfTrue="1" operator="equal">
      <formula>"Towel"</formula>
    </cfRule>
    <cfRule type="cellIs" dxfId="26043" priority="18298" stopIfTrue="1" operator="equal">
      <formula>"Napkin Hs"</formula>
    </cfRule>
    <cfRule type="cellIs" dxfId="26042" priority="18299" stopIfTrue="1" operator="equal">
      <formula>"Towel"</formula>
    </cfRule>
    <cfRule type="cellIs" dxfId="26041" priority="18300" stopIfTrue="1" operator="equal">
      <formula>"Napkin Hs"</formula>
    </cfRule>
    <cfRule type="cellIs" dxfId="26040" priority="18301" stopIfTrue="1" operator="equal">
      <formula>"Towel"</formula>
    </cfRule>
    <cfRule type="cellIs" dxfId="26039" priority="18302" stopIfTrue="1" operator="equal">
      <formula>"Napkin Hs"</formula>
    </cfRule>
    <cfRule type="cellIs" dxfId="26038" priority="18303" stopIfTrue="1" operator="equal">
      <formula>"Towel"</formula>
    </cfRule>
    <cfRule type="cellIs" dxfId="26037" priority="18304" stopIfTrue="1" operator="equal">
      <formula>"Napkin Hs"</formula>
    </cfRule>
    <cfRule type="cellIs" dxfId="26036" priority="18307" stopIfTrue="1" operator="equal">
      <formula>"Towel"</formula>
    </cfRule>
    <cfRule type="cellIs" dxfId="26035" priority="18308" stopIfTrue="1" operator="equal">
      <formula>"Napkin Hs"</formula>
    </cfRule>
    <cfRule type="cellIs" dxfId="26034" priority="18309" stopIfTrue="1" operator="equal">
      <formula>"Towel"</formula>
    </cfRule>
    <cfRule type="cellIs" dxfId="26033" priority="18310" stopIfTrue="1" operator="equal">
      <formula>"Napkin Hs"</formula>
    </cfRule>
    <cfRule type="cellIs" dxfId="26032" priority="18313" stopIfTrue="1" operator="equal">
      <formula>"Towel"</formula>
    </cfRule>
    <cfRule type="cellIs" dxfId="26031" priority="18314" stopIfTrue="1" operator="equal">
      <formula>"Napkin Hs"</formula>
    </cfRule>
    <cfRule type="cellIs" dxfId="26030" priority="18315" stopIfTrue="1" operator="equal">
      <formula>"Towel"</formula>
    </cfRule>
    <cfRule type="cellIs" dxfId="26029" priority="18316" stopIfTrue="1" operator="equal">
      <formula>"Napkin Hs"</formula>
    </cfRule>
    <cfRule type="cellIs" dxfId="26028" priority="18321" stopIfTrue="1" operator="equal">
      <formula>"Towel"</formula>
    </cfRule>
    <cfRule type="cellIs" dxfId="26027" priority="18322" stopIfTrue="1" operator="equal">
      <formula>"Napkin Hs"</formula>
    </cfRule>
    <cfRule type="cellIs" dxfId="26026" priority="18323" stopIfTrue="1" operator="equal">
      <formula>"Towel"</formula>
    </cfRule>
    <cfRule type="cellIs" dxfId="26025" priority="18324" stopIfTrue="1" operator="equal">
      <formula>"Napkin Hs"</formula>
    </cfRule>
    <cfRule type="cellIs" dxfId="26024" priority="18327" stopIfTrue="1" operator="equal">
      <formula>"Towel"</formula>
    </cfRule>
    <cfRule type="cellIs" dxfId="26023" priority="18328" stopIfTrue="1" operator="equal">
      <formula>"Napkin Hs"</formula>
    </cfRule>
    <cfRule type="cellIs" dxfId="26022" priority="18329" stopIfTrue="1" operator="equal">
      <formula>"Towel"</formula>
    </cfRule>
    <cfRule type="cellIs" dxfId="26021" priority="18330" stopIfTrue="1" operator="equal">
      <formula>"Napkin Hs"</formula>
    </cfRule>
    <cfRule type="cellIs" dxfId="26020" priority="18331" stopIfTrue="1" operator="equal">
      <formula>"Towel"</formula>
    </cfRule>
    <cfRule type="cellIs" dxfId="26019" priority="18332" stopIfTrue="1" operator="equal">
      <formula>"Napkin Hs"</formula>
    </cfRule>
    <cfRule type="cellIs" dxfId="26018" priority="18333" stopIfTrue="1" operator="equal">
      <formula>"Towel"</formula>
    </cfRule>
    <cfRule type="cellIs" dxfId="26017" priority="18334" stopIfTrue="1" operator="equal">
      <formula>"Napkin Hs"</formula>
    </cfRule>
    <cfRule type="cellIs" dxfId="26016" priority="18337" stopIfTrue="1" operator="equal">
      <formula>"Towel"</formula>
    </cfRule>
    <cfRule type="cellIs" dxfId="26015" priority="18338" stopIfTrue="1" operator="equal">
      <formula>"Napkin Hs"</formula>
    </cfRule>
    <cfRule type="cellIs" dxfId="26014" priority="18339" stopIfTrue="1" operator="equal">
      <formula>"Towel"</formula>
    </cfRule>
    <cfRule type="cellIs" dxfId="26013" priority="18340" stopIfTrue="1" operator="equal">
      <formula>"Napkin Hs"</formula>
    </cfRule>
    <cfRule type="cellIs" dxfId="26012" priority="18345" stopIfTrue="1" operator="equal">
      <formula>"Towel"</formula>
    </cfRule>
    <cfRule type="cellIs" dxfId="26011" priority="18346" stopIfTrue="1" operator="equal">
      <formula>"Napkin Hs"</formula>
    </cfRule>
    <cfRule type="cellIs" dxfId="26010" priority="18347" stopIfTrue="1" operator="equal">
      <formula>"Towel"</formula>
    </cfRule>
    <cfRule type="cellIs" dxfId="26009" priority="18348" stopIfTrue="1" operator="equal">
      <formula>"Napkin Hs"</formula>
    </cfRule>
    <cfRule type="cellIs" dxfId="26008" priority="18351" stopIfTrue="1" operator="equal">
      <formula>"Towel"</formula>
    </cfRule>
    <cfRule type="cellIs" dxfId="26007" priority="18352" stopIfTrue="1" operator="equal">
      <formula>"Napkin Hs"</formula>
    </cfRule>
    <cfRule type="cellIs" dxfId="26006" priority="18353" stopIfTrue="1" operator="equal">
      <formula>"Towel"</formula>
    </cfRule>
    <cfRule type="cellIs" dxfId="26005" priority="18354" stopIfTrue="1" operator="equal">
      <formula>"Napkin Hs"</formula>
    </cfRule>
    <cfRule type="cellIs" dxfId="26004" priority="18355" stopIfTrue="1" operator="equal">
      <formula>"Towel"</formula>
    </cfRule>
    <cfRule type="cellIs" dxfId="26003" priority="18356" stopIfTrue="1" operator="equal">
      <formula>"Napkin Hs"</formula>
    </cfRule>
    <cfRule type="cellIs" dxfId="26002" priority="18357" stopIfTrue="1" operator="equal">
      <formula>"Towel"</formula>
    </cfRule>
    <cfRule type="cellIs" dxfId="26001" priority="18358" stopIfTrue="1" operator="equal">
      <formula>"Napkin Hs"</formula>
    </cfRule>
    <cfRule type="cellIs" dxfId="26000" priority="18363" stopIfTrue="1" operator="equal">
      <formula>"Towel"</formula>
    </cfRule>
    <cfRule type="cellIs" dxfId="25999" priority="18364" stopIfTrue="1" operator="equal">
      <formula>"Napkin Hs"</formula>
    </cfRule>
    <cfRule type="cellIs" dxfId="25998" priority="18365" stopIfTrue="1" operator="equal">
      <formula>"Towel"</formula>
    </cfRule>
    <cfRule type="cellIs" dxfId="25997" priority="18366" stopIfTrue="1" operator="equal">
      <formula>"Napkin Hs"</formula>
    </cfRule>
    <cfRule type="cellIs" dxfId="25996" priority="18369" stopIfTrue="1" operator="equal">
      <formula>"Towel"</formula>
    </cfRule>
    <cfRule type="cellIs" dxfId="25995" priority="18370" stopIfTrue="1" operator="equal">
      <formula>"Napkin Hs"</formula>
    </cfRule>
    <cfRule type="cellIs" dxfId="25994" priority="18371" stopIfTrue="1" operator="equal">
      <formula>"Towel"</formula>
    </cfRule>
    <cfRule type="cellIs" dxfId="25993" priority="18372" stopIfTrue="1" operator="equal">
      <formula>"Napkin Hs"</formula>
    </cfRule>
    <cfRule type="cellIs" dxfId="25992" priority="18373" stopIfTrue="1" operator="equal">
      <formula>"Towel"</formula>
    </cfRule>
    <cfRule type="cellIs" dxfId="25991" priority="18374" stopIfTrue="1" operator="equal">
      <formula>"Napkin Hs"</formula>
    </cfRule>
    <cfRule type="cellIs" dxfId="25990" priority="18375" stopIfTrue="1" operator="equal">
      <formula>"Towel"</formula>
    </cfRule>
    <cfRule type="cellIs" dxfId="25989" priority="18376" stopIfTrue="1" operator="equal">
      <formula>"Napkin Hs"</formula>
    </cfRule>
    <cfRule type="cellIs" dxfId="25988" priority="18381" stopIfTrue="1" operator="equal">
      <formula>"Towel"</formula>
    </cfRule>
    <cfRule type="cellIs" dxfId="25987" priority="18382" stopIfTrue="1" operator="equal">
      <formula>"Napkin Hs"</formula>
    </cfRule>
    <cfRule type="cellIs" dxfId="25986" priority="18383" stopIfTrue="1" operator="equal">
      <formula>"Towel"</formula>
    </cfRule>
    <cfRule type="cellIs" dxfId="25985" priority="18384" stopIfTrue="1" operator="equal">
      <formula>"Napkin Hs"</formula>
    </cfRule>
    <cfRule type="cellIs" dxfId="25984" priority="18387" stopIfTrue="1" operator="equal">
      <formula>"Towel"</formula>
    </cfRule>
    <cfRule type="cellIs" dxfId="25983" priority="18388" stopIfTrue="1" operator="equal">
      <formula>"Napkin Hs"</formula>
    </cfRule>
    <cfRule type="cellIs" dxfId="25982" priority="18389" stopIfTrue="1" operator="equal">
      <formula>"Towel"</formula>
    </cfRule>
    <cfRule type="cellIs" dxfId="25981" priority="18390" stopIfTrue="1" operator="equal">
      <formula>"Napkin Hs"</formula>
    </cfRule>
  </conditionalFormatting>
  <conditionalFormatting sqref="B19:C19">
    <cfRule type="cellIs" dxfId="25980" priority="18292" stopIfTrue="1" operator="equal">
      <formula>"Towel"</formula>
    </cfRule>
    <cfRule type="cellIs" dxfId="25979" priority="18293" stopIfTrue="1" operator="equal">
      <formula>"Napkin Hs"</formula>
    </cfRule>
  </conditionalFormatting>
  <conditionalFormatting sqref="C19">
    <cfRule type="cellIs" dxfId="25978" priority="18288" stopIfTrue="1" operator="equal">
      <formula>"Towel"</formula>
    </cfRule>
    <cfRule type="cellIs" dxfId="25977" priority="18289" stopIfTrue="1" operator="equal">
      <formula>"Napkin Hs"</formula>
    </cfRule>
  </conditionalFormatting>
  <conditionalFormatting sqref="C19">
    <cfRule type="cellIs" dxfId="25976" priority="18291" stopIfTrue="1" operator="equal">
      <formula>"Napkin Hs"</formula>
    </cfRule>
  </conditionalFormatting>
  <conditionalFormatting sqref="C19">
    <cfRule type="cellIs" dxfId="25975" priority="18290" stopIfTrue="1" operator="equal">
      <formula>"Towel"</formula>
    </cfRule>
  </conditionalFormatting>
  <conditionalFormatting sqref="B9:C9">
    <cfRule type="cellIs" dxfId="25974" priority="18286" stopIfTrue="1" operator="equal">
      <formula>"Towel"</formula>
    </cfRule>
    <cfRule type="cellIs" dxfId="25973" priority="18287" stopIfTrue="1" operator="equal">
      <formula>"Napkin Hs"</formula>
    </cfRule>
  </conditionalFormatting>
  <conditionalFormatting sqref="C9">
    <cfRule type="cellIs" dxfId="25972" priority="18282" stopIfTrue="1" operator="equal">
      <formula>"Towel"</formula>
    </cfRule>
    <cfRule type="cellIs" dxfId="25971" priority="18283" stopIfTrue="1" operator="equal">
      <formula>"Napkin Hs"</formula>
    </cfRule>
  </conditionalFormatting>
  <conditionalFormatting sqref="C9">
    <cfRule type="cellIs" dxfId="25970" priority="18284" stopIfTrue="1" operator="equal">
      <formula>"Towel"</formula>
    </cfRule>
    <cfRule type="cellIs" dxfId="25969" priority="18285" stopIfTrue="1" operator="equal">
      <formula>"Napkin Hs"</formula>
    </cfRule>
  </conditionalFormatting>
  <conditionalFormatting sqref="B9:C9">
    <cfRule type="cellIs" dxfId="25968" priority="18280" stopIfTrue="1" operator="equal">
      <formula>"Towel"</formula>
    </cfRule>
    <cfRule type="cellIs" dxfId="25967" priority="18281" stopIfTrue="1" operator="equal">
      <formula>"Napkin Hs"</formula>
    </cfRule>
  </conditionalFormatting>
  <conditionalFormatting sqref="C9">
    <cfRule type="cellIs" dxfId="25966" priority="18278" stopIfTrue="1" operator="equal">
      <formula>"Towel"</formula>
    </cfRule>
    <cfRule type="cellIs" dxfId="25965" priority="18279" stopIfTrue="1" operator="equal">
      <formula>"Napkin Hs"</formula>
    </cfRule>
  </conditionalFormatting>
  <conditionalFormatting sqref="C9">
    <cfRule type="cellIs" dxfId="25964" priority="18276" stopIfTrue="1" operator="equal">
      <formula>"Towel"</formula>
    </cfRule>
    <cfRule type="cellIs" dxfId="25963" priority="18277" stopIfTrue="1" operator="equal">
      <formula>"Napkin Hs"</formula>
    </cfRule>
  </conditionalFormatting>
  <conditionalFormatting sqref="C9">
    <cfRule type="cellIs" dxfId="25962" priority="18268" stopIfTrue="1" operator="equal">
      <formula>"Towel"</formula>
    </cfRule>
    <cfRule type="cellIs" dxfId="25961" priority="18269" stopIfTrue="1" operator="equal">
      <formula>"Napkin Hs"</formula>
    </cfRule>
  </conditionalFormatting>
  <conditionalFormatting sqref="B9:C9">
    <cfRule type="cellIs" dxfId="25960" priority="18270" stopIfTrue="1" operator="equal">
      <formula>"Towel"</formula>
    </cfRule>
    <cfRule type="cellIs" dxfId="25959" priority="18271" stopIfTrue="1" operator="equal">
      <formula>"Napkin Hs"</formula>
    </cfRule>
  </conditionalFormatting>
  <conditionalFormatting sqref="C9">
    <cfRule type="cellIs" dxfId="25958" priority="18266" stopIfTrue="1" operator="equal">
      <formula>"Towel"</formula>
    </cfRule>
    <cfRule type="cellIs" dxfId="25957" priority="18267" stopIfTrue="1" operator="equal">
      <formula>"Napkin Hs"</formula>
    </cfRule>
  </conditionalFormatting>
  <conditionalFormatting sqref="B9:C9">
    <cfRule type="cellIs" dxfId="25956" priority="18264" stopIfTrue="1" operator="equal">
      <formula>"Towel"</formula>
    </cfRule>
    <cfRule type="cellIs" dxfId="25955" priority="18265" stopIfTrue="1" operator="equal">
      <formula>"Napkin Hs"</formula>
    </cfRule>
  </conditionalFormatting>
  <conditionalFormatting sqref="C9">
    <cfRule type="cellIs" dxfId="25954" priority="18272" stopIfTrue="1" operator="equal">
      <formula>"Towel"</formula>
    </cfRule>
    <cfRule type="cellIs" dxfId="25953" priority="18273" stopIfTrue="1" operator="equal">
      <formula>"Napkin Hs"</formula>
    </cfRule>
  </conditionalFormatting>
  <conditionalFormatting sqref="C9">
    <cfRule type="cellIs" dxfId="25952" priority="18274" stopIfTrue="1" operator="equal">
      <formula>"Towel"</formula>
    </cfRule>
    <cfRule type="cellIs" dxfId="25951" priority="18275" stopIfTrue="1" operator="equal">
      <formula>"Napkin Hs"</formula>
    </cfRule>
  </conditionalFormatting>
  <conditionalFormatting sqref="B9:C9">
    <cfRule type="cellIs" dxfId="25950" priority="18262" stopIfTrue="1" operator="equal">
      <formula>"Towel"</formula>
    </cfRule>
    <cfRule type="cellIs" dxfId="25949" priority="18263" stopIfTrue="1" operator="equal">
      <formula>"Napkin Hs"</formula>
    </cfRule>
  </conditionalFormatting>
  <conditionalFormatting sqref="C9">
    <cfRule type="cellIs" dxfId="25948" priority="18258" stopIfTrue="1" operator="equal">
      <formula>"Towel"</formula>
    </cfRule>
    <cfRule type="cellIs" dxfId="25947" priority="18259" stopIfTrue="1" operator="equal">
      <formula>"Napkin Hs"</formula>
    </cfRule>
  </conditionalFormatting>
  <conditionalFormatting sqref="C9">
    <cfRule type="cellIs" dxfId="25946" priority="18260" stopIfTrue="1" operator="equal">
      <formula>"Towel"</formula>
    </cfRule>
    <cfRule type="cellIs" dxfId="25945" priority="18261" stopIfTrue="1" operator="equal">
      <formula>"Napkin Hs"</formula>
    </cfRule>
  </conditionalFormatting>
  <conditionalFormatting sqref="B9:C9">
    <cfRule type="cellIs" dxfId="25944" priority="18256" stopIfTrue="1" operator="equal">
      <formula>"Towel"</formula>
    </cfRule>
    <cfRule type="cellIs" dxfId="25943" priority="18257" stopIfTrue="1" operator="equal">
      <formula>"Napkin Hs"</formula>
    </cfRule>
  </conditionalFormatting>
  <conditionalFormatting sqref="C9">
    <cfRule type="cellIs" dxfId="25942" priority="18254" stopIfTrue="1" operator="equal">
      <formula>"Towel"</formula>
    </cfRule>
    <cfRule type="cellIs" dxfId="25941" priority="18255" stopIfTrue="1" operator="equal">
      <formula>"Napkin Hs"</formula>
    </cfRule>
  </conditionalFormatting>
  <conditionalFormatting sqref="C9">
    <cfRule type="cellIs" dxfId="25940" priority="18252" stopIfTrue="1" operator="equal">
      <formula>"Towel"</formula>
    </cfRule>
    <cfRule type="cellIs" dxfId="25939" priority="18253" stopIfTrue="1" operator="equal">
      <formula>"Napkin Hs"</formula>
    </cfRule>
  </conditionalFormatting>
  <conditionalFormatting sqref="C9">
    <cfRule type="cellIs" dxfId="25938" priority="18244" stopIfTrue="1" operator="equal">
      <formula>"Towel"</formula>
    </cfRule>
    <cfRule type="cellIs" dxfId="25937" priority="18245" stopIfTrue="1" operator="equal">
      <formula>"Napkin Hs"</formula>
    </cfRule>
  </conditionalFormatting>
  <conditionalFormatting sqref="B9:C9">
    <cfRule type="cellIs" dxfId="25936" priority="18246" stopIfTrue="1" operator="equal">
      <formula>"Towel"</formula>
    </cfRule>
    <cfRule type="cellIs" dxfId="25935" priority="18247" stopIfTrue="1" operator="equal">
      <formula>"Napkin Hs"</formula>
    </cfRule>
  </conditionalFormatting>
  <conditionalFormatting sqref="C9">
    <cfRule type="cellIs" dxfId="25934" priority="18242" stopIfTrue="1" operator="equal">
      <formula>"Towel"</formula>
    </cfRule>
    <cfRule type="cellIs" dxfId="25933" priority="18243" stopIfTrue="1" operator="equal">
      <formula>"Napkin Hs"</formula>
    </cfRule>
  </conditionalFormatting>
  <conditionalFormatting sqref="B9:C9">
    <cfRule type="cellIs" dxfId="25932" priority="18240" stopIfTrue="1" operator="equal">
      <formula>"Towel"</formula>
    </cfRule>
    <cfRule type="cellIs" dxfId="25931" priority="18241" stopIfTrue="1" operator="equal">
      <formula>"Napkin Hs"</formula>
    </cfRule>
  </conditionalFormatting>
  <conditionalFormatting sqref="C9">
    <cfRule type="cellIs" dxfId="25930" priority="18248" stopIfTrue="1" operator="equal">
      <formula>"Towel"</formula>
    </cfRule>
    <cfRule type="cellIs" dxfId="25929" priority="18249" stopIfTrue="1" operator="equal">
      <formula>"Napkin Hs"</formula>
    </cfRule>
  </conditionalFormatting>
  <conditionalFormatting sqref="C9">
    <cfRule type="cellIs" dxfId="25928" priority="18250" stopIfTrue="1" operator="equal">
      <formula>"Towel"</formula>
    </cfRule>
    <cfRule type="cellIs" dxfId="25927" priority="18251" stopIfTrue="1" operator="equal">
      <formula>"Napkin Hs"</formula>
    </cfRule>
  </conditionalFormatting>
  <conditionalFormatting sqref="B6:C6">
    <cfRule type="cellIs" dxfId="25926" priority="18238" stopIfTrue="1" operator="equal">
      <formula>"Towel"</formula>
    </cfRule>
    <cfRule type="cellIs" dxfId="25925" priority="18239" stopIfTrue="1" operator="equal">
      <formula>"Napkin Hs"</formula>
    </cfRule>
  </conditionalFormatting>
  <conditionalFormatting sqref="C6">
    <cfRule type="cellIs" dxfId="25924" priority="18234" stopIfTrue="1" operator="equal">
      <formula>"Towel"</formula>
    </cfRule>
    <cfRule type="cellIs" dxfId="25923" priority="18235" stopIfTrue="1" operator="equal">
      <formula>"Napkin Hs"</formula>
    </cfRule>
  </conditionalFormatting>
  <conditionalFormatting sqref="C6">
    <cfRule type="cellIs" dxfId="25922" priority="18236" stopIfTrue="1" operator="equal">
      <formula>"Towel"</formula>
    </cfRule>
    <cfRule type="cellIs" dxfId="25921" priority="18237" stopIfTrue="1" operator="equal">
      <formula>"Napkin Hs"</formula>
    </cfRule>
  </conditionalFormatting>
  <conditionalFormatting sqref="B6:C6">
    <cfRule type="cellIs" dxfId="25920" priority="18232" stopIfTrue="1" operator="equal">
      <formula>"Towel"</formula>
    </cfRule>
    <cfRule type="cellIs" dxfId="25919" priority="18233" stopIfTrue="1" operator="equal">
      <formula>"Napkin Hs"</formula>
    </cfRule>
  </conditionalFormatting>
  <conditionalFormatting sqref="C6">
    <cfRule type="cellIs" dxfId="25918" priority="18230" stopIfTrue="1" operator="equal">
      <formula>"Towel"</formula>
    </cfRule>
    <cfRule type="cellIs" dxfId="25917" priority="18231" stopIfTrue="1" operator="equal">
      <formula>"Napkin Hs"</formula>
    </cfRule>
  </conditionalFormatting>
  <conditionalFormatting sqref="C6">
    <cfRule type="cellIs" dxfId="25916" priority="18228" stopIfTrue="1" operator="equal">
      <formula>"Towel"</formula>
    </cfRule>
    <cfRule type="cellIs" dxfId="25915" priority="18229" stopIfTrue="1" operator="equal">
      <formula>"Napkin Hs"</formula>
    </cfRule>
  </conditionalFormatting>
  <conditionalFormatting sqref="C6">
    <cfRule type="cellIs" dxfId="25914" priority="18220" stopIfTrue="1" operator="equal">
      <formula>"Towel"</formula>
    </cfRule>
    <cfRule type="cellIs" dxfId="25913" priority="18221" stopIfTrue="1" operator="equal">
      <formula>"Napkin Hs"</formula>
    </cfRule>
  </conditionalFormatting>
  <conditionalFormatting sqref="B6:C6">
    <cfRule type="cellIs" dxfId="25912" priority="18222" stopIfTrue="1" operator="equal">
      <formula>"Towel"</formula>
    </cfRule>
    <cfRule type="cellIs" dxfId="25911" priority="18223" stopIfTrue="1" operator="equal">
      <formula>"Napkin Hs"</formula>
    </cfRule>
  </conditionalFormatting>
  <conditionalFormatting sqref="C6">
    <cfRule type="cellIs" dxfId="25910" priority="18218" stopIfTrue="1" operator="equal">
      <formula>"Towel"</formula>
    </cfRule>
    <cfRule type="cellIs" dxfId="25909" priority="18219" stopIfTrue="1" operator="equal">
      <formula>"Napkin Hs"</formula>
    </cfRule>
  </conditionalFormatting>
  <conditionalFormatting sqref="B6:C6">
    <cfRule type="cellIs" dxfId="25908" priority="18216" stopIfTrue="1" operator="equal">
      <formula>"Towel"</formula>
    </cfRule>
    <cfRule type="cellIs" dxfId="25907" priority="18217" stopIfTrue="1" operator="equal">
      <formula>"Napkin Hs"</formula>
    </cfRule>
  </conditionalFormatting>
  <conditionalFormatting sqref="C6">
    <cfRule type="cellIs" dxfId="25906" priority="18224" stopIfTrue="1" operator="equal">
      <formula>"Towel"</formula>
    </cfRule>
    <cfRule type="cellIs" dxfId="25905" priority="18225" stopIfTrue="1" operator="equal">
      <formula>"Napkin Hs"</formula>
    </cfRule>
  </conditionalFormatting>
  <conditionalFormatting sqref="C6">
    <cfRule type="cellIs" dxfId="25904" priority="18226" stopIfTrue="1" operator="equal">
      <formula>"Towel"</formula>
    </cfRule>
    <cfRule type="cellIs" dxfId="25903" priority="18227" stopIfTrue="1" operator="equal">
      <formula>"Napkin Hs"</formula>
    </cfRule>
  </conditionalFormatting>
  <conditionalFormatting sqref="B6:C6">
    <cfRule type="cellIs" dxfId="25902" priority="18212" stopIfTrue="1" operator="equal">
      <formula>"Towel"</formula>
    </cfRule>
    <cfRule type="cellIs" dxfId="25901" priority="18213" stopIfTrue="1" operator="equal">
      <formula>"Napkin Hs"</formula>
    </cfRule>
  </conditionalFormatting>
  <conditionalFormatting sqref="C6">
    <cfRule type="cellIs" dxfId="25900" priority="18214" stopIfTrue="1" operator="equal">
      <formula>"Towel"</formula>
    </cfRule>
    <cfRule type="cellIs" dxfId="25899" priority="18215" stopIfTrue="1" operator="equal">
      <formula>"Napkin Hs"</formula>
    </cfRule>
  </conditionalFormatting>
  <conditionalFormatting sqref="C6">
    <cfRule type="cellIs" dxfId="25898" priority="18210" stopIfTrue="1" operator="equal">
      <formula>"Towel"</formula>
    </cfRule>
    <cfRule type="cellIs" dxfId="25897" priority="18211" stopIfTrue="1" operator="equal">
      <formula>"Napkin Hs"</formula>
    </cfRule>
  </conditionalFormatting>
  <conditionalFormatting sqref="B6:C6">
    <cfRule type="cellIs" dxfId="25896" priority="18208" stopIfTrue="1" operator="equal">
      <formula>"Towel"</formula>
    </cfRule>
    <cfRule type="cellIs" dxfId="25895" priority="18209" stopIfTrue="1" operator="equal">
      <formula>"Napkin Hs"</formula>
    </cfRule>
  </conditionalFormatting>
  <conditionalFormatting sqref="C6">
    <cfRule type="cellIs" dxfId="25894" priority="18204" stopIfTrue="1" operator="equal">
      <formula>"Towel"</formula>
    </cfRule>
    <cfRule type="cellIs" dxfId="25893" priority="18205" stopIfTrue="1" operator="equal">
      <formula>"Napkin Hs"</formula>
    </cfRule>
  </conditionalFormatting>
  <conditionalFormatting sqref="C6">
    <cfRule type="cellIs" dxfId="25892" priority="18206" stopIfTrue="1" operator="equal">
      <formula>"Towel"</formula>
    </cfRule>
    <cfRule type="cellIs" dxfId="25891" priority="18207" stopIfTrue="1" operator="equal">
      <formula>"Napkin Hs"</formula>
    </cfRule>
  </conditionalFormatting>
  <conditionalFormatting sqref="B7:C7">
    <cfRule type="cellIs" dxfId="25890" priority="18200" stopIfTrue="1" operator="equal">
      <formula>"Towel"</formula>
    </cfRule>
    <cfRule type="cellIs" dxfId="25889" priority="18201" stopIfTrue="1" operator="equal">
      <formula>"Napkin Hs"</formula>
    </cfRule>
  </conditionalFormatting>
  <conditionalFormatting sqref="C7">
    <cfRule type="cellIs" dxfId="25888" priority="18202" stopIfTrue="1" operator="equal">
      <formula>"Towel"</formula>
    </cfRule>
    <cfRule type="cellIs" dxfId="25887" priority="18203" stopIfTrue="1" operator="equal">
      <formula>"Napkin Hs"</formula>
    </cfRule>
  </conditionalFormatting>
  <conditionalFormatting sqref="C7">
    <cfRule type="cellIs" dxfId="25886" priority="18198" stopIfTrue="1" operator="equal">
      <formula>"Towel"</formula>
    </cfRule>
    <cfRule type="cellIs" dxfId="25885" priority="18199" stopIfTrue="1" operator="equal">
      <formula>"Napkin Hs"</formula>
    </cfRule>
  </conditionalFormatting>
  <conditionalFormatting sqref="B7:C7">
    <cfRule type="cellIs" dxfId="25884" priority="18196" stopIfTrue="1" operator="equal">
      <formula>"Towel"</formula>
    </cfRule>
    <cfRule type="cellIs" dxfId="25883" priority="18197" stopIfTrue="1" operator="equal">
      <formula>"Napkin Hs"</formula>
    </cfRule>
  </conditionalFormatting>
  <conditionalFormatting sqref="C7">
    <cfRule type="cellIs" dxfId="25882" priority="18192" stopIfTrue="1" operator="equal">
      <formula>"Towel"</formula>
    </cfRule>
    <cfRule type="cellIs" dxfId="25881" priority="18193" stopIfTrue="1" operator="equal">
      <formula>"Napkin Hs"</formula>
    </cfRule>
  </conditionalFormatting>
  <conditionalFormatting sqref="C7">
    <cfRule type="cellIs" dxfId="25880" priority="18194" stopIfTrue="1" operator="equal">
      <formula>"Towel"</formula>
    </cfRule>
    <cfRule type="cellIs" dxfId="25879" priority="18195" stopIfTrue="1" operator="equal">
      <formula>"Napkin Hs"</formula>
    </cfRule>
  </conditionalFormatting>
  <conditionalFormatting sqref="B8:C8">
    <cfRule type="cellIs" dxfId="25878" priority="18188" stopIfTrue="1" operator="equal">
      <formula>"Towel"</formula>
    </cfRule>
    <cfRule type="cellIs" dxfId="25877" priority="18189" stopIfTrue="1" operator="equal">
      <formula>"Napkin Hs"</formula>
    </cfRule>
  </conditionalFormatting>
  <conditionalFormatting sqref="C8">
    <cfRule type="cellIs" dxfId="25876" priority="18190" stopIfTrue="1" operator="equal">
      <formula>"Towel"</formula>
    </cfRule>
    <cfRule type="cellIs" dxfId="25875" priority="18191" stopIfTrue="1" operator="equal">
      <formula>"Napkin Hs"</formula>
    </cfRule>
  </conditionalFormatting>
  <conditionalFormatting sqref="C8">
    <cfRule type="cellIs" dxfId="25874" priority="18186" stopIfTrue="1" operator="equal">
      <formula>"Towel"</formula>
    </cfRule>
    <cfRule type="cellIs" dxfId="25873" priority="18187" stopIfTrue="1" operator="equal">
      <formula>"Napkin Hs"</formula>
    </cfRule>
  </conditionalFormatting>
  <conditionalFormatting sqref="B8:C8">
    <cfRule type="cellIs" dxfId="25872" priority="18184" stopIfTrue="1" operator="equal">
      <formula>"Towel"</formula>
    </cfRule>
    <cfRule type="cellIs" dxfId="25871" priority="18185" stopIfTrue="1" operator="equal">
      <formula>"Napkin Hs"</formula>
    </cfRule>
  </conditionalFormatting>
  <conditionalFormatting sqref="C8">
    <cfRule type="cellIs" dxfId="25870" priority="18180" stopIfTrue="1" operator="equal">
      <formula>"Towel"</formula>
    </cfRule>
    <cfRule type="cellIs" dxfId="25869" priority="18181" stopIfTrue="1" operator="equal">
      <formula>"Napkin Hs"</formula>
    </cfRule>
  </conditionalFormatting>
  <conditionalFormatting sqref="C8">
    <cfRule type="cellIs" dxfId="25868" priority="18182" stopIfTrue="1" operator="equal">
      <formula>"Towel"</formula>
    </cfRule>
    <cfRule type="cellIs" dxfId="25867" priority="18183" stopIfTrue="1" operator="equal">
      <formula>"Napkin Hs"</formula>
    </cfRule>
  </conditionalFormatting>
  <conditionalFormatting sqref="B9:C9">
    <cfRule type="cellIs" dxfId="25866" priority="18178" stopIfTrue="1" operator="equal">
      <formula>"Towel"</formula>
    </cfRule>
    <cfRule type="cellIs" dxfId="25865" priority="18179" stopIfTrue="1" operator="equal">
      <formula>"Napkin Hs"</formula>
    </cfRule>
  </conditionalFormatting>
  <conditionalFormatting sqref="C9">
    <cfRule type="cellIs" dxfId="25864" priority="18174" stopIfTrue="1" operator="equal">
      <formula>"Towel"</formula>
    </cfRule>
    <cfRule type="cellIs" dxfId="25863" priority="18175" stopIfTrue="1" operator="equal">
      <formula>"Napkin Hs"</formula>
    </cfRule>
  </conditionalFormatting>
  <conditionalFormatting sqref="C9">
    <cfRule type="cellIs" dxfId="25862" priority="18176" stopIfTrue="1" operator="equal">
      <formula>"Towel"</formula>
    </cfRule>
    <cfRule type="cellIs" dxfId="25861" priority="18177" stopIfTrue="1" operator="equal">
      <formula>"Napkin Hs"</formula>
    </cfRule>
  </conditionalFormatting>
  <conditionalFormatting sqref="B9:C9">
    <cfRule type="cellIs" dxfId="25860" priority="18172" stopIfTrue="1" operator="equal">
      <formula>"Towel"</formula>
    </cfRule>
    <cfRule type="cellIs" dxfId="25859" priority="18173" stopIfTrue="1" operator="equal">
      <formula>"Napkin Hs"</formula>
    </cfRule>
  </conditionalFormatting>
  <conditionalFormatting sqref="C9">
    <cfRule type="cellIs" dxfId="25858" priority="18170" stopIfTrue="1" operator="equal">
      <formula>"Towel"</formula>
    </cfRule>
    <cfRule type="cellIs" dxfId="25857" priority="18171" stopIfTrue="1" operator="equal">
      <formula>"Napkin Hs"</formula>
    </cfRule>
  </conditionalFormatting>
  <conditionalFormatting sqref="C9">
    <cfRule type="cellIs" dxfId="25856" priority="18168" stopIfTrue="1" operator="equal">
      <formula>"Towel"</formula>
    </cfRule>
    <cfRule type="cellIs" dxfId="25855" priority="18169" stopIfTrue="1" operator="equal">
      <formula>"Napkin Hs"</formula>
    </cfRule>
  </conditionalFormatting>
  <conditionalFormatting sqref="C9">
    <cfRule type="cellIs" dxfId="25854" priority="18160" stopIfTrue="1" operator="equal">
      <formula>"Towel"</formula>
    </cfRule>
    <cfRule type="cellIs" dxfId="25853" priority="18161" stopIfTrue="1" operator="equal">
      <formula>"Napkin Hs"</formula>
    </cfRule>
  </conditionalFormatting>
  <conditionalFormatting sqref="B9:C9">
    <cfRule type="cellIs" dxfId="25852" priority="18162" stopIfTrue="1" operator="equal">
      <formula>"Towel"</formula>
    </cfRule>
    <cfRule type="cellIs" dxfId="25851" priority="18163" stopIfTrue="1" operator="equal">
      <formula>"Napkin Hs"</formula>
    </cfRule>
  </conditionalFormatting>
  <conditionalFormatting sqref="C9">
    <cfRule type="cellIs" dxfId="25850" priority="18158" stopIfTrue="1" operator="equal">
      <formula>"Towel"</formula>
    </cfRule>
    <cfRule type="cellIs" dxfId="25849" priority="18159" stopIfTrue="1" operator="equal">
      <formula>"Napkin Hs"</formula>
    </cfRule>
  </conditionalFormatting>
  <conditionalFormatting sqref="B9:C9">
    <cfRule type="cellIs" dxfId="25848" priority="18156" stopIfTrue="1" operator="equal">
      <formula>"Towel"</formula>
    </cfRule>
    <cfRule type="cellIs" dxfId="25847" priority="18157" stopIfTrue="1" operator="equal">
      <formula>"Napkin Hs"</formula>
    </cfRule>
  </conditionalFormatting>
  <conditionalFormatting sqref="C9">
    <cfRule type="cellIs" dxfId="25846" priority="18164" stopIfTrue="1" operator="equal">
      <formula>"Towel"</formula>
    </cfRule>
    <cfRule type="cellIs" dxfId="25845" priority="18165" stopIfTrue="1" operator="equal">
      <formula>"Napkin Hs"</formula>
    </cfRule>
  </conditionalFormatting>
  <conditionalFormatting sqref="C9">
    <cfRule type="cellIs" dxfId="25844" priority="18166" stopIfTrue="1" operator="equal">
      <formula>"Towel"</formula>
    </cfRule>
    <cfRule type="cellIs" dxfId="25843" priority="18167" stopIfTrue="1" operator="equal">
      <formula>"Napkin Hs"</formula>
    </cfRule>
  </conditionalFormatting>
  <conditionalFormatting sqref="B9:C9">
    <cfRule type="cellIs" dxfId="25842" priority="18154" stopIfTrue="1" operator="equal">
      <formula>"Towel"</formula>
    </cfRule>
    <cfRule type="cellIs" dxfId="25841" priority="18155" stopIfTrue="1" operator="equal">
      <formula>"Napkin Hs"</formula>
    </cfRule>
  </conditionalFormatting>
  <conditionalFormatting sqref="C9">
    <cfRule type="cellIs" dxfId="25840" priority="18150" stopIfTrue="1" operator="equal">
      <formula>"Towel"</formula>
    </cfRule>
    <cfRule type="cellIs" dxfId="25839" priority="18151" stopIfTrue="1" operator="equal">
      <formula>"Napkin Hs"</formula>
    </cfRule>
  </conditionalFormatting>
  <conditionalFormatting sqref="C9">
    <cfRule type="cellIs" dxfId="25838" priority="18152" stopIfTrue="1" operator="equal">
      <formula>"Towel"</formula>
    </cfRule>
    <cfRule type="cellIs" dxfId="25837" priority="18153" stopIfTrue="1" operator="equal">
      <formula>"Napkin Hs"</formula>
    </cfRule>
  </conditionalFormatting>
  <conditionalFormatting sqref="B9:C9">
    <cfRule type="cellIs" dxfId="25836" priority="18148" stopIfTrue="1" operator="equal">
      <formula>"Towel"</formula>
    </cfRule>
    <cfRule type="cellIs" dxfId="25835" priority="18149" stopIfTrue="1" operator="equal">
      <formula>"Napkin Hs"</formula>
    </cfRule>
  </conditionalFormatting>
  <conditionalFormatting sqref="C9">
    <cfRule type="cellIs" dxfId="25834" priority="18146" stopIfTrue="1" operator="equal">
      <formula>"Towel"</formula>
    </cfRule>
    <cfRule type="cellIs" dxfId="25833" priority="18147" stopIfTrue="1" operator="equal">
      <formula>"Napkin Hs"</formula>
    </cfRule>
  </conditionalFormatting>
  <conditionalFormatting sqref="C9">
    <cfRule type="cellIs" dxfId="25832" priority="18144" stopIfTrue="1" operator="equal">
      <formula>"Towel"</formula>
    </cfRule>
    <cfRule type="cellIs" dxfId="25831" priority="18145" stopIfTrue="1" operator="equal">
      <formula>"Napkin Hs"</formula>
    </cfRule>
  </conditionalFormatting>
  <conditionalFormatting sqref="C9">
    <cfRule type="cellIs" dxfId="25830" priority="18136" stopIfTrue="1" operator="equal">
      <formula>"Towel"</formula>
    </cfRule>
    <cfRule type="cellIs" dxfId="25829" priority="18137" stopIfTrue="1" operator="equal">
      <formula>"Napkin Hs"</formula>
    </cfRule>
  </conditionalFormatting>
  <conditionalFormatting sqref="B9:C9">
    <cfRule type="cellIs" dxfId="25828" priority="18138" stopIfTrue="1" operator="equal">
      <formula>"Towel"</formula>
    </cfRule>
    <cfRule type="cellIs" dxfId="25827" priority="18139" stopIfTrue="1" operator="equal">
      <formula>"Napkin Hs"</formula>
    </cfRule>
  </conditionalFormatting>
  <conditionalFormatting sqref="C9">
    <cfRule type="cellIs" dxfId="25826" priority="18134" stopIfTrue="1" operator="equal">
      <formula>"Towel"</formula>
    </cfRule>
    <cfRule type="cellIs" dxfId="25825" priority="18135" stopIfTrue="1" operator="equal">
      <formula>"Napkin Hs"</formula>
    </cfRule>
  </conditionalFormatting>
  <conditionalFormatting sqref="B9:C9">
    <cfRule type="cellIs" dxfId="25824" priority="18132" stopIfTrue="1" operator="equal">
      <formula>"Towel"</formula>
    </cfRule>
    <cfRule type="cellIs" dxfId="25823" priority="18133" stopIfTrue="1" operator="equal">
      <formula>"Napkin Hs"</formula>
    </cfRule>
  </conditionalFormatting>
  <conditionalFormatting sqref="C9">
    <cfRule type="cellIs" dxfId="25822" priority="18140" stopIfTrue="1" operator="equal">
      <formula>"Towel"</formula>
    </cfRule>
    <cfRule type="cellIs" dxfId="25821" priority="18141" stopIfTrue="1" operator="equal">
      <formula>"Napkin Hs"</formula>
    </cfRule>
  </conditionalFormatting>
  <conditionalFormatting sqref="C9">
    <cfRule type="cellIs" dxfId="25820" priority="18142" stopIfTrue="1" operator="equal">
      <formula>"Towel"</formula>
    </cfRule>
    <cfRule type="cellIs" dxfId="25819" priority="18143" stopIfTrue="1" operator="equal">
      <formula>"Napkin Hs"</formula>
    </cfRule>
  </conditionalFormatting>
  <conditionalFormatting sqref="B7:C7">
    <cfRule type="cellIs" dxfId="25818" priority="18128" stopIfTrue="1" operator="equal">
      <formula>"Towel"</formula>
    </cfRule>
    <cfRule type="cellIs" dxfId="25817" priority="18129" stopIfTrue="1" operator="equal">
      <formula>"Napkin Hs"</formula>
    </cfRule>
  </conditionalFormatting>
  <conditionalFormatting sqref="C7">
    <cfRule type="cellIs" dxfId="25816" priority="18130" stopIfTrue="1" operator="equal">
      <formula>"Towel"</formula>
    </cfRule>
    <cfRule type="cellIs" dxfId="25815" priority="18131" stopIfTrue="1" operator="equal">
      <formula>"Napkin Hs"</formula>
    </cfRule>
  </conditionalFormatting>
  <conditionalFormatting sqref="C7">
    <cfRule type="cellIs" dxfId="25814" priority="18126" stopIfTrue="1" operator="equal">
      <formula>"Towel"</formula>
    </cfRule>
    <cfRule type="cellIs" dxfId="25813" priority="18127" stopIfTrue="1" operator="equal">
      <formula>"Napkin Hs"</formula>
    </cfRule>
  </conditionalFormatting>
  <conditionalFormatting sqref="B7:C7">
    <cfRule type="cellIs" dxfId="25812" priority="18124" stopIfTrue="1" operator="equal">
      <formula>"Towel"</formula>
    </cfRule>
    <cfRule type="cellIs" dxfId="25811" priority="18125" stopIfTrue="1" operator="equal">
      <formula>"Napkin Hs"</formula>
    </cfRule>
  </conditionalFormatting>
  <conditionalFormatting sqref="C7">
    <cfRule type="cellIs" dxfId="25810" priority="18120" stopIfTrue="1" operator="equal">
      <formula>"Towel"</formula>
    </cfRule>
    <cfRule type="cellIs" dxfId="25809" priority="18121" stopIfTrue="1" operator="equal">
      <formula>"Napkin Hs"</formula>
    </cfRule>
  </conditionalFormatting>
  <conditionalFormatting sqref="C7">
    <cfRule type="cellIs" dxfId="25808" priority="18122" stopIfTrue="1" operator="equal">
      <formula>"Towel"</formula>
    </cfRule>
    <cfRule type="cellIs" dxfId="25807" priority="18123" stopIfTrue="1" operator="equal">
      <formula>"Napkin Hs"</formula>
    </cfRule>
  </conditionalFormatting>
  <conditionalFormatting sqref="B8:C8">
    <cfRule type="cellIs" dxfId="25806" priority="18116" stopIfTrue="1" operator="equal">
      <formula>"Towel"</formula>
    </cfRule>
    <cfRule type="cellIs" dxfId="25805" priority="18117" stopIfTrue="1" operator="equal">
      <formula>"Napkin Hs"</formula>
    </cfRule>
  </conditionalFormatting>
  <conditionalFormatting sqref="C8">
    <cfRule type="cellIs" dxfId="25804" priority="18118" stopIfTrue="1" operator="equal">
      <formula>"Towel"</formula>
    </cfRule>
    <cfRule type="cellIs" dxfId="25803" priority="18119" stopIfTrue="1" operator="equal">
      <formula>"Napkin Hs"</formula>
    </cfRule>
  </conditionalFormatting>
  <conditionalFormatting sqref="C8">
    <cfRule type="cellIs" dxfId="25802" priority="18114" stopIfTrue="1" operator="equal">
      <formula>"Towel"</formula>
    </cfRule>
    <cfRule type="cellIs" dxfId="25801" priority="18115" stopIfTrue="1" operator="equal">
      <formula>"Napkin Hs"</formula>
    </cfRule>
  </conditionalFormatting>
  <conditionalFormatting sqref="B8:C8">
    <cfRule type="cellIs" dxfId="25800" priority="18112" stopIfTrue="1" operator="equal">
      <formula>"Towel"</formula>
    </cfRule>
    <cfRule type="cellIs" dxfId="25799" priority="18113" stopIfTrue="1" operator="equal">
      <formula>"Napkin Hs"</formula>
    </cfRule>
  </conditionalFormatting>
  <conditionalFormatting sqref="C8">
    <cfRule type="cellIs" dxfId="25798" priority="18108" stopIfTrue="1" operator="equal">
      <formula>"Towel"</formula>
    </cfRule>
    <cfRule type="cellIs" dxfId="25797" priority="18109" stopIfTrue="1" operator="equal">
      <formula>"Napkin Hs"</formula>
    </cfRule>
  </conditionalFormatting>
  <conditionalFormatting sqref="C8">
    <cfRule type="cellIs" dxfId="25796" priority="18110" stopIfTrue="1" operator="equal">
      <formula>"Towel"</formula>
    </cfRule>
    <cfRule type="cellIs" dxfId="25795" priority="18111" stopIfTrue="1" operator="equal">
      <formula>"Napkin Hs"</formula>
    </cfRule>
  </conditionalFormatting>
  <conditionalFormatting sqref="B6:C6">
    <cfRule type="cellIs" dxfId="25794" priority="18104" stopIfTrue="1" operator="equal">
      <formula>"Towel"</formula>
    </cfRule>
    <cfRule type="cellIs" dxfId="25793" priority="18105" stopIfTrue="1" operator="equal">
      <formula>"Napkin Hs"</formula>
    </cfRule>
  </conditionalFormatting>
  <conditionalFormatting sqref="C6">
    <cfRule type="cellIs" dxfId="25792" priority="18106" stopIfTrue="1" operator="equal">
      <formula>"Towel"</formula>
    </cfRule>
    <cfRule type="cellIs" dxfId="25791" priority="18107" stopIfTrue="1" operator="equal">
      <formula>"Napkin Hs"</formula>
    </cfRule>
  </conditionalFormatting>
  <conditionalFormatting sqref="C6">
    <cfRule type="cellIs" dxfId="25790" priority="18102" stopIfTrue="1" operator="equal">
      <formula>"Towel"</formula>
    </cfRule>
    <cfRule type="cellIs" dxfId="25789" priority="18103" stopIfTrue="1" operator="equal">
      <formula>"Napkin Hs"</formula>
    </cfRule>
  </conditionalFormatting>
  <conditionalFormatting sqref="B6:C6">
    <cfRule type="cellIs" dxfId="25788" priority="18100" stopIfTrue="1" operator="equal">
      <formula>"Towel"</formula>
    </cfRule>
    <cfRule type="cellIs" dxfId="25787" priority="18101" stopIfTrue="1" operator="equal">
      <formula>"Napkin Hs"</formula>
    </cfRule>
  </conditionalFormatting>
  <conditionalFormatting sqref="C6">
    <cfRule type="cellIs" dxfId="25786" priority="18096" stopIfTrue="1" operator="equal">
      <formula>"Towel"</formula>
    </cfRule>
    <cfRule type="cellIs" dxfId="25785" priority="18097" stopIfTrue="1" operator="equal">
      <formula>"Napkin Hs"</formula>
    </cfRule>
  </conditionalFormatting>
  <conditionalFormatting sqref="C6">
    <cfRule type="cellIs" dxfId="25784" priority="18098" stopIfTrue="1" operator="equal">
      <formula>"Towel"</formula>
    </cfRule>
    <cfRule type="cellIs" dxfId="25783" priority="18099" stopIfTrue="1" operator="equal">
      <formula>"Napkin Hs"</formula>
    </cfRule>
  </conditionalFormatting>
  <conditionalFormatting sqref="C16">
    <cfRule type="cellIs" dxfId="25782" priority="18090" stopIfTrue="1" operator="equal">
      <formula>"Towel"</formula>
    </cfRule>
    <cfRule type="cellIs" dxfId="25781" priority="18091" stopIfTrue="1" operator="equal">
      <formula>"Napkin Hs"</formula>
    </cfRule>
  </conditionalFormatting>
  <conditionalFormatting sqref="C16">
    <cfRule type="cellIs" dxfId="25780" priority="18094" stopIfTrue="1" operator="equal">
      <formula>"Towel"</formula>
    </cfRule>
    <cfRule type="cellIs" dxfId="25779" priority="18095" stopIfTrue="1" operator="equal">
      <formula>"Napkin Hs"</formula>
    </cfRule>
  </conditionalFormatting>
  <conditionalFormatting sqref="B16">
    <cfRule type="cellIs" dxfId="25778" priority="18068" stopIfTrue="1" operator="equal">
      <formula>"Towel"</formula>
    </cfRule>
    <cfRule type="cellIs" dxfId="25777" priority="18069" stopIfTrue="1" operator="equal">
      <formula>"Napkin Hs"</formula>
    </cfRule>
  </conditionalFormatting>
  <conditionalFormatting sqref="C16">
    <cfRule type="cellIs" dxfId="25776" priority="18092" stopIfTrue="1" operator="equal">
      <formula>"Towel"</formula>
    </cfRule>
    <cfRule type="cellIs" dxfId="25775" priority="18093" stopIfTrue="1" operator="equal">
      <formula>"Napkin Hs"</formula>
    </cfRule>
  </conditionalFormatting>
  <conditionalFormatting sqref="C15">
    <cfRule type="cellIs" dxfId="25774" priority="18080" stopIfTrue="1" operator="equal">
      <formula>"Towel"</formula>
    </cfRule>
    <cfRule type="cellIs" dxfId="25773" priority="18081" stopIfTrue="1" operator="equal">
      <formula>"Napkin Hs"</formula>
    </cfRule>
  </conditionalFormatting>
  <conditionalFormatting sqref="C15">
    <cfRule type="cellIs" dxfId="25772" priority="18082" stopIfTrue="1" operator="equal">
      <formula>"Towel"</formula>
    </cfRule>
    <cfRule type="cellIs" dxfId="25771" priority="18083" stopIfTrue="1" operator="equal">
      <formula>"Napkin Hs"</formula>
    </cfRule>
  </conditionalFormatting>
  <conditionalFormatting sqref="C16">
    <cfRule type="cellIs" dxfId="25770" priority="18084" stopIfTrue="1" operator="equal">
      <formula>"Towel"</formula>
    </cfRule>
    <cfRule type="cellIs" dxfId="25769" priority="18085" stopIfTrue="1" operator="equal">
      <formula>"Napkin Hs"</formula>
    </cfRule>
  </conditionalFormatting>
  <conditionalFormatting sqref="C16">
    <cfRule type="cellIs" dxfId="25768" priority="18086" stopIfTrue="1" operator="equal">
      <formula>"Towel"</formula>
    </cfRule>
    <cfRule type="cellIs" dxfId="25767" priority="18087" stopIfTrue="1" operator="equal">
      <formula>"Napkin Hs"</formula>
    </cfRule>
  </conditionalFormatting>
  <conditionalFormatting sqref="C16">
    <cfRule type="cellIs" dxfId="25766" priority="18088" stopIfTrue="1" operator="equal">
      <formula>"Towel"</formula>
    </cfRule>
    <cfRule type="cellIs" dxfId="25765" priority="18089" stopIfTrue="1" operator="equal">
      <formula>"Napkin Hs"</formula>
    </cfRule>
  </conditionalFormatting>
  <conditionalFormatting sqref="B15:C15">
    <cfRule type="cellIs" dxfId="25764" priority="18078" stopIfTrue="1" operator="equal">
      <formula>"Towel"</formula>
    </cfRule>
    <cfRule type="cellIs" dxfId="25763" priority="18079" stopIfTrue="1" operator="equal">
      <formula>"Napkin Hs"</formula>
    </cfRule>
  </conditionalFormatting>
  <conditionalFormatting sqref="B15:C15">
    <cfRule type="cellIs" dxfId="25762" priority="18072" stopIfTrue="1" operator="equal">
      <formula>"Towel"</formula>
    </cfRule>
    <cfRule type="cellIs" dxfId="25761" priority="18073" stopIfTrue="1" operator="equal">
      <formula>"Napkin Hs"</formula>
    </cfRule>
  </conditionalFormatting>
  <conditionalFormatting sqref="C15">
    <cfRule type="cellIs" dxfId="25760" priority="18074" stopIfTrue="1" operator="equal">
      <formula>"Towel"</formula>
    </cfRule>
    <cfRule type="cellIs" dxfId="25759" priority="18075" stopIfTrue="1" operator="equal">
      <formula>"Napkin Hs"</formula>
    </cfRule>
  </conditionalFormatting>
  <conditionalFormatting sqref="C15">
    <cfRule type="cellIs" dxfId="25758" priority="18076" stopIfTrue="1" operator="equal">
      <formula>"Towel"</formula>
    </cfRule>
    <cfRule type="cellIs" dxfId="25757" priority="18077" stopIfTrue="1" operator="equal">
      <formula>"Napkin Hs"</formula>
    </cfRule>
  </conditionalFormatting>
  <conditionalFormatting sqref="B16">
    <cfRule type="cellIs" dxfId="25756" priority="18070" stopIfTrue="1" operator="equal">
      <formula>"Towel"</formula>
    </cfRule>
    <cfRule type="cellIs" dxfId="25755" priority="18071" stopIfTrue="1" operator="equal">
      <formula>"Napkin Hs"</formula>
    </cfRule>
  </conditionalFormatting>
  <conditionalFormatting sqref="B14:C14">
    <cfRule type="cellIs" dxfId="25754" priority="17939" stopIfTrue="1" operator="equal">
      <formula>"Towel"</formula>
    </cfRule>
    <cfRule type="cellIs" dxfId="25753" priority="17940" stopIfTrue="1" operator="equal">
      <formula>"Napkin Hs"</formula>
    </cfRule>
  </conditionalFormatting>
  <conditionalFormatting sqref="C14">
    <cfRule type="cellIs" dxfId="25752" priority="17935" stopIfTrue="1" operator="equal">
      <formula>"Towel"</formula>
    </cfRule>
    <cfRule type="cellIs" dxfId="25751" priority="17936" stopIfTrue="1" operator="equal">
      <formula>"Napkin Hs"</formula>
    </cfRule>
  </conditionalFormatting>
  <conditionalFormatting sqref="C14">
    <cfRule type="cellIs" dxfId="25750" priority="17937" stopIfTrue="1" operator="equal">
      <formula>"Towel"</formula>
    </cfRule>
    <cfRule type="cellIs" dxfId="25749" priority="17938" stopIfTrue="1" operator="equal">
      <formula>"Napkin Hs"</formula>
    </cfRule>
  </conditionalFormatting>
  <conditionalFormatting sqref="B14:C14">
    <cfRule type="cellIs" dxfId="25748" priority="17933" stopIfTrue="1" operator="equal">
      <formula>"Towel"</formula>
    </cfRule>
    <cfRule type="cellIs" dxfId="25747" priority="17934" stopIfTrue="1" operator="equal">
      <formula>"Napkin Hs"</formula>
    </cfRule>
  </conditionalFormatting>
  <conditionalFormatting sqref="C14">
    <cfRule type="cellIs" dxfId="25746" priority="17931" stopIfTrue="1" operator="equal">
      <formula>"Towel"</formula>
    </cfRule>
    <cfRule type="cellIs" dxfId="25745" priority="17932" stopIfTrue="1" operator="equal">
      <formula>"Napkin Hs"</formula>
    </cfRule>
  </conditionalFormatting>
  <conditionalFormatting sqref="C14">
    <cfRule type="cellIs" dxfId="25744" priority="17929" stopIfTrue="1" operator="equal">
      <formula>"Towel"</formula>
    </cfRule>
    <cfRule type="cellIs" dxfId="25743" priority="17930" stopIfTrue="1" operator="equal">
      <formula>"Napkin Hs"</formula>
    </cfRule>
  </conditionalFormatting>
  <conditionalFormatting sqref="C14">
    <cfRule type="cellIs" dxfId="25742" priority="17921" stopIfTrue="1" operator="equal">
      <formula>"Towel"</formula>
    </cfRule>
    <cfRule type="cellIs" dxfId="25741" priority="17922" stopIfTrue="1" operator="equal">
      <formula>"Napkin Hs"</formula>
    </cfRule>
  </conditionalFormatting>
  <conditionalFormatting sqref="B14:C14">
    <cfRule type="cellIs" dxfId="25740" priority="17923" stopIfTrue="1" operator="equal">
      <formula>"Towel"</formula>
    </cfRule>
    <cfRule type="cellIs" dxfId="25739" priority="17924" stopIfTrue="1" operator="equal">
      <formula>"Napkin Hs"</formula>
    </cfRule>
  </conditionalFormatting>
  <conditionalFormatting sqref="C14">
    <cfRule type="cellIs" dxfId="25738" priority="17919" stopIfTrue="1" operator="equal">
      <formula>"Towel"</formula>
    </cfRule>
    <cfRule type="cellIs" dxfId="25737" priority="17920" stopIfTrue="1" operator="equal">
      <formula>"Napkin Hs"</formula>
    </cfRule>
  </conditionalFormatting>
  <conditionalFormatting sqref="B14:C14">
    <cfRule type="cellIs" dxfId="25736" priority="17917" stopIfTrue="1" operator="equal">
      <formula>"Towel"</formula>
    </cfRule>
    <cfRule type="cellIs" dxfId="25735" priority="17918" stopIfTrue="1" operator="equal">
      <formula>"Napkin Hs"</formula>
    </cfRule>
  </conditionalFormatting>
  <conditionalFormatting sqref="C14">
    <cfRule type="cellIs" dxfId="25734" priority="17925" stopIfTrue="1" operator="equal">
      <formula>"Towel"</formula>
    </cfRule>
    <cfRule type="cellIs" dxfId="25733" priority="17926" stopIfTrue="1" operator="equal">
      <formula>"Napkin Hs"</formula>
    </cfRule>
  </conditionalFormatting>
  <conditionalFormatting sqref="C14">
    <cfRule type="cellIs" dxfId="25732" priority="17927" stopIfTrue="1" operator="equal">
      <formula>"Towel"</formula>
    </cfRule>
    <cfRule type="cellIs" dxfId="25731" priority="17928" stopIfTrue="1" operator="equal">
      <formula>"Napkin Hs"</formula>
    </cfRule>
  </conditionalFormatting>
  <conditionalFormatting sqref="B14:C14">
    <cfRule type="cellIs" dxfId="25730" priority="17915" stopIfTrue="1" operator="equal">
      <formula>"Towel"</formula>
    </cfRule>
    <cfRule type="cellIs" dxfId="25729" priority="17916" stopIfTrue="1" operator="equal">
      <formula>"Napkin Hs"</formula>
    </cfRule>
  </conditionalFormatting>
  <conditionalFormatting sqref="C14">
    <cfRule type="cellIs" dxfId="25728" priority="17911" stopIfTrue="1" operator="equal">
      <formula>"Towel"</formula>
    </cfRule>
    <cfRule type="cellIs" dxfId="25727" priority="17912" stopIfTrue="1" operator="equal">
      <formula>"Napkin Hs"</formula>
    </cfRule>
  </conditionalFormatting>
  <conditionalFormatting sqref="C14">
    <cfRule type="cellIs" dxfId="25726" priority="17913" stopIfTrue="1" operator="equal">
      <formula>"Towel"</formula>
    </cfRule>
    <cfRule type="cellIs" dxfId="25725" priority="17914" stopIfTrue="1" operator="equal">
      <formula>"Napkin Hs"</formula>
    </cfRule>
  </conditionalFormatting>
  <conditionalFormatting sqref="B14:C14">
    <cfRule type="cellIs" dxfId="25724" priority="17909" stopIfTrue="1" operator="equal">
      <formula>"Towel"</formula>
    </cfRule>
    <cfRule type="cellIs" dxfId="25723" priority="17910" stopIfTrue="1" operator="equal">
      <formula>"Napkin Hs"</formula>
    </cfRule>
  </conditionalFormatting>
  <conditionalFormatting sqref="C14">
    <cfRule type="cellIs" dxfId="25722" priority="17907" stopIfTrue="1" operator="equal">
      <formula>"Towel"</formula>
    </cfRule>
    <cfRule type="cellIs" dxfId="25721" priority="17908" stopIfTrue="1" operator="equal">
      <formula>"Napkin Hs"</formula>
    </cfRule>
  </conditionalFormatting>
  <conditionalFormatting sqref="C14">
    <cfRule type="cellIs" dxfId="25720" priority="17905" stopIfTrue="1" operator="equal">
      <formula>"Towel"</formula>
    </cfRule>
    <cfRule type="cellIs" dxfId="25719" priority="17906" stopIfTrue="1" operator="equal">
      <formula>"Napkin Hs"</formula>
    </cfRule>
  </conditionalFormatting>
  <conditionalFormatting sqref="C14">
    <cfRule type="cellIs" dxfId="25718" priority="17897" stopIfTrue="1" operator="equal">
      <formula>"Towel"</formula>
    </cfRule>
    <cfRule type="cellIs" dxfId="25717" priority="17898" stopIfTrue="1" operator="equal">
      <formula>"Napkin Hs"</formula>
    </cfRule>
  </conditionalFormatting>
  <conditionalFormatting sqref="B14:C14">
    <cfRule type="cellIs" dxfId="25716" priority="17899" stopIfTrue="1" operator="equal">
      <formula>"Towel"</formula>
    </cfRule>
    <cfRule type="cellIs" dxfId="25715" priority="17900" stopIfTrue="1" operator="equal">
      <formula>"Napkin Hs"</formula>
    </cfRule>
  </conditionalFormatting>
  <conditionalFormatting sqref="C14">
    <cfRule type="cellIs" dxfId="25714" priority="17895" stopIfTrue="1" operator="equal">
      <formula>"Towel"</formula>
    </cfRule>
    <cfRule type="cellIs" dxfId="25713" priority="17896" stopIfTrue="1" operator="equal">
      <formula>"Napkin Hs"</formula>
    </cfRule>
  </conditionalFormatting>
  <conditionalFormatting sqref="B14:C14">
    <cfRule type="cellIs" dxfId="25712" priority="17893" stopIfTrue="1" operator="equal">
      <formula>"Towel"</formula>
    </cfRule>
    <cfRule type="cellIs" dxfId="25711" priority="17894" stopIfTrue="1" operator="equal">
      <formula>"Napkin Hs"</formula>
    </cfRule>
  </conditionalFormatting>
  <conditionalFormatting sqref="C14">
    <cfRule type="cellIs" dxfId="25710" priority="17901" stopIfTrue="1" operator="equal">
      <formula>"Towel"</formula>
    </cfRule>
    <cfRule type="cellIs" dxfId="25709" priority="17902" stopIfTrue="1" operator="equal">
      <formula>"Napkin Hs"</formula>
    </cfRule>
  </conditionalFormatting>
  <conditionalFormatting sqref="C14">
    <cfRule type="cellIs" dxfId="25708" priority="17903" stopIfTrue="1" operator="equal">
      <formula>"Towel"</formula>
    </cfRule>
    <cfRule type="cellIs" dxfId="25707" priority="17904" stopIfTrue="1" operator="equal">
      <formula>"Napkin Hs"</formula>
    </cfRule>
  </conditionalFormatting>
  <conditionalFormatting sqref="B11:C11">
    <cfRule type="cellIs" dxfId="25706" priority="17891" stopIfTrue="1" operator="equal">
      <formula>"Towel"</formula>
    </cfRule>
    <cfRule type="cellIs" dxfId="25705" priority="17892" stopIfTrue="1" operator="equal">
      <formula>"Napkin Hs"</formula>
    </cfRule>
  </conditionalFormatting>
  <conditionalFormatting sqref="C11">
    <cfRule type="cellIs" dxfId="25704" priority="17887" stopIfTrue="1" operator="equal">
      <formula>"Towel"</formula>
    </cfRule>
    <cfRule type="cellIs" dxfId="25703" priority="17888" stopIfTrue="1" operator="equal">
      <formula>"Napkin Hs"</formula>
    </cfRule>
  </conditionalFormatting>
  <conditionalFormatting sqref="C11">
    <cfRule type="cellIs" dxfId="25702" priority="17889" stopIfTrue="1" operator="equal">
      <formula>"Towel"</formula>
    </cfRule>
    <cfRule type="cellIs" dxfId="25701" priority="17890" stopIfTrue="1" operator="equal">
      <formula>"Napkin Hs"</formula>
    </cfRule>
  </conditionalFormatting>
  <conditionalFormatting sqref="B11:C11">
    <cfRule type="cellIs" dxfId="25700" priority="17885" stopIfTrue="1" operator="equal">
      <formula>"Towel"</formula>
    </cfRule>
    <cfRule type="cellIs" dxfId="25699" priority="17886" stopIfTrue="1" operator="equal">
      <formula>"Napkin Hs"</formula>
    </cfRule>
  </conditionalFormatting>
  <conditionalFormatting sqref="C11">
    <cfRule type="cellIs" dxfId="25698" priority="17883" stopIfTrue="1" operator="equal">
      <formula>"Towel"</formula>
    </cfRule>
    <cfRule type="cellIs" dxfId="25697" priority="17884" stopIfTrue="1" operator="equal">
      <formula>"Napkin Hs"</formula>
    </cfRule>
  </conditionalFormatting>
  <conditionalFormatting sqref="C11">
    <cfRule type="cellIs" dxfId="25696" priority="17881" stopIfTrue="1" operator="equal">
      <formula>"Towel"</formula>
    </cfRule>
    <cfRule type="cellIs" dxfId="25695" priority="17882" stopIfTrue="1" operator="equal">
      <formula>"Napkin Hs"</formula>
    </cfRule>
  </conditionalFormatting>
  <conditionalFormatting sqref="C11">
    <cfRule type="cellIs" dxfId="25694" priority="17873" stopIfTrue="1" operator="equal">
      <formula>"Towel"</formula>
    </cfRule>
    <cfRule type="cellIs" dxfId="25693" priority="17874" stopIfTrue="1" operator="equal">
      <formula>"Napkin Hs"</formula>
    </cfRule>
  </conditionalFormatting>
  <conditionalFormatting sqref="B11:C11">
    <cfRule type="cellIs" dxfId="25692" priority="17875" stopIfTrue="1" operator="equal">
      <formula>"Towel"</formula>
    </cfRule>
    <cfRule type="cellIs" dxfId="25691" priority="17876" stopIfTrue="1" operator="equal">
      <formula>"Napkin Hs"</formula>
    </cfRule>
  </conditionalFormatting>
  <conditionalFormatting sqref="C11">
    <cfRule type="cellIs" dxfId="25690" priority="17871" stopIfTrue="1" operator="equal">
      <formula>"Towel"</formula>
    </cfRule>
    <cfRule type="cellIs" dxfId="25689" priority="17872" stopIfTrue="1" operator="equal">
      <formula>"Napkin Hs"</formula>
    </cfRule>
  </conditionalFormatting>
  <conditionalFormatting sqref="B11:C11">
    <cfRule type="cellIs" dxfId="25688" priority="17869" stopIfTrue="1" operator="equal">
      <formula>"Towel"</formula>
    </cfRule>
    <cfRule type="cellIs" dxfId="25687" priority="17870" stopIfTrue="1" operator="equal">
      <formula>"Napkin Hs"</formula>
    </cfRule>
  </conditionalFormatting>
  <conditionalFormatting sqref="C11">
    <cfRule type="cellIs" dxfId="25686" priority="17877" stopIfTrue="1" operator="equal">
      <formula>"Towel"</formula>
    </cfRule>
    <cfRule type="cellIs" dxfId="25685" priority="17878" stopIfTrue="1" operator="equal">
      <formula>"Napkin Hs"</formula>
    </cfRule>
  </conditionalFormatting>
  <conditionalFormatting sqref="C11">
    <cfRule type="cellIs" dxfId="25684" priority="17879" stopIfTrue="1" operator="equal">
      <formula>"Towel"</formula>
    </cfRule>
    <cfRule type="cellIs" dxfId="25683" priority="17880" stopIfTrue="1" operator="equal">
      <formula>"Napkin Hs"</formula>
    </cfRule>
  </conditionalFormatting>
  <conditionalFormatting sqref="B11:C11">
    <cfRule type="cellIs" dxfId="25682" priority="17865" stopIfTrue="1" operator="equal">
      <formula>"Towel"</formula>
    </cfRule>
    <cfRule type="cellIs" dxfId="25681" priority="17866" stopIfTrue="1" operator="equal">
      <formula>"Napkin Hs"</formula>
    </cfRule>
  </conditionalFormatting>
  <conditionalFormatting sqref="C11">
    <cfRule type="cellIs" dxfId="25680" priority="17867" stopIfTrue="1" operator="equal">
      <formula>"Towel"</formula>
    </cfRule>
    <cfRule type="cellIs" dxfId="25679" priority="17868" stopIfTrue="1" operator="equal">
      <formula>"Napkin Hs"</formula>
    </cfRule>
  </conditionalFormatting>
  <conditionalFormatting sqref="C11">
    <cfRule type="cellIs" dxfId="25678" priority="17863" stopIfTrue="1" operator="equal">
      <formula>"Towel"</formula>
    </cfRule>
    <cfRule type="cellIs" dxfId="25677" priority="17864" stopIfTrue="1" operator="equal">
      <formula>"Napkin Hs"</formula>
    </cfRule>
  </conditionalFormatting>
  <conditionalFormatting sqref="B11:C11">
    <cfRule type="cellIs" dxfId="25676" priority="17861" stopIfTrue="1" operator="equal">
      <formula>"Towel"</formula>
    </cfRule>
    <cfRule type="cellIs" dxfId="25675" priority="17862" stopIfTrue="1" operator="equal">
      <formula>"Napkin Hs"</formula>
    </cfRule>
  </conditionalFormatting>
  <conditionalFormatting sqref="C11">
    <cfRule type="cellIs" dxfId="25674" priority="17857" stopIfTrue="1" operator="equal">
      <formula>"Towel"</formula>
    </cfRule>
    <cfRule type="cellIs" dxfId="25673" priority="17858" stopIfTrue="1" operator="equal">
      <formula>"Napkin Hs"</formula>
    </cfRule>
  </conditionalFormatting>
  <conditionalFormatting sqref="C11">
    <cfRule type="cellIs" dxfId="25672" priority="17859" stopIfTrue="1" operator="equal">
      <formula>"Towel"</formula>
    </cfRule>
    <cfRule type="cellIs" dxfId="25671" priority="17860" stopIfTrue="1" operator="equal">
      <formula>"Napkin Hs"</formula>
    </cfRule>
  </conditionalFormatting>
  <conditionalFormatting sqref="B12:C12">
    <cfRule type="cellIs" dxfId="25670" priority="17853" stopIfTrue="1" operator="equal">
      <formula>"Towel"</formula>
    </cfRule>
    <cfRule type="cellIs" dxfId="25669" priority="17854" stopIfTrue="1" operator="equal">
      <formula>"Napkin Hs"</formula>
    </cfRule>
  </conditionalFormatting>
  <conditionalFormatting sqref="C12">
    <cfRule type="cellIs" dxfId="25668" priority="17855" stopIfTrue="1" operator="equal">
      <formula>"Towel"</formula>
    </cfRule>
    <cfRule type="cellIs" dxfId="25667" priority="17856" stopIfTrue="1" operator="equal">
      <formula>"Napkin Hs"</formula>
    </cfRule>
  </conditionalFormatting>
  <conditionalFormatting sqref="C12">
    <cfRule type="cellIs" dxfId="25666" priority="17851" stopIfTrue="1" operator="equal">
      <formula>"Towel"</formula>
    </cfRule>
    <cfRule type="cellIs" dxfId="25665" priority="17852" stopIfTrue="1" operator="equal">
      <formula>"Napkin Hs"</formula>
    </cfRule>
  </conditionalFormatting>
  <conditionalFormatting sqref="B12:C12">
    <cfRule type="cellIs" dxfId="25664" priority="17849" stopIfTrue="1" operator="equal">
      <formula>"Towel"</formula>
    </cfRule>
    <cfRule type="cellIs" dxfId="25663" priority="17850" stopIfTrue="1" operator="equal">
      <formula>"Napkin Hs"</formula>
    </cfRule>
  </conditionalFormatting>
  <conditionalFormatting sqref="C12">
    <cfRule type="cellIs" dxfId="25662" priority="17845" stopIfTrue="1" operator="equal">
      <formula>"Towel"</formula>
    </cfRule>
    <cfRule type="cellIs" dxfId="25661" priority="17846" stopIfTrue="1" operator="equal">
      <formula>"Napkin Hs"</formula>
    </cfRule>
  </conditionalFormatting>
  <conditionalFormatting sqref="C12">
    <cfRule type="cellIs" dxfId="25660" priority="17847" stopIfTrue="1" operator="equal">
      <formula>"Towel"</formula>
    </cfRule>
    <cfRule type="cellIs" dxfId="25659" priority="17848" stopIfTrue="1" operator="equal">
      <formula>"Napkin Hs"</formula>
    </cfRule>
  </conditionalFormatting>
  <conditionalFormatting sqref="B13:C13">
    <cfRule type="cellIs" dxfId="25658" priority="17841" stopIfTrue="1" operator="equal">
      <formula>"Towel"</formula>
    </cfRule>
    <cfRule type="cellIs" dxfId="25657" priority="17842" stopIfTrue="1" operator="equal">
      <formula>"Napkin Hs"</formula>
    </cfRule>
  </conditionalFormatting>
  <conditionalFormatting sqref="C13">
    <cfRule type="cellIs" dxfId="25656" priority="17843" stopIfTrue="1" operator="equal">
      <formula>"Towel"</formula>
    </cfRule>
    <cfRule type="cellIs" dxfId="25655" priority="17844" stopIfTrue="1" operator="equal">
      <formula>"Napkin Hs"</formula>
    </cfRule>
  </conditionalFormatting>
  <conditionalFormatting sqref="C13">
    <cfRule type="cellIs" dxfId="25654" priority="17839" stopIfTrue="1" operator="equal">
      <formula>"Towel"</formula>
    </cfRule>
    <cfRule type="cellIs" dxfId="25653" priority="17840" stopIfTrue="1" operator="equal">
      <formula>"Napkin Hs"</formula>
    </cfRule>
  </conditionalFormatting>
  <conditionalFormatting sqref="B13:C13">
    <cfRule type="cellIs" dxfId="25652" priority="17837" stopIfTrue="1" operator="equal">
      <formula>"Towel"</formula>
    </cfRule>
    <cfRule type="cellIs" dxfId="25651" priority="17838" stopIfTrue="1" operator="equal">
      <formula>"Napkin Hs"</formula>
    </cfRule>
  </conditionalFormatting>
  <conditionalFormatting sqref="C13">
    <cfRule type="cellIs" dxfId="25650" priority="17833" stopIfTrue="1" operator="equal">
      <formula>"Towel"</formula>
    </cfRule>
    <cfRule type="cellIs" dxfId="25649" priority="17834" stopIfTrue="1" operator="equal">
      <formula>"Napkin Hs"</formula>
    </cfRule>
  </conditionalFormatting>
  <conditionalFormatting sqref="C13">
    <cfRule type="cellIs" dxfId="25648" priority="17835" stopIfTrue="1" operator="equal">
      <formula>"Towel"</formula>
    </cfRule>
    <cfRule type="cellIs" dxfId="25647" priority="17836" stopIfTrue="1" operator="equal">
      <formula>"Napkin Hs"</formula>
    </cfRule>
  </conditionalFormatting>
  <conditionalFormatting sqref="B14:C14">
    <cfRule type="cellIs" dxfId="25646" priority="17831" stopIfTrue="1" operator="equal">
      <formula>"Towel"</formula>
    </cfRule>
    <cfRule type="cellIs" dxfId="25645" priority="17832" stopIfTrue="1" operator="equal">
      <formula>"Napkin Hs"</formula>
    </cfRule>
  </conditionalFormatting>
  <conditionalFormatting sqref="C14">
    <cfRule type="cellIs" dxfId="25644" priority="17827" stopIfTrue="1" operator="equal">
      <formula>"Towel"</formula>
    </cfRule>
    <cfRule type="cellIs" dxfId="25643" priority="17828" stopIfTrue="1" operator="equal">
      <formula>"Napkin Hs"</formula>
    </cfRule>
  </conditionalFormatting>
  <conditionalFormatting sqref="C14">
    <cfRule type="cellIs" dxfId="25642" priority="17829" stopIfTrue="1" operator="equal">
      <formula>"Towel"</formula>
    </cfRule>
    <cfRule type="cellIs" dxfId="25641" priority="17830" stopIfTrue="1" operator="equal">
      <formula>"Napkin Hs"</formula>
    </cfRule>
  </conditionalFormatting>
  <conditionalFormatting sqref="B14:C14">
    <cfRule type="cellIs" dxfId="25640" priority="17825" stopIfTrue="1" operator="equal">
      <formula>"Towel"</formula>
    </cfRule>
    <cfRule type="cellIs" dxfId="25639" priority="17826" stopIfTrue="1" operator="equal">
      <formula>"Napkin Hs"</formula>
    </cfRule>
  </conditionalFormatting>
  <conditionalFormatting sqref="C14">
    <cfRule type="cellIs" dxfId="25638" priority="17823" stopIfTrue="1" operator="equal">
      <formula>"Towel"</formula>
    </cfRule>
    <cfRule type="cellIs" dxfId="25637" priority="17824" stopIfTrue="1" operator="equal">
      <formula>"Napkin Hs"</formula>
    </cfRule>
  </conditionalFormatting>
  <conditionalFormatting sqref="C14">
    <cfRule type="cellIs" dxfId="25636" priority="17821" stopIfTrue="1" operator="equal">
      <formula>"Towel"</formula>
    </cfRule>
    <cfRule type="cellIs" dxfId="25635" priority="17822" stopIfTrue="1" operator="equal">
      <formula>"Napkin Hs"</formula>
    </cfRule>
  </conditionalFormatting>
  <conditionalFormatting sqref="C14">
    <cfRule type="cellIs" dxfId="25634" priority="17813" stopIfTrue="1" operator="equal">
      <formula>"Towel"</formula>
    </cfRule>
    <cfRule type="cellIs" dxfId="25633" priority="17814" stopIfTrue="1" operator="equal">
      <formula>"Napkin Hs"</formula>
    </cfRule>
  </conditionalFormatting>
  <conditionalFormatting sqref="B14:C14">
    <cfRule type="cellIs" dxfId="25632" priority="17815" stopIfTrue="1" operator="equal">
      <formula>"Towel"</formula>
    </cfRule>
    <cfRule type="cellIs" dxfId="25631" priority="17816" stopIfTrue="1" operator="equal">
      <formula>"Napkin Hs"</formula>
    </cfRule>
  </conditionalFormatting>
  <conditionalFormatting sqref="C14">
    <cfRule type="cellIs" dxfId="25630" priority="17811" stopIfTrue="1" operator="equal">
      <formula>"Towel"</formula>
    </cfRule>
    <cfRule type="cellIs" dxfId="25629" priority="17812" stopIfTrue="1" operator="equal">
      <formula>"Napkin Hs"</formula>
    </cfRule>
  </conditionalFormatting>
  <conditionalFormatting sqref="B14:C14">
    <cfRule type="cellIs" dxfId="25628" priority="17809" stopIfTrue="1" operator="equal">
      <formula>"Towel"</formula>
    </cfRule>
    <cfRule type="cellIs" dxfId="25627" priority="17810" stopIfTrue="1" operator="equal">
      <formula>"Napkin Hs"</formula>
    </cfRule>
  </conditionalFormatting>
  <conditionalFormatting sqref="C14">
    <cfRule type="cellIs" dxfId="25626" priority="17817" stopIfTrue="1" operator="equal">
      <formula>"Towel"</formula>
    </cfRule>
    <cfRule type="cellIs" dxfId="25625" priority="17818" stopIfTrue="1" operator="equal">
      <formula>"Napkin Hs"</formula>
    </cfRule>
  </conditionalFormatting>
  <conditionalFormatting sqref="C14">
    <cfRule type="cellIs" dxfId="25624" priority="17819" stopIfTrue="1" operator="equal">
      <formula>"Towel"</formula>
    </cfRule>
    <cfRule type="cellIs" dxfId="25623" priority="17820" stopIfTrue="1" operator="equal">
      <formula>"Napkin Hs"</formula>
    </cfRule>
  </conditionalFormatting>
  <conditionalFormatting sqref="B14:C14">
    <cfRule type="cellIs" dxfId="25622" priority="17807" stopIfTrue="1" operator="equal">
      <formula>"Towel"</formula>
    </cfRule>
    <cfRule type="cellIs" dxfId="25621" priority="17808" stopIfTrue="1" operator="equal">
      <formula>"Napkin Hs"</formula>
    </cfRule>
  </conditionalFormatting>
  <conditionalFormatting sqref="C14">
    <cfRule type="cellIs" dxfId="25620" priority="17803" stopIfTrue="1" operator="equal">
      <formula>"Towel"</formula>
    </cfRule>
    <cfRule type="cellIs" dxfId="25619" priority="17804" stopIfTrue="1" operator="equal">
      <formula>"Napkin Hs"</formula>
    </cfRule>
  </conditionalFormatting>
  <conditionalFormatting sqref="C14">
    <cfRule type="cellIs" dxfId="25618" priority="17805" stopIfTrue="1" operator="equal">
      <formula>"Towel"</formula>
    </cfRule>
    <cfRule type="cellIs" dxfId="25617" priority="17806" stopIfTrue="1" operator="equal">
      <formula>"Napkin Hs"</formula>
    </cfRule>
  </conditionalFormatting>
  <conditionalFormatting sqref="B14:C14">
    <cfRule type="cellIs" dxfId="25616" priority="17801" stopIfTrue="1" operator="equal">
      <formula>"Towel"</formula>
    </cfRule>
    <cfRule type="cellIs" dxfId="25615" priority="17802" stopIfTrue="1" operator="equal">
      <formula>"Napkin Hs"</formula>
    </cfRule>
  </conditionalFormatting>
  <conditionalFormatting sqref="C14">
    <cfRule type="cellIs" dxfId="25614" priority="17799" stopIfTrue="1" operator="equal">
      <formula>"Towel"</formula>
    </cfRule>
    <cfRule type="cellIs" dxfId="25613" priority="17800" stopIfTrue="1" operator="equal">
      <formula>"Napkin Hs"</formula>
    </cfRule>
  </conditionalFormatting>
  <conditionalFormatting sqref="C14">
    <cfRule type="cellIs" dxfId="25612" priority="17797" stopIfTrue="1" operator="equal">
      <formula>"Towel"</formula>
    </cfRule>
    <cfRule type="cellIs" dxfId="25611" priority="17798" stopIfTrue="1" operator="equal">
      <formula>"Napkin Hs"</formula>
    </cfRule>
  </conditionalFormatting>
  <conditionalFormatting sqref="C14">
    <cfRule type="cellIs" dxfId="25610" priority="17789" stopIfTrue="1" operator="equal">
      <formula>"Towel"</formula>
    </cfRule>
    <cfRule type="cellIs" dxfId="25609" priority="17790" stopIfTrue="1" operator="equal">
      <formula>"Napkin Hs"</formula>
    </cfRule>
  </conditionalFormatting>
  <conditionalFormatting sqref="B14:C14">
    <cfRule type="cellIs" dxfId="25608" priority="17791" stopIfTrue="1" operator="equal">
      <formula>"Towel"</formula>
    </cfRule>
    <cfRule type="cellIs" dxfId="25607" priority="17792" stopIfTrue="1" operator="equal">
      <formula>"Napkin Hs"</formula>
    </cfRule>
  </conditionalFormatting>
  <conditionalFormatting sqref="C14">
    <cfRule type="cellIs" dxfId="25606" priority="17787" stopIfTrue="1" operator="equal">
      <formula>"Towel"</formula>
    </cfRule>
    <cfRule type="cellIs" dxfId="25605" priority="17788" stopIfTrue="1" operator="equal">
      <formula>"Napkin Hs"</formula>
    </cfRule>
  </conditionalFormatting>
  <conditionalFormatting sqref="B14:C14">
    <cfRule type="cellIs" dxfId="25604" priority="17785" stopIfTrue="1" operator="equal">
      <formula>"Towel"</formula>
    </cfRule>
    <cfRule type="cellIs" dxfId="25603" priority="17786" stopIfTrue="1" operator="equal">
      <formula>"Napkin Hs"</formula>
    </cfRule>
  </conditionalFormatting>
  <conditionalFormatting sqref="C14">
    <cfRule type="cellIs" dxfId="25602" priority="17793" stopIfTrue="1" operator="equal">
      <formula>"Towel"</formula>
    </cfRule>
    <cfRule type="cellIs" dxfId="25601" priority="17794" stopIfTrue="1" operator="equal">
      <formula>"Napkin Hs"</formula>
    </cfRule>
  </conditionalFormatting>
  <conditionalFormatting sqref="C14">
    <cfRule type="cellIs" dxfId="25600" priority="17795" stopIfTrue="1" operator="equal">
      <formula>"Towel"</formula>
    </cfRule>
    <cfRule type="cellIs" dxfId="25599" priority="17796" stopIfTrue="1" operator="equal">
      <formula>"Napkin Hs"</formula>
    </cfRule>
  </conditionalFormatting>
  <conditionalFormatting sqref="B12:C12">
    <cfRule type="cellIs" dxfId="25598" priority="17781" stopIfTrue="1" operator="equal">
      <formula>"Towel"</formula>
    </cfRule>
    <cfRule type="cellIs" dxfId="25597" priority="17782" stopIfTrue="1" operator="equal">
      <formula>"Napkin Hs"</formula>
    </cfRule>
  </conditionalFormatting>
  <conditionalFormatting sqref="C12">
    <cfRule type="cellIs" dxfId="25596" priority="17783" stopIfTrue="1" operator="equal">
      <formula>"Towel"</formula>
    </cfRule>
    <cfRule type="cellIs" dxfId="25595" priority="17784" stopIfTrue="1" operator="equal">
      <formula>"Napkin Hs"</formula>
    </cfRule>
  </conditionalFormatting>
  <conditionalFormatting sqref="C12">
    <cfRule type="cellIs" dxfId="25594" priority="17779" stopIfTrue="1" operator="equal">
      <formula>"Towel"</formula>
    </cfRule>
    <cfRule type="cellIs" dxfId="25593" priority="17780" stopIfTrue="1" operator="equal">
      <formula>"Napkin Hs"</formula>
    </cfRule>
  </conditionalFormatting>
  <conditionalFormatting sqref="B12:C12">
    <cfRule type="cellIs" dxfId="25592" priority="17777" stopIfTrue="1" operator="equal">
      <formula>"Towel"</formula>
    </cfRule>
    <cfRule type="cellIs" dxfId="25591" priority="17778" stopIfTrue="1" operator="equal">
      <formula>"Napkin Hs"</formula>
    </cfRule>
  </conditionalFormatting>
  <conditionalFormatting sqref="C12">
    <cfRule type="cellIs" dxfId="25590" priority="17773" stopIfTrue="1" operator="equal">
      <formula>"Towel"</formula>
    </cfRule>
    <cfRule type="cellIs" dxfId="25589" priority="17774" stopIfTrue="1" operator="equal">
      <formula>"Napkin Hs"</formula>
    </cfRule>
  </conditionalFormatting>
  <conditionalFormatting sqref="C12">
    <cfRule type="cellIs" dxfId="25588" priority="17775" stopIfTrue="1" operator="equal">
      <formula>"Towel"</formula>
    </cfRule>
    <cfRule type="cellIs" dxfId="25587" priority="17776" stopIfTrue="1" operator="equal">
      <formula>"Napkin Hs"</formula>
    </cfRule>
  </conditionalFormatting>
  <conditionalFormatting sqref="B13:C13">
    <cfRule type="cellIs" dxfId="25586" priority="17769" stopIfTrue="1" operator="equal">
      <formula>"Towel"</formula>
    </cfRule>
    <cfRule type="cellIs" dxfId="25585" priority="17770" stopIfTrue="1" operator="equal">
      <formula>"Napkin Hs"</formula>
    </cfRule>
  </conditionalFormatting>
  <conditionalFormatting sqref="C13">
    <cfRule type="cellIs" dxfId="25584" priority="17771" stopIfTrue="1" operator="equal">
      <formula>"Towel"</formula>
    </cfRule>
    <cfRule type="cellIs" dxfId="25583" priority="17772" stopIfTrue="1" operator="equal">
      <formula>"Napkin Hs"</formula>
    </cfRule>
  </conditionalFormatting>
  <conditionalFormatting sqref="C13">
    <cfRule type="cellIs" dxfId="25582" priority="17767" stopIfTrue="1" operator="equal">
      <formula>"Towel"</formula>
    </cfRule>
    <cfRule type="cellIs" dxfId="25581" priority="17768" stopIfTrue="1" operator="equal">
      <formula>"Napkin Hs"</formula>
    </cfRule>
  </conditionalFormatting>
  <conditionalFormatting sqref="B13:C13">
    <cfRule type="cellIs" dxfId="25580" priority="17765" stopIfTrue="1" operator="equal">
      <formula>"Towel"</formula>
    </cfRule>
    <cfRule type="cellIs" dxfId="25579" priority="17766" stopIfTrue="1" operator="equal">
      <formula>"Napkin Hs"</formula>
    </cfRule>
  </conditionalFormatting>
  <conditionalFormatting sqref="C13">
    <cfRule type="cellIs" dxfId="25578" priority="17761" stopIfTrue="1" operator="equal">
      <formula>"Towel"</formula>
    </cfRule>
    <cfRule type="cellIs" dxfId="25577" priority="17762" stopIfTrue="1" operator="equal">
      <formula>"Napkin Hs"</formula>
    </cfRule>
  </conditionalFormatting>
  <conditionalFormatting sqref="C13">
    <cfRule type="cellIs" dxfId="25576" priority="17763" stopIfTrue="1" operator="equal">
      <formula>"Towel"</formula>
    </cfRule>
    <cfRule type="cellIs" dxfId="25575" priority="17764" stopIfTrue="1" operator="equal">
      <formula>"Napkin Hs"</formula>
    </cfRule>
  </conditionalFormatting>
  <conditionalFormatting sqref="B11:C11">
    <cfRule type="cellIs" dxfId="25574" priority="17757" stopIfTrue="1" operator="equal">
      <formula>"Towel"</formula>
    </cfRule>
    <cfRule type="cellIs" dxfId="25573" priority="17758" stopIfTrue="1" operator="equal">
      <formula>"Napkin Hs"</formula>
    </cfRule>
  </conditionalFormatting>
  <conditionalFormatting sqref="C11">
    <cfRule type="cellIs" dxfId="25572" priority="17759" stopIfTrue="1" operator="equal">
      <formula>"Towel"</formula>
    </cfRule>
    <cfRule type="cellIs" dxfId="25571" priority="17760" stopIfTrue="1" operator="equal">
      <formula>"Napkin Hs"</formula>
    </cfRule>
  </conditionalFormatting>
  <conditionalFormatting sqref="C11">
    <cfRule type="cellIs" dxfId="25570" priority="17755" stopIfTrue="1" operator="equal">
      <formula>"Towel"</formula>
    </cfRule>
    <cfRule type="cellIs" dxfId="25569" priority="17756" stopIfTrue="1" operator="equal">
      <formula>"Napkin Hs"</formula>
    </cfRule>
  </conditionalFormatting>
  <conditionalFormatting sqref="B11:C11">
    <cfRule type="cellIs" dxfId="25568" priority="17753" stopIfTrue="1" operator="equal">
      <formula>"Towel"</formula>
    </cfRule>
    <cfRule type="cellIs" dxfId="25567" priority="17754" stopIfTrue="1" operator="equal">
      <formula>"Napkin Hs"</formula>
    </cfRule>
  </conditionalFormatting>
  <conditionalFormatting sqref="C11">
    <cfRule type="cellIs" dxfId="25566" priority="17749" stopIfTrue="1" operator="equal">
      <formula>"Towel"</formula>
    </cfRule>
    <cfRule type="cellIs" dxfId="25565" priority="17750" stopIfTrue="1" operator="equal">
      <formula>"Napkin Hs"</formula>
    </cfRule>
  </conditionalFormatting>
  <conditionalFormatting sqref="C11">
    <cfRule type="cellIs" dxfId="25564" priority="17751" stopIfTrue="1" operator="equal">
      <formula>"Towel"</formula>
    </cfRule>
    <cfRule type="cellIs" dxfId="25563" priority="17752" stopIfTrue="1" operator="equal">
      <formula>"Napkin Hs"</formula>
    </cfRule>
  </conditionalFormatting>
  <conditionalFormatting sqref="C16">
    <cfRule type="cellIs" dxfId="25562" priority="17743" stopIfTrue="1" operator="equal">
      <formula>"Towel"</formula>
    </cfRule>
    <cfRule type="cellIs" dxfId="25561" priority="17744" stopIfTrue="1" operator="equal">
      <formula>"Napkin Hs"</formula>
    </cfRule>
  </conditionalFormatting>
  <conditionalFormatting sqref="C16">
    <cfRule type="cellIs" dxfId="25560" priority="17747" stopIfTrue="1" operator="equal">
      <formula>"Towel"</formula>
    </cfRule>
    <cfRule type="cellIs" dxfId="25559" priority="17748" stopIfTrue="1" operator="equal">
      <formula>"Napkin Hs"</formula>
    </cfRule>
  </conditionalFormatting>
  <conditionalFormatting sqref="B16">
    <cfRule type="cellIs" dxfId="25558" priority="17733" stopIfTrue="1" operator="equal">
      <formula>"Towel"</formula>
    </cfRule>
    <cfRule type="cellIs" dxfId="25557" priority="17734" stopIfTrue="1" operator="equal">
      <formula>"Napkin Hs"</formula>
    </cfRule>
  </conditionalFormatting>
  <conditionalFormatting sqref="C16">
    <cfRule type="cellIs" dxfId="25556" priority="17745" stopIfTrue="1" operator="equal">
      <formula>"Towel"</formula>
    </cfRule>
    <cfRule type="cellIs" dxfId="25555" priority="17746" stopIfTrue="1" operator="equal">
      <formula>"Napkin Hs"</formula>
    </cfRule>
  </conditionalFormatting>
  <conditionalFormatting sqref="C16">
    <cfRule type="cellIs" dxfId="25554" priority="17737" stopIfTrue="1" operator="equal">
      <formula>"Towel"</formula>
    </cfRule>
    <cfRule type="cellIs" dxfId="25553" priority="17738" stopIfTrue="1" operator="equal">
      <formula>"Napkin Hs"</formula>
    </cfRule>
  </conditionalFormatting>
  <conditionalFormatting sqref="C16">
    <cfRule type="cellIs" dxfId="25552" priority="17739" stopIfTrue="1" operator="equal">
      <formula>"Towel"</formula>
    </cfRule>
    <cfRule type="cellIs" dxfId="25551" priority="17740" stopIfTrue="1" operator="equal">
      <formula>"Napkin Hs"</formula>
    </cfRule>
  </conditionalFormatting>
  <conditionalFormatting sqref="C16">
    <cfRule type="cellIs" dxfId="25550" priority="17741" stopIfTrue="1" operator="equal">
      <formula>"Towel"</formula>
    </cfRule>
    <cfRule type="cellIs" dxfId="25549" priority="17742" stopIfTrue="1" operator="equal">
      <formula>"Napkin Hs"</formula>
    </cfRule>
  </conditionalFormatting>
  <conditionalFormatting sqref="B16">
    <cfRule type="cellIs" dxfId="25548" priority="17735" stopIfTrue="1" operator="equal">
      <formula>"Towel"</formula>
    </cfRule>
    <cfRule type="cellIs" dxfId="25547" priority="17736" stopIfTrue="1" operator="equal">
      <formula>"Napkin Hs"</formula>
    </cfRule>
  </conditionalFormatting>
  <conditionalFormatting sqref="C20">
    <cfRule type="cellIs" dxfId="25546" priority="17725" stopIfTrue="1" operator="equal">
      <formula>"Towel"</formula>
    </cfRule>
    <cfRule type="cellIs" dxfId="25545" priority="17726" stopIfTrue="1" operator="equal">
      <formula>"Napkin Hs"</formula>
    </cfRule>
  </conditionalFormatting>
  <conditionalFormatting sqref="C20">
    <cfRule type="cellIs" dxfId="25544" priority="17721" stopIfTrue="1" operator="equal">
      <formula>"Towel"</formula>
    </cfRule>
    <cfRule type="cellIs" dxfId="25543" priority="17722" stopIfTrue="1" operator="equal">
      <formula>"Napkin Hs"</formula>
    </cfRule>
  </conditionalFormatting>
  <conditionalFormatting sqref="C20">
    <cfRule type="cellIs" dxfId="25542" priority="17724" stopIfTrue="1" operator="equal">
      <formula>"Napkin Hs"</formula>
    </cfRule>
  </conditionalFormatting>
  <conditionalFormatting sqref="C20">
    <cfRule type="cellIs" dxfId="25541" priority="17723" stopIfTrue="1" operator="equal">
      <formula>"Towel"</formula>
    </cfRule>
  </conditionalFormatting>
  <conditionalFormatting sqref="B18:C19">
    <cfRule type="cellIs" dxfId="25540" priority="17570" stopIfTrue="1" operator="equal">
      <formula>"Towel"</formula>
    </cfRule>
  </conditionalFormatting>
  <conditionalFormatting sqref="B18:C19">
    <cfRule type="cellIs" dxfId="25539" priority="17571" stopIfTrue="1" operator="equal">
      <formula>"Napkin Hs"</formula>
    </cfRule>
    <cfRule type="cellIs" dxfId="25538" priority="17576" stopIfTrue="1" operator="equal">
      <formula>"Towel"</formula>
    </cfRule>
    <cfRule type="cellIs" dxfId="25537" priority="17577" stopIfTrue="1" operator="equal">
      <formula>"Napkin Hs"</formula>
    </cfRule>
    <cfRule type="cellIs" dxfId="25536" priority="17586" stopIfTrue="1" operator="equal">
      <formula>"Towel"</formula>
    </cfRule>
    <cfRule type="cellIs" dxfId="25535" priority="17587" stopIfTrue="1" operator="equal">
      <formula>"Napkin Hs"</formula>
    </cfRule>
    <cfRule type="cellIs" dxfId="25534" priority="17592" stopIfTrue="1" operator="equal">
      <formula>"Towel"</formula>
    </cfRule>
    <cfRule type="cellIs" dxfId="25533" priority="17593" stopIfTrue="1" operator="equal">
      <formula>"Napkin Hs"</formula>
    </cfRule>
  </conditionalFormatting>
  <conditionalFormatting sqref="C18:C19">
    <cfRule type="cellIs" dxfId="25532" priority="17572" stopIfTrue="1" operator="equal">
      <formula>"Towel"</formula>
    </cfRule>
    <cfRule type="cellIs" dxfId="25531" priority="17573" stopIfTrue="1" operator="equal">
      <formula>"Napkin Hs"</formula>
    </cfRule>
    <cfRule type="cellIs" dxfId="25530" priority="17574" stopIfTrue="1" operator="equal">
      <formula>"Towel"</formula>
    </cfRule>
    <cfRule type="cellIs" dxfId="25529" priority="17575" stopIfTrue="1" operator="equal">
      <formula>"Napkin Hs"</formula>
    </cfRule>
    <cfRule type="cellIs" dxfId="25528" priority="17578" stopIfTrue="1" operator="equal">
      <formula>"Towel"</formula>
    </cfRule>
    <cfRule type="cellIs" dxfId="25527" priority="17579" stopIfTrue="1" operator="equal">
      <formula>"Napkin Hs"</formula>
    </cfRule>
    <cfRule type="cellIs" dxfId="25526" priority="17580" stopIfTrue="1" operator="equal">
      <formula>"Towel"</formula>
    </cfRule>
    <cfRule type="cellIs" dxfId="25525" priority="17581" stopIfTrue="1" operator="equal">
      <formula>"Napkin Hs"</formula>
    </cfRule>
    <cfRule type="cellIs" dxfId="25524" priority="17582" stopIfTrue="1" operator="equal">
      <formula>"Towel"</formula>
    </cfRule>
    <cfRule type="cellIs" dxfId="25523" priority="17583" stopIfTrue="1" operator="equal">
      <formula>"Napkin Hs"</formula>
    </cfRule>
    <cfRule type="cellIs" dxfId="25522" priority="17584" stopIfTrue="1" operator="equal">
      <formula>"Towel"</formula>
    </cfRule>
    <cfRule type="cellIs" dxfId="25521" priority="17585" stopIfTrue="1" operator="equal">
      <formula>"Napkin Hs"</formula>
    </cfRule>
    <cfRule type="cellIs" dxfId="25520" priority="17588" stopIfTrue="1" operator="equal">
      <formula>"Towel"</formula>
    </cfRule>
    <cfRule type="cellIs" dxfId="25519" priority="17589" stopIfTrue="1" operator="equal">
      <formula>"Napkin Hs"</formula>
    </cfRule>
    <cfRule type="cellIs" dxfId="25518" priority="17591" stopIfTrue="1" operator="equal">
      <formula>"Napkin Hs"</formula>
    </cfRule>
  </conditionalFormatting>
  <conditionalFormatting sqref="C18:C19">
    <cfRule type="cellIs" dxfId="25517" priority="17590" stopIfTrue="1" operator="equal">
      <formula>"Towel"</formula>
    </cfRule>
  </conditionalFormatting>
  <conditionalFormatting sqref="B18:C19">
    <cfRule type="cellIs" dxfId="25516" priority="17568" stopIfTrue="1" operator="equal">
      <formula>"Towel"</formula>
    </cfRule>
    <cfRule type="cellIs" dxfId="25515" priority="17569" stopIfTrue="1" operator="equal">
      <formula>"Napkin Hs"</formula>
    </cfRule>
  </conditionalFormatting>
  <conditionalFormatting sqref="C18:C19">
    <cfRule type="cellIs" dxfId="25514" priority="17567" stopIfTrue="1" operator="equal">
      <formula>"Napkin Hs"</formula>
    </cfRule>
  </conditionalFormatting>
  <conditionalFormatting sqref="C18:C19">
    <cfRule type="cellIs" dxfId="25513" priority="17566" stopIfTrue="1" operator="equal">
      <formula>"Towel"</formula>
    </cfRule>
  </conditionalFormatting>
  <conditionalFormatting sqref="C18:C19">
    <cfRule type="cellIs" dxfId="25512" priority="17564" stopIfTrue="1" operator="equal">
      <formula>"Towel"</formula>
    </cfRule>
  </conditionalFormatting>
  <conditionalFormatting sqref="C18:C19">
    <cfRule type="cellIs" dxfId="25511" priority="17565" stopIfTrue="1" operator="equal">
      <formula>"Napkin Hs"</formula>
    </cfRule>
  </conditionalFormatting>
  <conditionalFormatting sqref="B18:B19">
    <cfRule type="cellIs" dxfId="25510" priority="17468" stopIfTrue="1" operator="equal">
      <formula>"Napkin Hs"</formula>
    </cfRule>
  </conditionalFormatting>
  <conditionalFormatting sqref="B18:C19">
    <cfRule type="cellIs" dxfId="25509" priority="17467" stopIfTrue="1" operator="equal">
      <formula>"Towel"</formula>
    </cfRule>
  </conditionalFormatting>
  <conditionalFormatting sqref="B18:C19">
    <cfRule type="cellIs" dxfId="25508" priority="17478" stopIfTrue="1" operator="equal">
      <formula>"Towel"</formula>
    </cfRule>
    <cfRule type="cellIs" dxfId="25507" priority="17479" stopIfTrue="1" operator="equal">
      <formula>"Napkin Hs"</formula>
    </cfRule>
    <cfRule type="cellIs" dxfId="25506" priority="17484" stopIfTrue="1" operator="equal">
      <formula>"Towel"</formula>
    </cfRule>
    <cfRule type="cellIs" dxfId="25505" priority="17485" stopIfTrue="1" operator="equal">
      <formula>"Napkin Hs"</formula>
    </cfRule>
    <cfRule type="cellIs" dxfId="25504" priority="17490" stopIfTrue="1" operator="equal">
      <formula>"Towel"</formula>
    </cfRule>
    <cfRule type="cellIs" dxfId="25503" priority="17491" stopIfTrue="1" operator="equal">
      <formula>"Napkin Hs"</formula>
    </cfRule>
    <cfRule type="cellIs" dxfId="25502" priority="17492" stopIfTrue="1" operator="equal">
      <formula>"Towel"</formula>
    </cfRule>
    <cfRule type="cellIs" dxfId="25501" priority="17493" stopIfTrue="1" operator="equal">
      <formula>"Napkin Hs"</formula>
    </cfRule>
    <cfRule type="cellIs" dxfId="25500" priority="17498" stopIfTrue="1" operator="equal">
      <formula>"Towel"</formula>
    </cfRule>
    <cfRule type="cellIs" dxfId="25499" priority="17499" stopIfTrue="1" operator="equal">
      <formula>"Napkin Hs"</formula>
    </cfRule>
    <cfRule type="cellIs" dxfId="25498" priority="17508" stopIfTrue="1" operator="equal">
      <formula>"Towel"</formula>
    </cfRule>
    <cfRule type="cellIs" dxfId="25497" priority="17509" stopIfTrue="1" operator="equal">
      <formula>"Napkin Hs"</formula>
    </cfRule>
    <cfRule type="cellIs" dxfId="25496" priority="17514" stopIfTrue="1" operator="equal">
      <formula>"Towel"</formula>
    </cfRule>
    <cfRule type="cellIs" dxfId="25495" priority="17515" stopIfTrue="1" operator="equal">
      <formula>"Napkin Hs"</formula>
    </cfRule>
    <cfRule type="cellIs" dxfId="25494" priority="17516" stopIfTrue="1" operator="equal">
      <formula>"Towel"</formula>
    </cfRule>
    <cfRule type="cellIs" dxfId="25493" priority="17517" stopIfTrue="1" operator="equal">
      <formula>"Napkin Hs"</formula>
    </cfRule>
    <cfRule type="cellIs" dxfId="25492" priority="17522" stopIfTrue="1" operator="equal">
      <formula>"Towel"</formula>
    </cfRule>
    <cfRule type="cellIs" dxfId="25491" priority="17523" stopIfTrue="1" operator="equal">
      <formula>"Napkin Hs"</formula>
    </cfRule>
    <cfRule type="cellIs" dxfId="25490" priority="17532" stopIfTrue="1" operator="equal">
      <formula>"Towel"</formula>
    </cfRule>
    <cfRule type="cellIs" dxfId="25489" priority="17533" stopIfTrue="1" operator="equal">
      <formula>"Napkin Hs"</formula>
    </cfRule>
    <cfRule type="cellIs" dxfId="25488" priority="17534" stopIfTrue="1" operator="equal">
      <formula>"Towel"</formula>
    </cfRule>
    <cfRule type="cellIs" dxfId="25487" priority="17535" stopIfTrue="1" operator="equal">
      <formula>"Napkin Hs"</formula>
    </cfRule>
    <cfRule type="cellIs" dxfId="25486" priority="17540" stopIfTrue="1" operator="equal">
      <formula>"Towel"</formula>
    </cfRule>
    <cfRule type="cellIs" dxfId="25485" priority="17541" stopIfTrue="1" operator="equal">
      <formula>"Napkin Hs"</formula>
    </cfRule>
    <cfRule type="cellIs" dxfId="25484" priority="17550" stopIfTrue="1" operator="equal">
      <formula>"Towel"</formula>
    </cfRule>
    <cfRule type="cellIs" dxfId="25483" priority="17551" stopIfTrue="1" operator="equal">
      <formula>"Napkin Hs"</formula>
    </cfRule>
    <cfRule type="cellIs" dxfId="25482" priority="17552" stopIfTrue="1" operator="equal">
      <formula>"Towel"</formula>
    </cfRule>
    <cfRule type="cellIs" dxfId="25481" priority="17553" stopIfTrue="1" operator="equal">
      <formula>"Napkin Hs"</formula>
    </cfRule>
    <cfRule type="cellIs" dxfId="25480" priority="17559" stopIfTrue="1" operator="equal">
      <formula>"Napkin Hs"</formula>
    </cfRule>
  </conditionalFormatting>
  <conditionalFormatting sqref="B18:C19">
    <cfRule type="cellIs" dxfId="25479" priority="17558" stopIfTrue="1" operator="equal">
      <formula>"Towel"</formula>
    </cfRule>
  </conditionalFormatting>
  <conditionalFormatting sqref="C18:C19">
    <cfRule type="cellIs" dxfId="25478" priority="17469" stopIfTrue="1" operator="equal">
      <formula>"Napkin Hs"</formula>
    </cfRule>
    <cfRule type="cellIs" dxfId="25477" priority="17470" stopIfTrue="1" operator="equal">
      <formula>"Towel"</formula>
    </cfRule>
    <cfRule type="cellIs" dxfId="25476" priority="17471" stopIfTrue="1" operator="equal">
      <formula>"Napkin Hs"</formula>
    </cfRule>
    <cfRule type="cellIs" dxfId="25475" priority="17472" stopIfTrue="1" operator="equal">
      <formula>"Towel"</formula>
    </cfRule>
    <cfRule type="cellIs" dxfId="25474" priority="17473" stopIfTrue="1" operator="equal">
      <formula>"Napkin Hs"</formula>
    </cfRule>
    <cfRule type="cellIs" dxfId="25473" priority="17474" stopIfTrue="1" operator="equal">
      <formula>"Towel"</formula>
    </cfRule>
    <cfRule type="cellIs" dxfId="25472" priority="17475" stopIfTrue="1" operator="equal">
      <formula>"Napkin Hs"</formula>
    </cfRule>
    <cfRule type="cellIs" dxfId="25471" priority="17476" stopIfTrue="1" operator="equal">
      <formula>"Towel"</formula>
    </cfRule>
    <cfRule type="cellIs" dxfId="25470" priority="17477" stopIfTrue="1" operator="equal">
      <formula>"Napkin Hs"</formula>
    </cfRule>
    <cfRule type="cellIs" dxfId="25469" priority="17480" stopIfTrue="1" operator="equal">
      <formula>"Towel"</formula>
    </cfRule>
    <cfRule type="cellIs" dxfId="25468" priority="17481" stopIfTrue="1" operator="equal">
      <formula>"Napkin Hs"</formula>
    </cfRule>
    <cfRule type="cellIs" dxfId="25467" priority="17482" stopIfTrue="1" operator="equal">
      <formula>"Towel"</formula>
    </cfRule>
    <cfRule type="cellIs" dxfId="25466" priority="17483" stopIfTrue="1" operator="equal">
      <formula>"Napkin Hs"</formula>
    </cfRule>
    <cfRule type="cellIs" dxfId="25465" priority="17486" stopIfTrue="1" operator="equal">
      <formula>"Towel"</formula>
    </cfRule>
    <cfRule type="cellIs" dxfId="25464" priority="17487" stopIfTrue="1" operator="equal">
      <formula>"Napkin Hs"</formula>
    </cfRule>
    <cfRule type="cellIs" dxfId="25463" priority="17488" stopIfTrue="1" operator="equal">
      <formula>"Towel"</formula>
    </cfRule>
    <cfRule type="cellIs" dxfId="25462" priority="17489" stopIfTrue="1" operator="equal">
      <formula>"Napkin Hs"</formula>
    </cfRule>
    <cfRule type="cellIs" dxfId="25461" priority="17494" stopIfTrue="1" operator="equal">
      <formula>"Towel"</formula>
    </cfRule>
    <cfRule type="cellIs" dxfId="25460" priority="17495" stopIfTrue="1" operator="equal">
      <formula>"Napkin Hs"</formula>
    </cfRule>
    <cfRule type="cellIs" dxfId="25459" priority="17496" stopIfTrue="1" operator="equal">
      <formula>"Towel"</formula>
    </cfRule>
    <cfRule type="cellIs" dxfId="25458" priority="17497" stopIfTrue="1" operator="equal">
      <formula>"Napkin Hs"</formula>
    </cfRule>
    <cfRule type="cellIs" dxfId="25457" priority="17500" stopIfTrue="1" operator="equal">
      <formula>"Towel"</formula>
    </cfRule>
    <cfRule type="cellIs" dxfId="25456" priority="17501" stopIfTrue="1" operator="equal">
      <formula>"Napkin Hs"</formula>
    </cfRule>
    <cfRule type="cellIs" dxfId="25455" priority="17502" stopIfTrue="1" operator="equal">
      <formula>"Towel"</formula>
    </cfRule>
    <cfRule type="cellIs" dxfId="25454" priority="17503" stopIfTrue="1" operator="equal">
      <formula>"Napkin Hs"</formula>
    </cfRule>
    <cfRule type="cellIs" dxfId="25453" priority="17504" stopIfTrue="1" operator="equal">
      <formula>"Towel"</formula>
    </cfRule>
    <cfRule type="cellIs" dxfId="25452" priority="17505" stopIfTrue="1" operator="equal">
      <formula>"Napkin Hs"</formula>
    </cfRule>
    <cfRule type="cellIs" dxfId="25451" priority="17506" stopIfTrue="1" operator="equal">
      <formula>"Towel"</formula>
    </cfRule>
    <cfRule type="cellIs" dxfId="25450" priority="17507" stopIfTrue="1" operator="equal">
      <formula>"Napkin Hs"</formula>
    </cfRule>
    <cfRule type="cellIs" dxfId="25449" priority="17510" stopIfTrue="1" operator="equal">
      <formula>"Towel"</formula>
    </cfRule>
    <cfRule type="cellIs" dxfId="25448" priority="17511" stopIfTrue="1" operator="equal">
      <formula>"Napkin Hs"</formula>
    </cfRule>
    <cfRule type="cellIs" dxfId="25447" priority="17512" stopIfTrue="1" operator="equal">
      <formula>"Towel"</formula>
    </cfRule>
    <cfRule type="cellIs" dxfId="25446" priority="17513" stopIfTrue="1" operator="equal">
      <formula>"Napkin Hs"</formula>
    </cfRule>
    <cfRule type="cellIs" dxfId="25445" priority="17518" stopIfTrue="1" operator="equal">
      <formula>"Towel"</formula>
    </cfRule>
    <cfRule type="cellIs" dxfId="25444" priority="17519" stopIfTrue="1" operator="equal">
      <formula>"Napkin Hs"</formula>
    </cfRule>
    <cfRule type="cellIs" dxfId="25443" priority="17520" stopIfTrue="1" operator="equal">
      <formula>"Towel"</formula>
    </cfRule>
    <cfRule type="cellIs" dxfId="25442" priority="17521" stopIfTrue="1" operator="equal">
      <formula>"Napkin Hs"</formula>
    </cfRule>
    <cfRule type="cellIs" dxfId="25441" priority="17524" stopIfTrue="1" operator="equal">
      <formula>"Towel"</formula>
    </cfRule>
    <cfRule type="cellIs" dxfId="25440" priority="17525" stopIfTrue="1" operator="equal">
      <formula>"Napkin Hs"</formula>
    </cfRule>
    <cfRule type="cellIs" dxfId="25439" priority="17526" stopIfTrue="1" operator="equal">
      <formula>"Towel"</formula>
    </cfRule>
    <cfRule type="cellIs" dxfId="25438" priority="17527" stopIfTrue="1" operator="equal">
      <formula>"Napkin Hs"</formula>
    </cfRule>
    <cfRule type="cellIs" dxfId="25437" priority="17528" stopIfTrue="1" operator="equal">
      <formula>"Towel"</formula>
    </cfRule>
    <cfRule type="cellIs" dxfId="25436" priority="17529" stopIfTrue="1" operator="equal">
      <formula>"Napkin Hs"</formula>
    </cfRule>
    <cfRule type="cellIs" dxfId="25435" priority="17530" stopIfTrue="1" operator="equal">
      <formula>"Towel"</formula>
    </cfRule>
    <cfRule type="cellIs" dxfId="25434" priority="17531" stopIfTrue="1" operator="equal">
      <formula>"Napkin Hs"</formula>
    </cfRule>
    <cfRule type="cellIs" dxfId="25433" priority="17536" stopIfTrue="1" operator="equal">
      <formula>"Towel"</formula>
    </cfRule>
    <cfRule type="cellIs" dxfId="25432" priority="17537" stopIfTrue="1" operator="equal">
      <formula>"Napkin Hs"</formula>
    </cfRule>
    <cfRule type="cellIs" dxfId="25431" priority="17538" stopIfTrue="1" operator="equal">
      <formula>"Towel"</formula>
    </cfRule>
    <cfRule type="cellIs" dxfId="25430" priority="17539" stopIfTrue="1" operator="equal">
      <formula>"Napkin Hs"</formula>
    </cfRule>
    <cfRule type="cellIs" dxfId="25429" priority="17542" stopIfTrue="1" operator="equal">
      <formula>"Towel"</formula>
    </cfRule>
    <cfRule type="cellIs" dxfId="25428" priority="17543" stopIfTrue="1" operator="equal">
      <formula>"Napkin Hs"</formula>
    </cfRule>
    <cfRule type="cellIs" dxfId="25427" priority="17544" stopIfTrue="1" operator="equal">
      <formula>"Towel"</formula>
    </cfRule>
    <cfRule type="cellIs" dxfId="25426" priority="17545" stopIfTrue="1" operator="equal">
      <formula>"Napkin Hs"</formula>
    </cfRule>
    <cfRule type="cellIs" dxfId="25425" priority="17546" stopIfTrue="1" operator="equal">
      <formula>"Towel"</formula>
    </cfRule>
    <cfRule type="cellIs" dxfId="25424" priority="17547" stopIfTrue="1" operator="equal">
      <formula>"Napkin Hs"</formula>
    </cfRule>
    <cfRule type="cellIs" dxfId="25423" priority="17548" stopIfTrue="1" operator="equal">
      <formula>"Towel"</formula>
    </cfRule>
    <cfRule type="cellIs" dxfId="25422" priority="17549" stopIfTrue="1" operator="equal">
      <formula>"Napkin Hs"</formula>
    </cfRule>
    <cfRule type="cellIs" dxfId="25421" priority="17554" stopIfTrue="1" operator="equal">
      <formula>"Towel"</formula>
    </cfRule>
    <cfRule type="cellIs" dxfId="25420" priority="17555" stopIfTrue="1" operator="equal">
      <formula>"Napkin Hs"</formula>
    </cfRule>
    <cfRule type="cellIs" dxfId="25419" priority="17556" stopIfTrue="1" operator="equal">
      <formula>"Towel"</formula>
    </cfRule>
    <cfRule type="cellIs" dxfId="25418" priority="17557" stopIfTrue="1" operator="equal">
      <formula>"Napkin Hs"</formula>
    </cfRule>
    <cfRule type="cellIs" dxfId="25417" priority="17560" stopIfTrue="1" operator="equal">
      <formula>"Towel"</formula>
    </cfRule>
    <cfRule type="cellIs" dxfId="25416" priority="17561" stopIfTrue="1" operator="equal">
      <formula>"Napkin Hs"</formula>
    </cfRule>
    <cfRule type="cellIs" dxfId="25415" priority="17562" stopIfTrue="1" operator="equal">
      <formula>"Towel"</formula>
    </cfRule>
    <cfRule type="cellIs" dxfId="25414" priority="17563" stopIfTrue="1" operator="equal">
      <formula>"Napkin Hs"</formula>
    </cfRule>
  </conditionalFormatting>
  <conditionalFormatting sqref="B20">
    <cfRule type="cellIs" dxfId="25413" priority="17459" stopIfTrue="1" operator="equal">
      <formula>"Towel"</formula>
    </cfRule>
  </conditionalFormatting>
  <conditionalFormatting sqref="B20">
    <cfRule type="cellIs" dxfId="25412" priority="17460" stopIfTrue="1" operator="equal">
      <formula>"Napkin Hs"</formula>
    </cfRule>
    <cfRule type="cellIs" dxfId="25411" priority="17461" stopIfTrue="1" operator="equal">
      <formula>"Towel"</formula>
    </cfRule>
    <cfRule type="cellIs" dxfId="25410" priority="17462" stopIfTrue="1" operator="equal">
      <formula>"Napkin Hs"</formula>
    </cfRule>
    <cfRule type="cellIs" dxfId="25409" priority="17463" stopIfTrue="1" operator="equal">
      <formula>"Towel"</formula>
    </cfRule>
    <cfRule type="cellIs" dxfId="25408" priority="17464" stopIfTrue="1" operator="equal">
      <formula>"Napkin Hs"</formula>
    </cfRule>
    <cfRule type="cellIs" dxfId="25407" priority="17465" stopIfTrue="1" operator="equal">
      <formula>"Towel"</formula>
    </cfRule>
    <cfRule type="cellIs" dxfId="25406" priority="17466" stopIfTrue="1" operator="equal">
      <formula>"Napkin Hs"</formula>
    </cfRule>
  </conditionalFormatting>
  <conditionalFormatting sqref="B20">
    <cfRule type="cellIs" dxfId="25405" priority="17457" stopIfTrue="1" operator="equal">
      <formula>"Towel"</formula>
    </cfRule>
    <cfRule type="cellIs" dxfId="25404" priority="17458" stopIfTrue="1" operator="equal">
      <formula>"Napkin Hs"</formula>
    </cfRule>
  </conditionalFormatting>
  <conditionalFormatting sqref="B20">
    <cfRule type="cellIs" dxfId="25403" priority="17426" stopIfTrue="1" operator="equal">
      <formula>"Napkin Hs"</formula>
    </cfRule>
  </conditionalFormatting>
  <conditionalFormatting sqref="B20">
    <cfRule type="cellIs" dxfId="25402" priority="17425" stopIfTrue="1" operator="equal">
      <formula>"Towel"</formula>
    </cfRule>
  </conditionalFormatting>
  <conditionalFormatting sqref="B20">
    <cfRule type="cellIs" dxfId="25401" priority="17427" stopIfTrue="1" operator="equal">
      <formula>"Towel"</formula>
    </cfRule>
    <cfRule type="cellIs" dxfId="25400" priority="17428" stopIfTrue="1" operator="equal">
      <formula>"Napkin Hs"</formula>
    </cfRule>
    <cfRule type="cellIs" dxfId="25399" priority="17429" stopIfTrue="1" operator="equal">
      <formula>"Towel"</formula>
    </cfRule>
    <cfRule type="cellIs" dxfId="25398" priority="17430" stopIfTrue="1" operator="equal">
      <formula>"Napkin Hs"</formula>
    </cfRule>
    <cfRule type="cellIs" dxfId="25397" priority="17431" stopIfTrue="1" operator="equal">
      <formula>"Towel"</formula>
    </cfRule>
    <cfRule type="cellIs" dxfId="25396" priority="17432" stopIfTrue="1" operator="equal">
      <formula>"Napkin Hs"</formula>
    </cfRule>
    <cfRule type="cellIs" dxfId="25395" priority="17433" stopIfTrue="1" operator="equal">
      <formula>"Towel"</formula>
    </cfRule>
    <cfRule type="cellIs" dxfId="25394" priority="17434" stopIfTrue="1" operator="equal">
      <formula>"Napkin Hs"</formula>
    </cfRule>
    <cfRule type="cellIs" dxfId="25393" priority="17435" stopIfTrue="1" operator="equal">
      <formula>"Towel"</formula>
    </cfRule>
    <cfRule type="cellIs" dxfId="25392" priority="17436" stopIfTrue="1" operator="equal">
      <formula>"Napkin Hs"</formula>
    </cfRule>
    <cfRule type="cellIs" dxfId="25391" priority="17437" stopIfTrue="1" operator="equal">
      <formula>"Towel"</formula>
    </cfRule>
    <cfRule type="cellIs" dxfId="25390" priority="17438" stopIfTrue="1" operator="equal">
      <formula>"Napkin Hs"</formula>
    </cfRule>
    <cfRule type="cellIs" dxfId="25389" priority="17439" stopIfTrue="1" operator="equal">
      <formula>"Towel"</formula>
    </cfRule>
    <cfRule type="cellIs" dxfId="25388" priority="17440" stopIfTrue="1" operator="equal">
      <formula>"Napkin Hs"</formula>
    </cfRule>
    <cfRule type="cellIs" dxfId="25387" priority="17441" stopIfTrue="1" operator="equal">
      <formula>"Towel"</formula>
    </cfRule>
    <cfRule type="cellIs" dxfId="25386" priority="17442" stopIfTrue="1" operator="equal">
      <formula>"Napkin Hs"</formula>
    </cfRule>
    <cfRule type="cellIs" dxfId="25385" priority="17443" stopIfTrue="1" operator="equal">
      <formula>"Towel"</formula>
    </cfRule>
    <cfRule type="cellIs" dxfId="25384" priority="17444" stopIfTrue="1" operator="equal">
      <formula>"Napkin Hs"</formula>
    </cfRule>
    <cfRule type="cellIs" dxfId="25383" priority="17445" stopIfTrue="1" operator="equal">
      <formula>"Towel"</formula>
    </cfRule>
    <cfRule type="cellIs" dxfId="25382" priority="17446" stopIfTrue="1" operator="equal">
      <formula>"Napkin Hs"</formula>
    </cfRule>
    <cfRule type="cellIs" dxfId="25381" priority="17447" stopIfTrue="1" operator="equal">
      <formula>"Towel"</formula>
    </cfRule>
    <cfRule type="cellIs" dxfId="25380" priority="17448" stopIfTrue="1" operator="equal">
      <formula>"Napkin Hs"</formula>
    </cfRule>
    <cfRule type="cellIs" dxfId="25379" priority="17449" stopIfTrue="1" operator="equal">
      <formula>"Towel"</formula>
    </cfRule>
    <cfRule type="cellIs" dxfId="25378" priority="17450" stopIfTrue="1" operator="equal">
      <formula>"Napkin Hs"</formula>
    </cfRule>
    <cfRule type="cellIs" dxfId="25377" priority="17451" stopIfTrue="1" operator="equal">
      <formula>"Towel"</formula>
    </cfRule>
    <cfRule type="cellIs" dxfId="25376" priority="17452" stopIfTrue="1" operator="equal">
      <formula>"Napkin Hs"</formula>
    </cfRule>
    <cfRule type="cellIs" dxfId="25375" priority="17453" stopIfTrue="1" operator="equal">
      <formula>"Towel"</formula>
    </cfRule>
    <cfRule type="cellIs" dxfId="25374" priority="17454" stopIfTrue="1" operator="equal">
      <formula>"Napkin Hs"</formula>
    </cfRule>
    <cfRule type="cellIs" dxfId="25373" priority="17456" stopIfTrue="1" operator="equal">
      <formula>"Napkin Hs"</formula>
    </cfRule>
  </conditionalFormatting>
  <conditionalFormatting sqref="B20">
    <cfRule type="cellIs" dxfId="25372" priority="17455" stopIfTrue="1" operator="equal">
      <formula>"Towel"</formula>
    </cfRule>
  </conditionalFormatting>
  <conditionalFormatting sqref="C20">
    <cfRule type="cellIs" dxfId="25371" priority="17409" stopIfTrue="1" operator="equal">
      <formula>"Towel"</formula>
    </cfRule>
    <cfRule type="cellIs" dxfId="25370" priority="17410" stopIfTrue="1" operator="equal">
      <formula>"Napkin Hs"</formula>
    </cfRule>
  </conditionalFormatting>
  <conditionalFormatting sqref="C20">
    <cfRule type="cellIs" dxfId="25369" priority="17411" stopIfTrue="1" operator="equal">
      <formula>"Towel"</formula>
    </cfRule>
    <cfRule type="cellIs" dxfId="25368" priority="17412" stopIfTrue="1" operator="equal">
      <formula>"Napkin Hs"</formula>
    </cfRule>
  </conditionalFormatting>
  <conditionalFormatting sqref="B20:C20">
    <cfRule type="cellIs" dxfId="25367" priority="17407" stopIfTrue="1" operator="equal">
      <formula>"Towel"</formula>
    </cfRule>
    <cfRule type="cellIs" dxfId="25366" priority="17408" stopIfTrue="1" operator="equal">
      <formula>"Napkin Hs"</formula>
    </cfRule>
  </conditionalFormatting>
  <conditionalFormatting sqref="B20:C20">
    <cfRule type="cellIs" dxfId="25365" priority="17401" stopIfTrue="1" operator="equal">
      <formula>"Towel"</formula>
    </cfRule>
    <cfRule type="cellIs" dxfId="25364" priority="17402" stopIfTrue="1" operator="equal">
      <formula>"Napkin Hs"</formula>
    </cfRule>
  </conditionalFormatting>
  <conditionalFormatting sqref="C20">
    <cfRule type="cellIs" dxfId="25363" priority="17403" stopIfTrue="1" operator="equal">
      <formula>"Towel"</formula>
    </cfRule>
    <cfRule type="cellIs" dxfId="25362" priority="17404" stopIfTrue="1" operator="equal">
      <formula>"Napkin Hs"</formula>
    </cfRule>
  </conditionalFormatting>
  <conditionalFormatting sqref="C20">
    <cfRule type="cellIs" dxfId="25361" priority="17405" stopIfTrue="1" operator="equal">
      <formula>"Towel"</formula>
    </cfRule>
    <cfRule type="cellIs" dxfId="25360" priority="17406" stopIfTrue="1" operator="equal">
      <formula>"Napkin Hs"</formula>
    </cfRule>
  </conditionalFormatting>
  <conditionalFormatting sqref="B19:C19">
    <cfRule type="cellIs" dxfId="25359" priority="17395" stopIfTrue="1" operator="equal">
      <formula>"Towel"</formula>
    </cfRule>
    <cfRule type="cellIs" dxfId="25358" priority="17396" stopIfTrue="1" operator="equal">
      <formula>"Napkin Hs"</formula>
    </cfRule>
  </conditionalFormatting>
  <conditionalFormatting sqref="C19">
    <cfRule type="cellIs" dxfId="25357" priority="17391" stopIfTrue="1" operator="equal">
      <formula>"Towel"</formula>
    </cfRule>
    <cfRule type="cellIs" dxfId="25356" priority="17392" stopIfTrue="1" operator="equal">
      <formula>"Napkin Hs"</formula>
    </cfRule>
  </conditionalFormatting>
  <conditionalFormatting sqref="C19">
    <cfRule type="cellIs" dxfId="25355" priority="17393" stopIfTrue="1" operator="equal">
      <formula>"Towel"</formula>
    </cfRule>
    <cfRule type="cellIs" dxfId="25354" priority="17394" stopIfTrue="1" operator="equal">
      <formula>"Napkin Hs"</formula>
    </cfRule>
  </conditionalFormatting>
  <conditionalFormatting sqref="B19:C19">
    <cfRule type="cellIs" dxfId="25353" priority="17389" stopIfTrue="1" operator="equal">
      <formula>"Towel"</formula>
    </cfRule>
    <cfRule type="cellIs" dxfId="25352" priority="17390" stopIfTrue="1" operator="equal">
      <formula>"Napkin Hs"</formula>
    </cfRule>
  </conditionalFormatting>
  <conditionalFormatting sqref="C19">
    <cfRule type="cellIs" dxfId="25351" priority="17387" stopIfTrue="1" operator="equal">
      <formula>"Towel"</formula>
    </cfRule>
    <cfRule type="cellIs" dxfId="25350" priority="17388" stopIfTrue="1" operator="equal">
      <formula>"Napkin Hs"</formula>
    </cfRule>
  </conditionalFormatting>
  <conditionalFormatting sqref="C19">
    <cfRule type="cellIs" dxfId="25349" priority="17385" stopIfTrue="1" operator="equal">
      <formula>"Towel"</formula>
    </cfRule>
    <cfRule type="cellIs" dxfId="25348" priority="17386" stopIfTrue="1" operator="equal">
      <formula>"Napkin Hs"</formula>
    </cfRule>
  </conditionalFormatting>
  <conditionalFormatting sqref="C19">
    <cfRule type="cellIs" dxfId="25347" priority="17377" stopIfTrue="1" operator="equal">
      <formula>"Towel"</formula>
    </cfRule>
    <cfRule type="cellIs" dxfId="25346" priority="17378" stopIfTrue="1" operator="equal">
      <formula>"Napkin Hs"</formula>
    </cfRule>
  </conditionalFormatting>
  <conditionalFormatting sqref="B19:C19">
    <cfRule type="cellIs" dxfId="25345" priority="17379" stopIfTrue="1" operator="equal">
      <formula>"Towel"</formula>
    </cfRule>
    <cfRule type="cellIs" dxfId="25344" priority="17380" stopIfTrue="1" operator="equal">
      <formula>"Napkin Hs"</formula>
    </cfRule>
  </conditionalFormatting>
  <conditionalFormatting sqref="C19">
    <cfRule type="cellIs" dxfId="25343" priority="17375" stopIfTrue="1" operator="equal">
      <formula>"Towel"</formula>
    </cfRule>
    <cfRule type="cellIs" dxfId="25342" priority="17376" stopIfTrue="1" operator="equal">
      <formula>"Napkin Hs"</formula>
    </cfRule>
  </conditionalFormatting>
  <conditionalFormatting sqref="B19:C19">
    <cfRule type="cellIs" dxfId="25341" priority="17373" stopIfTrue="1" operator="equal">
      <formula>"Towel"</formula>
    </cfRule>
    <cfRule type="cellIs" dxfId="25340" priority="17374" stopIfTrue="1" operator="equal">
      <formula>"Napkin Hs"</formula>
    </cfRule>
  </conditionalFormatting>
  <conditionalFormatting sqref="C19">
    <cfRule type="cellIs" dxfId="25339" priority="17381" stopIfTrue="1" operator="equal">
      <formula>"Towel"</formula>
    </cfRule>
    <cfRule type="cellIs" dxfId="25338" priority="17382" stopIfTrue="1" operator="equal">
      <formula>"Napkin Hs"</formula>
    </cfRule>
  </conditionalFormatting>
  <conditionalFormatting sqref="C19">
    <cfRule type="cellIs" dxfId="25337" priority="17383" stopIfTrue="1" operator="equal">
      <formula>"Towel"</formula>
    </cfRule>
    <cfRule type="cellIs" dxfId="25336" priority="17384" stopIfTrue="1" operator="equal">
      <formula>"Napkin Hs"</formula>
    </cfRule>
  </conditionalFormatting>
  <conditionalFormatting sqref="B19:C19">
    <cfRule type="cellIs" dxfId="25335" priority="17371" stopIfTrue="1" operator="equal">
      <formula>"Towel"</formula>
    </cfRule>
    <cfRule type="cellIs" dxfId="25334" priority="17372" stopIfTrue="1" operator="equal">
      <formula>"Napkin Hs"</formula>
    </cfRule>
  </conditionalFormatting>
  <conditionalFormatting sqref="C19">
    <cfRule type="cellIs" dxfId="25333" priority="17367" stopIfTrue="1" operator="equal">
      <formula>"Towel"</formula>
    </cfRule>
    <cfRule type="cellIs" dxfId="25332" priority="17368" stopIfTrue="1" operator="equal">
      <formula>"Napkin Hs"</formula>
    </cfRule>
  </conditionalFormatting>
  <conditionalFormatting sqref="C19">
    <cfRule type="cellIs" dxfId="25331" priority="17369" stopIfTrue="1" operator="equal">
      <formula>"Towel"</formula>
    </cfRule>
    <cfRule type="cellIs" dxfId="25330" priority="17370" stopIfTrue="1" operator="equal">
      <formula>"Napkin Hs"</formula>
    </cfRule>
  </conditionalFormatting>
  <conditionalFormatting sqref="B19:C19">
    <cfRule type="cellIs" dxfId="25329" priority="17365" stopIfTrue="1" operator="equal">
      <formula>"Towel"</formula>
    </cfRule>
    <cfRule type="cellIs" dxfId="25328" priority="17366" stopIfTrue="1" operator="equal">
      <formula>"Napkin Hs"</formula>
    </cfRule>
  </conditionalFormatting>
  <conditionalFormatting sqref="C19">
    <cfRule type="cellIs" dxfId="25327" priority="17363" stopIfTrue="1" operator="equal">
      <formula>"Towel"</formula>
    </cfRule>
    <cfRule type="cellIs" dxfId="25326" priority="17364" stopIfTrue="1" operator="equal">
      <formula>"Napkin Hs"</formula>
    </cfRule>
  </conditionalFormatting>
  <conditionalFormatting sqref="C19">
    <cfRule type="cellIs" dxfId="25325" priority="17361" stopIfTrue="1" operator="equal">
      <formula>"Towel"</formula>
    </cfRule>
    <cfRule type="cellIs" dxfId="25324" priority="17362" stopIfTrue="1" operator="equal">
      <formula>"Napkin Hs"</formula>
    </cfRule>
  </conditionalFormatting>
  <conditionalFormatting sqref="C19">
    <cfRule type="cellIs" dxfId="25323" priority="17353" stopIfTrue="1" operator="equal">
      <formula>"Towel"</formula>
    </cfRule>
    <cfRule type="cellIs" dxfId="25322" priority="17354" stopIfTrue="1" operator="equal">
      <formula>"Napkin Hs"</formula>
    </cfRule>
  </conditionalFormatting>
  <conditionalFormatting sqref="B19:C19">
    <cfRule type="cellIs" dxfId="25321" priority="17355" stopIfTrue="1" operator="equal">
      <formula>"Towel"</formula>
    </cfRule>
    <cfRule type="cellIs" dxfId="25320" priority="17356" stopIfTrue="1" operator="equal">
      <formula>"Napkin Hs"</formula>
    </cfRule>
  </conditionalFormatting>
  <conditionalFormatting sqref="C19">
    <cfRule type="cellIs" dxfId="25319" priority="17351" stopIfTrue="1" operator="equal">
      <formula>"Towel"</formula>
    </cfRule>
    <cfRule type="cellIs" dxfId="25318" priority="17352" stopIfTrue="1" operator="equal">
      <formula>"Napkin Hs"</formula>
    </cfRule>
  </conditionalFormatting>
  <conditionalFormatting sqref="B19:C19">
    <cfRule type="cellIs" dxfId="25317" priority="17349" stopIfTrue="1" operator="equal">
      <formula>"Towel"</formula>
    </cfRule>
    <cfRule type="cellIs" dxfId="25316" priority="17350" stopIfTrue="1" operator="equal">
      <formula>"Napkin Hs"</formula>
    </cfRule>
  </conditionalFormatting>
  <conditionalFormatting sqref="C19">
    <cfRule type="cellIs" dxfId="25315" priority="17357" stopIfTrue="1" operator="equal">
      <formula>"Towel"</formula>
    </cfRule>
    <cfRule type="cellIs" dxfId="25314" priority="17358" stopIfTrue="1" operator="equal">
      <formula>"Napkin Hs"</formula>
    </cfRule>
  </conditionalFormatting>
  <conditionalFormatting sqref="C19">
    <cfRule type="cellIs" dxfId="25313" priority="17359" stopIfTrue="1" operator="equal">
      <formula>"Towel"</formula>
    </cfRule>
    <cfRule type="cellIs" dxfId="25312" priority="17360" stopIfTrue="1" operator="equal">
      <formula>"Napkin Hs"</formula>
    </cfRule>
  </conditionalFormatting>
  <conditionalFormatting sqref="B16:C16">
    <cfRule type="cellIs" dxfId="25311" priority="17347" stopIfTrue="1" operator="equal">
      <formula>"Towel"</formula>
    </cfRule>
    <cfRule type="cellIs" dxfId="25310" priority="17348" stopIfTrue="1" operator="equal">
      <formula>"Napkin Hs"</formula>
    </cfRule>
  </conditionalFormatting>
  <conditionalFormatting sqref="C16">
    <cfRule type="cellIs" dxfId="25309" priority="17343" stopIfTrue="1" operator="equal">
      <formula>"Towel"</formula>
    </cfRule>
    <cfRule type="cellIs" dxfId="25308" priority="17344" stopIfTrue="1" operator="equal">
      <formula>"Napkin Hs"</formula>
    </cfRule>
  </conditionalFormatting>
  <conditionalFormatting sqref="C16">
    <cfRule type="cellIs" dxfId="25307" priority="17345" stopIfTrue="1" operator="equal">
      <formula>"Towel"</formula>
    </cfRule>
    <cfRule type="cellIs" dxfId="25306" priority="17346" stopIfTrue="1" operator="equal">
      <formula>"Napkin Hs"</formula>
    </cfRule>
  </conditionalFormatting>
  <conditionalFormatting sqref="B16:C16">
    <cfRule type="cellIs" dxfId="25305" priority="17341" stopIfTrue="1" operator="equal">
      <formula>"Towel"</formula>
    </cfRule>
    <cfRule type="cellIs" dxfId="25304" priority="17342" stopIfTrue="1" operator="equal">
      <formula>"Napkin Hs"</formula>
    </cfRule>
  </conditionalFormatting>
  <conditionalFormatting sqref="C16">
    <cfRule type="cellIs" dxfId="25303" priority="17339" stopIfTrue="1" operator="equal">
      <formula>"Towel"</formula>
    </cfRule>
    <cfRule type="cellIs" dxfId="25302" priority="17340" stopIfTrue="1" operator="equal">
      <formula>"Napkin Hs"</formula>
    </cfRule>
  </conditionalFormatting>
  <conditionalFormatting sqref="C16">
    <cfRule type="cellIs" dxfId="25301" priority="17337" stopIfTrue="1" operator="equal">
      <formula>"Towel"</formula>
    </cfRule>
    <cfRule type="cellIs" dxfId="25300" priority="17338" stopIfTrue="1" operator="equal">
      <formula>"Napkin Hs"</formula>
    </cfRule>
  </conditionalFormatting>
  <conditionalFormatting sqref="C16">
    <cfRule type="cellIs" dxfId="25299" priority="17329" stopIfTrue="1" operator="equal">
      <formula>"Towel"</formula>
    </cfRule>
    <cfRule type="cellIs" dxfId="25298" priority="17330" stopIfTrue="1" operator="equal">
      <formula>"Napkin Hs"</formula>
    </cfRule>
  </conditionalFormatting>
  <conditionalFormatting sqref="B16:C16">
    <cfRule type="cellIs" dxfId="25297" priority="17331" stopIfTrue="1" operator="equal">
      <formula>"Towel"</formula>
    </cfRule>
    <cfRule type="cellIs" dxfId="25296" priority="17332" stopIfTrue="1" operator="equal">
      <formula>"Napkin Hs"</formula>
    </cfRule>
  </conditionalFormatting>
  <conditionalFormatting sqref="C16">
    <cfRule type="cellIs" dxfId="25295" priority="17327" stopIfTrue="1" operator="equal">
      <formula>"Towel"</formula>
    </cfRule>
    <cfRule type="cellIs" dxfId="25294" priority="17328" stopIfTrue="1" operator="equal">
      <formula>"Napkin Hs"</formula>
    </cfRule>
  </conditionalFormatting>
  <conditionalFormatting sqref="B16:C16">
    <cfRule type="cellIs" dxfId="25293" priority="17325" stopIfTrue="1" operator="equal">
      <formula>"Towel"</formula>
    </cfRule>
    <cfRule type="cellIs" dxfId="25292" priority="17326" stopIfTrue="1" operator="equal">
      <formula>"Napkin Hs"</formula>
    </cfRule>
  </conditionalFormatting>
  <conditionalFormatting sqref="C16">
    <cfRule type="cellIs" dxfId="25291" priority="17333" stopIfTrue="1" operator="equal">
      <formula>"Towel"</formula>
    </cfRule>
    <cfRule type="cellIs" dxfId="25290" priority="17334" stopIfTrue="1" operator="equal">
      <formula>"Napkin Hs"</formula>
    </cfRule>
  </conditionalFormatting>
  <conditionalFormatting sqref="C16">
    <cfRule type="cellIs" dxfId="25289" priority="17335" stopIfTrue="1" operator="equal">
      <formula>"Towel"</formula>
    </cfRule>
    <cfRule type="cellIs" dxfId="25288" priority="17336" stopIfTrue="1" operator="equal">
      <formula>"Napkin Hs"</formula>
    </cfRule>
  </conditionalFormatting>
  <conditionalFormatting sqref="B16:C16">
    <cfRule type="cellIs" dxfId="25287" priority="17321" stopIfTrue="1" operator="equal">
      <formula>"Towel"</formula>
    </cfRule>
    <cfRule type="cellIs" dxfId="25286" priority="17322" stopIfTrue="1" operator="equal">
      <formula>"Napkin Hs"</formula>
    </cfRule>
  </conditionalFormatting>
  <conditionalFormatting sqref="C16">
    <cfRule type="cellIs" dxfId="25285" priority="17323" stopIfTrue="1" operator="equal">
      <formula>"Towel"</formula>
    </cfRule>
    <cfRule type="cellIs" dxfId="25284" priority="17324" stopIfTrue="1" operator="equal">
      <formula>"Napkin Hs"</formula>
    </cfRule>
  </conditionalFormatting>
  <conditionalFormatting sqref="C16">
    <cfRule type="cellIs" dxfId="25283" priority="17319" stopIfTrue="1" operator="equal">
      <formula>"Towel"</formula>
    </cfRule>
    <cfRule type="cellIs" dxfId="25282" priority="17320" stopIfTrue="1" operator="equal">
      <formula>"Napkin Hs"</formula>
    </cfRule>
  </conditionalFormatting>
  <conditionalFormatting sqref="B16:C16">
    <cfRule type="cellIs" dxfId="25281" priority="17317" stopIfTrue="1" operator="equal">
      <formula>"Towel"</formula>
    </cfRule>
    <cfRule type="cellIs" dxfId="25280" priority="17318" stopIfTrue="1" operator="equal">
      <formula>"Napkin Hs"</formula>
    </cfRule>
  </conditionalFormatting>
  <conditionalFormatting sqref="C16">
    <cfRule type="cellIs" dxfId="25279" priority="17313" stopIfTrue="1" operator="equal">
      <formula>"Towel"</formula>
    </cfRule>
    <cfRule type="cellIs" dxfId="25278" priority="17314" stopIfTrue="1" operator="equal">
      <formula>"Napkin Hs"</formula>
    </cfRule>
  </conditionalFormatting>
  <conditionalFormatting sqref="C16">
    <cfRule type="cellIs" dxfId="25277" priority="17315" stopIfTrue="1" operator="equal">
      <formula>"Towel"</formula>
    </cfRule>
    <cfRule type="cellIs" dxfId="25276" priority="17316" stopIfTrue="1" operator="equal">
      <formula>"Napkin Hs"</formula>
    </cfRule>
  </conditionalFormatting>
  <conditionalFormatting sqref="C18">
    <cfRule type="cellIs" dxfId="25275" priority="17223" stopIfTrue="1" operator="equal">
      <formula>"Towel"</formula>
    </cfRule>
    <cfRule type="cellIs" dxfId="25274" priority="17224" stopIfTrue="1" operator="equal">
      <formula>"Napkin Hs"</formula>
    </cfRule>
  </conditionalFormatting>
  <conditionalFormatting sqref="B18:C18">
    <cfRule type="cellIs" dxfId="25273" priority="17225" stopIfTrue="1" operator="equal">
      <formula>"Towel"</formula>
    </cfRule>
    <cfRule type="cellIs" dxfId="25272" priority="17226" stopIfTrue="1" operator="equal">
      <formula>"Napkin Hs"</formula>
    </cfRule>
  </conditionalFormatting>
  <conditionalFormatting sqref="B18:C18">
    <cfRule type="cellIs" dxfId="25271" priority="17221" stopIfTrue="1" operator="equal">
      <formula>"Towel"</formula>
    </cfRule>
    <cfRule type="cellIs" dxfId="25270" priority="17222" stopIfTrue="1" operator="equal">
      <formula>"Napkin Hs"</formula>
    </cfRule>
  </conditionalFormatting>
  <conditionalFormatting sqref="C18">
    <cfRule type="cellIs" dxfId="25269" priority="17219" stopIfTrue="1" operator="equal">
      <formula>"Towel"</formula>
    </cfRule>
    <cfRule type="cellIs" dxfId="25268" priority="17220" stopIfTrue="1" operator="equal">
      <formula>"Napkin Hs"</formula>
    </cfRule>
  </conditionalFormatting>
  <conditionalFormatting sqref="C16">
    <cfRule type="cellIs" dxfId="25267" priority="17215" stopIfTrue="1" operator="equal">
      <formula>"Towel"</formula>
    </cfRule>
    <cfRule type="cellIs" dxfId="25266" priority="17216" stopIfTrue="1" operator="equal">
      <formula>"Napkin Hs"</formula>
    </cfRule>
  </conditionalFormatting>
  <conditionalFormatting sqref="C18">
    <cfRule type="cellIs" dxfId="25265" priority="17217" stopIfTrue="1" operator="equal">
      <formula>"Towel"</formula>
    </cfRule>
    <cfRule type="cellIs" dxfId="25264" priority="17218" stopIfTrue="1" operator="equal">
      <formula>"Napkin Hs"</formula>
    </cfRule>
  </conditionalFormatting>
  <conditionalFormatting sqref="B18:C18">
    <cfRule type="cellIs" dxfId="25263" priority="17297" stopIfTrue="1" operator="equal">
      <formula>"Towel"</formula>
    </cfRule>
    <cfRule type="cellIs" dxfId="25262" priority="17298" stopIfTrue="1" operator="equal">
      <formula>"Napkin Hs"</formula>
    </cfRule>
  </conditionalFormatting>
  <conditionalFormatting sqref="C18">
    <cfRule type="cellIs" dxfId="25261" priority="17299" stopIfTrue="1" operator="equal">
      <formula>"Towel"</formula>
    </cfRule>
    <cfRule type="cellIs" dxfId="25260" priority="17300" stopIfTrue="1" operator="equal">
      <formula>"Napkin Hs"</formula>
    </cfRule>
  </conditionalFormatting>
  <conditionalFormatting sqref="C18">
    <cfRule type="cellIs" dxfId="25259" priority="17295" stopIfTrue="1" operator="equal">
      <formula>"Towel"</formula>
    </cfRule>
    <cfRule type="cellIs" dxfId="25258" priority="17296" stopIfTrue="1" operator="equal">
      <formula>"Napkin Hs"</formula>
    </cfRule>
  </conditionalFormatting>
  <conditionalFormatting sqref="B18:C18">
    <cfRule type="cellIs" dxfId="25257" priority="17293" stopIfTrue="1" operator="equal">
      <formula>"Towel"</formula>
    </cfRule>
    <cfRule type="cellIs" dxfId="25256" priority="17294" stopIfTrue="1" operator="equal">
      <formula>"Napkin Hs"</formula>
    </cfRule>
  </conditionalFormatting>
  <conditionalFormatting sqref="C18">
    <cfRule type="cellIs" dxfId="25255" priority="17289" stopIfTrue="1" operator="equal">
      <formula>"Towel"</formula>
    </cfRule>
    <cfRule type="cellIs" dxfId="25254" priority="17290" stopIfTrue="1" operator="equal">
      <formula>"Napkin Hs"</formula>
    </cfRule>
  </conditionalFormatting>
  <conditionalFormatting sqref="C18">
    <cfRule type="cellIs" dxfId="25253" priority="17291" stopIfTrue="1" operator="equal">
      <formula>"Towel"</formula>
    </cfRule>
    <cfRule type="cellIs" dxfId="25252" priority="17292" stopIfTrue="1" operator="equal">
      <formula>"Napkin Hs"</formula>
    </cfRule>
  </conditionalFormatting>
  <conditionalFormatting sqref="B19:C19">
    <cfRule type="cellIs" dxfId="25251" priority="17287" stopIfTrue="1" operator="equal">
      <formula>"Towel"</formula>
    </cfRule>
    <cfRule type="cellIs" dxfId="25250" priority="17288" stopIfTrue="1" operator="equal">
      <formula>"Napkin Hs"</formula>
    </cfRule>
  </conditionalFormatting>
  <conditionalFormatting sqref="C19">
    <cfRule type="cellIs" dxfId="25249" priority="17283" stopIfTrue="1" operator="equal">
      <formula>"Towel"</formula>
    </cfRule>
    <cfRule type="cellIs" dxfId="25248" priority="17284" stopIfTrue="1" operator="equal">
      <formula>"Napkin Hs"</formula>
    </cfRule>
  </conditionalFormatting>
  <conditionalFormatting sqref="C19">
    <cfRule type="cellIs" dxfId="25247" priority="17285" stopIfTrue="1" operator="equal">
      <formula>"Towel"</formula>
    </cfRule>
    <cfRule type="cellIs" dxfId="25246" priority="17286" stopIfTrue="1" operator="equal">
      <formula>"Napkin Hs"</formula>
    </cfRule>
  </conditionalFormatting>
  <conditionalFormatting sqref="B19:C19">
    <cfRule type="cellIs" dxfId="25245" priority="17281" stopIfTrue="1" operator="equal">
      <formula>"Towel"</formula>
    </cfRule>
    <cfRule type="cellIs" dxfId="25244" priority="17282" stopIfTrue="1" operator="equal">
      <formula>"Napkin Hs"</formula>
    </cfRule>
  </conditionalFormatting>
  <conditionalFormatting sqref="C19">
    <cfRule type="cellIs" dxfId="25243" priority="17279" stopIfTrue="1" operator="equal">
      <formula>"Towel"</formula>
    </cfRule>
    <cfRule type="cellIs" dxfId="25242" priority="17280" stopIfTrue="1" operator="equal">
      <formula>"Napkin Hs"</formula>
    </cfRule>
  </conditionalFormatting>
  <conditionalFormatting sqref="C19">
    <cfRule type="cellIs" dxfId="25241" priority="17277" stopIfTrue="1" operator="equal">
      <formula>"Towel"</formula>
    </cfRule>
    <cfRule type="cellIs" dxfId="25240" priority="17278" stopIfTrue="1" operator="equal">
      <formula>"Napkin Hs"</formula>
    </cfRule>
  </conditionalFormatting>
  <conditionalFormatting sqref="C19">
    <cfRule type="cellIs" dxfId="25239" priority="17269" stopIfTrue="1" operator="equal">
      <formula>"Towel"</formula>
    </cfRule>
    <cfRule type="cellIs" dxfId="25238" priority="17270" stopIfTrue="1" operator="equal">
      <formula>"Napkin Hs"</formula>
    </cfRule>
  </conditionalFormatting>
  <conditionalFormatting sqref="B19:C19">
    <cfRule type="cellIs" dxfId="25237" priority="17271" stopIfTrue="1" operator="equal">
      <formula>"Towel"</formula>
    </cfRule>
    <cfRule type="cellIs" dxfId="25236" priority="17272" stopIfTrue="1" operator="equal">
      <formula>"Napkin Hs"</formula>
    </cfRule>
  </conditionalFormatting>
  <conditionalFormatting sqref="C19">
    <cfRule type="cellIs" dxfId="25235" priority="17267" stopIfTrue="1" operator="equal">
      <formula>"Towel"</formula>
    </cfRule>
    <cfRule type="cellIs" dxfId="25234" priority="17268" stopIfTrue="1" operator="equal">
      <formula>"Napkin Hs"</formula>
    </cfRule>
  </conditionalFormatting>
  <conditionalFormatting sqref="B19:C19">
    <cfRule type="cellIs" dxfId="25233" priority="17265" stopIfTrue="1" operator="equal">
      <formula>"Towel"</formula>
    </cfRule>
    <cfRule type="cellIs" dxfId="25232" priority="17266" stopIfTrue="1" operator="equal">
      <formula>"Napkin Hs"</formula>
    </cfRule>
  </conditionalFormatting>
  <conditionalFormatting sqref="C19">
    <cfRule type="cellIs" dxfId="25231" priority="17273" stopIfTrue="1" operator="equal">
      <formula>"Towel"</formula>
    </cfRule>
    <cfRule type="cellIs" dxfId="25230" priority="17274" stopIfTrue="1" operator="equal">
      <formula>"Napkin Hs"</formula>
    </cfRule>
  </conditionalFormatting>
  <conditionalFormatting sqref="C19">
    <cfRule type="cellIs" dxfId="25229" priority="17275" stopIfTrue="1" operator="equal">
      <formula>"Towel"</formula>
    </cfRule>
    <cfRule type="cellIs" dxfId="25228" priority="17276" stopIfTrue="1" operator="equal">
      <formula>"Napkin Hs"</formula>
    </cfRule>
  </conditionalFormatting>
  <conditionalFormatting sqref="B19:C19">
    <cfRule type="cellIs" dxfId="25227" priority="17263" stopIfTrue="1" operator="equal">
      <formula>"Towel"</formula>
    </cfRule>
    <cfRule type="cellIs" dxfId="25226" priority="17264" stopIfTrue="1" operator="equal">
      <formula>"Napkin Hs"</formula>
    </cfRule>
  </conditionalFormatting>
  <conditionalFormatting sqref="C19">
    <cfRule type="cellIs" dxfId="25225" priority="17259" stopIfTrue="1" operator="equal">
      <formula>"Towel"</formula>
    </cfRule>
    <cfRule type="cellIs" dxfId="25224" priority="17260" stopIfTrue="1" operator="equal">
      <formula>"Napkin Hs"</formula>
    </cfRule>
  </conditionalFormatting>
  <conditionalFormatting sqref="C19">
    <cfRule type="cellIs" dxfId="25223" priority="17261" stopIfTrue="1" operator="equal">
      <formula>"Towel"</formula>
    </cfRule>
    <cfRule type="cellIs" dxfId="25222" priority="17262" stopIfTrue="1" operator="equal">
      <formula>"Napkin Hs"</formula>
    </cfRule>
  </conditionalFormatting>
  <conditionalFormatting sqref="B19:C19">
    <cfRule type="cellIs" dxfId="25221" priority="17257" stopIfTrue="1" operator="equal">
      <formula>"Towel"</formula>
    </cfRule>
    <cfRule type="cellIs" dxfId="25220" priority="17258" stopIfTrue="1" operator="equal">
      <formula>"Napkin Hs"</formula>
    </cfRule>
  </conditionalFormatting>
  <conditionalFormatting sqref="C19">
    <cfRule type="cellIs" dxfId="25219" priority="17255" stopIfTrue="1" operator="equal">
      <formula>"Towel"</formula>
    </cfRule>
    <cfRule type="cellIs" dxfId="25218" priority="17256" stopIfTrue="1" operator="equal">
      <formula>"Napkin Hs"</formula>
    </cfRule>
  </conditionalFormatting>
  <conditionalFormatting sqref="C19">
    <cfRule type="cellIs" dxfId="25217" priority="17253" stopIfTrue="1" operator="equal">
      <formula>"Towel"</formula>
    </cfRule>
    <cfRule type="cellIs" dxfId="25216" priority="17254" stopIfTrue="1" operator="equal">
      <formula>"Napkin Hs"</formula>
    </cfRule>
  </conditionalFormatting>
  <conditionalFormatting sqref="C19">
    <cfRule type="cellIs" dxfId="25215" priority="17245" stopIfTrue="1" operator="equal">
      <formula>"Towel"</formula>
    </cfRule>
    <cfRule type="cellIs" dxfId="25214" priority="17246" stopIfTrue="1" operator="equal">
      <formula>"Napkin Hs"</formula>
    </cfRule>
  </conditionalFormatting>
  <conditionalFormatting sqref="B19:C19">
    <cfRule type="cellIs" dxfId="25213" priority="17247" stopIfTrue="1" operator="equal">
      <formula>"Towel"</formula>
    </cfRule>
    <cfRule type="cellIs" dxfId="25212" priority="17248" stopIfTrue="1" operator="equal">
      <formula>"Napkin Hs"</formula>
    </cfRule>
  </conditionalFormatting>
  <conditionalFormatting sqref="C19">
    <cfRule type="cellIs" dxfId="25211" priority="17243" stopIfTrue="1" operator="equal">
      <formula>"Towel"</formula>
    </cfRule>
    <cfRule type="cellIs" dxfId="25210" priority="17244" stopIfTrue="1" operator="equal">
      <formula>"Napkin Hs"</formula>
    </cfRule>
  </conditionalFormatting>
  <conditionalFormatting sqref="B19:C19">
    <cfRule type="cellIs" dxfId="25209" priority="17241" stopIfTrue="1" operator="equal">
      <formula>"Towel"</formula>
    </cfRule>
    <cfRule type="cellIs" dxfId="25208" priority="17242" stopIfTrue="1" operator="equal">
      <formula>"Napkin Hs"</formula>
    </cfRule>
  </conditionalFormatting>
  <conditionalFormatting sqref="C19">
    <cfRule type="cellIs" dxfId="25207" priority="17249" stopIfTrue="1" operator="equal">
      <formula>"Towel"</formula>
    </cfRule>
    <cfRule type="cellIs" dxfId="25206" priority="17250" stopIfTrue="1" operator="equal">
      <formula>"Napkin Hs"</formula>
    </cfRule>
  </conditionalFormatting>
  <conditionalFormatting sqref="C19">
    <cfRule type="cellIs" dxfId="25205" priority="17251" stopIfTrue="1" operator="equal">
      <formula>"Towel"</formula>
    </cfRule>
    <cfRule type="cellIs" dxfId="25204" priority="17252" stopIfTrue="1" operator="equal">
      <formula>"Napkin Hs"</formula>
    </cfRule>
  </conditionalFormatting>
  <conditionalFormatting sqref="C17">
    <cfRule type="cellIs" dxfId="25203" priority="17151" stopIfTrue="1" operator="equal">
      <formula>"Towel"</formula>
    </cfRule>
    <cfRule type="cellIs" dxfId="25202" priority="17152" stopIfTrue="1" operator="equal">
      <formula>"Napkin Hs"</formula>
    </cfRule>
  </conditionalFormatting>
  <conditionalFormatting sqref="C17">
    <cfRule type="cellIs" dxfId="25201" priority="17153" stopIfTrue="1" operator="equal">
      <formula>"Towel"</formula>
    </cfRule>
    <cfRule type="cellIs" dxfId="25200" priority="17154" stopIfTrue="1" operator="equal">
      <formula>"Napkin Hs"</formula>
    </cfRule>
  </conditionalFormatting>
  <conditionalFormatting sqref="B17:C17">
    <cfRule type="cellIs" dxfId="25199" priority="17149" stopIfTrue="1" operator="equal">
      <formula>"Towel"</formula>
    </cfRule>
    <cfRule type="cellIs" dxfId="25198" priority="17150" stopIfTrue="1" operator="equal">
      <formula>"Napkin Hs"</formula>
    </cfRule>
  </conditionalFormatting>
  <conditionalFormatting sqref="C17">
    <cfRule type="cellIs" dxfId="25197" priority="17147" stopIfTrue="1" operator="equal">
      <formula>"Towel"</formula>
    </cfRule>
    <cfRule type="cellIs" dxfId="25196" priority="17148" stopIfTrue="1" operator="equal">
      <formula>"Napkin Hs"</formula>
    </cfRule>
  </conditionalFormatting>
  <conditionalFormatting sqref="B17:C17">
    <cfRule type="cellIs" dxfId="25195" priority="17143" stopIfTrue="1" operator="equal">
      <formula>"Towel"</formula>
    </cfRule>
    <cfRule type="cellIs" dxfId="25194" priority="17144" stopIfTrue="1" operator="equal">
      <formula>"Napkin Hs"</formula>
    </cfRule>
  </conditionalFormatting>
  <conditionalFormatting sqref="C17">
    <cfRule type="cellIs" dxfId="25193" priority="17145" stopIfTrue="1" operator="equal">
      <formula>"Towel"</formula>
    </cfRule>
    <cfRule type="cellIs" dxfId="25192" priority="17146" stopIfTrue="1" operator="equal">
      <formula>"Napkin Hs"</formula>
    </cfRule>
  </conditionalFormatting>
  <conditionalFormatting sqref="C18">
    <cfRule type="cellIs" dxfId="25191" priority="17227" stopIfTrue="1" operator="equal">
      <formula>"Towel"</formula>
    </cfRule>
    <cfRule type="cellIs" dxfId="25190" priority="17228" stopIfTrue="1" operator="equal">
      <formula>"Napkin Hs"</formula>
    </cfRule>
  </conditionalFormatting>
  <conditionalFormatting sqref="B16:C16">
    <cfRule type="cellIs" dxfId="25189" priority="17213" stopIfTrue="1" operator="equal">
      <formula>"Towel"</formula>
    </cfRule>
    <cfRule type="cellIs" dxfId="25188" priority="17214" stopIfTrue="1" operator="equal">
      <formula>"Napkin Hs"</formula>
    </cfRule>
  </conditionalFormatting>
  <conditionalFormatting sqref="C16">
    <cfRule type="cellIs" dxfId="25187" priority="17211" stopIfTrue="1" operator="equal">
      <formula>"Towel"</formula>
    </cfRule>
    <cfRule type="cellIs" dxfId="25186" priority="17212" stopIfTrue="1" operator="equal">
      <formula>"Napkin Hs"</formula>
    </cfRule>
  </conditionalFormatting>
  <conditionalFormatting sqref="B16:C16">
    <cfRule type="cellIs" dxfId="25185" priority="17209" stopIfTrue="1" operator="equal">
      <formula>"Towel"</formula>
    </cfRule>
    <cfRule type="cellIs" dxfId="25184" priority="17210" stopIfTrue="1" operator="equal">
      <formula>"Napkin Hs"</formula>
    </cfRule>
  </conditionalFormatting>
  <conditionalFormatting sqref="C16">
    <cfRule type="cellIs" dxfId="25183" priority="17205" stopIfTrue="1" operator="equal">
      <formula>"Towel"</formula>
    </cfRule>
    <cfRule type="cellIs" dxfId="25182" priority="17206" stopIfTrue="1" operator="equal">
      <formula>"Napkin Hs"</formula>
    </cfRule>
  </conditionalFormatting>
  <conditionalFormatting sqref="C16">
    <cfRule type="cellIs" dxfId="25181" priority="17207" stopIfTrue="1" operator="equal">
      <formula>"Towel"</formula>
    </cfRule>
    <cfRule type="cellIs" dxfId="25180" priority="17208" stopIfTrue="1" operator="equal">
      <formula>"Napkin Hs"</formula>
    </cfRule>
  </conditionalFormatting>
  <conditionalFormatting sqref="B17:C17">
    <cfRule type="cellIs" dxfId="25179" priority="17203" stopIfTrue="1" operator="equal">
      <formula>"Towel"</formula>
    </cfRule>
    <cfRule type="cellIs" dxfId="25178" priority="17204" stopIfTrue="1" operator="equal">
      <formula>"Napkin Hs"</formula>
    </cfRule>
  </conditionalFormatting>
  <conditionalFormatting sqref="C17">
    <cfRule type="cellIs" dxfId="25177" priority="17199" stopIfTrue="1" operator="equal">
      <formula>"Towel"</formula>
    </cfRule>
    <cfRule type="cellIs" dxfId="25176" priority="17200" stopIfTrue="1" operator="equal">
      <formula>"Napkin Hs"</formula>
    </cfRule>
  </conditionalFormatting>
  <conditionalFormatting sqref="C17">
    <cfRule type="cellIs" dxfId="25175" priority="17202" stopIfTrue="1" operator="equal">
      <formula>"Napkin Hs"</formula>
    </cfRule>
  </conditionalFormatting>
  <conditionalFormatting sqref="C17">
    <cfRule type="cellIs" dxfId="25174" priority="17201" stopIfTrue="1" operator="equal">
      <formula>"Towel"</formula>
    </cfRule>
  </conditionalFormatting>
  <conditionalFormatting sqref="C17">
    <cfRule type="cellIs" dxfId="25173" priority="17193" stopIfTrue="1" operator="equal">
      <formula>"Towel"</formula>
    </cfRule>
    <cfRule type="cellIs" dxfId="25172" priority="17194" stopIfTrue="1" operator="equal">
      <formula>"Napkin Hs"</formula>
    </cfRule>
  </conditionalFormatting>
  <conditionalFormatting sqref="C17">
    <cfRule type="cellIs" dxfId="25171" priority="17197" stopIfTrue="1" operator="equal">
      <formula>"Towel"</formula>
    </cfRule>
    <cfRule type="cellIs" dxfId="25170" priority="17198" stopIfTrue="1" operator="equal">
      <formula>"Napkin Hs"</formula>
    </cfRule>
  </conditionalFormatting>
  <conditionalFormatting sqref="B17">
    <cfRule type="cellIs" dxfId="25169" priority="17183" stopIfTrue="1" operator="equal">
      <formula>"Towel"</formula>
    </cfRule>
    <cfRule type="cellIs" dxfId="25168" priority="17184" stopIfTrue="1" operator="equal">
      <formula>"Napkin Hs"</formula>
    </cfRule>
  </conditionalFormatting>
  <conditionalFormatting sqref="C17">
    <cfRule type="cellIs" dxfId="25167" priority="17195" stopIfTrue="1" operator="equal">
      <formula>"Towel"</formula>
    </cfRule>
    <cfRule type="cellIs" dxfId="25166" priority="17196" stopIfTrue="1" operator="equal">
      <formula>"Napkin Hs"</formula>
    </cfRule>
  </conditionalFormatting>
  <conditionalFormatting sqref="C17">
    <cfRule type="cellIs" dxfId="25165" priority="17187" stopIfTrue="1" operator="equal">
      <formula>"Towel"</formula>
    </cfRule>
    <cfRule type="cellIs" dxfId="25164" priority="17188" stopIfTrue="1" operator="equal">
      <formula>"Napkin Hs"</formula>
    </cfRule>
  </conditionalFormatting>
  <conditionalFormatting sqref="C17">
    <cfRule type="cellIs" dxfId="25163" priority="17189" stopIfTrue="1" operator="equal">
      <formula>"Towel"</formula>
    </cfRule>
    <cfRule type="cellIs" dxfId="25162" priority="17190" stopIfTrue="1" operator="equal">
      <formula>"Napkin Hs"</formula>
    </cfRule>
  </conditionalFormatting>
  <conditionalFormatting sqref="C17">
    <cfRule type="cellIs" dxfId="25161" priority="17191" stopIfTrue="1" operator="equal">
      <formula>"Towel"</formula>
    </cfRule>
    <cfRule type="cellIs" dxfId="25160" priority="17192" stopIfTrue="1" operator="equal">
      <formula>"Napkin Hs"</formula>
    </cfRule>
  </conditionalFormatting>
  <conditionalFormatting sqref="B17">
    <cfRule type="cellIs" dxfId="25159" priority="17185" stopIfTrue="1" operator="equal">
      <formula>"Towel"</formula>
    </cfRule>
    <cfRule type="cellIs" dxfId="25158" priority="17186" stopIfTrue="1" operator="equal">
      <formula>"Napkin Hs"</formula>
    </cfRule>
  </conditionalFormatting>
  <conditionalFormatting sqref="C17">
    <cfRule type="cellIs" dxfId="25157" priority="17177" stopIfTrue="1" operator="equal">
      <formula>"Towel"</formula>
    </cfRule>
    <cfRule type="cellIs" dxfId="25156" priority="17178" stopIfTrue="1" operator="equal">
      <formula>"Napkin Hs"</formula>
    </cfRule>
  </conditionalFormatting>
  <conditionalFormatting sqref="C17">
    <cfRule type="cellIs" dxfId="25155" priority="17181" stopIfTrue="1" operator="equal">
      <formula>"Towel"</formula>
    </cfRule>
    <cfRule type="cellIs" dxfId="25154" priority="17182" stopIfTrue="1" operator="equal">
      <formula>"Napkin Hs"</formula>
    </cfRule>
  </conditionalFormatting>
  <conditionalFormatting sqref="B17">
    <cfRule type="cellIs" dxfId="25153" priority="17167" stopIfTrue="1" operator="equal">
      <formula>"Towel"</formula>
    </cfRule>
    <cfRule type="cellIs" dxfId="25152" priority="17168" stopIfTrue="1" operator="equal">
      <formula>"Napkin Hs"</formula>
    </cfRule>
  </conditionalFormatting>
  <conditionalFormatting sqref="C17">
    <cfRule type="cellIs" dxfId="25151" priority="17179" stopIfTrue="1" operator="equal">
      <formula>"Towel"</formula>
    </cfRule>
    <cfRule type="cellIs" dxfId="25150" priority="17180" stopIfTrue="1" operator="equal">
      <formula>"Napkin Hs"</formula>
    </cfRule>
  </conditionalFormatting>
  <conditionalFormatting sqref="C17">
    <cfRule type="cellIs" dxfId="25149" priority="17171" stopIfTrue="1" operator="equal">
      <formula>"Towel"</formula>
    </cfRule>
    <cfRule type="cellIs" dxfId="25148" priority="17172" stopIfTrue="1" operator="equal">
      <formula>"Napkin Hs"</formula>
    </cfRule>
  </conditionalFormatting>
  <conditionalFormatting sqref="C17">
    <cfRule type="cellIs" dxfId="25147" priority="17173" stopIfTrue="1" operator="equal">
      <formula>"Towel"</formula>
    </cfRule>
    <cfRule type="cellIs" dxfId="25146" priority="17174" stopIfTrue="1" operator="equal">
      <formula>"Napkin Hs"</formula>
    </cfRule>
  </conditionalFormatting>
  <conditionalFormatting sqref="C17">
    <cfRule type="cellIs" dxfId="25145" priority="17175" stopIfTrue="1" operator="equal">
      <formula>"Towel"</formula>
    </cfRule>
    <cfRule type="cellIs" dxfId="25144" priority="17176" stopIfTrue="1" operator="equal">
      <formula>"Napkin Hs"</formula>
    </cfRule>
  </conditionalFormatting>
  <conditionalFormatting sqref="B17">
    <cfRule type="cellIs" dxfId="25143" priority="17169" stopIfTrue="1" operator="equal">
      <formula>"Towel"</formula>
    </cfRule>
    <cfRule type="cellIs" dxfId="25142" priority="17170" stopIfTrue="1" operator="equal">
      <formula>"Napkin Hs"</formula>
    </cfRule>
  </conditionalFormatting>
  <conditionalFormatting sqref="B17:C17">
    <cfRule type="cellIs" dxfId="25141" priority="17165" stopIfTrue="1" operator="equal">
      <formula>"Towel"</formula>
    </cfRule>
    <cfRule type="cellIs" dxfId="25140" priority="17166" stopIfTrue="1" operator="equal">
      <formula>"Napkin Hs"</formula>
    </cfRule>
  </conditionalFormatting>
  <conditionalFormatting sqref="C17">
    <cfRule type="cellIs" dxfId="25139" priority="17161" stopIfTrue="1" operator="equal">
      <formula>"Towel"</formula>
    </cfRule>
    <cfRule type="cellIs" dxfId="25138" priority="17162" stopIfTrue="1" operator="equal">
      <formula>"Napkin Hs"</formula>
    </cfRule>
  </conditionalFormatting>
  <conditionalFormatting sqref="C17">
    <cfRule type="cellIs" dxfId="25137" priority="17163" stopIfTrue="1" operator="equal">
      <formula>"Towel"</formula>
    </cfRule>
    <cfRule type="cellIs" dxfId="25136" priority="17164" stopIfTrue="1" operator="equal">
      <formula>"Napkin Hs"</formula>
    </cfRule>
  </conditionalFormatting>
  <conditionalFormatting sqref="B17:C17">
    <cfRule type="cellIs" dxfId="25135" priority="17159" stopIfTrue="1" operator="equal">
      <formula>"Towel"</formula>
    </cfRule>
    <cfRule type="cellIs" dxfId="25134" priority="17160" stopIfTrue="1" operator="equal">
      <formula>"Napkin Hs"</formula>
    </cfRule>
  </conditionalFormatting>
  <conditionalFormatting sqref="C17">
    <cfRule type="cellIs" dxfId="25133" priority="17157" stopIfTrue="1" operator="equal">
      <formula>"Towel"</formula>
    </cfRule>
    <cfRule type="cellIs" dxfId="25132" priority="17158" stopIfTrue="1" operator="equal">
      <formula>"Napkin Hs"</formula>
    </cfRule>
  </conditionalFormatting>
  <conditionalFormatting sqref="C17">
    <cfRule type="cellIs" dxfId="25131" priority="17155" stopIfTrue="1" operator="equal">
      <formula>"Towel"</formula>
    </cfRule>
    <cfRule type="cellIs" dxfId="25130" priority="17156" stopIfTrue="1" operator="equal">
      <formula>"Napkin Hs"</formula>
    </cfRule>
  </conditionalFormatting>
  <conditionalFormatting sqref="B17:C17">
    <cfRule type="cellIs" dxfId="25129" priority="17139" stopIfTrue="1" operator="equal">
      <formula>"Towel"</formula>
    </cfRule>
    <cfRule type="cellIs" dxfId="25128" priority="17140" stopIfTrue="1" operator="equal">
      <formula>"Napkin Hs"</formula>
    </cfRule>
  </conditionalFormatting>
  <conditionalFormatting sqref="C17">
    <cfRule type="cellIs" dxfId="25127" priority="17141" stopIfTrue="1" operator="equal">
      <formula>"Towel"</formula>
    </cfRule>
    <cfRule type="cellIs" dxfId="25126" priority="17142" stopIfTrue="1" operator="equal">
      <formula>"Napkin Hs"</formula>
    </cfRule>
  </conditionalFormatting>
  <conditionalFormatting sqref="C17">
    <cfRule type="cellIs" dxfId="25125" priority="17137" stopIfTrue="1" operator="equal">
      <formula>"Towel"</formula>
    </cfRule>
    <cfRule type="cellIs" dxfId="25124" priority="17138" stopIfTrue="1" operator="equal">
      <formula>"Napkin Hs"</formula>
    </cfRule>
  </conditionalFormatting>
  <conditionalFormatting sqref="B17:C17">
    <cfRule type="cellIs" dxfId="25123" priority="17135" stopIfTrue="1" operator="equal">
      <formula>"Towel"</formula>
    </cfRule>
    <cfRule type="cellIs" dxfId="25122" priority="17136" stopIfTrue="1" operator="equal">
      <formula>"Napkin Hs"</formula>
    </cfRule>
  </conditionalFormatting>
  <conditionalFormatting sqref="C17">
    <cfRule type="cellIs" dxfId="25121" priority="17131" stopIfTrue="1" operator="equal">
      <formula>"Towel"</formula>
    </cfRule>
    <cfRule type="cellIs" dxfId="25120" priority="17132" stopIfTrue="1" operator="equal">
      <formula>"Napkin Hs"</formula>
    </cfRule>
  </conditionalFormatting>
  <conditionalFormatting sqref="C17">
    <cfRule type="cellIs" dxfId="25119" priority="17133" stopIfTrue="1" operator="equal">
      <formula>"Towel"</formula>
    </cfRule>
    <cfRule type="cellIs" dxfId="25118" priority="17134" stopIfTrue="1" operator="equal">
      <formula>"Napkin Hs"</formula>
    </cfRule>
  </conditionalFormatting>
  <conditionalFormatting sqref="B17:C17">
    <cfRule type="cellIs" dxfId="25117" priority="17127" stopIfTrue="1" operator="equal">
      <formula>"Towel"</formula>
    </cfRule>
    <cfRule type="cellIs" dxfId="25116" priority="17128" stopIfTrue="1" operator="equal">
      <formula>"Napkin Hs"</formula>
    </cfRule>
  </conditionalFormatting>
  <conditionalFormatting sqref="C17">
    <cfRule type="cellIs" dxfId="25115" priority="17129" stopIfTrue="1" operator="equal">
      <formula>"Towel"</formula>
    </cfRule>
    <cfRule type="cellIs" dxfId="25114" priority="17130" stopIfTrue="1" operator="equal">
      <formula>"Napkin Hs"</formula>
    </cfRule>
  </conditionalFormatting>
  <conditionalFormatting sqref="C17">
    <cfRule type="cellIs" dxfId="25113" priority="17125" stopIfTrue="1" operator="equal">
      <formula>"Towel"</formula>
    </cfRule>
    <cfRule type="cellIs" dxfId="25112" priority="17126" stopIfTrue="1" operator="equal">
      <formula>"Napkin Hs"</formula>
    </cfRule>
  </conditionalFormatting>
  <conditionalFormatting sqref="B17:C17">
    <cfRule type="cellIs" dxfId="25111" priority="17123" stopIfTrue="1" operator="equal">
      <formula>"Towel"</formula>
    </cfRule>
    <cfRule type="cellIs" dxfId="25110" priority="17124" stopIfTrue="1" operator="equal">
      <formula>"Napkin Hs"</formula>
    </cfRule>
  </conditionalFormatting>
  <conditionalFormatting sqref="C17">
    <cfRule type="cellIs" dxfId="25109" priority="17119" stopIfTrue="1" operator="equal">
      <formula>"Towel"</formula>
    </cfRule>
    <cfRule type="cellIs" dxfId="25108" priority="17120" stopIfTrue="1" operator="equal">
      <formula>"Napkin Hs"</formula>
    </cfRule>
  </conditionalFormatting>
  <conditionalFormatting sqref="C17">
    <cfRule type="cellIs" dxfId="25107" priority="17121" stopIfTrue="1" operator="equal">
      <formula>"Towel"</formula>
    </cfRule>
    <cfRule type="cellIs" dxfId="25106" priority="17122" stopIfTrue="1" operator="equal">
      <formula>"Napkin Hs"</formula>
    </cfRule>
  </conditionalFormatting>
  <conditionalFormatting sqref="B25:C25">
    <cfRule type="cellIs" dxfId="25105" priority="17111" stopIfTrue="1" operator="equal">
      <formula>"Towel"</formula>
    </cfRule>
    <cfRule type="cellIs" dxfId="25104" priority="17112" stopIfTrue="1" operator="equal">
      <formula>"Napkin Hs"</formula>
    </cfRule>
  </conditionalFormatting>
  <conditionalFormatting sqref="C25">
    <cfRule type="cellIs" dxfId="25103" priority="17107" stopIfTrue="1" operator="equal">
      <formula>"Towel"</formula>
    </cfRule>
    <cfRule type="cellIs" dxfId="25102" priority="17108" stopIfTrue="1" operator="equal">
      <formula>"Napkin Hs"</formula>
    </cfRule>
  </conditionalFormatting>
  <conditionalFormatting sqref="C25">
    <cfRule type="cellIs" dxfId="25101" priority="17110" stopIfTrue="1" operator="equal">
      <formula>"Napkin Hs"</formula>
    </cfRule>
  </conditionalFormatting>
  <conditionalFormatting sqref="C25">
    <cfRule type="cellIs" dxfId="25100" priority="17109" stopIfTrue="1" operator="equal">
      <formula>"Towel"</formula>
    </cfRule>
  </conditionalFormatting>
  <conditionalFormatting sqref="B23:C24">
    <cfRule type="cellIs" dxfId="25099" priority="17083" stopIfTrue="1" operator="equal">
      <formula>"Towel"</formula>
    </cfRule>
  </conditionalFormatting>
  <conditionalFormatting sqref="B23:C24">
    <cfRule type="cellIs" dxfId="25098" priority="17084" stopIfTrue="1" operator="equal">
      <formula>"Napkin Hs"</formula>
    </cfRule>
    <cfRule type="cellIs" dxfId="25097" priority="17089" stopIfTrue="1" operator="equal">
      <formula>"Towel"</formula>
    </cfRule>
    <cfRule type="cellIs" dxfId="25096" priority="17090" stopIfTrue="1" operator="equal">
      <formula>"Napkin Hs"</formula>
    </cfRule>
    <cfRule type="cellIs" dxfId="25095" priority="17099" stopIfTrue="1" operator="equal">
      <formula>"Towel"</formula>
    </cfRule>
    <cfRule type="cellIs" dxfId="25094" priority="17100" stopIfTrue="1" operator="equal">
      <formula>"Napkin Hs"</formula>
    </cfRule>
    <cfRule type="cellIs" dxfId="25093" priority="17105" stopIfTrue="1" operator="equal">
      <formula>"Towel"</formula>
    </cfRule>
    <cfRule type="cellIs" dxfId="25092" priority="17106" stopIfTrue="1" operator="equal">
      <formula>"Napkin Hs"</formula>
    </cfRule>
  </conditionalFormatting>
  <conditionalFormatting sqref="C23:C24">
    <cfRule type="cellIs" dxfId="25091" priority="17085" stopIfTrue="1" operator="equal">
      <formula>"Towel"</formula>
    </cfRule>
    <cfRule type="cellIs" dxfId="25090" priority="17086" stopIfTrue="1" operator="equal">
      <formula>"Napkin Hs"</formula>
    </cfRule>
    <cfRule type="cellIs" dxfId="25089" priority="17087" stopIfTrue="1" operator="equal">
      <formula>"Towel"</formula>
    </cfRule>
    <cfRule type="cellIs" dxfId="25088" priority="17088" stopIfTrue="1" operator="equal">
      <formula>"Napkin Hs"</formula>
    </cfRule>
    <cfRule type="cellIs" dxfId="25087" priority="17091" stopIfTrue="1" operator="equal">
      <formula>"Towel"</formula>
    </cfRule>
    <cfRule type="cellIs" dxfId="25086" priority="17092" stopIfTrue="1" operator="equal">
      <formula>"Napkin Hs"</formula>
    </cfRule>
    <cfRule type="cellIs" dxfId="25085" priority="17093" stopIfTrue="1" operator="equal">
      <formula>"Towel"</formula>
    </cfRule>
    <cfRule type="cellIs" dxfId="25084" priority="17094" stopIfTrue="1" operator="equal">
      <formula>"Napkin Hs"</formula>
    </cfRule>
    <cfRule type="cellIs" dxfId="25083" priority="17095" stopIfTrue="1" operator="equal">
      <formula>"Towel"</formula>
    </cfRule>
    <cfRule type="cellIs" dxfId="25082" priority="17096" stopIfTrue="1" operator="equal">
      <formula>"Napkin Hs"</formula>
    </cfRule>
    <cfRule type="cellIs" dxfId="25081" priority="17097" stopIfTrue="1" operator="equal">
      <formula>"Towel"</formula>
    </cfRule>
    <cfRule type="cellIs" dxfId="25080" priority="17098" stopIfTrue="1" operator="equal">
      <formula>"Napkin Hs"</formula>
    </cfRule>
    <cfRule type="cellIs" dxfId="25079" priority="17101" stopIfTrue="1" operator="equal">
      <formula>"Towel"</formula>
    </cfRule>
    <cfRule type="cellIs" dxfId="25078" priority="17102" stopIfTrue="1" operator="equal">
      <formula>"Napkin Hs"</formula>
    </cfRule>
    <cfRule type="cellIs" dxfId="25077" priority="17104" stopIfTrue="1" operator="equal">
      <formula>"Napkin Hs"</formula>
    </cfRule>
  </conditionalFormatting>
  <conditionalFormatting sqref="C23:C24">
    <cfRule type="cellIs" dxfId="25076" priority="17103" stopIfTrue="1" operator="equal">
      <formula>"Towel"</formula>
    </cfRule>
  </conditionalFormatting>
  <conditionalFormatting sqref="B23:C24">
    <cfRule type="cellIs" dxfId="25075" priority="17081" stopIfTrue="1" operator="equal">
      <formula>"Towel"</formula>
    </cfRule>
    <cfRule type="cellIs" dxfId="25074" priority="17082" stopIfTrue="1" operator="equal">
      <formula>"Napkin Hs"</formula>
    </cfRule>
  </conditionalFormatting>
  <conditionalFormatting sqref="C23:C24">
    <cfRule type="cellIs" dxfId="25073" priority="17080" stopIfTrue="1" operator="equal">
      <formula>"Napkin Hs"</formula>
    </cfRule>
  </conditionalFormatting>
  <conditionalFormatting sqref="C23:C24">
    <cfRule type="cellIs" dxfId="25072" priority="17079" stopIfTrue="1" operator="equal">
      <formula>"Towel"</formula>
    </cfRule>
  </conditionalFormatting>
  <conditionalFormatting sqref="C23:C24">
    <cfRule type="cellIs" dxfId="25071" priority="17077" stopIfTrue="1" operator="equal">
      <formula>"Towel"</formula>
    </cfRule>
  </conditionalFormatting>
  <conditionalFormatting sqref="C23:C24">
    <cfRule type="cellIs" dxfId="25070" priority="17078" stopIfTrue="1" operator="equal">
      <formula>"Napkin Hs"</formula>
    </cfRule>
  </conditionalFormatting>
  <conditionalFormatting sqref="B23:B24">
    <cfRule type="cellIs" dxfId="25069" priority="16981" stopIfTrue="1" operator="equal">
      <formula>"Napkin Hs"</formula>
    </cfRule>
  </conditionalFormatting>
  <conditionalFormatting sqref="B23:C24">
    <cfRule type="cellIs" dxfId="25068" priority="16980" stopIfTrue="1" operator="equal">
      <formula>"Towel"</formula>
    </cfRule>
  </conditionalFormatting>
  <conditionalFormatting sqref="B23:C24">
    <cfRule type="cellIs" dxfId="25067" priority="16991" stopIfTrue="1" operator="equal">
      <formula>"Towel"</formula>
    </cfRule>
    <cfRule type="cellIs" dxfId="25066" priority="16992" stopIfTrue="1" operator="equal">
      <formula>"Napkin Hs"</formula>
    </cfRule>
    <cfRule type="cellIs" dxfId="25065" priority="16997" stopIfTrue="1" operator="equal">
      <formula>"Towel"</formula>
    </cfRule>
    <cfRule type="cellIs" dxfId="25064" priority="16998" stopIfTrue="1" operator="equal">
      <formula>"Napkin Hs"</formula>
    </cfRule>
    <cfRule type="cellIs" dxfId="25063" priority="17003" stopIfTrue="1" operator="equal">
      <formula>"Towel"</formula>
    </cfRule>
    <cfRule type="cellIs" dxfId="25062" priority="17004" stopIfTrue="1" operator="equal">
      <formula>"Napkin Hs"</formula>
    </cfRule>
    <cfRule type="cellIs" dxfId="25061" priority="17005" stopIfTrue="1" operator="equal">
      <formula>"Towel"</formula>
    </cfRule>
    <cfRule type="cellIs" dxfId="25060" priority="17006" stopIfTrue="1" operator="equal">
      <formula>"Napkin Hs"</formula>
    </cfRule>
    <cfRule type="cellIs" dxfId="25059" priority="17011" stopIfTrue="1" operator="equal">
      <formula>"Towel"</formula>
    </cfRule>
    <cfRule type="cellIs" dxfId="25058" priority="17012" stopIfTrue="1" operator="equal">
      <formula>"Napkin Hs"</formula>
    </cfRule>
    <cfRule type="cellIs" dxfId="25057" priority="17021" stopIfTrue="1" operator="equal">
      <formula>"Towel"</formula>
    </cfRule>
    <cfRule type="cellIs" dxfId="25056" priority="17022" stopIfTrue="1" operator="equal">
      <formula>"Napkin Hs"</formula>
    </cfRule>
    <cfRule type="cellIs" dxfId="25055" priority="17027" stopIfTrue="1" operator="equal">
      <formula>"Towel"</formula>
    </cfRule>
    <cfRule type="cellIs" dxfId="25054" priority="17028" stopIfTrue="1" operator="equal">
      <formula>"Napkin Hs"</formula>
    </cfRule>
    <cfRule type="cellIs" dxfId="25053" priority="17029" stopIfTrue="1" operator="equal">
      <formula>"Towel"</formula>
    </cfRule>
    <cfRule type="cellIs" dxfId="25052" priority="17030" stopIfTrue="1" operator="equal">
      <formula>"Napkin Hs"</formula>
    </cfRule>
    <cfRule type="cellIs" dxfId="25051" priority="17035" stopIfTrue="1" operator="equal">
      <formula>"Towel"</formula>
    </cfRule>
    <cfRule type="cellIs" dxfId="25050" priority="17036" stopIfTrue="1" operator="equal">
      <formula>"Napkin Hs"</formula>
    </cfRule>
    <cfRule type="cellIs" dxfId="25049" priority="17045" stopIfTrue="1" operator="equal">
      <formula>"Towel"</formula>
    </cfRule>
    <cfRule type="cellIs" dxfId="25048" priority="17046" stopIfTrue="1" operator="equal">
      <formula>"Napkin Hs"</formula>
    </cfRule>
    <cfRule type="cellIs" dxfId="25047" priority="17047" stopIfTrue="1" operator="equal">
      <formula>"Towel"</formula>
    </cfRule>
    <cfRule type="cellIs" dxfId="25046" priority="17048" stopIfTrue="1" operator="equal">
      <formula>"Napkin Hs"</formula>
    </cfRule>
    <cfRule type="cellIs" dxfId="25045" priority="17053" stopIfTrue="1" operator="equal">
      <formula>"Towel"</formula>
    </cfRule>
    <cfRule type="cellIs" dxfId="25044" priority="17054" stopIfTrue="1" operator="equal">
      <formula>"Napkin Hs"</formula>
    </cfRule>
    <cfRule type="cellIs" dxfId="25043" priority="17063" stopIfTrue="1" operator="equal">
      <formula>"Towel"</formula>
    </cfRule>
    <cfRule type="cellIs" dxfId="25042" priority="17064" stopIfTrue="1" operator="equal">
      <formula>"Napkin Hs"</formula>
    </cfRule>
    <cfRule type="cellIs" dxfId="25041" priority="17065" stopIfTrue="1" operator="equal">
      <formula>"Towel"</formula>
    </cfRule>
    <cfRule type="cellIs" dxfId="25040" priority="17066" stopIfTrue="1" operator="equal">
      <formula>"Napkin Hs"</formula>
    </cfRule>
    <cfRule type="cellIs" dxfId="25039" priority="17072" stopIfTrue="1" operator="equal">
      <formula>"Napkin Hs"</formula>
    </cfRule>
  </conditionalFormatting>
  <conditionalFormatting sqref="B23:C24">
    <cfRule type="cellIs" dxfId="25038" priority="17071" stopIfTrue="1" operator="equal">
      <formula>"Towel"</formula>
    </cfRule>
  </conditionalFormatting>
  <conditionalFormatting sqref="C23:C24">
    <cfRule type="cellIs" dxfId="25037" priority="16982" stopIfTrue="1" operator="equal">
      <formula>"Napkin Hs"</formula>
    </cfRule>
    <cfRule type="cellIs" dxfId="25036" priority="16983" stopIfTrue="1" operator="equal">
      <formula>"Towel"</formula>
    </cfRule>
    <cfRule type="cellIs" dxfId="25035" priority="16984" stopIfTrue="1" operator="equal">
      <formula>"Napkin Hs"</formula>
    </cfRule>
    <cfRule type="cellIs" dxfId="25034" priority="16985" stopIfTrue="1" operator="equal">
      <formula>"Towel"</formula>
    </cfRule>
    <cfRule type="cellIs" dxfId="25033" priority="16986" stopIfTrue="1" operator="equal">
      <formula>"Napkin Hs"</formula>
    </cfRule>
    <cfRule type="cellIs" dxfId="25032" priority="16987" stopIfTrue="1" operator="equal">
      <formula>"Towel"</formula>
    </cfRule>
    <cfRule type="cellIs" dxfId="25031" priority="16988" stopIfTrue="1" operator="equal">
      <formula>"Napkin Hs"</formula>
    </cfRule>
    <cfRule type="cellIs" dxfId="25030" priority="16989" stopIfTrue="1" operator="equal">
      <formula>"Towel"</formula>
    </cfRule>
    <cfRule type="cellIs" dxfId="25029" priority="16990" stopIfTrue="1" operator="equal">
      <formula>"Napkin Hs"</formula>
    </cfRule>
    <cfRule type="cellIs" dxfId="25028" priority="16993" stopIfTrue="1" operator="equal">
      <formula>"Towel"</formula>
    </cfRule>
    <cfRule type="cellIs" dxfId="25027" priority="16994" stopIfTrue="1" operator="equal">
      <formula>"Napkin Hs"</formula>
    </cfRule>
    <cfRule type="cellIs" dxfId="25026" priority="16995" stopIfTrue="1" operator="equal">
      <formula>"Towel"</formula>
    </cfRule>
    <cfRule type="cellIs" dxfId="25025" priority="16996" stopIfTrue="1" operator="equal">
      <formula>"Napkin Hs"</formula>
    </cfRule>
    <cfRule type="cellIs" dxfId="25024" priority="16999" stopIfTrue="1" operator="equal">
      <formula>"Towel"</formula>
    </cfRule>
    <cfRule type="cellIs" dxfId="25023" priority="17000" stopIfTrue="1" operator="equal">
      <formula>"Napkin Hs"</formula>
    </cfRule>
    <cfRule type="cellIs" dxfId="25022" priority="17001" stopIfTrue="1" operator="equal">
      <formula>"Towel"</formula>
    </cfRule>
    <cfRule type="cellIs" dxfId="25021" priority="17002" stopIfTrue="1" operator="equal">
      <formula>"Napkin Hs"</formula>
    </cfRule>
    <cfRule type="cellIs" dxfId="25020" priority="17007" stopIfTrue="1" operator="equal">
      <formula>"Towel"</formula>
    </cfRule>
    <cfRule type="cellIs" dxfId="25019" priority="17008" stopIfTrue="1" operator="equal">
      <formula>"Napkin Hs"</formula>
    </cfRule>
    <cfRule type="cellIs" dxfId="25018" priority="17009" stopIfTrue="1" operator="equal">
      <formula>"Towel"</formula>
    </cfRule>
    <cfRule type="cellIs" dxfId="25017" priority="17010" stopIfTrue="1" operator="equal">
      <formula>"Napkin Hs"</formula>
    </cfRule>
    <cfRule type="cellIs" dxfId="25016" priority="17013" stopIfTrue="1" operator="equal">
      <formula>"Towel"</formula>
    </cfRule>
    <cfRule type="cellIs" dxfId="25015" priority="17014" stopIfTrue="1" operator="equal">
      <formula>"Napkin Hs"</formula>
    </cfRule>
    <cfRule type="cellIs" dxfId="25014" priority="17015" stopIfTrue="1" operator="equal">
      <formula>"Towel"</formula>
    </cfRule>
    <cfRule type="cellIs" dxfId="25013" priority="17016" stopIfTrue="1" operator="equal">
      <formula>"Napkin Hs"</formula>
    </cfRule>
    <cfRule type="cellIs" dxfId="25012" priority="17017" stopIfTrue="1" operator="equal">
      <formula>"Towel"</formula>
    </cfRule>
    <cfRule type="cellIs" dxfId="25011" priority="17018" stopIfTrue="1" operator="equal">
      <formula>"Napkin Hs"</formula>
    </cfRule>
    <cfRule type="cellIs" dxfId="25010" priority="17019" stopIfTrue="1" operator="equal">
      <formula>"Towel"</formula>
    </cfRule>
    <cfRule type="cellIs" dxfId="25009" priority="17020" stopIfTrue="1" operator="equal">
      <formula>"Napkin Hs"</formula>
    </cfRule>
    <cfRule type="cellIs" dxfId="25008" priority="17023" stopIfTrue="1" operator="equal">
      <formula>"Towel"</formula>
    </cfRule>
    <cfRule type="cellIs" dxfId="25007" priority="17024" stopIfTrue="1" operator="equal">
      <formula>"Napkin Hs"</formula>
    </cfRule>
    <cfRule type="cellIs" dxfId="25006" priority="17025" stopIfTrue="1" operator="equal">
      <formula>"Towel"</formula>
    </cfRule>
    <cfRule type="cellIs" dxfId="25005" priority="17026" stopIfTrue="1" operator="equal">
      <formula>"Napkin Hs"</formula>
    </cfRule>
    <cfRule type="cellIs" dxfId="25004" priority="17031" stopIfTrue="1" operator="equal">
      <formula>"Towel"</formula>
    </cfRule>
    <cfRule type="cellIs" dxfId="25003" priority="17032" stopIfTrue="1" operator="equal">
      <formula>"Napkin Hs"</formula>
    </cfRule>
    <cfRule type="cellIs" dxfId="25002" priority="17033" stopIfTrue="1" operator="equal">
      <formula>"Towel"</formula>
    </cfRule>
    <cfRule type="cellIs" dxfId="25001" priority="17034" stopIfTrue="1" operator="equal">
      <formula>"Napkin Hs"</formula>
    </cfRule>
    <cfRule type="cellIs" dxfId="25000" priority="17037" stopIfTrue="1" operator="equal">
      <formula>"Towel"</formula>
    </cfRule>
    <cfRule type="cellIs" dxfId="24999" priority="17038" stopIfTrue="1" operator="equal">
      <formula>"Napkin Hs"</formula>
    </cfRule>
    <cfRule type="cellIs" dxfId="24998" priority="17039" stopIfTrue="1" operator="equal">
      <formula>"Towel"</formula>
    </cfRule>
    <cfRule type="cellIs" dxfId="24997" priority="17040" stopIfTrue="1" operator="equal">
      <formula>"Napkin Hs"</formula>
    </cfRule>
    <cfRule type="cellIs" dxfId="24996" priority="17041" stopIfTrue="1" operator="equal">
      <formula>"Towel"</formula>
    </cfRule>
    <cfRule type="cellIs" dxfId="24995" priority="17042" stopIfTrue="1" operator="equal">
      <formula>"Napkin Hs"</formula>
    </cfRule>
    <cfRule type="cellIs" dxfId="24994" priority="17043" stopIfTrue="1" operator="equal">
      <formula>"Towel"</formula>
    </cfRule>
    <cfRule type="cellIs" dxfId="24993" priority="17044" stopIfTrue="1" operator="equal">
      <formula>"Napkin Hs"</formula>
    </cfRule>
    <cfRule type="cellIs" dxfId="24992" priority="17049" stopIfTrue="1" operator="equal">
      <formula>"Towel"</formula>
    </cfRule>
    <cfRule type="cellIs" dxfId="24991" priority="17050" stopIfTrue="1" operator="equal">
      <formula>"Napkin Hs"</formula>
    </cfRule>
    <cfRule type="cellIs" dxfId="24990" priority="17051" stopIfTrue="1" operator="equal">
      <formula>"Towel"</formula>
    </cfRule>
    <cfRule type="cellIs" dxfId="24989" priority="17052" stopIfTrue="1" operator="equal">
      <formula>"Napkin Hs"</formula>
    </cfRule>
    <cfRule type="cellIs" dxfId="24988" priority="17055" stopIfTrue="1" operator="equal">
      <formula>"Towel"</formula>
    </cfRule>
    <cfRule type="cellIs" dxfId="24987" priority="17056" stopIfTrue="1" operator="equal">
      <formula>"Napkin Hs"</formula>
    </cfRule>
    <cfRule type="cellIs" dxfId="24986" priority="17057" stopIfTrue="1" operator="equal">
      <formula>"Towel"</formula>
    </cfRule>
    <cfRule type="cellIs" dxfId="24985" priority="17058" stopIfTrue="1" operator="equal">
      <formula>"Napkin Hs"</formula>
    </cfRule>
    <cfRule type="cellIs" dxfId="24984" priority="17059" stopIfTrue="1" operator="equal">
      <formula>"Towel"</formula>
    </cfRule>
    <cfRule type="cellIs" dxfId="24983" priority="17060" stopIfTrue="1" operator="equal">
      <formula>"Napkin Hs"</formula>
    </cfRule>
    <cfRule type="cellIs" dxfId="24982" priority="17061" stopIfTrue="1" operator="equal">
      <formula>"Towel"</formula>
    </cfRule>
    <cfRule type="cellIs" dxfId="24981" priority="17062" stopIfTrue="1" operator="equal">
      <formula>"Napkin Hs"</formula>
    </cfRule>
    <cfRule type="cellIs" dxfId="24980" priority="17067" stopIfTrue="1" operator="equal">
      <formula>"Towel"</formula>
    </cfRule>
    <cfRule type="cellIs" dxfId="24979" priority="17068" stopIfTrue="1" operator="equal">
      <formula>"Napkin Hs"</formula>
    </cfRule>
    <cfRule type="cellIs" dxfId="24978" priority="17069" stopIfTrue="1" operator="equal">
      <formula>"Towel"</formula>
    </cfRule>
    <cfRule type="cellIs" dxfId="24977" priority="17070" stopIfTrue="1" operator="equal">
      <formula>"Napkin Hs"</formula>
    </cfRule>
    <cfRule type="cellIs" dxfId="24976" priority="17073" stopIfTrue="1" operator="equal">
      <formula>"Towel"</formula>
    </cfRule>
    <cfRule type="cellIs" dxfId="24975" priority="17074" stopIfTrue="1" operator="equal">
      <formula>"Napkin Hs"</formula>
    </cfRule>
    <cfRule type="cellIs" dxfId="24974" priority="17075" stopIfTrue="1" operator="equal">
      <formula>"Towel"</formula>
    </cfRule>
    <cfRule type="cellIs" dxfId="24973" priority="17076" stopIfTrue="1" operator="equal">
      <formula>"Napkin Hs"</formula>
    </cfRule>
  </conditionalFormatting>
  <conditionalFormatting sqref="B24:C24">
    <cfRule type="cellIs" dxfId="24972" priority="16978" stopIfTrue="1" operator="equal">
      <formula>"Towel"</formula>
    </cfRule>
    <cfRule type="cellIs" dxfId="24971" priority="16979" stopIfTrue="1" operator="equal">
      <formula>"Napkin Hs"</formula>
    </cfRule>
  </conditionalFormatting>
  <conditionalFormatting sqref="C24">
    <cfRule type="cellIs" dxfId="24970" priority="16974" stopIfTrue="1" operator="equal">
      <formula>"Towel"</formula>
    </cfRule>
    <cfRule type="cellIs" dxfId="24969" priority="16975" stopIfTrue="1" operator="equal">
      <formula>"Napkin Hs"</formula>
    </cfRule>
  </conditionalFormatting>
  <conditionalFormatting sqref="C24">
    <cfRule type="cellIs" dxfId="24968" priority="16977" stopIfTrue="1" operator="equal">
      <formula>"Napkin Hs"</formula>
    </cfRule>
  </conditionalFormatting>
  <conditionalFormatting sqref="C24">
    <cfRule type="cellIs" dxfId="24967" priority="16976" stopIfTrue="1" operator="equal">
      <formula>"Towel"</formula>
    </cfRule>
  </conditionalFormatting>
  <conditionalFormatting sqref="C25">
    <cfRule type="cellIs" dxfId="24966" priority="16940" stopIfTrue="1" operator="equal">
      <formula>"Towel"</formula>
    </cfRule>
    <cfRule type="cellIs" dxfId="24965" priority="16941" stopIfTrue="1" operator="equal">
      <formula>"Napkin Hs"</formula>
    </cfRule>
  </conditionalFormatting>
  <conditionalFormatting sqref="C25">
    <cfRule type="cellIs" dxfId="24964" priority="16936" stopIfTrue="1" operator="equal">
      <formula>"Towel"</formula>
    </cfRule>
    <cfRule type="cellIs" dxfId="24963" priority="16937" stopIfTrue="1" operator="equal">
      <formula>"Napkin Hs"</formula>
    </cfRule>
  </conditionalFormatting>
  <conditionalFormatting sqref="C25">
    <cfRule type="cellIs" dxfId="24962" priority="16939" stopIfTrue="1" operator="equal">
      <formula>"Napkin Hs"</formula>
    </cfRule>
  </conditionalFormatting>
  <conditionalFormatting sqref="C25">
    <cfRule type="cellIs" dxfId="24961" priority="16938" stopIfTrue="1" operator="equal">
      <formula>"Towel"</formula>
    </cfRule>
  </conditionalFormatting>
  <conditionalFormatting sqref="B23:C24">
    <cfRule type="cellIs" dxfId="24960" priority="16912" stopIfTrue="1" operator="equal">
      <formula>"Towel"</formula>
    </cfRule>
  </conditionalFormatting>
  <conditionalFormatting sqref="B23:C24">
    <cfRule type="cellIs" dxfId="24959" priority="16913" stopIfTrue="1" operator="equal">
      <formula>"Napkin Hs"</formula>
    </cfRule>
    <cfRule type="cellIs" dxfId="24958" priority="16918" stopIfTrue="1" operator="equal">
      <formula>"Towel"</formula>
    </cfRule>
    <cfRule type="cellIs" dxfId="24957" priority="16919" stopIfTrue="1" operator="equal">
      <formula>"Napkin Hs"</formula>
    </cfRule>
    <cfRule type="cellIs" dxfId="24956" priority="16928" stopIfTrue="1" operator="equal">
      <formula>"Towel"</formula>
    </cfRule>
    <cfRule type="cellIs" dxfId="24955" priority="16929" stopIfTrue="1" operator="equal">
      <formula>"Napkin Hs"</formula>
    </cfRule>
    <cfRule type="cellIs" dxfId="24954" priority="16934" stopIfTrue="1" operator="equal">
      <formula>"Towel"</formula>
    </cfRule>
    <cfRule type="cellIs" dxfId="24953" priority="16935" stopIfTrue="1" operator="equal">
      <formula>"Napkin Hs"</formula>
    </cfRule>
  </conditionalFormatting>
  <conditionalFormatting sqref="C23:C24">
    <cfRule type="cellIs" dxfId="24952" priority="16914" stopIfTrue="1" operator="equal">
      <formula>"Towel"</formula>
    </cfRule>
    <cfRule type="cellIs" dxfId="24951" priority="16915" stopIfTrue="1" operator="equal">
      <formula>"Napkin Hs"</formula>
    </cfRule>
    <cfRule type="cellIs" dxfId="24950" priority="16916" stopIfTrue="1" operator="equal">
      <formula>"Towel"</formula>
    </cfRule>
    <cfRule type="cellIs" dxfId="24949" priority="16917" stopIfTrue="1" operator="equal">
      <formula>"Napkin Hs"</formula>
    </cfRule>
    <cfRule type="cellIs" dxfId="24948" priority="16920" stopIfTrue="1" operator="equal">
      <formula>"Towel"</formula>
    </cfRule>
    <cfRule type="cellIs" dxfId="24947" priority="16921" stopIfTrue="1" operator="equal">
      <formula>"Napkin Hs"</formula>
    </cfRule>
    <cfRule type="cellIs" dxfId="24946" priority="16922" stopIfTrue="1" operator="equal">
      <formula>"Towel"</formula>
    </cfRule>
    <cfRule type="cellIs" dxfId="24945" priority="16923" stopIfTrue="1" operator="equal">
      <formula>"Napkin Hs"</formula>
    </cfRule>
    <cfRule type="cellIs" dxfId="24944" priority="16924" stopIfTrue="1" operator="equal">
      <formula>"Towel"</formula>
    </cfRule>
    <cfRule type="cellIs" dxfId="24943" priority="16925" stopIfTrue="1" operator="equal">
      <formula>"Napkin Hs"</formula>
    </cfRule>
    <cfRule type="cellIs" dxfId="24942" priority="16926" stopIfTrue="1" operator="equal">
      <formula>"Towel"</formula>
    </cfRule>
    <cfRule type="cellIs" dxfId="24941" priority="16927" stopIfTrue="1" operator="equal">
      <formula>"Napkin Hs"</formula>
    </cfRule>
    <cfRule type="cellIs" dxfId="24940" priority="16930" stopIfTrue="1" operator="equal">
      <formula>"Towel"</formula>
    </cfRule>
    <cfRule type="cellIs" dxfId="24939" priority="16931" stopIfTrue="1" operator="equal">
      <formula>"Napkin Hs"</formula>
    </cfRule>
    <cfRule type="cellIs" dxfId="24938" priority="16933" stopIfTrue="1" operator="equal">
      <formula>"Napkin Hs"</formula>
    </cfRule>
  </conditionalFormatting>
  <conditionalFormatting sqref="C23:C24">
    <cfRule type="cellIs" dxfId="24937" priority="16932" stopIfTrue="1" operator="equal">
      <formula>"Towel"</formula>
    </cfRule>
  </conditionalFormatting>
  <conditionalFormatting sqref="B23:C24">
    <cfRule type="cellIs" dxfId="24936" priority="16910" stopIfTrue="1" operator="equal">
      <formula>"Towel"</formula>
    </cfRule>
    <cfRule type="cellIs" dxfId="24935" priority="16911" stopIfTrue="1" operator="equal">
      <formula>"Napkin Hs"</formula>
    </cfRule>
  </conditionalFormatting>
  <conditionalFormatting sqref="C23:C24">
    <cfRule type="cellIs" dxfId="24934" priority="16909" stopIfTrue="1" operator="equal">
      <formula>"Napkin Hs"</formula>
    </cfRule>
  </conditionalFormatting>
  <conditionalFormatting sqref="C23:C24">
    <cfRule type="cellIs" dxfId="24933" priority="16908" stopIfTrue="1" operator="equal">
      <formula>"Towel"</formula>
    </cfRule>
  </conditionalFormatting>
  <conditionalFormatting sqref="C23:C24">
    <cfRule type="cellIs" dxfId="24932" priority="16906" stopIfTrue="1" operator="equal">
      <formula>"Towel"</formula>
    </cfRule>
  </conditionalFormatting>
  <conditionalFormatting sqref="C23:C24">
    <cfRule type="cellIs" dxfId="24931" priority="16907" stopIfTrue="1" operator="equal">
      <formula>"Napkin Hs"</formula>
    </cfRule>
  </conditionalFormatting>
  <conditionalFormatting sqref="B23:B24">
    <cfRule type="cellIs" dxfId="24930" priority="16810" stopIfTrue="1" operator="equal">
      <formula>"Napkin Hs"</formula>
    </cfRule>
  </conditionalFormatting>
  <conditionalFormatting sqref="B23:C24">
    <cfRule type="cellIs" dxfId="24929" priority="16809" stopIfTrue="1" operator="equal">
      <formula>"Towel"</formula>
    </cfRule>
  </conditionalFormatting>
  <conditionalFormatting sqref="B23:C24">
    <cfRule type="cellIs" dxfId="24928" priority="16820" stopIfTrue="1" operator="equal">
      <formula>"Towel"</formula>
    </cfRule>
    <cfRule type="cellIs" dxfId="24927" priority="16821" stopIfTrue="1" operator="equal">
      <formula>"Napkin Hs"</formula>
    </cfRule>
    <cfRule type="cellIs" dxfId="24926" priority="16826" stopIfTrue="1" operator="equal">
      <formula>"Towel"</formula>
    </cfRule>
    <cfRule type="cellIs" dxfId="24925" priority="16827" stopIfTrue="1" operator="equal">
      <formula>"Napkin Hs"</formula>
    </cfRule>
    <cfRule type="cellIs" dxfId="24924" priority="16832" stopIfTrue="1" operator="equal">
      <formula>"Towel"</formula>
    </cfRule>
    <cfRule type="cellIs" dxfId="24923" priority="16833" stopIfTrue="1" operator="equal">
      <formula>"Napkin Hs"</formula>
    </cfRule>
    <cfRule type="cellIs" dxfId="24922" priority="16834" stopIfTrue="1" operator="equal">
      <formula>"Towel"</formula>
    </cfRule>
    <cfRule type="cellIs" dxfId="24921" priority="16835" stopIfTrue="1" operator="equal">
      <formula>"Napkin Hs"</formula>
    </cfRule>
    <cfRule type="cellIs" dxfId="24920" priority="16840" stopIfTrue="1" operator="equal">
      <formula>"Towel"</formula>
    </cfRule>
    <cfRule type="cellIs" dxfId="24919" priority="16841" stopIfTrue="1" operator="equal">
      <formula>"Napkin Hs"</formula>
    </cfRule>
    <cfRule type="cellIs" dxfId="24918" priority="16850" stopIfTrue="1" operator="equal">
      <formula>"Towel"</formula>
    </cfRule>
    <cfRule type="cellIs" dxfId="24917" priority="16851" stopIfTrue="1" operator="equal">
      <formula>"Napkin Hs"</formula>
    </cfRule>
    <cfRule type="cellIs" dxfId="24916" priority="16856" stopIfTrue="1" operator="equal">
      <formula>"Towel"</formula>
    </cfRule>
    <cfRule type="cellIs" dxfId="24915" priority="16857" stopIfTrue="1" operator="equal">
      <formula>"Napkin Hs"</formula>
    </cfRule>
    <cfRule type="cellIs" dxfId="24914" priority="16858" stopIfTrue="1" operator="equal">
      <formula>"Towel"</formula>
    </cfRule>
    <cfRule type="cellIs" dxfId="24913" priority="16859" stopIfTrue="1" operator="equal">
      <formula>"Napkin Hs"</formula>
    </cfRule>
    <cfRule type="cellIs" dxfId="24912" priority="16864" stopIfTrue="1" operator="equal">
      <formula>"Towel"</formula>
    </cfRule>
    <cfRule type="cellIs" dxfId="24911" priority="16865" stopIfTrue="1" operator="equal">
      <formula>"Napkin Hs"</formula>
    </cfRule>
    <cfRule type="cellIs" dxfId="24910" priority="16874" stopIfTrue="1" operator="equal">
      <formula>"Towel"</formula>
    </cfRule>
    <cfRule type="cellIs" dxfId="24909" priority="16875" stopIfTrue="1" operator="equal">
      <formula>"Napkin Hs"</formula>
    </cfRule>
    <cfRule type="cellIs" dxfId="24908" priority="16876" stopIfTrue="1" operator="equal">
      <formula>"Towel"</formula>
    </cfRule>
    <cfRule type="cellIs" dxfId="24907" priority="16877" stopIfTrue="1" operator="equal">
      <formula>"Napkin Hs"</formula>
    </cfRule>
    <cfRule type="cellIs" dxfId="24906" priority="16882" stopIfTrue="1" operator="equal">
      <formula>"Towel"</formula>
    </cfRule>
    <cfRule type="cellIs" dxfId="24905" priority="16883" stopIfTrue="1" operator="equal">
      <formula>"Napkin Hs"</formula>
    </cfRule>
    <cfRule type="cellIs" dxfId="24904" priority="16892" stopIfTrue="1" operator="equal">
      <formula>"Towel"</formula>
    </cfRule>
    <cfRule type="cellIs" dxfId="24903" priority="16893" stopIfTrue="1" operator="equal">
      <formula>"Napkin Hs"</formula>
    </cfRule>
    <cfRule type="cellIs" dxfId="24902" priority="16894" stopIfTrue="1" operator="equal">
      <formula>"Towel"</formula>
    </cfRule>
    <cfRule type="cellIs" dxfId="24901" priority="16895" stopIfTrue="1" operator="equal">
      <formula>"Napkin Hs"</formula>
    </cfRule>
    <cfRule type="cellIs" dxfId="24900" priority="16901" stopIfTrue="1" operator="equal">
      <formula>"Napkin Hs"</formula>
    </cfRule>
  </conditionalFormatting>
  <conditionalFormatting sqref="B23:C24">
    <cfRule type="cellIs" dxfId="24899" priority="16900" stopIfTrue="1" operator="equal">
      <formula>"Towel"</formula>
    </cfRule>
  </conditionalFormatting>
  <conditionalFormatting sqref="C23:C24">
    <cfRule type="cellIs" dxfId="24898" priority="16811" stopIfTrue="1" operator="equal">
      <formula>"Napkin Hs"</formula>
    </cfRule>
    <cfRule type="cellIs" dxfId="24897" priority="16812" stopIfTrue="1" operator="equal">
      <formula>"Towel"</formula>
    </cfRule>
    <cfRule type="cellIs" dxfId="24896" priority="16813" stopIfTrue="1" operator="equal">
      <formula>"Napkin Hs"</formula>
    </cfRule>
    <cfRule type="cellIs" dxfId="24895" priority="16814" stopIfTrue="1" operator="equal">
      <formula>"Towel"</formula>
    </cfRule>
    <cfRule type="cellIs" dxfId="24894" priority="16815" stopIfTrue="1" operator="equal">
      <formula>"Napkin Hs"</formula>
    </cfRule>
    <cfRule type="cellIs" dxfId="24893" priority="16816" stopIfTrue="1" operator="equal">
      <formula>"Towel"</formula>
    </cfRule>
    <cfRule type="cellIs" dxfId="24892" priority="16817" stopIfTrue="1" operator="equal">
      <formula>"Napkin Hs"</formula>
    </cfRule>
    <cfRule type="cellIs" dxfId="24891" priority="16818" stopIfTrue="1" operator="equal">
      <formula>"Towel"</formula>
    </cfRule>
    <cfRule type="cellIs" dxfId="24890" priority="16819" stopIfTrue="1" operator="equal">
      <formula>"Napkin Hs"</formula>
    </cfRule>
    <cfRule type="cellIs" dxfId="24889" priority="16822" stopIfTrue="1" operator="equal">
      <formula>"Towel"</formula>
    </cfRule>
    <cfRule type="cellIs" dxfId="24888" priority="16823" stopIfTrue="1" operator="equal">
      <formula>"Napkin Hs"</formula>
    </cfRule>
    <cfRule type="cellIs" dxfId="24887" priority="16824" stopIfTrue="1" operator="equal">
      <formula>"Towel"</formula>
    </cfRule>
    <cfRule type="cellIs" dxfId="24886" priority="16825" stopIfTrue="1" operator="equal">
      <formula>"Napkin Hs"</formula>
    </cfRule>
    <cfRule type="cellIs" dxfId="24885" priority="16828" stopIfTrue="1" operator="equal">
      <formula>"Towel"</formula>
    </cfRule>
    <cfRule type="cellIs" dxfId="24884" priority="16829" stopIfTrue="1" operator="equal">
      <formula>"Napkin Hs"</formula>
    </cfRule>
    <cfRule type="cellIs" dxfId="24883" priority="16830" stopIfTrue="1" operator="equal">
      <formula>"Towel"</formula>
    </cfRule>
    <cfRule type="cellIs" dxfId="24882" priority="16831" stopIfTrue="1" operator="equal">
      <formula>"Napkin Hs"</formula>
    </cfRule>
    <cfRule type="cellIs" dxfId="24881" priority="16836" stopIfTrue="1" operator="equal">
      <formula>"Towel"</formula>
    </cfRule>
    <cfRule type="cellIs" dxfId="24880" priority="16837" stopIfTrue="1" operator="equal">
      <formula>"Napkin Hs"</formula>
    </cfRule>
    <cfRule type="cellIs" dxfId="24879" priority="16838" stopIfTrue="1" operator="equal">
      <formula>"Towel"</formula>
    </cfRule>
    <cfRule type="cellIs" dxfId="24878" priority="16839" stopIfTrue="1" operator="equal">
      <formula>"Napkin Hs"</formula>
    </cfRule>
    <cfRule type="cellIs" dxfId="24877" priority="16842" stopIfTrue="1" operator="equal">
      <formula>"Towel"</formula>
    </cfRule>
    <cfRule type="cellIs" dxfId="24876" priority="16843" stopIfTrue="1" operator="equal">
      <formula>"Napkin Hs"</formula>
    </cfRule>
    <cfRule type="cellIs" dxfId="24875" priority="16844" stopIfTrue="1" operator="equal">
      <formula>"Towel"</formula>
    </cfRule>
    <cfRule type="cellIs" dxfId="24874" priority="16845" stopIfTrue="1" operator="equal">
      <formula>"Napkin Hs"</formula>
    </cfRule>
    <cfRule type="cellIs" dxfId="24873" priority="16846" stopIfTrue="1" operator="equal">
      <formula>"Towel"</formula>
    </cfRule>
    <cfRule type="cellIs" dxfId="24872" priority="16847" stopIfTrue="1" operator="equal">
      <formula>"Napkin Hs"</formula>
    </cfRule>
    <cfRule type="cellIs" dxfId="24871" priority="16848" stopIfTrue="1" operator="equal">
      <formula>"Towel"</formula>
    </cfRule>
    <cfRule type="cellIs" dxfId="24870" priority="16849" stopIfTrue="1" operator="equal">
      <formula>"Napkin Hs"</formula>
    </cfRule>
    <cfRule type="cellIs" dxfId="24869" priority="16852" stopIfTrue="1" operator="equal">
      <formula>"Towel"</formula>
    </cfRule>
    <cfRule type="cellIs" dxfId="24868" priority="16853" stopIfTrue="1" operator="equal">
      <formula>"Napkin Hs"</formula>
    </cfRule>
    <cfRule type="cellIs" dxfId="24867" priority="16854" stopIfTrue="1" operator="equal">
      <formula>"Towel"</formula>
    </cfRule>
    <cfRule type="cellIs" dxfId="24866" priority="16855" stopIfTrue="1" operator="equal">
      <formula>"Napkin Hs"</formula>
    </cfRule>
    <cfRule type="cellIs" dxfId="24865" priority="16860" stopIfTrue="1" operator="equal">
      <formula>"Towel"</formula>
    </cfRule>
    <cfRule type="cellIs" dxfId="24864" priority="16861" stopIfTrue="1" operator="equal">
      <formula>"Napkin Hs"</formula>
    </cfRule>
    <cfRule type="cellIs" dxfId="24863" priority="16862" stopIfTrue="1" operator="equal">
      <formula>"Towel"</formula>
    </cfRule>
    <cfRule type="cellIs" dxfId="24862" priority="16863" stopIfTrue="1" operator="equal">
      <formula>"Napkin Hs"</formula>
    </cfRule>
    <cfRule type="cellIs" dxfId="24861" priority="16866" stopIfTrue="1" operator="equal">
      <formula>"Towel"</formula>
    </cfRule>
    <cfRule type="cellIs" dxfId="24860" priority="16867" stopIfTrue="1" operator="equal">
      <formula>"Napkin Hs"</formula>
    </cfRule>
    <cfRule type="cellIs" dxfId="24859" priority="16868" stopIfTrue="1" operator="equal">
      <formula>"Towel"</formula>
    </cfRule>
    <cfRule type="cellIs" dxfId="24858" priority="16869" stopIfTrue="1" operator="equal">
      <formula>"Napkin Hs"</formula>
    </cfRule>
    <cfRule type="cellIs" dxfId="24857" priority="16870" stopIfTrue="1" operator="equal">
      <formula>"Towel"</formula>
    </cfRule>
    <cfRule type="cellIs" dxfId="24856" priority="16871" stopIfTrue="1" operator="equal">
      <formula>"Napkin Hs"</formula>
    </cfRule>
    <cfRule type="cellIs" dxfId="24855" priority="16872" stopIfTrue="1" operator="equal">
      <formula>"Towel"</formula>
    </cfRule>
    <cfRule type="cellIs" dxfId="24854" priority="16873" stopIfTrue="1" operator="equal">
      <formula>"Napkin Hs"</formula>
    </cfRule>
    <cfRule type="cellIs" dxfId="24853" priority="16878" stopIfTrue="1" operator="equal">
      <formula>"Towel"</formula>
    </cfRule>
    <cfRule type="cellIs" dxfId="24852" priority="16879" stopIfTrue="1" operator="equal">
      <formula>"Napkin Hs"</formula>
    </cfRule>
    <cfRule type="cellIs" dxfId="24851" priority="16880" stopIfTrue="1" operator="equal">
      <formula>"Towel"</formula>
    </cfRule>
    <cfRule type="cellIs" dxfId="24850" priority="16881" stopIfTrue="1" operator="equal">
      <formula>"Napkin Hs"</formula>
    </cfRule>
    <cfRule type="cellIs" dxfId="24849" priority="16884" stopIfTrue="1" operator="equal">
      <formula>"Towel"</formula>
    </cfRule>
    <cfRule type="cellIs" dxfId="24848" priority="16885" stopIfTrue="1" operator="equal">
      <formula>"Napkin Hs"</formula>
    </cfRule>
    <cfRule type="cellIs" dxfId="24847" priority="16886" stopIfTrue="1" operator="equal">
      <formula>"Towel"</formula>
    </cfRule>
    <cfRule type="cellIs" dxfId="24846" priority="16887" stopIfTrue="1" operator="equal">
      <formula>"Napkin Hs"</formula>
    </cfRule>
    <cfRule type="cellIs" dxfId="24845" priority="16888" stopIfTrue="1" operator="equal">
      <formula>"Towel"</formula>
    </cfRule>
    <cfRule type="cellIs" dxfId="24844" priority="16889" stopIfTrue="1" operator="equal">
      <formula>"Napkin Hs"</formula>
    </cfRule>
    <cfRule type="cellIs" dxfId="24843" priority="16890" stopIfTrue="1" operator="equal">
      <formula>"Towel"</formula>
    </cfRule>
    <cfRule type="cellIs" dxfId="24842" priority="16891" stopIfTrue="1" operator="equal">
      <formula>"Napkin Hs"</formula>
    </cfRule>
    <cfRule type="cellIs" dxfId="24841" priority="16896" stopIfTrue="1" operator="equal">
      <formula>"Towel"</formula>
    </cfRule>
    <cfRule type="cellIs" dxfId="24840" priority="16897" stopIfTrue="1" operator="equal">
      <formula>"Napkin Hs"</formula>
    </cfRule>
    <cfRule type="cellIs" dxfId="24839" priority="16898" stopIfTrue="1" operator="equal">
      <formula>"Towel"</formula>
    </cfRule>
    <cfRule type="cellIs" dxfId="24838" priority="16899" stopIfTrue="1" operator="equal">
      <formula>"Napkin Hs"</formula>
    </cfRule>
    <cfRule type="cellIs" dxfId="24837" priority="16902" stopIfTrue="1" operator="equal">
      <formula>"Towel"</formula>
    </cfRule>
    <cfRule type="cellIs" dxfId="24836" priority="16903" stopIfTrue="1" operator="equal">
      <formula>"Napkin Hs"</formula>
    </cfRule>
    <cfRule type="cellIs" dxfId="24835" priority="16904" stopIfTrue="1" operator="equal">
      <formula>"Towel"</formula>
    </cfRule>
    <cfRule type="cellIs" dxfId="24834" priority="16905" stopIfTrue="1" operator="equal">
      <formula>"Napkin Hs"</formula>
    </cfRule>
  </conditionalFormatting>
  <conditionalFormatting sqref="B25">
    <cfRule type="cellIs" dxfId="24833" priority="16801" stopIfTrue="1" operator="equal">
      <formula>"Towel"</formula>
    </cfRule>
  </conditionalFormatting>
  <conditionalFormatting sqref="B25">
    <cfRule type="cellIs" dxfId="24832" priority="16802" stopIfTrue="1" operator="equal">
      <formula>"Napkin Hs"</formula>
    </cfRule>
    <cfRule type="cellIs" dxfId="24831" priority="16803" stopIfTrue="1" operator="equal">
      <formula>"Towel"</formula>
    </cfRule>
    <cfRule type="cellIs" dxfId="24830" priority="16804" stopIfTrue="1" operator="equal">
      <formula>"Napkin Hs"</formula>
    </cfRule>
    <cfRule type="cellIs" dxfId="24829" priority="16805" stopIfTrue="1" operator="equal">
      <formula>"Towel"</formula>
    </cfRule>
    <cfRule type="cellIs" dxfId="24828" priority="16806" stopIfTrue="1" operator="equal">
      <formula>"Napkin Hs"</formula>
    </cfRule>
    <cfRule type="cellIs" dxfId="24827" priority="16807" stopIfTrue="1" operator="equal">
      <formula>"Towel"</formula>
    </cfRule>
    <cfRule type="cellIs" dxfId="24826" priority="16808" stopIfTrue="1" operator="equal">
      <formula>"Napkin Hs"</formula>
    </cfRule>
  </conditionalFormatting>
  <conditionalFormatting sqref="B25">
    <cfRule type="cellIs" dxfId="24825" priority="16799" stopIfTrue="1" operator="equal">
      <formula>"Towel"</formula>
    </cfRule>
    <cfRule type="cellIs" dxfId="24824" priority="16800" stopIfTrue="1" operator="equal">
      <formula>"Napkin Hs"</formula>
    </cfRule>
  </conditionalFormatting>
  <conditionalFormatting sqref="B25">
    <cfRule type="cellIs" dxfId="24823" priority="16768" stopIfTrue="1" operator="equal">
      <formula>"Napkin Hs"</formula>
    </cfRule>
  </conditionalFormatting>
  <conditionalFormatting sqref="B25">
    <cfRule type="cellIs" dxfId="24822" priority="16767" stopIfTrue="1" operator="equal">
      <formula>"Towel"</formula>
    </cfRule>
  </conditionalFormatting>
  <conditionalFormatting sqref="B25">
    <cfRule type="cellIs" dxfId="24821" priority="16769" stopIfTrue="1" operator="equal">
      <formula>"Towel"</formula>
    </cfRule>
    <cfRule type="cellIs" dxfId="24820" priority="16770" stopIfTrue="1" operator="equal">
      <formula>"Napkin Hs"</formula>
    </cfRule>
    <cfRule type="cellIs" dxfId="24819" priority="16771" stopIfTrue="1" operator="equal">
      <formula>"Towel"</formula>
    </cfRule>
    <cfRule type="cellIs" dxfId="24818" priority="16772" stopIfTrue="1" operator="equal">
      <formula>"Napkin Hs"</formula>
    </cfRule>
    <cfRule type="cellIs" dxfId="24817" priority="16773" stopIfTrue="1" operator="equal">
      <formula>"Towel"</formula>
    </cfRule>
    <cfRule type="cellIs" dxfId="24816" priority="16774" stopIfTrue="1" operator="equal">
      <formula>"Napkin Hs"</formula>
    </cfRule>
    <cfRule type="cellIs" dxfId="24815" priority="16775" stopIfTrue="1" operator="equal">
      <formula>"Towel"</formula>
    </cfRule>
    <cfRule type="cellIs" dxfId="24814" priority="16776" stopIfTrue="1" operator="equal">
      <formula>"Napkin Hs"</formula>
    </cfRule>
    <cfRule type="cellIs" dxfId="24813" priority="16777" stopIfTrue="1" operator="equal">
      <formula>"Towel"</formula>
    </cfRule>
    <cfRule type="cellIs" dxfId="24812" priority="16778" stopIfTrue="1" operator="equal">
      <formula>"Napkin Hs"</formula>
    </cfRule>
    <cfRule type="cellIs" dxfId="24811" priority="16779" stopIfTrue="1" operator="equal">
      <formula>"Towel"</formula>
    </cfRule>
    <cfRule type="cellIs" dxfId="24810" priority="16780" stopIfTrue="1" operator="equal">
      <formula>"Napkin Hs"</formula>
    </cfRule>
    <cfRule type="cellIs" dxfId="24809" priority="16781" stopIfTrue="1" operator="equal">
      <formula>"Towel"</formula>
    </cfRule>
    <cfRule type="cellIs" dxfId="24808" priority="16782" stopIfTrue="1" operator="equal">
      <formula>"Napkin Hs"</formula>
    </cfRule>
    <cfRule type="cellIs" dxfId="24807" priority="16783" stopIfTrue="1" operator="equal">
      <formula>"Towel"</formula>
    </cfRule>
    <cfRule type="cellIs" dxfId="24806" priority="16784" stopIfTrue="1" operator="equal">
      <formula>"Napkin Hs"</formula>
    </cfRule>
    <cfRule type="cellIs" dxfId="24805" priority="16785" stopIfTrue="1" operator="equal">
      <formula>"Towel"</formula>
    </cfRule>
    <cfRule type="cellIs" dxfId="24804" priority="16786" stopIfTrue="1" operator="equal">
      <formula>"Napkin Hs"</formula>
    </cfRule>
    <cfRule type="cellIs" dxfId="24803" priority="16787" stopIfTrue="1" operator="equal">
      <formula>"Towel"</formula>
    </cfRule>
    <cfRule type="cellIs" dxfId="24802" priority="16788" stopIfTrue="1" operator="equal">
      <formula>"Napkin Hs"</formula>
    </cfRule>
    <cfRule type="cellIs" dxfId="24801" priority="16789" stopIfTrue="1" operator="equal">
      <formula>"Towel"</formula>
    </cfRule>
    <cfRule type="cellIs" dxfId="24800" priority="16790" stopIfTrue="1" operator="equal">
      <formula>"Napkin Hs"</formula>
    </cfRule>
    <cfRule type="cellIs" dxfId="24799" priority="16791" stopIfTrue="1" operator="equal">
      <formula>"Towel"</formula>
    </cfRule>
    <cfRule type="cellIs" dxfId="24798" priority="16792" stopIfTrue="1" operator="equal">
      <formula>"Napkin Hs"</formula>
    </cfRule>
    <cfRule type="cellIs" dxfId="24797" priority="16793" stopIfTrue="1" operator="equal">
      <formula>"Towel"</formula>
    </cfRule>
    <cfRule type="cellIs" dxfId="24796" priority="16794" stopIfTrue="1" operator="equal">
      <formula>"Napkin Hs"</formula>
    </cfRule>
    <cfRule type="cellIs" dxfId="24795" priority="16795" stopIfTrue="1" operator="equal">
      <formula>"Towel"</formula>
    </cfRule>
    <cfRule type="cellIs" dxfId="24794" priority="16796" stopIfTrue="1" operator="equal">
      <formula>"Napkin Hs"</formula>
    </cfRule>
    <cfRule type="cellIs" dxfId="24793" priority="16798" stopIfTrue="1" operator="equal">
      <formula>"Napkin Hs"</formula>
    </cfRule>
  </conditionalFormatting>
  <conditionalFormatting sqref="B25">
    <cfRule type="cellIs" dxfId="24792" priority="16797" stopIfTrue="1" operator="equal">
      <formula>"Towel"</formula>
    </cfRule>
  </conditionalFormatting>
  <conditionalFormatting sqref="C25">
    <cfRule type="cellIs" dxfId="24791" priority="16763" stopIfTrue="1" operator="equal">
      <formula>"Towel"</formula>
    </cfRule>
    <cfRule type="cellIs" dxfId="24790" priority="16764" stopIfTrue="1" operator="equal">
      <formula>"Napkin Hs"</formula>
    </cfRule>
  </conditionalFormatting>
  <conditionalFormatting sqref="C25">
    <cfRule type="cellIs" dxfId="24789" priority="16765" stopIfTrue="1" operator="equal">
      <formula>"Towel"</formula>
    </cfRule>
    <cfRule type="cellIs" dxfId="24788" priority="16766" stopIfTrue="1" operator="equal">
      <formula>"Napkin Hs"</formula>
    </cfRule>
  </conditionalFormatting>
  <conditionalFormatting sqref="B25:C25">
    <cfRule type="cellIs" dxfId="24787" priority="16761" stopIfTrue="1" operator="equal">
      <formula>"Towel"</formula>
    </cfRule>
    <cfRule type="cellIs" dxfId="24786" priority="16762" stopIfTrue="1" operator="equal">
      <formula>"Napkin Hs"</formula>
    </cfRule>
  </conditionalFormatting>
  <conditionalFormatting sqref="B25:C25">
    <cfRule type="cellIs" dxfId="24785" priority="16755" stopIfTrue="1" operator="equal">
      <formula>"Towel"</formula>
    </cfRule>
    <cfRule type="cellIs" dxfId="24784" priority="16756" stopIfTrue="1" operator="equal">
      <formula>"Napkin Hs"</formula>
    </cfRule>
  </conditionalFormatting>
  <conditionalFormatting sqref="C25">
    <cfRule type="cellIs" dxfId="24783" priority="16757" stopIfTrue="1" operator="equal">
      <formula>"Towel"</formula>
    </cfRule>
    <cfRule type="cellIs" dxfId="24782" priority="16758" stopIfTrue="1" operator="equal">
      <formula>"Napkin Hs"</formula>
    </cfRule>
  </conditionalFormatting>
  <conditionalFormatting sqref="C25">
    <cfRule type="cellIs" dxfId="24781" priority="16759" stopIfTrue="1" operator="equal">
      <formula>"Towel"</formula>
    </cfRule>
    <cfRule type="cellIs" dxfId="24780" priority="16760" stopIfTrue="1" operator="equal">
      <formula>"Napkin Hs"</formula>
    </cfRule>
  </conditionalFormatting>
  <conditionalFormatting sqref="B24:C24">
    <cfRule type="cellIs" dxfId="24779" priority="16753" stopIfTrue="1" operator="equal">
      <formula>"Towel"</formula>
    </cfRule>
    <cfRule type="cellIs" dxfId="24778" priority="16754" stopIfTrue="1" operator="equal">
      <formula>"Napkin Hs"</formula>
    </cfRule>
  </conditionalFormatting>
  <conditionalFormatting sqref="C24">
    <cfRule type="cellIs" dxfId="24777" priority="16749" stopIfTrue="1" operator="equal">
      <formula>"Towel"</formula>
    </cfRule>
    <cfRule type="cellIs" dxfId="24776" priority="16750" stopIfTrue="1" operator="equal">
      <formula>"Napkin Hs"</formula>
    </cfRule>
  </conditionalFormatting>
  <conditionalFormatting sqref="C24">
    <cfRule type="cellIs" dxfId="24775" priority="16751" stopIfTrue="1" operator="equal">
      <formula>"Towel"</formula>
    </cfRule>
    <cfRule type="cellIs" dxfId="24774" priority="16752" stopIfTrue="1" operator="equal">
      <formula>"Napkin Hs"</formula>
    </cfRule>
  </conditionalFormatting>
  <conditionalFormatting sqref="B24:C24">
    <cfRule type="cellIs" dxfId="24773" priority="16747" stopIfTrue="1" operator="equal">
      <formula>"Towel"</formula>
    </cfRule>
    <cfRule type="cellIs" dxfId="24772" priority="16748" stopIfTrue="1" operator="equal">
      <formula>"Napkin Hs"</formula>
    </cfRule>
  </conditionalFormatting>
  <conditionalFormatting sqref="C24">
    <cfRule type="cellIs" dxfId="24771" priority="16745" stopIfTrue="1" operator="equal">
      <formula>"Towel"</formula>
    </cfRule>
    <cfRule type="cellIs" dxfId="24770" priority="16746" stopIfTrue="1" operator="equal">
      <formula>"Napkin Hs"</formula>
    </cfRule>
  </conditionalFormatting>
  <conditionalFormatting sqref="C24">
    <cfRule type="cellIs" dxfId="24769" priority="16743" stopIfTrue="1" operator="equal">
      <formula>"Towel"</formula>
    </cfRule>
    <cfRule type="cellIs" dxfId="24768" priority="16744" stopIfTrue="1" operator="equal">
      <formula>"Napkin Hs"</formula>
    </cfRule>
  </conditionalFormatting>
  <conditionalFormatting sqref="C24">
    <cfRule type="cellIs" dxfId="24767" priority="16735" stopIfTrue="1" operator="equal">
      <formula>"Towel"</formula>
    </cfRule>
    <cfRule type="cellIs" dxfId="24766" priority="16736" stopIfTrue="1" operator="equal">
      <formula>"Napkin Hs"</formula>
    </cfRule>
  </conditionalFormatting>
  <conditionalFormatting sqref="B24:C24">
    <cfRule type="cellIs" dxfId="24765" priority="16737" stopIfTrue="1" operator="equal">
      <formula>"Towel"</formula>
    </cfRule>
    <cfRule type="cellIs" dxfId="24764" priority="16738" stopIfTrue="1" operator="equal">
      <formula>"Napkin Hs"</formula>
    </cfRule>
  </conditionalFormatting>
  <conditionalFormatting sqref="C24">
    <cfRule type="cellIs" dxfId="24763" priority="16733" stopIfTrue="1" operator="equal">
      <formula>"Towel"</formula>
    </cfRule>
    <cfRule type="cellIs" dxfId="24762" priority="16734" stopIfTrue="1" operator="equal">
      <formula>"Napkin Hs"</formula>
    </cfRule>
  </conditionalFormatting>
  <conditionalFormatting sqref="B24:C24">
    <cfRule type="cellIs" dxfId="24761" priority="16731" stopIfTrue="1" operator="equal">
      <formula>"Towel"</formula>
    </cfRule>
    <cfRule type="cellIs" dxfId="24760" priority="16732" stopIfTrue="1" operator="equal">
      <formula>"Napkin Hs"</formula>
    </cfRule>
  </conditionalFormatting>
  <conditionalFormatting sqref="C24">
    <cfRule type="cellIs" dxfId="24759" priority="16739" stopIfTrue="1" operator="equal">
      <formula>"Towel"</formula>
    </cfRule>
    <cfRule type="cellIs" dxfId="24758" priority="16740" stopIfTrue="1" operator="equal">
      <formula>"Napkin Hs"</formula>
    </cfRule>
  </conditionalFormatting>
  <conditionalFormatting sqref="C24">
    <cfRule type="cellIs" dxfId="24757" priority="16741" stopIfTrue="1" operator="equal">
      <formula>"Towel"</formula>
    </cfRule>
    <cfRule type="cellIs" dxfId="24756" priority="16742" stopIfTrue="1" operator="equal">
      <formula>"Napkin Hs"</formula>
    </cfRule>
  </conditionalFormatting>
  <conditionalFormatting sqref="B24:C24">
    <cfRule type="cellIs" dxfId="24755" priority="16729" stopIfTrue="1" operator="equal">
      <formula>"Towel"</formula>
    </cfRule>
    <cfRule type="cellIs" dxfId="24754" priority="16730" stopIfTrue="1" operator="equal">
      <formula>"Napkin Hs"</formula>
    </cfRule>
  </conditionalFormatting>
  <conditionalFormatting sqref="C24">
    <cfRule type="cellIs" dxfId="24753" priority="16725" stopIfTrue="1" operator="equal">
      <formula>"Towel"</formula>
    </cfRule>
    <cfRule type="cellIs" dxfId="24752" priority="16726" stopIfTrue="1" operator="equal">
      <formula>"Napkin Hs"</formula>
    </cfRule>
  </conditionalFormatting>
  <conditionalFormatting sqref="C24">
    <cfRule type="cellIs" dxfId="24751" priority="16727" stopIfTrue="1" operator="equal">
      <formula>"Towel"</formula>
    </cfRule>
    <cfRule type="cellIs" dxfId="24750" priority="16728" stopIfTrue="1" operator="equal">
      <formula>"Napkin Hs"</formula>
    </cfRule>
  </conditionalFormatting>
  <conditionalFormatting sqref="B24:C24">
    <cfRule type="cellIs" dxfId="24749" priority="16723" stopIfTrue="1" operator="equal">
      <formula>"Towel"</formula>
    </cfRule>
    <cfRule type="cellIs" dxfId="24748" priority="16724" stopIfTrue="1" operator="equal">
      <formula>"Napkin Hs"</formula>
    </cfRule>
  </conditionalFormatting>
  <conditionalFormatting sqref="C24">
    <cfRule type="cellIs" dxfId="24747" priority="16721" stopIfTrue="1" operator="equal">
      <formula>"Towel"</formula>
    </cfRule>
    <cfRule type="cellIs" dxfId="24746" priority="16722" stopIfTrue="1" operator="equal">
      <formula>"Napkin Hs"</formula>
    </cfRule>
  </conditionalFormatting>
  <conditionalFormatting sqref="C24">
    <cfRule type="cellIs" dxfId="24745" priority="16719" stopIfTrue="1" operator="equal">
      <formula>"Towel"</formula>
    </cfRule>
    <cfRule type="cellIs" dxfId="24744" priority="16720" stopIfTrue="1" operator="equal">
      <formula>"Napkin Hs"</formula>
    </cfRule>
  </conditionalFormatting>
  <conditionalFormatting sqref="C24">
    <cfRule type="cellIs" dxfId="24743" priority="16711" stopIfTrue="1" operator="equal">
      <formula>"Towel"</formula>
    </cfRule>
    <cfRule type="cellIs" dxfId="24742" priority="16712" stopIfTrue="1" operator="equal">
      <formula>"Napkin Hs"</formula>
    </cfRule>
  </conditionalFormatting>
  <conditionalFormatting sqref="B24:C24">
    <cfRule type="cellIs" dxfId="24741" priority="16713" stopIfTrue="1" operator="equal">
      <formula>"Towel"</formula>
    </cfRule>
    <cfRule type="cellIs" dxfId="24740" priority="16714" stopIfTrue="1" operator="equal">
      <formula>"Napkin Hs"</formula>
    </cfRule>
  </conditionalFormatting>
  <conditionalFormatting sqref="C24">
    <cfRule type="cellIs" dxfId="24739" priority="16709" stopIfTrue="1" operator="equal">
      <formula>"Towel"</formula>
    </cfRule>
    <cfRule type="cellIs" dxfId="24738" priority="16710" stopIfTrue="1" operator="equal">
      <formula>"Napkin Hs"</formula>
    </cfRule>
  </conditionalFormatting>
  <conditionalFormatting sqref="B24:C24">
    <cfRule type="cellIs" dxfId="24737" priority="16707" stopIfTrue="1" operator="equal">
      <formula>"Towel"</formula>
    </cfRule>
    <cfRule type="cellIs" dxfId="24736" priority="16708" stopIfTrue="1" operator="equal">
      <formula>"Napkin Hs"</formula>
    </cfRule>
  </conditionalFormatting>
  <conditionalFormatting sqref="C24">
    <cfRule type="cellIs" dxfId="24735" priority="16715" stopIfTrue="1" operator="equal">
      <formula>"Towel"</formula>
    </cfRule>
    <cfRule type="cellIs" dxfId="24734" priority="16716" stopIfTrue="1" operator="equal">
      <formula>"Napkin Hs"</formula>
    </cfRule>
  </conditionalFormatting>
  <conditionalFormatting sqref="C24">
    <cfRule type="cellIs" dxfId="24733" priority="16717" stopIfTrue="1" operator="equal">
      <formula>"Towel"</formula>
    </cfRule>
    <cfRule type="cellIs" dxfId="24732" priority="16718" stopIfTrue="1" operator="equal">
      <formula>"Napkin Hs"</formula>
    </cfRule>
  </conditionalFormatting>
  <conditionalFormatting sqref="C23">
    <cfRule type="cellIs" dxfId="24731" priority="16605" stopIfTrue="1" operator="equal">
      <formula>"Towel"</formula>
    </cfRule>
    <cfRule type="cellIs" dxfId="24730" priority="16606" stopIfTrue="1" operator="equal">
      <formula>"Napkin Hs"</formula>
    </cfRule>
  </conditionalFormatting>
  <conditionalFormatting sqref="B23:C23">
    <cfRule type="cellIs" dxfId="24729" priority="16607" stopIfTrue="1" operator="equal">
      <formula>"Towel"</formula>
    </cfRule>
    <cfRule type="cellIs" dxfId="24728" priority="16608" stopIfTrue="1" operator="equal">
      <formula>"Napkin Hs"</formula>
    </cfRule>
  </conditionalFormatting>
  <conditionalFormatting sqref="B23:C23">
    <cfRule type="cellIs" dxfId="24727" priority="16603" stopIfTrue="1" operator="equal">
      <formula>"Towel"</formula>
    </cfRule>
    <cfRule type="cellIs" dxfId="24726" priority="16604" stopIfTrue="1" operator="equal">
      <formula>"Napkin Hs"</formula>
    </cfRule>
  </conditionalFormatting>
  <conditionalFormatting sqref="C23">
    <cfRule type="cellIs" dxfId="24725" priority="16601" stopIfTrue="1" operator="equal">
      <formula>"Towel"</formula>
    </cfRule>
    <cfRule type="cellIs" dxfId="24724" priority="16602" stopIfTrue="1" operator="equal">
      <formula>"Napkin Hs"</formula>
    </cfRule>
  </conditionalFormatting>
  <conditionalFormatting sqref="C23">
    <cfRule type="cellIs" dxfId="24723" priority="16599" stopIfTrue="1" operator="equal">
      <formula>"Towel"</formula>
    </cfRule>
    <cfRule type="cellIs" dxfId="24722" priority="16600" stopIfTrue="1" operator="equal">
      <formula>"Napkin Hs"</formula>
    </cfRule>
  </conditionalFormatting>
  <conditionalFormatting sqref="B23:C23">
    <cfRule type="cellIs" dxfId="24721" priority="16667" stopIfTrue="1" operator="equal">
      <formula>"Towel"</formula>
    </cfRule>
    <cfRule type="cellIs" dxfId="24720" priority="16668" stopIfTrue="1" operator="equal">
      <formula>"Napkin Hs"</formula>
    </cfRule>
  </conditionalFormatting>
  <conditionalFormatting sqref="C23">
    <cfRule type="cellIs" dxfId="24719" priority="16669" stopIfTrue="1" operator="equal">
      <formula>"Towel"</formula>
    </cfRule>
    <cfRule type="cellIs" dxfId="24718" priority="16670" stopIfTrue="1" operator="equal">
      <formula>"Napkin Hs"</formula>
    </cfRule>
  </conditionalFormatting>
  <conditionalFormatting sqref="C23">
    <cfRule type="cellIs" dxfId="24717" priority="16665" stopIfTrue="1" operator="equal">
      <formula>"Towel"</formula>
    </cfRule>
    <cfRule type="cellIs" dxfId="24716" priority="16666" stopIfTrue="1" operator="equal">
      <formula>"Napkin Hs"</formula>
    </cfRule>
  </conditionalFormatting>
  <conditionalFormatting sqref="B23:C23">
    <cfRule type="cellIs" dxfId="24715" priority="16663" stopIfTrue="1" operator="equal">
      <formula>"Towel"</formula>
    </cfRule>
    <cfRule type="cellIs" dxfId="24714" priority="16664" stopIfTrue="1" operator="equal">
      <formula>"Napkin Hs"</formula>
    </cfRule>
  </conditionalFormatting>
  <conditionalFormatting sqref="C23">
    <cfRule type="cellIs" dxfId="24713" priority="16659" stopIfTrue="1" operator="equal">
      <formula>"Towel"</formula>
    </cfRule>
    <cfRule type="cellIs" dxfId="24712" priority="16660" stopIfTrue="1" operator="equal">
      <formula>"Napkin Hs"</formula>
    </cfRule>
  </conditionalFormatting>
  <conditionalFormatting sqref="C23">
    <cfRule type="cellIs" dxfId="24711" priority="16661" stopIfTrue="1" operator="equal">
      <formula>"Towel"</formula>
    </cfRule>
    <cfRule type="cellIs" dxfId="24710" priority="16662" stopIfTrue="1" operator="equal">
      <formula>"Napkin Hs"</formula>
    </cfRule>
  </conditionalFormatting>
  <conditionalFormatting sqref="B24:C24">
    <cfRule type="cellIs" dxfId="24709" priority="16657" stopIfTrue="1" operator="equal">
      <formula>"Towel"</formula>
    </cfRule>
    <cfRule type="cellIs" dxfId="24708" priority="16658" stopIfTrue="1" operator="equal">
      <formula>"Napkin Hs"</formula>
    </cfRule>
  </conditionalFormatting>
  <conditionalFormatting sqref="C24">
    <cfRule type="cellIs" dxfId="24707" priority="16653" stopIfTrue="1" operator="equal">
      <formula>"Towel"</formula>
    </cfRule>
    <cfRule type="cellIs" dxfId="24706" priority="16654" stopIfTrue="1" operator="equal">
      <formula>"Napkin Hs"</formula>
    </cfRule>
  </conditionalFormatting>
  <conditionalFormatting sqref="C24">
    <cfRule type="cellIs" dxfId="24705" priority="16655" stopIfTrue="1" operator="equal">
      <formula>"Towel"</formula>
    </cfRule>
    <cfRule type="cellIs" dxfId="24704" priority="16656" stopIfTrue="1" operator="equal">
      <formula>"Napkin Hs"</formula>
    </cfRule>
  </conditionalFormatting>
  <conditionalFormatting sqref="B24:C24">
    <cfRule type="cellIs" dxfId="24703" priority="16651" stopIfTrue="1" operator="equal">
      <formula>"Towel"</formula>
    </cfRule>
    <cfRule type="cellIs" dxfId="24702" priority="16652" stopIfTrue="1" operator="equal">
      <formula>"Napkin Hs"</formula>
    </cfRule>
  </conditionalFormatting>
  <conditionalFormatting sqref="C24">
    <cfRule type="cellIs" dxfId="24701" priority="16649" stopIfTrue="1" operator="equal">
      <formula>"Towel"</formula>
    </cfRule>
    <cfRule type="cellIs" dxfId="24700" priority="16650" stopIfTrue="1" operator="equal">
      <formula>"Napkin Hs"</formula>
    </cfRule>
  </conditionalFormatting>
  <conditionalFormatting sqref="C24">
    <cfRule type="cellIs" dxfId="24699" priority="16647" stopIfTrue="1" operator="equal">
      <formula>"Towel"</formula>
    </cfRule>
    <cfRule type="cellIs" dxfId="24698" priority="16648" stopIfTrue="1" operator="equal">
      <formula>"Napkin Hs"</formula>
    </cfRule>
  </conditionalFormatting>
  <conditionalFormatting sqref="C24">
    <cfRule type="cellIs" dxfId="24697" priority="16639" stopIfTrue="1" operator="equal">
      <formula>"Towel"</formula>
    </cfRule>
    <cfRule type="cellIs" dxfId="24696" priority="16640" stopIfTrue="1" operator="equal">
      <formula>"Napkin Hs"</formula>
    </cfRule>
  </conditionalFormatting>
  <conditionalFormatting sqref="B24:C24">
    <cfRule type="cellIs" dxfId="24695" priority="16641" stopIfTrue="1" operator="equal">
      <formula>"Towel"</formula>
    </cfRule>
    <cfRule type="cellIs" dxfId="24694" priority="16642" stopIfTrue="1" operator="equal">
      <formula>"Napkin Hs"</formula>
    </cfRule>
  </conditionalFormatting>
  <conditionalFormatting sqref="C24">
    <cfRule type="cellIs" dxfId="24693" priority="16637" stopIfTrue="1" operator="equal">
      <formula>"Towel"</formula>
    </cfRule>
    <cfRule type="cellIs" dxfId="24692" priority="16638" stopIfTrue="1" operator="equal">
      <formula>"Napkin Hs"</formula>
    </cfRule>
  </conditionalFormatting>
  <conditionalFormatting sqref="B24:C24">
    <cfRule type="cellIs" dxfId="24691" priority="16635" stopIfTrue="1" operator="equal">
      <formula>"Towel"</formula>
    </cfRule>
    <cfRule type="cellIs" dxfId="24690" priority="16636" stopIfTrue="1" operator="equal">
      <formula>"Napkin Hs"</formula>
    </cfRule>
  </conditionalFormatting>
  <conditionalFormatting sqref="C24">
    <cfRule type="cellIs" dxfId="24689" priority="16643" stopIfTrue="1" operator="equal">
      <formula>"Towel"</formula>
    </cfRule>
    <cfRule type="cellIs" dxfId="24688" priority="16644" stopIfTrue="1" operator="equal">
      <formula>"Napkin Hs"</formula>
    </cfRule>
  </conditionalFormatting>
  <conditionalFormatting sqref="C24">
    <cfRule type="cellIs" dxfId="24687" priority="16645" stopIfTrue="1" operator="equal">
      <formula>"Towel"</formula>
    </cfRule>
    <cfRule type="cellIs" dxfId="24686" priority="16646" stopIfTrue="1" operator="equal">
      <formula>"Napkin Hs"</formula>
    </cfRule>
  </conditionalFormatting>
  <conditionalFormatting sqref="B24:C24">
    <cfRule type="cellIs" dxfId="24685" priority="16633" stopIfTrue="1" operator="equal">
      <formula>"Towel"</formula>
    </cfRule>
    <cfRule type="cellIs" dxfId="24684" priority="16634" stopIfTrue="1" operator="equal">
      <formula>"Napkin Hs"</formula>
    </cfRule>
  </conditionalFormatting>
  <conditionalFormatting sqref="C24">
    <cfRule type="cellIs" dxfId="24683" priority="16629" stopIfTrue="1" operator="equal">
      <formula>"Towel"</formula>
    </cfRule>
    <cfRule type="cellIs" dxfId="24682" priority="16630" stopIfTrue="1" operator="equal">
      <formula>"Napkin Hs"</formula>
    </cfRule>
  </conditionalFormatting>
  <conditionalFormatting sqref="C24">
    <cfRule type="cellIs" dxfId="24681" priority="16631" stopIfTrue="1" operator="equal">
      <formula>"Towel"</formula>
    </cfRule>
    <cfRule type="cellIs" dxfId="24680" priority="16632" stopIfTrue="1" operator="equal">
      <formula>"Napkin Hs"</formula>
    </cfRule>
  </conditionalFormatting>
  <conditionalFormatting sqref="B24:C24">
    <cfRule type="cellIs" dxfId="24679" priority="16627" stopIfTrue="1" operator="equal">
      <formula>"Towel"</formula>
    </cfRule>
    <cfRule type="cellIs" dxfId="24678" priority="16628" stopIfTrue="1" operator="equal">
      <formula>"Napkin Hs"</formula>
    </cfRule>
  </conditionalFormatting>
  <conditionalFormatting sqref="C24">
    <cfRule type="cellIs" dxfId="24677" priority="16625" stopIfTrue="1" operator="equal">
      <formula>"Towel"</formula>
    </cfRule>
    <cfRule type="cellIs" dxfId="24676" priority="16626" stopIfTrue="1" operator="equal">
      <formula>"Napkin Hs"</formula>
    </cfRule>
  </conditionalFormatting>
  <conditionalFormatting sqref="C24">
    <cfRule type="cellIs" dxfId="24675" priority="16623" stopIfTrue="1" operator="equal">
      <formula>"Towel"</formula>
    </cfRule>
    <cfRule type="cellIs" dxfId="24674" priority="16624" stopIfTrue="1" operator="equal">
      <formula>"Napkin Hs"</formula>
    </cfRule>
  </conditionalFormatting>
  <conditionalFormatting sqref="C24">
    <cfRule type="cellIs" dxfId="24673" priority="16615" stopIfTrue="1" operator="equal">
      <formula>"Towel"</formula>
    </cfRule>
    <cfRule type="cellIs" dxfId="24672" priority="16616" stopIfTrue="1" operator="equal">
      <formula>"Napkin Hs"</formula>
    </cfRule>
  </conditionalFormatting>
  <conditionalFormatting sqref="B24:C24">
    <cfRule type="cellIs" dxfId="24671" priority="16617" stopIfTrue="1" operator="equal">
      <formula>"Towel"</formula>
    </cfRule>
    <cfRule type="cellIs" dxfId="24670" priority="16618" stopIfTrue="1" operator="equal">
      <formula>"Napkin Hs"</formula>
    </cfRule>
  </conditionalFormatting>
  <conditionalFormatting sqref="C24">
    <cfRule type="cellIs" dxfId="24669" priority="16613" stopIfTrue="1" operator="equal">
      <formula>"Towel"</formula>
    </cfRule>
    <cfRule type="cellIs" dxfId="24668" priority="16614" stopIfTrue="1" operator="equal">
      <formula>"Napkin Hs"</formula>
    </cfRule>
  </conditionalFormatting>
  <conditionalFormatting sqref="B24:C24">
    <cfRule type="cellIs" dxfId="24667" priority="16611" stopIfTrue="1" operator="equal">
      <formula>"Towel"</formula>
    </cfRule>
    <cfRule type="cellIs" dxfId="24666" priority="16612" stopIfTrue="1" operator="equal">
      <formula>"Napkin Hs"</formula>
    </cfRule>
  </conditionalFormatting>
  <conditionalFormatting sqref="C24">
    <cfRule type="cellIs" dxfId="24665" priority="16619" stopIfTrue="1" operator="equal">
      <formula>"Towel"</formula>
    </cfRule>
    <cfRule type="cellIs" dxfId="24664" priority="16620" stopIfTrue="1" operator="equal">
      <formula>"Napkin Hs"</formula>
    </cfRule>
  </conditionalFormatting>
  <conditionalFormatting sqref="C24">
    <cfRule type="cellIs" dxfId="24663" priority="16621" stopIfTrue="1" operator="equal">
      <formula>"Towel"</formula>
    </cfRule>
    <cfRule type="cellIs" dxfId="24662" priority="16622" stopIfTrue="1" operator="equal">
      <formula>"Napkin Hs"</formula>
    </cfRule>
  </conditionalFormatting>
  <conditionalFormatting sqref="C22">
    <cfRule type="cellIs" dxfId="24661" priority="16533" stopIfTrue="1" operator="equal">
      <formula>"Towel"</formula>
    </cfRule>
    <cfRule type="cellIs" dxfId="24660" priority="16534" stopIfTrue="1" operator="equal">
      <formula>"Napkin Hs"</formula>
    </cfRule>
  </conditionalFormatting>
  <conditionalFormatting sqref="C22">
    <cfRule type="cellIs" dxfId="24659" priority="16535" stopIfTrue="1" operator="equal">
      <formula>"Towel"</formula>
    </cfRule>
    <cfRule type="cellIs" dxfId="24658" priority="16536" stopIfTrue="1" operator="equal">
      <formula>"Napkin Hs"</formula>
    </cfRule>
  </conditionalFormatting>
  <conditionalFormatting sqref="B22:C22">
    <cfRule type="cellIs" dxfId="24657" priority="16531" stopIfTrue="1" operator="equal">
      <formula>"Towel"</formula>
    </cfRule>
    <cfRule type="cellIs" dxfId="24656" priority="16532" stopIfTrue="1" operator="equal">
      <formula>"Napkin Hs"</formula>
    </cfRule>
  </conditionalFormatting>
  <conditionalFormatting sqref="C22">
    <cfRule type="cellIs" dxfId="24655" priority="16529" stopIfTrue="1" operator="equal">
      <formula>"Towel"</formula>
    </cfRule>
    <cfRule type="cellIs" dxfId="24654" priority="16530" stopIfTrue="1" operator="equal">
      <formula>"Napkin Hs"</formula>
    </cfRule>
  </conditionalFormatting>
  <conditionalFormatting sqref="B22:C22">
    <cfRule type="cellIs" dxfId="24653" priority="16525" stopIfTrue="1" operator="equal">
      <formula>"Towel"</formula>
    </cfRule>
    <cfRule type="cellIs" dxfId="24652" priority="16526" stopIfTrue="1" operator="equal">
      <formula>"Napkin Hs"</formula>
    </cfRule>
  </conditionalFormatting>
  <conditionalFormatting sqref="C22">
    <cfRule type="cellIs" dxfId="24651" priority="16527" stopIfTrue="1" operator="equal">
      <formula>"Towel"</formula>
    </cfRule>
    <cfRule type="cellIs" dxfId="24650" priority="16528" stopIfTrue="1" operator="equal">
      <formula>"Napkin Hs"</formula>
    </cfRule>
  </conditionalFormatting>
  <conditionalFormatting sqref="C23">
    <cfRule type="cellIs" dxfId="24649" priority="16609" stopIfTrue="1" operator="equal">
      <formula>"Towel"</formula>
    </cfRule>
    <cfRule type="cellIs" dxfId="24648" priority="16610" stopIfTrue="1" operator="equal">
      <formula>"Napkin Hs"</formula>
    </cfRule>
  </conditionalFormatting>
  <conditionalFormatting sqref="B22:C22">
    <cfRule type="cellIs" dxfId="24647" priority="16585" stopIfTrue="1" operator="equal">
      <formula>"Towel"</formula>
    </cfRule>
    <cfRule type="cellIs" dxfId="24646" priority="16586" stopIfTrue="1" operator="equal">
      <formula>"Napkin Hs"</formula>
    </cfRule>
  </conditionalFormatting>
  <conditionalFormatting sqref="C22">
    <cfRule type="cellIs" dxfId="24645" priority="16581" stopIfTrue="1" operator="equal">
      <formula>"Towel"</formula>
    </cfRule>
    <cfRule type="cellIs" dxfId="24644" priority="16582" stopIfTrue="1" operator="equal">
      <formula>"Napkin Hs"</formula>
    </cfRule>
  </conditionalFormatting>
  <conditionalFormatting sqref="C22">
    <cfRule type="cellIs" dxfId="24643" priority="16584" stopIfTrue="1" operator="equal">
      <formula>"Napkin Hs"</formula>
    </cfRule>
  </conditionalFormatting>
  <conditionalFormatting sqref="C22">
    <cfRule type="cellIs" dxfId="24642" priority="16583" stopIfTrue="1" operator="equal">
      <formula>"Towel"</formula>
    </cfRule>
  </conditionalFormatting>
  <conditionalFormatting sqref="C22">
    <cfRule type="cellIs" dxfId="24641" priority="16575" stopIfTrue="1" operator="equal">
      <formula>"Towel"</formula>
    </cfRule>
    <cfRule type="cellIs" dxfId="24640" priority="16576" stopIfTrue="1" operator="equal">
      <formula>"Napkin Hs"</formula>
    </cfRule>
  </conditionalFormatting>
  <conditionalFormatting sqref="C22">
    <cfRule type="cellIs" dxfId="24639" priority="16579" stopIfTrue="1" operator="equal">
      <formula>"Towel"</formula>
    </cfRule>
    <cfRule type="cellIs" dxfId="24638" priority="16580" stopIfTrue="1" operator="equal">
      <formula>"Napkin Hs"</formula>
    </cfRule>
  </conditionalFormatting>
  <conditionalFormatting sqref="B22">
    <cfRule type="cellIs" dxfId="24637" priority="16565" stopIfTrue="1" operator="equal">
      <formula>"Towel"</formula>
    </cfRule>
    <cfRule type="cellIs" dxfId="24636" priority="16566" stopIfTrue="1" operator="equal">
      <formula>"Napkin Hs"</formula>
    </cfRule>
  </conditionalFormatting>
  <conditionalFormatting sqref="C22">
    <cfRule type="cellIs" dxfId="24635" priority="16577" stopIfTrue="1" operator="equal">
      <formula>"Towel"</formula>
    </cfRule>
    <cfRule type="cellIs" dxfId="24634" priority="16578" stopIfTrue="1" operator="equal">
      <formula>"Napkin Hs"</formula>
    </cfRule>
  </conditionalFormatting>
  <conditionalFormatting sqref="C22">
    <cfRule type="cellIs" dxfId="24633" priority="16569" stopIfTrue="1" operator="equal">
      <formula>"Towel"</formula>
    </cfRule>
    <cfRule type="cellIs" dxfId="24632" priority="16570" stopIfTrue="1" operator="equal">
      <formula>"Napkin Hs"</formula>
    </cfRule>
  </conditionalFormatting>
  <conditionalFormatting sqref="C22">
    <cfRule type="cellIs" dxfId="24631" priority="16571" stopIfTrue="1" operator="equal">
      <formula>"Towel"</formula>
    </cfRule>
    <cfRule type="cellIs" dxfId="24630" priority="16572" stopIfTrue="1" operator="equal">
      <formula>"Napkin Hs"</formula>
    </cfRule>
  </conditionalFormatting>
  <conditionalFormatting sqref="C22">
    <cfRule type="cellIs" dxfId="24629" priority="16573" stopIfTrue="1" operator="equal">
      <formula>"Towel"</formula>
    </cfRule>
    <cfRule type="cellIs" dxfId="24628" priority="16574" stopIfTrue="1" operator="equal">
      <formula>"Napkin Hs"</formula>
    </cfRule>
  </conditionalFormatting>
  <conditionalFormatting sqref="B22">
    <cfRule type="cellIs" dxfId="24627" priority="16567" stopIfTrue="1" operator="equal">
      <formula>"Towel"</formula>
    </cfRule>
    <cfRule type="cellIs" dxfId="24626" priority="16568" stopIfTrue="1" operator="equal">
      <formula>"Napkin Hs"</formula>
    </cfRule>
  </conditionalFormatting>
  <conditionalFormatting sqref="C22">
    <cfRule type="cellIs" dxfId="24625" priority="16559" stopIfTrue="1" operator="equal">
      <formula>"Towel"</formula>
    </cfRule>
    <cfRule type="cellIs" dxfId="24624" priority="16560" stopIfTrue="1" operator="equal">
      <formula>"Napkin Hs"</formula>
    </cfRule>
  </conditionalFormatting>
  <conditionalFormatting sqref="C22">
    <cfRule type="cellIs" dxfId="24623" priority="16563" stopIfTrue="1" operator="equal">
      <formula>"Towel"</formula>
    </cfRule>
    <cfRule type="cellIs" dxfId="24622" priority="16564" stopIfTrue="1" operator="equal">
      <formula>"Napkin Hs"</formula>
    </cfRule>
  </conditionalFormatting>
  <conditionalFormatting sqref="B22">
    <cfRule type="cellIs" dxfId="24621" priority="16549" stopIfTrue="1" operator="equal">
      <formula>"Towel"</formula>
    </cfRule>
    <cfRule type="cellIs" dxfId="24620" priority="16550" stopIfTrue="1" operator="equal">
      <formula>"Napkin Hs"</formula>
    </cfRule>
  </conditionalFormatting>
  <conditionalFormatting sqref="C22">
    <cfRule type="cellIs" dxfId="24619" priority="16561" stopIfTrue="1" operator="equal">
      <formula>"Towel"</formula>
    </cfRule>
    <cfRule type="cellIs" dxfId="24618" priority="16562" stopIfTrue="1" operator="equal">
      <formula>"Napkin Hs"</formula>
    </cfRule>
  </conditionalFormatting>
  <conditionalFormatting sqref="C22">
    <cfRule type="cellIs" dxfId="24617" priority="16553" stopIfTrue="1" operator="equal">
      <formula>"Towel"</formula>
    </cfRule>
    <cfRule type="cellIs" dxfId="24616" priority="16554" stopIfTrue="1" operator="equal">
      <formula>"Napkin Hs"</formula>
    </cfRule>
  </conditionalFormatting>
  <conditionalFormatting sqref="C22">
    <cfRule type="cellIs" dxfId="24615" priority="16555" stopIfTrue="1" operator="equal">
      <formula>"Towel"</formula>
    </cfRule>
    <cfRule type="cellIs" dxfId="24614" priority="16556" stopIfTrue="1" operator="equal">
      <formula>"Napkin Hs"</formula>
    </cfRule>
  </conditionalFormatting>
  <conditionalFormatting sqref="C22">
    <cfRule type="cellIs" dxfId="24613" priority="16557" stopIfTrue="1" operator="equal">
      <formula>"Towel"</formula>
    </cfRule>
    <cfRule type="cellIs" dxfId="24612" priority="16558" stopIfTrue="1" operator="equal">
      <formula>"Napkin Hs"</formula>
    </cfRule>
  </conditionalFormatting>
  <conditionalFormatting sqref="B22">
    <cfRule type="cellIs" dxfId="24611" priority="16551" stopIfTrue="1" operator="equal">
      <formula>"Towel"</formula>
    </cfRule>
    <cfRule type="cellIs" dxfId="24610" priority="16552" stopIfTrue="1" operator="equal">
      <formula>"Napkin Hs"</formula>
    </cfRule>
  </conditionalFormatting>
  <conditionalFormatting sqref="B22:C22">
    <cfRule type="cellIs" dxfId="24609" priority="16547" stopIfTrue="1" operator="equal">
      <formula>"Towel"</formula>
    </cfRule>
    <cfRule type="cellIs" dxfId="24608" priority="16548" stopIfTrue="1" operator="equal">
      <formula>"Napkin Hs"</formula>
    </cfRule>
  </conditionalFormatting>
  <conditionalFormatting sqref="C22">
    <cfRule type="cellIs" dxfId="24607" priority="16543" stopIfTrue="1" operator="equal">
      <formula>"Towel"</formula>
    </cfRule>
    <cfRule type="cellIs" dxfId="24606" priority="16544" stopIfTrue="1" operator="equal">
      <formula>"Napkin Hs"</formula>
    </cfRule>
  </conditionalFormatting>
  <conditionalFormatting sqref="C22">
    <cfRule type="cellIs" dxfId="24605" priority="16545" stopIfTrue="1" operator="equal">
      <formula>"Towel"</formula>
    </cfRule>
    <cfRule type="cellIs" dxfId="24604" priority="16546" stopIfTrue="1" operator="equal">
      <formula>"Napkin Hs"</formula>
    </cfRule>
  </conditionalFormatting>
  <conditionalFormatting sqref="B22:C22">
    <cfRule type="cellIs" dxfId="24603" priority="16541" stopIfTrue="1" operator="equal">
      <formula>"Towel"</formula>
    </cfRule>
    <cfRule type="cellIs" dxfId="24602" priority="16542" stopIfTrue="1" operator="equal">
      <formula>"Napkin Hs"</formula>
    </cfRule>
  </conditionalFormatting>
  <conditionalFormatting sqref="C22">
    <cfRule type="cellIs" dxfId="24601" priority="16539" stopIfTrue="1" operator="equal">
      <formula>"Towel"</formula>
    </cfRule>
    <cfRule type="cellIs" dxfId="24600" priority="16540" stopIfTrue="1" operator="equal">
      <formula>"Napkin Hs"</formula>
    </cfRule>
  </conditionalFormatting>
  <conditionalFormatting sqref="C22">
    <cfRule type="cellIs" dxfId="24599" priority="16537" stopIfTrue="1" operator="equal">
      <formula>"Towel"</formula>
    </cfRule>
    <cfRule type="cellIs" dxfId="24598" priority="16538" stopIfTrue="1" operator="equal">
      <formula>"Napkin Hs"</formula>
    </cfRule>
  </conditionalFormatting>
  <conditionalFormatting sqref="B22:C22">
    <cfRule type="cellIs" dxfId="24597" priority="16521" stopIfTrue="1" operator="equal">
      <formula>"Towel"</formula>
    </cfRule>
    <cfRule type="cellIs" dxfId="24596" priority="16522" stopIfTrue="1" operator="equal">
      <formula>"Napkin Hs"</formula>
    </cfRule>
  </conditionalFormatting>
  <conditionalFormatting sqref="C22">
    <cfRule type="cellIs" dxfId="24595" priority="16523" stopIfTrue="1" operator="equal">
      <formula>"Towel"</formula>
    </cfRule>
    <cfRule type="cellIs" dxfId="24594" priority="16524" stopIfTrue="1" operator="equal">
      <formula>"Napkin Hs"</formula>
    </cfRule>
  </conditionalFormatting>
  <conditionalFormatting sqref="C22">
    <cfRule type="cellIs" dxfId="24593" priority="16519" stopIfTrue="1" operator="equal">
      <formula>"Towel"</formula>
    </cfRule>
    <cfRule type="cellIs" dxfId="24592" priority="16520" stopIfTrue="1" operator="equal">
      <formula>"Napkin Hs"</formula>
    </cfRule>
  </conditionalFormatting>
  <conditionalFormatting sqref="B22:C22">
    <cfRule type="cellIs" dxfId="24591" priority="16517" stopIfTrue="1" operator="equal">
      <formula>"Towel"</formula>
    </cfRule>
    <cfRule type="cellIs" dxfId="24590" priority="16518" stopIfTrue="1" operator="equal">
      <formula>"Napkin Hs"</formula>
    </cfRule>
  </conditionalFormatting>
  <conditionalFormatting sqref="C22">
    <cfRule type="cellIs" dxfId="24589" priority="16513" stopIfTrue="1" operator="equal">
      <formula>"Towel"</formula>
    </cfRule>
    <cfRule type="cellIs" dxfId="24588" priority="16514" stopIfTrue="1" operator="equal">
      <formula>"Napkin Hs"</formula>
    </cfRule>
  </conditionalFormatting>
  <conditionalFormatting sqref="C22">
    <cfRule type="cellIs" dxfId="24587" priority="16515" stopIfTrue="1" operator="equal">
      <formula>"Towel"</formula>
    </cfRule>
    <cfRule type="cellIs" dxfId="24586" priority="16516" stopIfTrue="1" operator="equal">
      <formula>"Napkin Hs"</formula>
    </cfRule>
  </conditionalFormatting>
  <conditionalFormatting sqref="B22:C22">
    <cfRule type="cellIs" dxfId="24585" priority="16509" stopIfTrue="1" operator="equal">
      <formula>"Towel"</formula>
    </cfRule>
    <cfRule type="cellIs" dxfId="24584" priority="16510" stopIfTrue="1" operator="equal">
      <formula>"Napkin Hs"</formula>
    </cfRule>
  </conditionalFormatting>
  <conditionalFormatting sqref="C22">
    <cfRule type="cellIs" dxfId="24583" priority="16511" stopIfTrue="1" operator="equal">
      <formula>"Towel"</formula>
    </cfRule>
    <cfRule type="cellIs" dxfId="24582" priority="16512" stopIfTrue="1" operator="equal">
      <formula>"Napkin Hs"</formula>
    </cfRule>
  </conditionalFormatting>
  <conditionalFormatting sqref="C22">
    <cfRule type="cellIs" dxfId="24581" priority="16507" stopIfTrue="1" operator="equal">
      <formula>"Towel"</formula>
    </cfRule>
    <cfRule type="cellIs" dxfId="24580" priority="16508" stopIfTrue="1" operator="equal">
      <formula>"Napkin Hs"</formula>
    </cfRule>
  </conditionalFormatting>
  <conditionalFormatting sqref="B22:C22">
    <cfRule type="cellIs" dxfId="24579" priority="16505" stopIfTrue="1" operator="equal">
      <formula>"Towel"</formula>
    </cfRule>
    <cfRule type="cellIs" dxfId="24578" priority="16506" stopIfTrue="1" operator="equal">
      <formula>"Napkin Hs"</formula>
    </cfRule>
  </conditionalFormatting>
  <conditionalFormatting sqref="C22">
    <cfRule type="cellIs" dxfId="24577" priority="16501" stopIfTrue="1" operator="equal">
      <formula>"Towel"</formula>
    </cfRule>
    <cfRule type="cellIs" dxfId="24576" priority="16502" stopIfTrue="1" operator="equal">
      <formula>"Napkin Hs"</formula>
    </cfRule>
  </conditionalFormatting>
  <conditionalFormatting sqref="C22">
    <cfRule type="cellIs" dxfId="24575" priority="16503" stopIfTrue="1" operator="equal">
      <formula>"Towel"</formula>
    </cfRule>
    <cfRule type="cellIs" dxfId="24574" priority="16504" stopIfTrue="1" operator="equal">
      <formula>"Napkin Hs"</formula>
    </cfRule>
  </conditionalFormatting>
  <conditionalFormatting sqref="C21">
    <cfRule type="cellIs" dxfId="24573" priority="16447" stopIfTrue="1" operator="equal">
      <formula>"Towel"</formula>
    </cfRule>
    <cfRule type="cellIs" dxfId="24572" priority="16448" stopIfTrue="1" operator="equal">
      <formula>"Napkin Hs"</formula>
    </cfRule>
  </conditionalFormatting>
  <conditionalFormatting sqref="C21">
    <cfRule type="cellIs" dxfId="24571" priority="16449" stopIfTrue="1" operator="equal">
      <formula>"Towel"</formula>
    </cfRule>
    <cfRule type="cellIs" dxfId="24570" priority="16450" stopIfTrue="1" operator="equal">
      <formula>"Napkin Hs"</formula>
    </cfRule>
  </conditionalFormatting>
  <conditionalFormatting sqref="B21:C21">
    <cfRule type="cellIs" dxfId="24569" priority="16445" stopIfTrue="1" operator="equal">
      <formula>"Towel"</formula>
    </cfRule>
    <cfRule type="cellIs" dxfId="24568" priority="16446" stopIfTrue="1" operator="equal">
      <formula>"Napkin Hs"</formula>
    </cfRule>
  </conditionalFormatting>
  <conditionalFormatting sqref="C21">
    <cfRule type="cellIs" dxfId="24567" priority="16443" stopIfTrue="1" operator="equal">
      <formula>"Towel"</formula>
    </cfRule>
    <cfRule type="cellIs" dxfId="24566" priority="16444" stopIfTrue="1" operator="equal">
      <formula>"Napkin Hs"</formula>
    </cfRule>
  </conditionalFormatting>
  <conditionalFormatting sqref="B21:C21">
    <cfRule type="cellIs" dxfId="24565" priority="16439" stopIfTrue="1" operator="equal">
      <formula>"Towel"</formula>
    </cfRule>
    <cfRule type="cellIs" dxfId="24564" priority="16440" stopIfTrue="1" operator="equal">
      <formula>"Napkin Hs"</formula>
    </cfRule>
  </conditionalFormatting>
  <conditionalFormatting sqref="C21">
    <cfRule type="cellIs" dxfId="24563" priority="16441" stopIfTrue="1" operator="equal">
      <formula>"Towel"</formula>
    </cfRule>
    <cfRule type="cellIs" dxfId="24562" priority="16442" stopIfTrue="1" operator="equal">
      <formula>"Napkin Hs"</formula>
    </cfRule>
  </conditionalFormatting>
  <conditionalFormatting sqref="B21:C21">
    <cfRule type="cellIs" dxfId="24561" priority="16499" stopIfTrue="1" operator="equal">
      <formula>"Towel"</formula>
    </cfRule>
    <cfRule type="cellIs" dxfId="24560" priority="16500" stopIfTrue="1" operator="equal">
      <formula>"Napkin Hs"</formula>
    </cfRule>
  </conditionalFormatting>
  <conditionalFormatting sqref="C21">
    <cfRule type="cellIs" dxfId="24559" priority="16495" stopIfTrue="1" operator="equal">
      <formula>"Towel"</formula>
    </cfRule>
    <cfRule type="cellIs" dxfId="24558" priority="16496" stopIfTrue="1" operator="equal">
      <formula>"Napkin Hs"</formula>
    </cfRule>
  </conditionalFormatting>
  <conditionalFormatting sqref="C21">
    <cfRule type="cellIs" dxfId="24557" priority="16498" stopIfTrue="1" operator="equal">
      <formula>"Napkin Hs"</formula>
    </cfRule>
  </conditionalFormatting>
  <conditionalFormatting sqref="C21">
    <cfRule type="cellIs" dxfId="24556" priority="16497" stopIfTrue="1" operator="equal">
      <formula>"Towel"</formula>
    </cfRule>
  </conditionalFormatting>
  <conditionalFormatting sqref="C21">
    <cfRule type="cellIs" dxfId="24555" priority="16489" stopIfTrue="1" operator="equal">
      <formula>"Towel"</formula>
    </cfRule>
    <cfRule type="cellIs" dxfId="24554" priority="16490" stopIfTrue="1" operator="equal">
      <formula>"Napkin Hs"</formula>
    </cfRule>
  </conditionalFormatting>
  <conditionalFormatting sqref="C21">
    <cfRule type="cellIs" dxfId="24553" priority="16493" stopIfTrue="1" operator="equal">
      <formula>"Towel"</formula>
    </cfRule>
    <cfRule type="cellIs" dxfId="24552" priority="16494" stopIfTrue="1" operator="equal">
      <formula>"Napkin Hs"</formula>
    </cfRule>
  </conditionalFormatting>
  <conditionalFormatting sqref="B21">
    <cfRule type="cellIs" dxfId="24551" priority="16479" stopIfTrue="1" operator="equal">
      <formula>"Towel"</formula>
    </cfRule>
    <cfRule type="cellIs" dxfId="24550" priority="16480" stopIfTrue="1" operator="equal">
      <formula>"Napkin Hs"</formula>
    </cfRule>
  </conditionalFormatting>
  <conditionalFormatting sqref="C21">
    <cfRule type="cellIs" dxfId="24549" priority="16491" stopIfTrue="1" operator="equal">
      <formula>"Towel"</formula>
    </cfRule>
    <cfRule type="cellIs" dxfId="24548" priority="16492" stopIfTrue="1" operator="equal">
      <formula>"Napkin Hs"</formula>
    </cfRule>
  </conditionalFormatting>
  <conditionalFormatting sqref="C21">
    <cfRule type="cellIs" dxfId="24547" priority="16483" stopIfTrue="1" operator="equal">
      <formula>"Towel"</formula>
    </cfRule>
    <cfRule type="cellIs" dxfId="24546" priority="16484" stopIfTrue="1" operator="equal">
      <formula>"Napkin Hs"</formula>
    </cfRule>
  </conditionalFormatting>
  <conditionalFormatting sqref="C21">
    <cfRule type="cellIs" dxfId="24545" priority="16485" stopIfTrue="1" operator="equal">
      <formula>"Towel"</formula>
    </cfRule>
    <cfRule type="cellIs" dxfId="24544" priority="16486" stopIfTrue="1" operator="equal">
      <formula>"Napkin Hs"</formula>
    </cfRule>
  </conditionalFormatting>
  <conditionalFormatting sqref="C21">
    <cfRule type="cellIs" dxfId="24543" priority="16487" stopIfTrue="1" operator="equal">
      <formula>"Towel"</formula>
    </cfRule>
    <cfRule type="cellIs" dxfId="24542" priority="16488" stopIfTrue="1" operator="equal">
      <formula>"Napkin Hs"</formula>
    </cfRule>
  </conditionalFormatting>
  <conditionalFormatting sqref="B21">
    <cfRule type="cellIs" dxfId="24541" priority="16481" stopIfTrue="1" operator="equal">
      <formula>"Towel"</formula>
    </cfRule>
    <cfRule type="cellIs" dxfId="24540" priority="16482" stopIfTrue="1" operator="equal">
      <formula>"Napkin Hs"</formula>
    </cfRule>
  </conditionalFormatting>
  <conditionalFormatting sqref="C21">
    <cfRule type="cellIs" dxfId="24539" priority="16473" stopIfTrue="1" operator="equal">
      <formula>"Towel"</formula>
    </cfRule>
    <cfRule type="cellIs" dxfId="24538" priority="16474" stopIfTrue="1" operator="equal">
      <formula>"Napkin Hs"</formula>
    </cfRule>
  </conditionalFormatting>
  <conditionalFormatting sqref="C21">
    <cfRule type="cellIs" dxfId="24537" priority="16477" stopIfTrue="1" operator="equal">
      <formula>"Towel"</formula>
    </cfRule>
    <cfRule type="cellIs" dxfId="24536" priority="16478" stopIfTrue="1" operator="equal">
      <formula>"Napkin Hs"</formula>
    </cfRule>
  </conditionalFormatting>
  <conditionalFormatting sqref="B21">
    <cfRule type="cellIs" dxfId="24535" priority="16463" stopIfTrue="1" operator="equal">
      <formula>"Towel"</formula>
    </cfRule>
    <cfRule type="cellIs" dxfId="24534" priority="16464" stopIfTrue="1" operator="equal">
      <formula>"Napkin Hs"</formula>
    </cfRule>
  </conditionalFormatting>
  <conditionalFormatting sqref="C21">
    <cfRule type="cellIs" dxfId="24533" priority="16475" stopIfTrue="1" operator="equal">
      <formula>"Towel"</formula>
    </cfRule>
    <cfRule type="cellIs" dxfId="24532" priority="16476" stopIfTrue="1" operator="equal">
      <formula>"Napkin Hs"</formula>
    </cfRule>
  </conditionalFormatting>
  <conditionalFormatting sqref="C21">
    <cfRule type="cellIs" dxfId="24531" priority="16467" stopIfTrue="1" operator="equal">
      <formula>"Towel"</formula>
    </cfRule>
    <cfRule type="cellIs" dxfId="24530" priority="16468" stopIfTrue="1" operator="equal">
      <formula>"Napkin Hs"</formula>
    </cfRule>
  </conditionalFormatting>
  <conditionalFormatting sqref="C21">
    <cfRule type="cellIs" dxfId="24529" priority="16469" stopIfTrue="1" operator="equal">
      <formula>"Towel"</formula>
    </cfRule>
    <cfRule type="cellIs" dxfId="24528" priority="16470" stopIfTrue="1" operator="equal">
      <formula>"Napkin Hs"</formula>
    </cfRule>
  </conditionalFormatting>
  <conditionalFormatting sqref="C21">
    <cfRule type="cellIs" dxfId="24527" priority="16471" stopIfTrue="1" operator="equal">
      <formula>"Towel"</formula>
    </cfRule>
    <cfRule type="cellIs" dxfId="24526" priority="16472" stopIfTrue="1" operator="equal">
      <formula>"Napkin Hs"</formula>
    </cfRule>
  </conditionalFormatting>
  <conditionalFormatting sqref="B21">
    <cfRule type="cellIs" dxfId="24525" priority="16465" stopIfTrue="1" operator="equal">
      <formula>"Towel"</formula>
    </cfRule>
    <cfRule type="cellIs" dxfId="24524" priority="16466" stopIfTrue="1" operator="equal">
      <formula>"Napkin Hs"</formula>
    </cfRule>
  </conditionalFormatting>
  <conditionalFormatting sqref="B21:C21">
    <cfRule type="cellIs" dxfId="24523" priority="16461" stopIfTrue="1" operator="equal">
      <formula>"Towel"</formula>
    </cfRule>
    <cfRule type="cellIs" dxfId="24522" priority="16462" stopIfTrue="1" operator="equal">
      <formula>"Napkin Hs"</formula>
    </cfRule>
  </conditionalFormatting>
  <conditionalFormatting sqref="C21">
    <cfRule type="cellIs" dxfId="24521" priority="16457" stopIfTrue="1" operator="equal">
      <formula>"Towel"</formula>
    </cfRule>
    <cfRule type="cellIs" dxfId="24520" priority="16458" stopIfTrue="1" operator="equal">
      <formula>"Napkin Hs"</formula>
    </cfRule>
  </conditionalFormatting>
  <conditionalFormatting sqref="C21">
    <cfRule type="cellIs" dxfId="24519" priority="16459" stopIfTrue="1" operator="equal">
      <formula>"Towel"</formula>
    </cfRule>
    <cfRule type="cellIs" dxfId="24518" priority="16460" stopIfTrue="1" operator="equal">
      <formula>"Napkin Hs"</formula>
    </cfRule>
  </conditionalFormatting>
  <conditionalFormatting sqref="B21:C21">
    <cfRule type="cellIs" dxfId="24517" priority="16455" stopIfTrue="1" operator="equal">
      <formula>"Towel"</formula>
    </cfRule>
    <cfRule type="cellIs" dxfId="24516" priority="16456" stopIfTrue="1" operator="equal">
      <formula>"Napkin Hs"</formula>
    </cfRule>
  </conditionalFormatting>
  <conditionalFormatting sqref="C21">
    <cfRule type="cellIs" dxfId="24515" priority="16453" stopIfTrue="1" operator="equal">
      <formula>"Towel"</formula>
    </cfRule>
    <cfRule type="cellIs" dxfId="24514" priority="16454" stopIfTrue="1" operator="equal">
      <formula>"Napkin Hs"</formula>
    </cfRule>
  </conditionalFormatting>
  <conditionalFormatting sqref="C21">
    <cfRule type="cellIs" dxfId="24513" priority="16451" stopIfTrue="1" operator="equal">
      <formula>"Towel"</formula>
    </cfRule>
    <cfRule type="cellIs" dxfId="24512" priority="16452" stopIfTrue="1" operator="equal">
      <formula>"Napkin Hs"</formula>
    </cfRule>
  </conditionalFormatting>
  <conditionalFormatting sqref="B21:C21">
    <cfRule type="cellIs" dxfId="24511" priority="16435" stopIfTrue="1" operator="equal">
      <formula>"Towel"</formula>
    </cfRule>
    <cfRule type="cellIs" dxfId="24510" priority="16436" stopIfTrue="1" operator="equal">
      <formula>"Napkin Hs"</formula>
    </cfRule>
  </conditionalFormatting>
  <conditionalFormatting sqref="C21">
    <cfRule type="cellIs" dxfId="24509" priority="16437" stopIfTrue="1" operator="equal">
      <formula>"Towel"</formula>
    </cfRule>
    <cfRule type="cellIs" dxfId="24508" priority="16438" stopIfTrue="1" operator="equal">
      <formula>"Napkin Hs"</formula>
    </cfRule>
  </conditionalFormatting>
  <conditionalFormatting sqref="C21">
    <cfRule type="cellIs" dxfId="24507" priority="16433" stopIfTrue="1" operator="equal">
      <formula>"Towel"</formula>
    </cfRule>
    <cfRule type="cellIs" dxfId="24506" priority="16434" stopIfTrue="1" operator="equal">
      <formula>"Napkin Hs"</formula>
    </cfRule>
  </conditionalFormatting>
  <conditionalFormatting sqref="B21:C21">
    <cfRule type="cellIs" dxfId="24505" priority="16431" stopIfTrue="1" operator="equal">
      <formula>"Towel"</formula>
    </cfRule>
    <cfRule type="cellIs" dxfId="24504" priority="16432" stopIfTrue="1" operator="equal">
      <formula>"Napkin Hs"</formula>
    </cfRule>
  </conditionalFormatting>
  <conditionalFormatting sqref="C21">
    <cfRule type="cellIs" dxfId="24503" priority="16427" stopIfTrue="1" operator="equal">
      <formula>"Towel"</formula>
    </cfRule>
    <cfRule type="cellIs" dxfId="24502" priority="16428" stopIfTrue="1" operator="equal">
      <formula>"Napkin Hs"</formula>
    </cfRule>
  </conditionalFormatting>
  <conditionalFormatting sqref="C21">
    <cfRule type="cellIs" dxfId="24501" priority="16429" stopIfTrue="1" operator="equal">
      <formula>"Towel"</formula>
    </cfRule>
    <cfRule type="cellIs" dxfId="24500" priority="16430" stopIfTrue="1" operator="equal">
      <formula>"Napkin Hs"</formula>
    </cfRule>
  </conditionalFormatting>
  <conditionalFormatting sqref="B21:C21">
    <cfRule type="cellIs" dxfId="24499" priority="16423" stopIfTrue="1" operator="equal">
      <formula>"Towel"</formula>
    </cfRule>
    <cfRule type="cellIs" dxfId="24498" priority="16424" stopIfTrue="1" operator="equal">
      <formula>"Napkin Hs"</formula>
    </cfRule>
  </conditionalFormatting>
  <conditionalFormatting sqref="C21">
    <cfRule type="cellIs" dxfId="24497" priority="16425" stopIfTrue="1" operator="equal">
      <formula>"Towel"</formula>
    </cfRule>
    <cfRule type="cellIs" dxfId="24496" priority="16426" stopIfTrue="1" operator="equal">
      <formula>"Napkin Hs"</formula>
    </cfRule>
  </conditionalFormatting>
  <conditionalFormatting sqref="C21">
    <cfRule type="cellIs" dxfId="24495" priority="16421" stopIfTrue="1" operator="equal">
      <formula>"Towel"</formula>
    </cfRule>
    <cfRule type="cellIs" dxfId="24494" priority="16422" stopIfTrue="1" operator="equal">
      <formula>"Napkin Hs"</formula>
    </cfRule>
  </conditionalFormatting>
  <conditionalFormatting sqref="B21:C21">
    <cfRule type="cellIs" dxfId="24493" priority="16419" stopIfTrue="1" operator="equal">
      <formula>"Towel"</formula>
    </cfRule>
    <cfRule type="cellIs" dxfId="24492" priority="16420" stopIfTrue="1" operator="equal">
      <formula>"Napkin Hs"</formula>
    </cfRule>
  </conditionalFormatting>
  <conditionalFormatting sqref="C21">
    <cfRule type="cellIs" dxfId="24491" priority="16415" stopIfTrue="1" operator="equal">
      <formula>"Towel"</formula>
    </cfRule>
    <cfRule type="cellIs" dxfId="24490" priority="16416" stopIfTrue="1" operator="equal">
      <formula>"Napkin Hs"</formula>
    </cfRule>
  </conditionalFormatting>
  <conditionalFormatting sqref="C21">
    <cfRule type="cellIs" dxfId="24489" priority="16417" stopIfTrue="1" operator="equal">
      <formula>"Towel"</formula>
    </cfRule>
    <cfRule type="cellIs" dxfId="24488" priority="16418" stopIfTrue="1" operator="equal">
      <formula>"Napkin Hs"</formula>
    </cfRule>
  </conditionalFormatting>
  <conditionalFormatting sqref="C28">
    <cfRule type="cellIs" dxfId="24487" priority="16391" stopIfTrue="1" operator="equal">
      <formula>"Towel"</formula>
    </cfRule>
  </conditionalFormatting>
  <conditionalFormatting sqref="C28">
    <cfRule type="cellIs" dxfId="24486" priority="16392" stopIfTrue="1" operator="equal">
      <formula>"Napkin Hs"</formula>
    </cfRule>
    <cfRule type="cellIs" dxfId="24485" priority="16397" stopIfTrue="1" operator="equal">
      <formula>"Towel"</formula>
    </cfRule>
    <cfRule type="cellIs" dxfId="24484" priority="16398" stopIfTrue="1" operator="equal">
      <formula>"Napkin Hs"</formula>
    </cfRule>
    <cfRule type="cellIs" dxfId="24483" priority="16407" stopIfTrue="1" operator="equal">
      <formula>"Towel"</formula>
    </cfRule>
    <cfRule type="cellIs" dxfId="24482" priority="16408" stopIfTrue="1" operator="equal">
      <formula>"Napkin Hs"</formula>
    </cfRule>
    <cfRule type="cellIs" dxfId="24481" priority="16413" stopIfTrue="1" operator="equal">
      <formula>"Towel"</formula>
    </cfRule>
    <cfRule type="cellIs" dxfId="24480" priority="16414" stopIfTrue="1" operator="equal">
      <formula>"Napkin Hs"</formula>
    </cfRule>
  </conditionalFormatting>
  <conditionalFormatting sqref="C28">
    <cfRule type="cellIs" dxfId="24479" priority="16393" stopIfTrue="1" operator="equal">
      <formula>"Towel"</formula>
    </cfRule>
    <cfRule type="cellIs" dxfId="24478" priority="16394" stopIfTrue="1" operator="equal">
      <formula>"Napkin Hs"</formula>
    </cfRule>
    <cfRule type="cellIs" dxfId="24477" priority="16395" stopIfTrue="1" operator="equal">
      <formula>"Towel"</formula>
    </cfRule>
    <cfRule type="cellIs" dxfId="24476" priority="16396" stopIfTrue="1" operator="equal">
      <formula>"Napkin Hs"</formula>
    </cfRule>
    <cfRule type="cellIs" dxfId="24475" priority="16399" stopIfTrue="1" operator="equal">
      <formula>"Towel"</formula>
    </cfRule>
    <cfRule type="cellIs" dxfId="24474" priority="16400" stopIfTrue="1" operator="equal">
      <formula>"Napkin Hs"</formula>
    </cfRule>
    <cfRule type="cellIs" dxfId="24473" priority="16401" stopIfTrue="1" operator="equal">
      <formula>"Towel"</formula>
    </cfRule>
    <cfRule type="cellIs" dxfId="24472" priority="16402" stopIfTrue="1" operator="equal">
      <formula>"Napkin Hs"</formula>
    </cfRule>
    <cfRule type="cellIs" dxfId="24471" priority="16403" stopIfTrue="1" operator="equal">
      <formula>"Towel"</formula>
    </cfRule>
    <cfRule type="cellIs" dxfId="24470" priority="16404" stopIfTrue="1" operator="equal">
      <formula>"Napkin Hs"</formula>
    </cfRule>
    <cfRule type="cellIs" dxfId="24469" priority="16405" stopIfTrue="1" operator="equal">
      <formula>"Towel"</formula>
    </cfRule>
    <cfRule type="cellIs" dxfId="24468" priority="16406" stopIfTrue="1" operator="equal">
      <formula>"Napkin Hs"</formula>
    </cfRule>
    <cfRule type="cellIs" dxfId="24467" priority="16409" stopIfTrue="1" operator="equal">
      <formula>"Towel"</formula>
    </cfRule>
    <cfRule type="cellIs" dxfId="24466" priority="16410" stopIfTrue="1" operator="equal">
      <formula>"Napkin Hs"</formula>
    </cfRule>
    <cfRule type="cellIs" dxfId="24465" priority="16412" stopIfTrue="1" operator="equal">
      <formula>"Napkin Hs"</formula>
    </cfRule>
  </conditionalFormatting>
  <conditionalFormatting sqref="C28">
    <cfRule type="cellIs" dxfId="24464" priority="16411" stopIfTrue="1" operator="equal">
      <formula>"Towel"</formula>
    </cfRule>
  </conditionalFormatting>
  <conditionalFormatting sqref="C28">
    <cfRule type="cellIs" dxfId="24463" priority="16389" stopIfTrue="1" operator="equal">
      <formula>"Towel"</formula>
    </cfRule>
    <cfRule type="cellIs" dxfId="24462" priority="16390" stopIfTrue="1" operator="equal">
      <formula>"Napkin Hs"</formula>
    </cfRule>
  </conditionalFormatting>
  <conditionalFormatting sqref="C28">
    <cfRule type="cellIs" dxfId="24461" priority="16388" stopIfTrue="1" operator="equal">
      <formula>"Napkin Hs"</formula>
    </cfRule>
  </conditionalFormatting>
  <conditionalFormatting sqref="C28">
    <cfRule type="cellIs" dxfId="24460" priority="16387" stopIfTrue="1" operator="equal">
      <formula>"Towel"</formula>
    </cfRule>
  </conditionalFormatting>
  <conditionalFormatting sqref="C28">
    <cfRule type="cellIs" dxfId="24459" priority="16385" stopIfTrue="1" operator="equal">
      <formula>"Towel"</formula>
    </cfRule>
  </conditionalFormatting>
  <conditionalFormatting sqref="C28">
    <cfRule type="cellIs" dxfId="24458" priority="16386" stopIfTrue="1" operator="equal">
      <formula>"Napkin Hs"</formula>
    </cfRule>
  </conditionalFormatting>
  <conditionalFormatting sqref="C28">
    <cfRule type="cellIs" dxfId="24457" priority="16288" stopIfTrue="1" operator="equal">
      <formula>"Towel"</formula>
    </cfRule>
  </conditionalFormatting>
  <conditionalFormatting sqref="C28">
    <cfRule type="cellIs" dxfId="24456" priority="16299" stopIfTrue="1" operator="equal">
      <formula>"Towel"</formula>
    </cfRule>
    <cfRule type="cellIs" dxfId="24455" priority="16300" stopIfTrue="1" operator="equal">
      <formula>"Napkin Hs"</formula>
    </cfRule>
    <cfRule type="cellIs" dxfId="24454" priority="16305" stopIfTrue="1" operator="equal">
      <formula>"Towel"</formula>
    </cfRule>
    <cfRule type="cellIs" dxfId="24453" priority="16306" stopIfTrue="1" operator="equal">
      <formula>"Napkin Hs"</formula>
    </cfRule>
    <cfRule type="cellIs" dxfId="24452" priority="16311" stopIfTrue="1" operator="equal">
      <formula>"Towel"</formula>
    </cfRule>
    <cfRule type="cellIs" dxfId="24451" priority="16312" stopIfTrue="1" operator="equal">
      <formula>"Napkin Hs"</formula>
    </cfRule>
    <cfRule type="cellIs" dxfId="24450" priority="16313" stopIfTrue="1" operator="equal">
      <formula>"Towel"</formula>
    </cfRule>
    <cfRule type="cellIs" dxfId="24449" priority="16314" stopIfTrue="1" operator="equal">
      <formula>"Napkin Hs"</formula>
    </cfRule>
    <cfRule type="cellIs" dxfId="24448" priority="16319" stopIfTrue="1" operator="equal">
      <formula>"Towel"</formula>
    </cfRule>
    <cfRule type="cellIs" dxfId="24447" priority="16320" stopIfTrue="1" operator="equal">
      <formula>"Napkin Hs"</formula>
    </cfRule>
    <cfRule type="cellIs" dxfId="24446" priority="16329" stopIfTrue="1" operator="equal">
      <formula>"Towel"</formula>
    </cfRule>
    <cfRule type="cellIs" dxfId="24445" priority="16330" stopIfTrue="1" operator="equal">
      <formula>"Napkin Hs"</formula>
    </cfRule>
    <cfRule type="cellIs" dxfId="24444" priority="16335" stopIfTrue="1" operator="equal">
      <formula>"Towel"</formula>
    </cfRule>
    <cfRule type="cellIs" dxfId="24443" priority="16336" stopIfTrue="1" operator="equal">
      <formula>"Napkin Hs"</formula>
    </cfRule>
    <cfRule type="cellIs" dxfId="24442" priority="16337" stopIfTrue="1" operator="equal">
      <formula>"Towel"</formula>
    </cfRule>
    <cfRule type="cellIs" dxfId="24441" priority="16338" stopIfTrue="1" operator="equal">
      <formula>"Napkin Hs"</formula>
    </cfRule>
    <cfRule type="cellIs" dxfId="24440" priority="16343" stopIfTrue="1" operator="equal">
      <formula>"Towel"</formula>
    </cfRule>
    <cfRule type="cellIs" dxfId="24439" priority="16344" stopIfTrue="1" operator="equal">
      <formula>"Napkin Hs"</formula>
    </cfRule>
    <cfRule type="cellIs" dxfId="24438" priority="16353" stopIfTrue="1" operator="equal">
      <formula>"Towel"</formula>
    </cfRule>
    <cfRule type="cellIs" dxfId="24437" priority="16354" stopIfTrue="1" operator="equal">
      <formula>"Napkin Hs"</formula>
    </cfRule>
    <cfRule type="cellIs" dxfId="24436" priority="16355" stopIfTrue="1" operator="equal">
      <formula>"Towel"</formula>
    </cfRule>
    <cfRule type="cellIs" dxfId="24435" priority="16356" stopIfTrue="1" operator="equal">
      <formula>"Napkin Hs"</formula>
    </cfRule>
    <cfRule type="cellIs" dxfId="24434" priority="16361" stopIfTrue="1" operator="equal">
      <formula>"Towel"</formula>
    </cfRule>
    <cfRule type="cellIs" dxfId="24433" priority="16362" stopIfTrue="1" operator="equal">
      <formula>"Napkin Hs"</formula>
    </cfRule>
    <cfRule type="cellIs" dxfId="24432" priority="16371" stopIfTrue="1" operator="equal">
      <formula>"Towel"</formula>
    </cfRule>
    <cfRule type="cellIs" dxfId="24431" priority="16372" stopIfTrue="1" operator="equal">
      <formula>"Napkin Hs"</formula>
    </cfRule>
    <cfRule type="cellIs" dxfId="24430" priority="16373" stopIfTrue="1" operator="equal">
      <formula>"Towel"</formula>
    </cfRule>
    <cfRule type="cellIs" dxfId="24429" priority="16374" stopIfTrue="1" operator="equal">
      <formula>"Napkin Hs"</formula>
    </cfRule>
    <cfRule type="cellIs" dxfId="24428" priority="16380" stopIfTrue="1" operator="equal">
      <formula>"Napkin Hs"</formula>
    </cfRule>
  </conditionalFormatting>
  <conditionalFormatting sqref="C28">
    <cfRule type="cellIs" dxfId="24427" priority="16379" stopIfTrue="1" operator="equal">
      <formula>"Towel"</formula>
    </cfRule>
  </conditionalFormatting>
  <conditionalFormatting sqref="C28">
    <cfRule type="cellIs" dxfId="24426" priority="16290" stopIfTrue="1" operator="equal">
      <formula>"Napkin Hs"</formula>
    </cfRule>
    <cfRule type="cellIs" dxfId="24425" priority="16291" stopIfTrue="1" operator="equal">
      <formula>"Towel"</formula>
    </cfRule>
    <cfRule type="cellIs" dxfId="24424" priority="16292" stopIfTrue="1" operator="equal">
      <formula>"Napkin Hs"</formula>
    </cfRule>
    <cfRule type="cellIs" dxfId="24423" priority="16293" stopIfTrue="1" operator="equal">
      <formula>"Towel"</formula>
    </cfRule>
    <cfRule type="cellIs" dxfId="24422" priority="16294" stopIfTrue="1" operator="equal">
      <formula>"Napkin Hs"</formula>
    </cfRule>
    <cfRule type="cellIs" dxfId="24421" priority="16295" stopIfTrue="1" operator="equal">
      <formula>"Towel"</formula>
    </cfRule>
    <cfRule type="cellIs" dxfId="24420" priority="16296" stopIfTrue="1" operator="equal">
      <formula>"Napkin Hs"</formula>
    </cfRule>
    <cfRule type="cellIs" dxfId="24419" priority="16297" stopIfTrue="1" operator="equal">
      <formula>"Towel"</formula>
    </cfRule>
    <cfRule type="cellIs" dxfId="24418" priority="16298" stopIfTrue="1" operator="equal">
      <formula>"Napkin Hs"</formula>
    </cfRule>
    <cfRule type="cellIs" dxfId="24417" priority="16301" stopIfTrue="1" operator="equal">
      <formula>"Towel"</formula>
    </cfRule>
    <cfRule type="cellIs" dxfId="24416" priority="16302" stopIfTrue="1" operator="equal">
      <formula>"Napkin Hs"</formula>
    </cfRule>
    <cfRule type="cellIs" dxfId="24415" priority="16303" stopIfTrue="1" operator="equal">
      <formula>"Towel"</formula>
    </cfRule>
    <cfRule type="cellIs" dxfId="24414" priority="16304" stopIfTrue="1" operator="equal">
      <formula>"Napkin Hs"</formula>
    </cfRule>
    <cfRule type="cellIs" dxfId="24413" priority="16307" stopIfTrue="1" operator="equal">
      <formula>"Towel"</formula>
    </cfRule>
    <cfRule type="cellIs" dxfId="24412" priority="16308" stopIfTrue="1" operator="equal">
      <formula>"Napkin Hs"</formula>
    </cfRule>
    <cfRule type="cellIs" dxfId="24411" priority="16309" stopIfTrue="1" operator="equal">
      <formula>"Towel"</formula>
    </cfRule>
    <cfRule type="cellIs" dxfId="24410" priority="16310" stopIfTrue="1" operator="equal">
      <formula>"Napkin Hs"</formula>
    </cfRule>
    <cfRule type="cellIs" dxfId="24409" priority="16315" stopIfTrue="1" operator="equal">
      <formula>"Towel"</formula>
    </cfRule>
    <cfRule type="cellIs" dxfId="24408" priority="16316" stopIfTrue="1" operator="equal">
      <formula>"Napkin Hs"</formula>
    </cfRule>
    <cfRule type="cellIs" dxfId="24407" priority="16317" stopIfTrue="1" operator="equal">
      <formula>"Towel"</formula>
    </cfRule>
    <cfRule type="cellIs" dxfId="24406" priority="16318" stopIfTrue="1" operator="equal">
      <formula>"Napkin Hs"</formula>
    </cfRule>
    <cfRule type="cellIs" dxfId="24405" priority="16321" stopIfTrue="1" operator="equal">
      <formula>"Towel"</formula>
    </cfRule>
    <cfRule type="cellIs" dxfId="24404" priority="16322" stopIfTrue="1" operator="equal">
      <formula>"Napkin Hs"</formula>
    </cfRule>
    <cfRule type="cellIs" dxfId="24403" priority="16323" stopIfTrue="1" operator="equal">
      <formula>"Towel"</formula>
    </cfRule>
    <cfRule type="cellIs" dxfId="24402" priority="16324" stopIfTrue="1" operator="equal">
      <formula>"Napkin Hs"</formula>
    </cfRule>
    <cfRule type="cellIs" dxfId="24401" priority="16325" stopIfTrue="1" operator="equal">
      <formula>"Towel"</formula>
    </cfRule>
    <cfRule type="cellIs" dxfId="24400" priority="16326" stopIfTrue="1" operator="equal">
      <formula>"Napkin Hs"</formula>
    </cfRule>
    <cfRule type="cellIs" dxfId="24399" priority="16327" stopIfTrue="1" operator="equal">
      <formula>"Towel"</formula>
    </cfRule>
    <cfRule type="cellIs" dxfId="24398" priority="16328" stopIfTrue="1" operator="equal">
      <formula>"Napkin Hs"</formula>
    </cfRule>
    <cfRule type="cellIs" dxfId="24397" priority="16331" stopIfTrue="1" operator="equal">
      <formula>"Towel"</formula>
    </cfRule>
    <cfRule type="cellIs" dxfId="24396" priority="16332" stopIfTrue="1" operator="equal">
      <formula>"Napkin Hs"</formula>
    </cfRule>
    <cfRule type="cellIs" dxfId="24395" priority="16333" stopIfTrue="1" operator="equal">
      <formula>"Towel"</formula>
    </cfRule>
    <cfRule type="cellIs" dxfId="24394" priority="16334" stopIfTrue="1" operator="equal">
      <formula>"Napkin Hs"</formula>
    </cfRule>
    <cfRule type="cellIs" dxfId="24393" priority="16339" stopIfTrue="1" operator="equal">
      <formula>"Towel"</formula>
    </cfRule>
    <cfRule type="cellIs" dxfId="24392" priority="16340" stopIfTrue="1" operator="equal">
      <formula>"Napkin Hs"</formula>
    </cfRule>
    <cfRule type="cellIs" dxfId="24391" priority="16341" stopIfTrue="1" operator="equal">
      <formula>"Towel"</formula>
    </cfRule>
    <cfRule type="cellIs" dxfId="24390" priority="16342" stopIfTrue="1" operator="equal">
      <formula>"Napkin Hs"</formula>
    </cfRule>
    <cfRule type="cellIs" dxfId="24389" priority="16345" stopIfTrue="1" operator="equal">
      <formula>"Towel"</formula>
    </cfRule>
    <cfRule type="cellIs" dxfId="24388" priority="16346" stopIfTrue="1" operator="equal">
      <formula>"Napkin Hs"</formula>
    </cfRule>
    <cfRule type="cellIs" dxfId="24387" priority="16347" stopIfTrue="1" operator="equal">
      <formula>"Towel"</formula>
    </cfRule>
    <cfRule type="cellIs" dxfId="24386" priority="16348" stopIfTrue="1" operator="equal">
      <formula>"Napkin Hs"</formula>
    </cfRule>
    <cfRule type="cellIs" dxfId="24385" priority="16349" stopIfTrue="1" operator="equal">
      <formula>"Towel"</formula>
    </cfRule>
    <cfRule type="cellIs" dxfId="24384" priority="16350" stopIfTrue="1" operator="equal">
      <formula>"Napkin Hs"</formula>
    </cfRule>
    <cfRule type="cellIs" dxfId="24383" priority="16351" stopIfTrue="1" operator="equal">
      <formula>"Towel"</formula>
    </cfRule>
    <cfRule type="cellIs" dxfId="24382" priority="16352" stopIfTrue="1" operator="equal">
      <formula>"Napkin Hs"</formula>
    </cfRule>
    <cfRule type="cellIs" dxfId="24381" priority="16357" stopIfTrue="1" operator="equal">
      <formula>"Towel"</formula>
    </cfRule>
    <cfRule type="cellIs" dxfId="24380" priority="16358" stopIfTrue="1" operator="equal">
      <formula>"Napkin Hs"</formula>
    </cfRule>
    <cfRule type="cellIs" dxfId="24379" priority="16359" stopIfTrue="1" operator="equal">
      <formula>"Towel"</formula>
    </cfRule>
    <cfRule type="cellIs" dxfId="24378" priority="16360" stopIfTrue="1" operator="equal">
      <formula>"Napkin Hs"</formula>
    </cfRule>
    <cfRule type="cellIs" dxfId="24377" priority="16363" stopIfTrue="1" operator="equal">
      <formula>"Towel"</formula>
    </cfRule>
    <cfRule type="cellIs" dxfId="24376" priority="16364" stopIfTrue="1" operator="equal">
      <formula>"Napkin Hs"</formula>
    </cfRule>
    <cfRule type="cellIs" dxfId="24375" priority="16365" stopIfTrue="1" operator="equal">
      <formula>"Towel"</formula>
    </cfRule>
    <cfRule type="cellIs" dxfId="24374" priority="16366" stopIfTrue="1" operator="equal">
      <formula>"Napkin Hs"</formula>
    </cfRule>
    <cfRule type="cellIs" dxfId="24373" priority="16367" stopIfTrue="1" operator="equal">
      <formula>"Towel"</formula>
    </cfRule>
    <cfRule type="cellIs" dxfId="24372" priority="16368" stopIfTrue="1" operator="equal">
      <formula>"Napkin Hs"</formula>
    </cfRule>
    <cfRule type="cellIs" dxfId="24371" priority="16369" stopIfTrue="1" operator="equal">
      <formula>"Towel"</formula>
    </cfRule>
    <cfRule type="cellIs" dxfId="24370" priority="16370" stopIfTrue="1" operator="equal">
      <formula>"Napkin Hs"</formula>
    </cfRule>
    <cfRule type="cellIs" dxfId="24369" priority="16375" stopIfTrue="1" operator="equal">
      <formula>"Towel"</formula>
    </cfRule>
    <cfRule type="cellIs" dxfId="24368" priority="16376" stopIfTrue="1" operator="equal">
      <formula>"Napkin Hs"</formula>
    </cfRule>
    <cfRule type="cellIs" dxfId="24367" priority="16377" stopIfTrue="1" operator="equal">
      <formula>"Towel"</formula>
    </cfRule>
    <cfRule type="cellIs" dxfId="24366" priority="16378" stopIfTrue="1" operator="equal">
      <formula>"Napkin Hs"</formula>
    </cfRule>
    <cfRule type="cellIs" dxfId="24365" priority="16381" stopIfTrue="1" operator="equal">
      <formula>"Towel"</formula>
    </cfRule>
    <cfRule type="cellIs" dxfId="24364" priority="16382" stopIfTrue="1" operator="equal">
      <formula>"Napkin Hs"</formula>
    </cfRule>
    <cfRule type="cellIs" dxfId="24363" priority="16383" stopIfTrue="1" operator="equal">
      <formula>"Towel"</formula>
    </cfRule>
    <cfRule type="cellIs" dxfId="24362" priority="16384" stopIfTrue="1" operator="equal">
      <formula>"Napkin Hs"</formula>
    </cfRule>
  </conditionalFormatting>
  <conditionalFormatting sqref="C28">
    <cfRule type="cellIs" dxfId="24361" priority="16264" stopIfTrue="1" operator="equal">
      <formula>"Towel"</formula>
    </cfRule>
  </conditionalFormatting>
  <conditionalFormatting sqref="C28">
    <cfRule type="cellIs" dxfId="24360" priority="16265" stopIfTrue="1" operator="equal">
      <formula>"Napkin Hs"</formula>
    </cfRule>
    <cfRule type="cellIs" dxfId="24359" priority="16270" stopIfTrue="1" operator="equal">
      <formula>"Towel"</formula>
    </cfRule>
    <cfRule type="cellIs" dxfId="24358" priority="16271" stopIfTrue="1" operator="equal">
      <formula>"Napkin Hs"</formula>
    </cfRule>
    <cfRule type="cellIs" dxfId="24357" priority="16280" stopIfTrue="1" operator="equal">
      <formula>"Towel"</formula>
    </cfRule>
    <cfRule type="cellIs" dxfId="24356" priority="16281" stopIfTrue="1" operator="equal">
      <formula>"Napkin Hs"</formula>
    </cfRule>
    <cfRule type="cellIs" dxfId="24355" priority="16286" stopIfTrue="1" operator="equal">
      <formula>"Towel"</formula>
    </cfRule>
    <cfRule type="cellIs" dxfId="24354" priority="16287" stopIfTrue="1" operator="equal">
      <formula>"Napkin Hs"</formula>
    </cfRule>
  </conditionalFormatting>
  <conditionalFormatting sqref="C28">
    <cfRule type="cellIs" dxfId="24353" priority="16266" stopIfTrue="1" operator="equal">
      <formula>"Towel"</formula>
    </cfRule>
    <cfRule type="cellIs" dxfId="24352" priority="16267" stopIfTrue="1" operator="equal">
      <formula>"Napkin Hs"</formula>
    </cfRule>
    <cfRule type="cellIs" dxfId="24351" priority="16268" stopIfTrue="1" operator="equal">
      <formula>"Towel"</formula>
    </cfRule>
    <cfRule type="cellIs" dxfId="24350" priority="16269" stopIfTrue="1" operator="equal">
      <formula>"Napkin Hs"</formula>
    </cfRule>
    <cfRule type="cellIs" dxfId="24349" priority="16272" stopIfTrue="1" operator="equal">
      <formula>"Towel"</formula>
    </cfRule>
    <cfRule type="cellIs" dxfId="24348" priority="16273" stopIfTrue="1" operator="equal">
      <formula>"Napkin Hs"</formula>
    </cfRule>
    <cfRule type="cellIs" dxfId="24347" priority="16274" stopIfTrue="1" operator="equal">
      <formula>"Towel"</formula>
    </cfRule>
    <cfRule type="cellIs" dxfId="24346" priority="16275" stopIfTrue="1" operator="equal">
      <formula>"Napkin Hs"</formula>
    </cfRule>
    <cfRule type="cellIs" dxfId="24345" priority="16276" stopIfTrue="1" operator="equal">
      <formula>"Towel"</formula>
    </cfRule>
    <cfRule type="cellIs" dxfId="24344" priority="16277" stopIfTrue="1" operator="equal">
      <formula>"Napkin Hs"</formula>
    </cfRule>
    <cfRule type="cellIs" dxfId="24343" priority="16278" stopIfTrue="1" operator="equal">
      <formula>"Towel"</formula>
    </cfRule>
    <cfRule type="cellIs" dxfId="24342" priority="16279" stopIfTrue="1" operator="equal">
      <formula>"Napkin Hs"</formula>
    </cfRule>
    <cfRule type="cellIs" dxfId="24341" priority="16282" stopIfTrue="1" operator="equal">
      <formula>"Towel"</formula>
    </cfRule>
    <cfRule type="cellIs" dxfId="24340" priority="16283" stopIfTrue="1" operator="equal">
      <formula>"Napkin Hs"</formula>
    </cfRule>
    <cfRule type="cellIs" dxfId="24339" priority="16285" stopIfTrue="1" operator="equal">
      <formula>"Napkin Hs"</formula>
    </cfRule>
  </conditionalFormatting>
  <conditionalFormatting sqref="C28">
    <cfRule type="cellIs" dxfId="24338" priority="16284" stopIfTrue="1" operator="equal">
      <formula>"Towel"</formula>
    </cfRule>
  </conditionalFormatting>
  <conditionalFormatting sqref="C28">
    <cfRule type="cellIs" dxfId="24337" priority="16262" stopIfTrue="1" operator="equal">
      <formula>"Towel"</formula>
    </cfRule>
    <cfRule type="cellIs" dxfId="24336" priority="16263" stopIfTrue="1" operator="equal">
      <formula>"Napkin Hs"</formula>
    </cfRule>
  </conditionalFormatting>
  <conditionalFormatting sqref="C28">
    <cfRule type="cellIs" dxfId="24335" priority="16261" stopIfTrue="1" operator="equal">
      <formula>"Napkin Hs"</formula>
    </cfRule>
  </conditionalFormatting>
  <conditionalFormatting sqref="C28">
    <cfRule type="cellIs" dxfId="24334" priority="16260" stopIfTrue="1" operator="equal">
      <formula>"Towel"</formula>
    </cfRule>
  </conditionalFormatting>
  <conditionalFormatting sqref="C28">
    <cfRule type="cellIs" dxfId="24333" priority="16258" stopIfTrue="1" operator="equal">
      <formula>"Towel"</formula>
    </cfRule>
  </conditionalFormatting>
  <conditionalFormatting sqref="C28">
    <cfRule type="cellIs" dxfId="24332" priority="16259" stopIfTrue="1" operator="equal">
      <formula>"Napkin Hs"</formula>
    </cfRule>
  </conditionalFormatting>
  <conditionalFormatting sqref="C28">
    <cfRule type="cellIs" dxfId="24331" priority="16161" stopIfTrue="1" operator="equal">
      <formula>"Towel"</formula>
    </cfRule>
  </conditionalFormatting>
  <conditionalFormatting sqref="C28">
    <cfRule type="cellIs" dxfId="24330" priority="16172" stopIfTrue="1" operator="equal">
      <formula>"Towel"</formula>
    </cfRule>
    <cfRule type="cellIs" dxfId="24329" priority="16173" stopIfTrue="1" operator="equal">
      <formula>"Napkin Hs"</formula>
    </cfRule>
    <cfRule type="cellIs" dxfId="24328" priority="16178" stopIfTrue="1" operator="equal">
      <formula>"Towel"</formula>
    </cfRule>
    <cfRule type="cellIs" dxfId="24327" priority="16179" stopIfTrue="1" operator="equal">
      <formula>"Napkin Hs"</formula>
    </cfRule>
    <cfRule type="cellIs" dxfId="24326" priority="16184" stopIfTrue="1" operator="equal">
      <formula>"Towel"</formula>
    </cfRule>
    <cfRule type="cellIs" dxfId="24325" priority="16185" stopIfTrue="1" operator="equal">
      <formula>"Napkin Hs"</formula>
    </cfRule>
    <cfRule type="cellIs" dxfId="24324" priority="16186" stopIfTrue="1" operator="equal">
      <formula>"Towel"</formula>
    </cfRule>
    <cfRule type="cellIs" dxfId="24323" priority="16187" stopIfTrue="1" operator="equal">
      <formula>"Napkin Hs"</formula>
    </cfRule>
    <cfRule type="cellIs" dxfId="24322" priority="16192" stopIfTrue="1" operator="equal">
      <formula>"Towel"</formula>
    </cfRule>
    <cfRule type="cellIs" dxfId="24321" priority="16193" stopIfTrue="1" operator="equal">
      <formula>"Napkin Hs"</formula>
    </cfRule>
    <cfRule type="cellIs" dxfId="24320" priority="16202" stopIfTrue="1" operator="equal">
      <formula>"Towel"</formula>
    </cfRule>
    <cfRule type="cellIs" dxfId="24319" priority="16203" stopIfTrue="1" operator="equal">
      <formula>"Napkin Hs"</formula>
    </cfRule>
    <cfRule type="cellIs" dxfId="24318" priority="16208" stopIfTrue="1" operator="equal">
      <formula>"Towel"</formula>
    </cfRule>
    <cfRule type="cellIs" dxfId="24317" priority="16209" stopIfTrue="1" operator="equal">
      <formula>"Napkin Hs"</formula>
    </cfRule>
    <cfRule type="cellIs" dxfId="24316" priority="16210" stopIfTrue="1" operator="equal">
      <formula>"Towel"</formula>
    </cfRule>
    <cfRule type="cellIs" dxfId="24315" priority="16211" stopIfTrue="1" operator="equal">
      <formula>"Napkin Hs"</formula>
    </cfRule>
    <cfRule type="cellIs" dxfId="24314" priority="16216" stopIfTrue="1" operator="equal">
      <formula>"Towel"</formula>
    </cfRule>
    <cfRule type="cellIs" dxfId="24313" priority="16217" stopIfTrue="1" operator="equal">
      <formula>"Napkin Hs"</formula>
    </cfRule>
    <cfRule type="cellIs" dxfId="24312" priority="16226" stopIfTrue="1" operator="equal">
      <formula>"Towel"</formula>
    </cfRule>
    <cfRule type="cellIs" dxfId="24311" priority="16227" stopIfTrue="1" operator="equal">
      <formula>"Napkin Hs"</formula>
    </cfRule>
    <cfRule type="cellIs" dxfId="24310" priority="16228" stopIfTrue="1" operator="equal">
      <formula>"Towel"</formula>
    </cfRule>
    <cfRule type="cellIs" dxfId="24309" priority="16229" stopIfTrue="1" operator="equal">
      <formula>"Napkin Hs"</formula>
    </cfRule>
    <cfRule type="cellIs" dxfId="24308" priority="16234" stopIfTrue="1" operator="equal">
      <formula>"Towel"</formula>
    </cfRule>
    <cfRule type="cellIs" dxfId="24307" priority="16235" stopIfTrue="1" operator="equal">
      <formula>"Napkin Hs"</formula>
    </cfRule>
    <cfRule type="cellIs" dxfId="24306" priority="16244" stopIfTrue="1" operator="equal">
      <formula>"Towel"</formula>
    </cfRule>
    <cfRule type="cellIs" dxfId="24305" priority="16245" stopIfTrue="1" operator="equal">
      <formula>"Napkin Hs"</formula>
    </cfRule>
    <cfRule type="cellIs" dxfId="24304" priority="16246" stopIfTrue="1" operator="equal">
      <formula>"Towel"</formula>
    </cfRule>
    <cfRule type="cellIs" dxfId="24303" priority="16247" stopIfTrue="1" operator="equal">
      <formula>"Napkin Hs"</formula>
    </cfRule>
    <cfRule type="cellIs" dxfId="24302" priority="16253" stopIfTrue="1" operator="equal">
      <formula>"Napkin Hs"</formula>
    </cfRule>
  </conditionalFormatting>
  <conditionalFormatting sqref="C28">
    <cfRule type="cellIs" dxfId="24301" priority="16252" stopIfTrue="1" operator="equal">
      <formula>"Towel"</formula>
    </cfRule>
  </conditionalFormatting>
  <conditionalFormatting sqref="C28">
    <cfRule type="cellIs" dxfId="24300" priority="16163" stopIfTrue="1" operator="equal">
      <formula>"Napkin Hs"</formula>
    </cfRule>
    <cfRule type="cellIs" dxfId="24299" priority="16164" stopIfTrue="1" operator="equal">
      <formula>"Towel"</formula>
    </cfRule>
    <cfRule type="cellIs" dxfId="24298" priority="16165" stopIfTrue="1" operator="equal">
      <formula>"Napkin Hs"</formula>
    </cfRule>
    <cfRule type="cellIs" dxfId="24297" priority="16166" stopIfTrue="1" operator="equal">
      <formula>"Towel"</formula>
    </cfRule>
    <cfRule type="cellIs" dxfId="24296" priority="16167" stopIfTrue="1" operator="equal">
      <formula>"Napkin Hs"</formula>
    </cfRule>
    <cfRule type="cellIs" dxfId="24295" priority="16168" stopIfTrue="1" operator="equal">
      <formula>"Towel"</formula>
    </cfRule>
    <cfRule type="cellIs" dxfId="24294" priority="16169" stopIfTrue="1" operator="equal">
      <formula>"Napkin Hs"</formula>
    </cfRule>
    <cfRule type="cellIs" dxfId="24293" priority="16170" stopIfTrue="1" operator="equal">
      <formula>"Towel"</formula>
    </cfRule>
    <cfRule type="cellIs" dxfId="24292" priority="16171" stopIfTrue="1" operator="equal">
      <formula>"Napkin Hs"</formula>
    </cfRule>
    <cfRule type="cellIs" dxfId="24291" priority="16174" stopIfTrue="1" operator="equal">
      <formula>"Towel"</formula>
    </cfRule>
    <cfRule type="cellIs" dxfId="24290" priority="16175" stopIfTrue="1" operator="equal">
      <formula>"Napkin Hs"</formula>
    </cfRule>
    <cfRule type="cellIs" dxfId="24289" priority="16176" stopIfTrue="1" operator="equal">
      <formula>"Towel"</formula>
    </cfRule>
    <cfRule type="cellIs" dxfId="24288" priority="16177" stopIfTrue="1" operator="equal">
      <formula>"Napkin Hs"</formula>
    </cfRule>
    <cfRule type="cellIs" dxfId="24287" priority="16180" stopIfTrue="1" operator="equal">
      <formula>"Towel"</formula>
    </cfRule>
    <cfRule type="cellIs" dxfId="24286" priority="16181" stopIfTrue="1" operator="equal">
      <formula>"Napkin Hs"</formula>
    </cfRule>
    <cfRule type="cellIs" dxfId="24285" priority="16182" stopIfTrue="1" operator="equal">
      <formula>"Towel"</formula>
    </cfRule>
    <cfRule type="cellIs" dxfId="24284" priority="16183" stopIfTrue="1" operator="equal">
      <formula>"Napkin Hs"</formula>
    </cfRule>
    <cfRule type="cellIs" dxfId="24283" priority="16188" stopIfTrue="1" operator="equal">
      <formula>"Towel"</formula>
    </cfRule>
    <cfRule type="cellIs" dxfId="24282" priority="16189" stopIfTrue="1" operator="equal">
      <formula>"Napkin Hs"</formula>
    </cfRule>
    <cfRule type="cellIs" dxfId="24281" priority="16190" stopIfTrue="1" operator="equal">
      <formula>"Towel"</formula>
    </cfRule>
    <cfRule type="cellIs" dxfId="24280" priority="16191" stopIfTrue="1" operator="equal">
      <formula>"Napkin Hs"</formula>
    </cfRule>
    <cfRule type="cellIs" dxfId="24279" priority="16194" stopIfTrue="1" operator="equal">
      <formula>"Towel"</formula>
    </cfRule>
    <cfRule type="cellIs" dxfId="24278" priority="16195" stopIfTrue="1" operator="equal">
      <formula>"Napkin Hs"</formula>
    </cfRule>
    <cfRule type="cellIs" dxfId="24277" priority="16196" stopIfTrue="1" operator="equal">
      <formula>"Towel"</formula>
    </cfRule>
    <cfRule type="cellIs" dxfId="24276" priority="16197" stopIfTrue="1" operator="equal">
      <formula>"Napkin Hs"</formula>
    </cfRule>
    <cfRule type="cellIs" dxfId="24275" priority="16198" stopIfTrue="1" operator="equal">
      <formula>"Towel"</formula>
    </cfRule>
    <cfRule type="cellIs" dxfId="24274" priority="16199" stopIfTrue="1" operator="equal">
      <formula>"Napkin Hs"</formula>
    </cfRule>
    <cfRule type="cellIs" dxfId="24273" priority="16200" stopIfTrue="1" operator="equal">
      <formula>"Towel"</formula>
    </cfRule>
    <cfRule type="cellIs" dxfId="24272" priority="16201" stopIfTrue="1" operator="equal">
      <formula>"Napkin Hs"</formula>
    </cfRule>
    <cfRule type="cellIs" dxfId="24271" priority="16204" stopIfTrue="1" operator="equal">
      <formula>"Towel"</formula>
    </cfRule>
    <cfRule type="cellIs" dxfId="24270" priority="16205" stopIfTrue="1" operator="equal">
      <formula>"Napkin Hs"</formula>
    </cfRule>
    <cfRule type="cellIs" dxfId="24269" priority="16206" stopIfTrue="1" operator="equal">
      <formula>"Towel"</formula>
    </cfRule>
    <cfRule type="cellIs" dxfId="24268" priority="16207" stopIfTrue="1" operator="equal">
      <formula>"Napkin Hs"</formula>
    </cfRule>
    <cfRule type="cellIs" dxfId="24267" priority="16212" stopIfTrue="1" operator="equal">
      <formula>"Towel"</formula>
    </cfRule>
    <cfRule type="cellIs" dxfId="24266" priority="16213" stopIfTrue="1" operator="equal">
      <formula>"Napkin Hs"</formula>
    </cfRule>
    <cfRule type="cellIs" dxfId="24265" priority="16214" stopIfTrue="1" operator="equal">
      <formula>"Towel"</formula>
    </cfRule>
    <cfRule type="cellIs" dxfId="24264" priority="16215" stopIfTrue="1" operator="equal">
      <formula>"Napkin Hs"</formula>
    </cfRule>
    <cfRule type="cellIs" dxfId="24263" priority="16218" stopIfTrue="1" operator="equal">
      <formula>"Towel"</formula>
    </cfRule>
    <cfRule type="cellIs" dxfId="24262" priority="16219" stopIfTrue="1" operator="equal">
      <formula>"Napkin Hs"</formula>
    </cfRule>
    <cfRule type="cellIs" dxfId="24261" priority="16220" stopIfTrue="1" operator="equal">
      <formula>"Towel"</formula>
    </cfRule>
    <cfRule type="cellIs" dxfId="24260" priority="16221" stopIfTrue="1" operator="equal">
      <formula>"Napkin Hs"</formula>
    </cfRule>
    <cfRule type="cellIs" dxfId="24259" priority="16222" stopIfTrue="1" operator="equal">
      <formula>"Towel"</formula>
    </cfRule>
    <cfRule type="cellIs" dxfId="24258" priority="16223" stopIfTrue="1" operator="equal">
      <formula>"Napkin Hs"</formula>
    </cfRule>
    <cfRule type="cellIs" dxfId="24257" priority="16224" stopIfTrue="1" operator="equal">
      <formula>"Towel"</formula>
    </cfRule>
    <cfRule type="cellIs" dxfId="24256" priority="16225" stopIfTrue="1" operator="equal">
      <formula>"Napkin Hs"</formula>
    </cfRule>
    <cfRule type="cellIs" dxfId="24255" priority="16230" stopIfTrue="1" operator="equal">
      <formula>"Towel"</formula>
    </cfRule>
    <cfRule type="cellIs" dxfId="24254" priority="16231" stopIfTrue="1" operator="equal">
      <formula>"Napkin Hs"</formula>
    </cfRule>
    <cfRule type="cellIs" dxfId="24253" priority="16232" stopIfTrue="1" operator="equal">
      <formula>"Towel"</formula>
    </cfRule>
    <cfRule type="cellIs" dxfId="24252" priority="16233" stopIfTrue="1" operator="equal">
      <formula>"Napkin Hs"</formula>
    </cfRule>
    <cfRule type="cellIs" dxfId="24251" priority="16236" stopIfTrue="1" operator="equal">
      <formula>"Towel"</formula>
    </cfRule>
    <cfRule type="cellIs" dxfId="24250" priority="16237" stopIfTrue="1" operator="equal">
      <formula>"Napkin Hs"</formula>
    </cfRule>
    <cfRule type="cellIs" dxfId="24249" priority="16238" stopIfTrue="1" operator="equal">
      <formula>"Towel"</formula>
    </cfRule>
    <cfRule type="cellIs" dxfId="24248" priority="16239" stopIfTrue="1" operator="equal">
      <formula>"Napkin Hs"</formula>
    </cfRule>
    <cfRule type="cellIs" dxfId="24247" priority="16240" stopIfTrue="1" operator="equal">
      <formula>"Towel"</formula>
    </cfRule>
    <cfRule type="cellIs" dxfId="24246" priority="16241" stopIfTrue="1" operator="equal">
      <formula>"Napkin Hs"</formula>
    </cfRule>
    <cfRule type="cellIs" dxfId="24245" priority="16242" stopIfTrue="1" operator="equal">
      <formula>"Towel"</formula>
    </cfRule>
    <cfRule type="cellIs" dxfId="24244" priority="16243" stopIfTrue="1" operator="equal">
      <formula>"Napkin Hs"</formula>
    </cfRule>
    <cfRule type="cellIs" dxfId="24243" priority="16248" stopIfTrue="1" operator="equal">
      <formula>"Towel"</formula>
    </cfRule>
    <cfRule type="cellIs" dxfId="24242" priority="16249" stopIfTrue="1" operator="equal">
      <formula>"Napkin Hs"</formula>
    </cfRule>
    <cfRule type="cellIs" dxfId="24241" priority="16250" stopIfTrue="1" operator="equal">
      <formula>"Towel"</formula>
    </cfRule>
    <cfRule type="cellIs" dxfId="24240" priority="16251" stopIfTrue="1" operator="equal">
      <formula>"Napkin Hs"</formula>
    </cfRule>
    <cfRule type="cellIs" dxfId="24239" priority="16254" stopIfTrue="1" operator="equal">
      <formula>"Towel"</formula>
    </cfRule>
    <cfRule type="cellIs" dxfId="24238" priority="16255" stopIfTrue="1" operator="equal">
      <formula>"Napkin Hs"</formula>
    </cfRule>
    <cfRule type="cellIs" dxfId="24237" priority="16256" stopIfTrue="1" operator="equal">
      <formula>"Towel"</formula>
    </cfRule>
    <cfRule type="cellIs" dxfId="24236" priority="16257" stopIfTrue="1" operator="equal">
      <formula>"Napkin Hs"</formula>
    </cfRule>
  </conditionalFormatting>
  <conditionalFormatting sqref="C28">
    <cfRule type="cellIs" dxfId="24235" priority="16143" stopIfTrue="1" operator="equal">
      <formula>"Towel"</formula>
    </cfRule>
    <cfRule type="cellIs" dxfId="24234" priority="16144" stopIfTrue="1" operator="equal">
      <formula>"Napkin Hs"</formula>
    </cfRule>
  </conditionalFormatting>
  <conditionalFormatting sqref="C28">
    <cfRule type="cellIs" dxfId="24233" priority="16145" stopIfTrue="1" operator="equal">
      <formula>"Towel"</formula>
    </cfRule>
    <cfRule type="cellIs" dxfId="24232" priority="16146" stopIfTrue="1" operator="equal">
      <formula>"Napkin Hs"</formula>
    </cfRule>
  </conditionalFormatting>
  <conditionalFormatting sqref="C28">
    <cfRule type="cellIs" dxfId="24231" priority="16141" stopIfTrue="1" operator="equal">
      <formula>"Towel"</formula>
    </cfRule>
    <cfRule type="cellIs" dxfId="24230" priority="16142" stopIfTrue="1" operator="equal">
      <formula>"Napkin Hs"</formula>
    </cfRule>
  </conditionalFormatting>
  <conditionalFormatting sqref="C28">
    <cfRule type="cellIs" dxfId="24229" priority="16139" stopIfTrue="1" operator="equal">
      <formula>"Towel"</formula>
    </cfRule>
    <cfRule type="cellIs" dxfId="24228" priority="16140" stopIfTrue="1" operator="equal">
      <formula>"Napkin Hs"</formula>
    </cfRule>
  </conditionalFormatting>
  <conditionalFormatting sqref="C28">
    <cfRule type="cellIs" dxfId="24227" priority="16137" stopIfTrue="1" operator="equal">
      <formula>"Towel"</formula>
    </cfRule>
    <cfRule type="cellIs" dxfId="24226" priority="16138" stopIfTrue="1" operator="equal">
      <formula>"Napkin Hs"</formula>
    </cfRule>
  </conditionalFormatting>
  <conditionalFormatting sqref="C28">
    <cfRule type="cellIs" dxfId="24225" priority="16157" stopIfTrue="1" operator="equal">
      <formula>"Towel"</formula>
    </cfRule>
    <cfRule type="cellIs" dxfId="24224" priority="16158" stopIfTrue="1" operator="equal">
      <formula>"Napkin Hs"</formula>
    </cfRule>
  </conditionalFormatting>
  <conditionalFormatting sqref="C28">
    <cfRule type="cellIs" dxfId="24223" priority="16159" stopIfTrue="1" operator="equal">
      <formula>"Towel"</formula>
    </cfRule>
    <cfRule type="cellIs" dxfId="24222" priority="16160" stopIfTrue="1" operator="equal">
      <formula>"Napkin Hs"</formula>
    </cfRule>
  </conditionalFormatting>
  <conditionalFormatting sqref="C28">
    <cfRule type="cellIs" dxfId="24221" priority="16155" stopIfTrue="1" operator="equal">
      <formula>"Towel"</formula>
    </cfRule>
    <cfRule type="cellIs" dxfId="24220" priority="16156" stopIfTrue="1" operator="equal">
      <formula>"Napkin Hs"</formula>
    </cfRule>
  </conditionalFormatting>
  <conditionalFormatting sqref="C28">
    <cfRule type="cellIs" dxfId="24219" priority="16153" stopIfTrue="1" operator="equal">
      <formula>"Towel"</formula>
    </cfRule>
    <cfRule type="cellIs" dxfId="24218" priority="16154" stopIfTrue="1" operator="equal">
      <formula>"Napkin Hs"</formula>
    </cfRule>
  </conditionalFormatting>
  <conditionalFormatting sqref="C28">
    <cfRule type="cellIs" dxfId="24217" priority="16149" stopIfTrue="1" operator="equal">
      <formula>"Towel"</formula>
    </cfRule>
    <cfRule type="cellIs" dxfId="24216" priority="16150" stopIfTrue="1" operator="equal">
      <formula>"Napkin Hs"</formula>
    </cfRule>
  </conditionalFormatting>
  <conditionalFormatting sqref="C28">
    <cfRule type="cellIs" dxfId="24215" priority="16151" stopIfTrue="1" operator="equal">
      <formula>"Towel"</formula>
    </cfRule>
    <cfRule type="cellIs" dxfId="24214" priority="16152" stopIfTrue="1" operator="equal">
      <formula>"Napkin Hs"</formula>
    </cfRule>
  </conditionalFormatting>
  <conditionalFormatting sqref="C28">
    <cfRule type="cellIs" dxfId="24213" priority="16147" stopIfTrue="1" operator="equal">
      <formula>"Towel"</formula>
    </cfRule>
    <cfRule type="cellIs" dxfId="24212" priority="16148" stopIfTrue="1" operator="equal">
      <formula>"Napkin Hs"</formula>
    </cfRule>
  </conditionalFormatting>
  <conditionalFormatting sqref="C26">
    <cfRule type="cellIs" dxfId="24211" priority="15997" stopIfTrue="1" operator="equal">
      <formula>"Towel"</formula>
    </cfRule>
    <cfRule type="cellIs" dxfId="24210" priority="15998" stopIfTrue="1" operator="equal">
      <formula>"Napkin Hs"</formula>
    </cfRule>
  </conditionalFormatting>
  <conditionalFormatting sqref="C26">
    <cfRule type="cellIs" dxfId="24209" priority="15999" stopIfTrue="1" operator="equal">
      <formula>"Towel"</formula>
    </cfRule>
    <cfRule type="cellIs" dxfId="24208" priority="16000" stopIfTrue="1" operator="equal">
      <formula>"Napkin Hs"</formula>
    </cfRule>
  </conditionalFormatting>
  <conditionalFormatting sqref="B26:C26">
    <cfRule type="cellIs" dxfId="24207" priority="15995" stopIfTrue="1" operator="equal">
      <formula>"Towel"</formula>
    </cfRule>
    <cfRule type="cellIs" dxfId="24206" priority="15996" stopIfTrue="1" operator="equal">
      <formula>"Napkin Hs"</formula>
    </cfRule>
  </conditionalFormatting>
  <conditionalFormatting sqref="C26">
    <cfRule type="cellIs" dxfId="24205" priority="15993" stopIfTrue="1" operator="equal">
      <formula>"Towel"</formula>
    </cfRule>
    <cfRule type="cellIs" dxfId="24204" priority="15994" stopIfTrue="1" operator="equal">
      <formula>"Napkin Hs"</formula>
    </cfRule>
  </conditionalFormatting>
  <conditionalFormatting sqref="B26:C26">
    <cfRule type="cellIs" dxfId="24203" priority="15989" stopIfTrue="1" operator="equal">
      <formula>"Towel"</formula>
    </cfRule>
    <cfRule type="cellIs" dxfId="24202" priority="15990" stopIfTrue="1" operator="equal">
      <formula>"Napkin Hs"</formula>
    </cfRule>
  </conditionalFormatting>
  <conditionalFormatting sqref="C26">
    <cfRule type="cellIs" dxfId="24201" priority="15991" stopIfTrue="1" operator="equal">
      <formula>"Towel"</formula>
    </cfRule>
    <cfRule type="cellIs" dxfId="24200" priority="15992" stopIfTrue="1" operator="equal">
      <formula>"Napkin Hs"</formula>
    </cfRule>
  </conditionalFormatting>
  <conditionalFormatting sqref="B26:C26">
    <cfRule type="cellIs" dxfId="24199" priority="16049" stopIfTrue="1" operator="equal">
      <formula>"Towel"</formula>
    </cfRule>
    <cfRule type="cellIs" dxfId="24198" priority="16050" stopIfTrue="1" operator="equal">
      <formula>"Napkin Hs"</formula>
    </cfRule>
  </conditionalFormatting>
  <conditionalFormatting sqref="C26">
    <cfRule type="cellIs" dxfId="24197" priority="16045" stopIfTrue="1" operator="equal">
      <formula>"Towel"</formula>
    </cfRule>
    <cfRule type="cellIs" dxfId="24196" priority="16046" stopIfTrue="1" operator="equal">
      <formula>"Napkin Hs"</formula>
    </cfRule>
  </conditionalFormatting>
  <conditionalFormatting sqref="C26">
    <cfRule type="cellIs" dxfId="24195" priority="16048" stopIfTrue="1" operator="equal">
      <formula>"Napkin Hs"</formula>
    </cfRule>
  </conditionalFormatting>
  <conditionalFormatting sqref="C26">
    <cfRule type="cellIs" dxfId="24194" priority="16047" stopIfTrue="1" operator="equal">
      <formula>"Towel"</formula>
    </cfRule>
  </conditionalFormatting>
  <conditionalFormatting sqref="C26">
    <cfRule type="cellIs" dxfId="24193" priority="16039" stopIfTrue="1" operator="equal">
      <formula>"Towel"</formula>
    </cfRule>
    <cfRule type="cellIs" dxfId="24192" priority="16040" stopIfTrue="1" operator="equal">
      <formula>"Napkin Hs"</formula>
    </cfRule>
  </conditionalFormatting>
  <conditionalFormatting sqref="C26">
    <cfRule type="cellIs" dxfId="24191" priority="16043" stopIfTrue="1" operator="equal">
      <formula>"Towel"</formula>
    </cfRule>
    <cfRule type="cellIs" dxfId="24190" priority="16044" stopIfTrue="1" operator="equal">
      <formula>"Napkin Hs"</formula>
    </cfRule>
  </conditionalFormatting>
  <conditionalFormatting sqref="B26">
    <cfRule type="cellIs" dxfId="24189" priority="16029" stopIfTrue="1" operator="equal">
      <formula>"Towel"</formula>
    </cfRule>
    <cfRule type="cellIs" dxfId="24188" priority="16030" stopIfTrue="1" operator="equal">
      <formula>"Napkin Hs"</formula>
    </cfRule>
  </conditionalFormatting>
  <conditionalFormatting sqref="C26">
    <cfRule type="cellIs" dxfId="24187" priority="16041" stopIfTrue="1" operator="equal">
      <formula>"Towel"</formula>
    </cfRule>
    <cfRule type="cellIs" dxfId="24186" priority="16042" stopIfTrue="1" operator="equal">
      <formula>"Napkin Hs"</formula>
    </cfRule>
  </conditionalFormatting>
  <conditionalFormatting sqref="C26">
    <cfRule type="cellIs" dxfId="24185" priority="16033" stopIfTrue="1" operator="equal">
      <formula>"Towel"</formula>
    </cfRule>
    <cfRule type="cellIs" dxfId="24184" priority="16034" stopIfTrue="1" operator="equal">
      <formula>"Napkin Hs"</formula>
    </cfRule>
  </conditionalFormatting>
  <conditionalFormatting sqref="C26">
    <cfRule type="cellIs" dxfId="24183" priority="16035" stopIfTrue="1" operator="equal">
      <formula>"Towel"</formula>
    </cfRule>
    <cfRule type="cellIs" dxfId="24182" priority="16036" stopIfTrue="1" operator="equal">
      <formula>"Napkin Hs"</formula>
    </cfRule>
  </conditionalFormatting>
  <conditionalFormatting sqref="C26">
    <cfRule type="cellIs" dxfId="24181" priority="16037" stopIfTrue="1" operator="equal">
      <formula>"Towel"</formula>
    </cfRule>
    <cfRule type="cellIs" dxfId="24180" priority="16038" stopIfTrue="1" operator="equal">
      <formula>"Napkin Hs"</formula>
    </cfRule>
  </conditionalFormatting>
  <conditionalFormatting sqref="B26">
    <cfRule type="cellIs" dxfId="24179" priority="16031" stopIfTrue="1" operator="equal">
      <formula>"Towel"</formula>
    </cfRule>
    <cfRule type="cellIs" dxfId="24178" priority="16032" stopIfTrue="1" operator="equal">
      <formula>"Napkin Hs"</formula>
    </cfRule>
  </conditionalFormatting>
  <conditionalFormatting sqref="C26">
    <cfRule type="cellIs" dxfId="24177" priority="16023" stopIfTrue="1" operator="equal">
      <formula>"Towel"</formula>
    </cfRule>
    <cfRule type="cellIs" dxfId="24176" priority="16024" stopIfTrue="1" operator="equal">
      <formula>"Napkin Hs"</formula>
    </cfRule>
  </conditionalFormatting>
  <conditionalFormatting sqref="C26">
    <cfRule type="cellIs" dxfId="24175" priority="16027" stopIfTrue="1" operator="equal">
      <formula>"Towel"</formula>
    </cfRule>
    <cfRule type="cellIs" dxfId="24174" priority="16028" stopIfTrue="1" operator="equal">
      <formula>"Napkin Hs"</formula>
    </cfRule>
  </conditionalFormatting>
  <conditionalFormatting sqref="B26">
    <cfRule type="cellIs" dxfId="24173" priority="16013" stopIfTrue="1" operator="equal">
      <formula>"Towel"</formula>
    </cfRule>
    <cfRule type="cellIs" dxfId="24172" priority="16014" stopIfTrue="1" operator="equal">
      <formula>"Napkin Hs"</formula>
    </cfRule>
  </conditionalFormatting>
  <conditionalFormatting sqref="C26">
    <cfRule type="cellIs" dxfId="24171" priority="16025" stopIfTrue="1" operator="equal">
      <formula>"Towel"</formula>
    </cfRule>
    <cfRule type="cellIs" dxfId="24170" priority="16026" stopIfTrue="1" operator="equal">
      <formula>"Napkin Hs"</formula>
    </cfRule>
  </conditionalFormatting>
  <conditionalFormatting sqref="C26">
    <cfRule type="cellIs" dxfId="24169" priority="16017" stopIfTrue="1" operator="equal">
      <formula>"Towel"</formula>
    </cfRule>
    <cfRule type="cellIs" dxfId="24168" priority="16018" stopIfTrue="1" operator="equal">
      <formula>"Napkin Hs"</formula>
    </cfRule>
  </conditionalFormatting>
  <conditionalFormatting sqref="C26">
    <cfRule type="cellIs" dxfId="24167" priority="16019" stopIfTrue="1" operator="equal">
      <formula>"Towel"</formula>
    </cfRule>
    <cfRule type="cellIs" dxfId="24166" priority="16020" stopIfTrue="1" operator="equal">
      <formula>"Napkin Hs"</formula>
    </cfRule>
  </conditionalFormatting>
  <conditionalFormatting sqref="C26">
    <cfRule type="cellIs" dxfId="24165" priority="16021" stopIfTrue="1" operator="equal">
      <formula>"Towel"</formula>
    </cfRule>
    <cfRule type="cellIs" dxfId="24164" priority="16022" stopIfTrue="1" operator="equal">
      <formula>"Napkin Hs"</formula>
    </cfRule>
  </conditionalFormatting>
  <conditionalFormatting sqref="B26">
    <cfRule type="cellIs" dxfId="24163" priority="16015" stopIfTrue="1" operator="equal">
      <formula>"Towel"</formula>
    </cfRule>
    <cfRule type="cellIs" dxfId="24162" priority="16016" stopIfTrue="1" operator="equal">
      <formula>"Napkin Hs"</formula>
    </cfRule>
  </conditionalFormatting>
  <conditionalFormatting sqref="B26:C26">
    <cfRule type="cellIs" dxfId="24161" priority="16011" stopIfTrue="1" operator="equal">
      <formula>"Towel"</formula>
    </cfRule>
    <cfRule type="cellIs" dxfId="24160" priority="16012" stopIfTrue="1" operator="equal">
      <formula>"Napkin Hs"</formula>
    </cfRule>
  </conditionalFormatting>
  <conditionalFormatting sqref="C26">
    <cfRule type="cellIs" dxfId="24159" priority="16007" stopIfTrue="1" operator="equal">
      <formula>"Towel"</formula>
    </cfRule>
    <cfRule type="cellIs" dxfId="24158" priority="16008" stopIfTrue="1" operator="equal">
      <formula>"Napkin Hs"</formula>
    </cfRule>
  </conditionalFormatting>
  <conditionalFormatting sqref="C26">
    <cfRule type="cellIs" dxfId="24157" priority="16009" stopIfTrue="1" operator="equal">
      <formula>"Towel"</formula>
    </cfRule>
    <cfRule type="cellIs" dxfId="24156" priority="16010" stopIfTrue="1" operator="equal">
      <formula>"Napkin Hs"</formula>
    </cfRule>
  </conditionalFormatting>
  <conditionalFormatting sqref="B26:C26">
    <cfRule type="cellIs" dxfId="24155" priority="16005" stopIfTrue="1" operator="equal">
      <formula>"Towel"</formula>
    </cfRule>
    <cfRule type="cellIs" dxfId="24154" priority="16006" stopIfTrue="1" operator="equal">
      <formula>"Napkin Hs"</formula>
    </cfRule>
  </conditionalFormatting>
  <conditionalFormatting sqref="C26">
    <cfRule type="cellIs" dxfId="24153" priority="16003" stopIfTrue="1" operator="equal">
      <formula>"Towel"</formula>
    </cfRule>
    <cfRule type="cellIs" dxfId="24152" priority="16004" stopIfTrue="1" operator="equal">
      <formula>"Napkin Hs"</formula>
    </cfRule>
  </conditionalFormatting>
  <conditionalFormatting sqref="C26">
    <cfRule type="cellIs" dxfId="24151" priority="16001" stopIfTrue="1" operator="equal">
      <formula>"Towel"</formula>
    </cfRule>
    <cfRule type="cellIs" dxfId="24150" priority="16002" stopIfTrue="1" operator="equal">
      <formula>"Napkin Hs"</formula>
    </cfRule>
  </conditionalFormatting>
  <conditionalFormatting sqref="B26:C26">
    <cfRule type="cellIs" dxfId="24149" priority="15985" stopIfTrue="1" operator="equal">
      <formula>"Towel"</formula>
    </cfRule>
    <cfRule type="cellIs" dxfId="24148" priority="15986" stopIfTrue="1" operator="equal">
      <formula>"Napkin Hs"</formula>
    </cfRule>
  </conditionalFormatting>
  <conditionalFormatting sqref="C26">
    <cfRule type="cellIs" dxfId="24147" priority="15987" stopIfTrue="1" operator="equal">
      <formula>"Towel"</formula>
    </cfRule>
    <cfRule type="cellIs" dxfId="24146" priority="15988" stopIfTrue="1" operator="equal">
      <formula>"Napkin Hs"</formula>
    </cfRule>
  </conditionalFormatting>
  <conditionalFormatting sqref="C26">
    <cfRule type="cellIs" dxfId="24145" priority="15983" stopIfTrue="1" operator="equal">
      <formula>"Towel"</formula>
    </cfRule>
    <cfRule type="cellIs" dxfId="24144" priority="15984" stopIfTrue="1" operator="equal">
      <formula>"Napkin Hs"</formula>
    </cfRule>
  </conditionalFormatting>
  <conditionalFormatting sqref="B26:C26">
    <cfRule type="cellIs" dxfId="24143" priority="15981" stopIfTrue="1" operator="equal">
      <formula>"Towel"</formula>
    </cfRule>
    <cfRule type="cellIs" dxfId="24142" priority="15982" stopIfTrue="1" operator="equal">
      <formula>"Napkin Hs"</formula>
    </cfRule>
  </conditionalFormatting>
  <conditionalFormatting sqref="C26">
    <cfRule type="cellIs" dxfId="24141" priority="15977" stopIfTrue="1" operator="equal">
      <formula>"Towel"</formula>
    </cfRule>
    <cfRule type="cellIs" dxfId="24140" priority="15978" stopIfTrue="1" operator="equal">
      <formula>"Napkin Hs"</formula>
    </cfRule>
  </conditionalFormatting>
  <conditionalFormatting sqref="C26">
    <cfRule type="cellIs" dxfId="24139" priority="15979" stopIfTrue="1" operator="equal">
      <formula>"Towel"</formula>
    </cfRule>
    <cfRule type="cellIs" dxfId="24138" priority="15980" stopIfTrue="1" operator="equal">
      <formula>"Napkin Hs"</formula>
    </cfRule>
  </conditionalFormatting>
  <conditionalFormatting sqref="B26:C26">
    <cfRule type="cellIs" dxfId="24137" priority="15973" stopIfTrue="1" operator="equal">
      <formula>"Towel"</formula>
    </cfRule>
    <cfRule type="cellIs" dxfId="24136" priority="15974" stopIfTrue="1" operator="equal">
      <formula>"Napkin Hs"</formula>
    </cfRule>
  </conditionalFormatting>
  <conditionalFormatting sqref="C26">
    <cfRule type="cellIs" dxfId="24135" priority="15975" stopIfTrue="1" operator="equal">
      <formula>"Towel"</formula>
    </cfRule>
    <cfRule type="cellIs" dxfId="24134" priority="15976" stopIfTrue="1" operator="equal">
      <formula>"Napkin Hs"</formula>
    </cfRule>
  </conditionalFormatting>
  <conditionalFormatting sqref="C26">
    <cfRule type="cellIs" dxfId="24133" priority="15971" stopIfTrue="1" operator="equal">
      <formula>"Towel"</formula>
    </cfRule>
    <cfRule type="cellIs" dxfId="24132" priority="15972" stopIfTrue="1" operator="equal">
      <formula>"Napkin Hs"</formula>
    </cfRule>
  </conditionalFormatting>
  <conditionalFormatting sqref="B26:C26">
    <cfRule type="cellIs" dxfId="24131" priority="15969" stopIfTrue="1" operator="equal">
      <formula>"Towel"</formula>
    </cfRule>
    <cfRule type="cellIs" dxfId="24130" priority="15970" stopIfTrue="1" operator="equal">
      <formula>"Napkin Hs"</formula>
    </cfRule>
  </conditionalFormatting>
  <conditionalFormatting sqref="C26">
    <cfRule type="cellIs" dxfId="24129" priority="15965" stopIfTrue="1" operator="equal">
      <formula>"Towel"</formula>
    </cfRule>
    <cfRule type="cellIs" dxfId="24128" priority="15966" stopIfTrue="1" operator="equal">
      <formula>"Napkin Hs"</formula>
    </cfRule>
  </conditionalFormatting>
  <conditionalFormatting sqref="C26">
    <cfRule type="cellIs" dxfId="24127" priority="15967" stopIfTrue="1" operator="equal">
      <formula>"Towel"</formula>
    </cfRule>
    <cfRule type="cellIs" dxfId="24126" priority="15968" stopIfTrue="1" operator="equal">
      <formula>"Napkin Hs"</formula>
    </cfRule>
  </conditionalFormatting>
  <conditionalFormatting sqref="C27">
    <cfRule type="cellIs" dxfId="24125" priority="15911" stopIfTrue="1" operator="equal">
      <formula>"Towel"</formula>
    </cfRule>
    <cfRule type="cellIs" dxfId="24124" priority="15912" stopIfTrue="1" operator="equal">
      <formula>"Napkin Hs"</formula>
    </cfRule>
  </conditionalFormatting>
  <conditionalFormatting sqref="C27">
    <cfRule type="cellIs" dxfId="24123" priority="15913" stopIfTrue="1" operator="equal">
      <formula>"Towel"</formula>
    </cfRule>
    <cfRule type="cellIs" dxfId="24122" priority="15914" stopIfTrue="1" operator="equal">
      <formula>"Napkin Hs"</formula>
    </cfRule>
  </conditionalFormatting>
  <conditionalFormatting sqref="B27:C27 B28">
    <cfRule type="cellIs" dxfId="24121" priority="15909" stopIfTrue="1" operator="equal">
      <formula>"Towel"</formula>
    </cfRule>
    <cfRule type="cellIs" dxfId="24120" priority="15910" stopIfTrue="1" operator="equal">
      <formula>"Napkin Hs"</formula>
    </cfRule>
  </conditionalFormatting>
  <conditionalFormatting sqref="C27">
    <cfRule type="cellIs" dxfId="24119" priority="15907" stopIfTrue="1" operator="equal">
      <formula>"Towel"</formula>
    </cfRule>
    <cfRule type="cellIs" dxfId="24118" priority="15908" stopIfTrue="1" operator="equal">
      <formula>"Napkin Hs"</formula>
    </cfRule>
  </conditionalFormatting>
  <conditionalFormatting sqref="B27:C27 B28">
    <cfRule type="cellIs" dxfId="24117" priority="15903" stopIfTrue="1" operator="equal">
      <formula>"Towel"</formula>
    </cfRule>
    <cfRule type="cellIs" dxfId="24116" priority="15904" stopIfTrue="1" operator="equal">
      <formula>"Napkin Hs"</formula>
    </cfRule>
  </conditionalFormatting>
  <conditionalFormatting sqref="C27">
    <cfRule type="cellIs" dxfId="24115" priority="15905" stopIfTrue="1" operator="equal">
      <formula>"Towel"</formula>
    </cfRule>
    <cfRule type="cellIs" dxfId="24114" priority="15906" stopIfTrue="1" operator="equal">
      <formula>"Napkin Hs"</formula>
    </cfRule>
  </conditionalFormatting>
  <conditionalFormatting sqref="B27:C27 B28">
    <cfRule type="cellIs" dxfId="24113" priority="15963" stopIfTrue="1" operator="equal">
      <formula>"Towel"</formula>
    </cfRule>
    <cfRule type="cellIs" dxfId="24112" priority="15964" stopIfTrue="1" operator="equal">
      <formula>"Napkin Hs"</formula>
    </cfRule>
  </conditionalFormatting>
  <conditionalFormatting sqref="C27">
    <cfRule type="cellIs" dxfId="24111" priority="15959" stopIfTrue="1" operator="equal">
      <formula>"Towel"</formula>
    </cfRule>
    <cfRule type="cellIs" dxfId="24110" priority="15960" stopIfTrue="1" operator="equal">
      <formula>"Napkin Hs"</formula>
    </cfRule>
  </conditionalFormatting>
  <conditionalFormatting sqref="C27">
    <cfRule type="cellIs" dxfId="24109" priority="15962" stopIfTrue="1" operator="equal">
      <formula>"Napkin Hs"</formula>
    </cfRule>
  </conditionalFormatting>
  <conditionalFormatting sqref="C27">
    <cfRule type="cellIs" dxfId="24108" priority="15961" stopIfTrue="1" operator="equal">
      <formula>"Towel"</formula>
    </cfRule>
  </conditionalFormatting>
  <conditionalFormatting sqref="C27">
    <cfRule type="cellIs" dxfId="24107" priority="15953" stopIfTrue="1" operator="equal">
      <formula>"Towel"</formula>
    </cfRule>
    <cfRule type="cellIs" dxfId="24106" priority="15954" stopIfTrue="1" operator="equal">
      <formula>"Napkin Hs"</formula>
    </cfRule>
  </conditionalFormatting>
  <conditionalFormatting sqref="C27">
    <cfRule type="cellIs" dxfId="24105" priority="15957" stopIfTrue="1" operator="equal">
      <formula>"Towel"</formula>
    </cfRule>
    <cfRule type="cellIs" dxfId="24104" priority="15958" stopIfTrue="1" operator="equal">
      <formula>"Napkin Hs"</formula>
    </cfRule>
  </conditionalFormatting>
  <conditionalFormatting sqref="B27:B28">
    <cfRule type="cellIs" dxfId="24103" priority="15943" stopIfTrue="1" operator="equal">
      <formula>"Towel"</formula>
    </cfRule>
    <cfRule type="cellIs" dxfId="24102" priority="15944" stopIfTrue="1" operator="equal">
      <formula>"Napkin Hs"</formula>
    </cfRule>
  </conditionalFormatting>
  <conditionalFormatting sqref="C27">
    <cfRule type="cellIs" dxfId="24101" priority="15955" stopIfTrue="1" operator="equal">
      <formula>"Towel"</formula>
    </cfRule>
    <cfRule type="cellIs" dxfId="24100" priority="15956" stopIfTrue="1" operator="equal">
      <formula>"Napkin Hs"</formula>
    </cfRule>
  </conditionalFormatting>
  <conditionalFormatting sqref="C27">
    <cfRule type="cellIs" dxfId="24099" priority="15947" stopIfTrue="1" operator="equal">
      <formula>"Towel"</formula>
    </cfRule>
    <cfRule type="cellIs" dxfId="24098" priority="15948" stopIfTrue="1" operator="equal">
      <formula>"Napkin Hs"</formula>
    </cfRule>
  </conditionalFormatting>
  <conditionalFormatting sqref="C27">
    <cfRule type="cellIs" dxfId="24097" priority="15949" stopIfTrue="1" operator="equal">
      <formula>"Towel"</formula>
    </cfRule>
    <cfRule type="cellIs" dxfId="24096" priority="15950" stopIfTrue="1" operator="equal">
      <formula>"Napkin Hs"</formula>
    </cfRule>
  </conditionalFormatting>
  <conditionalFormatting sqref="C27">
    <cfRule type="cellIs" dxfId="24095" priority="15951" stopIfTrue="1" operator="equal">
      <formula>"Towel"</formula>
    </cfRule>
    <cfRule type="cellIs" dxfId="24094" priority="15952" stopIfTrue="1" operator="equal">
      <formula>"Napkin Hs"</formula>
    </cfRule>
  </conditionalFormatting>
  <conditionalFormatting sqref="B27:B28">
    <cfRule type="cellIs" dxfId="24093" priority="15945" stopIfTrue="1" operator="equal">
      <formula>"Towel"</formula>
    </cfRule>
    <cfRule type="cellIs" dxfId="24092" priority="15946" stopIfTrue="1" operator="equal">
      <formula>"Napkin Hs"</formula>
    </cfRule>
  </conditionalFormatting>
  <conditionalFormatting sqref="C27">
    <cfRule type="cellIs" dxfId="24091" priority="15937" stopIfTrue="1" operator="equal">
      <formula>"Towel"</formula>
    </cfRule>
    <cfRule type="cellIs" dxfId="24090" priority="15938" stopIfTrue="1" operator="equal">
      <formula>"Napkin Hs"</formula>
    </cfRule>
  </conditionalFormatting>
  <conditionalFormatting sqref="C27">
    <cfRule type="cellIs" dxfId="24089" priority="15941" stopIfTrue="1" operator="equal">
      <formula>"Towel"</formula>
    </cfRule>
    <cfRule type="cellIs" dxfId="24088" priority="15942" stopIfTrue="1" operator="equal">
      <formula>"Napkin Hs"</formula>
    </cfRule>
  </conditionalFormatting>
  <conditionalFormatting sqref="B27:B28">
    <cfRule type="cellIs" dxfId="24087" priority="15927" stopIfTrue="1" operator="equal">
      <formula>"Towel"</formula>
    </cfRule>
    <cfRule type="cellIs" dxfId="24086" priority="15928" stopIfTrue="1" operator="equal">
      <formula>"Napkin Hs"</formula>
    </cfRule>
  </conditionalFormatting>
  <conditionalFormatting sqref="C27">
    <cfRule type="cellIs" dxfId="24085" priority="15939" stopIfTrue="1" operator="equal">
      <formula>"Towel"</formula>
    </cfRule>
    <cfRule type="cellIs" dxfId="24084" priority="15940" stopIfTrue="1" operator="equal">
      <formula>"Napkin Hs"</formula>
    </cfRule>
  </conditionalFormatting>
  <conditionalFormatting sqref="C27">
    <cfRule type="cellIs" dxfId="24083" priority="15931" stopIfTrue="1" operator="equal">
      <formula>"Towel"</formula>
    </cfRule>
    <cfRule type="cellIs" dxfId="24082" priority="15932" stopIfTrue="1" operator="equal">
      <formula>"Napkin Hs"</formula>
    </cfRule>
  </conditionalFormatting>
  <conditionalFormatting sqref="C27">
    <cfRule type="cellIs" dxfId="24081" priority="15933" stopIfTrue="1" operator="equal">
      <formula>"Towel"</formula>
    </cfRule>
    <cfRule type="cellIs" dxfId="24080" priority="15934" stopIfTrue="1" operator="equal">
      <formula>"Napkin Hs"</formula>
    </cfRule>
  </conditionalFormatting>
  <conditionalFormatting sqref="C27">
    <cfRule type="cellIs" dxfId="24079" priority="15935" stopIfTrue="1" operator="equal">
      <formula>"Towel"</formula>
    </cfRule>
    <cfRule type="cellIs" dxfId="24078" priority="15936" stopIfTrue="1" operator="equal">
      <formula>"Napkin Hs"</formula>
    </cfRule>
  </conditionalFormatting>
  <conditionalFormatting sqref="B27:B28">
    <cfRule type="cellIs" dxfId="24077" priority="15929" stopIfTrue="1" operator="equal">
      <formula>"Towel"</formula>
    </cfRule>
    <cfRule type="cellIs" dxfId="24076" priority="15930" stopIfTrue="1" operator="equal">
      <formula>"Napkin Hs"</formula>
    </cfRule>
  </conditionalFormatting>
  <conditionalFormatting sqref="B27:C27 B28">
    <cfRule type="cellIs" dxfId="24075" priority="15925" stopIfTrue="1" operator="equal">
      <formula>"Towel"</formula>
    </cfRule>
    <cfRule type="cellIs" dxfId="24074" priority="15926" stopIfTrue="1" operator="equal">
      <formula>"Napkin Hs"</formula>
    </cfRule>
  </conditionalFormatting>
  <conditionalFormatting sqref="C27">
    <cfRule type="cellIs" dxfId="24073" priority="15921" stopIfTrue="1" operator="equal">
      <formula>"Towel"</formula>
    </cfRule>
    <cfRule type="cellIs" dxfId="24072" priority="15922" stopIfTrue="1" operator="equal">
      <formula>"Napkin Hs"</formula>
    </cfRule>
  </conditionalFormatting>
  <conditionalFormatting sqref="C27">
    <cfRule type="cellIs" dxfId="24071" priority="15923" stopIfTrue="1" operator="equal">
      <formula>"Towel"</formula>
    </cfRule>
    <cfRule type="cellIs" dxfId="24070" priority="15924" stopIfTrue="1" operator="equal">
      <formula>"Napkin Hs"</formula>
    </cfRule>
  </conditionalFormatting>
  <conditionalFormatting sqref="B27:C27 B28">
    <cfRule type="cellIs" dxfId="24069" priority="15919" stopIfTrue="1" operator="equal">
      <formula>"Towel"</formula>
    </cfRule>
    <cfRule type="cellIs" dxfId="24068" priority="15920" stopIfTrue="1" operator="equal">
      <formula>"Napkin Hs"</formula>
    </cfRule>
  </conditionalFormatting>
  <conditionalFormatting sqref="C27">
    <cfRule type="cellIs" dxfId="24067" priority="15917" stopIfTrue="1" operator="equal">
      <formula>"Towel"</formula>
    </cfRule>
    <cfRule type="cellIs" dxfId="24066" priority="15918" stopIfTrue="1" operator="equal">
      <formula>"Napkin Hs"</formula>
    </cfRule>
  </conditionalFormatting>
  <conditionalFormatting sqref="C27">
    <cfRule type="cellIs" dxfId="24065" priority="15915" stopIfTrue="1" operator="equal">
      <formula>"Towel"</formula>
    </cfRule>
    <cfRule type="cellIs" dxfId="24064" priority="15916" stopIfTrue="1" operator="equal">
      <formula>"Napkin Hs"</formula>
    </cfRule>
  </conditionalFormatting>
  <conditionalFormatting sqref="B27:C27 B28">
    <cfRule type="cellIs" dxfId="24063" priority="15899" stopIfTrue="1" operator="equal">
      <formula>"Towel"</formula>
    </cfRule>
    <cfRule type="cellIs" dxfId="24062" priority="15900" stopIfTrue="1" operator="equal">
      <formula>"Napkin Hs"</formula>
    </cfRule>
  </conditionalFormatting>
  <conditionalFormatting sqref="C27">
    <cfRule type="cellIs" dxfId="24061" priority="15901" stopIfTrue="1" operator="equal">
      <formula>"Towel"</formula>
    </cfRule>
    <cfRule type="cellIs" dxfId="24060" priority="15902" stopIfTrue="1" operator="equal">
      <formula>"Napkin Hs"</formula>
    </cfRule>
  </conditionalFormatting>
  <conditionalFormatting sqref="C27">
    <cfRule type="cellIs" dxfId="24059" priority="15897" stopIfTrue="1" operator="equal">
      <formula>"Towel"</formula>
    </cfRule>
    <cfRule type="cellIs" dxfId="24058" priority="15898" stopIfTrue="1" operator="equal">
      <formula>"Napkin Hs"</formula>
    </cfRule>
  </conditionalFormatting>
  <conditionalFormatting sqref="B27:C27 B28">
    <cfRule type="cellIs" dxfId="24057" priority="15895" stopIfTrue="1" operator="equal">
      <formula>"Towel"</formula>
    </cfRule>
    <cfRule type="cellIs" dxfId="24056" priority="15896" stopIfTrue="1" operator="equal">
      <formula>"Napkin Hs"</formula>
    </cfRule>
  </conditionalFormatting>
  <conditionalFormatting sqref="C27">
    <cfRule type="cellIs" dxfId="24055" priority="15891" stopIfTrue="1" operator="equal">
      <formula>"Towel"</formula>
    </cfRule>
    <cfRule type="cellIs" dxfId="24054" priority="15892" stopIfTrue="1" operator="equal">
      <formula>"Napkin Hs"</formula>
    </cfRule>
  </conditionalFormatting>
  <conditionalFormatting sqref="C27">
    <cfRule type="cellIs" dxfId="24053" priority="15893" stopIfTrue="1" operator="equal">
      <formula>"Towel"</formula>
    </cfRule>
    <cfRule type="cellIs" dxfId="24052" priority="15894" stopIfTrue="1" operator="equal">
      <formula>"Napkin Hs"</formula>
    </cfRule>
  </conditionalFormatting>
  <conditionalFormatting sqref="B27:C27 B28">
    <cfRule type="cellIs" dxfId="24051" priority="15887" stopIfTrue="1" operator="equal">
      <formula>"Towel"</formula>
    </cfRule>
    <cfRule type="cellIs" dxfId="24050" priority="15888" stopIfTrue="1" operator="equal">
      <formula>"Napkin Hs"</formula>
    </cfRule>
  </conditionalFormatting>
  <conditionalFormatting sqref="C27">
    <cfRule type="cellIs" dxfId="24049" priority="15889" stopIfTrue="1" operator="equal">
      <formula>"Towel"</formula>
    </cfRule>
    <cfRule type="cellIs" dxfId="24048" priority="15890" stopIfTrue="1" operator="equal">
      <formula>"Napkin Hs"</formula>
    </cfRule>
  </conditionalFormatting>
  <conditionalFormatting sqref="C27">
    <cfRule type="cellIs" dxfId="24047" priority="15885" stopIfTrue="1" operator="equal">
      <formula>"Towel"</formula>
    </cfRule>
    <cfRule type="cellIs" dxfId="24046" priority="15886" stopIfTrue="1" operator="equal">
      <formula>"Napkin Hs"</formula>
    </cfRule>
  </conditionalFormatting>
  <conditionalFormatting sqref="B27:C27 B28">
    <cfRule type="cellIs" dxfId="24045" priority="15883" stopIfTrue="1" operator="equal">
      <formula>"Towel"</formula>
    </cfRule>
    <cfRule type="cellIs" dxfId="24044" priority="15884" stopIfTrue="1" operator="equal">
      <formula>"Napkin Hs"</formula>
    </cfRule>
  </conditionalFormatting>
  <conditionalFormatting sqref="C27">
    <cfRule type="cellIs" dxfId="24043" priority="15879" stopIfTrue="1" operator="equal">
      <formula>"Towel"</formula>
    </cfRule>
    <cfRule type="cellIs" dxfId="24042" priority="15880" stopIfTrue="1" operator="equal">
      <formula>"Napkin Hs"</formula>
    </cfRule>
  </conditionalFormatting>
  <conditionalFormatting sqref="C27">
    <cfRule type="cellIs" dxfId="24041" priority="15881" stopIfTrue="1" operator="equal">
      <formula>"Towel"</formula>
    </cfRule>
    <cfRule type="cellIs" dxfId="24040" priority="15882" stopIfTrue="1" operator="equal">
      <formula>"Napkin Hs"</formula>
    </cfRule>
  </conditionalFormatting>
  <conditionalFormatting sqref="B35:C35">
    <cfRule type="cellIs" dxfId="24039" priority="15877" stopIfTrue="1" operator="equal">
      <formula>"Towel"</formula>
    </cfRule>
    <cfRule type="cellIs" dxfId="24038" priority="15878" stopIfTrue="1" operator="equal">
      <formula>"Napkin Hs"</formula>
    </cfRule>
  </conditionalFormatting>
  <conditionalFormatting sqref="C35">
    <cfRule type="cellIs" dxfId="24037" priority="15873" stopIfTrue="1" operator="equal">
      <formula>"Towel"</formula>
    </cfRule>
    <cfRule type="cellIs" dxfId="24036" priority="15874" stopIfTrue="1" operator="equal">
      <formula>"Napkin Hs"</formula>
    </cfRule>
  </conditionalFormatting>
  <conditionalFormatting sqref="C35">
    <cfRule type="cellIs" dxfId="24035" priority="15876" stopIfTrue="1" operator="equal">
      <formula>"Napkin Hs"</formula>
    </cfRule>
  </conditionalFormatting>
  <conditionalFormatting sqref="C35">
    <cfRule type="cellIs" dxfId="24034" priority="15875" stopIfTrue="1" operator="equal">
      <formula>"Towel"</formula>
    </cfRule>
  </conditionalFormatting>
  <conditionalFormatting sqref="C36">
    <cfRule type="cellIs" dxfId="24033" priority="15869" stopIfTrue="1" operator="equal">
      <formula>"Towel"</formula>
    </cfRule>
    <cfRule type="cellIs" dxfId="24032" priority="15870" stopIfTrue="1" operator="equal">
      <formula>"Napkin Hs"</formula>
    </cfRule>
  </conditionalFormatting>
  <conditionalFormatting sqref="C36">
    <cfRule type="cellIs" dxfId="24031" priority="15871" stopIfTrue="1" operator="equal">
      <formula>"Towel"</formula>
    </cfRule>
    <cfRule type="cellIs" dxfId="24030" priority="15872" stopIfTrue="1" operator="equal">
      <formula>"Napkin Hs"</formula>
    </cfRule>
  </conditionalFormatting>
  <conditionalFormatting sqref="C36">
    <cfRule type="cellIs" dxfId="24029" priority="15867" stopIfTrue="1" operator="equal">
      <formula>"Towel"</formula>
    </cfRule>
    <cfRule type="cellIs" dxfId="24028" priority="15868" stopIfTrue="1" operator="equal">
      <formula>"Napkin Hs"</formula>
    </cfRule>
  </conditionalFormatting>
  <conditionalFormatting sqref="B36">
    <cfRule type="cellIs" dxfId="24027" priority="15865" stopIfTrue="1" operator="equal">
      <formula>"Towel"</formula>
    </cfRule>
    <cfRule type="cellIs" dxfId="24026" priority="15866" stopIfTrue="1" operator="equal">
      <formula>"Napkin Hs"</formula>
    </cfRule>
  </conditionalFormatting>
  <conditionalFormatting sqref="C34">
    <cfRule type="cellIs" dxfId="24025" priority="15841" stopIfTrue="1" operator="equal">
      <formula>"Towel"</formula>
    </cfRule>
  </conditionalFormatting>
  <conditionalFormatting sqref="C34">
    <cfRule type="cellIs" dxfId="24024" priority="15842" stopIfTrue="1" operator="equal">
      <formula>"Napkin Hs"</formula>
    </cfRule>
    <cfRule type="cellIs" dxfId="24023" priority="15847" stopIfTrue="1" operator="equal">
      <formula>"Towel"</formula>
    </cfRule>
    <cfRule type="cellIs" dxfId="24022" priority="15848" stopIfTrue="1" operator="equal">
      <formula>"Napkin Hs"</formula>
    </cfRule>
    <cfRule type="cellIs" dxfId="24021" priority="15857" stopIfTrue="1" operator="equal">
      <formula>"Towel"</formula>
    </cfRule>
    <cfRule type="cellIs" dxfId="24020" priority="15858" stopIfTrue="1" operator="equal">
      <formula>"Napkin Hs"</formula>
    </cfRule>
    <cfRule type="cellIs" dxfId="24019" priority="15863" stopIfTrue="1" operator="equal">
      <formula>"Towel"</formula>
    </cfRule>
    <cfRule type="cellIs" dxfId="24018" priority="15864" stopIfTrue="1" operator="equal">
      <formula>"Napkin Hs"</formula>
    </cfRule>
  </conditionalFormatting>
  <conditionalFormatting sqref="C34">
    <cfRule type="cellIs" dxfId="24017" priority="15843" stopIfTrue="1" operator="equal">
      <formula>"Towel"</formula>
    </cfRule>
    <cfRule type="cellIs" dxfId="24016" priority="15844" stopIfTrue="1" operator="equal">
      <formula>"Napkin Hs"</formula>
    </cfRule>
    <cfRule type="cellIs" dxfId="24015" priority="15845" stopIfTrue="1" operator="equal">
      <formula>"Towel"</formula>
    </cfRule>
    <cfRule type="cellIs" dxfId="24014" priority="15846" stopIfTrue="1" operator="equal">
      <formula>"Napkin Hs"</formula>
    </cfRule>
    <cfRule type="cellIs" dxfId="24013" priority="15849" stopIfTrue="1" operator="equal">
      <formula>"Towel"</formula>
    </cfRule>
    <cfRule type="cellIs" dxfId="24012" priority="15850" stopIfTrue="1" operator="equal">
      <formula>"Napkin Hs"</formula>
    </cfRule>
    <cfRule type="cellIs" dxfId="24011" priority="15851" stopIfTrue="1" operator="equal">
      <formula>"Towel"</formula>
    </cfRule>
    <cfRule type="cellIs" dxfId="24010" priority="15852" stopIfTrue="1" operator="equal">
      <formula>"Napkin Hs"</formula>
    </cfRule>
    <cfRule type="cellIs" dxfId="24009" priority="15853" stopIfTrue="1" operator="equal">
      <formula>"Towel"</formula>
    </cfRule>
    <cfRule type="cellIs" dxfId="24008" priority="15854" stopIfTrue="1" operator="equal">
      <formula>"Napkin Hs"</formula>
    </cfRule>
    <cfRule type="cellIs" dxfId="24007" priority="15855" stopIfTrue="1" operator="equal">
      <formula>"Towel"</formula>
    </cfRule>
    <cfRule type="cellIs" dxfId="24006" priority="15856" stopIfTrue="1" operator="equal">
      <formula>"Napkin Hs"</formula>
    </cfRule>
    <cfRule type="cellIs" dxfId="24005" priority="15859" stopIfTrue="1" operator="equal">
      <formula>"Towel"</formula>
    </cfRule>
    <cfRule type="cellIs" dxfId="24004" priority="15860" stopIfTrue="1" operator="equal">
      <formula>"Napkin Hs"</formula>
    </cfRule>
    <cfRule type="cellIs" dxfId="24003" priority="15862" stopIfTrue="1" operator="equal">
      <formula>"Napkin Hs"</formula>
    </cfRule>
  </conditionalFormatting>
  <conditionalFormatting sqref="C34">
    <cfRule type="cellIs" dxfId="24002" priority="15861" stopIfTrue="1" operator="equal">
      <formula>"Towel"</formula>
    </cfRule>
  </conditionalFormatting>
  <conditionalFormatting sqref="C34">
    <cfRule type="cellIs" dxfId="24001" priority="15839" stopIfTrue="1" operator="equal">
      <formula>"Towel"</formula>
    </cfRule>
    <cfRule type="cellIs" dxfId="24000" priority="15840" stopIfTrue="1" operator="equal">
      <formula>"Napkin Hs"</formula>
    </cfRule>
  </conditionalFormatting>
  <conditionalFormatting sqref="C34">
    <cfRule type="cellIs" dxfId="23999" priority="15838" stopIfTrue="1" operator="equal">
      <formula>"Napkin Hs"</formula>
    </cfRule>
  </conditionalFormatting>
  <conditionalFormatting sqref="C34">
    <cfRule type="cellIs" dxfId="23998" priority="15837" stopIfTrue="1" operator="equal">
      <formula>"Towel"</formula>
    </cfRule>
  </conditionalFormatting>
  <conditionalFormatting sqref="C34">
    <cfRule type="cellIs" dxfId="23997" priority="15835" stopIfTrue="1" operator="equal">
      <formula>"Towel"</formula>
    </cfRule>
  </conditionalFormatting>
  <conditionalFormatting sqref="C34">
    <cfRule type="cellIs" dxfId="23996" priority="15836" stopIfTrue="1" operator="equal">
      <formula>"Napkin Hs"</formula>
    </cfRule>
  </conditionalFormatting>
  <conditionalFormatting sqref="C34">
    <cfRule type="cellIs" dxfId="23995" priority="15739" stopIfTrue="1" operator="equal">
      <formula>"Towel"</formula>
    </cfRule>
  </conditionalFormatting>
  <conditionalFormatting sqref="C34">
    <cfRule type="cellIs" dxfId="23994" priority="15749" stopIfTrue="1" operator="equal">
      <formula>"Towel"</formula>
    </cfRule>
    <cfRule type="cellIs" dxfId="23993" priority="15750" stopIfTrue="1" operator="equal">
      <formula>"Napkin Hs"</formula>
    </cfRule>
    <cfRule type="cellIs" dxfId="23992" priority="15755" stopIfTrue="1" operator="equal">
      <formula>"Towel"</formula>
    </cfRule>
    <cfRule type="cellIs" dxfId="23991" priority="15756" stopIfTrue="1" operator="equal">
      <formula>"Napkin Hs"</formula>
    </cfRule>
    <cfRule type="cellIs" dxfId="23990" priority="15761" stopIfTrue="1" operator="equal">
      <formula>"Towel"</formula>
    </cfRule>
    <cfRule type="cellIs" dxfId="23989" priority="15762" stopIfTrue="1" operator="equal">
      <formula>"Napkin Hs"</formula>
    </cfRule>
    <cfRule type="cellIs" dxfId="23988" priority="15763" stopIfTrue="1" operator="equal">
      <formula>"Towel"</formula>
    </cfRule>
    <cfRule type="cellIs" dxfId="23987" priority="15764" stopIfTrue="1" operator="equal">
      <formula>"Napkin Hs"</formula>
    </cfRule>
    <cfRule type="cellIs" dxfId="23986" priority="15769" stopIfTrue="1" operator="equal">
      <formula>"Towel"</formula>
    </cfRule>
    <cfRule type="cellIs" dxfId="23985" priority="15770" stopIfTrue="1" operator="equal">
      <formula>"Napkin Hs"</formula>
    </cfRule>
    <cfRule type="cellIs" dxfId="23984" priority="15779" stopIfTrue="1" operator="equal">
      <formula>"Towel"</formula>
    </cfRule>
    <cfRule type="cellIs" dxfId="23983" priority="15780" stopIfTrue="1" operator="equal">
      <formula>"Napkin Hs"</formula>
    </cfRule>
    <cfRule type="cellIs" dxfId="23982" priority="15785" stopIfTrue="1" operator="equal">
      <formula>"Towel"</formula>
    </cfRule>
    <cfRule type="cellIs" dxfId="23981" priority="15786" stopIfTrue="1" operator="equal">
      <formula>"Napkin Hs"</formula>
    </cfRule>
    <cfRule type="cellIs" dxfId="23980" priority="15787" stopIfTrue="1" operator="equal">
      <formula>"Towel"</formula>
    </cfRule>
    <cfRule type="cellIs" dxfId="23979" priority="15788" stopIfTrue="1" operator="equal">
      <formula>"Napkin Hs"</formula>
    </cfRule>
    <cfRule type="cellIs" dxfId="23978" priority="15793" stopIfTrue="1" operator="equal">
      <formula>"Towel"</formula>
    </cfRule>
    <cfRule type="cellIs" dxfId="23977" priority="15794" stopIfTrue="1" operator="equal">
      <formula>"Napkin Hs"</formula>
    </cfRule>
    <cfRule type="cellIs" dxfId="23976" priority="15803" stopIfTrue="1" operator="equal">
      <formula>"Towel"</formula>
    </cfRule>
    <cfRule type="cellIs" dxfId="23975" priority="15804" stopIfTrue="1" operator="equal">
      <formula>"Napkin Hs"</formula>
    </cfRule>
    <cfRule type="cellIs" dxfId="23974" priority="15805" stopIfTrue="1" operator="equal">
      <formula>"Towel"</formula>
    </cfRule>
    <cfRule type="cellIs" dxfId="23973" priority="15806" stopIfTrue="1" operator="equal">
      <formula>"Napkin Hs"</formula>
    </cfRule>
    <cfRule type="cellIs" dxfId="23972" priority="15811" stopIfTrue="1" operator="equal">
      <formula>"Towel"</formula>
    </cfRule>
    <cfRule type="cellIs" dxfId="23971" priority="15812" stopIfTrue="1" operator="equal">
      <formula>"Napkin Hs"</formula>
    </cfRule>
    <cfRule type="cellIs" dxfId="23970" priority="15821" stopIfTrue="1" operator="equal">
      <formula>"Towel"</formula>
    </cfRule>
    <cfRule type="cellIs" dxfId="23969" priority="15822" stopIfTrue="1" operator="equal">
      <formula>"Napkin Hs"</formula>
    </cfRule>
    <cfRule type="cellIs" dxfId="23968" priority="15823" stopIfTrue="1" operator="equal">
      <formula>"Towel"</formula>
    </cfRule>
    <cfRule type="cellIs" dxfId="23967" priority="15824" stopIfTrue="1" operator="equal">
      <formula>"Napkin Hs"</formula>
    </cfRule>
    <cfRule type="cellIs" dxfId="23966" priority="15830" stopIfTrue="1" operator="equal">
      <formula>"Napkin Hs"</formula>
    </cfRule>
  </conditionalFormatting>
  <conditionalFormatting sqref="C34">
    <cfRule type="cellIs" dxfId="23965" priority="15829" stopIfTrue="1" operator="equal">
      <formula>"Towel"</formula>
    </cfRule>
  </conditionalFormatting>
  <conditionalFormatting sqref="C34">
    <cfRule type="cellIs" dxfId="23964" priority="15740" stopIfTrue="1" operator="equal">
      <formula>"Napkin Hs"</formula>
    </cfRule>
    <cfRule type="cellIs" dxfId="23963" priority="15741" stopIfTrue="1" operator="equal">
      <formula>"Towel"</formula>
    </cfRule>
    <cfRule type="cellIs" dxfId="23962" priority="15742" stopIfTrue="1" operator="equal">
      <formula>"Napkin Hs"</formula>
    </cfRule>
    <cfRule type="cellIs" dxfId="23961" priority="15743" stopIfTrue="1" operator="equal">
      <formula>"Towel"</formula>
    </cfRule>
    <cfRule type="cellIs" dxfId="23960" priority="15744" stopIfTrue="1" operator="equal">
      <formula>"Napkin Hs"</formula>
    </cfRule>
    <cfRule type="cellIs" dxfId="23959" priority="15745" stopIfTrue="1" operator="equal">
      <formula>"Towel"</formula>
    </cfRule>
    <cfRule type="cellIs" dxfId="23958" priority="15746" stopIfTrue="1" operator="equal">
      <formula>"Napkin Hs"</formula>
    </cfRule>
    <cfRule type="cellIs" dxfId="23957" priority="15747" stopIfTrue="1" operator="equal">
      <formula>"Towel"</formula>
    </cfRule>
    <cfRule type="cellIs" dxfId="23956" priority="15748" stopIfTrue="1" operator="equal">
      <formula>"Napkin Hs"</formula>
    </cfRule>
    <cfRule type="cellIs" dxfId="23955" priority="15751" stopIfTrue="1" operator="equal">
      <formula>"Towel"</formula>
    </cfRule>
    <cfRule type="cellIs" dxfId="23954" priority="15752" stopIfTrue="1" operator="equal">
      <formula>"Napkin Hs"</formula>
    </cfRule>
    <cfRule type="cellIs" dxfId="23953" priority="15753" stopIfTrue="1" operator="equal">
      <formula>"Towel"</formula>
    </cfRule>
    <cfRule type="cellIs" dxfId="23952" priority="15754" stopIfTrue="1" operator="equal">
      <formula>"Napkin Hs"</formula>
    </cfRule>
    <cfRule type="cellIs" dxfId="23951" priority="15757" stopIfTrue="1" operator="equal">
      <formula>"Towel"</formula>
    </cfRule>
    <cfRule type="cellIs" dxfId="23950" priority="15758" stopIfTrue="1" operator="equal">
      <formula>"Napkin Hs"</formula>
    </cfRule>
    <cfRule type="cellIs" dxfId="23949" priority="15759" stopIfTrue="1" operator="equal">
      <formula>"Towel"</formula>
    </cfRule>
    <cfRule type="cellIs" dxfId="23948" priority="15760" stopIfTrue="1" operator="equal">
      <formula>"Napkin Hs"</formula>
    </cfRule>
    <cfRule type="cellIs" dxfId="23947" priority="15765" stopIfTrue="1" operator="equal">
      <formula>"Towel"</formula>
    </cfRule>
    <cfRule type="cellIs" dxfId="23946" priority="15766" stopIfTrue="1" operator="equal">
      <formula>"Napkin Hs"</formula>
    </cfRule>
    <cfRule type="cellIs" dxfId="23945" priority="15767" stopIfTrue="1" operator="equal">
      <formula>"Towel"</formula>
    </cfRule>
    <cfRule type="cellIs" dxfId="23944" priority="15768" stopIfTrue="1" operator="equal">
      <formula>"Napkin Hs"</formula>
    </cfRule>
    <cfRule type="cellIs" dxfId="23943" priority="15771" stopIfTrue="1" operator="equal">
      <formula>"Towel"</formula>
    </cfRule>
    <cfRule type="cellIs" dxfId="23942" priority="15772" stopIfTrue="1" operator="equal">
      <formula>"Napkin Hs"</formula>
    </cfRule>
    <cfRule type="cellIs" dxfId="23941" priority="15773" stopIfTrue="1" operator="equal">
      <formula>"Towel"</formula>
    </cfRule>
    <cfRule type="cellIs" dxfId="23940" priority="15774" stopIfTrue="1" operator="equal">
      <formula>"Napkin Hs"</formula>
    </cfRule>
    <cfRule type="cellIs" dxfId="23939" priority="15775" stopIfTrue="1" operator="equal">
      <formula>"Towel"</formula>
    </cfRule>
    <cfRule type="cellIs" dxfId="23938" priority="15776" stopIfTrue="1" operator="equal">
      <formula>"Napkin Hs"</formula>
    </cfRule>
    <cfRule type="cellIs" dxfId="23937" priority="15777" stopIfTrue="1" operator="equal">
      <formula>"Towel"</formula>
    </cfRule>
    <cfRule type="cellIs" dxfId="23936" priority="15778" stopIfTrue="1" operator="equal">
      <formula>"Napkin Hs"</formula>
    </cfRule>
    <cfRule type="cellIs" dxfId="23935" priority="15781" stopIfTrue="1" operator="equal">
      <formula>"Towel"</formula>
    </cfRule>
    <cfRule type="cellIs" dxfId="23934" priority="15782" stopIfTrue="1" operator="equal">
      <formula>"Napkin Hs"</formula>
    </cfRule>
    <cfRule type="cellIs" dxfId="23933" priority="15783" stopIfTrue="1" operator="equal">
      <formula>"Towel"</formula>
    </cfRule>
    <cfRule type="cellIs" dxfId="23932" priority="15784" stopIfTrue="1" operator="equal">
      <formula>"Napkin Hs"</formula>
    </cfRule>
    <cfRule type="cellIs" dxfId="23931" priority="15789" stopIfTrue="1" operator="equal">
      <formula>"Towel"</formula>
    </cfRule>
    <cfRule type="cellIs" dxfId="23930" priority="15790" stopIfTrue="1" operator="equal">
      <formula>"Napkin Hs"</formula>
    </cfRule>
    <cfRule type="cellIs" dxfId="23929" priority="15791" stopIfTrue="1" operator="equal">
      <formula>"Towel"</formula>
    </cfRule>
    <cfRule type="cellIs" dxfId="23928" priority="15792" stopIfTrue="1" operator="equal">
      <formula>"Napkin Hs"</formula>
    </cfRule>
    <cfRule type="cellIs" dxfId="23927" priority="15795" stopIfTrue="1" operator="equal">
      <formula>"Towel"</formula>
    </cfRule>
    <cfRule type="cellIs" dxfId="23926" priority="15796" stopIfTrue="1" operator="equal">
      <formula>"Napkin Hs"</formula>
    </cfRule>
    <cfRule type="cellIs" dxfId="23925" priority="15797" stopIfTrue="1" operator="equal">
      <formula>"Towel"</formula>
    </cfRule>
    <cfRule type="cellIs" dxfId="23924" priority="15798" stopIfTrue="1" operator="equal">
      <formula>"Napkin Hs"</formula>
    </cfRule>
    <cfRule type="cellIs" dxfId="23923" priority="15799" stopIfTrue="1" operator="equal">
      <formula>"Towel"</formula>
    </cfRule>
    <cfRule type="cellIs" dxfId="23922" priority="15800" stopIfTrue="1" operator="equal">
      <formula>"Napkin Hs"</formula>
    </cfRule>
    <cfRule type="cellIs" dxfId="23921" priority="15801" stopIfTrue="1" operator="equal">
      <formula>"Towel"</formula>
    </cfRule>
    <cfRule type="cellIs" dxfId="23920" priority="15802" stopIfTrue="1" operator="equal">
      <formula>"Napkin Hs"</formula>
    </cfRule>
    <cfRule type="cellIs" dxfId="23919" priority="15807" stopIfTrue="1" operator="equal">
      <formula>"Towel"</formula>
    </cfRule>
    <cfRule type="cellIs" dxfId="23918" priority="15808" stopIfTrue="1" operator="equal">
      <formula>"Napkin Hs"</formula>
    </cfRule>
    <cfRule type="cellIs" dxfId="23917" priority="15809" stopIfTrue="1" operator="equal">
      <formula>"Towel"</formula>
    </cfRule>
    <cfRule type="cellIs" dxfId="23916" priority="15810" stopIfTrue="1" operator="equal">
      <formula>"Napkin Hs"</formula>
    </cfRule>
    <cfRule type="cellIs" dxfId="23915" priority="15813" stopIfTrue="1" operator="equal">
      <formula>"Towel"</formula>
    </cfRule>
    <cfRule type="cellIs" dxfId="23914" priority="15814" stopIfTrue="1" operator="equal">
      <formula>"Napkin Hs"</formula>
    </cfRule>
    <cfRule type="cellIs" dxfId="23913" priority="15815" stopIfTrue="1" operator="equal">
      <formula>"Towel"</formula>
    </cfRule>
    <cfRule type="cellIs" dxfId="23912" priority="15816" stopIfTrue="1" operator="equal">
      <formula>"Napkin Hs"</formula>
    </cfRule>
    <cfRule type="cellIs" dxfId="23911" priority="15817" stopIfTrue="1" operator="equal">
      <formula>"Towel"</formula>
    </cfRule>
    <cfRule type="cellIs" dxfId="23910" priority="15818" stopIfTrue="1" operator="equal">
      <formula>"Napkin Hs"</formula>
    </cfRule>
    <cfRule type="cellIs" dxfId="23909" priority="15819" stopIfTrue="1" operator="equal">
      <formula>"Towel"</formula>
    </cfRule>
    <cfRule type="cellIs" dxfId="23908" priority="15820" stopIfTrue="1" operator="equal">
      <formula>"Napkin Hs"</formula>
    </cfRule>
    <cfRule type="cellIs" dxfId="23907" priority="15825" stopIfTrue="1" operator="equal">
      <formula>"Towel"</formula>
    </cfRule>
    <cfRule type="cellIs" dxfId="23906" priority="15826" stopIfTrue="1" operator="equal">
      <formula>"Napkin Hs"</formula>
    </cfRule>
    <cfRule type="cellIs" dxfId="23905" priority="15827" stopIfTrue="1" operator="equal">
      <formula>"Towel"</formula>
    </cfRule>
    <cfRule type="cellIs" dxfId="23904" priority="15828" stopIfTrue="1" operator="equal">
      <formula>"Napkin Hs"</formula>
    </cfRule>
    <cfRule type="cellIs" dxfId="23903" priority="15831" stopIfTrue="1" operator="equal">
      <formula>"Towel"</formula>
    </cfRule>
    <cfRule type="cellIs" dxfId="23902" priority="15832" stopIfTrue="1" operator="equal">
      <formula>"Napkin Hs"</formula>
    </cfRule>
    <cfRule type="cellIs" dxfId="23901" priority="15833" stopIfTrue="1" operator="equal">
      <formula>"Towel"</formula>
    </cfRule>
    <cfRule type="cellIs" dxfId="23900" priority="15834" stopIfTrue="1" operator="equal">
      <formula>"Napkin Hs"</formula>
    </cfRule>
  </conditionalFormatting>
  <conditionalFormatting sqref="C34">
    <cfRule type="cellIs" dxfId="23899" priority="15715" stopIfTrue="1" operator="equal">
      <formula>"Towel"</formula>
    </cfRule>
  </conditionalFormatting>
  <conditionalFormatting sqref="C34">
    <cfRule type="cellIs" dxfId="23898" priority="15716" stopIfTrue="1" operator="equal">
      <formula>"Napkin Hs"</formula>
    </cfRule>
    <cfRule type="cellIs" dxfId="23897" priority="15721" stopIfTrue="1" operator="equal">
      <formula>"Towel"</formula>
    </cfRule>
    <cfRule type="cellIs" dxfId="23896" priority="15722" stopIfTrue="1" operator="equal">
      <formula>"Napkin Hs"</formula>
    </cfRule>
    <cfRule type="cellIs" dxfId="23895" priority="15731" stopIfTrue="1" operator="equal">
      <formula>"Towel"</formula>
    </cfRule>
    <cfRule type="cellIs" dxfId="23894" priority="15732" stopIfTrue="1" operator="equal">
      <formula>"Napkin Hs"</formula>
    </cfRule>
    <cfRule type="cellIs" dxfId="23893" priority="15737" stopIfTrue="1" operator="equal">
      <formula>"Towel"</formula>
    </cfRule>
    <cfRule type="cellIs" dxfId="23892" priority="15738" stopIfTrue="1" operator="equal">
      <formula>"Napkin Hs"</formula>
    </cfRule>
  </conditionalFormatting>
  <conditionalFormatting sqref="C34">
    <cfRule type="cellIs" dxfId="23891" priority="15717" stopIfTrue="1" operator="equal">
      <formula>"Towel"</formula>
    </cfRule>
    <cfRule type="cellIs" dxfId="23890" priority="15718" stopIfTrue="1" operator="equal">
      <formula>"Napkin Hs"</formula>
    </cfRule>
    <cfRule type="cellIs" dxfId="23889" priority="15719" stopIfTrue="1" operator="equal">
      <formula>"Towel"</formula>
    </cfRule>
    <cfRule type="cellIs" dxfId="23888" priority="15720" stopIfTrue="1" operator="equal">
      <formula>"Napkin Hs"</formula>
    </cfRule>
    <cfRule type="cellIs" dxfId="23887" priority="15723" stopIfTrue="1" operator="equal">
      <formula>"Towel"</formula>
    </cfRule>
    <cfRule type="cellIs" dxfId="23886" priority="15724" stopIfTrue="1" operator="equal">
      <formula>"Napkin Hs"</formula>
    </cfRule>
    <cfRule type="cellIs" dxfId="23885" priority="15725" stopIfTrue="1" operator="equal">
      <formula>"Towel"</formula>
    </cfRule>
    <cfRule type="cellIs" dxfId="23884" priority="15726" stopIfTrue="1" operator="equal">
      <formula>"Napkin Hs"</formula>
    </cfRule>
    <cfRule type="cellIs" dxfId="23883" priority="15727" stopIfTrue="1" operator="equal">
      <formula>"Towel"</formula>
    </cfRule>
    <cfRule type="cellIs" dxfId="23882" priority="15728" stopIfTrue="1" operator="equal">
      <formula>"Napkin Hs"</formula>
    </cfRule>
    <cfRule type="cellIs" dxfId="23881" priority="15729" stopIfTrue="1" operator="equal">
      <formula>"Towel"</formula>
    </cfRule>
    <cfRule type="cellIs" dxfId="23880" priority="15730" stopIfTrue="1" operator="equal">
      <formula>"Napkin Hs"</formula>
    </cfRule>
    <cfRule type="cellIs" dxfId="23879" priority="15733" stopIfTrue="1" operator="equal">
      <formula>"Towel"</formula>
    </cfRule>
    <cfRule type="cellIs" dxfId="23878" priority="15734" stopIfTrue="1" operator="equal">
      <formula>"Napkin Hs"</formula>
    </cfRule>
    <cfRule type="cellIs" dxfId="23877" priority="15736" stopIfTrue="1" operator="equal">
      <formula>"Napkin Hs"</formula>
    </cfRule>
  </conditionalFormatting>
  <conditionalFormatting sqref="C34">
    <cfRule type="cellIs" dxfId="23876" priority="15735" stopIfTrue="1" operator="equal">
      <formula>"Towel"</formula>
    </cfRule>
  </conditionalFormatting>
  <conditionalFormatting sqref="C34">
    <cfRule type="cellIs" dxfId="23875" priority="15713" stopIfTrue="1" operator="equal">
      <formula>"Towel"</formula>
    </cfRule>
    <cfRule type="cellIs" dxfId="23874" priority="15714" stopIfTrue="1" operator="equal">
      <formula>"Napkin Hs"</formula>
    </cfRule>
  </conditionalFormatting>
  <conditionalFormatting sqref="C34">
    <cfRule type="cellIs" dxfId="23873" priority="15712" stopIfTrue="1" operator="equal">
      <formula>"Napkin Hs"</formula>
    </cfRule>
  </conditionalFormatting>
  <conditionalFormatting sqref="C34">
    <cfRule type="cellIs" dxfId="23872" priority="15711" stopIfTrue="1" operator="equal">
      <formula>"Towel"</formula>
    </cfRule>
  </conditionalFormatting>
  <conditionalFormatting sqref="C34">
    <cfRule type="cellIs" dxfId="23871" priority="15709" stopIfTrue="1" operator="equal">
      <formula>"Towel"</formula>
    </cfRule>
  </conditionalFormatting>
  <conditionalFormatting sqref="C34">
    <cfRule type="cellIs" dxfId="23870" priority="15710" stopIfTrue="1" operator="equal">
      <formula>"Napkin Hs"</formula>
    </cfRule>
  </conditionalFormatting>
  <conditionalFormatting sqref="C34">
    <cfRule type="cellIs" dxfId="23869" priority="15613" stopIfTrue="1" operator="equal">
      <formula>"Towel"</formula>
    </cfRule>
  </conditionalFormatting>
  <conditionalFormatting sqref="C34">
    <cfRule type="cellIs" dxfId="23868" priority="15623" stopIfTrue="1" operator="equal">
      <formula>"Towel"</formula>
    </cfRule>
    <cfRule type="cellIs" dxfId="23867" priority="15624" stopIfTrue="1" operator="equal">
      <formula>"Napkin Hs"</formula>
    </cfRule>
    <cfRule type="cellIs" dxfId="23866" priority="15629" stopIfTrue="1" operator="equal">
      <formula>"Towel"</formula>
    </cfRule>
    <cfRule type="cellIs" dxfId="23865" priority="15630" stopIfTrue="1" operator="equal">
      <formula>"Napkin Hs"</formula>
    </cfRule>
    <cfRule type="cellIs" dxfId="23864" priority="15635" stopIfTrue="1" operator="equal">
      <formula>"Towel"</formula>
    </cfRule>
    <cfRule type="cellIs" dxfId="23863" priority="15636" stopIfTrue="1" operator="equal">
      <formula>"Napkin Hs"</formula>
    </cfRule>
    <cfRule type="cellIs" dxfId="23862" priority="15637" stopIfTrue="1" operator="equal">
      <formula>"Towel"</formula>
    </cfRule>
    <cfRule type="cellIs" dxfId="23861" priority="15638" stopIfTrue="1" operator="equal">
      <formula>"Napkin Hs"</formula>
    </cfRule>
    <cfRule type="cellIs" dxfId="23860" priority="15643" stopIfTrue="1" operator="equal">
      <formula>"Towel"</formula>
    </cfRule>
    <cfRule type="cellIs" dxfId="23859" priority="15644" stopIfTrue="1" operator="equal">
      <formula>"Napkin Hs"</formula>
    </cfRule>
    <cfRule type="cellIs" dxfId="23858" priority="15653" stopIfTrue="1" operator="equal">
      <formula>"Towel"</formula>
    </cfRule>
    <cfRule type="cellIs" dxfId="23857" priority="15654" stopIfTrue="1" operator="equal">
      <formula>"Napkin Hs"</formula>
    </cfRule>
    <cfRule type="cellIs" dxfId="23856" priority="15659" stopIfTrue="1" operator="equal">
      <formula>"Towel"</formula>
    </cfRule>
    <cfRule type="cellIs" dxfId="23855" priority="15660" stopIfTrue="1" operator="equal">
      <formula>"Napkin Hs"</formula>
    </cfRule>
    <cfRule type="cellIs" dxfId="23854" priority="15661" stopIfTrue="1" operator="equal">
      <formula>"Towel"</formula>
    </cfRule>
    <cfRule type="cellIs" dxfId="23853" priority="15662" stopIfTrue="1" operator="equal">
      <formula>"Napkin Hs"</formula>
    </cfRule>
    <cfRule type="cellIs" dxfId="23852" priority="15667" stopIfTrue="1" operator="equal">
      <formula>"Towel"</formula>
    </cfRule>
    <cfRule type="cellIs" dxfId="23851" priority="15668" stopIfTrue="1" operator="equal">
      <formula>"Napkin Hs"</formula>
    </cfRule>
    <cfRule type="cellIs" dxfId="23850" priority="15677" stopIfTrue="1" operator="equal">
      <formula>"Towel"</formula>
    </cfRule>
    <cfRule type="cellIs" dxfId="23849" priority="15678" stopIfTrue="1" operator="equal">
      <formula>"Napkin Hs"</formula>
    </cfRule>
    <cfRule type="cellIs" dxfId="23848" priority="15679" stopIfTrue="1" operator="equal">
      <formula>"Towel"</formula>
    </cfRule>
    <cfRule type="cellIs" dxfId="23847" priority="15680" stopIfTrue="1" operator="equal">
      <formula>"Napkin Hs"</formula>
    </cfRule>
    <cfRule type="cellIs" dxfId="23846" priority="15685" stopIfTrue="1" operator="equal">
      <formula>"Towel"</formula>
    </cfRule>
    <cfRule type="cellIs" dxfId="23845" priority="15686" stopIfTrue="1" operator="equal">
      <formula>"Napkin Hs"</formula>
    </cfRule>
    <cfRule type="cellIs" dxfId="23844" priority="15695" stopIfTrue="1" operator="equal">
      <formula>"Towel"</formula>
    </cfRule>
    <cfRule type="cellIs" dxfId="23843" priority="15696" stopIfTrue="1" operator="equal">
      <formula>"Napkin Hs"</formula>
    </cfRule>
    <cfRule type="cellIs" dxfId="23842" priority="15697" stopIfTrue="1" operator="equal">
      <formula>"Towel"</formula>
    </cfRule>
    <cfRule type="cellIs" dxfId="23841" priority="15698" stopIfTrue="1" operator="equal">
      <formula>"Napkin Hs"</formula>
    </cfRule>
    <cfRule type="cellIs" dxfId="23840" priority="15704" stopIfTrue="1" operator="equal">
      <formula>"Napkin Hs"</formula>
    </cfRule>
  </conditionalFormatting>
  <conditionalFormatting sqref="C34">
    <cfRule type="cellIs" dxfId="23839" priority="15703" stopIfTrue="1" operator="equal">
      <formula>"Towel"</formula>
    </cfRule>
  </conditionalFormatting>
  <conditionalFormatting sqref="C34">
    <cfRule type="cellIs" dxfId="23838" priority="15614" stopIfTrue="1" operator="equal">
      <formula>"Napkin Hs"</formula>
    </cfRule>
    <cfRule type="cellIs" dxfId="23837" priority="15615" stopIfTrue="1" operator="equal">
      <formula>"Towel"</formula>
    </cfRule>
    <cfRule type="cellIs" dxfId="23836" priority="15616" stopIfTrue="1" operator="equal">
      <formula>"Napkin Hs"</formula>
    </cfRule>
    <cfRule type="cellIs" dxfId="23835" priority="15617" stopIfTrue="1" operator="equal">
      <formula>"Towel"</formula>
    </cfRule>
    <cfRule type="cellIs" dxfId="23834" priority="15618" stopIfTrue="1" operator="equal">
      <formula>"Napkin Hs"</formula>
    </cfRule>
    <cfRule type="cellIs" dxfId="23833" priority="15619" stopIfTrue="1" operator="equal">
      <formula>"Towel"</formula>
    </cfRule>
    <cfRule type="cellIs" dxfId="23832" priority="15620" stopIfTrue="1" operator="equal">
      <formula>"Napkin Hs"</formula>
    </cfRule>
    <cfRule type="cellIs" dxfId="23831" priority="15621" stopIfTrue="1" operator="equal">
      <formula>"Towel"</formula>
    </cfRule>
    <cfRule type="cellIs" dxfId="23830" priority="15622" stopIfTrue="1" operator="equal">
      <formula>"Napkin Hs"</formula>
    </cfRule>
    <cfRule type="cellIs" dxfId="23829" priority="15625" stopIfTrue="1" operator="equal">
      <formula>"Towel"</formula>
    </cfRule>
    <cfRule type="cellIs" dxfId="23828" priority="15626" stopIfTrue="1" operator="equal">
      <formula>"Napkin Hs"</formula>
    </cfRule>
    <cfRule type="cellIs" dxfId="23827" priority="15627" stopIfTrue="1" operator="equal">
      <formula>"Towel"</formula>
    </cfRule>
    <cfRule type="cellIs" dxfId="23826" priority="15628" stopIfTrue="1" operator="equal">
      <formula>"Napkin Hs"</formula>
    </cfRule>
    <cfRule type="cellIs" dxfId="23825" priority="15631" stopIfTrue="1" operator="equal">
      <formula>"Towel"</formula>
    </cfRule>
    <cfRule type="cellIs" dxfId="23824" priority="15632" stopIfTrue="1" operator="equal">
      <formula>"Napkin Hs"</formula>
    </cfRule>
    <cfRule type="cellIs" dxfId="23823" priority="15633" stopIfTrue="1" operator="equal">
      <formula>"Towel"</formula>
    </cfRule>
    <cfRule type="cellIs" dxfId="23822" priority="15634" stopIfTrue="1" operator="equal">
      <formula>"Napkin Hs"</formula>
    </cfRule>
    <cfRule type="cellIs" dxfId="23821" priority="15639" stopIfTrue="1" operator="equal">
      <formula>"Towel"</formula>
    </cfRule>
    <cfRule type="cellIs" dxfId="23820" priority="15640" stopIfTrue="1" operator="equal">
      <formula>"Napkin Hs"</formula>
    </cfRule>
    <cfRule type="cellIs" dxfId="23819" priority="15641" stopIfTrue="1" operator="equal">
      <formula>"Towel"</formula>
    </cfRule>
    <cfRule type="cellIs" dxfId="23818" priority="15642" stopIfTrue="1" operator="equal">
      <formula>"Napkin Hs"</formula>
    </cfRule>
    <cfRule type="cellIs" dxfId="23817" priority="15645" stopIfTrue="1" operator="equal">
      <formula>"Towel"</formula>
    </cfRule>
    <cfRule type="cellIs" dxfId="23816" priority="15646" stopIfTrue="1" operator="equal">
      <formula>"Napkin Hs"</formula>
    </cfRule>
    <cfRule type="cellIs" dxfId="23815" priority="15647" stopIfTrue="1" operator="equal">
      <formula>"Towel"</formula>
    </cfRule>
    <cfRule type="cellIs" dxfId="23814" priority="15648" stopIfTrue="1" operator="equal">
      <formula>"Napkin Hs"</formula>
    </cfRule>
    <cfRule type="cellIs" dxfId="23813" priority="15649" stopIfTrue="1" operator="equal">
      <formula>"Towel"</formula>
    </cfRule>
    <cfRule type="cellIs" dxfId="23812" priority="15650" stopIfTrue="1" operator="equal">
      <formula>"Napkin Hs"</formula>
    </cfRule>
    <cfRule type="cellIs" dxfId="23811" priority="15651" stopIfTrue="1" operator="equal">
      <formula>"Towel"</formula>
    </cfRule>
    <cfRule type="cellIs" dxfId="23810" priority="15652" stopIfTrue="1" operator="equal">
      <formula>"Napkin Hs"</formula>
    </cfRule>
    <cfRule type="cellIs" dxfId="23809" priority="15655" stopIfTrue="1" operator="equal">
      <formula>"Towel"</formula>
    </cfRule>
    <cfRule type="cellIs" dxfId="23808" priority="15656" stopIfTrue="1" operator="equal">
      <formula>"Napkin Hs"</formula>
    </cfRule>
    <cfRule type="cellIs" dxfId="23807" priority="15657" stopIfTrue="1" operator="equal">
      <formula>"Towel"</formula>
    </cfRule>
    <cfRule type="cellIs" dxfId="23806" priority="15658" stopIfTrue="1" operator="equal">
      <formula>"Napkin Hs"</formula>
    </cfRule>
    <cfRule type="cellIs" dxfId="23805" priority="15663" stopIfTrue="1" operator="equal">
      <formula>"Towel"</formula>
    </cfRule>
    <cfRule type="cellIs" dxfId="23804" priority="15664" stopIfTrue="1" operator="equal">
      <formula>"Napkin Hs"</formula>
    </cfRule>
    <cfRule type="cellIs" dxfId="23803" priority="15665" stopIfTrue="1" operator="equal">
      <formula>"Towel"</formula>
    </cfRule>
    <cfRule type="cellIs" dxfId="23802" priority="15666" stopIfTrue="1" operator="equal">
      <formula>"Napkin Hs"</formula>
    </cfRule>
    <cfRule type="cellIs" dxfId="23801" priority="15669" stopIfTrue="1" operator="equal">
      <formula>"Towel"</formula>
    </cfRule>
    <cfRule type="cellIs" dxfId="23800" priority="15670" stopIfTrue="1" operator="equal">
      <formula>"Napkin Hs"</formula>
    </cfRule>
    <cfRule type="cellIs" dxfId="23799" priority="15671" stopIfTrue="1" operator="equal">
      <formula>"Towel"</formula>
    </cfRule>
    <cfRule type="cellIs" dxfId="23798" priority="15672" stopIfTrue="1" operator="equal">
      <formula>"Napkin Hs"</formula>
    </cfRule>
    <cfRule type="cellIs" dxfId="23797" priority="15673" stopIfTrue="1" operator="equal">
      <formula>"Towel"</formula>
    </cfRule>
    <cfRule type="cellIs" dxfId="23796" priority="15674" stopIfTrue="1" operator="equal">
      <formula>"Napkin Hs"</formula>
    </cfRule>
    <cfRule type="cellIs" dxfId="23795" priority="15675" stopIfTrue="1" operator="equal">
      <formula>"Towel"</formula>
    </cfRule>
    <cfRule type="cellIs" dxfId="23794" priority="15676" stopIfTrue="1" operator="equal">
      <formula>"Napkin Hs"</formula>
    </cfRule>
    <cfRule type="cellIs" dxfId="23793" priority="15681" stopIfTrue="1" operator="equal">
      <formula>"Towel"</formula>
    </cfRule>
    <cfRule type="cellIs" dxfId="23792" priority="15682" stopIfTrue="1" operator="equal">
      <formula>"Napkin Hs"</formula>
    </cfRule>
    <cfRule type="cellIs" dxfId="23791" priority="15683" stopIfTrue="1" operator="equal">
      <formula>"Towel"</formula>
    </cfRule>
    <cfRule type="cellIs" dxfId="23790" priority="15684" stopIfTrue="1" operator="equal">
      <formula>"Napkin Hs"</formula>
    </cfRule>
    <cfRule type="cellIs" dxfId="23789" priority="15687" stopIfTrue="1" operator="equal">
      <formula>"Towel"</formula>
    </cfRule>
    <cfRule type="cellIs" dxfId="23788" priority="15688" stopIfTrue="1" operator="equal">
      <formula>"Napkin Hs"</formula>
    </cfRule>
    <cfRule type="cellIs" dxfId="23787" priority="15689" stopIfTrue="1" operator="equal">
      <formula>"Towel"</formula>
    </cfRule>
    <cfRule type="cellIs" dxfId="23786" priority="15690" stopIfTrue="1" operator="equal">
      <formula>"Napkin Hs"</formula>
    </cfRule>
    <cfRule type="cellIs" dxfId="23785" priority="15691" stopIfTrue="1" operator="equal">
      <formula>"Towel"</formula>
    </cfRule>
    <cfRule type="cellIs" dxfId="23784" priority="15692" stopIfTrue="1" operator="equal">
      <formula>"Napkin Hs"</formula>
    </cfRule>
    <cfRule type="cellIs" dxfId="23783" priority="15693" stopIfTrue="1" operator="equal">
      <formula>"Towel"</formula>
    </cfRule>
    <cfRule type="cellIs" dxfId="23782" priority="15694" stopIfTrue="1" operator="equal">
      <formula>"Napkin Hs"</formula>
    </cfRule>
    <cfRule type="cellIs" dxfId="23781" priority="15699" stopIfTrue="1" operator="equal">
      <formula>"Towel"</formula>
    </cfRule>
    <cfRule type="cellIs" dxfId="23780" priority="15700" stopIfTrue="1" operator="equal">
      <formula>"Napkin Hs"</formula>
    </cfRule>
    <cfRule type="cellIs" dxfId="23779" priority="15701" stopIfTrue="1" operator="equal">
      <formula>"Towel"</formula>
    </cfRule>
    <cfRule type="cellIs" dxfId="23778" priority="15702" stopIfTrue="1" operator="equal">
      <formula>"Napkin Hs"</formula>
    </cfRule>
    <cfRule type="cellIs" dxfId="23777" priority="15705" stopIfTrue="1" operator="equal">
      <formula>"Towel"</formula>
    </cfRule>
    <cfRule type="cellIs" dxfId="23776" priority="15706" stopIfTrue="1" operator="equal">
      <formula>"Napkin Hs"</formula>
    </cfRule>
    <cfRule type="cellIs" dxfId="23775" priority="15707" stopIfTrue="1" operator="equal">
      <formula>"Towel"</formula>
    </cfRule>
    <cfRule type="cellIs" dxfId="23774" priority="15708" stopIfTrue="1" operator="equal">
      <formula>"Napkin Hs"</formula>
    </cfRule>
  </conditionalFormatting>
  <conditionalFormatting sqref="C34">
    <cfRule type="cellIs" dxfId="23773" priority="15595" stopIfTrue="1" operator="equal">
      <formula>"Towel"</formula>
    </cfRule>
    <cfRule type="cellIs" dxfId="23772" priority="15596" stopIfTrue="1" operator="equal">
      <formula>"Napkin Hs"</formula>
    </cfRule>
  </conditionalFormatting>
  <conditionalFormatting sqref="C34">
    <cfRule type="cellIs" dxfId="23771" priority="15597" stopIfTrue="1" operator="equal">
      <formula>"Towel"</formula>
    </cfRule>
    <cfRule type="cellIs" dxfId="23770" priority="15598" stopIfTrue="1" operator="equal">
      <formula>"Napkin Hs"</formula>
    </cfRule>
  </conditionalFormatting>
  <conditionalFormatting sqref="C34">
    <cfRule type="cellIs" dxfId="23769" priority="15593" stopIfTrue="1" operator="equal">
      <formula>"Towel"</formula>
    </cfRule>
    <cfRule type="cellIs" dxfId="23768" priority="15594" stopIfTrue="1" operator="equal">
      <formula>"Napkin Hs"</formula>
    </cfRule>
  </conditionalFormatting>
  <conditionalFormatting sqref="C34">
    <cfRule type="cellIs" dxfId="23767" priority="15591" stopIfTrue="1" operator="equal">
      <formula>"Towel"</formula>
    </cfRule>
    <cfRule type="cellIs" dxfId="23766" priority="15592" stopIfTrue="1" operator="equal">
      <formula>"Napkin Hs"</formula>
    </cfRule>
  </conditionalFormatting>
  <conditionalFormatting sqref="C34">
    <cfRule type="cellIs" dxfId="23765" priority="15589" stopIfTrue="1" operator="equal">
      <formula>"Towel"</formula>
    </cfRule>
    <cfRule type="cellIs" dxfId="23764" priority="15590" stopIfTrue="1" operator="equal">
      <formula>"Napkin Hs"</formula>
    </cfRule>
  </conditionalFormatting>
  <conditionalFormatting sqref="C34">
    <cfRule type="cellIs" dxfId="23763" priority="15609" stopIfTrue="1" operator="equal">
      <formula>"Towel"</formula>
    </cfRule>
    <cfRule type="cellIs" dxfId="23762" priority="15610" stopIfTrue="1" operator="equal">
      <formula>"Napkin Hs"</formula>
    </cfRule>
  </conditionalFormatting>
  <conditionalFormatting sqref="C34">
    <cfRule type="cellIs" dxfId="23761" priority="15611" stopIfTrue="1" operator="equal">
      <formula>"Towel"</formula>
    </cfRule>
    <cfRule type="cellIs" dxfId="23760" priority="15612" stopIfTrue="1" operator="equal">
      <formula>"Napkin Hs"</formula>
    </cfRule>
  </conditionalFormatting>
  <conditionalFormatting sqref="C34">
    <cfRule type="cellIs" dxfId="23759" priority="15607" stopIfTrue="1" operator="equal">
      <formula>"Towel"</formula>
    </cfRule>
    <cfRule type="cellIs" dxfId="23758" priority="15608" stopIfTrue="1" operator="equal">
      <formula>"Napkin Hs"</formula>
    </cfRule>
  </conditionalFormatting>
  <conditionalFormatting sqref="C34">
    <cfRule type="cellIs" dxfId="23757" priority="15605" stopIfTrue="1" operator="equal">
      <formula>"Towel"</formula>
    </cfRule>
    <cfRule type="cellIs" dxfId="23756" priority="15606" stopIfTrue="1" operator="equal">
      <formula>"Napkin Hs"</formula>
    </cfRule>
  </conditionalFormatting>
  <conditionalFormatting sqref="C34">
    <cfRule type="cellIs" dxfId="23755" priority="15601" stopIfTrue="1" operator="equal">
      <formula>"Towel"</formula>
    </cfRule>
    <cfRule type="cellIs" dxfId="23754" priority="15602" stopIfTrue="1" operator="equal">
      <formula>"Napkin Hs"</formula>
    </cfRule>
  </conditionalFormatting>
  <conditionalFormatting sqref="C34">
    <cfRule type="cellIs" dxfId="23753" priority="15603" stopIfTrue="1" operator="equal">
      <formula>"Towel"</formula>
    </cfRule>
    <cfRule type="cellIs" dxfId="23752" priority="15604" stopIfTrue="1" operator="equal">
      <formula>"Napkin Hs"</formula>
    </cfRule>
  </conditionalFormatting>
  <conditionalFormatting sqref="C34">
    <cfRule type="cellIs" dxfId="23751" priority="15599" stopIfTrue="1" operator="equal">
      <formula>"Towel"</formula>
    </cfRule>
    <cfRule type="cellIs" dxfId="23750" priority="15600" stopIfTrue="1" operator="equal">
      <formula>"Napkin Hs"</formula>
    </cfRule>
  </conditionalFormatting>
  <conditionalFormatting sqref="C33:C35">
    <cfRule type="cellIs" dxfId="23749" priority="15449" stopIfTrue="1" operator="equal">
      <formula>"Towel"</formula>
    </cfRule>
    <cfRule type="cellIs" dxfId="23748" priority="15450" stopIfTrue="1" operator="equal">
      <formula>"Napkin Hs"</formula>
    </cfRule>
  </conditionalFormatting>
  <conditionalFormatting sqref="C33:C35">
    <cfRule type="cellIs" dxfId="23747" priority="15451" stopIfTrue="1" operator="equal">
      <formula>"Towel"</formula>
    </cfRule>
    <cfRule type="cellIs" dxfId="23746" priority="15452" stopIfTrue="1" operator="equal">
      <formula>"Napkin Hs"</formula>
    </cfRule>
  </conditionalFormatting>
  <conditionalFormatting sqref="B33:C35">
    <cfRule type="cellIs" dxfId="23745" priority="15447" stopIfTrue="1" operator="equal">
      <formula>"Towel"</formula>
    </cfRule>
    <cfRule type="cellIs" dxfId="23744" priority="15448" stopIfTrue="1" operator="equal">
      <formula>"Napkin Hs"</formula>
    </cfRule>
  </conditionalFormatting>
  <conditionalFormatting sqref="C33:C35">
    <cfRule type="cellIs" dxfId="23743" priority="15445" stopIfTrue="1" operator="equal">
      <formula>"Towel"</formula>
    </cfRule>
    <cfRule type="cellIs" dxfId="23742" priority="15446" stopIfTrue="1" operator="equal">
      <formula>"Napkin Hs"</formula>
    </cfRule>
  </conditionalFormatting>
  <conditionalFormatting sqref="B33:C35">
    <cfRule type="cellIs" dxfId="23741" priority="15441" stopIfTrue="1" operator="equal">
      <formula>"Towel"</formula>
    </cfRule>
    <cfRule type="cellIs" dxfId="23740" priority="15442" stopIfTrue="1" operator="equal">
      <formula>"Napkin Hs"</formula>
    </cfRule>
  </conditionalFormatting>
  <conditionalFormatting sqref="C33:C35">
    <cfRule type="cellIs" dxfId="23739" priority="15443" stopIfTrue="1" operator="equal">
      <formula>"Towel"</formula>
    </cfRule>
    <cfRule type="cellIs" dxfId="23738" priority="15444" stopIfTrue="1" operator="equal">
      <formula>"Napkin Hs"</formula>
    </cfRule>
  </conditionalFormatting>
  <conditionalFormatting sqref="B33:C35">
    <cfRule type="cellIs" dxfId="23737" priority="15501" stopIfTrue="1" operator="equal">
      <formula>"Towel"</formula>
    </cfRule>
    <cfRule type="cellIs" dxfId="23736" priority="15502" stopIfTrue="1" operator="equal">
      <formula>"Napkin Hs"</formula>
    </cfRule>
  </conditionalFormatting>
  <conditionalFormatting sqref="C33:C35">
    <cfRule type="cellIs" dxfId="23735" priority="15497" stopIfTrue="1" operator="equal">
      <formula>"Towel"</formula>
    </cfRule>
    <cfRule type="cellIs" dxfId="23734" priority="15498" stopIfTrue="1" operator="equal">
      <formula>"Napkin Hs"</formula>
    </cfRule>
  </conditionalFormatting>
  <conditionalFormatting sqref="C33:C35">
    <cfRule type="cellIs" dxfId="23733" priority="15500" stopIfTrue="1" operator="equal">
      <formula>"Napkin Hs"</formula>
    </cfRule>
  </conditionalFormatting>
  <conditionalFormatting sqref="C33:C35">
    <cfRule type="cellIs" dxfId="23732" priority="15499" stopIfTrue="1" operator="equal">
      <formula>"Towel"</formula>
    </cfRule>
  </conditionalFormatting>
  <conditionalFormatting sqref="C33:C35">
    <cfRule type="cellIs" dxfId="23731" priority="15491" stopIfTrue="1" operator="equal">
      <formula>"Towel"</formula>
    </cfRule>
    <cfRule type="cellIs" dxfId="23730" priority="15492" stopIfTrue="1" operator="equal">
      <formula>"Napkin Hs"</formula>
    </cfRule>
  </conditionalFormatting>
  <conditionalFormatting sqref="C33:C35">
    <cfRule type="cellIs" dxfId="23729" priority="15495" stopIfTrue="1" operator="equal">
      <formula>"Towel"</formula>
    </cfRule>
    <cfRule type="cellIs" dxfId="23728" priority="15496" stopIfTrue="1" operator="equal">
      <formula>"Napkin Hs"</formula>
    </cfRule>
  </conditionalFormatting>
  <conditionalFormatting sqref="B33:B35">
    <cfRule type="cellIs" dxfId="23727" priority="15481" stopIfTrue="1" operator="equal">
      <formula>"Towel"</formula>
    </cfRule>
    <cfRule type="cellIs" dxfId="23726" priority="15482" stopIfTrue="1" operator="equal">
      <formula>"Napkin Hs"</formula>
    </cfRule>
  </conditionalFormatting>
  <conditionalFormatting sqref="C33:C35">
    <cfRule type="cellIs" dxfId="23725" priority="15493" stopIfTrue="1" operator="equal">
      <formula>"Towel"</formula>
    </cfRule>
    <cfRule type="cellIs" dxfId="23724" priority="15494" stopIfTrue="1" operator="equal">
      <formula>"Napkin Hs"</formula>
    </cfRule>
  </conditionalFormatting>
  <conditionalFormatting sqref="C33:C35">
    <cfRule type="cellIs" dxfId="23723" priority="15485" stopIfTrue="1" operator="equal">
      <formula>"Towel"</formula>
    </cfRule>
    <cfRule type="cellIs" dxfId="23722" priority="15486" stopIfTrue="1" operator="equal">
      <formula>"Napkin Hs"</formula>
    </cfRule>
  </conditionalFormatting>
  <conditionalFormatting sqref="C33:C35">
    <cfRule type="cellIs" dxfId="23721" priority="15487" stopIfTrue="1" operator="equal">
      <formula>"Towel"</formula>
    </cfRule>
    <cfRule type="cellIs" dxfId="23720" priority="15488" stopIfTrue="1" operator="equal">
      <formula>"Napkin Hs"</formula>
    </cfRule>
  </conditionalFormatting>
  <conditionalFormatting sqref="C33:C35">
    <cfRule type="cellIs" dxfId="23719" priority="15489" stopIfTrue="1" operator="equal">
      <formula>"Towel"</formula>
    </cfRule>
    <cfRule type="cellIs" dxfId="23718" priority="15490" stopIfTrue="1" operator="equal">
      <formula>"Napkin Hs"</formula>
    </cfRule>
  </conditionalFormatting>
  <conditionalFormatting sqref="B33:B35">
    <cfRule type="cellIs" dxfId="23717" priority="15483" stopIfTrue="1" operator="equal">
      <formula>"Towel"</formula>
    </cfRule>
    <cfRule type="cellIs" dxfId="23716" priority="15484" stopIfTrue="1" operator="equal">
      <formula>"Napkin Hs"</formula>
    </cfRule>
  </conditionalFormatting>
  <conditionalFormatting sqref="C33:C35">
    <cfRule type="cellIs" dxfId="23715" priority="15475" stopIfTrue="1" operator="equal">
      <formula>"Towel"</formula>
    </cfRule>
    <cfRule type="cellIs" dxfId="23714" priority="15476" stopIfTrue="1" operator="equal">
      <formula>"Napkin Hs"</formula>
    </cfRule>
  </conditionalFormatting>
  <conditionalFormatting sqref="C33:C35">
    <cfRule type="cellIs" dxfId="23713" priority="15479" stopIfTrue="1" operator="equal">
      <formula>"Towel"</formula>
    </cfRule>
    <cfRule type="cellIs" dxfId="23712" priority="15480" stopIfTrue="1" operator="equal">
      <formula>"Napkin Hs"</formula>
    </cfRule>
  </conditionalFormatting>
  <conditionalFormatting sqref="B33:B35">
    <cfRule type="cellIs" dxfId="23711" priority="15465" stopIfTrue="1" operator="equal">
      <formula>"Towel"</formula>
    </cfRule>
    <cfRule type="cellIs" dxfId="23710" priority="15466" stopIfTrue="1" operator="equal">
      <formula>"Napkin Hs"</formula>
    </cfRule>
  </conditionalFormatting>
  <conditionalFormatting sqref="C33:C35">
    <cfRule type="cellIs" dxfId="23709" priority="15477" stopIfTrue="1" operator="equal">
      <formula>"Towel"</formula>
    </cfRule>
    <cfRule type="cellIs" dxfId="23708" priority="15478" stopIfTrue="1" operator="equal">
      <formula>"Napkin Hs"</formula>
    </cfRule>
  </conditionalFormatting>
  <conditionalFormatting sqref="C33:C35">
    <cfRule type="cellIs" dxfId="23707" priority="15469" stopIfTrue="1" operator="equal">
      <formula>"Towel"</formula>
    </cfRule>
    <cfRule type="cellIs" dxfId="23706" priority="15470" stopIfTrue="1" operator="equal">
      <formula>"Napkin Hs"</formula>
    </cfRule>
  </conditionalFormatting>
  <conditionalFormatting sqref="C33:C35">
    <cfRule type="cellIs" dxfId="23705" priority="15471" stopIfTrue="1" operator="equal">
      <formula>"Towel"</formula>
    </cfRule>
    <cfRule type="cellIs" dxfId="23704" priority="15472" stopIfTrue="1" operator="equal">
      <formula>"Napkin Hs"</formula>
    </cfRule>
  </conditionalFormatting>
  <conditionalFormatting sqref="C33:C35">
    <cfRule type="cellIs" dxfId="23703" priority="15473" stopIfTrue="1" operator="equal">
      <formula>"Towel"</formula>
    </cfRule>
    <cfRule type="cellIs" dxfId="23702" priority="15474" stopIfTrue="1" operator="equal">
      <formula>"Napkin Hs"</formula>
    </cfRule>
  </conditionalFormatting>
  <conditionalFormatting sqref="B33:B35">
    <cfRule type="cellIs" dxfId="23701" priority="15467" stopIfTrue="1" operator="equal">
      <formula>"Towel"</formula>
    </cfRule>
    <cfRule type="cellIs" dxfId="23700" priority="15468" stopIfTrue="1" operator="equal">
      <formula>"Napkin Hs"</formula>
    </cfRule>
  </conditionalFormatting>
  <conditionalFormatting sqref="B33:C35">
    <cfRule type="cellIs" dxfId="23699" priority="15463" stopIfTrue="1" operator="equal">
      <formula>"Towel"</formula>
    </cfRule>
    <cfRule type="cellIs" dxfId="23698" priority="15464" stopIfTrue="1" operator="equal">
      <formula>"Napkin Hs"</formula>
    </cfRule>
  </conditionalFormatting>
  <conditionalFormatting sqref="C33:C35">
    <cfRule type="cellIs" dxfId="23697" priority="15459" stopIfTrue="1" operator="equal">
      <formula>"Towel"</formula>
    </cfRule>
    <cfRule type="cellIs" dxfId="23696" priority="15460" stopIfTrue="1" operator="equal">
      <formula>"Napkin Hs"</formula>
    </cfRule>
  </conditionalFormatting>
  <conditionalFormatting sqref="C33:C35">
    <cfRule type="cellIs" dxfId="23695" priority="15461" stopIfTrue="1" operator="equal">
      <formula>"Towel"</formula>
    </cfRule>
    <cfRule type="cellIs" dxfId="23694" priority="15462" stopIfTrue="1" operator="equal">
      <formula>"Napkin Hs"</formula>
    </cfRule>
  </conditionalFormatting>
  <conditionalFormatting sqref="B33:C35">
    <cfRule type="cellIs" dxfId="23693" priority="15457" stopIfTrue="1" operator="equal">
      <formula>"Towel"</formula>
    </cfRule>
    <cfRule type="cellIs" dxfId="23692" priority="15458" stopIfTrue="1" operator="equal">
      <formula>"Napkin Hs"</formula>
    </cfRule>
  </conditionalFormatting>
  <conditionalFormatting sqref="C33:C35">
    <cfRule type="cellIs" dxfId="23691" priority="15455" stopIfTrue="1" operator="equal">
      <formula>"Towel"</formula>
    </cfRule>
    <cfRule type="cellIs" dxfId="23690" priority="15456" stopIfTrue="1" operator="equal">
      <formula>"Napkin Hs"</formula>
    </cfRule>
  </conditionalFormatting>
  <conditionalFormatting sqref="C33:C35">
    <cfRule type="cellIs" dxfId="23689" priority="15453" stopIfTrue="1" operator="equal">
      <formula>"Towel"</formula>
    </cfRule>
    <cfRule type="cellIs" dxfId="23688" priority="15454" stopIfTrue="1" operator="equal">
      <formula>"Napkin Hs"</formula>
    </cfRule>
  </conditionalFormatting>
  <conditionalFormatting sqref="B33:C35">
    <cfRule type="cellIs" dxfId="23687" priority="15437" stopIfTrue="1" operator="equal">
      <formula>"Towel"</formula>
    </cfRule>
    <cfRule type="cellIs" dxfId="23686" priority="15438" stopIfTrue="1" operator="equal">
      <formula>"Napkin Hs"</formula>
    </cfRule>
  </conditionalFormatting>
  <conditionalFormatting sqref="C33:C35">
    <cfRule type="cellIs" dxfId="23685" priority="15439" stopIfTrue="1" operator="equal">
      <formula>"Towel"</formula>
    </cfRule>
    <cfRule type="cellIs" dxfId="23684" priority="15440" stopIfTrue="1" operator="equal">
      <formula>"Napkin Hs"</formula>
    </cfRule>
  </conditionalFormatting>
  <conditionalFormatting sqref="C33:C35">
    <cfRule type="cellIs" dxfId="23683" priority="15435" stopIfTrue="1" operator="equal">
      <formula>"Towel"</formula>
    </cfRule>
    <cfRule type="cellIs" dxfId="23682" priority="15436" stopIfTrue="1" operator="equal">
      <formula>"Napkin Hs"</formula>
    </cfRule>
  </conditionalFormatting>
  <conditionalFormatting sqref="B33:C35">
    <cfRule type="cellIs" dxfId="23681" priority="15433" stopIfTrue="1" operator="equal">
      <formula>"Towel"</formula>
    </cfRule>
    <cfRule type="cellIs" dxfId="23680" priority="15434" stopIfTrue="1" operator="equal">
      <formula>"Napkin Hs"</formula>
    </cfRule>
  </conditionalFormatting>
  <conditionalFormatting sqref="C33:C35">
    <cfRule type="cellIs" dxfId="23679" priority="15429" stopIfTrue="1" operator="equal">
      <formula>"Towel"</formula>
    </cfRule>
    <cfRule type="cellIs" dxfId="23678" priority="15430" stopIfTrue="1" operator="equal">
      <formula>"Napkin Hs"</formula>
    </cfRule>
  </conditionalFormatting>
  <conditionalFormatting sqref="C33:C35">
    <cfRule type="cellIs" dxfId="23677" priority="15431" stopIfTrue="1" operator="equal">
      <formula>"Towel"</formula>
    </cfRule>
    <cfRule type="cellIs" dxfId="23676" priority="15432" stopIfTrue="1" operator="equal">
      <formula>"Napkin Hs"</formula>
    </cfRule>
  </conditionalFormatting>
  <conditionalFormatting sqref="B33:C35">
    <cfRule type="cellIs" dxfId="23675" priority="15425" stopIfTrue="1" operator="equal">
      <formula>"Towel"</formula>
    </cfRule>
    <cfRule type="cellIs" dxfId="23674" priority="15426" stopIfTrue="1" operator="equal">
      <formula>"Napkin Hs"</formula>
    </cfRule>
  </conditionalFormatting>
  <conditionalFormatting sqref="C33:C35">
    <cfRule type="cellIs" dxfId="23673" priority="15427" stopIfTrue="1" operator="equal">
      <formula>"Towel"</formula>
    </cfRule>
    <cfRule type="cellIs" dxfId="23672" priority="15428" stopIfTrue="1" operator="equal">
      <formula>"Napkin Hs"</formula>
    </cfRule>
  </conditionalFormatting>
  <conditionalFormatting sqref="C33:C35">
    <cfRule type="cellIs" dxfId="23671" priority="15423" stopIfTrue="1" operator="equal">
      <formula>"Towel"</formula>
    </cfRule>
    <cfRule type="cellIs" dxfId="23670" priority="15424" stopIfTrue="1" operator="equal">
      <formula>"Napkin Hs"</formula>
    </cfRule>
  </conditionalFormatting>
  <conditionalFormatting sqref="B33:C35">
    <cfRule type="cellIs" dxfId="23669" priority="15421" stopIfTrue="1" operator="equal">
      <formula>"Towel"</formula>
    </cfRule>
    <cfRule type="cellIs" dxfId="23668" priority="15422" stopIfTrue="1" operator="equal">
      <formula>"Napkin Hs"</formula>
    </cfRule>
  </conditionalFormatting>
  <conditionalFormatting sqref="C33:C35">
    <cfRule type="cellIs" dxfId="23667" priority="15417" stopIfTrue="1" operator="equal">
      <formula>"Towel"</formula>
    </cfRule>
    <cfRule type="cellIs" dxfId="23666" priority="15418" stopIfTrue="1" operator="equal">
      <formula>"Napkin Hs"</formula>
    </cfRule>
  </conditionalFormatting>
  <conditionalFormatting sqref="C33:C35">
    <cfRule type="cellIs" dxfId="23665" priority="15419" stopIfTrue="1" operator="equal">
      <formula>"Towel"</formula>
    </cfRule>
    <cfRule type="cellIs" dxfId="23664" priority="15420" stopIfTrue="1" operator="equal">
      <formula>"Napkin Hs"</formula>
    </cfRule>
  </conditionalFormatting>
  <conditionalFormatting sqref="C32">
    <cfRule type="cellIs" dxfId="23663" priority="15363" stopIfTrue="1" operator="equal">
      <formula>"Towel"</formula>
    </cfRule>
    <cfRule type="cellIs" dxfId="23662" priority="15364" stopIfTrue="1" operator="equal">
      <formula>"Napkin Hs"</formula>
    </cfRule>
  </conditionalFormatting>
  <conditionalFormatting sqref="C32">
    <cfRule type="cellIs" dxfId="23661" priority="15365" stopIfTrue="1" operator="equal">
      <formula>"Towel"</formula>
    </cfRule>
    <cfRule type="cellIs" dxfId="23660" priority="15366" stopIfTrue="1" operator="equal">
      <formula>"Napkin Hs"</formula>
    </cfRule>
  </conditionalFormatting>
  <conditionalFormatting sqref="B32:C32">
    <cfRule type="cellIs" dxfId="23659" priority="15361" stopIfTrue="1" operator="equal">
      <formula>"Towel"</formula>
    </cfRule>
    <cfRule type="cellIs" dxfId="23658" priority="15362" stopIfTrue="1" operator="equal">
      <formula>"Napkin Hs"</formula>
    </cfRule>
  </conditionalFormatting>
  <conditionalFormatting sqref="C32">
    <cfRule type="cellIs" dxfId="23657" priority="15359" stopIfTrue="1" operator="equal">
      <formula>"Towel"</formula>
    </cfRule>
    <cfRule type="cellIs" dxfId="23656" priority="15360" stopIfTrue="1" operator="equal">
      <formula>"Napkin Hs"</formula>
    </cfRule>
  </conditionalFormatting>
  <conditionalFormatting sqref="B32:C32">
    <cfRule type="cellIs" dxfId="23655" priority="15355" stopIfTrue="1" operator="equal">
      <formula>"Towel"</formula>
    </cfRule>
    <cfRule type="cellIs" dxfId="23654" priority="15356" stopIfTrue="1" operator="equal">
      <formula>"Napkin Hs"</formula>
    </cfRule>
  </conditionalFormatting>
  <conditionalFormatting sqref="C32">
    <cfRule type="cellIs" dxfId="23653" priority="15357" stopIfTrue="1" operator="equal">
      <formula>"Towel"</formula>
    </cfRule>
    <cfRule type="cellIs" dxfId="23652" priority="15358" stopIfTrue="1" operator="equal">
      <formula>"Napkin Hs"</formula>
    </cfRule>
  </conditionalFormatting>
  <conditionalFormatting sqref="B32:C32">
    <cfRule type="cellIs" dxfId="23651" priority="15415" stopIfTrue="1" operator="equal">
      <formula>"Towel"</formula>
    </cfRule>
    <cfRule type="cellIs" dxfId="23650" priority="15416" stopIfTrue="1" operator="equal">
      <formula>"Napkin Hs"</formula>
    </cfRule>
  </conditionalFormatting>
  <conditionalFormatting sqref="C32">
    <cfRule type="cellIs" dxfId="23649" priority="15411" stopIfTrue="1" operator="equal">
      <formula>"Towel"</formula>
    </cfRule>
    <cfRule type="cellIs" dxfId="23648" priority="15412" stopIfTrue="1" operator="equal">
      <formula>"Napkin Hs"</formula>
    </cfRule>
  </conditionalFormatting>
  <conditionalFormatting sqref="C32">
    <cfRule type="cellIs" dxfId="23647" priority="15414" stopIfTrue="1" operator="equal">
      <formula>"Napkin Hs"</formula>
    </cfRule>
  </conditionalFormatting>
  <conditionalFormatting sqref="C32">
    <cfRule type="cellIs" dxfId="23646" priority="15413" stopIfTrue="1" operator="equal">
      <formula>"Towel"</formula>
    </cfRule>
  </conditionalFormatting>
  <conditionalFormatting sqref="C32">
    <cfRule type="cellIs" dxfId="23645" priority="15405" stopIfTrue="1" operator="equal">
      <formula>"Towel"</formula>
    </cfRule>
    <cfRule type="cellIs" dxfId="23644" priority="15406" stopIfTrue="1" operator="equal">
      <formula>"Napkin Hs"</formula>
    </cfRule>
  </conditionalFormatting>
  <conditionalFormatting sqref="C32">
    <cfRule type="cellIs" dxfId="23643" priority="15409" stopIfTrue="1" operator="equal">
      <formula>"Towel"</formula>
    </cfRule>
    <cfRule type="cellIs" dxfId="23642" priority="15410" stopIfTrue="1" operator="equal">
      <formula>"Napkin Hs"</formula>
    </cfRule>
  </conditionalFormatting>
  <conditionalFormatting sqref="B32">
    <cfRule type="cellIs" dxfId="23641" priority="15395" stopIfTrue="1" operator="equal">
      <formula>"Towel"</formula>
    </cfRule>
    <cfRule type="cellIs" dxfId="23640" priority="15396" stopIfTrue="1" operator="equal">
      <formula>"Napkin Hs"</formula>
    </cfRule>
  </conditionalFormatting>
  <conditionalFormatting sqref="C32">
    <cfRule type="cellIs" dxfId="23639" priority="15407" stopIfTrue="1" operator="equal">
      <formula>"Towel"</formula>
    </cfRule>
    <cfRule type="cellIs" dxfId="23638" priority="15408" stopIfTrue="1" operator="equal">
      <formula>"Napkin Hs"</formula>
    </cfRule>
  </conditionalFormatting>
  <conditionalFormatting sqref="C32">
    <cfRule type="cellIs" dxfId="23637" priority="15399" stopIfTrue="1" operator="equal">
      <formula>"Towel"</formula>
    </cfRule>
    <cfRule type="cellIs" dxfId="23636" priority="15400" stopIfTrue="1" operator="equal">
      <formula>"Napkin Hs"</formula>
    </cfRule>
  </conditionalFormatting>
  <conditionalFormatting sqref="C32">
    <cfRule type="cellIs" dxfId="23635" priority="15401" stopIfTrue="1" operator="equal">
      <formula>"Towel"</formula>
    </cfRule>
    <cfRule type="cellIs" dxfId="23634" priority="15402" stopIfTrue="1" operator="equal">
      <formula>"Napkin Hs"</formula>
    </cfRule>
  </conditionalFormatting>
  <conditionalFormatting sqref="C32">
    <cfRule type="cellIs" dxfId="23633" priority="15403" stopIfTrue="1" operator="equal">
      <formula>"Towel"</formula>
    </cfRule>
    <cfRule type="cellIs" dxfId="23632" priority="15404" stopIfTrue="1" operator="equal">
      <formula>"Napkin Hs"</formula>
    </cfRule>
  </conditionalFormatting>
  <conditionalFormatting sqref="B32">
    <cfRule type="cellIs" dxfId="23631" priority="15397" stopIfTrue="1" operator="equal">
      <formula>"Towel"</formula>
    </cfRule>
    <cfRule type="cellIs" dxfId="23630" priority="15398" stopIfTrue="1" operator="equal">
      <formula>"Napkin Hs"</formula>
    </cfRule>
  </conditionalFormatting>
  <conditionalFormatting sqref="C32">
    <cfRule type="cellIs" dxfId="23629" priority="15389" stopIfTrue="1" operator="equal">
      <formula>"Towel"</formula>
    </cfRule>
    <cfRule type="cellIs" dxfId="23628" priority="15390" stopIfTrue="1" operator="equal">
      <formula>"Napkin Hs"</formula>
    </cfRule>
  </conditionalFormatting>
  <conditionalFormatting sqref="C32">
    <cfRule type="cellIs" dxfId="23627" priority="15393" stopIfTrue="1" operator="equal">
      <formula>"Towel"</formula>
    </cfRule>
    <cfRule type="cellIs" dxfId="23626" priority="15394" stopIfTrue="1" operator="equal">
      <formula>"Napkin Hs"</formula>
    </cfRule>
  </conditionalFormatting>
  <conditionalFormatting sqref="B32">
    <cfRule type="cellIs" dxfId="23625" priority="15379" stopIfTrue="1" operator="equal">
      <formula>"Towel"</formula>
    </cfRule>
    <cfRule type="cellIs" dxfId="23624" priority="15380" stopIfTrue="1" operator="equal">
      <formula>"Napkin Hs"</formula>
    </cfRule>
  </conditionalFormatting>
  <conditionalFormatting sqref="C32">
    <cfRule type="cellIs" dxfId="23623" priority="15391" stopIfTrue="1" operator="equal">
      <formula>"Towel"</formula>
    </cfRule>
    <cfRule type="cellIs" dxfId="23622" priority="15392" stopIfTrue="1" operator="equal">
      <formula>"Napkin Hs"</formula>
    </cfRule>
  </conditionalFormatting>
  <conditionalFormatting sqref="C32">
    <cfRule type="cellIs" dxfId="23621" priority="15383" stopIfTrue="1" operator="equal">
      <formula>"Towel"</formula>
    </cfRule>
    <cfRule type="cellIs" dxfId="23620" priority="15384" stopIfTrue="1" operator="equal">
      <formula>"Napkin Hs"</formula>
    </cfRule>
  </conditionalFormatting>
  <conditionalFormatting sqref="C32">
    <cfRule type="cellIs" dxfId="23619" priority="15385" stopIfTrue="1" operator="equal">
      <formula>"Towel"</formula>
    </cfRule>
    <cfRule type="cellIs" dxfId="23618" priority="15386" stopIfTrue="1" operator="equal">
      <formula>"Napkin Hs"</formula>
    </cfRule>
  </conditionalFormatting>
  <conditionalFormatting sqref="C32">
    <cfRule type="cellIs" dxfId="23617" priority="15387" stopIfTrue="1" operator="equal">
      <formula>"Towel"</formula>
    </cfRule>
    <cfRule type="cellIs" dxfId="23616" priority="15388" stopIfTrue="1" operator="equal">
      <formula>"Napkin Hs"</formula>
    </cfRule>
  </conditionalFormatting>
  <conditionalFormatting sqref="B32">
    <cfRule type="cellIs" dxfId="23615" priority="15381" stopIfTrue="1" operator="equal">
      <formula>"Towel"</formula>
    </cfRule>
    <cfRule type="cellIs" dxfId="23614" priority="15382" stopIfTrue="1" operator="equal">
      <formula>"Napkin Hs"</formula>
    </cfRule>
  </conditionalFormatting>
  <conditionalFormatting sqref="B32:C32">
    <cfRule type="cellIs" dxfId="23613" priority="15377" stopIfTrue="1" operator="equal">
      <formula>"Towel"</formula>
    </cfRule>
    <cfRule type="cellIs" dxfId="23612" priority="15378" stopIfTrue="1" operator="equal">
      <formula>"Napkin Hs"</formula>
    </cfRule>
  </conditionalFormatting>
  <conditionalFormatting sqref="C32">
    <cfRule type="cellIs" dxfId="23611" priority="15373" stopIfTrue="1" operator="equal">
      <formula>"Towel"</formula>
    </cfRule>
    <cfRule type="cellIs" dxfId="23610" priority="15374" stopIfTrue="1" operator="equal">
      <formula>"Napkin Hs"</formula>
    </cfRule>
  </conditionalFormatting>
  <conditionalFormatting sqref="C32">
    <cfRule type="cellIs" dxfId="23609" priority="15375" stopIfTrue="1" operator="equal">
      <formula>"Towel"</formula>
    </cfRule>
    <cfRule type="cellIs" dxfId="23608" priority="15376" stopIfTrue="1" operator="equal">
      <formula>"Napkin Hs"</formula>
    </cfRule>
  </conditionalFormatting>
  <conditionalFormatting sqref="B32:C32">
    <cfRule type="cellIs" dxfId="23607" priority="15371" stopIfTrue="1" operator="equal">
      <formula>"Towel"</formula>
    </cfRule>
    <cfRule type="cellIs" dxfId="23606" priority="15372" stopIfTrue="1" operator="equal">
      <formula>"Napkin Hs"</formula>
    </cfRule>
  </conditionalFormatting>
  <conditionalFormatting sqref="C32">
    <cfRule type="cellIs" dxfId="23605" priority="15369" stopIfTrue="1" operator="equal">
      <formula>"Towel"</formula>
    </cfRule>
    <cfRule type="cellIs" dxfId="23604" priority="15370" stopIfTrue="1" operator="equal">
      <formula>"Napkin Hs"</formula>
    </cfRule>
  </conditionalFormatting>
  <conditionalFormatting sqref="C32">
    <cfRule type="cellIs" dxfId="23603" priority="15367" stopIfTrue="1" operator="equal">
      <formula>"Towel"</formula>
    </cfRule>
    <cfRule type="cellIs" dxfId="23602" priority="15368" stopIfTrue="1" operator="equal">
      <formula>"Napkin Hs"</formula>
    </cfRule>
  </conditionalFormatting>
  <conditionalFormatting sqref="B32:C32">
    <cfRule type="cellIs" dxfId="23601" priority="15351" stopIfTrue="1" operator="equal">
      <formula>"Towel"</formula>
    </cfRule>
    <cfRule type="cellIs" dxfId="23600" priority="15352" stopIfTrue="1" operator="equal">
      <formula>"Napkin Hs"</formula>
    </cfRule>
  </conditionalFormatting>
  <conditionalFormatting sqref="C32">
    <cfRule type="cellIs" dxfId="23599" priority="15353" stopIfTrue="1" operator="equal">
      <formula>"Towel"</formula>
    </cfRule>
    <cfRule type="cellIs" dxfId="23598" priority="15354" stopIfTrue="1" operator="equal">
      <formula>"Napkin Hs"</formula>
    </cfRule>
  </conditionalFormatting>
  <conditionalFormatting sqref="C32">
    <cfRule type="cellIs" dxfId="23597" priority="15349" stopIfTrue="1" operator="equal">
      <formula>"Towel"</formula>
    </cfRule>
    <cfRule type="cellIs" dxfId="23596" priority="15350" stopIfTrue="1" operator="equal">
      <formula>"Napkin Hs"</formula>
    </cfRule>
  </conditionalFormatting>
  <conditionalFormatting sqref="B32:C32">
    <cfRule type="cellIs" dxfId="23595" priority="15347" stopIfTrue="1" operator="equal">
      <formula>"Towel"</formula>
    </cfRule>
    <cfRule type="cellIs" dxfId="23594" priority="15348" stopIfTrue="1" operator="equal">
      <formula>"Napkin Hs"</formula>
    </cfRule>
  </conditionalFormatting>
  <conditionalFormatting sqref="C32">
    <cfRule type="cellIs" dxfId="23593" priority="15343" stopIfTrue="1" operator="equal">
      <formula>"Towel"</formula>
    </cfRule>
    <cfRule type="cellIs" dxfId="23592" priority="15344" stopIfTrue="1" operator="equal">
      <formula>"Napkin Hs"</formula>
    </cfRule>
  </conditionalFormatting>
  <conditionalFormatting sqref="C32">
    <cfRule type="cellIs" dxfId="23591" priority="15345" stopIfTrue="1" operator="equal">
      <formula>"Towel"</formula>
    </cfRule>
    <cfRule type="cellIs" dxfId="23590" priority="15346" stopIfTrue="1" operator="equal">
      <formula>"Napkin Hs"</formula>
    </cfRule>
  </conditionalFormatting>
  <conditionalFormatting sqref="B32:C32">
    <cfRule type="cellIs" dxfId="23589" priority="15339" stopIfTrue="1" operator="equal">
      <formula>"Towel"</formula>
    </cfRule>
    <cfRule type="cellIs" dxfId="23588" priority="15340" stopIfTrue="1" operator="equal">
      <formula>"Napkin Hs"</formula>
    </cfRule>
  </conditionalFormatting>
  <conditionalFormatting sqref="C32">
    <cfRule type="cellIs" dxfId="23587" priority="15341" stopIfTrue="1" operator="equal">
      <formula>"Towel"</formula>
    </cfRule>
    <cfRule type="cellIs" dxfId="23586" priority="15342" stopIfTrue="1" operator="equal">
      <formula>"Napkin Hs"</formula>
    </cfRule>
  </conditionalFormatting>
  <conditionalFormatting sqref="C32">
    <cfRule type="cellIs" dxfId="23585" priority="15337" stopIfTrue="1" operator="equal">
      <formula>"Towel"</formula>
    </cfRule>
    <cfRule type="cellIs" dxfId="23584" priority="15338" stopIfTrue="1" operator="equal">
      <formula>"Napkin Hs"</formula>
    </cfRule>
  </conditionalFormatting>
  <conditionalFormatting sqref="B32:C32">
    <cfRule type="cellIs" dxfId="23583" priority="15335" stopIfTrue="1" operator="equal">
      <formula>"Towel"</formula>
    </cfRule>
    <cfRule type="cellIs" dxfId="23582" priority="15336" stopIfTrue="1" operator="equal">
      <formula>"Napkin Hs"</formula>
    </cfRule>
  </conditionalFormatting>
  <conditionalFormatting sqref="C32">
    <cfRule type="cellIs" dxfId="23581" priority="15331" stopIfTrue="1" operator="equal">
      <formula>"Towel"</formula>
    </cfRule>
    <cfRule type="cellIs" dxfId="23580" priority="15332" stopIfTrue="1" operator="equal">
      <formula>"Napkin Hs"</formula>
    </cfRule>
  </conditionalFormatting>
  <conditionalFormatting sqref="C32">
    <cfRule type="cellIs" dxfId="23579" priority="15333" stopIfTrue="1" operator="equal">
      <formula>"Towel"</formula>
    </cfRule>
    <cfRule type="cellIs" dxfId="23578" priority="15334" stopIfTrue="1" operator="equal">
      <formula>"Napkin Hs"</formula>
    </cfRule>
  </conditionalFormatting>
  <conditionalFormatting sqref="B40:C40">
    <cfRule type="cellIs" dxfId="23577" priority="15317" stopIfTrue="1" operator="equal">
      <formula>"Towel"</formula>
    </cfRule>
    <cfRule type="cellIs" dxfId="23576" priority="15318" stopIfTrue="1" operator="equal">
      <formula>"Napkin Hs"</formula>
    </cfRule>
  </conditionalFormatting>
  <conditionalFormatting sqref="C40">
    <cfRule type="cellIs" dxfId="23575" priority="15313" stopIfTrue="1" operator="equal">
      <formula>"Towel"</formula>
    </cfRule>
    <cfRule type="cellIs" dxfId="23574" priority="15314" stopIfTrue="1" operator="equal">
      <formula>"Napkin Hs"</formula>
    </cfRule>
  </conditionalFormatting>
  <conditionalFormatting sqref="C40">
    <cfRule type="cellIs" dxfId="23573" priority="15316" stopIfTrue="1" operator="equal">
      <formula>"Napkin Hs"</formula>
    </cfRule>
  </conditionalFormatting>
  <conditionalFormatting sqref="C40">
    <cfRule type="cellIs" dxfId="23572" priority="15315" stopIfTrue="1" operator="equal">
      <formula>"Towel"</formula>
    </cfRule>
  </conditionalFormatting>
  <conditionalFormatting sqref="C41">
    <cfRule type="cellIs" dxfId="23571" priority="15309" stopIfTrue="1" operator="equal">
      <formula>"Towel"</formula>
    </cfRule>
    <cfRule type="cellIs" dxfId="23570" priority="15310" stopIfTrue="1" operator="equal">
      <formula>"Napkin Hs"</formula>
    </cfRule>
  </conditionalFormatting>
  <conditionalFormatting sqref="C41">
    <cfRule type="cellIs" dxfId="23569" priority="15311" stopIfTrue="1" operator="equal">
      <formula>"Towel"</formula>
    </cfRule>
    <cfRule type="cellIs" dxfId="23568" priority="15312" stopIfTrue="1" operator="equal">
      <formula>"Napkin Hs"</formula>
    </cfRule>
  </conditionalFormatting>
  <conditionalFormatting sqref="C41">
    <cfRule type="cellIs" dxfId="23567" priority="15307" stopIfTrue="1" operator="equal">
      <formula>"Towel"</formula>
    </cfRule>
    <cfRule type="cellIs" dxfId="23566" priority="15308" stopIfTrue="1" operator="equal">
      <formula>"Napkin Hs"</formula>
    </cfRule>
  </conditionalFormatting>
  <conditionalFormatting sqref="B41">
    <cfRule type="cellIs" dxfId="23565" priority="15305" stopIfTrue="1" operator="equal">
      <formula>"Towel"</formula>
    </cfRule>
    <cfRule type="cellIs" dxfId="23564" priority="15306" stopIfTrue="1" operator="equal">
      <formula>"Napkin Hs"</formula>
    </cfRule>
  </conditionalFormatting>
  <conditionalFormatting sqref="C39">
    <cfRule type="cellIs" dxfId="23563" priority="15281" stopIfTrue="1" operator="equal">
      <formula>"Towel"</formula>
    </cfRule>
  </conditionalFormatting>
  <conditionalFormatting sqref="C39">
    <cfRule type="cellIs" dxfId="23562" priority="15282" stopIfTrue="1" operator="equal">
      <formula>"Napkin Hs"</formula>
    </cfRule>
    <cfRule type="cellIs" dxfId="23561" priority="15287" stopIfTrue="1" operator="equal">
      <formula>"Towel"</formula>
    </cfRule>
    <cfRule type="cellIs" dxfId="23560" priority="15288" stopIfTrue="1" operator="equal">
      <formula>"Napkin Hs"</formula>
    </cfRule>
    <cfRule type="cellIs" dxfId="23559" priority="15297" stopIfTrue="1" operator="equal">
      <formula>"Towel"</formula>
    </cfRule>
    <cfRule type="cellIs" dxfId="23558" priority="15298" stopIfTrue="1" operator="equal">
      <formula>"Napkin Hs"</formula>
    </cfRule>
    <cfRule type="cellIs" dxfId="23557" priority="15303" stopIfTrue="1" operator="equal">
      <formula>"Towel"</formula>
    </cfRule>
    <cfRule type="cellIs" dxfId="23556" priority="15304" stopIfTrue="1" operator="equal">
      <formula>"Napkin Hs"</formula>
    </cfRule>
  </conditionalFormatting>
  <conditionalFormatting sqref="C39">
    <cfRule type="cellIs" dxfId="23555" priority="15283" stopIfTrue="1" operator="equal">
      <formula>"Towel"</formula>
    </cfRule>
    <cfRule type="cellIs" dxfId="23554" priority="15284" stopIfTrue="1" operator="equal">
      <formula>"Napkin Hs"</formula>
    </cfRule>
    <cfRule type="cellIs" dxfId="23553" priority="15285" stopIfTrue="1" operator="equal">
      <formula>"Towel"</formula>
    </cfRule>
    <cfRule type="cellIs" dxfId="23552" priority="15286" stopIfTrue="1" operator="equal">
      <formula>"Napkin Hs"</formula>
    </cfRule>
    <cfRule type="cellIs" dxfId="23551" priority="15289" stopIfTrue="1" operator="equal">
      <formula>"Towel"</formula>
    </cfRule>
    <cfRule type="cellIs" dxfId="23550" priority="15290" stopIfTrue="1" operator="equal">
      <formula>"Napkin Hs"</formula>
    </cfRule>
    <cfRule type="cellIs" dxfId="23549" priority="15291" stopIfTrue="1" operator="equal">
      <formula>"Towel"</formula>
    </cfRule>
    <cfRule type="cellIs" dxfId="23548" priority="15292" stopIfTrue="1" operator="equal">
      <formula>"Napkin Hs"</formula>
    </cfRule>
    <cfRule type="cellIs" dxfId="23547" priority="15293" stopIfTrue="1" operator="equal">
      <formula>"Towel"</formula>
    </cfRule>
    <cfRule type="cellIs" dxfId="23546" priority="15294" stopIfTrue="1" operator="equal">
      <formula>"Napkin Hs"</formula>
    </cfRule>
    <cfRule type="cellIs" dxfId="23545" priority="15295" stopIfTrue="1" operator="equal">
      <formula>"Towel"</formula>
    </cfRule>
    <cfRule type="cellIs" dxfId="23544" priority="15296" stopIfTrue="1" operator="equal">
      <formula>"Napkin Hs"</formula>
    </cfRule>
    <cfRule type="cellIs" dxfId="23543" priority="15299" stopIfTrue="1" operator="equal">
      <formula>"Towel"</formula>
    </cfRule>
    <cfRule type="cellIs" dxfId="23542" priority="15300" stopIfTrue="1" operator="equal">
      <formula>"Napkin Hs"</formula>
    </cfRule>
    <cfRule type="cellIs" dxfId="23541" priority="15302" stopIfTrue="1" operator="equal">
      <formula>"Napkin Hs"</formula>
    </cfRule>
  </conditionalFormatting>
  <conditionalFormatting sqref="C39">
    <cfRule type="cellIs" dxfId="23540" priority="15301" stopIfTrue="1" operator="equal">
      <formula>"Towel"</formula>
    </cfRule>
  </conditionalFormatting>
  <conditionalFormatting sqref="C39">
    <cfRule type="cellIs" dxfId="23539" priority="15279" stopIfTrue="1" operator="equal">
      <formula>"Towel"</formula>
    </cfRule>
    <cfRule type="cellIs" dxfId="23538" priority="15280" stopIfTrue="1" operator="equal">
      <formula>"Napkin Hs"</formula>
    </cfRule>
  </conditionalFormatting>
  <conditionalFormatting sqref="C39">
    <cfRule type="cellIs" dxfId="23537" priority="15278" stopIfTrue="1" operator="equal">
      <formula>"Napkin Hs"</formula>
    </cfRule>
  </conditionalFormatting>
  <conditionalFormatting sqref="C39">
    <cfRule type="cellIs" dxfId="23536" priority="15277" stopIfTrue="1" operator="equal">
      <formula>"Towel"</formula>
    </cfRule>
  </conditionalFormatting>
  <conditionalFormatting sqref="C39">
    <cfRule type="cellIs" dxfId="23535" priority="15275" stopIfTrue="1" operator="equal">
      <formula>"Towel"</formula>
    </cfRule>
  </conditionalFormatting>
  <conditionalFormatting sqref="C39">
    <cfRule type="cellIs" dxfId="23534" priority="15276" stopIfTrue="1" operator="equal">
      <formula>"Napkin Hs"</formula>
    </cfRule>
  </conditionalFormatting>
  <conditionalFormatting sqref="C39">
    <cfRule type="cellIs" dxfId="23533" priority="15179" stopIfTrue="1" operator="equal">
      <formula>"Towel"</formula>
    </cfRule>
  </conditionalFormatting>
  <conditionalFormatting sqref="C39">
    <cfRule type="cellIs" dxfId="23532" priority="15189" stopIfTrue="1" operator="equal">
      <formula>"Towel"</formula>
    </cfRule>
    <cfRule type="cellIs" dxfId="23531" priority="15190" stopIfTrue="1" operator="equal">
      <formula>"Napkin Hs"</formula>
    </cfRule>
    <cfRule type="cellIs" dxfId="23530" priority="15195" stopIfTrue="1" operator="equal">
      <formula>"Towel"</formula>
    </cfRule>
    <cfRule type="cellIs" dxfId="23529" priority="15196" stopIfTrue="1" operator="equal">
      <formula>"Napkin Hs"</formula>
    </cfRule>
    <cfRule type="cellIs" dxfId="23528" priority="15201" stopIfTrue="1" operator="equal">
      <formula>"Towel"</formula>
    </cfRule>
    <cfRule type="cellIs" dxfId="23527" priority="15202" stopIfTrue="1" operator="equal">
      <formula>"Napkin Hs"</formula>
    </cfRule>
    <cfRule type="cellIs" dxfId="23526" priority="15203" stopIfTrue="1" operator="equal">
      <formula>"Towel"</formula>
    </cfRule>
    <cfRule type="cellIs" dxfId="23525" priority="15204" stopIfTrue="1" operator="equal">
      <formula>"Napkin Hs"</formula>
    </cfRule>
    <cfRule type="cellIs" dxfId="23524" priority="15209" stopIfTrue="1" operator="equal">
      <formula>"Towel"</formula>
    </cfRule>
    <cfRule type="cellIs" dxfId="23523" priority="15210" stopIfTrue="1" operator="equal">
      <formula>"Napkin Hs"</formula>
    </cfRule>
    <cfRule type="cellIs" dxfId="23522" priority="15219" stopIfTrue="1" operator="equal">
      <formula>"Towel"</formula>
    </cfRule>
    <cfRule type="cellIs" dxfId="23521" priority="15220" stopIfTrue="1" operator="equal">
      <formula>"Napkin Hs"</formula>
    </cfRule>
    <cfRule type="cellIs" dxfId="23520" priority="15225" stopIfTrue="1" operator="equal">
      <formula>"Towel"</formula>
    </cfRule>
    <cfRule type="cellIs" dxfId="23519" priority="15226" stopIfTrue="1" operator="equal">
      <formula>"Napkin Hs"</formula>
    </cfRule>
    <cfRule type="cellIs" dxfId="23518" priority="15227" stopIfTrue="1" operator="equal">
      <formula>"Towel"</formula>
    </cfRule>
    <cfRule type="cellIs" dxfId="23517" priority="15228" stopIfTrue="1" operator="equal">
      <formula>"Napkin Hs"</formula>
    </cfRule>
    <cfRule type="cellIs" dxfId="23516" priority="15233" stopIfTrue="1" operator="equal">
      <formula>"Towel"</formula>
    </cfRule>
    <cfRule type="cellIs" dxfId="23515" priority="15234" stopIfTrue="1" operator="equal">
      <formula>"Napkin Hs"</formula>
    </cfRule>
    <cfRule type="cellIs" dxfId="23514" priority="15243" stopIfTrue="1" operator="equal">
      <formula>"Towel"</formula>
    </cfRule>
    <cfRule type="cellIs" dxfId="23513" priority="15244" stopIfTrue="1" operator="equal">
      <formula>"Napkin Hs"</formula>
    </cfRule>
    <cfRule type="cellIs" dxfId="23512" priority="15245" stopIfTrue="1" operator="equal">
      <formula>"Towel"</formula>
    </cfRule>
    <cfRule type="cellIs" dxfId="23511" priority="15246" stopIfTrue="1" operator="equal">
      <formula>"Napkin Hs"</formula>
    </cfRule>
    <cfRule type="cellIs" dxfId="23510" priority="15251" stopIfTrue="1" operator="equal">
      <formula>"Towel"</formula>
    </cfRule>
    <cfRule type="cellIs" dxfId="23509" priority="15252" stopIfTrue="1" operator="equal">
      <formula>"Napkin Hs"</formula>
    </cfRule>
    <cfRule type="cellIs" dxfId="23508" priority="15261" stopIfTrue="1" operator="equal">
      <formula>"Towel"</formula>
    </cfRule>
    <cfRule type="cellIs" dxfId="23507" priority="15262" stopIfTrue="1" operator="equal">
      <formula>"Napkin Hs"</formula>
    </cfRule>
    <cfRule type="cellIs" dxfId="23506" priority="15263" stopIfTrue="1" operator="equal">
      <formula>"Towel"</formula>
    </cfRule>
    <cfRule type="cellIs" dxfId="23505" priority="15264" stopIfTrue="1" operator="equal">
      <formula>"Napkin Hs"</formula>
    </cfRule>
    <cfRule type="cellIs" dxfId="23504" priority="15270" stopIfTrue="1" operator="equal">
      <formula>"Napkin Hs"</formula>
    </cfRule>
  </conditionalFormatting>
  <conditionalFormatting sqref="C39">
    <cfRule type="cellIs" dxfId="23503" priority="15269" stopIfTrue="1" operator="equal">
      <formula>"Towel"</formula>
    </cfRule>
  </conditionalFormatting>
  <conditionalFormatting sqref="C39">
    <cfRule type="cellIs" dxfId="23502" priority="15180" stopIfTrue="1" operator="equal">
      <formula>"Napkin Hs"</formula>
    </cfRule>
    <cfRule type="cellIs" dxfId="23501" priority="15181" stopIfTrue="1" operator="equal">
      <formula>"Towel"</formula>
    </cfRule>
    <cfRule type="cellIs" dxfId="23500" priority="15182" stopIfTrue="1" operator="equal">
      <formula>"Napkin Hs"</formula>
    </cfRule>
    <cfRule type="cellIs" dxfId="23499" priority="15183" stopIfTrue="1" operator="equal">
      <formula>"Towel"</formula>
    </cfRule>
    <cfRule type="cellIs" dxfId="23498" priority="15184" stopIfTrue="1" operator="equal">
      <formula>"Napkin Hs"</formula>
    </cfRule>
    <cfRule type="cellIs" dxfId="23497" priority="15185" stopIfTrue="1" operator="equal">
      <formula>"Towel"</formula>
    </cfRule>
    <cfRule type="cellIs" dxfId="23496" priority="15186" stopIfTrue="1" operator="equal">
      <formula>"Napkin Hs"</formula>
    </cfRule>
    <cfRule type="cellIs" dxfId="23495" priority="15187" stopIfTrue="1" operator="equal">
      <formula>"Towel"</formula>
    </cfRule>
    <cfRule type="cellIs" dxfId="23494" priority="15188" stopIfTrue="1" operator="equal">
      <formula>"Napkin Hs"</formula>
    </cfRule>
    <cfRule type="cellIs" dxfId="23493" priority="15191" stopIfTrue="1" operator="equal">
      <formula>"Towel"</formula>
    </cfRule>
    <cfRule type="cellIs" dxfId="23492" priority="15192" stopIfTrue="1" operator="equal">
      <formula>"Napkin Hs"</formula>
    </cfRule>
    <cfRule type="cellIs" dxfId="23491" priority="15193" stopIfTrue="1" operator="equal">
      <formula>"Towel"</formula>
    </cfRule>
    <cfRule type="cellIs" dxfId="23490" priority="15194" stopIfTrue="1" operator="equal">
      <formula>"Napkin Hs"</formula>
    </cfRule>
    <cfRule type="cellIs" dxfId="23489" priority="15197" stopIfTrue="1" operator="equal">
      <formula>"Towel"</formula>
    </cfRule>
    <cfRule type="cellIs" dxfId="23488" priority="15198" stopIfTrue="1" operator="equal">
      <formula>"Napkin Hs"</formula>
    </cfRule>
    <cfRule type="cellIs" dxfId="23487" priority="15199" stopIfTrue="1" operator="equal">
      <formula>"Towel"</formula>
    </cfRule>
    <cfRule type="cellIs" dxfId="23486" priority="15200" stopIfTrue="1" operator="equal">
      <formula>"Napkin Hs"</formula>
    </cfRule>
    <cfRule type="cellIs" dxfId="23485" priority="15205" stopIfTrue="1" operator="equal">
      <formula>"Towel"</formula>
    </cfRule>
    <cfRule type="cellIs" dxfId="23484" priority="15206" stopIfTrue="1" operator="equal">
      <formula>"Napkin Hs"</formula>
    </cfRule>
    <cfRule type="cellIs" dxfId="23483" priority="15207" stopIfTrue="1" operator="equal">
      <formula>"Towel"</formula>
    </cfRule>
    <cfRule type="cellIs" dxfId="23482" priority="15208" stopIfTrue="1" operator="equal">
      <formula>"Napkin Hs"</formula>
    </cfRule>
    <cfRule type="cellIs" dxfId="23481" priority="15211" stopIfTrue="1" operator="equal">
      <formula>"Towel"</formula>
    </cfRule>
    <cfRule type="cellIs" dxfId="23480" priority="15212" stopIfTrue="1" operator="equal">
      <formula>"Napkin Hs"</formula>
    </cfRule>
    <cfRule type="cellIs" dxfId="23479" priority="15213" stopIfTrue="1" operator="equal">
      <formula>"Towel"</formula>
    </cfRule>
    <cfRule type="cellIs" dxfId="23478" priority="15214" stopIfTrue="1" operator="equal">
      <formula>"Napkin Hs"</formula>
    </cfRule>
    <cfRule type="cellIs" dxfId="23477" priority="15215" stopIfTrue="1" operator="equal">
      <formula>"Towel"</formula>
    </cfRule>
    <cfRule type="cellIs" dxfId="23476" priority="15216" stopIfTrue="1" operator="equal">
      <formula>"Napkin Hs"</formula>
    </cfRule>
    <cfRule type="cellIs" dxfId="23475" priority="15217" stopIfTrue="1" operator="equal">
      <formula>"Towel"</formula>
    </cfRule>
    <cfRule type="cellIs" dxfId="23474" priority="15218" stopIfTrue="1" operator="equal">
      <formula>"Napkin Hs"</formula>
    </cfRule>
    <cfRule type="cellIs" dxfId="23473" priority="15221" stopIfTrue="1" operator="equal">
      <formula>"Towel"</formula>
    </cfRule>
    <cfRule type="cellIs" dxfId="23472" priority="15222" stopIfTrue="1" operator="equal">
      <formula>"Napkin Hs"</formula>
    </cfRule>
    <cfRule type="cellIs" dxfId="23471" priority="15223" stopIfTrue="1" operator="equal">
      <formula>"Towel"</formula>
    </cfRule>
    <cfRule type="cellIs" dxfId="23470" priority="15224" stopIfTrue="1" operator="equal">
      <formula>"Napkin Hs"</formula>
    </cfRule>
    <cfRule type="cellIs" dxfId="23469" priority="15229" stopIfTrue="1" operator="equal">
      <formula>"Towel"</formula>
    </cfRule>
    <cfRule type="cellIs" dxfId="23468" priority="15230" stopIfTrue="1" operator="equal">
      <formula>"Napkin Hs"</formula>
    </cfRule>
    <cfRule type="cellIs" dxfId="23467" priority="15231" stopIfTrue="1" operator="equal">
      <formula>"Towel"</formula>
    </cfRule>
    <cfRule type="cellIs" dxfId="23466" priority="15232" stopIfTrue="1" operator="equal">
      <formula>"Napkin Hs"</formula>
    </cfRule>
    <cfRule type="cellIs" dxfId="23465" priority="15235" stopIfTrue="1" operator="equal">
      <formula>"Towel"</formula>
    </cfRule>
    <cfRule type="cellIs" dxfId="23464" priority="15236" stopIfTrue="1" operator="equal">
      <formula>"Napkin Hs"</formula>
    </cfRule>
    <cfRule type="cellIs" dxfId="23463" priority="15237" stopIfTrue="1" operator="equal">
      <formula>"Towel"</formula>
    </cfRule>
    <cfRule type="cellIs" dxfId="23462" priority="15238" stopIfTrue="1" operator="equal">
      <formula>"Napkin Hs"</formula>
    </cfRule>
    <cfRule type="cellIs" dxfId="23461" priority="15239" stopIfTrue="1" operator="equal">
      <formula>"Towel"</formula>
    </cfRule>
    <cfRule type="cellIs" dxfId="23460" priority="15240" stopIfTrue="1" operator="equal">
      <formula>"Napkin Hs"</formula>
    </cfRule>
    <cfRule type="cellIs" dxfId="23459" priority="15241" stopIfTrue="1" operator="equal">
      <formula>"Towel"</formula>
    </cfRule>
    <cfRule type="cellIs" dxfId="23458" priority="15242" stopIfTrue="1" operator="equal">
      <formula>"Napkin Hs"</formula>
    </cfRule>
    <cfRule type="cellIs" dxfId="23457" priority="15247" stopIfTrue="1" operator="equal">
      <formula>"Towel"</formula>
    </cfRule>
    <cfRule type="cellIs" dxfId="23456" priority="15248" stopIfTrue="1" operator="equal">
      <formula>"Napkin Hs"</formula>
    </cfRule>
    <cfRule type="cellIs" dxfId="23455" priority="15249" stopIfTrue="1" operator="equal">
      <formula>"Towel"</formula>
    </cfRule>
    <cfRule type="cellIs" dxfId="23454" priority="15250" stopIfTrue="1" operator="equal">
      <formula>"Napkin Hs"</formula>
    </cfRule>
    <cfRule type="cellIs" dxfId="23453" priority="15253" stopIfTrue="1" operator="equal">
      <formula>"Towel"</formula>
    </cfRule>
    <cfRule type="cellIs" dxfId="23452" priority="15254" stopIfTrue="1" operator="equal">
      <formula>"Napkin Hs"</formula>
    </cfRule>
    <cfRule type="cellIs" dxfId="23451" priority="15255" stopIfTrue="1" operator="equal">
      <formula>"Towel"</formula>
    </cfRule>
    <cfRule type="cellIs" dxfId="23450" priority="15256" stopIfTrue="1" operator="equal">
      <formula>"Napkin Hs"</formula>
    </cfRule>
    <cfRule type="cellIs" dxfId="23449" priority="15257" stopIfTrue="1" operator="equal">
      <formula>"Towel"</formula>
    </cfRule>
    <cfRule type="cellIs" dxfId="23448" priority="15258" stopIfTrue="1" operator="equal">
      <formula>"Napkin Hs"</formula>
    </cfRule>
    <cfRule type="cellIs" dxfId="23447" priority="15259" stopIfTrue="1" operator="equal">
      <formula>"Towel"</formula>
    </cfRule>
    <cfRule type="cellIs" dxfId="23446" priority="15260" stopIfTrue="1" operator="equal">
      <formula>"Napkin Hs"</formula>
    </cfRule>
    <cfRule type="cellIs" dxfId="23445" priority="15265" stopIfTrue="1" operator="equal">
      <formula>"Towel"</formula>
    </cfRule>
    <cfRule type="cellIs" dxfId="23444" priority="15266" stopIfTrue="1" operator="equal">
      <formula>"Napkin Hs"</formula>
    </cfRule>
    <cfRule type="cellIs" dxfId="23443" priority="15267" stopIfTrue="1" operator="equal">
      <formula>"Towel"</formula>
    </cfRule>
    <cfRule type="cellIs" dxfId="23442" priority="15268" stopIfTrue="1" operator="equal">
      <formula>"Napkin Hs"</formula>
    </cfRule>
    <cfRule type="cellIs" dxfId="23441" priority="15271" stopIfTrue="1" operator="equal">
      <formula>"Towel"</formula>
    </cfRule>
    <cfRule type="cellIs" dxfId="23440" priority="15272" stopIfTrue="1" operator="equal">
      <formula>"Napkin Hs"</formula>
    </cfRule>
    <cfRule type="cellIs" dxfId="23439" priority="15273" stopIfTrue="1" operator="equal">
      <formula>"Towel"</formula>
    </cfRule>
    <cfRule type="cellIs" dxfId="23438" priority="15274" stopIfTrue="1" operator="equal">
      <formula>"Napkin Hs"</formula>
    </cfRule>
  </conditionalFormatting>
  <conditionalFormatting sqref="C39">
    <cfRule type="cellIs" dxfId="23437" priority="15155" stopIfTrue="1" operator="equal">
      <formula>"Towel"</formula>
    </cfRule>
  </conditionalFormatting>
  <conditionalFormatting sqref="C39">
    <cfRule type="cellIs" dxfId="23436" priority="15156" stopIfTrue="1" operator="equal">
      <formula>"Napkin Hs"</formula>
    </cfRule>
    <cfRule type="cellIs" dxfId="23435" priority="15161" stopIfTrue="1" operator="equal">
      <formula>"Towel"</formula>
    </cfRule>
    <cfRule type="cellIs" dxfId="23434" priority="15162" stopIfTrue="1" operator="equal">
      <formula>"Napkin Hs"</formula>
    </cfRule>
    <cfRule type="cellIs" dxfId="23433" priority="15171" stopIfTrue="1" operator="equal">
      <formula>"Towel"</formula>
    </cfRule>
    <cfRule type="cellIs" dxfId="23432" priority="15172" stopIfTrue="1" operator="equal">
      <formula>"Napkin Hs"</formula>
    </cfRule>
    <cfRule type="cellIs" dxfId="23431" priority="15177" stopIfTrue="1" operator="equal">
      <formula>"Towel"</formula>
    </cfRule>
    <cfRule type="cellIs" dxfId="23430" priority="15178" stopIfTrue="1" operator="equal">
      <formula>"Napkin Hs"</formula>
    </cfRule>
  </conditionalFormatting>
  <conditionalFormatting sqref="C39">
    <cfRule type="cellIs" dxfId="23429" priority="15157" stopIfTrue="1" operator="equal">
      <formula>"Towel"</formula>
    </cfRule>
    <cfRule type="cellIs" dxfId="23428" priority="15158" stopIfTrue="1" operator="equal">
      <formula>"Napkin Hs"</formula>
    </cfRule>
    <cfRule type="cellIs" dxfId="23427" priority="15159" stopIfTrue="1" operator="equal">
      <formula>"Towel"</formula>
    </cfRule>
    <cfRule type="cellIs" dxfId="23426" priority="15160" stopIfTrue="1" operator="equal">
      <formula>"Napkin Hs"</formula>
    </cfRule>
    <cfRule type="cellIs" dxfId="23425" priority="15163" stopIfTrue="1" operator="equal">
      <formula>"Towel"</formula>
    </cfRule>
    <cfRule type="cellIs" dxfId="23424" priority="15164" stopIfTrue="1" operator="equal">
      <formula>"Napkin Hs"</formula>
    </cfRule>
    <cfRule type="cellIs" dxfId="23423" priority="15165" stopIfTrue="1" operator="equal">
      <formula>"Towel"</formula>
    </cfRule>
    <cfRule type="cellIs" dxfId="23422" priority="15166" stopIfTrue="1" operator="equal">
      <formula>"Napkin Hs"</formula>
    </cfRule>
    <cfRule type="cellIs" dxfId="23421" priority="15167" stopIfTrue="1" operator="equal">
      <formula>"Towel"</formula>
    </cfRule>
    <cfRule type="cellIs" dxfId="23420" priority="15168" stopIfTrue="1" operator="equal">
      <formula>"Napkin Hs"</formula>
    </cfRule>
    <cfRule type="cellIs" dxfId="23419" priority="15169" stopIfTrue="1" operator="equal">
      <formula>"Towel"</formula>
    </cfRule>
    <cfRule type="cellIs" dxfId="23418" priority="15170" stopIfTrue="1" operator="equal">
      <formula>"Napkin Hs"</formula>
    </cfRule>
    <cfRule type="cellIs" dxfId="23417" priority="15173" stopIfTrue="1" operator="equal">
      <formula>"Towel"</formula>
    </cfRule>
    <cfRule type="cellIs" dxfId="23416" priority="15174" stopIfTrue="1" operator="equal">
      <formula>"Napkin Hs"</formula>
    </cfRule>
    <cfRule type="cellIs" dxfId="23415" priority="15176" stopIfTrue="1" operator="equal">
      <formula>"Napkin Hs"</formula>
    </cfRule>
  </conditionalFormatting>
  <conditionalFormatting sqref="C39">
    <cfRule type="cellIs" dxfId="23414" priority="15175" stopIfTrue="1" operator="equal">
      <formula>"Towel"</formula>
    </cfRule>
  </conditionalFormatting>
  <conditionalFormatting sqref="C39">
    <cfRule type="cellIs" dxfId="23413" priority="15153" stopIfTrue="1" operator="equal">
      <formula>"Towel"</formula>
    </cfRule>
    <cfRule type="cellIs" dxfId="23412" priority="15154" stopIfTrue="1" operator="equal">
      <formula>"Napkin Hs"</formula>
    </cfRule>
  </conditionalFormatting>
  <conditionalFormatting sqref="C39">
    <cfRule type="cellIs" dxfId="23411" priority="15152" stopIfTrue="1" operator="equal">
      <formula>"Napkin Hs"</formula>
    </cfRule>
  </conditionalFormatting>
  <conditionalFormatting sqref="C39">
    <cfRule type="cellIs" dxfId="23410" priority="15151" stopIfTrue="1" operator="equal">
      <formula>"Towel"</formula>
    </cfRule>
  </conditionalFormatting>
  <conditionalFormatting sqref="C39">
    <cfRule type="cellIs" dxfId="23409" priority="15149" stopIfTrue="1" operator="equal">
      <formula>"Towel"</formula>
    </cfRule>
  </conditionalFormatting>
  <conditionalFormatting sqref="C39">
    <cfRule type="cellIs" dxfId="23408" priority="15150" stopIfTrue="1" operator="equal">
      <formula>"Napkin Hs"</formula>
    </cfRule>
  </conditionalFormatting>
  <conditionalFormatting sqref="C39">
    <cfRule type="cellIs" dxfId="23407" priority="15053" stopIfTrue="1" operator="equal">
      <formula>"Towel"</formula>
    </cfRule>
  </conditionalFormatting>
  <conditionalFormatting sqref="C39">
    <cfRule type="cellIs" dxfId="23406" priority="15063" stopIfTrue="1" operator="equal">
      <formula>"Towel"</formula>
    </cfRule>
    <cfRule type="cellIs" dxfId="23405" priority="15064" stopIfTrue="1" operator="equal">
      <formula>"Napkin Hs"</formula>
    </cfRule>
    <cfRule type="cellIs" dxfId="23404" priority="15069" stopIfTrue="1" operator="equal">
      <formula>"Towel"</formula>
    </cfRule>
    <cfRule type="cellIs" dxfId="23403" priority="15070" stopIfTrue="1" operator="equal">
      <formula>"Napkin Hs"</formula>
    </cfRule>
    <cfRule type="cellIs" dxfId="23402" priority="15075" stopIfTrue="1" operator="equal">
      <formula>"Towel"</formula>
    </cfRule>
    <cfRule type="cellIs" dxfId="23401" priority="15076" stopIfTrue="1" operator="equal">
      <formula>"Napkin Hs"</formula>
    </cfRule>
    <cfRule type="cellIs" dxfId="23400" priority="15077" stopIfTrue="1" operator="equal">
      <formula>"Towel"</formula>
    </cfRule>
    <cfRule type="cellIs" dxfId="23399" priority="15078" stopIfTrue="1" operator="equal">
      <formula>"Napkin Hs"</formula>
    </cfRule>
    <cfRule type="cellIs" dxfId="23398" priority="15083" stopIfTrue="1" operator="equal">
      <formula>"Towel"</formula>
    </cfRule>
    <cfRule type="cellIs" dxfId="23397" priority="15084" stopIfTrue="1" operator="equal">
      <formula>"Napkin Hs"</formula>
    </cfRule>
    <cfRule type="cellIs" dxfId="23396" priority="15093" stopIfTrue="1" operator="equal">
      <formula>"Towel"</formula>
    </cfRule>
    <cfRule type="cellIs" dxfId="23395" priority="15094" stopIfTrue="1" operator="equal">
      <formula>"Napkin Hs"</formula>
    </cfRule>
    <cfRule type="cellIs" dxfId="23394" priority="15099" stopIfTrue="1" operator="equal">
      <formula>"Towel"</formula>
    </cfRule>
    <cfRule type="cellIs" dxfId="23393" priority="15100" stopIfTrue="1" operator="equal">
      <formula>"Napkin Hs"</formula>
    </cfRule>
    <cfRule type="cellIs" dxfId="23392" priority="15101" stopIfTrue="1" operator="equal">
      <formula>"Towel"</formula>
    </cfRule>
    <cfRule type="cellIs" dxfId="23391" priority="15102" stopIfTrue="1" operator="equal">
      <formula>"Napkin Hs"</formula>
    </cfRule>
    <cfRule type="cellIs" dxfId="23390" priority="15107" stopIfTrue="1" operator="equal">
      <formula>"Towel"</formula>
    </cfRule>
    <cfRule type="cellIs" dxfId="23389" priority="15108" stopIfTrue="1" operator="equal">
      <formula>"Napkin Hs"</formula>
    </cfRule>
    <cfRule type="cellIs" dxfId="23388" priority="15117" stopIfTrue="1" operator="equal">
      <formula>"Towel"</formula>
    </cfRule>
    <cfRule type="cellIs" dxfId="23387" priority="15118" stopIfTrue="1" operator="equal">
      <formula>"Napkin Hs"</formula>
    </cfRule>
    <cfRule type="cellIs" dxfId="23386" priority="15119" stopIfTrue="1" operator="equal">
      <formula>"Towel"</formula>
    </cfRule>
    <cfRule type="cellIs" dxfId="23385" priority="15120" stopIfTrue="1" operator="equal">
      <formula>"Napkin Hs"</formula>
    </cfRule>
    <cfRule type="cellIs" dxfId="23384" priority="15125" stopIfTrue="1" operator="equal">
      <formula>"Towel"</formula>
    </cfRule>
    <cfRule type="cellIs" dxfId="23383" priority="15126" stopIfTrue="1" operator="equal">
      <formula>"Napkin Hs"</formula>
    </cfRule>
    <cfRule type="cellIs" dxfId="23382" priority="15135" stopIfTrue="1" operator="equal">
      <formula>"Towel"</formula>
    </cfRule>
    <cfRule type="cellIs" dxfId="23381" priority="15136" stopIfTrue="1" operator="equal">
      <formula>"Napkin Hs"</formula>
    </cfRule>
    <cfRule type="cellIs" dxfId="23380" priority="15137" stopIfTrue="1" operator="equal">
      <formula>"Towel"</formula>
    </cfRule>
    <cfRule type="cellIs" dxfId="23379" priority="15138" stopIfTrue="1" operator="equal">
      <formula>"Napkin Hs"</formula>
    </cfRule>
    <cfRule type="cellIs" dxfId="23378" priority="15144" stopIfTrue="1" operator="equal">
      <formula>"Napkin Hs"</formula>
    </cfRule>
  </conditionalFormatting>
  <conditionalFormatting sqref="C39">
    <cfRule type="cellIs" dxfId="23377" priority="15143" stopIfTrue="1" operator="equal">
      <formula>"Towel"</formula>
    </cfRule>
  </conditionalFormatting>
  <conditionalFormatting sqref="C39">
    <cfRule type="cellIs" dxfId="23376" priority="15054" stopIfTrue="1" operator="equal">
      <formula>"Napkin Hs"</formula>
    </cfRule>
    <cfRule type="cellIs" dxfId="23375" priority="15055" stopIfTrue="1" operator="equal">
      <formula>"Towel"</formula>
    </cfRule>
    <cfRule type="cellIs" dxfId="23374" priority="15056" stopIfTrue="1" operator="equal">
      <formula>"Napkin Hs"</formula>
    </cfRule>
    <cfRule type="cellIs" dxfId="23373" priority="15057" stopIfTrue="1" operator="equal">
      <formula>"Towel"</formula>
    </cfRule>
    <cfRule type="cellIs" dxfId="23372" priority="15058" stopIfTrue="1" operator="equal">
      <formula>"Napkin Hs"</formula>
    </cfRule>
    <cfRule type="cellIs" dxfId="23371" priority="15059" stopIfTrue="1" operator="equal">
      <formula>"Towel"</formula>
    </cfRule>
    <cfRule type="cellIs" dxfId="23370" priority="15060" stopIfTrue="1" operator="equal">
      <formula>"Napkin Hs"</formula>
    </cfRule>
    <cfRule type="cellIs" dxfId="23369" priority="15061" stopIfTrue="1" operator="equal">
      <formula>"Towel"</formula>
    </cfRule>
    <cfRule type="cellIs" dxfId="23368" priority="15062" stopIfTrue="1" operator="equal">
      <formula>"Napkin Hs"</formula>
    </cfRule>
    <cfRule type="cellIs" dxfId="23367" priority="15065" stopIfTrue="1" operator="equal">
      <formula>"Towel"</formula>
    </cfRule>
    <cfRule type="cellIs" dxfId="23366" priority="15066" stopIfTrue="1" operator="equal">
      <formula>"Napkin Hs"</formula>
    </cfRule>
    <cfRule type="cellIs" dxfId="23365" priority="15067" stopIfTrue="1" operator="equal">
      <formula>"Towel"</formula>
    </cfRule>
    <cfRule type="cellIs" dxfId="23364" priority="15068" stopIfTrue="1" operator="equal">
      <formula>"Napkin Hs"</formula>
    </cfRule>
    <cfRule type="cellIs" dxfId="23363" priority="15071" stopIfTrue="1" operator="equal">
      <formula>"Towel"</formula>
    </cfRule>
    <cfRule type="cellIs" dxfId="23362" priority="15072" stopIfTrue="1" operator="equal">
      <formula>"Napkin Hs"</formula>
    </cfRule>
    <cfRule type="cellIs" dxfId="23361" priority="15073" stopIfTrue="1" operator="equal">
      <formula>"Towel"</formula>
    </cfRule>
    <cfRule type="cellIs" dxfId="23360" priority="15074" stopIfTrue="1" operator="equal">
      <formula>"Napkin Hs"</formula>
    </cfRule>
    <cfRule type="cellIs" dxfId="23359" priority="15079" stopIfTrue="1" operator="equal">
      <formula>"Towel"</formula>
    </cfRule>
    <cfRule type="cellIs" dxfId="23358" priority="15080" stopIfTrue="1" operator="equal">
      <formula>"Napkin Hs"</formula>
    </cfRule>
    <cfRule type="cellIs" dxfId="23357" priority="15081" stopIfTrue="1" operator="equal">
      <formula>"Towel"</formula>
    </cfRule>
    <cfRule type="cellIs" dxfId="23356" priority="15082" stopIfTrue="1" operator="equal">
      <formula>"Napkin Hs"</formula>
    </cfRule>
    <cfRule type="cellIs" dxfId="23355" priority="15085" stopIfTrue="1" operator="equal">
      <formula>"Towel"</formula>
    </cfRule>
    <cfRule type="cellIs" dxfId="23354" priority="15086" stopIfTrue="1" operator="equal">
      <formula>"Napkin Hs"</formula>
    </cfRule>
    <cfRule type="cellIs" dxfId="23353" priority="15087" stopIfTrue="1" operator="equal">
      <formula>"Towel"</formula>
    </cfRule>
    <cfRule type="cellIs" dxfId="23352" priority="15088" stopIfTrue="1" operator="equal">
      <formula>"Napkin Hs"</formula>
    </cfRule>
    <cfRule type="cellIs" dxfId="23351" priority="15089" stopIfTrue="1" operator="equal">
      <formula>"Towel"</formula>
    </cfRule>
    <cfRule type="cellIs" dxfId="23350" priority="15090" stopIfTrue="1" operator="equal">
      <formula>"Napkin Hs"</formula>
    </cfRule>
    <cfRule type="cellIs" dxfId="23349" priority="15091" stopIfTrue="1" operator="equal">
      <formula>"Towel"</formula>
    </cfRule>
    <cfRule type="cellIs" dxfId="23348" priority="15092" stopIfTrue="1" operator="equal">
      <formula>"Napkin Hs"</formula>
    </cfRule>
    <cfRule type="cellIs" dxfId="23347" priority="15095" stopIfTrue="1" operator="equal">
      <formula>"Towel"</formula>
    </cfRule>
    <cfRule type="cellIs" dxfId="23346" priority="15096" stopIfTrue="1" operator="equal">
      <formula>"Napkin Hs"</formula>
    </cfRule>
    <cfRule type="cellIs" dxfId="23345" priority="15097" stopIfTrue="1" operator="equal">
      <formula>"Towel"</formula>
    </cfRule>
    <cfRule type="cellIs" dxfId="23344" priority="15098" stopIfTrue="1" operator="equal">
      <formula>"Napkin Hs"</formula>
    </cfRule>
    <cfRule type="cellIs" dxfId="23343" priority="15103" stopIfTrue="1" operator="equal">
      <formula>"Towel"</formula>
    </cfRule>
    <cfRule type="cellIs" dxfId="23342" priority="15104" stopIfTrue="1" operator="equal">
      <formula>"Napkin Hs"</formula>
    </cfRule>
    <cfRule type="cellIs" dxfId="23341" priority="15105" stopIfTrue="1" operator="equal">
      <formula>"Towel"</formula>
    </cfRule>
    <cfRule type="cellIs" dxfId="23340" priority="15106" stopIfTrue="1" operator="equal">
      <formula>"Napkin Hs"</formula>
    </cfRule>
    <cfRule type="cellIs" dxfId="23339" priority="15109" stopIfTrue="1" operator="equal">
      <formula>"Towel"</formula>
    </cfRule>
    <cfRule type="cellIs" dxfId="23338" priority="15110" stopIfTrue="1" operator="equal">
      <formula>"Napkin Hs"</formula>
    </cfRule>
    <cfRule type="cellIs" dxfId="23337" priority="15111" stopIfTrue="1" operator="equal">
      <formula>"Towel"</formula>
    </cfRule>
    <cfRule type="cellIs" dxfId="23336" priority="15112" stopIfTrue="1" operator="equal">
      <formula>"Napkin Hs"</formula>
    </cfRule>
    <cfRule type="cellIs" dxfId="23335" priority="15113" stopIfTrue="1" operator="equal">
      <formula>"Towel"</formula>
    </cfRule>
    <cfRule type="cellIs" dxfId="23334" priority="15114" stopIfTrue="1" operator="equal">
      <formula>"Napkin Hs"</formula>
    </cfRule>
    <cfRule type="cellIs" dxfId="23333" priority="15115" stopIfTrue="1" operator="equal">
      <formula>"Towel"</formula>
    </cfRule>
    <cfRule type="cellIs" dxfId="23332" priority="15116" stopIfTrue="1" operator="equal">
      <formula>"Napkin Hs"</formula>
    </cfRule>
    <cfRule type="cellIs" dxfId="23331" priority="15121" stopIfTrue="1" operator="equal">
      <formula>"Towel"</formula>
    </cfRule>
    <cfRule type="cellIs" dxfId="23330" priority="15122" stopIfTrue="1" operator="equal">
      <formula>"Napkin Hs"</formula>
    </cfRule>
    <cfRule type="cellIs" dxfId="23329" priority="15123" stopIfTrue="1" operator="equal">
      <formula>"Towel"</formula>
    </cfRule>
    <cfRule type="cellIs" dxfId="23328" priority="15124" stopIfTrue="1" operator="equal">
      <formula>"Napkin Hs"</formula>
    </cfRule>
    <cfRule type="cellIs" dxfId="23327" priority="15127" stopIfTrue="1" operator="equal">
      <formula>"Towel"</formula>
    </cfRule>
    <cfRule type="cellIs" dxfId="23326" priority="15128" stopIfTrue="1" operator="equal">
      <formula>"Napkin Hs"</formula>
    </cfRule>
    <cfRule type="cellIs" dxfId="23325" priority="15129" stopIfTrue="1" operator="equal">
      <formula>"Towel"</formula>
    </cfRule>
    <cfRule type="cellIs" dxfId="23324" priority="15130" stopIfTrue="1" operator="equal">
      <formula>"Napkin Hs"</formula>
    </cfRule>
    <cfRule type="cellIs" dxfId="23323" priority="15131" stopIfTrue="1" operator="equal">
      <formula>"Towel"</formula>
    </cfRule>
    <cfRule type="cellIs" dxfId="23322" priority="15132" stopIfTrue="1" operator="equal">
      <formula>"Napkin Hs"</formula>
    </cfRule>
    <cfRule type="cellIs" dxfId="23321" priority="15133" stopIfTrue="1" operator="equal">
      <formula>"Towel"</formula>
    </cfRule>
    <cfRule type="cellIs" dxfId="23320" priority="15134" stopIfTrue="1" operator="equal">
      <formula>"Napkin Hs"</formula>
    </cfRule>
    <cfRule type="cellIs" dxfId="23319" priority="15139" stopIfTrue="1" operator="equal">
      <formula>"Towel"</formula>
    </cfRule>
    <cfRule type="cellIs" dxfId="23318" priority="15140" stopIfTrue="1" operator="equal">
      <formula>"Napkin Hs"</formula>
    </cfRule>
    <cfRule type="cellIs" dxfId="23317" priority="15141" stopIfTrue="1" operator="equal">
      <formula>"Towel"</formula>
    </cfRule>
    <cfRule type="cellIs" dxfId="23316" priority="15142" stopIfTrue="1" operator="equal">
      <formula>"Napkin Hs"</formula>
    </cfRule>
    <cfRule type="cellIs" dxfId="23315" priority="15145" stopIfTrue="1" operator="equal">
      <formula>"Towel"</formula>
    </cfRule>
    <cfRule type="cellIs" dxfId="23314" priority="15146" stopIfTrue="1" operator="equal">
      <formula>"Napkin Hs"</formula>
    </cfRule>
    <cfRule type="cellIs" dxfId="23313" priority="15147" stopIfTrue="1" operator="equal">
      <formula>"Towel"</formula>
    </cfRule>
    <cfRule type="cellIs" dxfId="23312" priority="15148" stopIfTrue="1" operator="equal">
      <formula>"Napkin Hs"</formula>
    </cfRule>
  </conditionalFormatting>
  <conditionalFormatting sqref="C39">
    <cfRule type="cellIs" dxfId="23311" priority="15035" stopIfTrue="1" operator="equal">
      <formula>"Towel"</formula>
    </cfRule>
    <cfRule type="cellIs" dxfId="23310" priority="15036" stopIfTrue="1" operator="equal">
      <formula>"Napkin Hs"</formula>
    </cfRule>
  </conditionalFormatting>
  <conditionalFormatting sqref="C39">
    <cfRule type="cellIs" dxfId="23309" priority="15037" stopIfTrue="1" operator="equal">
      <formula>"Towel"</formula>
    </cfRule>
    <cfRule type="cellIs" dxfId="23308" priority="15038" stopIfTrue="1" operator="equal">
      <formula>"Napkin Hs"</formula>
    </cfRule>
  </conditionalFormatting>
  <conditionalFormatting sqref="C39">
    <cfRule type="cellIs" dxfId="23307" priority="15033" stopIfTrue="1" operator="equal">
      <formula>"Towel"</formula>
    </cfRule>
    <cfRule type="cellIs" dxfId="23306" priority="15034" stopIfTrue="1" operator="equal">
      <formula>"Napkin Hs"</formula>
    </cfRule>
  </conditionalFormatting>
  <conditionalFormatting sqref="C39">
    <cfRule type="cellIs" dxfId="23305" priority="15031" stopIfTrue="1" operator="equal">
      <formula>"Towel"</formula>
    </cfRule>
    <cfRule type="cellIs" dxfId="23304" priority="15032" stopIfTrue="1" operator="equal">
      <formula>"Napkin Hs"</formula>
    </cfRule>
  </conditionalFormatting>
  <conditionalFormatting sqref="C39">
    <cfRule type="cellIs" dxfId="23303" priority="15029" stopIfTrue="1" operator="equal">
      <formula>"Towel"</formula>
    </cfRule>
    <cfRule type="cellIs" dxfId="23302" priority="15030" stopIfTrue="1" operator="equal">
      <formula>"Napkin Hs"</formula>
    </cfRule>
  </conditionalFormatting>
  <conditionalFormatting sqref="C39">
    <cfRule type="cellIs" dxfId="23301" priority="15049" stopIfTrue="1" operator="equal">
      <formula>"Towel"</formula>
    </cfRule>
    <cfRule type="cellIs" dxfId="23300" priority="15050" stopIfTrue="1" operator="equal">
      <formula>"Napkin Hs"</formula>
    </cfRule>
  </conditionalFormatting>
  <conditionalFormatting sqref="C39">
    <cfRule type="cellIs" dxfId="23299" priority="15051" stopIfTrue="1" operator="equal">
      <formula>"Towel"</formula>
    </cfRule>
    <cfRule type="cellIs" dxfId="23298" priority="15052" stopIfTrue="1" operator="equal">
      <formula>"Napkin Hs"</formula>
    </cfRule>
  </conditionalFormatting>
  <conditionalFormatting sqref="C39">
    <cfRule type="cellIs" dxfId="23297" priority="15047" stopIfTrue="1" operator="equal">
      <formula>"Towel"</formula>
    </cfRule>
    <cfRule type="cellIs" dxfId="23296" priority="15048" stopIfTrue="1" operator="equal">
      <formula>"Napkin Hs"</formula>
    </cfRule>
  </conditionalFormatting>
  <conditionalFormatting sqref="C39">
    <cfRule type="cellIs" dxfId="23295" priority="15045" stopIfTrue="1" operator="equal">
      <formula>"Towel"</formula>
    </cfRule>
    <cfRule type="cellIs" dxfId="23294" priority="15046" stopIfTrue="1" operator="equal">
      <formula>"Napkin Hs"</formula>
    </cfRule>
  </conditionalFormatting>
  <conditionalFormatting sqref="C39">
    <cfRule type="cellIs" dxfId="23293" priority="15041" stopIfTrue="1" operator="equal">
      <formula>"Towel"</formula>
    </cfRule>
    <cfRule type="cellIs" dxfId="23292" priority="15042" stopIfTrue="1" operator="equal">
      <formula>"Napkin Hs"</formula>
    </cfRule>
  </conditionalFormatting>
  <conditionalFormatting sqref="C39">
    <cfRule type="cellIs" dxfId="23291" priority="15043" stopIfTrue="1" operator="equal">
      <formula>"Towel"</formula>
    </cfRule>
    <cfRule type="cellIs" dxfId="23290" priority="15044" stopIfTrue="1" operator="equal">
      <formula>"Napkin Hs"</formula>
    </cfRule>
  </conditionalFormatting>
  <conditionalFormatting sqref="C39">
    <cfRule type="cellIs" dxfId="23289" priority="15039" stopIfTrue="1" operator="equal">
      <formula>"Towel"</formula>
    </cfRule>
    <cfRule type="cellIs" dxfId="23288" priority="15040" stopIfTrue="1" operator="equal">
      <formula>"Napkin Hs"</formula>
    </cfRule>
  </conditionalFormatting>
  <conditionalFormatting sqref="C38:C40">
    <cfRule type="cellIs" dxfId="23287" priority="14975" stopIfTrue="1" operator="equal">
      <formula>"Towel"</formula>
    </cfRule>
    <cfRule type="cellIs" dxfId="23286" priority="14976" stopIfTrue="1" operator="equal">
      <formula>"Napkin Hs"</formula>
    </cfRule>
  </conditionalFormatting>
  <conditionalFormatting sqref="C38:C40">
    <cfRule type="cellIs" dxfId="23285" priority="14977" stopIfTrue="1" operator="equal">
      <formula>"Towel"</formula>
    </cfRule>
    <cfRule type="cellIs" dxfId="23284" priority="14978" stopIfTrue="1" operator="equal">
      <formula>"Napkin Hs"</formula>
    </cfRule>
  </conditionalFormatting>
  <conditionalFormatting sqref="B39:C40 C38">
    <cfRule type="cellIs" dxfId="23283" priority="14973" stopIfTrue="1" operator="equal">
      <formula>"Towel"</formula>
    </cfRule>
    <cfRule type="cellIs" dxfId="23282" priority="14974" stopIfTrue="1" operator="equal">
      <formula>"Napkin Hs"</formula>
    </cfRule>
  </conditionalFormatting>
  <conditionalFormatting sqref="C38:C40">
    <cfRule type="cellIs" dxfId="23281" priority="14971" stopIfTrue="1" operator="equal">
      <formula>"Towel"</formula>
    </cfRule>
    <cfRule type="cellIs" dxfId="23280" priority="14972" stopIfTrue="1" operator="equal">
      <formula>"Napkin Hs"</formula>
    </cfRule>
  </conditionalFormatting>
  <conditionalFormatting sqref="B39:C40 C38">
    <cfRule type="cellIs" dxfId="23279" priority="14967" stopIfTrue="1" operator="equal">
      <formula>"Towel"</formula>
    </cfRule>
    <cfRule type="cellIs" dxfId="23278" priority="14968" stopIfTrue="1" operator="equal">
      <formula>"Napkin Hs"</formula>
    </cfRule>
  </conditionalFormatting>
  <conditionalFormatting sqref="C38:C40">
    <cfRule type="cellIs" dxfId="23277" priority="14969" stopIfTrue="1" operator="equal">
      <formula>"Towel"</formula>
    </cfRule>
    <cfRule type="cellIs" dxfId="23276" priority="14970" stopIfTrue="1" operator="equal">
      <formula>"Napkin Hs"</formula>
    </cfRule>
  </conditionalFormatting>
  <conditionalFormatting sqref="B39:C40 C38">
    <cfRule type="cellIs" dxfId="23275" priority="15027" stopIfTrue="1" operator="equal">
      <formula>"Towel"</formula>
    </cfRule>
    <cfRule type="cellIs" dxfId="23274" priority="15028" stopIfTrue="1" operator="equal">
      <formula>"Napkin Hs"</formula>
    </cfRule>
  </conditionalFormatting>
  <conditionalFormatting sqref="C38:C40">
    <cfRule type="cellIs" dxfId="23273" priority="15023" stopIfTrue="1" operator="equal">
      <formula>"Towel"</formula>
    </cfRule>
    <cfRule type="cellIs" dxfId="23272" priority="15024" stopIfTrue="1" operator="equal">
      <formula>"Napkin Hs"</formula>
    </cfRule>
  </conditionalFormatting>
  <conditionalFormatting sqref="C38:C40">
    <cfRule type="cellIs" dxfId="23271" priority="15026" stopIfTrue="1" operator="equal">
      <formula>"Napkin Hs"</formula>
    </cfRule>
  </conditionalFormatting>
  <conditionalFormatting sqref="C38:C40">
    <cfRule type="cellIs" dxfId="23270" priority="15025" stopIfTrue="1" operator="equal">
      <formula>"Towel"</formula>
    </cfRule>
  </conditionalFormatting>
  <conditionalFormatting sqref="C38:C40">
    <cfRule type="cellIs" dxfId="23269" priority="15017" stopIfTrue="1" operator="equal">
      <formula>"Towel"</formula>
    </cfRule>
    <cfRule type="cellIs" dxfId="23268" priority="15018" stopIfTrue="1" operator="equal">
      <formula>"Napkin Hs"</formula>
    </cfRule>
  </conditionalFormatting>
  <conditionalFormatting sqref="C38:C40">
    <cfRule type="cellIs" dxfId="23267" priority="15021" stopIfTrue="1" operator="equal">
      <formula>"Towel"</formula>
    </cfRule>
    <cfRule type="cellIs" dxfId="23266" priority="15022" stopIfTrue="1" operator="equal">
      <formula>"Napkin Hs"</formula>
    </cfRule>
  </conditionalFormatting>
  <conditionalFormatting sqref="B39:B40">
    <cfRule type="cellIs" dxfId="23265" priority="15007" stopIfTrue="1" operator="equal">
      <formula>"Towel"</formula>
    </cfRule>
    <cfRule type="cellIs" dxfId="23264" priority="15008" stopIfTrue="1" operator="equal">
      <formula>"Napkin Hs"</formula>
    </cfRule>
  </conditionalFormatting>
  <conditionalFormatting sqref="C38:C40">
    <cfRule type="cellIs" dxfId="23263" priority="15019" stopIfTrue="1" operator="equal">
      <formula>"Towel"</formula>
    </cfRule>
    <cfRule type="cellIs" dxfId="23262" priority="15020" stopIfTrue="1" operator="equal">
      <formula>"Napkin Hs"</formula>
    </cfRule>
  </conditionalFormatting>
  <conditionalFormatting sqref="C38:C40">
    <cfRule type="cellIs" dxfId="23261" priority="15011" stopIfTrue="1" operator="equal">
      <formula>"Towel"</formula>
    </cfRule>
    <cfRule type="cellIs" dxfId="23260" priority="15012" stopIfTrue="1" operator="equal">
      <formula>"Napkin Hs"</formula>
    </cfRule>
  </conditionalFormatting>
  <conditionalFormatting sqref="C38:C40">
    <cfRule type="cellIs" dxfId="23259" priority="15013" stopIfTrue="1" operator="equal">
      <formula>"Towel"</formula>
    </cfRule>
    <cfRule type="cellIs" dxfId="23258" priority="15014" stopIfTrue="1" operator="equal">
      <formula>"Napkin Hs"</formula>
    </cfRule>
  </conditionalFormatting>
  <conditionalFormatting sqref="C38:C40">
    <cfRule type="cellIs" dxfId="23257" priority="15015" stopIfTrue="1" operator="equal">
      <formula>"Towel"</formula>
    </cfRule>
    <cfRule type="cellIs" dxfId="23256" priority="15016" stopIfTrue="1" operator="equal">
      <formula>"Napkin Hs"</formula>
    </cfRule>
  </conditionalFormatting>
  <conditionalFormatting sqref="B39:B40">
    <cfRule type="cellIs" dxfId="23255" priority="15009" stopIfTrue="1" operator="equal">
      <formula>"Towel"</formula>
    </cfRule>
    <cfRule type="cellIs" dxfId="23254" priority="15010" stopIfTrue="1" operator="equal">
      <formula>"Napkin Hs"</formula>
    </cfRule>
  </conditionalFormatting>
  <conditionalFormatting sqref="C38:C40">
    <cfRule type="cellIs" dxfId="23253" priority="15001" stopIfTrue="1" operator="equal">
      <formula>"Towel"</formula>
    </cfRule>
    <cfRule type="cellIs" dxfId="23252" priority="15002" stopIfTrue="1" operator="equal">
      <formula>"Napkin Hs"</formula>
    </cfRule>
  </conditionalFormatting>
  <conditionalFormatting sqref="C38:C40">
    <cfRule type="cellIs" dxfId="23251" priority="15005" stopIfTrue="1" operator="equal">
      <formula>"Towel"</formula>
    </cfRule>
    <cfRule type="cellIs" dxfId="23250" priority="15006" stopIfTrue="1" operator="equal">
      <formula>"Napkin Hs"</formula>
    </cfRule>
  </conditionalFormatting>
  <conditionalFormatting sqref="B39:B40">
    <cfRule type="cellIs" dxfId="23249" priority="14991" stopIfTrue="1" operator="equal">
      <formula>"Towel"</formula>
    </cfRule>
    <cfRule type="cellIs" dxfId="23248" priority="14992" stopIfTrue="1" operator="equal">
      <formula>"Napkin Hs"</formula>
    </cfRule>
  </conditionalFormatting>
  <conditionalFormatting sqref="C38:C40">
    <cfRule type="cellIs" dxfId="23247" priority="15003" stopIfTrue="1" operator="equal">
      <formula>"Towel"</formula>
    </cfRule>
    <cfRule type="cellIs" dxfId="23246" priority="15004" stopIfTrue="1" operator="equal">
      <formula>"Napkin Hs"</formula>
    </cfRule>
  </conditionalFormatting>
  <conditionalFormatting sqref="C38:C40">
    <cfRule type="cellIs" dxfId="23245" priority="14995" stopIfTrue="1" operator="equal">
      <formula>"Towel"</formula>
    </cfRule>
    <cfRule type="cellIs" dxfId="23244" priority="14996" stopIfTrue="1" operator="equal">
      <formula>"Napkin Hs"</formula>
    </cfRule>
  </conditionalFormatting>
  <conditionalFormatting sqref="C38:C40">
    <cfRule type="cellIs" dxfId="23243" priority="14997" stopIfTrue="1" operator="equal">
      <formula>"Towel"</formula>
    </cfRule>
    <cfRule type="cellIs" dxfId="23242" priority="14998" stopIfTrue="1" operator="equal">
      <formula>"Napkin Hs"</formula>
    </cfRule>
  </conditionalFormatting>
  <conditionalFormatting sqref="C38:C40">
    <cfRule type="cellIs" dxfId="23241" priority="14999" stopIfTrue="1" operator="equal">
      <formula>"Towel"</formula>
    </cfRule>
    <cfRule type="cellIs" dxfId="23240" priority="15000" stopIfTrue="1" operator="equal">
      <formula>"Napkin Hs"</formula>
    </cfRule>
  </conditionalFormatting>
  <conditionalFormatting sqref="B39:B40">
    <cfRule type="cellIs" dxfId="23239" priority="14993" stopIfTrue="1" operator="equal">
      <formula>"Towel"</formula>
    </cfRule>
    <cfRule type="cellIs" dxfId="23238" priority="14994" stopIfTrue="1" operator="equal">
      <formula>"Napkin Hs"</formula>
    </cfRule>
  </conditionalFormatting>
  <conditionalFormatting sqref="B39:C40 C38">
    <cfRule type="cellIs" dxfId="23237" priority="14989" stopIfTrue="1" operator="equal">
      <formula>"Towel"</formula>
    </cfRule>
    <cfRule type="cellIs" dxfId="23236" priority="14990" stopIfTrue="1" operator="equal">
      <formula>"Napkin Hs"</formula>
    </cfRule>
  </conditionalFormatting>
  <conditionalFormatting sqref="C38:C40">
    <cfRule type="cellIs" dxfId="23235" priority="14985" stopIfTrue="1" operator="equal">
      <formula>"Towel"</formula>
    </cfRule>
    <cfRule type="cellIs" dxfId="23234" priority="14986" stopIfTrue="1" operator="equal">
      <formula>"Napkin Hs"</formula>
    </cfRule>
  </conditionalFormatting>
  <conditionalFormatting sqref="C38:C40">
    <cfRule type="cellIs" dxfId="23233" priority="14987" stopIfTrue="1" operator="equal">
      <formula>"Towel"</formula>
    </cfRule>
    <cfRule type="cellIs" dxfId="23232" priority="14988" stopIfTrue="1" operator="equal">
      <formula>"Napkin Hs"</formula>
    </cfRule>
  </conditionalFormatting>
  <conditionalFormatting sqref="B39:C40 C38">
    <cfRule type="cellIs" dxfId="23231" priority="14983" stopIfTrue="1" operator="equal">
      <formula>"Towel"</formula>
    </cfRule>
    <cfRule type="cellIs" dxfId="23230" priority="14984" stopIfTrue="1" operator="equal">
      <formula>"Napkin Hs"</formula>
    </cfRule>
  </conditionalFormatting>
  <conditionalFormatting sqref="C38:C40">
    <cfRule type="cellIs" dxfId="23229" priority="14981" stopIfTrue="1" operator="equal">
      <formula>"Towel"</formula>
    </cfRule>
    <cfRule type="cellIs" dxfId="23228" priority="14982" stopIfTrue="1" operator="equal">
      <formula>"Napkin Hs"</formula>
    </cfRule>
  </conditionalFormatting>
  <conditionalFormatting sqref="C38:C40">
    <cfRule type="cellIs" dxfId="23227" priority="14979" stopIfTrue="1" operator="equal">
      <formula>"Towel"</formula>
    </cfRule>
    <cfRule type="cellIs" dxfId="23226" priority="14980" stopIfTrue="1" operator="equal">
      <formula>"Napkin Hs"</formula>
    </cfRule>
  </conditionalFormatting>
  <conditionalFormatting sqref="B39:C40 C38">
    <cfRule type="cellIs" dxfId="23225" priority="14963" stopIfTrue="1" operator="equal">
      <formula>"Towel"</formula>
    </cfRule>
    <cfRule type="cellIs" dxfId="23224" priority="14964" stopIfTrue="1" operator="equal">
      <formula>"Napkin Hs"</formula>
    </cfRule>
  </conditionalFormatting>
  <conditionalFormatting sqref="C38:C40">
    <cfRule type="cellIs" dxfId="23223" priority="14965" stopIfTrue="1" operator="equal">
      <formula>"Towel"</formula>
    </cfRule>
    <cfRule type="cellIs" dxfId="23222" priority="14966" stopIfTrue="1" operator="equal">
      <formula>"Napkin Hs"</formula>
    </cfRule>
  </conditionalFormatting>
  <conditionalFormatting sqref="C38:C40">
    <cfRule type="cellIs" dxfId="23221" priority="14961" stopIfTrue="1" operator="equal">
      <formula>"Towel"</formula>
    </cfRule>
    <cfRule type="cellIs" dxfId="23220" priority="14962" stopIfTrue="1" operator="equal">
      <formula>"Napkin Hs"</formula>
    </cfRule>
  </conditionalFormatting>
  <conditionalFormatting sqref="B39:C40 C38">
    <cfRule type="cellIs" dxfId="23219" priority="14959" stopIfTrue="1" operator="equal">
      <formula>"Towel"</formula>
    </cfRule>
    <cfRule type="cellIs" dxfId="23218" priority="14960" stopIfTrue="1" operator="equal">
      <formula>"Napkin Hs"</formula>
    </cfRule>
  </conditionalFormatting>
  <conditionalFormatting sqref="C38:C40">
    <cfRule type="cellIs" dxfId="23217" priority="14955" stopIfTrue="1" operator="equal">
      <formula>"Towel"</formula>
    </cfRule>
    <cfRule type="cellIs" dxfId="23216" priority="14956" stopIfTrue="1" operator="equal">
      <formula>"Napkin Hs"</formula>
    </cfRule>
  </conditionalFormatting>
  <conditionalFormatting sqref="C38:C40">
    <cfRule type="cellIs" dxfId="23215" priority="14957" stopIfTrue="1" operator="equal">
      <formula>"Towel"</formula>
    </cfRule>
    <cfRule type="cellIs" dxfId="23214" priority="14958" stopIfTrue="1" operator="equal">
      <formula>"Napkin Hs"</formula>
    </cfRule>
  </conditionalFormatting>
  <conditionalFormatting sqref="B39:C40 C38">
    <cfRule type="cellIs" dxfId="23213" priority="14951" stopIfTrue="1" operator="equal">
      <formula>"Towel"</formula>
    </cfRule>
    <cfRule type="cellIs" dxfId="23212" priority="14952" stopIfTrue="1" operator="equal">
      <formula>"Napkin Hs"</formula>
    </cfRule>
  </conditionalFormatting>
  <conditionalFormatting sqref="C38:C40">
    <cfRule type="cellIs" dxfId="23211" priority="14953" stopIfTrue="1" operator="equal">
      <formula>"Towel"</formula>
    </cfRule>
    <cfRule type="cellIs" dxfId="23210" priority="14954" stopIfTrue="1" operator="equal">
      <formula>"Napkin Hs"</formula>
    </cfRule>
  </conditionalFormatting>
  <conditionalFormatting sqref="C38:C40">
    <cfRule type="cellIs" dxfId="23209" priority="14949" stopIfTrue="1" operator="equal">
      <formula>"Towel"</formula>
    </cfRule>
    <cfRule type="cellIs" dxfId="23208" priority="14950" stopIfTrue="1" operator="equal">
      <formula>"Napkin Hs"</formula>
    </cfRule>
  </conditionalFormatting>
  <conditionalFormatting sqref="B39:C40 C38">
    <cfRule type="cellIs" dxfId="23207" priority="14947" stopIfTrue="1" operator="equal">
      <formula>"Towel"</formula>
    </cfRule>
    <cfRule type="cellIs" dxfId="23206" priority="14948" stopIfTrue="1" operator="equal">
      <formula>"Napkin Hs"</formula>
    </cfRule>
  </conditionalFormatting>
  <conditionalFormatting sqref="C38:C40">
    <cfRule type="cellIs" dxfId="23205" priority="14943" stopIfTrue="1" operator="equal">
      <formula>"Towel"</formula>
    </cfRule>
    <cfRule type="cellIs" dxfId="23204" priority="14944" stopIfTrue="1" operator="equal">
      <formula>"Napkin Hs"</formula>
    </cfRule>
  </conditionalFormatting>
  <conditionalFormatting sqref="C38:C40">
    <cfRule type="cellIs" dxfId="23203" priority="14945" stopIfTrue="1" operator="equal">
      <formula>"Towel"</formula>
    </cfRule>
    <cfRule type="cellIs" dxfId="23202" priority="14946" stopIfTrue="1" operator="equal">
      <formula>"Napkin Hs"</formula>
    </cfRule>
  </conditionalFormatting>
  <conditionalFormatting sqref="C37">
    <cfRule type="cellIs" dxfId="23201" priority="14855" stopIfTrue="1" operator="equal">
      <formula>"Towel"</formula>
    </cfRule>
    <cfRule type="cellIs" dxfId="23200" priority="14856" stopIfTrue="1" operator="equal">
      <formula>"Napkin Hs"</formula>
    </cfRule>
  </conditionalFormatting>
  <conditionalFormatting sqref="C37">
    <cfRule type="cellIs" dxfId="23199" priority="14853" stopIfTrue="1" operator="equal">
      <formula>"Towel"</formula>
    </cfRule>
    <cfRule type="cellIs" dxfId="23198" priority="14854" stopIfTrue="1" operator="equal">
      <formula>"Napkin Hs"</formula>
    </cfRule>
  </conditionalFormatting>
  <conditionalFormatting sqref="C37">
    <cfRule type="cellIs" dxfId="23197" priority="14851" stopIfTrue="1" operator="equal">
      <formula>"Towel"</formula>
    </cfRule>
    <cfRule type="cellIs" dxfId="23196" priority="14852" stopIfTrue="1" operator="equal">
      <formula>"Napkin Hs"</formula>
    </cfRule>
  </conditionalFormatting>
  <conditionalFormatting sqref="C37">
    <cfRule type="cellIs" dxfId="23195" priority="14849" stopIfTrue="1" operator="equal">
      <formula>"Towel"</formula>
    </cfRule>
    <cfRule type="cellIs" dxfId="23194" priority="14850" stopIfTrue="1" operator="equal">
      <formula>"Napkin Hs"</formula>
    </cfRule>
  </conditionalFormatting>
  <conditionalFormatting sqref="C37">
    <cfRule type="cellIs" dxfId="23193" priority="14845" stopIfTrue="1" operator="equal">
      <formula>"Towel"</formula>
    </cfRule>
    <cfRule type="cellIs" dxfId="23192" priority="14846" stopIfTrue="1" operator="equal">
      <formula>"Napkin Hs"</formula>
    </cfRule>
  </conditionalFormatting>
  <conditionalFormatting sqref="C37">
    <cfRule type="cellIs" dxfId="23191" priority="14848" stopIfTrue="1" operator="equal">
      <formula>"Napkin Hs"</formula>
    </cfRule>
  </conditionalFormatting>
  <conditionalFormatting sqref="C37">
    <cfRule type="cellIs" dxfId="23190" priority="14847" stopIfTrue="1" operator="equal">
      <formula>"Towel"</formula>
    </cfRule>
  </conditionalFormatting>
  <conditionalFormatting sqref="C37">
    <cfRule type="cellIs" dxfId="23189" priority="14791" stopIfTrue="1" operator="equal">
      <formula>"Towel"</formula>
    </cfRule>
    <cfRule type="cellIs" dxfId="23188" priority="14792" stopIfTrue="1" operator="equal">
      <formula>"Napkin Hs"</formula>
    </cfRule>
  </conditionalFormatting>
  <conditionalFormatting sqref="C37">
    <cfRule type="cellIs" dxfId="23187" priority="14793" stopIfTrue="1" operator="equal">
      <formula>"Towel"</formula>
    </cfRule>
    <cfRule type="cellIs" dxfId="23186" priority="14794" stopIfTrue="1" operator="equal">
      <formula>"Napkin Hs"</formula>
    </cfRule>
  </conditionalFormatting>
  <conditionalFormatting sqref="C37">
    <cfRule type="cellIs" dxfId="23185" priority="14789" stopIfTrue="1" operator="equal">
      <formula>"Towel"</formula>
    </cfRule>
    <cfRule type="cellIs" dxfId="23184" priority="14790" stopIfTrue="1" operator="equal">
      <formula>"Napkin Hs"</formula>
    </cfRule>
  </conditionalFormatting>
  <conditionalFormatting sqref="C37">
    <cfRule type="cellIs" dxfId="23183" priority="14787" stopIfTrue="1" operator="equal">
      <formula>"Towel"</formula>
    </cfRule>
    <cfRule type="cellIs" dxfId="23182" priority="14788" stopIfTrue="1" operator="equal">
      <formula>"Napkin Hs"</formula>
    </cfRule>
  </conditionalFormatting>
  <conditionalFormatting sqref="C37">
    <cfRule type="cellIs" dxfId="23181" priority="14783" stopIfTrue="1" operator="equal">
      <formula>"Towel"</formula>
    </cfRule>
    <cfRule type="cellIs" dxfId="23180" priority="14784" stopIfTrue="1" operator="equal">
      <formula>"Napkin Hs"</formula>
    </cfRule>
  </conditionalFormatting>
  <conditionalFormatting sqref="C37">
    <cfRule type="cellIs" dxfId="23179" priority="14785" stopIfTrue="1" operator="equal">
      <formula>"Towel"</formula>
    </cfRule>
    <cfRule type="cellIs" dxfId="23178" priority="14786" stopIfTrue="1" operator="equal">
      <formula>"Napkin Hs"</formula>
    </cfRule>
  </conditionalFormatting>
  <conditionalFormatting sqref="C37">
    <cfRule type="cellIs" dxfId="23177" priority="14843" stopIfTrue="1" operator="equal">
      <formula>"Towel"</formula>
    </cfRule>
    <cfRule type="cellIs" dxfId="23176" priority="14844" stopIfTrue="1" operator="equal">
      <formula>"Napkin Hs"</formula>
    </cfRule>
  </conditionalFormatting>
  <conditionalFormatting sqref="C37">
    <cfRule type="cellIs" dxfId="23175" priority="14839" stopIfTrue="1" operator="equal">
      <formula>"Towel"</formula>
    </cfRule>
    <cfRule type="cellIs" dxfId="23174" priority="14840" stopIfTrue="1" operator="equal">
      <formula>"Napkin Hs"</formula>
    </cfRule>
  </conditionalFormatting>
  <conditionalFormatting sqref="C37">
    <cfRule type="cellIs" dxfId="23173" priority="14842" stopIfTrue="1" operator="equal">
      <formula>"Napkin Hs"</formula>
    </cfRule>
  </conditionalFormatting>
  <conditionalFormatting sqref="C37">
    <cfRule type="cellIs" dxfId="23172" priority="14841" stopIfTrue="1" operator="equal">
      <formula>"Towel"</formula>
    </cfRule>
  </conditionalFormatting>
  <conditionalFormatting sqref="C37">
    <cfRule type="cellIs" dxfId="23171" priority="14833" stopIfTrue="1" operator="equal">
      <formula>"Towel"</formula>
    </cfRule>
    <cfRule type="cellIs" dxfId="23170" priority="14834" stopIfTrue="1" operator="equal">
      <formula>"Napkin Hs"</formula>
    </cfRule>
  </conditionalFormatting>
  <conditionalFormatting sqref="C37">
    <cfRule type="cellIs" dxfId="23169" priority="14837" stopIfTrue="1" operator="equal">
      <formula>"Towel"</formula>
    </cfRule>
    <cfRule type="cellIs" dxfId="23168" priority="14838" stopIfTrue="1" operator="equal">
      <formula>"Napkin Hs"</formula>
    </cfRule>
  </conditionalFormatting>
  <conditionalFormatting sqref="C37">
    <cfRule type="cellIs" dxfId="23167" priority="14835" stopIfTrue="1" operator="equal">
      <formula>"Towel"</formula>
    </cfRule>
    <cfRule type="cellIs" dxfId="23166" priority="14836" stopIfTrue="1" operator="equal">
      <formula>"Napkin Hs"</formula>
    </cfRule>
  </conditionalFormatting>
  <conditionalFormatting sqref="C37">
    <cfRule type="cellIs" dxfId="23165" priority="14827" stopIfTrue="1" operator="equal">
      <formula>"Towel"</formula>
    </cfRule>
    <cfRule type="cellIs" dxfId="23164" priority="14828" stopIfTrue="1" operator="equal">
      <formula>"Napkin Hs"</formula>
    </cfRule>
  </conditionalFormatting>
  <conditionalFormatting sqref="C37">
    <cfRule type="cellIs" dxfId="23163" priority="14829" stopIfTrue="1" operator="equal">
      <formula>"Towel"</formula>
    </cfRule>
    <cfRule type="cellIs" dxfId="23162" priority="14830" stopIfTrue="1" operator="equal">
      <formula>"Napkin Hs"</formula>
    </cfRule>
  </conditionalFormatting>
  <conditionalFormatting sqref="C37">
    <cfRule type="cellIs" dxfId="23161" priority="14831" stopIfTrue="1" operator="equal">
      <formula>"Towel"</formula>
    </cfRule>
    <cfRule type="cellIs" dxfId="23160" priority="14832" stopIfTrue="1" operator="equal">
      <formula>"Napkin Hs"</formula>
    </cfRule>
  </conditionalFormatting>
  <conditionalFormatting sqref="C37">
    <cfRule type="cellIs" dxfId="23159" priority="14817" stopIfTrue="1" operator="equal">
      <formula>"Towel"</formula>
    </cfRule>
    <cfRule type="cellIs" dxfId="23158" priority="14818" stopIfTrue="1" operator="equal">
      <formula>"Napkin Hs"</formula>
    </cfRule>
  </conditionalFormatting>
  <conditionalFormatting sqref="C37">
    <cfRule type="cellIs" dxfId="23157" priority="14821" stopIfTrue="1" operator="equal">
      <formula>"Towel"</formula>
    </cfRule>
    <cfRule type="cellIs" dxfId="23156" priority="14822" stopIfTrue="1" operator="equal">
      <formula>"Napkin Hs"</formula>
    </cfRule>
  </conditionalFormatting>
  <conditionalFormatting sqref="C37">
    <cfRule type="cellIs" dxfId="23155" priority="14819" stopIfTrue="1" operator="equal">
      <formula>"Towel"</formula>
    </cfRule>
    <cfRule type="cellIs" dxfId="23154" priority="14820" stopIfTrue="1" operator="equal">
      <formula>"Napkin Hs"</formula>
    </cfRule>
  </conditionalFormatting>
  <conditionalFormatting sqref="C37">
    <cfRule type="cellIs" dxfId="23153" priority="14811" stopIfTrue="1" operator="equal">
      <formula>"Towel"</formula>
    </cfRule>
    <cfRule type="cellIs" dxfId="23152" priority="14812" stopIfTrue="1" operator="equal">
      <formula>"Napkin Hs"</formula>
    </cfRule>
  </conditionalFormatting>
  <conditionalFormatting sqref="C37">
    <cfRule type="cellIs" dxfId="23151" priority="14813" stopIfTrue="1" operator="equal">
      <formula>"Towel"</formula>
    </cfRule>
    <cfRule type="cellIs" dxfId="23150" priority="14814" stopIfTrue="1" operator="equal">
      <formula>"Napkin Hs"</formula>
    </cfRule>
  </conditionalFormatting>
  <conditionalFormatting sqref="C37">
    <cfRule type="cellIs" dxfId="23149" priority="14815" stopIfTrue="1" operator="equal">
      <formula>"Towel"</formula>
    </cfRule>
    <cfRule type="cellIs" dxfId="23148" priority="14816" stopIfTrue="1" operator="equal">
      <formula>"Napkin Hs"</formula>
    </cfRule>
  </conditionalFormatting>
  <conditionalFormatting sqref="C37">
    <cfRule type="cellIs" dxfId="23147" priority="14805" stopIfTrue="1" operator="equal">
      <formula>"Towel"</formula>
    </cfRule>
    <cfRule type="cellIs" dxfId="23146" priority="14806" stopIfTrue="1" operator="equal">
      <formula>"Napkin Hs"</formula>
    </cfRule>
  </conditionalFormatting>
  <conditionalFormatting sqref="C37">
    <cfRule type="cellIs" dxfId="23145" priority="14801" stopIfTrue="1" operator="equal">
      <formula>"Towel"</formula>
    </cfRule>
    <cfRule type="cellIs" dxfId="23144" priority="14802" stopIfTrue="1" operator="equal">
      <formula>"Napkin Hs"</formula>
    </cfRule>
  </conditionalFormatting>
  <conditionalFormatting sqref="C37">
    <cfRule type="cellIs" dxfId="23143" priority="14803" stopIfTrue="1" operator="equal">
      <formula>"Towel"</formula>
    </cfRule>
    <cfRule type="cellIs" dxfId="23142" priority="14804" stopIfTrue="1" operator="equal">
      <formula>"Napkin Hs"</formula>
    </cfRule>
  </conditionalFormatting>
  <conditionalFormatting sqref="C37">
    <cfRule type="cellIs" dxfId="23141" priority="14799" stopIfTrue="1" operator="equal">
      <formula>"Towel"</formula>
    </cfRule>
    <cfRule type="cellIs" dxfId="23140" priority="14800" stopIfTrue="1" operator="equal">
      <formula>"Napkin Hs"</formula>
    </cfRule>
  </conditionalFormatting>
  <conditionalFormatting sqref="C37">
    <cfRule type="cellIs" dxfId="23139" priority="14797" stopIfTrue="1" operator="equal">
      <formula>"Towel"</formula>
    </cfRule>
    <cfRule type="cellIs" dxfId="23138" priority="14798" stopIfTrue="1" operator="equal">
      <formula>"Napkin Hs"</formula>
    </cfRule>
  </conditionalFormatting>
  <conditionalFormatting sqref="C37">
    <cfRule type="cellIs" dxfId="23137" priority="14795" stopIfTrue="1" operator="equal">
      <formula>"Towel"</formula>
    </cfRule>
    <cfRule type="cellIs" dxfId="23136" priority="14796" stopIfTrue="1" operator="equal">
      <formula>"Napkin Hs"</formula>
    </cfRule>
  </conditionalFormatting>
  <conditionalFormatting sqref="C37">
    <cfRule type="cellIs" dxfId="23135" priority="14779" stopIfTrue="1" operator="equal">
      <formula>"Towel"</formula>
    </cfRule>
    <cfRule type="cellIs" dxfId="23134" priority="14780" stopIfTrue="1" operator="equal">
      <formula>"Napkin Hs"</formula>
    </cfRule>
  </conditionalFormatting>
  <conditionalFormatting sqref="C37">
    <cfRule type="cellIs" dxfId="23133" priority="14781" stopIfTrue="1" operator="equal">
      <formula>"Towel"</formula>
    </cfRule>
    <cfRule type="cellIs" dxfId="23132" priority="14782" stopIfTrue="1" operator="equal">
      <formula>"Napkin Hs"</formula>
    </cfRule>
  </conditionalFormatting>
  <conditionalFormatting sqref="C37">
    <cfRule type="cellIs" dxfId="23131" priority="14777" stopIfTrue="1" operator="equal">
      <formula>"Towel"</formula>
    </cfRule>
    <cfRule type="cellIs" dxfId="23130" priority="14778" stopIfTrue="1" operator="equal">
      <formula>"Napkin Hs"</formula>
    </cfRule>
  </conditionalFormatting>
  <conditionalFormatting sqref="C37">
    <cfRule type="cellIs" dxfId="23129" priority="14775" stopIfTrue="1" operator="equal">
      <formula>"Towel"</formula>
    </cfRule>
    <cfRule type="cellIs" dxfId="23128" priority="14776" stopIfTrue="1" operator="equal">
      <formula>"Napkin Hs"</formula>
    </cfRule>
  </conditionalFormatting>
  <conditionalFormatting sqref="C37">
    <cfRule type="cellIs" dxfId="23127" priority="14771" stopIfTrue="1" operator="equal">
      <formula>"Towel"</formula>
    </cfRule>
    <cfRule type="cellIs" dxfId="23126" priority="14772" stopIfTrue="1" operator="equal">
      <formula>"Napkin Hs"</formula>
    </cfRule>
  </conditionalFormatting>
  <conditionalFormatting sqref="C37">
    <cfRule type="cellIs" dxfId="23125" priority="14773" stopIfTrue="1" operator="equal">
      <formula>"Towel"</formula>
    </cfRule>
    <cfRule type="cellIs" dxfId="23124" priority="14774" stopIfTrue="1" operator="equal">
      <formula>"Napkin Hs"</formula>
    </cfRule>
  </conditionalFormatting>
  <conditionalFormatting sqref="C37">
    <cfRule type="cellIs" dxfId="23123" priority="14767" stopIfTrue="1" operator="equal">
      <formula>"Towel"</formula>
    </cfRule>
    <cfRule type="cellIs" dxfId="23122" priority="14768" stopIfTrue="1" operator="equal">
      <formula>"Napkin Hs"</formula>
    </cfRule>
  </conditionalFormatting>
  <conditionalFormatting sqref="C37">
    <cfRule type="cellIs" dxfId="23121" priority="14769" stopIfTrue="1" operator="equal">
      <formula>"Towel"</formula>
    </cfRule>
    <cfRule type="cellIs" dxfId="23120" priority="14770" stopIfTrue="1" operator="equal">
      <formula>"Napkin Hs"</formula>
    </cfRule>
  </conditionalFormatting>
  <conditionalFormatting sqref="C37">
    <cfRule type="cellIs" dxfId="23119" priority="14765" stopIfTrue="1" operator="equal">
      <formula>"Towel"</formula>
    </cfRule>
    <cfRule type="cellIs" dxfId="23118" priority="14766" stopIfTrue="1" operator="equal">
      <formula>"Napkin Hs"</formula>
    </cfRule>
  </conditionalFormatting>
  <conditionalFormatting sqref="C37">
    <cfRule type="cellIs" dxfId="23117" priority="14763" stopIfTrue="1" operator="equal">
      <formula>"Towel"</formula>
    </cfRule>
    <cfRule type="cellIs" dxfId="23116" priority="14764" stopIfTrue="1" operator="equal">
      <formula>"Napkin Hs"</formula>
    </cfRule>
  </conditionalFormatting>
  <conditionalFormatting sqref="C37">
    <cfRule type="cellIs" dxfId="23115" priority="14759" stopIfTrue="1" operator="equal">
      <formula>"Towel"</formula>
    </cfRule>
    <cfRule type="cellIs" dxfId="23114" priority="14760" stopIfTrue="1" operator="equal">
      <formula>"Napkin Hs"</formula>
    </cfRule>
  </conditionalFormatting>
  <conditionalFormatting sqref="C37">
    <cfRule type="cellIs" dxfId="23113" priority="14761" stopIfTrue="1" operator="equal">
      <formula>"Towel"</formula>
    </cfRule>
    <cfRule type="cellIs" dxfId="23112" priority="14762" stopIfTrue="1" operator="equal">
      <formula>"Napkin Hs"</formula>
    </cfRule>
  </conditionalFormatting>
  <conditionalFormatting sqref="C46">
    <cfRule type="cellIs" dxfId="23111" priority="14727" stopIfTrue="1" operator="equal">
      <formula>"Towel"</formula>
    </cfRule>
    <cfRule type="cellIs" dxfId="23110" priority="14728" stopIfTrue="1" operator="equal">
      <formula>"Napkin Hs"</formula>
    </cfRule>
  </conditionalFormatting>
  <conditionalFormatting sqref="B46:C46">
    <cfRule type="cellIs" dxfId="23109" priority="14729" stopIfTrue="1" operator="equal">
      <formula>"Towel"</formula>
    </cfRule>
    <cfRule type="cellIs" dxfId="23108" priority="14730" stopIfTrue="1" operator="equal">
      <formula>"Napkin Hs"</formula>
    </cfRule>
  </conditionalFormatting>
  <conditionalFormatting sqref="C46">
    <cfRule type="cellIs" dxfId="23107" priority="14725" stopIfTrue="1" operator="equal">
      <formula>"Towel"</formula>
    </cfRule>
    <cfRule type="cellIs" dxfId="23106" priority="14726" stopIfTrue="1" operator="equal">
      <formula>"Napkin Hs"</formula>
    </cfRule>
  </conditionalFormatting>
  <conditionalFormatting sqref="B46:C46">
    <cfRule type="cellIs" dxfId="23105" priority="14723" stopIfTrue="1" operator="equal">
      <formula>"Towel"</formula>
    </cfRule>
    <cfRule type="cellIs" dxfId="23104" priority="14724" stopIfTrue="1" operator="equal">
      <formula>"Napkin Hs"</formula>
    </cfRule>
  </conditionalFormatting>
  <conditionalFormatting sqref="C46">
    <cfRule type="cellIs" dxfId="23103" priority="14731" stopIfTrue="1" operator="equal">
      <formula>"Towel"</formula>
    </cfRule>
    <cfRule type="cellIs" dxfId="23102" priority="14732" stopIfTrue="1" operator="equal">
      <formula>"Napkin Hs"</formula>
    </cfRule>
  </conditionalFormatting>
  <conditionalFormatting sqref="C46">
    <cfRule type="cellIs" dxfId="23101" priority="14733" stopIfTrue="1" operator="equal">
      <formula>"Towel"</formula>
    </cfRule>
    <cfRule type="cellIs" dxfId="23100" priority="14734" stopIfTrue="1" operator="equal">
      <formula>"Napkin Hs"</formula>
    </cfRule>
  </conditionalFormatting>
  <conditionalFormatting sqref="C46">
    <cfRule type="cellIs" dxfId="23099" priority="14703" stopIfTrue="1" operator="equal">
      <formula>"Towel"</formula>
    </cfRule>
    <cfRule type="cellIs" dxfId="23098" priority="14704" stopIfTrue="1" operator="equal">
      <formula>"Napkin Hs"</formula>
    </cfRule>
  </conditionalFormatting>
  <conditionalFormatting sqref="B46:C46">
    <cfRule type="cellIs" dxfId="23097" priority="14705" stopIfTrue="1" operator="equal">
      <formula>"Towel"</formula>
    </cfRule>
    <cfRule type="cellIs" dxfId="23096" priority="14706" stopIfTrue="1" operator="equal">
      <formula>"Napkin Hs"</formula>
    </cfRule>
  </conditionalFormatting>
  <conditionalFormatting sqref="C46">
    <cfRule type="cellIs" dxfId="23095" priority="14701" stopIfTrue="1" operator="equal">
      <formula>"Towel"</formula>
    </cfRule>
    <cfRule type="cellIs" dxfId="23094" priority="14702" stopIfTrue="1" operator="equal">
      <formula>"Napkin Hs"</formula>
    </cfRule>
  </conditionalFormatting>
  <conditionalFormatting sqref="B46:C46">
    <cfRule type="cellIs" dxfId="23093" priority="14699" stopIfTrue="1" operator="equal">
      <formula>"Towel"</formula>
    </cfRule>
    <cfRule type="cellIs" dxfId="23092" priority="14700" stopIfTrue="1" operator="equal">
      <formula>"Napkin Hs"</formula>
    </cfRule>
  </conditionalFormatting>
  <conditionalFormatting sqref="C46">
    <cfRule type="cellIs" dxfId="23091" priority="14707" stopIfTrue="1" operator="equal">
      <formula>"Towel"</formula>
    </cfRule>
    <cfRule type="cellIs" dxfId="23090" priority="14708" stopIfTrue="1" operator="equal">
      <formula>"Napkin Hs"</formula>
    </cfRule>
  </conditionalFormatting>
  <conditionalFormatting sqref="C46">
    <cfRule type="cellIs" dxfId="23089" priority="14709" stopIfTrue="1" operator="equal">
      <formula>"Towel"</formula>
    </cfRule>
    <cfRule type="cellIs" dxfId="23088" priority="14710" stopIfTrue="1" operator="equal">
      <formula>"Napkin Hs"</formula>
    </cfRule>
  </conditionalFormatting>
  <conditionalFormatting sqref="C46">
    <cfRule type="cellIs" dxfId="23087" priority="14665" stopIfTrue="1" operator="equal">
      <formula>"Towel"</formula>
    </cfRule>
    <cfRule type="cellIs" dxfId="23086" priority="14666" stopIfTrue="1" operator="equal">
      <formula>"Napkin Hs"</formula>
    </cfRule>
  </conditionalFormatting>
  <conditionalFormatting sqref="C46">
    <cfRule type="cellIs" dxfId="23085" priority="14667" stopIfTrue="1" operator="equal">
      <formula>"Towel"</formula>
    </cfRule>
    <cfRule type="cellIs" dxfId="23084" priority="14668" stopIfTrue="1" operator="equal">
      <formula>"Napkin Hs"</formula>
    </cfRule>
  </conditionalFormatting>
  <conditionalFormatting sqref="C46">
    <cfRule type="cellIs" dxfId="23083" priority="14663" stopIfTrue="1" operator="equal">
      <formula>"Towel"</formula>
    </cfRule>
    <cfRule type="cellIs" dxfId="23082" priority="14664" stopIfTrue="1" operator="equal">
      <formula>"Napkin Hs"</formula>
    </cfRule>
  </conditionalFormatting>
  <conditionalFormatting sqref="B46">
    <cfRule type="cellIs" dxfId="23081" priority="14661" stopIfTrue="1" operator="equal">
      <formula>"Towel"</formula>
    </cfRule>
    <cfRule type="cellIs" dxfId="23080" priority="14662" stopIfTrue="1" operator="equal">
      <formula>"Napkin Hs"</formula>
    </cfRule>
  </conditionalFormatting>
  <conditionalFormatting sqref="B37:B38">
    <cfRule type="cellIs" dxfId="23079" priority="14199" stopIfTrue="1" operator="equal">
      <formula>"Towel"</formula>
    </cfRule>
    <cfRule type="cellIs" dxfId="23078" priority="14200" stopIfTrue="1" operator="equal">
      <formula>"Napkin Hs"</formula>
    </cfRule>
  </conditionalFormatting>
  <conditionalFormatting sqref="B37:B38">
    <cfRule type="cellIs" dxfId="23077" priority="14183" stopIfTrue="1" operator="equal">
      <formula>"Towel"</formula>
    </cfRule>
    <cfRule type="cellIs" dxfId="23076" priority="14184" stopIfTrue="1" operator="equal">
      <formula>"Napkin Hs"</formula>
    </cfRule>
  </conditionalFormatting>
  <conditionalFormatting sqref="B37:B38">
    <cfRule type="cellIs" dxfId="23075" priority="14181" stopIfTrue="1" operator="equal">
      <formula>"Towel"</formula>
    </cfRule>
    <cfRule type="cellIs" dxfId="23074" priority="14182" stopIfTrue="1" operator="equal">
      <formula>"Napkin Hs"</formula>
    </cfRule>
  </conditionalFormatting>
  <conditionalFormatting sqref="B37:B38">
    <cfRule type="cellIs" dxfId="23073" priority="14197" stopIfTrue="1" operator="equal">
      <formula>"Towel"</formula>
    </cfRule>
    <cfRule type="cellIs" dxfId="23072" priority="14198" stopIfTrue="1" operator="equal">
      <formula>"Napkin Hs"</formula>
    </cfRule>
  </conditionalFormatting>
  <conditionalFormatting sqref="B37:B38">
    <cfRule type="cellIs" dxfId="23071" priority="14193" stopIfTrue="1" operator="equal">
      <formula>"Towel"</formula>
    </cfRule>
    <cfRule type="cellIs" dxfId="23070" priority="14194" stopIfTrue="1" operator="equal">
      <formula>"Napkin Hs"</formula>
    </cfRule>
  </conditionalFormatting>
  <conditionalFormatting sqref="B37:B38">
    <cfRule type="cellIs" dxfId="23069" priority="14195" stopIfTrue="1" operator="equal">
      <formula>"Towel"</formula>
    </cfRule>
    <cfRule type="cellIs" dxfId="23068" priority="14196" stopIfTrue="1" operator="equal">
      <formula>"Napkin Hs"</formula>
    </cfRule>
  </conditionalFormatting>
  <conditionalFormatting sqref="B37:B38">
    <cfRule type="cellIs" dxfId="23067" priority="14189" stopIfTrue="1" operator="equal">
      <formula>"Towel"</formula>
    </cfRule>
    <cfRule type="cellIs" dxfId="23066" priority="14190" stopIfTrue="1" operator="equal">
      <formula>"Napkin Hs"</formula>
    </cfRule>
  </conditionalFormatting>
  <conditionalFormatting sqref="B37:B38">
    <cfRule type="cellIs" dxfId="23065" priority="14191" stopIfTrue="1" operator="equal">
      <formula>"Towel"</formula>
    </cfRule>
    <cfRule type="cellIs" dxfId="23064" priority="14192" stopIfTrue="1" operator="equal">
      <formula>"Napkin Hs"</formula>
    </cfRule>
  </conditionalFormatting>
  <conditionalFormatting sqref="B37:B38">
    <cfRule type="cellIs" dxfId="23063" priority="14187" stopIfTrue="1" operator="equal">
      <formula>"Towel"</formula>
    </cfRule>
    <cfRule type="cellIs" dxfId="23062" priority="14188" stopIfTrue="1" operator="equal">
      <formula>"Napkin Hs"</formula>
    </cfRule>
  </conditionalFormatting>
  <conditionalFormatting sqref="B37:B38">
    <cfRule type="cellIs" dxfId="23061" priority="14185" stopIfTrue="1" operator="equal">
      <formula>"Towel"</formula>
    </cfRule>
    <cfRule type="cellIs" dxfId="23060" priority="14186" stopIfTrue="1" operator="equal">
      <formula>"Napkin Hs"</formula>
    </cfRule>
  </conditionalFormatting>
  <conditionalFormatting sqref="B37:B38">
    <cfRule type="cellIs" dxfId="23059" priority="14179" stopIfTrue="1" operator="equal">
      <formula>"Towel"</formula>
    </cfRule>
    <cfRule type="cellIs" dxfId="23058" priority="14180" stopIfTrue="1" operator="equal">
      <formula>"Napkin Hs"</formula>
    </cfRule>
  </conditionalFormatting>
  <conditionalFormatting sqref="B37:B38">
    <cfRule type="cellIs" dxfId="23057" priority="14177" stopIfTrue="1" operator="equal">
      <formula>"Towel"</formula>
    </cfRule>
    <cfRule type="cellIs" dxfId="23056" priority="14178" stopIfTrue="1" operator="equal">
      <formula>"Napkin Hs"</formula>
    </cfRule>
  </conditionalFormatting>
  <conditionalFormatting sqref="B37:B38">
    <cfRule type="cellIs" dxfId="23055" priority="14175" stopIfTrue="1" operator="equal">
      <formula>"Towel"</formula>
    </cfRule>
    <cfRule type="cellIs" dxfId="23054" priority="14176" stopIfTrue="1" operator="equal">
      <formula>"Napkin Hs"</formula>
    </cfRule>
  </conditionalFormatting>
  <conditionalFormatting sqref="B37:B38">
    <cfRule type="cellIs" dxfId="23053" priority="14173" stopIfTrue="1" operator="equal">
      <formula>"Towel"</formula>
    </cfRule>
    <cfRule type="cellIs" dxfId="23052" priority="14174" stopIfTrue="1" operator="equal">
      <formula>"Napkin Hs"</formula>
    </cfRule>
  </conditionalFormatting>
  <conditionalFormatting sqref="C42">
    <cfRule type="cellIs" dxfId="23051" priority="14137" stopIfTrue="1" operator="equal">
      <formula>"Towel"</formula>
    </cfRule>
    <cfRule type="cellIs" dxfId="23050" priority="14138" stopIfTrue="1" operator="equal">
      <formula>"Napkin Hs"</formula>
    </cfRule>
  </conditionalFormatting>
  <conditionalFormatting sqref="C42">
    <cfRule type="cellIs" dxfId="23049" priority="14139" stopIfTrue="1" operator="equal">
      <formula>"Towel"</formula>
    </cfRule>
    <cfRule type="cellIs" dxfId="23048" priority="14140" stopIfTrue="1" operator="equal">
      <formula>"Napkin Hs"</formula>
    </cfRule>
  </conditionalFormatting>
  <conditionalFormatting sqref="C42">
    <cfRule type="cellIs" dxfId="23047" priority="14135" stopIfTrue="1" operator="equal">
      <formula>"Towel"</formula>
    </cfRule>
    <cfRule type="cellIs" dxfId="23046" priority="14136" stopIfTrue="1" operator="equal">
      <formula>"Napkin Hs"</formula>
    </cfRule>
  </conditionalFormatting>
  <conditionalFormatting sqref="C42">
    <cfRule type="cellIs" dxfId="23045" priority="14133" stopIfTrue="1" operator="equal">
      <formula>"Towel"</formula>
    </cfRule>
    <cfRule type="cellIs" dxfId="23044" priority="14134" stopIfTrue="1" operator="equal">
      <formula>"Napkin Hs"</formula>
    </cfRule>
  </conditionalFormatting>
  <conditionalFormatting sqref="C42">
    <cfRule type="cellIs" dxfId="23043" priority="14141" stopIfTrue="1" operator="equal">
      <formula>"Towel"</formula>
    </cfRule>
    <cfRule type="cellIs" dxfId="23042" priority="14142" stopIfTrue="1" operator="equal">
      <formula>"Napkin Hs"</formula>
    </cfRule>
  </conditionalFormatting>
  <conditionalFormatting sqref="C42">
    <cfRule type="cellIs" dxfId="23041" priority="14143" stopIfTrue="1" operator="equal">
      <formula>"Towel"</formula>
    </cfRule>
    <cfRule type="cellIs" dxfId="23040" priority="14144" stopIfTrue="1" operator="equal">
      <formula>"Napkin Hs"</formula>
    </cfRule>
  </conditionalFormatting>
  <conditionalFormatting sqref="C42">
    <cfRule type="cellIs" dxfId="23039" priority="14129" stopIfTrue="1" operator="equal">
      <formula>"Towel"</formula>
    </cfRule>
    <cfRule type="cellIs" dxfId="23038" priority="14130" stopIfTrue="1" operator="equal">
      <formula>"Napkin Hs"</formula>
    </cfRule>
  </conditionalFormatting>
  <conditionalFormatting sqref="C42">
    <cfRule type="cellIs" dxfId="23037" priority="14131" stopIfTrue="1" operator="equal">
      <formula>"Towel"</formula>
    </cfRule>
    <cfRule type="cellIs" dxfId="23036" priority="14132" stopIfTrue="1" operator="equal">
      <formula>"Napkin Hs"</formula>
    </cfRule>
  </conditionalFormatting>
  <conditionalFormatting sqref="C42">
    <cfRule type="cellIs" dxfId="23035" priority="14127" stopIfTrue="1" operator="equal">
      <formula>"Towel"</formula>
    </cfRule>
    <cfRule type="cellIs" dxfId="23034" priority="14128" stopIfTrue="1" operator="equal">
      <formula>"Napkin Hs"</formula>
    </cfRule>
  </conditionalFormatting>
  <conditionalFormatting sqref="C42">
    <cfRule type="cellIs" dxfId="23033" priority="14121" stopIfTrue="1" operator="equal">
      <formula>"Towel"</formula>
    </cfRule>
    <cfRule type="cellIs" dxfId="23032" priority="14122" stopIfTrue="1" operator="equal">
      <formula>"Napkin Hs"</formula>
    </cfRule>
  </conditionalFormatting>
  <conditionalFormatting sqref="C42">
    <cfRule type="cellIs" dxfId="23031" priority="14123" stopIfTrue="1" operator="equal">
      <formula>"Towel"</formula>
    </cfRule>
    <cfRule type="cellIs" dxfId="23030" priority="14124" stopIfTrue="1" operator="equal">
      <formula>"Napkin Hs"</formula>
    </cfRule>
  </conditionalFormatting>
  <conditionalFormatting sqref="C42">
    <cfRule type="cellIs" dxfId="23029" priority="14125" stopIfTrue="1" operator="equal">
      <formula>"Towel"</formula>
    </cfRule>
    <cfRule type="cellIs" dxfId="23028" priority="14126" stopIfTrue="1" operator="equal">
      <formula>"Napkin Hs"</formula>
    </cfRule>
  </conditionalFormatting>
  <conditionalFormatting sqref="C42">
    <cfRule type="cellIs" dxfId="23027" priority="14075" stopIfTrue="1" operator="equal">
      <formula>"Towel"</formula>
    </cfRule>
    <cfRule type="cellIs" dxfId="23026" priority="14076" stopIfTrue="1" operator="equal">
      <formula>"Napkin Hs"</formula>
    </cfRule>
  </conditionalFormatting>
  <conditionalFormatting sqref="C42">
    <cfRule type="cellIs" dxfId="23025" priority="14077" stopIfTrue="1" operator="equal">
      <formula>"Towel"</formula>
    </cfRule>
    <cfRule type="cellIs" dxfId="23024" priority="14078" stopIfTrue="1" operator="equal">
      <formula>"Napkin Hs"</formula>
    </cfRule>
  </conditionalFormatting>
  <conditionalFormatting sqref="C42">
    <cfRule type="cellIs" dxfId="23023" priority="14073" stopIfTrue="1" operator="equal">
      <formula>"Towel"</formula>
    </cfRule>
    <cfRule type="cellIs" dxfId="23022" priority="14074" stopIfTrue="1" operator="equal">
      <formula>"Napkin Hs"</formula>
    </cfRule>
  </conditionalFormatting>
  <conditionalFormatting sqref="C42">
    <cfRule type="cellIs" dxfId="23021" priority="14071" stopIfTrue="1" operator="equal">
      <formula>"Towel"</formula>
    </cfRule>
    <cfRule type="cellIs" dxfId="23020" priority="14072" stopIfTrue="1" operator="equal">
      <formula>"Napkin Hs"</formula>
    </cfRule>
  </conditionalFormatting>
  <conditionalFormatting sqref="C42">
    <cfRule type="cellIs" dxfId="23019" priority="14067" stopIfTrue="1" operator="equal">
      <formula>"Towel"</formula>
    </cfRule>
    <cfRule type="cellIs" dxfId="23018" priority="14068" stopIfTrue="1" operator="equal">
      <formula>"Napkin Hs"</formula>
    </cfRule>
  </conditionalFormatting>
  <conditionalFormatting sqref="C42">
    <cfRule type="cellIs" dxfId="23017" priority="14069" stopIfTrue="1" operator="equal">
      <formula>"Towel"</formula>
    </cfRule>
    <cfRule type="cellIs" dxfId="23016" priority="14070" stopIfTrue="1" operator="equal">
      <formula>"Napkin Hs"</formula>
    </cfRule>
  </conditionalFormatting>
  <conditionalFormatting sqref="C42">
    <cfRule type="cellIs" dxfId="23015" priority="14119" stopIfTrue="1" operator="equal">
      <formula>"Towel"</formula>
    </cfRule>
    <cfRule type="cellIs" dxfId="23014" priority="14120" stopIfTrue="1" operator="equal">
      <formula>"Napkin Hs"</formula>
    </cfRule>
  </conditionalFormatting>
  <conditionalFormatting sqref="C42">
    <cfRule type="cellIs" dxfId="23013" priority="14115" stopIfTrue="1" operator="equal">
      <formula>"Towel"</formula>
    </cfRule>
    <cfRule type="cellIs" dxfId="23012" priority="14116" stopIfTrue="1" operator="equal">
      <formula>"Napkin Hs"</formula>
    </cfRule>
  </conditionalFormatting>
  <conditionalFormatting sqref="C42">
    <cfRule type="cellIs" dxfId="23011" priority="14118" stopIfTrue="1" operator="equal">
      <formula>"Napkin Hs"</formula>
    </cfRule>
  </conditionalFormatting>
  <conditionalFormatting sqref="C42">
    <cfRule type="cellIs" dxfId="23010" priority="14117" stopIfTrue="1" operator="equal">
      <formula>"Towel"</formula>
    </cfRule>
  </conditionalFormatting>
  <conditionalFormatting sqref="C42">
    <cfRule type="cellIs" dxfId="23009" priority="14109" stopIfTrue="1" operator="equal">
      <formula>"Towel"</formula>
    </cfRule>
    <cfRule type="cellIs" dxfId="23008" priority="14110" stopIfTrue="1" operator="equal">
      <formula>"Napkin Hs"</formula>
    </cfRule>
  </conditionalFormatting>
  <conditionalFormatting sqref="C42">
    <cfRule type="cellIs" dxfId="23007" priority="14113" stopIfTrue="1" operator="equal">
      <formula>"Towel"</formula>
    </cfRule>
    <cfRule type="cellIs" dxfId="23006" priority="14114" stopIfTrue="1" operator="equal">
      <formula>"Napkin Hs"</formula>
    </cfRule>
  </conditionalFormatting>
  <conditionalFormatting sqref="C42">
    <cfRule type="cellIs" dxfId="23005" priority="14111" stopIfTrue="1" operator="equal">
      <formula>"Towel"</formula>
    </cfRule>
    <cfRule type="cellIs" dxfId="23004" priority="14112" stopIfTrue="1" operator="equal">
      <formula>"Napkin Hs"</formula>
    </cfRule>
  </conditionalFormatting>
  <conditionalFormatting sqref="C42">
    <cfRule type="cellIs" dxfId="23003" priority="14103" stopIfTrue="1" operator="equal">
      <formula>"Towel"</formula>
    </cfRule>
    <cfRule type="cellIs" dxfId="23002" priority="14104" stopIfTrue="1" operator="equal">
      <formula>"Napkin Hs"</formula>
    </cfRule>
  </conditionalFormatting>
  <conditionalFormatting sqref="C42">
    <cfRule type="cellIs" dxfId="23001" priority="14105" stopIfTrue="1" operator="equal">
      <formula>"Towel"</formula>
    </cfRule>
    <cfRule type="cellIs" dxfId="23000" priority="14106" stopIfTrue="1" operator="equal">
      <formula>"Napkin Hs"</formula>
    </cfRule>
  </conditionalFormatting>
  <conditionalFormatting sqref="C42">
    <cfRule type="cellIs" dxfId="22999" priority="14107" stopIfTrue="1" operator="equal">
      <formula>"Towel"</formula>
    </cfRule>
    <cfRule type="cellIs" dxfId="22998" priority="14108" stopIfTrue="1" operator="equal">
      <formula>"Napkin Hs"</formula>
    </cfRule>
  </conditionalFormatting>
  <conditionalFormatting sqref="C42">
    <cfRule type="cellIs" dxfId="22997" priority="14097" stopIfTrue="1" operator="equal">
      <formula>"Towel"</formula>
    </cfRule>
    <cfRule type="cellIs" dxfId="22996" priority="14098" stopIfTrue="1" operator="equal">
      <formula>"Napkin Hs"</formula>
    </cfRule>
  </conditionalFormatting>
  <conditionalFormatting sqref="C42">
    <cfRule type="cellIs" dxfId="22995" priority="14101" stopIfTrue="1" operator="equal">
      <formula>"Towel"</formula>
    </cfRule>
    <cfRule type="cellIs" dxfId="22994" priority="14102" stopIfTrue="1" operator="equal">
      <formula>"Napkin Hs"</formula>
    </cfRule>
  </conditionalFormatting>
  <conditionalFormatting sqref="C42">
    <cfRule type="cellIs" dxfId="22993" priority="14099" stopIfTrue="1" operator="equal">
      <formula>"Towel"</formula>
    </cfRule>
    <cfRule type="cellIs" dxfId="22992" priority="14100" stopIfTrue="1" operator="equal">
      <formula>"Napkin Hs"</formula>
    </cfRule>
  </conditionalFormatting>
  <conditionalFormatting sqref="C42">
    <cfRule type="cellIs" dxfId="22991" priority="14091" stopIfTrue="1" operator="equal">
      <formula>"Towel"</formula>
    </cfRule>
    <cfRule type="cellIs" dxfId="22990" priority="14092" stopIfTrue="1" operator="equal">
      <formula>"Napkin Hs"</formula>
    </cfRule>
  </conditionalFormatting>
  <conditionalFormatting sqref="C42">
    <cfRule type="cellIs" dxfId="22989" priority="14093" stopIfTrue="1" operator="equal">
      <formula>"Towel"</formula>
    </cfRule>
    <cfRule type="cellIs" dxfId="22988" priority="14094" stopIfTrue="1" operator="equal">
      <formula>"Napkin Hs"</formula>
    </cfRule>
  </conditionalFormatting>
  <conditionalFormatting sqref="C42">
    <cfRule type="cellIs" dxfId="22987" priority="14095" stopIfTrue="1" operator="equal">
      <formula>"Towel"</formula>
    </cfRule>
    <cfRule type="cellIs" dxfId="22986" priority="14096" stopIfTrue="1" operator="equal">
      <formula>"Napkin Hs"</formula>
    </cfRule>
  </conditionalFormatting>
  <conditionalFormatting sqref="C42">
    <cfRule type="cellIs" dxfId="22985" priority="14089" stopIfTrue="1" operator="equal">
      <formula>"Towel"</formula>
    </cfRule>
    <cfRule type="cellIs" dxfId="22984" priority="14090" stopIfTrue="1" operator="equal">
      <formula>"Napkin Hs"</formula>
    </cfRule>
  </conditionalFormatting>
  <conditionalFormatting sqref="C42">
    <cfRule type="cellIs" dxfId="22983" priority="14085" stopIfTrue="1" operator="equal">
      <formula>"Towel"</formula>
    </cfRule>
    <cfRule type="cellIs" dxfId="22982" priority="14086" stopIfTrue="1" operator="equal">
      <formula>"Napkin Hs"</formula>
    </cfRule>
  </conditionalFormatting>
  <conditionalFormatting sqref="C42">
    <cfRule type="cellIs" dxfId="22981" priority="14087" stopIfTrue="1" operator="equal">
      <formula>"Towel"</formula>
    </cfRule>
    <cfRule type="cellIs" dxfId="22980" priority="14088" stopIfTrue="1" operator="equal">
      <formula>"Napkin Hs"</formula>
    </cfRule>
  </conditionalFormatting>
  <conditionalFormatting sqref="C42">
    <cfRule type="cellIs" dxfId="22979" priority="14083" stopIfTrue="1" operator="equal">
      <formula>"Towel"</formula>
    </cfRule>
    <cfRule type="cellIs" dxfId="22978" priority="14084" stopIfTrue="1" operator="equal">
      <formula>"Napkin Hs"</formula>
    </cfRule>
  </conditionalFormatting>
  <conditionalFormatting sqref="C42">
    <cfRule type="cellIs" dxfId="22977" priority="14081" stopIfTrue="1" operator="equal">
      <formula>"Towel"</formula>
    </cfRule>
    <cfRule type="cellIs" dxfId="22976" priority="14082" stopIfTrue="1" operator="equal">
      <formula>"Napkin Hs"</formula>
    </cfRule>
  </conditionalFormatting>
  <conditionalFormatting sqref="C42">
    <cfRule type="cellIs" dxfId="22975" priority="14079" stopIfTrue="1" operator="equal">
      <formula>"Towel"</formula>
    </cfRule>
    <cfRule type="cellIs" dxfId="22974" priority="14080" stopIfTrue="1" operator="equal">
      <formula>"Napkin Hs"</formula>
    </cfRule>
  </conditionalFormatting>
  <conditionalFormatting sqref="C42">
    <cfRule type="cellIs" dxfId="22973" priority="14063" stopIfTrue="1" operator="equal">
      <formula>"Towel"</formula>
    </cfRule>
    <cfRule type="cellIs" dxfId="22972" priority="14064" stopIfTrue="1" operator="equal">
      <formula>"Napkin Hs"</formula>
    </cfRule>
  </conditionalFormatting>
  <conditionalFormatting sqref="C42">
    <cfRule type="cellIs" dxfId="22971" priority="14065" stopIfTrue="1" operator="equal">
      <formula>"Towel"</formula>
    </cfRule>
    <cfRule type="cellIs" dxfId="22970" priority="14066" stopIfTrue="1" operator="equal">
      <formula>"Napkin Hs"</formula>
    </cfRule>
  </conditionalFormatting>
  <conditionalFormatting sqref="C42">
    <cfRule type="cellIs" dxfId="22969" priority="14061" stopIfTrue="1" operator="equal">
      <formula>"Towel"</formula>
    </cfRule>
    <cfRule type="cellIs" dxfId="22968" priority="14062" stopIfTrue="1" operator="equal">
      <formula>"Napkin Hs"</formula>
    </cfRule>
  </conditionalFormatting>
  <conditionalFormatting sqref="C42">
    <cfRule type="cellIs" dxfId="22967" priority="14059" stopIfTrue="1" operator="equal">
      <formula>"Towel"</formula>
    </cfRule>
    <cfRule type="cellIs" dxfId="22966" priority="14060" stopIfTrue="1" operator="equal">
      <formula>"Napkin Hs"</formula>
    </cfRule>
  </conditionalFormatting>
  <conditionalFormatting sqref="C42">
    <cfRule type="cellIs" dxfId="22965" priority="14055" stopIfTrue="1" operator="equal">
      <formula>"Towel"</formula>
    </cfRule>
    <cfRule type="cellIs" dxfId="22964" priority="14056" stopIfTrue="1" operator="equal">
      <formula>"Napkin Hs"</formula>
    </cfRule>
  </conditionalFormatting>
  <conditionalFormatting sqref="C42">
    <cfRule type="cellIs" dxfId="22963" priority="14057" stopIfTrue="1" operator="equal">
      <formula>"Towel"</formula>
    </cfRule>
    <cfRule type="cellIs" dxfId="22962" priority="14058" stopIfTrue="1" operator="equal">
      <formula>"Napkin Hs"</formula>
    </cfRule>
  </conditionalFormatting>
  <conditionalFormatting sqref="C42">
    <cfRule type="cellIs" dxfId="22961" priority="14051" stopIfTrue="1" operator="equal">
      <formula>"Towel"</formula>
    </cfRule>
    <cfRule type="cellIs" dxfId="22960" priority="14052" stopIfTrue="1" operator="equal">
      <formula>"Napkin Hs"</formula>
    </cfRule>
  </conditionalFormatting>
  <conditionalFormatting sqref="C42">
    <cfRule type="cellIs" dxfId="22959" priority="14053" stopIfTrue="1" operator="equal">
      <formula>"Towel"</formula>
    </cfRule>
    <cfRule type="cellIs" dxfId="22958" priority="14054" stopIfTrue="1" operator="equal">
      <formula>"Napkin Hs"</formula>
    </cfRule>
  </conditionalFormatting>
  <conditionalFormatting sqref="C42">
    <cfRule type="cellIs" dxfId="22957" priority="14049" stopIfTrue="1" operator="equal">
      <formula>"Towel"</formula>
    </cfRule>
    <cfRule type="cellIs" dxfId="22956" priority="14050" stopIfTrue="1" operator="equal">
      <formula>"Napkin Hs"</formula>
    </cfRule>
  </conditionalFormatting>
  <conditionalFormatting sqref="C42">
    <cfRule type="cellIs" dxfId="22955" priority="14047" stopIfTrue="1" operator="equal">
      <formula>"Towel"</formula>
    </cfRule>
    <cfRule type="cellIs" dxfId="22954" priority="14048" stopIfTrue="1" operator="equal">
      <formula>"Napkin Hs"</formula>
    </cfRule>
  </conditionalFormatting>
  <conditionalFormatting sqref="C42">
    <cfRule type="cellIs" dxfId="22953" priority="14043" stopIfTrue="1" operator="equal">
      <formula>"Towel"</formula>
    </cfRule>
    <cfRule type="cellIs" dxfId="22952" priority="14044" stopIfTrue="1" operator="equal">
      <formula>"Napkin Hs"</formula>
    </cfRule>
  </conditionalFormatting>
  <conditionalFormatting sqref="C42">
    <cfRule type="cellIs" dxfId="22951" priority="14045" stopIfTrue="1" operator="equal">
      <formula>"Towel"</formula>
    </cfRule>
    <cfRule type="cellIs" dxfId="22950" priority="14046" stopIfTrue="1" operator="equal">
      <formula>"Napkin Hs"</formula>
    </cfRule>
  </conditionalFormatting>
  <conditionalFormatting sqref="B42">
    <cfRule type="cellIs" dxfId="22949" priority="14041" stopIfTrue="1" operator="equal">
      <formula>"Towel"</formula>
    </cfRule>
    <cfRule type="cellIs" dxfId="22948" priority="14042" stopIfTrue="1" operator="equal">
      <formula>"Napkin Hs"</formula>
    </cfRule>
  </conditionalFormatting>
  <conditionalFormatting sqref="B42">
    <cfRule type="cellIs" dxfId="22947" priority="14025" stopIfTrue="1" operator="equal">
      <formula>"Towel"</formula>
    </cfRule>
    <cfRule type="cellIs" dxfId="22946" priority="14026" stopIfTrue="1" operator="equal">
      <formula>"Napkin Hs"</formula>
    </cfRule>
  </conditionalFormatting>
  <conditionalFormatting sqref="B42">
    <cfRule type="cellIs" dxfId="22945" priority="14023" stopIfTrue="1" operator="equal">
      <formula>"Towel"</formula>
    </cfRule>
    <cfRule type="cellIs" dxfId="22944" priority="14024" stopIfTrue="1" operator="equal">
      <formula>"Napkin Hs"</formula>
    </cfRule>
  </conditionalFormatting>
  <conditionalFormatting sqref="B42">
    <cfRule type="cellIs" dxfId="22943" priority="14039" stopIfTrue="1" operator="equal">
      <formula>"Towel"</formula>
    </cfRule>
    <cfRule type="cellIs" dxfId="22942" priority="14040" stopIfTrue="1" operator="equal">
      <formula>"Napkin Hs"</formula>
    </cfRule>
  </conditionalFormatting>
  <conditionalFormatting sqref="B42">
    <cfRule type="cellIs" dxfId="22941" priority="14035" stopIfTrue="1" operator="equal">
      <formula>"Towel"</formula>
    </cfRule>
    <cfRule type="cellIs" dxfId="22940" priority="14036" stopIfTrue="1" operator="equal">
      <formula>"Napkin Hs"</formula>
    </cfRule>
  </conditionalFormatting>
  <conditionalFormatting sqref="B42">
    <cfRule type="cellIs" dxfId="22939" priority="14037" stopIfTrue="1" operator="equal">
      <formula>"Towel"</formula>
    </cfRule>
    <cfRule type="cellIs" dxfId="22938" priority="14038" stopIfTrue="1" operator="equal">
      <formula>"Napkin Hs"</formula>
    </cfRule>
  </conditionalFormatting>
  <conditionalFormatting sqref="B42">
    <cfRule type="cellIs" dxfId="22937" priority="14031" stopIfTrue="1" operator="equal">
      <formula>"Towel"</formula>
    </cfRule>
    <cfRule type="cellIs" dxfId="22936" priority="14032" stopIfTrue="1" operator="equal">
      <formula>"Napkin Hs"</formula>
    </cfRule>
  </conditionalFormatting>
  <conditionalFormatting sqref="B42">
    <cfRule type="cellIs" dxfId="22935" priority="14033" stopIfTrue="1" operator="equal">
      <formula>"Towel"</formula>
    </cfRule>
    <cfRule type="cellIs" dxfId="22934" priority="14034" stopIfTrue="1" operator="equal">
      <formula>"Napkin Hs"</formula>
    </cfRule>
  </conditionalFormatting>
  <conditionalFormatting sqref="B42">
    <cfRule type="cellIs" dxfId="22933" priority="14029" stopIfTrue="1" operator="equal">
      <formula>"Towel"</formula>
    </cfRule>
    <cfRule type="cellIs" dxfId="22932" priority="14030" stopIfTrue="1" operator="equal">
      <formula>"Napkin Hs"</formula>
    </cfRule>
  </conditionalFormatting>
  <conditionalFormatting sqref="B42">
    <cfRule type="cellIs" dxfId="22931" priority="14027" stopIfTrue="1" operator="equal">
      <formula>"Towel"</formula>
    </cfRule>
    <cfRule type="cellIs" dxfId="22930" priority="14028" stopIfTrue="1" operator="equal">
      <formula>"Napkin Hs"</formula>
    </cfRule>
  </conditionalFormatting>
  <conditionalFormatting sqref="B42">
    <cfRule type="cellIs" dxfId="22929" priority="14021" stopIfTrue="1" operator="equal">
      <formula>"Towel"</formula>
    </cfRule>
    <cfRule type="cellIs" dxfId="22928" priority="14022" stopIfTrue="1" operator="equal">
      <formula>"Napkin Hs"</formula>
    </cfRule>
  </conditionalFormatting>
  <conditionalFormatting sqref="B42">
    <cfRule type="cellIs" dxfId="22927" priority="14019" stopIfTrue="1" operator="equal">
      <formula>"Towel"</formula>
    </cfRule>
    <cfRule type="cellIs" dxfId="22926" priority="14020" stopIfTrue="1" operator="equal">
      <formula>"Napkin Hs"</formula>
    </cfRule>
  </conditionalFormatting>
  <conditionalFormatting sqref="B42">
    <cfRule type="cellIs" dxfId="22925" priority="14017" stopIfTrue="1" operator="equal">
      <formula>"Towel"</formula>
    </cfRule>
    <cfRule type="cellIs" dxfId="22924" priority="14018" stopIfTrue="1" operator="equal">
      <formula>"Napkin Hs"</formula>
    </cfRule>
  </conditionalFormatting>
  <conditionalFormatting sqref="B42">
    <cfRule type="cellIs" dxfId="22923" priority="14015" stopIfTrue="1" operator="equal">
      <formula>"Towel"</formula>
    </cfRule>
    <cfRule type="cellIs" dxfId="22922" priority="14016" stopIfTrue="1" operator="equal">
      <formula>"Napkin Hs"</formula>
    </cfRule>
  </conditionalFormatting>
  <conditionalFormatting sqref="C43:C45">
    <cfRule type="cellIs" dxfId="22921" priority="14007" stopIfTrue="1" operator="equal">
      <formula>"Towel"</formula>
    </cfRule>
    <cfRule type="cellIs" dxfId="22920" priority="14008" stopIfTrue="1" operator="equal">
      <formula>"Napkin Hs"</formula>
    </cfRule>
  </conditionalFormatting>
  <conditionalFormatting sqref="C43:C45">
    <cfRule type="cellIs" dxfId="22919" priority="14009" stopIfTrue="1" operator="equal">
      <formula>"Towel"</formula>
    </cfRule>
    <cfRule type="cellIs" dxfId="22918" priority="14010" stopIfTrue="1" operator="equal">
      <formula>"Napkin Hs"</formula>
    </cfRule>
  </conditionalFormatting>
  <conditionalFormatting sqref="C43:C45">
    <cfRule type="cellIs" dxfId="22917" priority="14005" stopIfTrue="1" operator="equal">
      <formula>"Towel"</formula>
    </cfRule>
    <cfRule type="cellIs" dxfId="22916" priority="14006" stopIfTrue="1" operator="equal">
      <formula>"Napkin Hs"</formula>
    </cfRule>
  </conditionalFormatting>
  <conditionalFormatting sqref="C43:C45">
    <cfRule type="cellIs" dxfId="22915" priority="14003" stopIfTrue="1" operator="equal">
      <formula>"Towel"</formula>
    </cfRule>
    <cfRule type="cellIs" dxfId="22914" priority="14004" stopIfTrue="1" operator="equal">
      <formula>"Napkin Hs"</formula>
    </cfRule>
  </conditionalFormatting>
  <conditionalFormatting sqref="C43:C45">
    <cfRule type="cellIs" dxfId="22913" priority="14011" stopIfTrue="1" operator="equal">
      <formula>"Towel"</formula>
    </cfRule>
    <cfRule type="cellIs" dxfId="22912" priority="14012" stopIfTrue="1" operator="equal">
      <formula>"Napkin Hs"</formula>
    </cfRule>
  </conditionalFormatting>
  <conditionalFormatting sqref="C43:C45">
    <cfRule type="cellIs" dxfId="22911" priority="14013" stopIfTrue="1" operator="equal">
      <formula>"Towel"</formula>
    </cfRule>
    <cfRule type="cellIs" dxfId="22910" priority="14014" stopIfTrue="1" operator="equal">
      <formula>"Napkin Hs"</formula>
    </cfRule>
  </conditionalFormatting>
  <conditionalFormatting sqref="C43:C45">
    <cfRule type="cellIs" dxfId="22909" priority="13999" stopIfTrue="1" operator="equal">
      <formula>"Towel"</formula>
    </cfRule>
    <cfRule type="cellIs" dxfId="22908" priority="14000" stopIfTrue="1" operator="equal">
      <formula>"Napkin Hs"</formula>
    </cfRule>
  </conditionalFormatting>
  <conditionalFormatting sqref="C43:C45">
    <cfRule type="cellIs" dxfId="22907" priority="14001" stopIfTrue="1" operator="equal">
      <formula>"Towel"</formula>
    </cfRule>
    <cfRule type="cellIs" dxfId="22906" priority="14002" stopIfTrue="1" operator="equal">
      <formula>"Napkin Hs"</formula>
    </cfRule>
  </conditionalFormatting>
  <conditionalFormatting sqref="C43:C45">
    <cfRule type="cellIs" dxfId="22905" priority="13997" stopIfTrue="1" operator="equal">
      <formula>"Towel"</formula>
    </cfRule>
    <cfRule type="cellIs" dxfId="22904" priority="13998" stopIfTrue="1" operator="equal">
      <formula>"Napkin Hs"</formula>
    </cfRule>
  </conditionalFormatting>
  <conditionalFormatting sqref="C43:C45">
    <cfRule type="cellIs" dxfId="22903" priority="13991" stopIfTrue="1" operator="equal">
      <formula>"Towel"</formula>
    </cfRule>
    <cfRule type="cellIs" dxfId="22902" priority="13992" stopIfTrue="1" operator="equal">
      <formula>"Napkin Hs"</formula>
    </cfRule>
  </conditionalFormatting>
  <conditionalFormatting sqref="C43:C45">
    <cfRule type="cellIs" dxfId="22901" priority="13993" stopIfTrue="1" operator="equal">
      <formula>"Towel"</formula>
    </cfRule>
    <cfRule type="cellIs" dxfId="22900" priority="13994" stopIfTrue="1" operator="equal">
      <formula>"Napkin Hs"</formula>
    </cfRule>
  </conditionalFormatting>
  <conditionalFormatting sqref="C43:C45">
    <cfRule type="cellIs" dxfId="22899" priority="13995" stopIfTrue="1" operator="equal">
      <formula>"Towel"</formula>
    </cfRule>
    <cfRule type="cellIs" dxfId="22898" priority="13996" stopIfTrue="1" operator="equal">
      <formula>"Napkin Hs"</formula>
    </cfRule>
  </conditionalFormatting>
  <conditionalFormatting sqref="C43:C45">
    <cfRule type="cellIs" dxfId="22897" priority="13945" stopIfTrue="1" operator="equal">
      <formula>"Towel"</formula>
    </cfRule>
    <cfRule type="cellIs" dxfId="22896" priority="13946" stopIfTrue="1" operator="equal">
      <formula>"Napkin Hs"</formula>
    </cfRule>
  </conditionalFormatting>
  <conditionalFormatting sqref="C43:C45">
    <cfRule type="cellIs" dxfId="22895" priority="13947" stopIfTrue="1" operator="equal">
      <formula>"Towel"</formula>
    </cfRule>
    <cfRule type="cellIs" dxfId="22894" priority="13948" stopIfTrue="1" operator="equal">
      <formula>"Napkin Hs"</formula>
    </cfRule>
  </conditionalFormatting>
  <conditionalFormatting sqref="C43:C45">
    <cfRule type="cellIs" dxfId="22893" priority="13943" stopIfTrue="1" operator="equal">
      <formula>"Towel"</formula>
    </cfRule>
    <cfRule type="cellIs" dxfId="22892" priority="13944" stopIfTrue="1" operator="equal">
      <formula>"Napkin Hs"</formula>
    </cfRule>
  </conditionalFormatting>
  <conditionalFormatting sqref="C43:C45">
    <cfRule type="cellIs" dxfId="22891" priority="13941" stopIfTrue="1" operator="equal">
      <formula>"Towel"</formula>
    </cfRule>
    <cfRule type="cellIs" dxfId="22890" priority="13942" stopIfTrue="1" operator="equal">
      <formula>"Napkin Hs"</formula>
    </cfRule>
  </conditionalFormatting>
  <conditionalFormatting sqref="C43:C45">
    <cfRule type="cellIs" dxfId="22889" priority="13937" stopIfTrue="1" operator="equal">
      <formula>"Towel"</formula>
    </cfRule>
    <cfRule type="cellIs" dxfId="22888" priority="13938" stopIfTrue="1" operator="equal">
      <formula>"Napkin Hs"</formula>
    </cfRule>
  </conditionalFormatting>
  <conditionalFormatting sqref="C43:C45">
    <cfRule type="cellIs" dxfId="22887" priority="13939" stopIfTrue="1" operator="equal">
      <formula>"Towel"</formula>
    </cfRule>
    <cfRule type="cellIs" dxfId="22886" priority="13940" stopIfTrue="1" operator="equal">
      <formula>"Napkin Hs"</formula>
    </cfRule>
  </conditionalFormatting>
  <conditionalFormatting sqref="C43:C45">
    <cfRule type="cellIs" dxfId="22885" priority="13989" stopIfTrue="1" operator="equal">
      <formula>"Towel"</formula>
    </cfRule>
    <cfRule type="cellIs" dxfId="22884" priority="13990" stopIfTrue="1" operator="equal">
      <formula>"Napkin Hs"</formula>
    </cfRule>
  </conditionalFormatting>
  <conditionalFormatting sqref="C43:C45">
    <cfRule type="cellIs" dxfId="22883" priority="13985" stopIfTrue="1" operator="equal">
      <formula>"Towel"</formula>
    </cfRule>
    <cfRule type="cellIs" dxfId="22882" priority="13986" stopIfTrue="1" operator="equal">
      <formula>"Napkin Hs"</formula>
    </cfRule>
  </conditionalFormatting>
  <conditionalFormatting sqref="C43:C45">
    <cfRule type="cellIs" dxfId="22881" priority="13988" stopIfTrue="1" operator="equal">
      <formula>"Napkin Hs"</formula>
    </cfRule>
  </conditionalFormatting>
  <conditionalFormatting sqref="C43:C45">
    <cfRule type="cellIs" dxfId="22880" priority="13987" stopIfTrue="1" operator="equal">
      <formula>"Towel"</formula>
    </cfRule>
  </conditionalFormatting>
  <conditionalFormatting sqref="C43:C45">
    <cfRule type="cellIs" dxfId="22879" priority="13979" stopIfTrue="1" operator="equal">
      <formula>"Towel"</formula>
    </cfRule>
    <cfRule type="cellIs" dxfId="22878" priority="13980" stopIfTrue="1" operator="equal">
      <formula>"Napkin Hs"</formula>
    </cfRule>
  </conditionalFormatting>
  <conditionalFormatting sqref="C43:C45">
    <cfRule type="cellIs" dxfId="22877" priority="13983" stopIfTrue="1" operator="equal">
      <formula>"Towel"</formula>
    </cfRule>
    <cfRule type="cellIs" dxfId="22876" priority="13984" stopIfTrue="1" operator="equal">
      <formula>"Napkin Hs"</formula>
    </cfRule>
  </conditionalFormatting>
  <conditionalFormatting sqref="C43:C45">
    <cfRule type="cellIs" dxfId="22875" priority="13981" stopIfTrue="1" operator="equal">
      <formula>"Towel"</formula>
    </cfRule>
    <cfRule type="cellIs" dxfId="22874" priority="13982" stopIfTrue="1" operator="equal">
      <formula>"Napkin Hs"</formula>
    </cfRule>
  </conditionalFormatting>
  <conditionalFormatting sqref="C43:C45">
    <cfRule type="cellIs" dxfId="22873" priority="13973" stopIfTrue="1" operator="equal">
      <formula>"Towel"</formula>
    </cfRule>
    <cfRule type="cellIs" dxfId="22872" priority="13974" stopIfTrue="1" operator="equal">
      <formula>"Napkin Hs"</formula>
    </cfRule>
  </conditionalFormatting>
  <conditionalFormatting sqref="C43:C45">
    <cfRule type="cellIs" dxfId="22871" priority="13975" stopIfTrue="1" operator="equal">
      <formula>"Towel"</formula>
    </cfRule>
    <cfRule type="cellIs" dxfId="22870" priority="13976" stopIfTrue="1" operator="equal">
      <formula>"Napkin Hs"</formula>
    </cfRule>
  </conditionalFormatting>
  <conditionalFormatting sqref="C43:C45">
    <cfRule type="cellIs" dxfId="22869" priority="13977" stopIfTrue="1" operator="equal">
      <formula>"Towel"</formula>
    </cfRule>
    <cfRule type="cellIs" dxfId="22868" priority="13978" stopIfTrue="1" operator="equal">
      <formula>"Napkin Hs"</formula>
    </cfRule>
  </conditionalFormatting>
  <conditionalFormatting sqref="C43:C45">
    <cfRule type="cellIs" dxfId="22867" priority="13967" stopIfTrue="1" operator="equal">
      <formula>"Towel"</formula>
    </cfRule>
    <cfRule type="cellIs" dxfId="22866" priority="13968" stopIfTrue="1" operator="equal">
      <formula>"Napkin Hs"</formula>
    </cfRule>
  </conditionalFormatting>
  <conditionalFormatting sqref="C43:C45">
    <cfRule type="cellIs" dxfId="22865" priority="13971" stopIfTrue="1" operator="equal">
      <formula>"Towel"</formula>
    </cfRule>
    <cfRule type="cellIs" dxfId="22864" priority="13972" stopIfTrue="1" operator="equal">
      <formula>"Napkin Hs"</formula>
    </cfRule>
  </conditionalFormatting>
  <conditionalFormatting sqref="C43:C45">
    <cfRule type="cellIs" dxfId="22863" priority="13969" stopIfTrue="1" operator="equal">
      <formula>"Towel"</formula>
    </cfRule>
    <cfRule type="cellIs" dxfId="22862" priority="13970" stopIfTrue="1" operator="equal">
      <formula>"Napkin Hs"</formula>
    </cfRule>
  </conditionalFormatting>
  <conditionalFormatting sqref="C43:C45">
    <cfRule type="cellIs" dxfId="22861" priority="13961" stopIfTrue="1" operator="equal">
      <formula>"Towel"</formula>
    </cfRule>
    <cfRule type="cellIs" dxfId="22860" priority="13962" stopIfTrue="1" operator="equal">
      <formula>"Napkin Hs"</formula>
    </cfRule>
  </conditionalFormatting>
  <conditionalFormatting sqref="C43:C45">
    <cfRule type="cellIs" dxfId="22859" priority="13963" stopIfTrue="1" operator="equal">
      <formula>"Towel"</formula>
    </cfRule>
    <cfRule type="cellIs" dxfId="22858" priority="13964" stopIfTrue="1" operator="equal">
      <formula>"Napkin Hs"</formula>
    </cfRule>
  </conditionalFormatting>
  <conditionalFormatting sqref="C43:C45">
    <cfRule type="cellIs" dxfId="22857" priority="13965" stopIfTrue="1" operator="equal">
      <formula>"Towel"</formula>
    </cfRule>
    <cfRule type="cellIs" dxfId="22856" priority="13966" stopIfTrue="1" operator="equal">
      <formula>"Napkin Hs"</formula>
    </cfRule>
  </conditionalFormatting>
  <conditionalFormatting sqref="C43:C45">
    <cfRule type="cellIs" dxfId="22855" priority="13959" stopIfTrue="1" operator="equal">
      <formula>"Towel"</formula>
    </cfRule>
    <cfRule type="cellIs" dxfId="22854" priority="13960" stopIfTrue="1" operator="equal">
      <formula>"Napkin Hs"</formula>
    </cfRule>
  </conditionalFormatting>
  <conditionalFormatting sqref="C43:C45">
    <cfRule type="cellIs" dxfId="22853" priority="13955" stopIfTrue="1" operator="equal">
      <formula>"Towel"</formula>
    </cfRule>
    <cfRule type="cellIs" dxfId="22852" priority="13956" stopIfTrue="1" operator="equal">
      <formula>"Napkin Hs"</formula>
    </cfRule>
  </conditionalFormatting>
  <conditionalFormatting sqref="C43:C45">
    <cfRule type="cellIs" dxfId="22851" priority="13957" stopIfTrue="1" operator="equal">
      <formula>"Towel"</formula>
    </cfRule>
    <cfRule type="cellIs" dxfId="22850" priority="13958" stopIfTrue="1" operator="equal">
      <formula>"Napkin Hs"</formula>
    </cfRule>
  </conditionalFormatting>
  <conditionalFormatting sqref="C43:C45">
    <cfRule type="cellIs" dxfId="22849" priority="13953" stopIfTrue="1" operator="equal">
      <formula>"Towel"</formula>
    </cfRule>
    <cfRule type="cellIs" dxfId="22848" priority="13954" stopIfTrue="1" operator="equal">
      <formula>"Napkin Hs"</formula>
    </cfRule>
  </conditionalFormatting>
  <conditionalFormatting sqref="C43:C45">
    <cfRule type="cellIs" dxfId="22847" priority="13951" stopIfTrue="1" operator="equal">
      <formula>"Towel"</formula>
    </cfRule>
    <cfRule type="cellIs" dxfId="22846" priority="13952" stopIfTrue="1" operator="equal">
      <formula>"Napkin Hs"</formula>
    </cfRule>
  </conditionalFormatting>
  <conditionalFormatting sqref="C43:C45">
    <cfRule type="cellIs" dxfId="22845" priority="13949" stopIfTrue="1" operator="equal">
      <formula>"Towel"</formula>
    </cfRule>
    <cfRule type="cellIs" dxfId="22844" priority="13950" stopIfTrue="1" operator="equal">
      <formula>"Napkin Hs"</formula>
    </cfRule>
  </conditionalFormatting>
  <conditionalFormatting sqref="C43:C45">
    <cfRule type="cellIs" dxfId="22843" priority="13933" stopIfTrue="1" operator="equal">
      <formula>"Towel"</formula>
    </cfRule>
    <cfRule type="cellIs" dxfId="22842" priority="13934" stopIfTrue="1" operator="equal">
      <formula>"Napkin Hs"</formula>
    </cfRule>
  </conditionalFormatting>
  <conditionalFormatting sqref="C43:C45">
    <cfRule type="cellIs" dxfId="22841" priority="13935" stopIfTrue="1" operator="equal">
      <formula>"Towel"</formula>
    </cfRule>
    <cfRule type="cellIs" dxfId="22840" priority="13936" stopIfTrue="1" operator="equal">
      <formula>"Napkin Hs"</formula>
    </cfRule>
  </conditionalFormatting>
  <conditionalFormatting sqref="C43:C45">
    <cfRule type="cellIs" dxfId="22839" priority="13931" stopIfTrue="1" operator="equal">
      <formula>"Towel"</formula>
    </cfRule>
    <cfRule type="cellIs" dxfId="22838" priority="13932" stopIfTrue="1" operator="equal">
      <formula>"Napkin Hs"</formula>
    </cfRule>
  </conditionalFormatting>
  <conditionalFormatting sqref="C43:C45">
    <cfRule type="cellIs" dxfId="22837" priority="13929" stopIfTrue="1" operator="equal">
      <formula>"Towel"</formula>
    </cfRule>
    <cfRule type="cellIs" dxfId="22836" priority="13930" stopIfTrue="1" operator="equal">
      <formula>"Napkin Hs"</formula>
    </cfRule>
  </conditionalFormatting>
  <conditionalFormatting sqref="C43:C45">
    <cfRule type="cellIs" dxfId="22835" priority="13925" stopIfTrue="1" operator="equal">
      <formula>"Towel"</formula>
    </cfRule>
    <cfRule type="cellIs" dxfId="22834" priority="13926" stopIfTrue="1" operator="equal">
      <formula>"Napkin Hs"</formula>
    </cfRule>
  </conditionalFormatting>
  <conditionalFormatting sqref="C43:C45">
    <cfRule type="cellIs" dxfId="22833" priority="13927" stopIfTrue="1" operator="equal">
      <formula>"Towel"</formula>
    </cfRule>
    <cfRule type="cellIs" dxfId="22832" priority="13928" stopIfTrue="1" operator="equal">
      <formula>"Napkin Hs"</formula>
    </cfRule>
  </conditionalFormatting>
  <conditionalFormatting sqref="C43:C45">
    <cfRule type="cellIs" dxfId="22831" priority="13921" stopIfTrue="1" operator="equal">
      <formula>"Towel"</formula>
    </cfRule>
    <cfRule type="cellIs" dxfId="22830" priority="13922" stopIfTrue="1" operator="equal">
      <formula>"Napkin Hs"</formula>
    </cfRule>
  </conditionalFormatting>
  <conditionalFormatting sqref="C43:C45">
    <cfRule type="cellIs" dxfId="22829" priority="13923" stopIfTrue="1" operator="equal">
      <formula>"Towel"</formula>
    </cfRule>
    <cfRule type="cellIs" dxfId="22828" priority="13924" stopIfTrue="1" operator="equal">
      <formula>"Napkin Hs"</formula>
    </cfRule>
  </conditionalFormatting>
  <conditionalFormatting sqref="C43:C45">
    <cfRule type="cellIs" dxfId="22827" priority="13919" stopIfTrue="1" operator="equal">
      <formula>"Towel"</formula>
    </cfRule>
    <cfRule type="cellIs" dxfId="22826" priority="13920" stopIfTrue="1" operator="equal">
      <formula>"Napkin Hs"</formula>
    </cfRule>
  </conditionalFormatting>
  <conditionalFormatting sqref="C43:C45">
    <cfRule type="cellIs" dxfId="22825" priority="13917" stopIfTrue="1" operator="equal">
      <formula>"Towel"</formula>
    </cfRule>
    <cfRule type="cellIs" dxfId="22824" priority="13918" stopIfTrue="1" operator="equal">
      <formula>"Napkin Hs"</formula>
    </cfRule>
  </conditionalFormatting>
  <conditionalFormatting sqref="C43:C45">
    <cfRule type="cellIs" dxfId="22823" priority="13913" stopIfTrue="1" operator="equal">
      <formula>"Towel"</formula>
    </cfRule>
    <cfRule type="cellIs" dxfId="22822" priority="13914" stopIfTrue="1" operator="equal">
      <formula>"Napkin Hs"</formula>
    </cfRule>
  </conditionalFormatting>
  <conditionalFormatting sqref="C43:C45">
    <cfRule type="cellIs" dxfId="22821" priority="13915" stopIfTrue="1" operator="equal">
      <formula>"Towel"</formula>
    </cfRule>
    <cfRule type="cellIs" dxfId="22820" priority="13916" stopIfTrue="1" operator="equal">
      <formula>"Napkin Hs"</formula>
    </cfRule>
  </conditionalFormatting>
  <conditionalFormatting sqref="B43:B45">
    <cfRule type="cellIs" dxfId="22819" priority="13911" stopIfTrue="1" operator="equal">
      <formula>"Towel"</formula>
    </cfRule>
    <cfRule type="cellIs" dxfId="22818" priority="13912" stopIfTrue="1" operator="equal">
      <formula>"Napkin Hs"</formula>
    </cfRule>
  </conditionalFormatting>
  <conditionalFormatting sqref="B43:B45">
    <cfRule type="cellIs" dxfId="22817" priority="13895" stopIfTrue="1" operator="equal">
      <formula>"Towel"</formula>
    </cfRule>
    <cfRule type="cellIs" dxfId="22816" priority="13896" stopIfTrue="1" operator="equal">
      <formula>"Napkin Hs"</formula>
    </cfRule>
  </conditionalFormatting>
  <conditionalFormatting sqref="B43:B45">
    <cfRule type="cellIs" dxfId="22815" priority="13893" stopIfTrue="1" operator="equal">
      <formula>"Towel"</formula>
    </cfRule>
    <cfRule type="cellIs" dxfId="22814" priority="13894" stopIfTrue="1" operator="equal">
      <formula>"Napkin Hs"</formula>
    </cfRule>
  </conditionalFormatting>
  <conditionalFormatting sqref="B43:B45">
    <cfRule type="cellIs" dxfId="22813" priority="13909" stopIfTrue="1" operator="equal">
      <formula>"Towel"</formula>
    </cfRule>
    <cfRule type="cellIs" dxfId="22812" priority="13910" stopIfTrue="1" operator="equal">
      <formula>"Napkin Hs"</formula>
    </cfRule>
  </conditionalFormatting>
  <conditionalFormatting sqref="B43:B45">
    <cfRule type="cellIs" dxfId="22811" priority="13905" stopIfTrue="1" operator="equal">
      <formula>"Towel"</formula>
    </cfRule>
    <cfRule type="cellIs" dxfId="22810" priority="13906" stopIfTrue="1" operator="equal">
      <formula>"Napkin Hs"</formula>
    </cfRule>
  </conditionalFormatting>
  <conditionalFormatting sqref="B43:B45">
    <cfRule type="cellIs" dxfId="22809" priority="13907" stopIfTrue="1" operator="equal">
      <formula>"Towel"</formula>
    </cfRule>
    <cfRule type="cellIs" dxfId="22808" priority="13908" stopIfTrue="1" operator="equal">
      <formula>"Napkin Hs"</formula>
    </cfRule>
  </conditionalFormatting>
  <conditionalFormatting sqref="B43:B45">
    <cfRule type="cellIs" dxfId="22807" priority="13901" stopIfTrue="1" operator="equal">
      <formula>"Towel"</formula>
    </cfRule>
    <cfRule type="cellIs" dxfId="22806" priority="13902" stopIfTrue="1" operator="equal">
      <formula>"Napkin Hs"</formula>
    </cfRule>
  </conditionalFormatting>
  <conditionalFormatting sqref="B43:B45">
    <cfRule type="cellIs" dxfId="22805" priority="13903" stopIfTrue="1" operator="equal">
      <formula>"Towel"</formula>
    </cfRule>
    <cfRule type="cellIs" dxfId="22804" priority="13904" stopIfTrue="1" operator="equal">
      <formula>"Napkin Hs"</formula>
    </cfRule>
  </conditionalFormatting>
  <conditionalFormatting sqref="B43:B45">
    <cfRule type="cellIs" dxfId="22803" priority="13899" stopIfTrue="1" operator="equal">
      <formula>"Towel"</formula>
    </cfRule>
    <cfRule type="cellIs" dxfId="22802" priority="13900" stopIfTrue="1" operator="equal">
      <formula>"Napkin Hs"</formula>
    </cfRule>
  </conditionalFormatting>
  <conditionalFormatting sqref="B43:B45">
    <cfRule type="cellIs" dxfId="22801" priority="13897" stopIfTrue="1" operator="equal">
      <formula>"Towel"</formula>
    </cfRule>
    <cfRule type="cellIs" dxfId="22800" priority="13898" stopIfTrue="1" operator="equal">
      <formula>"Napkin Hs"</formula>
    </cfRule>
  </conditionalFormatting>
  <conditionalFormatting sqref="B43:B45">
    <cfRule type="cellIs" dxfId="22799" priority="13891" stopIfTrue="1" operator="equal">
      <formula>"Towel"</formula>
    </cfRule>
    <cfRule type="cellIs" dxfId="22798" priority="13892" stopIfTrue="1" operator="equal">
      <formula>"Napkin Hs"</formula>
    </cfRule>
  </conditionalFormatting>
  <conditionalFormatting sqref="B43:B45">
    <cfRule type="cellIs" dxfId="22797" priority="13889" stopIfTrue="1" operator="equal">
      <formula>"Towel"</formula>
    </cfRule>
    <cfRule type="cellIs" dxfId="22796" priority="13890" stopIfTrue="1" operator="equal">
      <formula>"Napkin Hs"</formula>
    </cfRule>
  </conditionalFormatting>
  <conditionalFormatting sqref="B43:B45">
    <cfRule type="cellIs" dxfId="22795" priority="13887" stopIfTrue="1" operator="equal">
      <formula>"Towel"</formula>
    </cfRule>
    <cfRule type="cellIs" dxfId="22794" priority="13888" stopIfTrue="1" operator="equal">
      <formula>"Napkin Hs"</formula>
    </cfRule>
  </conditionalFormatting>
  <conditionalFormatting sqref="B43:B45">
    <cfRule type="cellIs" dxfId="22793" priority="13885" stopIfTrue="1" operator="equal">
      <formula>"Towel"</formula>
    </cfRule>
    <cfRule type="cellIs" dxfId="22792" priority="13886" stopIfTrue="1" operator="equal">
      <formula>"Napkin Hs"</formula>
    </cfRule>
  </conditionalFormatting>
  <conditionalFormatting sqref="C51">
    <cfRule type="cellIs" dxfId="22791" priority="13869" stopIfTrue="1" operator="equal">
      <formula>"Towel"</formula>
    </cfRule>
    <cfRule type="cellIs" dxfId="22790" priority="13870" stopIfTrue="1" operator="equal">
      <formula>"Napkin Hs"</formula>
    </cfRule>
  </conditionalFormatting>
  <conditionalFormatting sqref="B51:C51">
    <cfRule type="cellIs" dxfId="22789" priority="13871" stopIfTrue="1" operator="equal">
      <formula>"Towel"</formula>
    </cfRule>
    <cfRule type="cellIs" dxfId="22788" priority="13872" stopIfTrue="1" operator="equal">
      <formula>"Napkin Hs"</formula>
    </cfRule>
  </conditionalFormatting>
  <conditionalFormatting sqref="C51">
    <cfRule type="cellIs" dxfId="22787" priority="13867" stopIfTrue="1" operator="equal">
      <formula>"Towel"</formula>
    </cfRule>
    <cfRule type="cellIs" dxfId="22786" priority="13868" stopIfTrue="1" operator="equal">
      <formula>"Napkin Hs"</formula>
    </cfRule>
  </conditionalFormatting>
  <conditionalFormatting sqref="B51:C51">
    <cfRule type="cellIs" dxfId="22785" priority="13865" stopIfTrue="1" operator="equal">
      <formula>"Towel"</formula>
    </cfRule>
    <cfRule type="cellIs" dxfId="22784" priority="13866" stopIfTrue="1" operator="equal">
      <formula>"Napkin Hs"</formula>
    </cfRule>
  </conditionalFormatting>
  <conditionalFormatting sqref="C51">
    <cfRule type="cellIs" dxfId="22783" priority="13873" stopIfTrue="1" operator="equal">
      <formula>"Towel"</formula>
    </cfRule>
    <cfRule type="cellIs" dxfId="22782" priority="13874" stopIfTrue="1" operator="equal">
      <formula>"Napkin Hs"</formula>
    </cfRule>
  </conditionalFormatting>
  <conditionalFormatting sqref="C51">
    <cfRule type="cellIs" dxfId="22781" priority="13875" stopIfTrue="1" operator="equal">
      <formula>"Towel"</formula>
    </cfRule>
    <cfRule type="cellIs" dxfId="22780" priority="13876" stopIfTrue="1" operator="equal">
      <formula>"Napkin Hs"</formula>
    </cfRule>
  </conditionalFormatting>
  <conditionalFormatting sqref="C51">
    <cfRule type="cellIs" dxfId="22779" priority="13841" stopIfTrue="1" operator="equal">
      <formula>"Towel"</formula>
    </cfRule>
    <cfRule type="cellIs" dxfId="22778" priority="13842" stopIfTrue="1" operator="equal">
      <formula>"Napkin Hs"</formula>
    </cfRule>
  </conditionalFormatting>
  <conditionalFormatting sqref="B51:C51">
    <cfRule type="cellIs" dxfId="22777" priority="13843" stopIfTrue="1" operator="equal">
      <formula>"Towel"</formula>
    </cfRule>
    <cfRule type="cellIs" dxfId="22776" priority="13844" stopIfTrue="1" operator="equal">
      <formula>"Napkin Hs"</formula>
    </cfRule>
  </conditionalFormatting>
  <conditionalFormatting sqref="C51">
    <cfRule type="cellIs" dxfId="22775" priority="13839" stopIfTrue="1" operator="equal">
      <formula>"Towel"</formula>
    </cfRule>
    <cfRule type="cellIs" dxfId="22774" priority="13840" stopIfTrue="1" operator="equal">
      <formula>"Napkin Hs"</formula>
    </cfRule>
  </conditionalFormatting>
  <conditionalFormatting sqref="B51:C51">
    <cfRule type="cellIs" dxfId="22773" priority="13837" stopIfTrue="1" operator="equal">
      <formula>"Towel"</formula>
    </cfRule>
    <cfRule type="cellIs" dxfId="22772" priority="13838" stopIfTrue="1" operator="equal">
      <formula>"Napkin Hs"</formula>
    </cfRule>
  </conditionalFormatting>
  <conditionalFormatting sqref="C51">
    <cfRule type="cellIs" dxfId="22771" priority="13845" stopIfTrue="1" operator="equal">
      <formula>"Towel"</formula>
    </cfRule>
    <cfRule type="cellIs" dxfId="22770" priority="13846" stopIfTrue="1" operator="equal">
      <formula>"Napkin Hs"</formula>
    </cfRule>
  </conditionalFormatting>
  <conditionalFormatting sqref="C51">
    <cfRule type="cellIs" dxfId="22769" priority="13847" stopIfTrue="1" operator="equal">
      <formula>"Towel"</formula>
    </cfRule>
    <cfRule type="cellIs" dxfId="22768" priority="13848" stopIfTrue="1" operator="equal">
      <formula>"Napkin Hs"</formula>
    </cfRule>
  </conditionalFormatting>
  <conditionalFormatting sqref="C51">
    <cfRule type="cellIs" dxfId="22767" priority="13817" stopIfTrue="1" operator="equal">
      <formula>"Towel"</formula>
    </cfRule>
    <cfRule type="cellIs" dxfId="22766" priority="13818" stopIfTrue="1" operator="equal">
      <formula>"Napkin Hs"</formula>
    </cfRule>
  </conditionalFormatting>
  <conditionalFormatting sqref="B51:C51">
    <cfRule type="cellIs" dxfId="22765" priority="13819" stopIfTrue="1" operator="equal">
      <formula>"Towel"</formula>
    </cfRule>
    <cfRule type="cellIs" dxfId="22764" priority="13820" stopIfTrue="1" operator="equal">
      <formula>"Napkin Hs"</formula>
    </cfRule>
  </conditionalFormatting>
  <conditionalFormatting sqref="C51">
    <cfRule type="cellIs" dxfId="22763" priority="13815" stopIfTrue="1" operator="equal">
      <formula>"Towel"</formula>
    </cfRule>
    <cfRule type="cellIs" dxfId="22762" priority="13816" stopIfTrue="1" operator="equal">
      <formula>"Napkin Hs"</formula>
    </cfRule>
  </conditionalFormatting>
  <conditionalFormatting sqref="B51:C51">
    <cfRule type="cellIs" dxfId="22761" priority="13813" stopIfTrue="1" operator="equal">
      <formula>"Towel"</formula>
    </cfRule>
    <cfRule type="cellIs" dxfId="22760" priority="13814" stopIfTrue="1" operator="equal">
      <formula>"Napkin Hs"</formula>
    </cfRule>
  </conditionalFormatting>
  <conditionalFormatting sqref="C51">
    <cfRule type="cellIs" dxfId="22759" priority="13821" stopIfTrue="1" operator="equal">
      <formula>"Towel"</formula>
    </cfRule>
    <cfRule type="cellIs" dxfId="22758" priority="13822" stopIfTrue="1" operator="equal">
      <formula>"Napkin Hs"</formula>
    </cfRule>
  </conditionalFormatting>
  <conditionalFormatting sqref="C51">
    <cfRule type="cellIs" dxfId="22757" priority="13823" stopIfTrue="1" operator="equal">
      <formula>"Towel"</formula>
    </cfRule>
    <cfRule type="cellIs" dxfId="22756" priority="13824" stopIfTrue="1" operator="equal">
      <formula>"Napkin Hs"</formula>
    </cfRule>
  </conditionalFormatting>
  <conditionalFormatting sqref="C51">
    <cfRule type="cellIs" dxfId="22755" priority="13785" stopIfTrue="1" operator="equal">
      <formula>"Towel"</formula>
    </cfRule>
    <cfRule type="cellIs" dxfId="22754" priority="13786" stopIfTrue="1" operator="equal">
      <formula>"Napkin Hs"</formula>
    </cfRule>
  </conditionalFormatting>
  <conditionalFormatting sqref="C51">
    <cfRule type="cellIs" dxfId="22753" priority="13787" stopIfTrue="1" operator="equal">
      <formula>"Towel"</formula>
    </cfRule>
    <cfRule type="cellIs" dxfId="22752" priority="13788" stopIfTrue="1" operator="equal">
      <formula>"Napkin Hs"</formula>
    </cfRule>
  </conditionalFormatting>
  <conditionalFormatting sqref="C51">
    <cfRule type="cellIs" dxfId="22751" priority="13783" stopIfTrue="1" operator="equal">
      <formula>"Towel"</formula>
    </cfRule>
    <cfRule type="cellIs" dxfId="22750" priority="13784" stopIfTrue="1" operator="equal">
      <formula>"Napkin Hs"</formula>
    </cfRule>
  </conditionalFormatting>
  <conditionalFormatting sqref="B51">
    <cfRule type="cellIs" dxfId="22749" priority="13781" stopIfTrue="1" operator="equal">
      <formula>"Towel"</formula>
    </cfRule>
    <cfRule type="cellIs" dxfId="22748" priority="13782" stopIfTrue="1" operator="equal">
      <formula>"Napkin Hs"</formula>
    </cfRule>
  </conditionalFormatting>
  <conditionalFormatting sqref="C50">
    <cfRule type="cellIs" dxfId="22747" priority="13643" stopIfTrue="1" operator="equal">
      <formula>"Towel"</formula>
    </cfRule>
    <cfRule type="cellIs" dxfId="22746" priority="13644" stopIfTrue="1" operator="equal">
      <formula>"Napkin Hs"</formula>
    </cfRule>
  </conditionalFormatting>
  <conditionalFormatting sqref="C50">
    <cfRule type="cellIs" dxfId="22745" priority="13645" stopIfTrue="1" operator="equal">
      <formula>"Towel"</formula>
    </cfRule>
    <cfRule type="cellIs" dxfId="22744" priority="13646" stopIfTrue="1" operator="equal">
      <formula>"Napkin Hs"</formula>
    </cfRule>
  </conditionalFormatting>
  <conditionalFormatting sqref="C50">
    <cfRule type="cellIs" dxfId="22743" priority="13641" stopIfTrue="1" operator="equal">
      <formula>"Towel"</formula>
    </cfRule>
    <cfRule type="cellIs" dxfId="22742" priority="13642" stopIfTrue="1" operator="equal">
      <formula>"Napkin Hs"</formula>
    </cfRule>
  </conditionalFormatting>
  <conditionalFormatting sqref="C50">
    <cfRule type="cellIs" dxfId="22741" priority="13639" stopIfTrue="1" operator="equal">
      <formula>"Towel"</formula>
    </cfRule>
    <cfRule type="cellIs" dxfId="22740" priority="13640" stopIfTrue="1" operator="equal">
      <formula>"Napkin Hs"</formula>
    </cfRule>
  </conditionalFormatting>
  <conditionalFormatting sqref="C50">
    <cfRule type="cellIs" dxfId="22739" priority="13647" stopIfTrue="1" operator="equal">
      <formula>"Towel"</formula>
    </cfRule>
    <cfRule type="cellIs" dxfId="22738" priority="13648" stopIfTrue="1" operator="equal">
      <formula>"Napkin Hs"</formula>
    </cfRule>
  </conditionalFormatting>
  <conditionalFormatting sqref="C50">
    <cfRule type="cellIs" dxfId="22737" priority="13649" stopIfTrue="1" operator="equal">
      <formula>"Towel"</formula>
    </cfRule>
    <cfRule type="cellIs" dxfId="22736" priority="13650" stopIfTrue="1" operator="equal">
      <formula>"Napkin Hs"</formula>
    </cfRule>
  </conditionalFormatting>
  <conditionalFormatting sqref="C50">
    <cfRule type="cellIs" dxfId="22735" priority="13635" stopIfTrue="1" operator="equal">
      <formula>"Towel"</formula>
    </cfRule>
    <cfRule type="cellIs" dxfId="22734" priority="13636" stopIfTrue="1" operator="equal">
      <formula>"Napkin Hs"</formula>
    </cfRule>
  </conditionalFormatting>
  <conditionalFormatting sqref="C50">
    <cfRule type="cellIs" dxfId="22733" priority="13637" stopIfTrue="1" operator="equal">
      <formula>"Towel"</formula>
    </cfRule>
    <cfRule type="cellIs" dxfId="22732" priority="13638" stopIfTrue="1" operator="equal">
      <formula>"Napkin Hs"</formula>
    </cfRule>
  </conditionalFormatting>
  <conditionalFormatting sqref="C50">
    <cfRule type="cellIs" dxfId="22731" priority="13633" stopIfTrue="1" operator="equal">
      <formula>"Towel"</formula>
    </cfRule>
    <cfRule type="cellIs" dxfId="22730" priority="13634" stopIfTrue="1" operator="equal">
      <formula>"Napkin Hs"</formula>
    </cfRule>
  </conditionalFormatting>
  <conditionalFormatting sqref="C50">
    <cfRule type="cellIs" dxfId="22729" priority="13627" stopIfTrue="1" operator="equal">
      <formula>"Towel"</formula>
    </cfRule>
    <cfRule type="cellIs" dxfId="22728" priority="13628" stopIfTrue="1" operator="equal">
      <formula>"Napkin Hs"</formula>
    </cfRule>
  </conditionalFormatting>
  <conditionalFormatting sqref="C50">
    <cfRule type="cellIs" dxfId="22727" priority="13629" stopIfTrue="1" operator="equal">
      <formula>"Towel"</formula>
    </cfRule>
    <cfRule type="cellIs" dxfId="22726" priority="13630" stopIfTrue="1" operator="equal">
      <formula>"Napkin Hs"</formula>
    </cfRule>
  </conditionalFormatting>
  <conditionalFormatting sqref="C50">
    <cfRule type="cellIs" dxfId="22725" priority="13631" stopIfTrue="1" operator="equal">
      <formula>"Towel"</formula>
    </cfRule>
    <cfRule type="cellIs" dxfId="22724" priority="13632" stopIfTrue="1" operator="equal">
      <formula>"Napkin Hs"</formula>
    </cfRule>
  </conditionalFormatting>
  <conditionalFormatting sqref="C50">
    <cfRule type="cellIs" dxfId="22723" priority="13581" stopIfTrue="1" operator="equal">
      <formula>"Towel"</formula>
    </cfRule>
    <cfRule type="cellIs" dxfId="22722" priority="13582" stopIfTrue="1" operator="equal">
      <formula>"Napkin Hs"</formula>
    </cfRule>
  </conditionalFormatting>
  <conditionalFormatting sqref="C50">
    <cfRule type="cellIs" dxfId="22721" priority="13583" stopIfTrue="1" operator="equal">
      <formula>"Towel"</formula>
    </cfRule>
    <cfRule type="cellIs" dxfId="22720" priority="13584" stopIfTrue="1" operator="equal">
      <formula>"Napkin Hs"</formula>
    </cfRule>
  </conditionalFormatting>
  <conditionalFormatting sqref="C50">
    <cfRule type="cellIs" dxfId="22719" priority="13579" stopIfTrue="1" operator="equal">
      <formula>"Towel"</formula>
    </cfRule>
    <cfRule type="cellIs" dxfId="22718" priority="13580" stopIfTrue="1" operator="equal">
      <formula>"Napkin Hs"</formula>
    </cfRule>
  </conditionalFormatting>
  <conditionalFormatting sqref="C50">
    <cfRule type="cellIs" dxfId="22717" priority="13577" stopIfTrue="1" operator="equal">
      <formula>"Towel"</formula>
    </cfRule>
    <cfRule type="cellIs" dxfId="22716" priority="13578" stopIfTrue="1" operator="equal">
      <formula>"Napkin Hs"</formula>
    </cfRule>
  </conditionalFormatting>
  <conditionalFormatting sqref="C50">
    <cfRule type="cellIs" dxfId="22715" priority="13573" stopIfTrue="1" operator="equal">
      <formula>"Towel"</formula>
    </cfRule>
    <cfRule type="cellIs" dxfId="22714" priority="13574" stopIfTrue="1" operator="equal">
      <formula>"Napkin Hs"</formula>
    </cfRule>
  </conditionalFormatting>
  <conditionalFormatting sqref="C50">
    <cfRule type="cellIs" dxfId="22713" priority="13575" stopIfTrue="1" operator="equal">
      <formula>"Towel"</formula>
    </cfRule>
    <cfRule type="cellIs" dxfId="22712" priority="13576" stopIfTrue="1" operator="equal">
      <formula>"Napkin Hs"</formula>
    </cfRule>
  </conditionalFormatting>
  <conditionalFormatting sqref="C50">
    <cfRule type="cellIs" dxfId="22711" priority="13625" stopIfTrue="1" operator="equal">
      <formula>"Towel"</formula>
    </cfRule>
    <cfRule type="cellIs" dxfId="22710" priority="13626" stopIfTrue="1" operator="equal">
      <formula>"Napkin Hs"</formula>
    </cfRule>
  </conditionalFormatting>
  <conditionalFormatting sqref="C50">
    <cfRule type="cellIs" dxfId="22709" priority="13621" stopIfTrue="1" operator="equal">
      <formula>"Towel"</formula>
    </cfRule>
    <cfRule type="cellIs" dxfId="22708" priority="13622" stopIfTrue="1" operator="equal">
      <formula>"Napkin Hs"</formula>
    </cfRule>
  </conditionalFormatting>
  <conditionalFormatting sqref="C50">
    <cfRule type="cellIs" dxfId="22707" priority="13624" stopIfTrue="1" operator="equal">
      <formula>"Napkin Hs"</formula>
    </cfRule>
  </conditionalFormatting>
  <conditionalFormatting sqref="C50">
    <cfRule type="cellIs" dxfId="22706" priority="13623" stopIfTrue="1" operator="equal">
      <formula>"Towel"</formula>
    </cfRule>
  </conditionalFormatting>
  <conditionalFormatting sqref="C50">
    <cfRule type="cellIs" dxfId="22705" priority="13615" stopIfTrue="1" operator="equal">
      <formula>"Towel"</formula>
    </cfRule>
    <cfRule type="cellIs" dxfId="22704" priority="13616" stopIfTrue="1" operator="equal">
      <formula>"Napkin Hs"</formula>
    </cfRule>
  </conditionalFormatting>
  <conditionalFormatting sqref="C50">
    <cfRule type="cellIs" dxfId="22703" priority="13619" stopIfTrue="1" operator="equal">
      <formula>"Towel"</formula>
    </cfRule>
    <cfRule type="cellIs" dxfId="22702" priority="13620" stopIfTrue="1" operator="equal">
      <formula>"Napkin Hs"</formula>
    </cfRule>
  </conditionalFormatting>
  <conditionalFormatting sqref="C50">
    <cfRule type="cellIs" dxfId="22701" priority="13617" stopIfTrue="1" operator="equal">
      <formula>"Towel"</formula>
    </cfRule>
    <cfRule type="cellIs" dxfId="22700" priority="13618" stopIfTrue="1" operator="equal">
      <formula>"Napkin Hs"</formula>
    </cfRule>
  </conditionalFormatting>
  <conditionalFormatting sqref="C50">
    <cfRule type="cellIs" dxfId="22699" priority="13609" stopIfTrue="1" operator="equal">
      <formula>"Towel"</formula>
    </cfRule>
    <cfRule type="cellIs" dxfId="22698" priority="13610" stopIfTrue="1" operator="equal">
      <formula>"Napkin Hs"</formula>
    </cfRule>
  </conditionalFormatting>
  <conditionalFormatting sqref="C50">
    <cfRule type="cellIs" dxfId="22697" priority="13611" stopIfTrue="1" operator="equal">
      <formula>"Towel"</formula>
    </cfRule>
    <cfRule type="cellIs" dxfId="22696" priority="13612" stopIfTrue="1" operator="equal">
      <formula>"Napkin Hs"</formula>
    </cfRule>
  </conditionalFormatting>
  <conditionalFormatting sqref="C50">
    <cfRule type="cellIs" dxfId="22695" priority="13613" stopIfTrue="1" operator="equal">
      <formula>"Towel"</formula>
    </cfRule>
    <cfRule type="cellIs" dxfId="22694" priority="13614" stopIfTrue="1" operator="equal">
      <formula>"Napkin Hs"</formula>
    </cfRule>
  </conditionalFormatting>
  <conditionalFormatting sqref="C50">
    <cfRule type="cellIs" dxfId="22693" priority="13603" stopIfTrue="1" operator="equal">
      <formula>"Towel"</formula>
    </cfRule>
    <cfRule type="cellIs" dxfId="22692" priority="13604" stopIfTrue="1" operator="equal">
      <formula>"Napkin Hs"</formula>
    </cfRule>
  </conditionalFormatting>
  <conditionalFormatting sqref="C50">
    <cfRule type="cellIs" dxfId="22691" priority="13607" stopIfTrue="1" operator="equal">
      <formula>"Towel"</formula>
    </cfRule>
    <cfRule type="cellIs" dxfId="22690" priority="13608" stopIfTrue="1" operator="equal">
      <formula>"Napkin Hs"</formula>
    </cfRule>
  </conditionalFormatting>
  <conditionalFormatting sqref="C50">
    <cfRule type="cellIs" dxfId="22689" priority="13605" stopIfTrue="1" operator="equal">
      <formula>"Towel"</formula>
    </cfRule>
    <cfRule type="cellIs" dxfId="22688" priority="13606" stopIfTrue="1" operator="equal">
      <formula>"Napkin Hs"</formula>
    </cfRule>
  </conditionalFormatting>
  <conditionalFormatting sqref="C50">
    <cfRule type="cellIs" dxfId="22687" priority="13597" stopIfTrue="1" operator="equal">
      <formula>"Towel"</formula>
    </cfRule>
    <cfRule type="cellIs" dxfId="22686" priority="13598" stopIfTrue="1" operator="equal">
      <formula>"Napkin Hs"</formula>
    </cfRule>
  </conditionalFormatting>
  <conditionalFormatting sqref="C50">
    <cfRule type="cellIs" dxfId="22685" priority="13599" stopIfTrue="1" operator="equal">
      <formula>"Towel"</formula>
    </cfRule>
    <cfRule type="cellIs" dxfId="22684" priority="13600" stopIfTrue="1" operator="equal">
      <formula>"Napkin Hs"</formula>
    </cfRule>
  </conditionalFormatting>
  <conditionalFormatting sqref="C50">
    <cfRule type="cellIs" dxfId="22683" priority="13601" stopIfTrue="1" operator="equal">
      <formula>"Towel"</formula>
    </cfRule>
    <cfRule type="cellIs" dxfId="22682" priority="13602" stopIfTrue="1" operator="equal">
      <formula>"Napkin Hs"</formula>
    </cfRule>
  </conditionalFormatting>
  <conditionalFormatting sqref="C50">
    <cfRule type="cellIs" dxfId="22681" priority="13595" stopIfTrue="1" operator="equal">
      <formula>"Towel"</formula>
    </cfRule>
    <cfRule type="cellIs" dxfId="22680" priority="13596" stopIfTrue="1" operator="equal">
      <formula>"Napkin Hs"</formula>
    </cfRule>
  </conditionalFormatting>
  <conditionalFormatting sqref="C50">
    <cfRule type="cellIs" dxfId="22679" priority="13591" stopIfTrue="1" operator="equal">
      <formula>"Towel"</formula>
    </cfRule>
    <cfRule type="cellIs" dxfId="22678" priority="13592" stopIfTrue="1" operator="equal">
      <formula>"Napkin Hs"</formula>
    </cfRule>
  </conditionalFormatting>
  <conditionalFormatting sqref="C50">
    <cfRule type="cellIs" dxfId="22677" priority="13593" stopIfTrue="1" operator="equal">
      <formula>"Towel"</formula>
    </cfRule>
    <cfRule type="cellIs" dxfId="22676" priority="13594" stopIfTrue="1" operator="equal">
      <formula>"Napkin Hs"</formula>
    </cfRule>
  </conditionalFormatting>
  <conditionalFormatting sqref="C50">
    <cfRule type="cellIs" dxfId="22675" priority="13589" stopIfTrue="1" operator="equal">
      <formula>"Towel"</formula>
    </cfRule>
    <cfRule type="cellIs" dxfId="22674" priority="13590" stopIfTrue="1" operator="equal">
      <formula>"Napkin Hs"</formula>
    </cfRule>
  </conditionalFormatting>
  <conditionalFormatting sqref="C50">
    <cfRule type="cellIs" dxfId="22673" priority="13587" stopIfTrue="1" operator="equal">
      <formula>"Towel"</formula>
    </cfRule>
    <cfRule type="cellIs" dxfId="22672" priority="13588" stopIfTrue="1" operator="equal">
      <formula>"Napkin Hs"</formula>
    </cfRule>
  </conditionalFormatting>
  <conditionalFormatting sqref="C50">
    <cfRule type="cellIs" dxfId="22671" priority="13585" stopIfTrue="1" operator="equal">
      <formula>"Towel"</formula>
    </cfRule>
    <cfRule type="cellIs" dxfId="22670" priority="13586" stopIfTrue="1" operator="equal">
      <formula>"Napkin Hs"</formula>
    </cfRule>
  </conditionalFormatting>
  <conditionalFormatting sqref="C50">
    <cfRule type="cellIs" dxfId="22669" priority="13569" stopIfTrue="1" operator="equal">
      <formula>"Towel"</formula>
    </cfRule>
    <cfRule type="cellIs" dxfId="22668" priority="13570" stopIfTrue="1" operator="equal">
      <formula>"Napkin Hs"</formula>
    </cfRule>
  </conditionalFormatting>
  <conditionalFormatting sqref="C50">
    <cfRule type="cellIs" dxfId="22667" priority="13571" stopIfTrue="1" operator="equal">
      <formula>"Towel"</formula>
    </cfRule>
    <cfRule type="cellIs" dxfId="22666" priority="13572" stopIfTrue="1" operator="equal">
      <formula>"Napkin Hs"</formula>
    </cfRule>
  </conditionalFormatting>
  <conditionalFormatting sqref="C50">
    <cfRule type="cellIs" dxfId="22665" priority="13567" stopIfTrue="1" operator="equal">
      <formula>"Towel"</formula>
    </cfRule>
    <cfRule type="cellIs" dxfId="22664" priority="13568" stopIfTrue="1" operator="equal">
      <formula>"Napkin Hs"</formula>
    </cfRule>
  </conditionalFormatting>
  <conditionalFormatting sqref="C50">
    <cfRule type="cellIs" dxfId="22663" priority="13565" stopIfTrue="1" operator="equal">
      <formula>"Towel"</formula>
    </cfRule>
    <cfRule type="cellIs" dxfId="22662" priority="13566" stopIfTrue="1" operator="equal">
      <formula>"Napkin Hs"</formula>
    </cfRule>
  </conditionalFormatting>
  <conditionalFormatting sqref="C50">
    <cfRule type="cellIs" dxfId="22661" priority="13561" stopIfTrue="1" operator="equal">
      <formula>"Towel"</formula>
    </cfRule>
    <cfRule type="cellIs" dxfId="22660" priority="13562" stopIfTrue="1" operator="equal">
      <formula>"Napkin Hs"</formula>
    </cfRule>
  </conditionalFormatting>
  <conditionalFormatting sqref="C50">
    <cfRule type="cellIs" dxfId="22659" priority="13563" stopIfTrue="1" operator="equal">
      <formula>"Towel"</formula>
    </cfRule>
    <cfRule type="cellIs" dxfId="22658" priority="13564" stopIfTrue="1" operator="equal">
      <formula>"Napkin Hs"</formula>
    </cfRule>
  </conditionalFormatting>
  <conditionalFormatting sqref="C50">
    <cfRule type="cellIs" dxfId="22657" priority="13557" stopIfTrue="1" operator="equal">
      <formula>"Towel"</formula>
    </cfRule>
    <cfRule type="cellIs" dxfId="22656" priority="13558" stopIfTrue="1" operator="equal">
      <formula>"Napkin Hs"</formula>
    </cfRule>
  </conditionalFormatting>
  <conditionalFormatting sqref="C50">
    <cfRule type="cellIs" dxfId="22655" priority="13559" stopIfTrue="1" operator="equal">
      <formula>"Towel"</formula>
    </cfRule>
    <cfRule type="cellIs" dxfId="22654" priority="13560" stopIfTrue="1" operator="equal">
      <formula>"Napkin Hs"</formula>
    </cfRule>
  </conditionalFormatting>
  <conditionalFormatting sqref="C50">
    <cfRule type="cellIs" dxfId="22653" priority="13555" stopIfTrue="1" operator="equal">
      <formula>"Towel"</formula>
    </cfRule>
    <cfRule type="cellIs" dxfId="22652" priority="13556" stopIfTrue="1" operator="equal">
      <formula>"Napkin Hs"</formula>
    </cfRule>
  </conditionalFormatting>
  <conditionalFormatting sqref="C50">
    <cfRule type="cellIs" dxfId="22651" priority="13553" stopIfTrue="1" operator="equal">
      <formula>"Towel"</formula>
    </cfRule>
    <cfRule type="cellIs" dxfId="22650" priority="13554" stopIfTrue="1" operator="equal">
      <formula>"Napkin Hs"</formula>
    </cfRule>
  </conditionalFormatting>
  <conditionalFormatting sqref="C50">
    <cfRule type="cellIs" dxfId="22649" priority="13549" stopIfTrue="1" operator="equal">
      <formula>"Towel"</formula>
    </cfRule>
    <cfRule type="cellIs" dxfId="22648" priority="13550" stopIfTrue="1" operator="equal">
      <formula>"Napkin Hs"</formula>
    </cfRule>
  </conditionalFormatting>
  <conditionalFormatting sqref="C50">
    <cfRule type="cellIs" dxfId="22647" priority="13551" stopIfTrue="1" operator="equal">
      <formula>"Towel"</formula>
    </cfRule>
    <cfRule type="cellIs" dxfId="22646" priority="13552" stopIfTrue="1" operator="equal">
      <formula>"Napkin Hs"</formula>
    </cfRule>
  </conditionalFormatting>
  <conditionalFormatting sqref="B50">
    <cfRule type="cellIs" dxfId="22645" priority="13547" stopIfTrue="1" operator="equal">
      <formula>"Towel"</formula>
    </cfRule>
    <cfRule type="cellIs" dxfId="22644" priority="13548" stopIfTrue="1" operator="equal">
      <formula>"Napkin Hs"</formula>
    </cfRule>
  </conditionalFormatting>
  <conditionalFormatting sqref="B50">
    <cfRule type="cellIs" dxfId="22643" priority="13531" stopIfTrue="1" operator="equal">
      <formula>"Towel"</formula>
    </cfRule>
    <cfRule type="cellIs" dxfId="22642" priority="13532" stopIfTrue="1" operator="equal">
      <formula>"Napkin Hs"</formula>
    </cfRule>
  </conditionalFormatting>
  <conditionalFormatting sqref="B50">
    <cfRule type="cellIs" dxfId="22641" priority="13529" stopIfTrue="1" operator="equal">
      <formula>"Towel"</formula>
    </cfRule>
    <cfRule type="cellIs" dxfId="22640" priority="13530" stopIfTrue="1" operator="equal">
      <formula>"Napkin Hs"</formula>
    </cfRule>
  </conditionalFormatting>
  <conditionalFormatting sqref="B50">
    <cfRule type="cellIs" dxfId="22639" priority="13545" stopIfTrue="1" operator="equal">
      <formula>"Towel"</formula>
    </cfRule>
    <cfRule type="cellIs" dxfId="22638" priority="13546" stopIfTrue="1" operator="equal">
      <formula>"Napkin Hs"</formula>
    </cfRule>
  </conditionalFormatting>
  <conditionalFormatting sqref="B50">
    <cfRule type="cellIs" dxfId="22637" priority="13541" stopIfTrue="1" operator="equal">
      <formula>"Towel"</formula>
    </cfRule>
    <cfRule type="cellIs" dxfId="22636" priority="13542" stopIfTrue="1" operator="equal">
      <formula>"Napkin Hs"</formula>
    </cfRule>
  </conditionalFormatting>
  <conditionalFormatting sqref="B50">
    <cfRule type="cellIs" dxfId="22635" priority="13543" stopIfTrue="1" operator="equal">
      <formula>"Towel"</formula>
    </cfRule>
    <cfRule type="cellIs" dxfId="22634" priority="13544" stopIfTrue="1" operator="equal">
      <formula>"Napkin Hs"</formula>
    </cfRule>
  </conditionalFormatting>
  <conditionalFormatting sqref="B50">
    <cfRule type="cellIs" dxfId="22633" priority="13537" stopIfTrue="1" operator="equal">
      <formula>"Towel"</formula>
    </cfRule>
    <cfRule type="cellIs" dxfId="22632" priority="13538" stopIfTrue="1" operator="equal">
      <formula>"Napkin Hs"</formula>
    </cfRule>
  </conditionalFormatting>
  <conditionalFormatting sqref="B50">
    <cfRule type="cellIs" dxfId="22631" priority="13539" stopIfTrue="1" operator="equal">
      <formula>"Towel"</formula>
    </cfRule>
    <cfRule type="cellIs" dxfId="22630" priority="13540" stopIfTrue="1" operator="equal">
      <formula>"Napkin Hs"</formula>
    </cfRule>
  </conditionalFormatting>
  <conditionalFormatting sqref="B50">
    <cfRule type="cellIs" dxfId="22629" priority="13535" stopIfTrue="1" operator="equal">
      <formula>"Towel"</formula>
    </cfRule>
    <cfRule type="cellIs" dxfId="22628" priority="13536" stopIfTrue="1" operator="equal">
      <formula>"Napkin Hs"</formula>
    </cfRule>
  </conditionalFormatting>
  <conditionalFormatting sqref="B50">
    <cfRule type="cellIs" dxfId="22627" priority="13533" stopIfTrue="1" operator="equal">
      <formula>"Towel"</formula>
    </cfRule>
    <cfRule type="cellIs" dxfId="22626" priority="13534" stopIfTrue="1" operator="equal">
      <formula>"Napkin Hs"</formula>
    </cfRule>
  </conditionalFormatting>
  <conditionalFormatting sqref="B50">
    <cfRule type="cellIs" dxfId="22625" priority="13527" stopIfTrue="1" operator="equal">
      <formula>"Towel"</formula>
    </cfRule>
    <cfRule type="cellIs" dxfId="22624" priority="13528" stopIfTrue="1" operator="equal">
      <formula>"Napkin Hs"</formula>
    </cfRule>
  </conditionalFormatting>
  <conditionalFormatting sqref="B50">
    <cfRule type="cellIs" dxfId="22623" priority="13525" stopIfTrue="1" operator="equal">
      <formula>"Towel"</formula>
    </cfRule>
    <cfRule type="cellIs" dxfId="22622" priority="13526" stopIfTrue="1" operator="equal">
      <formula>"Napkin Hs"</formula>
    </cfRule>
  </conditionalFormatting>
  <conditionalFormatting sqref="B50">
    <cfRule type="cellIs" dxfId="22621" priority="13523" stopIfTrue="1" operator="equal">
      <formula>"Towel"</formula>
    </cfRule>
    <cfRule type="cellIs" dxfId="22620" priority="13524" stopIfTrue="1" operator="equal">
      <formula>"Napkin Hs"</formula>
    </cfRule>
  </conditionalFormatting>
  <conditionalFormatting sqref="B50">
    <cfRule type="cellIs" dxfId="22619" priority="13521" stopIfTrue="1" operator="equal">
      <formula>"Towel"</formula>
    </cfRule>
    <cfRule type="cellIs" dxfId="22618" priority="13522" stopIfTrue="1" operator="equal">
      <formula>"Napkin Hs"</formula>
    </cfRule>
  </conditionalFormatting>
  <conditionalFormatting sqref="C47">
    <cfRule type="cellIs" dxfId="22617" priority="13507" stopIfTrue="1" operator="equal">
      <formula>"Towel"</formula>
    </cfRule>
    <cfRule type="cellIs" dxfId="22616" priority="13508" stopIfTrue="1" operator="equal">
      <formula>"Napkin Hs"</formula>
    </cfRule>
  </conditionalFormatting>
  <conditionalFormatting sqref="C47">
    <cfRule type="cellIs" dxfId="22615" priority="13505" stopIfTrue="1" operator="equal">
      <formula>"Towel"</formula>
    </cfRule>
    <cfRule type="cellIs" dxfId="22614" priority="13506" stopIfTrue="1" operator="equal">
      <formula>"Napkin Hs"</formula>
    </cfRule>
  </conditionalFormatting>
  <conditionalFormatting sqref="C47">
    <cfRule type="cellIs" dxfId="22613" priority="13513" stopIfTrue="1" operator="equal">
      <formula>"Towel"</formula>
    </cfRule>
    <cfRule type="cellIs" dxfId="22612" priority="13514" stopIfTrue="1" operator="equal">
      <formula>"Napkin Hs"</formula>
    </cfRule>
  </conditionalFormatting>
  <conditionalFormatting sqref="B47:C47">
    <cfRule type="cellIs" dxfId="22611" priority="13515" stopIfTrue="1" operator="equal">
      <formula>"Towel"</formula>
    </cfRule>
    <cfRule type="cellIs" dxfId="22610" priority="13516" stopIfTrue="1" operator="equal">
      <formula>"Napkin Hs"</formula>
    </cfRule>
  </conditionalFormatting>
  <conditionalFormatting sqref="C47">
    <cfRule type="cellIs" dxfId="22609" priority="13511" stopIfTrue="1" operator="equal">
      <formula>"Towel"</formula>
    </cfRule>
    <cfRule type="cellIs" dxfId="22608" priority="13512" stopIfTrue="1" operator="equal">
      <formula>"Napkin Hs"</formula>
    </cfRule>
  </conditionalFormatting>
  <conditionalFormatting sqref="B47:C47">
    <cfRule type="cellIs" dxfId="22607" priority="13509" stopIfTrue="1" operator="equal">
      <formula>"Towel"</formula>
    </cfRule>
    <cfRule type="cellIs" dxfId="22606" priority="13510" stopIfTrue="1" operator="equal">
      <formula>"Napkin Hs"</formula>
    </cfRule>
  </conditionalFormatting>
  <conditionalFormatting sqref="C47">
    <cfRule type="cellIs" dxfId="22605" priority="13517" stopIfTrue="1" operator="equal">
      <formula>"Towel"</formula>
    </cfRule>
    <cfRule type="cellIs" dxfId="22604" priority="13518" stopIfTrue="1" operator="equal">
      <formula>"Napkin Hs"</formula>
    </cfRule>
  </conditionalFormatting>
  <conditionalFormatting sqref="C47">
    <cfRule type="cellIs" dxfId="22603" priority="13519" stopIfTrue="1" operator="equal">
      <formula>"Towel"</formula>
    </cfRule>
    <cfRule type="cellIs" dxfId="22602" priority="13520" stopIfTrue="1" operator="equal">
      <formula>"Napkin Hs"</formula>
    </cfRule>
  </conditionalFormatting>
  <conditionalFormatting sqref="C47">
    <cfRule type="cellIs" dxfId="22601" priority="13501" stopIfTrue="1" operator="equal">
      <formula>"Towel"</formula>
    </cfRule>
    <cfRule type="cellIs" dxfId="22600" priority="13502" stopIfTrue="1" operator="equal">
      <formula>"Napkin Hs"</formula>
    </cfRule>
  </conditionalFormatting>
  <conditionalFormatting sqref="B47:C47">
    <cfRule type="cellIs" dxfId="22599" priority="13503" stopIfTrue="1" operator="equal">
      <formula>"Towel"</formula>
    </cfRule>
    <cfRule type="cellIs" dxfId="22598" priority="13504" stopIfTrue="1" operator="equal">
      <formula>"Napkin Hs"</formula>
    </cfRule>
  </conditionalFormatting>
  <conditionalFormatting sqref="C47">
    <cfRule type="cellIs" dxfId="22597" priority="13499" stopIfTrue="1" operator="equal">
      <formula>"Towel"</formula>
    </cfRule>
    <cfRule type="cellIs" dxfId="22596" priority="13500" stopIfTrue="1" operator="equal">
      <formula>"Napkin Hs"</formula>
    </cfRule>
  </conditionalFormatting>
  <conditionalFormatting sqref="B47:C47">
    <cfRule type="cellIs" dxfId="22595" priority="13497" stopIfTrue="1" operator="equal">
      <formula>"Towel"</formula>
    </cfRule>
    <cfRule type="cellIs" dxfId="22594" priority="13498" stopIfTrue="1" operator="equal">
      <formula>"Napkin Hs"</formula>
    </cfRule>
  </conditionalFormatting>
  <conditionalFormatting sqref="C47">
    <cfRule type="cellIs" dxfId="22593" priority="13489" stopIfTrue="1" operator="equal">
      <formula>"Towel"</formula>
    </cfRule>
    <cfRule type="cellIs" dxfId="22592" priority="13490" stopIfTrue="1" operator="equal">
      <formula>"Napkin Hs"</formula>
    </cfRule>
  </conditionalFormatting>
  <conditionalFormatting sqref="C47">
    <cfRule type="cellIs" dxfId="22591" priority="13491" stopIfTrue="1" operator="equal">
      <formula>"Towel"</formula>
    </cfRule>
    <cfRule type="cellIs" dxfId="22590" priority="13492" stopIfTrue="1" operator="equal">
      <formula>"Napkin Hs"</formula>
    </cfRule>
  </conditionalFormatting>
  <conditionalFormatting sqref="C47">
    <cfRule type="cellIs" dxfId="22589" priority="13487" stopIfTrue="1" operator="equal">
      <formula>"Towel"</formula>
    </cfRule>
    <cfRule type="cellIs" dxfId="22588" priority="13488" stopIfTrue="1" operator="equal">
      <formula>"Napkin Hs"</formula>
    </cfRule>
  </conditionalFormatting>
  <conditionalFormatting sqref="C47">
    <cfRule type="cellIs" dxfId="22587" priority="13485" stopIfTrue="1" operator="equal">
      <formula>"Towel"</formula>
    </cfRule>
    <cfRule type="cellIs" dxfId="22586" priority="13486" stopIfTrue="1" operator="equal">
      <formula>"Napkin Hs"</formula>
    </cfRule>
  </conditionalFormatting>
  <conditionalFormatting sqref="C47">
    <cfRule type="cellIs" dxfId="22585" priority="13493" stopIfTrue="1" operator="equal">
      <formula>"Towel"</formula>
    </cfRule>
    <cfRule type="cellIs" dxfId="22584" priority="13494" stopIfTrue="1" operator="equal">
      <formula>"Napkin Hs"</formula>
    </cfRule>
  </conditionalFormatting>
  <conditionalFormatting sqref="C47">
    <cfRule type="cellIs" dxfId="22583" priority="13495" stopIfTrue="1" operator="equal">
      <formula>"Towel"</formula>
    </cfRule>
    <cfRule type="cellIs" dxfId="22582" priority="13496" stopIfTrue="1" operator="equal">
      <formula>"Napkin Hs"</formula>
    </cfRule>
  </conditionalFormatting>
  <conditionalFormatting sqref="C47">
    <cfRule type="cellIs" dxfId="22581" priority="13481" stopIfTrue="1" operator="equal">
      <formula>"Towel"</formula>
    </cfRule>
    <cfRule type="cellIs" dxfId="22580" priority="13482" stopIfTrue="1" operator="equal">
      <formula>"Napkin Hs"</formula>
    </cfRule>
  </conditionalFormatting>
  <conditionalFormatting sqref="C47">
    <cfRule type="cellIs" dxfId="22579" priority="13483" stopIfTrue="1" operator="equal">
      <formula>"Towel"</formula>
    </cfRule>
    <cfRule type="cellIs" dxfId="22578" priority="13484" stopIfTrue="1" operator="equal">
      <formula>"Napkin Hs"</formula>
    </cfRule>
  </conditionalFormatting>
  <conditionalFormatting sqref="C47">
    <cfRule type="cellIs" dxfId="22577" priority="13479" stopIfTrue="1" operator="equal">
      <formula>"Towel"</formula>
    </cfRule>
    <cfRule type="cellIs" dxfId="22576" priority="13480" stopIfTrue="1" operator="equal">
      <formula>"Napkin Hs"</formula>
    </cfRule>
  </conditionalFormatting>
  <conditionalFormatting sqref="C47">
    <cfRule type="cellIs" dxfId="22575" priority="13473" stopIfTrue="1" operator="equal">
      <formula>"Towel"</formula>
    </cfRule>
    <cfRule type="cellIs" dxfId="22574" priority="13474" stopIfTrue="1" operator="equal">
      <formula>"Napkin Hs"</formula>
    </cfRule>
  </conditionalFormatting>
  <conditionalFormatting sqref="C47">
    <cfRule type="cellIs" dxfId="22573" priority="13475" stopIfTrue="1" operator="equal">
      <formula>"Towel"</formula>
    </cfRule>
    <cfRule type="cellIs" dxfId="22572" priority="13476" stopIfTrue="1" operator="equal">
      <formula>"Napkin Hs"</formula>
    </cfRule>
  </conditionalFormatting>
  <conditionalFormatting sqref="C47">
    <cfRule type="cellIs" dxfId="22571" priority="13477" stopIfTrue="1" operator="equal">
      <formula>"Towel"</formula>
    </cfRule>
    <cfRule type="cellIs" dxfId="22570" priority="13478" stopIfTrue="1" operator="equal">
      <formula>"Napkin Hs"</formula>
    </cfRule>
  </conditionalFormatting>
  <conditionalFormatting sqref="C47">
    <cfRule type="cellIs" dxfId="22569" priority="13427" stopIfTrue="1" operator="equal">
      <formula>"Towel"</formula>
    </cfRule>
    <cfRule type="cellIs" dxfId="22568" priority="13428" stopIfTrue="1" operator="equal">
      <formula>"Napkin Hs"</formula>
    </cfRule>
  </conditionalFormatting>
  <conditionalFormatting sqref="C47">
    <cfRule type="cellIs" dxfId="22567" priority="13429" stopIfTrue="1" operator="equal">
      <formula>"Towel"</formula>
    </cfRule>
    <cfRule type="cellIs" dxfId="22566" priority="13430" stopIfTrue="1" operator="equal">
      <formula>"Napkin Hs"</formula>
    </cfRule>
  </conditionalFormatting>
  <conditionalFormatting sqref="C47">
    <cfRule type="cellIs" dxfId="22565" priority="13425" stopIfTrue="1" operator="equal">
      <formula>"Towel"</formula>
    </cfRule>
    <cfRule type="cellIs" dxfId="22564" priority="13426" stopIfTrue="1" operator="equal">
      <formula>"Napkin Hs"</formula>
    </cfRule>
  </conditionalFormatting>
  <conditionalFormatting sqref="C47">
    <cfRule type="cellIs" dxfId="22563" priority="13423" stopIfTrue="1" operator="equal">
      <formula>"Towel"</formula>
    </cfRule>
    <cfRule type="cellIs" dxfId="22562" priority="13424" stopIfTrue="1" operator="equal">
      <formula>"Napkin Hs"</formula>
    </cfRule>
  </conditionalFormatting>
  <conditionalFormatting sqref="C47">
    <cfRule type="cellIs" dxfId="22561" priority="13419" stopIfTrue="1" operator="equal">
      <formula>"Towel"</formula>
    </cfRule>
    <cfRule type="cellIs" dxfId="22560" priority="13420" stopIfTrue="1" operator="equal">
      <formula>"Napkin Hs"</formula>
    </cfRule>
  </conditionalFormatting>
  <conditionalFormatting sqref="C47">
    <cfRule type="cellIs" dxfId="22559" priority="13421" stopIfTrue="1" operator="equal">
      <formula>"Towel"</formula>
    </cfRule>
    <cfRule type="cellIs" dxfId="22558" priority="13422" stopIfTrue="1" operator="equal">
      <formula>"Napkin Hs"</formula>
    </cfRule>
  </conditionalFormatting>
  <conditionalFormatting sqref="C47">
    <cfRule type="cellIs" dxfId="22557" priority="13471" stopIfTrue="1" operator="equal">
      <formula>"Towel"</formula>
    </cfRule>
    <cfRule type="cellIs" dxfId="22556" priority="13472" stopIfTrue="1" operator="equal">
      <formula>"Napkin Hs"</formula>
    </cfRule>
  </conditionalFormatting>
  <conditionalFormatting sqref="C47">
    <cfRule type="cellIs" dxfId="22555" priority="13467" stopIfTrue="1" operator="equal">
      <formula>"Towel"</formula>
    </cfRule>
    <cfRule type="cellIs" dxfId="22554" priority="13468" stopIfTrue="1" operator="equal">
      <formula>"Napkin Hs"</formula>
    </cfRule>
  </conditionalFormatting>
  <conditionalFormatting sqref="C47">
    <cfRule type="cellIs" dxfId="22553" priority="13470" stopIfTrue="1" operator="equal">
      <formula>"Napkin Hs"</formula>
    </cfRule>
  </conditionalFormatting>
  <conditionalFormatting sqref="C47">
    <cfRule type="cellIs" dxfId="22552" priority="13469" stopIfTrue="1" operator="equal">
      <formula>"Towel"</formula>
    </cfRule>
  </conditionalFormatting>
  <conditionalFormatting sqref="C47">
    <cfRule type="cellIs" dxfId="22551" priority="13461" stopIfTrue="1" operator="equal">
      <formula>"Towel"</formula>
    </cfRule>
    <cfRule type="cellIs" dxfId="22550" priority="13462" stopIfTrue="1" operator="equal">
      <formula>"Napkin Hs"</formula>
    </cfRule>
  </conditionalFormatting>
  <conditionalFormatting sqref="C47">
    <cfRule type="cellIs" dxfId="22549" priority="13465" stopIfTrue="1" operator="equal">
      <formula>"Towel"</formula>
    </cfRule>
    <cfRule type="cellIs" dxfId="22548" priority="13466" stopIfTrue="1" operator="equal">
      <formula>"Napkin Hs"</formula>
    </cfRule>
  </conditionalFormatting>
  <conditionalFormatting sqref="C47">
    <cfRule type="cellIs" dxfId="22547" priority="13463" stopIfTrue="1" operator="equal">
      <formula>"Towel"</formula>
    </cfRule>
    <cfRule type="cellIs" dxfId="22546" priority="13464" stopIfTrue="1" operator="equal">
      <formula>"Napkin Hs"</formula>
    </cfRule>
  </conditionalFormatting>
  <conditionalFormatting sqref="C47">
    <cfRule type="cellIs" dxfId="22545" priority="13455" stopIfTrue="1" operator="equal">
      <formula>"Towel"</formula>
    </cfRule>
    <cfRule type="cellIs" dxfId="22544" priority="13456" stopIfTrue="1" operator="equal">
      <formula>"Napkin Hs"</formula>
    </cfRule>
  </conditionalFormatting>
  <conditionalFormatting sqref="C47">
    <cfRule type="cellIs" dxfId="22543" priority="13457" stopIfTrue="1" operator="equal">
      <formula>"Towel"</formula>
    </cfRule>
    <cfRule type="cellIs" dxfId="22542" priority="13458" stopIfTrue="1" operator="equal">
      <formula>"Napkin Hs"</formula>
    </cfRule>
  </conditionalFormatting>
  <conditionalFormatting sqref="C47">
    <cfRule type="cellIs" dxfId="22541" priority="13459" stopIfTrue="1" operator="equal">
      <formula>"Towel"</formula>
    </cfRule>
    <cfRule type="cellIs" dxfId="22540" priority="13460" stopIfTrue="1" operator="equal">
      <formula>"Napkin Hs"</formula>
    </cfRule>
  </conditionalFormatting>
  <conditionalFormatting sqref="C47">
    <cfRule type="cellIs" dxfId="22539" priority="13449" stopIfTrue="1" operator="equal">
      <formula>"Towel"</formula>
    </cfRule>
    <cfRule type="cellIs" dxfId="22538" priority="13450" stopIfTrue="1" operator="equal">
      <formula>"Napkin Hs"</formula>
    </cfRule>
  </conditionalFormatting>
  <conditionalFormatting sqref="C47">
    <cfRule type="cellIs" dxfId="22537" priority="13453" stopIfTrue="1" operator="equal">
      <formula>"Towel"</formula>
    </cfRule>
    <cfRule type="cellIs" dxfId="22536" priority="13454" stopIfTrue="1" operator="equal">
      <formula>"Napkin Hs"</formula>
    </cfRule>
  </conditionalFormatting>
  <conditionalFormatting sqref="C47">
    <cfRule type="cellIs" dxfId="22535" priority="13451" stopIfTrue="1" operator="equal">
      <formula>"Towel"</formula>
    </cfRule>
    <cfRule type="cellIs" dxfId="22534" priority="13452" stopIfTrue="1" operator="equal">
      <formula>"Napkin Hs"</formula>
    </cfRule>
  </conditionalFormatting>
  <conditionalFormatting sqref="C47">
    <cfRule type="cellIs" dxfId="22533" priority="13443" stopIfTrue="1" operator="equal">
      <formula>"Towel"</formula>
    </cfRule>
    <cfRule type="cellIs" dxfId="22532" priority="13444" stopIfTrue="1" operator="equal">
      <formula>"Napkin Hs"</formula>
    </cfRule>
  </conditionalFormatting>
  <conditionalFormatting sqref="C47">
    <cfRule type="cellIs" dxfId="22531" priority="13445" stopIfTrue="1" operator="equal">
      <formula>"Towel"</formula>
    </cfRule>
    <cfRule type="cellIs" dxfId="22530" priority="13446" stopIfTrue="1" operator="equal">
      <formula>"Napkin Hs"</formula>
    </cfRule>
  </conditionalFormatting>
  <conditionalFormatting sqref="C47">
    <cfRule type="cellIs" dxfId="22529" priority="13447" stopIfTrue="1" operator="equal">
      <formula>"Towel"</formula>
    </cfRule>
    <cfRule type="cellIs" dxfId="22528" priority="13448" stopIfTrue="1" operator="equal">
      <formula>"Napkin Hs"</formula>
    </cfRule>
  </conditionalFormatting>
  <conditionalFormatting sqref="C47">
    <cfRule type="cellIs" dxfId="22527" priority="13441" stopIfTrue="1" operator="equal">
      <formula>"Towel"</formula>
    </cfRule>
    <cfRule type="cellIs" dxfId="22526" priority="13442" stopIfTrue="1" operator="equal">
      <formula>"Napkin Hs"</formula>
    </cfRule>
  </conditionalFormatting>
  <conditionalFormatting sqref="C47">
    <cfRule type="cellIs" dxfId="22525" priority="13437" stopIfTrue="1" operator="equal">
      <formula>"Towel"</formula>
    </cfRule>
    <cfRule type="cellIs" dxfId="22524" priority="13438" stopIfTrue="1" operator="equal">
      <formula>"Napkin Hs"</formula>
    </cfRule>
  </conditionalFormatting>
  <conditionalFormatting sqref="C47">
    <cfRule type="cellIs" dxfId="22523" priority="13439" stopIfTrue="1" operator="equal">
      <formula>"Towel"</formula>
    </cfRule>
    <cfRule type="cellIs" dxfId="22522" priority="13440" stopIfTrue="1" operator="equal">
      <formula>"Napkin Hs"</formula>
    </cfRule>
  </conditionalFormatting>
  <conditionalFormatting sqref="C47">
    <cfRule type="cellIs" dxfId="22521" priority="13435" stopIfTrue="1" operator="equal">
      <formula>"Towel"</formula>
    </cfRule>
    <cfRule type="cellIs" dxfId="22520" priority="13436" stopIfTrue="1" operator="equal">
      <formula>"Napkin Hs"</formula>
    </cfRule>
  </conditionalFormatting>
  <conditionalFormatting sqref="C47">
    <cfRule type="cellIs" dxfId="22519" priority="13433" stopIfTrue="1" operator="equal">
      <formula>"Towel"</formula>
    </cfRule>
    <cfRule type="cellIs" dxfId="22518" priority="13434" stopIfTrue="1" operator="equal">
      <formula>"Napkin Hs"</formula>
    </cfRule>
  </conditionalFormatting>
  <conditionalFormatting sqref="C47">
    <cfRule type="cellIs" dxfId="22517" priority="13431" stopIfTrue="1" operator="equal">
      <formula>"Towel"</formula>
    </cfRule>
    <cfRule type="cellIs" dxfId="22516" priority="13432" stopIfTrue="1" operator="equal">
      <formula>"Napkin Hs"</formula>
    </cfRule>
  </conditionalFormatting>
  <conditionalFormatting sqref="C47">
    <cfRule type="cellIs" dxfId="22515" priority="13415" stopIfTrue="1" operator="equal">
      <formula>"Towel"</formula>
    </cfRule>
    <cfRule type="cellIs" dxfId="22514" priority="13416" stopIfTrue="1" operator="equal">
      <formula>"Napkin Hs"</formula>
    </cfRule>
  </conditionalFormatting>
  <conditionalFormatting sqref="C47">
    <cfRule type="cellIs" dxfId="22513" priority="13417" stopIfTrue="1" operator="equal">
      <formula>"Towel"</formula>
    </cfRule>
    <cfRule type="cellIs" dxfId="22512" priority="13418" stopIfTrue="1" operator="equal">
      <formula>"Napkin Hs"</formula>
    </cfRule>
  </conditionalFormatting>
  <conditionalFormatting sqref="C47">
    <cfRule type="cellIs" dxfId="22511" priority="13413" stopIfTrue="1" operator="equal">
      <formula>"Towel"</formula>
    </cfRule>
    <cfRule type="cellIs" dxfId="22510" priority="13414" stopIfTrue="1" operator="equal">
      <formula>"Napkin Hs"</formula>
    </cfRule>
  </conditionalFormatting>
  <conditionalFormatting sqref="C47">
    <cfRule type="cellIs" dxfId="22509" priority="13411" stopIfTrue="1" operator="equal">
      <formula>"Towel"</formula>
    </cfRule>
    <cfRule type="cellIs" dxfId="22508" priority="13412" stopIfTrue="1" operator="equal">
      <formula>"Napkin Hs"</formula>
    </cfRule>
  </conditionalFormatting>
  <conditionalFormatting sqref="C47">
    <cfRule type="cellIs" dxfId="22507" priority="13407" stopIfTrue="1" operator="equal">
      <formula>"Towel"</formula>
    </cfRule>
    <cfRule type="cellIs" dxfId="22506" priority="13408" stopIfTrue="1" operator="equal">
      <formula>"Napkin Hs"</formula>
    </cfRule>
  </conditionalFormatting>
  <conditionalFormatting sqref="C47">
    <cfRule type="cellIs" dxfId="22505" priority="13409" stopIfTrue="1" operator="equal">
      <formula>"Towel"</formula>
    </cfRule>
    <cfRule type="cellIs" dxfId="22504" priority="13410" stopIfTrue="1" operator="equal">
      <formula>"Napkin Hs"</formula>
    </cfRule>
  </conditionalFormatting>
  <conditionalFormatting sqref="C47">
    <cfRule type="cellIs" dxfId="22503" priority="13403" stopIfTrue="1" operator="equal">
      <formula>"Towel"</formula>
    </cfRule>
    <cfRule type="cellIs" dxfId="22502" priority="13404" stopIfTrue="1" operator="equal">
      <formula>"Napkin Hs"</formula>
    </cfRule>
  </conditionalFormatting>
  <conditionalFormatting sqref="C47">
    <cfRule type="cellIs" dxfId="22501" priority="13405" stopIfTrue="1" operator="equal">
      <formula>"Towel"</formula>
    </cfRule>
    <cfRule type="cellIs" dxfId="22500" priority="13406" stopIfTrue="1" operator="equal">
      <formula>"Napkin Hs"</formula>
    </cfRule>
  </conditionalFormatting>
  <conditionalFormatting sqref="C47">
    <cfRule type="cellIs" dxfId="22499" priority="13401" stopIfTrue="1" operator="equal">
      <formula>"Towel"</formula>
    </cfRule>
    <cfRule type="cellIs" dxfId="22498" priority="13402" stopIfTrue="1" operator="equal">
      <formula>"Napkin Hs"</formula>
    </cfRule>
  </conditionalFormatting>
  <conditionalFormatting sqref="C47">
    <cfRule type="cellIs" dxfId="22497" priority="13399" stopIfTrue="1" operator="equal">
      <formula>"Towel"</formula>
    </cfRule>
    <cfRule type="cellIs" dxfId="22496" priority="13400" stopIfTrue="1" operator="equal">
      <formula>"Napkin Hs"</formula>
    </cfRule>
  </conditionalFormatting>
  <conditionalFormatting sqref="C47">
    <cfRule type="cellIs" dxfId="22495" priority="13395" stopIfTrue="1" operator="equal">
      <formula>"Towel"</formula>
    </cfRule>
    <cfRule type="cellIs" dxfId="22494" priority="13396" stopIfTrue="1" operator="equal">
      <formula>"Napkin Hs"</formula>
    </cfRule>
  </conditionalFormatting>
  <conditionalFormatting sqref="C47">
    <cfRule type="cellIs" dxfId="22493" priority="13397" stopIfTrue="1" operator="equal">
      <formula>"Towel"</formula>
    </cfRule>
    <cfRule type="cellIs" dxfId="22492" priority="13398" stopIfTrue="1" operator="equal">
      <formula>"Napkin Hs"</formula>
    </cfRule>
  </conditionalFormatting>
  <conditionalFormatting sqref="B47">
    <cfRule type="cellIs" dxfId="22491" priority="13393" stopIfTrue="1" operator="equal">
      <formula>"Towel"</formula>
    </cfRule>
    <cfRule type="cellIs" dxfId="22490" priority="13394" stopIfTrue="1" operator="equal">
      <formula>"Napkin Hs"</formula>
    </cfRule>
  </conditionalFormatting>
  <conditionalFormatting sqref="B47">
    <cfRule type="cellIs" dxfId="22489" priority="13377" stopIfTrue="1" operator="equal">
      <formula>"Towel"</formula>
    </cfRule>
    <cfRule type="cellIs" dxfId="22488" priority="13378" stopIfTrue="1" operator="equal">
      <formula>"Napkin Hs"</formula>
    </cfRule>
  </conditionalFormatting>
  <conditionalFormatting sqref="B47">
    <cfRule type="cellIs" dxfId="22487" priority="13375" stopIfTrue="1" operator="equal">
      <formula>"Towel"</formula>
    </cfRule>
    <cfRule type="cellIs" dxfId="22486" priority="13376" stopIfTrue="1" operator="equal">
      <formula>"Napkin Hs"</formula>
    </cfRule>
  </conditionalFormatting>
  <conditionalFormatting sqref="B47">
    <cfRule type="cellIs" dxfId="22485" priority="13391" stopIfTrue="1" operator="equal">
      <formula>"Towel"</formula>
    </cfRule>
    <cfRule type="cellIs" dxfId="22484" priority="13392" stopIfTrue="1" operator="equal">
      <formula>"Napkin Hs"</formula>
    </cfRule>
  </conditionalFormatting>
  <conditionalFormatting sqref="B47">
    <cfRule type="cellIs" dxfId="22483" priority="13387" stopIfTrue="1" operator="equal">
      <formula>"Towel"</formula>
    </cfRule>
    <cfRule type="cellIs" dxfId="22482" priority="13388" stopIfTrue="1" operator="equal">
      <formula>"Napkin Hs"</formula>
    </cfRule>
  </conditionalFormatting>
  <conditionalFormatting sqref="B47">
    <cfRule type="cellIs" dxfId="22481" priority="13389" stopIfTrue="1" operator="equal">
      <formula>"Towel"</formula>
    </cfRule>
    <cfRule type="cellIs" dxfId="22480" priority="13390" stopIfTrue="1" operator="equal">
      <formula>"Napkin Hs"</formula>
    </cfRule>
  </conditionalFormatting>
  <conditionalFormatting sqref="B47">
    <cfRule type="cellIs" dxfId="22479" priority="13383" stopIfTrue="1" operator="equal">
      <formula>"Towel"</formula>
    </cfRule>
    <cfRule type="cellIs" dxfId="22478" priority="13384" stopIfTrue="1" operator="equal">
      <formula>"Napkin Hs"</formula>
    </cfRule>
  </conditionalFormatting>
  <conditionalFormatting sqref="B47">
    <cfRule type="cellIs" dxfId="22477" priority="13385" stopIfTrue="1" operator="equal">
      <formula>"Towel"</formula>
    </cfRule>
    <cfRule type="cellIs" dxfId="22476" priority="13386" stopIfTrue="1" operator="equal">
      <formula>"Napkin Hs"</formula>
    </cfRule>
  </conditionalFormatting>
  <conditionalFormatting sqref="B47">
    <cfRule type="cellIs" dxfId="22475" priority="13381" stopIfTrue="1" operator="equal">
      <formula>"Towel"</formula>
    </cfRule>
    <cfRule type="cellIs" dxfId="22474" priority="13382" stopIfTrue="1" operator="equal">
      <formula>"Napkin Hs"</formula>
    </cfRule>
  </conditionalFormatting>
  <conditionalFormatting sqref="B47">
    <cfRule type="cellIs" dxfId="22473" priority="13379" stopIfTrue="1" operator="equal">
      <formula>"Towel"</formula>
    </cfRule>
    <cfRule type="cellIs" dxfId="22472" priority="13380" stopIfTrue="1" operator="equal">
      <formula>"Napkin Hs"</formula>
    </cfRule>
  </conditionalFormatting>
  <conditionalFormatting sqref="B47">
    <cfRule type="cellIs" dxfId="22471" priority="13373" stopIfTrue="1" operator="equal">
      <formula>"Towel"</formula>
    </cfRule>
    <cfRule type="cellIs" dxfId="22470" priority="13374" stopIfTrue="1" operator="equal">
      <formula>"Napkin Hs"</formula>
    </cfRule>
  </conditionalFormatting>
  <conditionalFormatting sqref="B47">
    <cfRule type="cellIs" dxfId="22469" priority="13371" stopIfTrue="1" operator="equal">
      <formula>"Towel"</formula>
    </cfRule>
    <cfRule type="cellIs" dxfId="22468" priority="13372" stopIfTrue="1" operator="equal">
      <formula>"Napkin Hs"</formula>
    </cfRule>
  </conditionalFormatting>
  <conditionalFormatting sqref="B47">
    <cfRule type="cellIs" dxfId="22467" priority="13369" stopIfTrue="1" operator="equal">
      <formula>"Towel"</formula>
    </cfRule>
    <cfRule type="cellIs" dxfId="22466" priority="13370" stopIfTrue="1" operator="equal">
      <formula>"Napkin Hs"</formula>
    </cfRule>
  </conditionalFormatting>
  <conditionalFormatting sqref="B47">
    <cfRule type="cellIs" dxfId="22465" priority="13367" stopIfTrue="1" operator="equal">
      <formula>"Towel"</formula>
    </cfRule>
    <cfRule type="cellIs" dxfId="22464" priority="13368" stopIfTrue="1" operator="equal">
      <formula>"Napkin Hs"</formula>
    </cfRule>
  </conditionalFormatting>
  <conditionalFormatting sqref="C48">
    <cfRule type="cellIs" dxfId="22463" priority="13359" stopIfTrue="1" operator="equal">
      <formula>"Towel"</formula>
    </cfRule>
    <cfRule type="cellIs" dxfId="22462" priority="13360" stopIfTrue="1" operator="equal">
      <formula>"Napkin Hs"</formula>
    </cfRule>
  </conditionalFormatting>
  <conditionalFormatting sqref="C48">
    <cfRule type="cellIs" dxfId="22461" priority="13361" stopIfTrue="1" operator="equal">
      <formula>"Towel"</formula>
    </cfRule>
    <cfRule type="cellIs" dxfId="22460" priority="13362" stopIfTrue="1" operator="equal">
      <formula>"Napkin Hs"</formula>
    </cfRule>
  </conditionalFormatting>
  <conditionalFormatting sqref="C48">
    <cfRule type="cellIs" dxfId="22459" priority="13357" stopIfTrue="1" operator="equal">
      <formula>"Towel"</formula>
    </cfRule>
    <cfRule type="cellIs" dxfId="22458" priority="13358" stopIfTrue="1" operator="equal">
      <formula>"Napkin Hs"</formula>
    </cfRule>
  </conditionalFormatting>
  <conditionalFormatting sqref="C48">
    <cfRule type="cellIs" dxfId="22457" priority="13355" stopIfTrue="1" operator="equal">
      <formula>"Towel"</formula>
    </cfRule>
    <cfRule type="cellIs" dxfId="22456" priority="13356" stopIfTrue="1" operator="equal">
      <formula>"Napkin Hs"</formula>
    </cfRule>
  </conditionalFormatting>
  <conditionalFormatting sqref="C48">
    <cfRule type="cellIs" dxfId="22455" priority="13363" stopIfTrue="1" operator="equal">
      <formula>"Towel"</formula>
    </cfRule>
    <cfRule type="cellIs" dxfId="22454" priority="13364" stopIfTrue="1" operator="equal">
      <formula>"Napkin Hs"</formula>
    </cfRule>
  </conditionalFormatting>
  <conditionalFormatting sqref="C48">
    <cfRule type="cellIs" dxfId="22453" priority="13365" stopIfTrue="1" operator="equal">
      <formula>"Towel"</formula>
    </cfRule>
    <cfRule type="cellIs" dxfId="22452" priority="13366" stopIfTrue="1" operator="equal">
      <formula>"Napkin Hs"</formula>
    </cfRule>
  </conditionalFormatting>
  <conditionalFormatting sqref="C48">
    <cfRule type="cellIs" dxfId="22451" priority="13351" stopIfTrue="1" operator="equal">
      <formula>"Towel"</formula>
    </cfRule>
    <cfRule type="cellIs" dxfId="22450" priority="13352" stopIfTrue="1" operator="equal">
      <formula>"Napkin Hs"</formula>
    </cfRule>
  </conditionalFormatting>
  <conditionalFormatting sqref="C48">
    <cfRule type="cellIs" dxfId="22449" priority="13353" stopIfTrue="1" operator="equal">
      <formula>"Towel"</formula>
    </cfRule>
    <cfRule type="cellIs" dxfId="22448" priority="13354" stopIfTrue="1" operator="equal">
      <formula>"Napkin Hs"</formula>
    </cfRule>
  </conditionalFormatting>
  <conditionalFormatting sqref="C48">
    <cfRule type="cellIs" dxfId="22447" priority="13349" stopIfTrue="1" operator="equal">
      <formula>"Towel"</formula>
    </cfRule>
    <cfRule type="cellIs" dxfId="22446" priority="13350" stopIfTrue="1" operator="equal">
      <formula>"Napkin Hs"</formula>
    </cfRule>
  </conditionalFormatting>
  <conditionalFormatting sqref="C48">
    <cfRule type="cellIs" dxfId="22445" priority="13343" stopIfTrue="1" operator="equal">
      <formula>"Towel"</formula>
    </cfRule>
    <cfRule type="cellIs" dxfId="22444" priority="13344" stopIfTrue="1" operator="equal">
      <formula>"Napkin Hs"</formula>
    </cfRule>
  </conditionalFormatting>
  <conditionalFormatting sqref="C48">
    <cfRule type="cellIs" dxfId="22443" priority="13345" stopIfTrue="1" operator="equal">
      <formula>"Towel"</formula>
    </cfRule>
    <cfRule type="cellIs" dxfId="22442" priority="13346" stopIfTrue="1" operator="equal">
      <formula>"Napkin Hs"</formula>
    </cfRule>
  </conditionalFormatting>
  <conditionalFormatting sqref="C48">
    <cfRule type="cellIs" dxfId="22441" priority="13347" stopIfTrue="1" operator="equal">
      <formula>"Towel"</formula>
    </cfRule>
    <cfRule type="cellIs" dxfId="22440" priority="13348" stopIfTrue="1" operator="equal">
      <formula>"Napkin Hs"</formula>
    </cfRule>
  </conditionalFormatting>
  <conditionalFormatting sqref="C48">
    <cfRule type="cellIs" dxfId="22439" priority="13297" stopIfTrue="1" operator="equal">
      <formula>"Towel"</formula>
    </cfRule>
    <cfRule type="cellIs" dxfId="22438" priority="13298" stopIfTrue="1" operator="equal">
      <formula>"Napkin Hs"</formula>
    </cfRule>
  </conditionalFormatting>
  <conditionalFormatting sqref="C48">
    <cfRule type="cellIs" dxfId="22437" priority="13299" stopIfTrue="1" operator="equal">
      <formula>"Towel"</formula>
    </cfRule>
    <cfRule type="cellIs" dxfId="22436" priority="13300" stopIfTrue="1" operator="equal">
      <formula>"Napkin Hs"</formula>
    </cfRule>
  </conditionalFormatting>
  <conditionalFormatting sqref="C48">
    <cfRule type="cellIs" dxfId="22435" priority="13295" stopIfTrue="1" operator="equal">
      <formula>"Towel"</formula>
    </cfRule>
    <cfRule type="cellIs" dxfId="22434" priority="13296" stopIfTrue="1" operator="equal">
      <formula>"Napkin Hs"</formula>
    </cfRule>
  </conditionalFormatting>
  <conditionalFormatting sqref="C48">
    <cfRule type="cellIs" dxfId="22433" priority="13293" stopIfTrue="1" operator="equal">
      <formula>"Towel"</formula>
    </cfRule>
    <cfRule type="cellIs" dxfId="22432" priority="13294" stopIfTrue="1" operator="equal">
      <formula>"Napkin Hs"</formula>
    </cfRule>
  </conditionalFormatting>
  <conditionalFormatting sqref="C48">
    <cfRule type="cellIs" dxfId="22431" priority="13289" stopIfTrue="1" operator="equal">
      <formula>"Towel"</formula>
    </cfRule>
    <cfRule type="cellIs" dxfId="22430" priority="13290" stopIfTrue="1" operator="equal">
      <formula>"Napkin Hs"</formula>
    </cfRule>
  </conditionalFormatting>
  <conditionalFormatting sqref="C48">
    <cfRule type="cellIs" dxfId="22429" priority="13291" stopIfTrue="1" operator="equal">
      <formula>"Towel"</formula>
    </cfRule>
    <cfRule type="cellIs" dxfId="22428" priority="13292" stopIfTrue="1" operator="equal">
      <formula>"Napkin Hs"</formula>
    </cfRule>
  </conditionalFormatting>
  <conditionalFormatting sqref="C48">
    <cfRule type="cellIs" dxfId="22427" priority="13341" stopIfTrue="1" operator="equal">
      <formula>"Towel"</formula>
    </cfRule>
    <cfRule type="cellIs" dxfId="22426" priority="13342" stopIfTrue="1" operator="equal">
      <formula>"Napkin Hs"</formula>
    </cfRule>
  </conditionalFormatting>
  <conditionalFormatting sqref="C48">
    <cfRule type="cellIs" dxfId="22425" priority="13337" stopIfTrue="1" operator="equal">
      <formula>"Towel"</formula>
    </cfRule>
    <cfRule type="cellIs" dxfId="22424" priority="13338" stopIfTrue="1" operator="equal">
      <formula>"Napkin Hs"</formula>
    </cfRule>
  </conditionalFormatting>
  <conditionalFormatting sqref="C48">
    <cfRule type="cellIs" dxfId="22423" priority="13340" stopIfTrue="1" operator="equal">
      <formula>"Napkin Hs"</formula>
    </cfRule>
  </conditionalFormatting>
  <conditionalFormatting sqref="C48">
    <cfRule type="cellIs" dxfId="22422" priority="13339" stopIfTrue="1" operator="equal">
      <formula>"Towel"</formula>
    </cfRule>
  </conditionalFormatting>
  <conditionalFormatting sqref="C48">
    <cfRule type="cellIs" dxfId="22421" priority="13331" stopIfTrue="1" operator="equal">
      <formula>"Towel"</formula>
    </cfRule>
    <cfRule type="cellIs" dxfId="22420" priority="13332" stopIfTrue="1" operator="equal">
      <formula>"Napkin Hs"</formula>
    </cfRule>
  </conditionalFormatting>
  <conditionalFormatting sqref="C48">
    <cfRule type="cellIs" dxfId="22419" priority="13335" stopIfTrue="1" operator="equal">
      <formula>"Towel"</formula>
    </cfRule>
    <cfRule type="cellIs" dxfId="22418" priority="13336" stopIfTrue="1" operator="equal">
      <formula>"Napkin Hs"</formula>
    </cfRule>
  </conditionalFormatting>
  <conditionalFormatting sqref="C48">
    <cfRule type="cellIs" dxfId="22417" priority="13333" stopIfTrue="1" operator="equal">
      <formula>"Towel"</formula>
    </cfRule>
    <cfRule type="cellIs" dxfId="22416" priority="13334" stopIfTrue="1" operator="equal">
      <formula>"Napkin Hs"</formula>
    </cfRule>
  </conditionalFormatting>
  <conditionalFormatting sqref="C48">
    <cfRule type="cellIs" dxfId="22415" priority="13325" stopIfTrue="1" operator="equal">
      <formula>"Towel"</formula>
    </cfRule>
    <cfRule type="cellIs" dxfId="22414" priority="13326" stopIfTrue="1" operator="equal">
      <formula>"Napkin Hs"</formula>
    </cfRule>
  </conditionalFormatting>
  <conditionalFormatting sqref="C48">
    <cfRule type="cellIs" dxfId="22413" priority="13327" stopIfTrue="1" operator="equal">
      <formula>"Towel"</formula>
    </cfRule>
    <cfRule type="cellIs" dxfId="22412" priority="13328" stopIfTrue="1" operator="equal">
      <formula>"Napkin Hs"</formula>
    </cfRule>
  </conditionalFormatting>
  <conditionalFormatting sqref="C48">
    <cfRule type="cellIs" dxfId="22411" priority="13329" stopIfTrue="1" operator="equal">
      <formula>"Towel"</formula>
    </cfRule>
    <cfRule type="cellIs" dxfId="22410" priority="13330" stopIfTrue="1" operator="equal">
      <formula>"Napkin Hs"</formula>
    </cfRule>
  </conditionalFormatting>
  <conditionalFormatting sqref="C48">
    <cfRule type="cellIs" dxfId="22409" priority="13319" stopIfTrue="1" operator="equal">
      <formula>"Towel"</formula>
    </cfRule>
    <cfRule type="cellIs" dxfId="22408" priority="13320" stopIfTrue="1" operator="equal">
      <formula>"Napkin Hs"</formula>
    </cfRule>
  </conditionalFormatting>
  <conditionalFormatting sqref="C48">
    <cfRule type="cellIs" dxfId="22407" priority="13323" stopIfTrue="1" operator="equal">
      <formula>"Towel"</formula>
    </cfRule>
    <cfRule type="cellIs" dxfId="22406" priority="13324" stopIfTrue="1" operator="equal">
      <formula>"Napkin Hs"</formula>
    </cfRule>
  </conditionalFormatting>
  <conditionalFormatting sqref="C48">
    <cfRule type="cellIs" dxfId="22405" priority="13321" stopIfTrue="1" operator="equal">
      <formula>"Towel"</formula>
    </cfRule>
    <cfRule type="cellIs" dxfId="22404" priority="13322" stopIfTrue="1" operator="equal">
      <formula>"Napkin Hs"</formula>
    </cfRule>
  </conditionalFormatting>
  <conditionalFormatting sqref="C48">
    <cfRule type="cellIs" dxfId="22403" priority="13313" stopIfTrue="1" operator="equal">
      <formula>"Towel"</formula>
    </cfRule>
    <cfRule type="cellIs" dxfId="22402" priority="13314" stopIfTrue="1" operator="equal">
      <formula>"Napkin Hs"</formula>
    </cfRule>
  </conditionalFormatting>
  <conditionalFormatting sqref="C48">
    <cfRule type="cellIs" dxfId="22401" priority="13315" stopIfTrue="1" operator="equal">
      <formula>"Towel"</formula>
    </cfRule>
    <cfRule type="cellIs" dxfId="22400" priority="13316" stopIfTrue="1" operator="equal">
      <formula>"Napkin Hs"</formula>
    </cfRule>
  </conditionalFormatting>
  <conditionalFormatting sqref="C48">
    <cfRule type="cellIs" dxfId="22399" priority="13317" stopIfTrue="1" operator="equal">
      <formula>"Towel"</formula>
    </cfRule>
    <cfRule type="cellIs" dxfId="22398" priority="13318" stopIfTrue="1" operator="equal">
      <formula>"Napkin Hs"</formula>
    </cfRule>
  </conditionalFormatting>
  <conditionalFormatting sqref="C48">
    <cfRule type="cellIs" dxfId="22397" priority="13311" stopIfTrue="1" operator="equal">
      <formula>"Towel"</formula>
    </cfRule>
    <cfRule type="cellIs" dxfId="22396" priority="13312" stopIfTrue="1" operator="equal">
      <formula>"Napkin Hs"</formula>
    </cfRule>
  </conditionalFormatting>
  <conditionalFormatting sqref="C48">
    <cfRule type="cellIs" dxfId="22395" priority="13307" stopIfTrue="1" operator="equal">
      <formula>"Towel"</formula>
    </cfRule>
    <cfRule type="cellIs" dxfId="22394" priority="13308" stopIfTrue="1" operator="equal">
      <formula>"Napkin Hs"</formula>
    </cfRule>
  </conditionalFormatting>
  <conditionalFormatting sqref="C48">
    <cfRule type="cellIs" dxfId="22393" priority="13309" stopIfTrue="1" operator="equal">
      <formula>"Towel"</formula>
    </cfRule>
    <cfRule type="cellIs" dxfId="22392" priority="13310" stopIfTrue="1" operator="equal">
      <formula>"Napkin Hs"</formula>
    </cfRule>
  </conditionalFormatting>
  <conditionalFormatting sqref="C48">
    <cfRule type="cellIs" dxfId="22391" priority="13305" stopIfTrue="1" operator="equal">
      <formula>"Towel"</formula>
    </cfRule>
    <cfRule type="cellIs" dxfId="22390" priority="13306" stopIfTrue="1" operator="equal">
      <formula>"Napkin Hs"</formula>
    </cfRule>
  </conditionalFormatting>
  <conditionalFormatting sqref="C48">
    <cfRule type="cellIs" dxfId="22389" priority="13303" stopIfTrue="1" operator="equal">
      <formula>"Towel"</formula>
    </cfRule>
    <cfRule type="cellIs" dxfId="22388" priority="13304" stopIfTrue="1" operator="equal">
      <formula>"Napkin Hs"</formula>
    </cfRule>
  </conditionalFormatting>
  <conditionalFormatting sqref="C48">
    <cfRule type="cellIs" dxfId="22387" priority="13301" stopIfTrue="1" operator="equal">
      <formula>"Towel"</formula>
    </cfRule>
    <cfRule type="cellIs" dxfId="22386" priority="13302" stopIfTrue="1" operator="equal">
      <formula>"Napkin Hs"</formula>
    </cfRule>
  </conditionalFormatting>
  <conditionalFormatting sqref="C48">
    <cfRule type="cellIs" dxfId="22385" priority="13285" stopIfTrue="1" operator="equal">
      <formula>"Towel"</formula>
    </cfRule>
    <cfRule type="cellIs" dxfId="22384" priority="13286" stopIfTrue="1" operator="equal">
      <formula>"Napkin Hs"</formula>
    </cfRule>
  </conditionalFormatting>
  <conditionalFormatting sqref="C48">
    <cfRule type="cellIs" dxfId="22383" priority="13287" stopIfTrue="1" operator="equal">
      <formula>"Towel"</formula>
    </cfRule>
    <cfRule type="cellIs" dxfId="22382" priority="13288" stopIfTrue="1" operator="equal">
      <formula>"Napkin Hs"</formula>
    </cfRule>
  </conditionalFormatting>
  <conditionalFormatting sqref="C48">
    <cfRule type="cellIs" dxfId="22381" priority="13283" stopIfTrue="1" operator="equal">
      <formula>"Towel"</formula>
    </cfRule>
    <cfRule type="cellIs" dxfId="22380" priority="13284" stopIfTrue="1" operator="equal">
      <formula>"Napkin Hs"</formula>
    </cfRule>
  </conditionalFormatting>
  <conditionalFormatting sqref="C48">
    <cfRule type="cellIs" dxfId="22379" priority="13281" stopIfTrue="1" operator="equal">
      <formula>"Towel"</formula>
    </cfRule>
    <cfRule type="cellIs" dxfId="22378" priority="13282" stopIfTrue="1" operator="equal">
      <formula>"Napkin Hs"</formula>
    </cfRule>
  </conditionalFormatting>
  <conditionalFormatting sqref="C48">
    <cfRule type="cellIs" dxfId="22377" priority="13277" stopIfTrue="1" operator="equal">
      <formula>"Towel"</formula>
    </cfRule>
    <cfRule type="cellIs" dxfId="22376" priority="13278" stopIfTrue="1" operator="equal">
      <formula>"Napkin Hs"</formula>
    </cfRule>
  </conditionalFormatting>
  <conditionalFormatting sqref="C48">
    <cfRule type="cellIs" dxfId="22375" priority="13279" stopIfTrue="1" operator="equal">
      <formula>"Towel"</formula>
    </cfRule>
    <cfRule type="cellIs" dxfId="22374" priority="13280" stopIfTrue="1" operator="equal">
      <formula>"Napkin Hs"</formula>
    </cfRule>
  </conditionalFormatting>
  <conditionalFormatting sqref="C48">
    <cfRule type="cellIs" dxfId="22373" priority="13273" stopIfTrue="1" operator="equal">
      <formula>"Towel"</formula>
    </cfRule>
    <cfRule type="cellIs" dxfId="22372" priority="13274" stopIfTrue="1" operator="equal">
      <formula>"Napkin Hs"</formula>
    </cfRule>
  </conditionalFormatting>
  <conditionalFormatting sqref="C48">
    <cfRule type="cellIs" dxfId="22371" priority="13275" stopIfTrue="1" operator="equal">
      <formula>"Towel"</formula>
    </cfRule>
    <cfRule type="cellIs" dxfId="22370" priority="13276" stopIfTrue="1" operator="equal">
      <formula>"Napkin Hs"</formula>
    </cfRule>
  </conditionalFormatting>
  <conditionalFormatting sqref="C48">
    <cfRule type="cellIs" dxfId="22369" priority="13271" stopIfTrue="1" operator="equal">
      <formula>"Towel"</formula>
    </cfRule>
    <cfRule type="cellIs" dxfId="22368" priority="13272" stopIfTrue="1" operator="equal">
      <formula>"Napkin Hs"</formula>
    </cfRule>
  </conditionalFormatting>
  <conditionalFormatting sqref="C48">
    <cfRule type="cellIs" dxfId="22367" priority="13269" stopIfTrue="1" operator="equal">
      <formula>"Towel"</formula>
    </cfRule>
    <cfRule type="cellIs" dxfId="22366" priority="13270" stopIfTrue="1" operator="equal">
      <formula>"Napkin Hs"</formula>
    </cfRule>
  </conditionalFormatting>
  <conditionalFormatting sqref="C48">
    <cfRule type="cellIs" dxfId="22365" priority="13265" stopIfTrue="1" operator="equal">
      <formula>"Towel"</formula>
    </cfRule>
    <cfRule type="cellIs" dxfId="22364" priority="13266" stopIfTrue="1" operator="equal">
      <formula>"Napkin Hs"</formula>
    </cfRule>
  </conditionalFormatting>
  <conditionalFormatting sqref="C48">
    <cfRule type="cellIs" dxfId="22363" priority="13267" stopIfTrue="1" operator="equal">
      <formula>"Towel"</formula>
    </cfRule>
    <cfRule type="cellIs" dxfId="22362" priority="13268" stopIfTrue="1" operator="equal">
      <formula>"Napkin Hs"</formula>
    </cfRule>
  </conditionalFormatting>
  <conditionalFormatting sqref="B48">
    <cfRule type="cellIs" dxfId="22361" priority="13263" stopIfTrue="1" operator="equal">
      <formula>"Towel"</formula>
    </cfRule>
    <cfRule type="cellIs" dxfId="22360" priority="13264" stopIfTrue="1" operator="equal">
      <formula>"Napkin Hs"</formula>
    </cfRule>
  </conditionalFormatting>
  <conditionalFormatting sqref="B48">
    <cfRule type="cellIs" dxfId="22359" priority="13247" stopIfTrue="1" operator="equal">
      <formula>"Towel"</formula>
    </cfRule>
    <cfRule type="cellIs" dxfId="22358" priority="13248" stopIfTrue="1" operator="equal">
      <formula>"Napkin Hs"</formula>
    </cfRule>
  </conditionalFormatting>
  <conditionalFormatting sqref="B48">
    <cfRule type="cellIs" dxfId="22357" priority="13245" stopIfTrue="1" operator="equal">
      <formula>"Towel"</formula>
    </cfRule>
    <cfRule type="cellIs" dxfId="22356" priority="13246" stopIfTrue="1" operator="equal">
      <formula>"Napkin Hs"</formula>
    </cfRule>
  </conditionalFormatting>
  <conditionalFormatting sqref="B48">
    <cfRule type="cellIs" dxfId="22355" priority="13261" stopIfTrue="1" operator="equal">
      <formula>"Towel"</formula>
    </cfRule>
    <cfRule type="cellIs" dxfId="22354" priority="13262" stopIfTrue="1" operator="equal">
      <formula>"Napkin Hs"</formula>
    </cfRule>
  </conditionalFormatting>
  <conditionalFormatting sqref="B48">
    <cfRule type="cellIs" dxfId="22353" priority="13257" stopIfTrue="1" operator="equal">
      <formula>"Towel"</formula>
    </cfRule>
    <cfRule type="cellIs" dxfId="22352" priority="13258" stopIfTrue="1" operator="equal">
      <formula>"Napkin Hs"</formula>
    </cfRule>
  </conditionalFormatting>
  <conditionalFormatting sqref="B48">
    <cfRule type="cellIs" dxfId="22351" priority="13259" stopIfTrue="1" operator="equal">
      <formula>"Towel"</formula>
    </cfRule>
    <cfRule type="cellIs" dxfId="22350" priority="13260" stopIfTrue="1" operator="equal">
      <formula>"Napkin Hs"</formula>
    </cfRule>
  </conditionalFormatting>
  <conditionalFormatting sqref="B48">
    <cfRule type="cellIs" dxfId="22349" priority="13253" stopIfTrue="1" operator="equal">
      <formula>"Towel"</formula>
    </cfRule>
    <cfRule type="cellIs" dxfId="22348" priority="13254" stopIfTrue="1" operator="equal">
      <formula>"Napkin Hs"</formula>
    </cfRule>
  </conditionalFormatting>
  <conditionalFormatting sqref="B48">
    <cfRule type="cellIs" dxfId="22347" priority="13255" stopIfTrue="1" operator="equal">
      <formula>"Towel"</formula>
    </cfRule>
    <cfRule type="cellIs" dxfId="22346" priority="13256" stopIfTrue="1" operator="equal">
      <formula>"Napkin Hs"</formula>
    </cfRule>
  </conditionalFormatting>
  <conditionalFormatting sqref="B48">
    <cfRule type="cellIs" dxfId="22345" priority="13251" stopIfTrue="1" operator="equal">
      <formula>"Towel"</formula>
    </cfRule>
    <cfRule type="cellIs" dxfId="22344" priority="13252" stopIfTrue="1" operator="equal">
      <formula>"Napkin Hs"</formula>
    </cfRule>
  </conditionalFormatting>
  <conditionalFormatting sqref="B48">
    <cfRule type="cellIs" dxfId="22343" priority="13249" stopIfTrue="1" operator="equal">
      <formula>"Towel"</formula>
    </cfRule>
    <cfRule type="cellIs" dxfId="22342" priority="13250" stopIfTrue="1" operator="equal">
      <formula>"Napkin Hs"</formula>
    </cfRule>
  </conditionalFormatting>
  <conditionalFormatting sqref="B48">
    <cfRule type="cellIs" dxfId="22341" priority="13243" stopIfTrue="1" operator="equal">
      <formula>"Towel"</formula>
    </cfRule>
    <cfRule type="cellIs" dxfId="22340" priority="13244" stopIfTrue="1" operator="equal">
      <formula>"Napkin Hs"</formula>
    </cfRule>
  </conditionalFormatting>
  <conditionalFormatting sqref="B48">
    <cfRule type="cellIs" dxfId="22339" priority="13241" stopIfTrue="1" operator="equal">
      <formula>"Towel"</formula>
    </cfRule>
    <cfRule type="cellIs" dxfId="22338" priority="13242" stopIfTrue="1" operator="equal">
      <formula>"Napkin Hs"</formula>
    </cfRule>
  </conditionalFormatting>
  <conditionalFormatting sqref="B48">
    <cfRule type="cellIs" dxfId="22337" priority="13239" stopIfTrue="1" operator="equal">
      <formula>"Towel"</formula>
    </cfRule>
    <cfRule type="cellIs" dxfId="22336" priority="13240" stopIfTrue="1" operator="equal">
      <formula>"Napkin Hs"</formula>
    </cfRule>
  </conditionalFormatting>
  <conditionalFormatting sqref="B48">
    <cfRule type="cellIs" dxfId="22335" priority="13237" stopIfTrue="1" operator="equal">
      <formula>"Towel"</formula>
    </cfRule>
    <cfRule type="cellIs" dxfId="22334" priority="13238" stopIfTrue="1" operator="equal">
      <formula>"Napkin Hs"</formula>
    </cfRule>
  </conditionalFormatting>
  <conditionalFormatting sqref="C49">
    <cfRule type="cellIs" dxfId="22333" priority="13229" stopIfTrue="1" operator="equal">
      <formula>"Towel"</formula>
    </cfRule>
    <cfRule type="cellIs" dxfId="22332" priority="13230" stopIfTrue="1" operator="equal">
      <formula>"Napkin Hs"</formula>
    </cfRule>
  </conditionalFormatting>
  <conditionalFormatting sqref="C49">
    <cfRule type="cellIs" dxfId="22331" priority="13231" stopIfTrue="1" operator="equal">
      <formula>"Towel"</formula>
    </cfRule>
    <cfRule type="cellIs" dxfId="22330" priority="13232" stopIfTrue="1" operator="equal">
      <formula>"Napkin Hs"</formula>
    </cfRule>
  </conditionalFormatting>
  <conditionalFormatting sqref="C49">
    <cfRule type="cellIs" dxfId="22329" priority="13227" stopIfTrue="1" operator="equal">
      <formula>"Towel"</formula>
    </cfRule>
    <cfRule type="cellIs" dxfId="22328" priority="13228" stopIfTrue="1" operator="equal">
      <formula>"Napkin Hs"</formula>
    </cfRule>
  </conditionalFormatting>
  <conditionalFormatting sqref="C49">
    <cfRule type="cellIs" dxfId="22327" priority="13225" stopIfTrue="1" operator="equal">
      <formula>"Towel"</formula>
    </cfRule>
    <cfRule type="cellIs" dxfId="22326" priority="13226" stopIfTrue="1" operator="equal">
      <formula>"Napkin Hs"</formula>
    </cfRule>
  </conditionalFormatting>
  <conditionalFormatting sqref="C49">
    <cfRule type="cellIs" dxfId="22325" priority="13233" stopIfTrue="1" operator="equal">
      <formula>"Towel"</formula>
    </cfRule>
    <cfRule type="cellIs" dxfId="22324" priority="13234" stopIfTrue="1" operator="equal">
      <formula>"Napkin Hs"</formula>
    </cfRule>
  </conditionalFormatting>
  <conditionalFormatting sqref="C49">
    <cfRule type="cellIs" dxfId="22323" priority="13235" stopIfTrue="1" operator="equal">
      <formula>"Towel"</formula>
    </cfRule>
    <cfRule type="cellIs" dxfId="22322" priority="13236" stopIfTrue="1" operator="equal">
      <formula>"Napkin Hs"</formula>
    </cfRule>
  </conditionalFormatting>
  <conditionalFormatting sqref="C49">
    <cfRule type="cellIs" dxfId="22321" priority="13221" stopIfTrue="1" operator="equal">
      <formula>"Towel"</formula>
    </cfRule>
    <cfRule type="cellIs" dxfId="22320" priority="13222" stopIfTrue="1" operator="equal">
      <formula>"Napkin Hs"</formula>
    </cfRule>
  </conditionalFormatting>
  <conditionalFormatting sqref="C49">
    <cfRule type="cellIs" dxfId="22319" priority="13223" stopIfTrue="1" operator="equal">
      <formula>"Towel"</formula>
    </cfRule>
    <cfRule type="cellIs" dxfId="22318" priority="13224" stopIfTrue="1" operator="equal">
      <formula>"Napkin Hs"</formula>
    </cfRule>
  </conditionalFormatting>
  <conditionalFormatting sqref="C49">
    <cfRule type="cellIs" dxfId="22317" priority="13219" stopIfTrue="1" operator="equal">
      <formula>"Towel"</formula>
    </cfRule>
    <cfRule type="cellIs" dxfId="22316" priority="13220" stopIfTrue="1" operator="equal">
      <formula>"Napkin Hs"</formula>
    </cfRule>
  </conditionalFormatting>
  <conditionalFormatting sqref="C49">
    <cfRule type="cellIs" dxfId="22315" priority="13213" stopIfTrue="1" operator="equal">
      <formula>"Towel"</formula>
    </cfRule>
    <cfRule type="cellIs" dxfId="22314" priority="13214" stopIfTrue="1" operator="equal">
      <formula>"Napkin Hs"</formula>
    </cfRule>
  </conditionalFormatting>
  <conditionalFormatting sqref="C49">
    <cfRule type="cellIs" dxfId="22313" priority="13215" stopIfTrue="1" operator="equal">
      <formula>"Towel"</formula>
    </cfRule>
    <cfRule type="cellIs" dxfId="22312" priority="13216" stopIfTrue="1" operator="equal">
      <formula>"Napkin Hs"</formula>
    </cfRule>
  </conditionalFormatting>
  <conditionalFormatting sqref="C49">
    <cfRule type="cellIs" dxfId="22311" priority="13217" stopIfTrue="1" operator="equal">
      <formula>"Towel"</formula>
    </cfRule>
    <cfRule type="cellIs" dxfId="22310" priority="13218" stopIfTrue="1" operator="equal">
      <formula>"Napkin Hs"</formula>
    </cfRule>
  </conditionalFormatting>
  <conditionalFormatting sqref="C49">
    <cfRule type="cellIs" dxfId="22309" priority="13167" stopIfTrue="1" operator="equal">
      <formula>"Towel"</formula>
    </cfRule>
    <cfRule type="cellIs" dxfId="22308" priority="13168" stopIfTrue="1" operator="equal">
      <formula>"Napkin Hs"</formula>
    </cfRule>
  </conditionalFormatting>
  <conditionalFormatting sqref="C49">
    <cfRule type="cellIs" dxfId="22307" priority="13169" stopIfTrue="1" operator="equal">
      <formula>"Towel"</formula>
    </cfRule>
    <cfRule type="cellIs" dxfId="22306" priority="13170" stopIfTrue="1" operator="equal">
      <formula>"Napkin Hs"</formula>
    </cfRule>
  </conditionalFormatting>
  <conditionalFormatting sqref="C49">
    <cfRule type="cellIs" dxfId="22305" priority="13165" stopIfTrue="1" operator="equal">
      <formula>"Towel"</formula>
    </cfRule>
    <cfRule type="cellIs" dxfId="22304" priority="13166" stopIfTrue="1" operator="equal">
      <formula>"Napkin Hs"</formula>
    </cfRule>
  </conditionalFormatting>
  <conditionalFormatting sqref="C49">
    <cfRule type="cellIs" dxfId="22303" priority="13163" stopIfTrue="1" operator="equal">
      <formula>"Towel"</formula>
    </cfRule>
    <cfRule type="cellIs" dxfId="22302" priority="13164" stopIfTrue="1" operator="equal">
      <formula>"Napkin Hs"</formula>
    </cfRule>
  </conditionalFormatting>
  <conditionalFormatting sqref="C49">
    <cfRule type="cellIs" dxfId="22301" priority="13159" stopIfTrue="1" operator="equal">
      <formula>"Towel"</formula>
    </cfRule>
    <cfRule type="cellIs" dxfId="22300" priority="13160" stopIfTrue="1" operator="equal">
      <formula>"Napkin Hs"</formula>
    </cfRule>
  </conditionalFormatting>
  <conditionalFormatting sqref="C49">
    <cfRule type="cellIs" dxfId="22299" priority="13161" stopIfTrue="1" operator="equal">
      <formula>"Towel"</formula>
    </cfRule>
    <cfRule type="cellIs" dxfId="22298" priority="13162" stopIfTrue="1" operator="equal">
      <formula>"Napkin Hs"</formula>
    </cfRule>
  </conditionalFormatting>
  <conditionalFormatting sqref="C49">
    <cfRule type="cellIs" dxfId="22297" priority="13211" stopIfTrue="1" operator="equal">
      <formula>"Towel"</formula>
    </cfRule>
    <cfRule type="cellIs" dxfId="22296" priority="13212" stopIfTrue="1" operator="equal">
      <formula>"Napkin Hs"</formula>
    </cfRule>
  </conditionalFormatting>
  <conditionalFormatting sqref="C49">
    <cfRule type="cellIs" dxfId="22295" priority="13207" stopIfTrue="1" operator="equal">
      <formula>"Towel"</formula>
    </cfRule>
    <cfRule type="cellIs" dxfId="22294" priority="13208" stopIfTrue="1" operator="equal">
      <formula>"Napkin Hs"</formula>
    </cfRule>
  </conditionalFormatting>
  <conditionalFormatting sqref="C49">
    <cfRule type="cellIs" dxfId="22293" priority="13210" stopIfTrue="1" operator="equal">
      <formula>"Napkin Hs"</formula>
    </cfRule>
  </conditionalFormatting>
  <conditionalFormatting sqref="C49">
    <cfRule type="cellIs" dxfId="22292" priority="13209" stopIfTrue="1" operator="equal">
      <formula>"Towel"</formula>
    </cfRule>
  </conditionalFormatting>
  <conditionalFormatting sqref="C49">
    <cfRule type="cellIs" dxfId="22291" priority="13201" stopIfTrue="1" operator="equal">
      <formula>"Towel"</formula>
    </cfRule>
    <cfRule type="cellIs" dxfId="22290" priority="13202" stopIfTrue="1" operator="equal">
      <formula>"Napkin Hs"</formula>
    </cfRule>
  </conditionalFormatting>
  <conditionalFormatting sqref="C49">
    <cfRule type="cellIs" dxfId="22289" priority="13205" stopIfTrue="1" operator="equal">
      <formula>"Towel"</formula>
    </cfRule>
    <cfRule type="cellIs" dxfId="22288" priority="13206" stopIfTrue="1" operator="equal">
      <formula>"Napkin Hs"</formula>
    </cfRule>
  </conditionalFormatting>
  <conditionalFormatting sqref="C49">
    <cfRule type="cellIs" dxfId="22287" priority="13203" stopIfTrue="1" operator="equal">
      <formula>"Towel"</formula>
    </cfRule>
    <cfRule type="cellIs" dxfId="22286" priority="13204" stopIfTrue="1" operator="equal">
      <formula>"Napkin Hs"</formula>
    </cfRule>
  </conditionalFormatting>
  <conditionalFormatting sqref="C49">
    <cfRule type="cellIs" dxfId="22285" priority="13195" stopIfTrue="1" operator="equal">
      <formula>"Towel"</formula>
    </cfRule>
    <cfRule type="cellIs" dxfId="22284" priority="13196" stopIfTrue="1" operator="equal">
      <formula>"Napkin Hs"</formula>
    </cfRule>
  </conditionalFormatting>
  <conditionalFormatting sqref="C49">
    <cfRule type="cellIs" dxfId="22283" priority="13197" stopIfTrue="1" operator="equal">
      <formula>"Towel"</formula>
    </cfRule>
    <cfRule type="cellIs" dxfId="22282" priority="13198" stopIfTrue="1" operator="equal">
      <formula>"Napkin Hs"</formula>
    </cfRule>
  </conditionalFormatting>
  <conditionalFormatting sqref="C49">
    <cfRule type="cellIs" dxfId="22281" priority="13199" stopIfTrue="1" operator="equal">
      <formula>"Towel"</formula>
    </cfRule>
    <cfRule type="cellIs" dxfId="22280" priority="13200" stopIfTrue="1" operator="equal">
      <formula>"Napkin Hs"</formula>
    </cfRule>
  </conditionalFormatting>
  <conditionalFormatting sqref="C49">
    <cfRule type="cellIs" dxfId="22279" priority="13189" stopIfTrue="1" operator="equal">
      <formula>"Towel"</formula>
    </cfRule>
    <cfRule type="cellIs" dxfId="22278" priority="13190" stopIfTrue="1" operator="equal">
      <formula>"Napkin Hs"</formula>
    </cfRule>
  </conditionalFormatting>
  <conditionalFormatting sqref="C49">
    <cfRule type="cellIs" dxfId="22277" priority="13193" stopIfTrue="1" operator="equal">
      <formula>"Towel"</formula>
    </cfRule>
    <cfRule type="cellIs" dxfId="22276" priority="13194" stopIfTrue="1" operator="equal">
      <formula>"Napkin Hs"</formula>
    </cfRule>
  </conditionalFormatting>
  <conditionalFormatting sqref="C49">
    <cfRule type="cellIs" dxfId="22275" priority="13191" stopIfTrue="1" operator="equal">
      <formula>"Towel"</formula>
    </cfRule>
    <cfRule type="cellIs" dxfId="22274" priority="13192" stopIfTrue="1" operator="equal">
      <formula>"Napkin Hs"</formula>
    </cfRule>
  </conditionalFormatting>
  <conditionalFormatting sqref="C49">
    <cfRule type="cellIs" dxfId="22273" priority="13183" stopIfTrue="1" operator="equal">
      <formula>"Towel"</formula>
    </cfRule>
    <cfRule type="cellIs" dxfId="22272" priority="13184" stopIfTrue="1" operator="equal">
      <formula>"Napkin Hs"</formula>
    </cfRule>
  </conditionalFormatting>
  <conditionalFormatting sqref="C49">
    <cfRule type="cellIs" dxfId="22271" priority="13185" stopIfTrue="1" operator="equal">
      <formula>"Towel"</formula>
    </cfRule>
    <cfRule type="cellIs" dxfId="22270" priority="13186" stopIfTrue="1" operator="equal">
      <formula>"Napkin Hs"</formula>
    </cfRule>
  </conditionalFormatting>
  <conditionalFormatting sqref="C49">
    <cfRule type="cellIs" dxfId="22269" priority="13187" stopIfTrue="1" operator="equal">
      <formula>"Towel"</formula>
    </cfRule>
    <cfRule type="cellIs" dxfId="22268" priority="13188" stopIfTrue="1" operator="equal">
      <formula>"Napkin Hs"</formula>
    </cfRule>
  </conditionalFormatting>
  <conditionalFormatting sqref="C49">
    <cfRule type="cellIs" dxfId="22267" priority="13181" stopIfTrue="1" operator="equal">
      <formula>"Towel"</formula>
    </cfRule>
    <cfRule type="cellIs" dxfId="22266" priority="13182" stopIfTrue="1" operator="equal">
      <formula>"Napkin Hs"</formula>
    </cfRule>
  </conditionalFormatting>
  <conditionalFormatting sqref="C49">
    <cfRule type="cellIs" dxfId="22265" priority="13177" stopIfTrue="1" operator="equal">
      <formula>"Towel"</formula>
    </cfRule>
    <cfRule type="cellIs" dxfId="22264" priority="13178" stopIfTrue="1" operator="equal">
      <formula>"Napkin Hs"</formula>
    </cfRule>
  </conditionalFormatting>
  <conditionalFormatting sqref="C49">
    <cfRule type="cellIs" dxfId="22263" priority="13179" stopIfTrue="1" operator="equal">
      <formula>"Towel"</formula>
    </cfRule>
    <cfRule type="cellIs" dxfId="22262" priority="13180" stopIfTrue="1" operator="equal">
      <formula>"Napkin Hs"</formula>
    </cfRule>
  </conditionalFormatting>
  <conditionalFormatting sqref="C49">
    <cfRule type="cellIs" dxfId="22261" priority="13175" stopIfTrue="1" operator="equal">
      <formula>"Towel"</formula>
    </cfRule>
    <cfRule type="cellIs" dxfId="22260" priority="13176" stopIfTrue="1" operator="equal">
      <formula>"Napkin Hs"</formula>
    </cfRule>
  </conditionalFormatting>
  <conditionalFormatting sqref="C49">
    <cfRule type="cellIs" dxfId="22259" priority="13173" stopIfTrue="1" operator="equal">
      <formula>"Towel"</formula>
    </cfRule>
    <cfRule type="cellIs" dxfId="22258" priority="13174" stopIfTrue="1" operator="equal">
      <formula>"Napkin Hs"</formula>
    </cfRule>
  </conditionalFormatting>
  <conditionalFormatting sqref="C49">
    <cfRule type="cellIs" dxfId="22257" priority="13171" stopIfTrue="1" operator="equal">
      <formula>"Towel"</formula>
    </cfRule>
    <cfRule type="cellIs" dxfId="22256" priority="13172" stopIfTrue="1" operator="equal">
      <formula>"Napkin Hs"</formula>
    </cfRule>
  </conditionalFormatting>
  <conditionalFormatting sqref="C49">
    <cfRule type="cellIs" dxfId="22255" priority="13155" stopIfTrue="1" operator="equal">
      <formula>"Towel"</formula>
    </cfRule>
    <cfRule type="cellIs" dxfId="22254" priority="13156" stopIfTrue="1" operator="equal">
      <formula>"Napkin Hs"</formula>
    </cfRule>
  </conditionalFormatting>
  <conditionalFormatting sqref="C49">
    <cfRule type="cellIs" dxfId="22253" priority="13157" stopIfTrue="1" operator="equal">
      <formula>"Towel"</formula>
    </cfRule>
    <cfRule type="cellIs" dxfId="22252" priority="13158" stopIfTrue="1" operator="equal">
      <formula>"Napkin Hs"</formula>
    </cfRule>
  </conditionalFormatting>
  <conditionalFormatting sqref="C49">
    <cfRule type="cellIs" dxfId="22251" priority="13153" stopIfTrue="1" operator="equal">
      <formula>"Towel"</formula>
    </cfRule>
    <cfRule type="cellIs" dxfId="22250" priority="13154" stopIfTrue="1" operator="equal">
      <formula>"Napkin Hs"</formula>
    </cfRule>
  </conditionalFormatting>
  <conditionalFormatting sqref="C49">
    <cfRule type="cellIs" dxfId="22249" priority="13151" stopIfTrue="1" operator="equal">
      <formula>"Towel"</formula>
    </cfRule>
    <cfRule type="cellIs" dxfId="22248" priority="13152" stopIfTrue="1" operator="equal">
      <formula>"Napkin Hs"</formula>
    </cfRule>
  </conditionalFormatting>
  <conditionalFormatting sqref="C49">
    <cfRule type="cellIs" dxfId="22247" priority="13147" stopIfTrue="1" operator="equal">
      <formula>"Towel"</formula>
    </cfRule>
    <cfRule type="cellIs" dxfId="22246" priority="13148" stopIfTrue="1" operator="equal">
      <formula>"Napkin Hs"</formula>
    </cfRule>
  </conditionalFormatting>
  <conditionalFormatting sqref="C49">
    <cfRule type="cellIs" dxfId="22245" priority="13149" stopIfTrue="1" operator="equal">
      <formula>"Towel"</formula>
    </cfRule>
    <cfRule type="cellIs" dxfId="22244" priority="13150" stopIfTrue="1" operator="equal">
      <formula>"Napkin Hs"</formula>
    </cfRule>
  </conditionalFormatting>
  <conditionalFormatting sqref="C49">
    <cfRule type="cellIs" dxfId="22243" priority="13143" stopIfTrue="1" operator="equal">
      <formula>"Towel"</formula>
    </cfRule>
    <cfRule type="cellIs" dxfId="22242" priority="13144" stopIfTrue="1" operator="equal">
      <formula>"Napkin Hs"</formula>
    </cfRule>
  </conditionalFormatting>
  <conditionalFormatting sqref="C49">
    <cfRule type="cellIs" dxfId="22241" priority="13145" stopIfTrue="1" operator="equal">
      <formula>"Towel"</formula>
    </cfRule>
    <cfRule type="cellIs" dxfId="22240" priority="13146" stopIfTrue="1" operator="equal">
      <formula>"Napkin Hs"</formula>
    </cfRule>
  </conditionalFormatting>
  <conditionalFormatting sqref="C49">
    <cfRule type="cellIs" dxfId="22239" priority="13141" stopIfTrue="1" operator="equal">
      <formula>"Towel"</formula>
    </cfRule>
    <cfRule type="cellIs" dxfId="22238" priority="13142" stopIfTrue="1" operator="equal">
      <formula>"Napkin Hs"</formula>
    </cfRule>
  </conditionalFormatting>
  <conditionalFormatting sqref="C49">
    <cfRule type="cellIs" dxfId="22237" priority="13139" stopIfTrue="1" operator="equal">
      <formula>"Towel"</formula>
    </cfRule>
    <cfRule type="cellIs" dxfId="22236" priority="13140" stopIfTrue="1" operator="equal">
      <formula>"Napkin Hs"</formula>
    </cfRule>
  </conditionalFormatting>
  <conditionalFormatting sqref="C49">
    <cfRule type="cellIs" dxfId="22235" priority="13135" stopIfTrue="1" operator="equal">
      <formula>"Towel"</formula>
    </cfRule>
    <cfRule type="cellIs" dxfId="22234" priority="13136" stopIfTrue="1" operator="equal">
      <formula>"Napkin Hs"</formula>
    </cfRule>
  </conditionalFormatting>
  <conditionalFormatting sqref="C49">
    <cfRule type="cellIs" dxfId="22233" priority="13137" stopIfTrue="1" operator="equal">
      <formula>"Towel"</formula>
    </cfRule>
    <cfRule type="cellIs" dxfId="22232" priority="13138" stopIfTrue="1" operator="equal">
      <formula>"Napkin Hs"</formula>
    </cfRule>
  </conditionalFormatting>
  <conditionalFormatting sqref="B49">
    <cfRule type="cellIs" dxfId="22231" priority="13133" stopIfTrue="1" operator="equal">
      <formula>"Towel"</formula>
    </cfRule>
    <cfRule type="cellIs" dxfId="22230" priority="13134" stopIfTrue="1" operator="equal">
      <formula>"Napkin Hs"</formula>
    </cfRule>
  </conditionalFormatting>
  <conditionalFormatting sqref="B49">
    <cfRule type="cellIs" dxfId="22229" priority="13117" stopIfTrue="1" operator="equal">
      <formula>"Towel"</formula>
    </cfRule>
    <cfRule type="cellIs" dxfId="22228" priority="13118" stopIfTrue="1" operator="equal">
      <formula>"Napkin Hs"</formula>
    </cfRule>
  </conditionalFormatting>
  <conditionalFormatting sqref="B49">
    <cfRule type="cellIs" dxfId="22227" priority="13115" stopIfTrue="1" operator="equal">
      <formula>"Towel"</formula>
    </cfRule>
    <cfRule type="cellIs" dxfId="22226" priority="13116" stopIfTrue="1" operator="equal">
      <formula>"Napkin Hs"</formula>
    </cfRule>
  </conditionalFormatting>
  <conditionalFormatting sqref="B49">
    <cfRule type="cellIs" dxfId="22225" priority="13131" stopIfTrue="1" operator="equal">
      <formula>"Towel"</formula>
    </cfRule>
    <cfRule type="cellIs" dxfId="22224" priority="13132" stopIfTrue="1" operator="equal">
      <formula>"Napkin Hs"</formula>
    </cfRule>
  </conditionalFormatting>
  <conditionalFormatting sqref="B49">
    <cfRule type="cellIs" dxfId="22223" priority="13127" stopIfTrue="1" operator="equal">
      <formula>"Towel"</formula>
    </cfRule>
    <cfRule type="cellIs" dxfId="22222" priority="13128" stopIfTrue="1" operator="equal">
      <formula>"Napkin Hs"</formula>
    </cfRule>
  </conditionalFormatting>
  <conditionalFormatting sqref="B49">
    <cfRule type="cellIs" dxfId="22221" priority="13129" stopIfTrue="1" operator="equal">
      <formula>"Towel"</formula>
    </cfRule>
    <cfRule type="cellIs" dxfId="22220" priority="13130" stopIfTrue="1" operator="equal">
      <formula>"Napkin Hs"</formula>
    </cfRule>
  </conditionalFormatting>
  <conditionalFormatting sqref="B49">
    <cfRule type="cellIs" dxfId="22219" priority="13123" stopIfTrue="1" operator="equal">
      <formula>"Towel"</formula>
    </cfRule>
    <cfRule type="cellIs" dxfId="22218" priority="13124" stopIfTrue="1" operator="equal">
      <formula>"Napkin Hs"</formula>
    </cfRule>
  </conditionalFormatting>
  <conditionalFormatting sqref="B49">
    <cfRule type="cellIs" dxfId="22217" priority="13125" stopIfTrue="1" operator="equal">
      <formula>"Towel"</formula>
    </cfRule>
    <cfRule type="cellIs" dxfId="22216" priority="13126" stopIfTrue="1" operator="equal">
      <formula>"Napkin Hs"</formula>
    </cfRule>
  </conditionalFormatting>
  <conditionalFormatting sqref="B49">
    <cfRule type="cellIs" dxfId="22215" priority="13121" stopIfTrue="1" operator="equal">
      <formula>"Towel"</formula>
    </cfRule>
    <cfRule type="cellIs" dxfId="22214" priority="13122" stopIfTrue="1" operator="equal">
      <formula>"Napkin Hs"</formula>
    </cfRule>
  </conditionalFormatting>
  <conditionalFormatting sqref="B49">
    <cfRule type="cellIs" dxfId="22213" priority="13119" stopIfTrue="1" operator="equal">
      <formula>"Towel"</formula>
    </cfRule>
    <cfRule type="cellIs" dxfId="22212" priority="13120" stopIfTrue="1" operator="equal">
      <formula>"Napkin Hs"</formula>
    </cfRule>
  </conditionalFormatting>
  <conditionalFormatting sqref="B49">
    <cfRule type="cellIs" dxfId="22211" priority="13113" stopIfTrue="1" operator="equal">
      <formula>"Towel"</formula>
    </cfRule>
    <cfRule type="cellIs" dxfId="22210" priority="13114" stopIfTrue="1" operator="equal">
      <formula>"Napkin Hs"</formula>
    </cfRule>
  </conditionalFormatting>
  <conditionalFormatting sqref="B49">
    <cfRule type="cellIs" dxfId="22209" priority="13111" stopIfTrue="1" operator="equal">
      <formula>"Towel"</formula>
    </cfRule>
    <cfRule type="cellIs" dxfId="22208" priority="13112" stopIfTrue="1" operator="equal">
      <formula>"Napkin Hs"</formula>
    </cfRule>
  </conditionalFormatting>
  <conditionalFormatting sqref="B49">
    <cfRule type="cellIs" dxfId="22207" priority="13109" stopIfTrue="1" operator="equal">
      <formula>"Towel"</formula>
    </cfRule>
    <cfRule type="cellIs" dxfId="22206" priority="13110" stopIfTrue="1" operator="equal">
      <formula>"Napkin Hs"</formula>
    </cfRule>
  </conditionalFormatting>
  <conditionalFormatting sqref="B49">
    <cfRule type="cellIs" dxfId="22205" priority="13107" stopIfTrue="1" operator="equal">
      <formula>"Towel"</formula>
    </cfRule>
    <cfRule type="cellIs" dxfId="22204" priority="13108" stopIfTrue="1" operator="equal">
      <formula>"Napkin Hs"</formula>
    </cfRule>
  </conditionalFormatting>
  <conditionalFormatting sqref="C55">
    <cfRule type="cellIs" dxfId="22203" priority="13093" stopIfTrue="1" operator="equal">
      <formula>"Towel"</formula>
    </cfRule>
    <cfRule type="cellIs" dxfId="22202" priority="13094" stopIfTrue="1" operator="equal">
      <formula>"Napkin Hs"</formula>
    </cfRule>
  </conditionalFormatting>
  <conditionalFormatting sqref="C55">
    <cfRule type="cellIs" dxfId="22201" priority="13091" stopIfTrue="1" operator="equal">
      <formula>"Towel"</formula>
    </cfRule>
    <cfRule type="cellIs" dxfId="22200" priority="13092" stopIfTrue="1" operator="equal">
      <formula>"Napkin Hs"</formula>
    </cfRule>
  </conditionalFormatting>
  <conditionalFormatting sqref="C55">
    <cfRule type="cellIs" dxfId="22199" priority="13099" stopIfTrue="1" operator="equal">
      <formula>"Towel"</formula>
    </cfRule>
    <cfRule type="cellIs" dxfId="22198" priority="13100" stopIfTrue="1" operator="equal">
      <formula>"Napkin Hs"</formula>
    </cfRule>
  </conditionalFormatting>
  <conditionalFormatting sqref="B55:C55">
    <cfRule type="cellIs" dxfId="22197" priority="13101" stopIfTrue="1" operator="equal">
      <formula>"Towel"</formula>
    </cfRule>
    <cfRule type="cellIs" dxfId="22196" priority="13102" stopIfTrue="1" operator="equal">
      <formula>"Napkin Hs"</formula>
    </cfRule>
  </conditionalFormatting>
  <conditionalFormatting sqref="C55">
    <cfRule type="cellIs" dxfId="22195" priority="13097" stopIfTrue="1" operator="equal">
      <formula>"Towel"</formula>
    </cfRule>
    <cfRule type="cellIs" dxfId="22194" priority="13098" stopIfTrue="1" operator="equal">
      <formula>"Napkin Hs"</formula>
    </cfRule>
  </conditionalFormatting>
  <conditionalFormatting sqref="B55:C55">
    <cfRule type="cellIs" dxfId="22193" priority="13095" stopIfTrue="1" operator="equal">
      <formula>"Towel"</formula>
    </cfRule>
    <cfRule type="cellIs" dxfId="22192" priority="13096" stopIfTrue="1" operator="equal">
      <formula>"Napkin Hs"</formula>
    </cfRule>
  </conditionalFormatting>
  <conditionalFormatting sqref="C55">
    <cfRule type="cellIs" dxfId="22191" priority="13103" stopIfTrue="1" operator="equal">
      <formula>"Towel"</formula>
    </cfRule>
    <cfRule type="cellIs" dxfId="22190" priority="13104" stopIfTrue="1" operator="equal">
      <formula>"Napkin Hs"</formula>
    </cfRule>
  </conditionalFormatting>
  <conditionalFormatting sqref="C55">
    <cfRule type="cellIs" dxfId="22189" priority="13105" stopIfTrue="1" operator="equal">
      <formula>"Towel"</formula>
    </cfRule>
    <cfRule type="cellIs" dxfId="22188" priority="13106" stopIfTrue="1" operator="equal">
      <formula>"Napkin Hs"</formula>
    </cfRule>
  </conditionalFormatting>
  <conditionalFormatting sqref="C55">
    <cfRule type="cellIs" dxfId="22187" priority="13087" stopIfTrue="1" operator="equal">
      <formula>"Towel"</formula>
    </cfRule>
    <cfRule type="cellIs" dxfId="22186" priority="13088" stopIfTrue="1" operator="equal">
      <formula>"Napkin Hs"</formula>
    </cfRule>
  </conditionalFormatting>
  <conditionalFormatting sqref="B55:C55">
    <cfRule type="cellIs" dxfId="22185" priority="13089" stopIfTrue="1" operator="equal">
      <formula>"Towel"</formula>
    </cfRule>
    <cfRule type="cellIs" dxfId="22184" priority="13090" stopIfTrue="1" operator="equal">
      <formula>"Napkin Hs"</formula>
    </cfRule>
  </conditionalFormatting>
  <conditionalFormatting sqref="C55">
    <cfRule type="cellIs" dxfId="22183" priority="13085" stopIfTrue="1" operator="equal">
      <formula>"Towel"</formula>
    </cfRule>
    <cfRule type="cellIs" dxfId="22182" priority="13086" stopIfTrue="1" operator="equal">
      <formula>"Napkin Hs"</formula>
    </cfRule>
  </conditionalFormatting>
  <conditionalFormatting sqref="B55:C55">
    <cfRule type="cellIs" dxfId="22181" priority="13083" stopIfTrue="1" operator="equal">
      <formula>"Towel"</formula>
    </cfRule>
    <cfRule type="cellIs" dxfId="22180" priority="13084" stopIfTrue="1" operator="equal">
      <formula>"Napkin Hs"</formula>
    </cfRule>
  </conditionalFormatting>
  <conditionalFormatting sqref="C55">
    <cfRule type="cellIs" dxfId="22179" priority="13075" stopIfTrue="1" operator="equal">
      <formula>"Towel"</formula>
    </cfRule>
    <cfRule type="cellIs" dxfId="22178" priority="13076" stopIfTrue="1" operator="equal">
      <formula>"Napkin Hs"</formula>
    </cfRule>
  </conditionalFormatting>
  <conditionalFormatting sqref="C55">
    <cfRule type="cellIs" dxfId="22177" priority="13077" stopIfTrue="1" operator="equal">
      <formula>"Towel"</formula>
    </cfRule>
    <cfRule type="cellIs" dxfId="22176" priority="13078" stopIfTrue="1" operator="equal">
      <formula>"Napkin Hs"</formula>
    </cfRule>
  </conditionalFormatting>
  <conditionalFormatting sqref="C55">
    <cfRule type="cellIs" dxfId="22175" priority="13073" stopIfTrue="1" operator="equal">
      <formula>"Towel"</formula>
    </cfRule>
    <cfRule type="cellIs" dxfId="22174" priority="13074" stopIfTrue="1" operator="equal">
      <formula>"Napkin Hs"</formula>
    </cfRule>
  </conditionalFormatting>
  <conditionalFormatting sqref="C55">
    <cfRule type="cellIs" dxfId="22173" priority="13071" stopIfTrue="1" operator="equal">
      <formula>"Towel"</formula>
    </cfRule>
    <cfRule type="cellIs" dxfId="22172" priority="13072" stopIfTrue="1" operator="equal">
      <formula>"Napkin Hs"</formula>
    </cfRule>
  </conditionalFormatting>
  <conditionalFormatting sqref="C55">
    <cfRule type="cellIs" dxfId="22171" priority="13079" stopIfTrue="1" operator="equal">
      <formula>"Towel"</formula>
    </cfRule>
    <cfRule type="cellIs" dxfId="22170" priority="13080" stopIfTrue="1" operator="equal">
      <formula>"Napkin Hs"</formula>
    </cfRule>
  </conditionalFormatting>
  <conditionalFormatting sqref="C55">
    <cfRule type="cellIs" dxfId="22169" priority="13081" stopIfTrue="1" operator="equal">
      <formula>"Towel"</formula>
    </cfRule>
    <cfRule type="cellIs" dxfId="22168" priority="13082" stopIfTrue="1" operator="equal">
      <formula>"Napkin Hs"</formula>
    </cfRule>
  </conditionalFormatting>
  <conditionalFormatting sqref="C55">
    <cfRule type="cellIs" dxfId="22167" priority="13067" stopIfTrue="1" operator="equal">
      <formula>"Towel"</formula>
    </cfRule>
    <cfRule type="cellIs" dxfId="22166" priority="13068" stopIfTrue="1" operator="equal">
      <formula>"Napkin Hs"</formula>
    </cfRule>
  </conditionalFormatting>
  <conditionalFormatting sqref="C55">
    <cfRule type="cellIs" dxfId="22165" priority="13069" stopIfTrue="1" operator="equal">
      <formula>"Towel"</formula>
    </cfRule>
    <cfRule type="cellIs" dxfId="22164" priority="13070" stopIfTrue="1" operator="equal">
      <formula>"Napkin Hs"</formula>
    </cfRule>
  </conditionalFormatting>
  <conditionalFormatting sqref="C55">
    <cfRule type="cellIs" dxfId="22163" priority="13065" stopIfTrue="1" operator="equal">
      <formula>"Towel"</formula>
    </cfRule>
    <cfRule type="cellIs" dxfId="22162" priority="13066" stopIfTrue="1" operator="equal">
      <formula>"Napkin Hs"</formula>
    </cfRule>
  </conditionalFormatting>
  <conditionalFormatting sqref="C55">
    <cfRule type="cellIs" dxfId="22161" priority="13059" stopIfTrue="1" operator="equal">
      <formula>"Towel"</formula>
    </cfRule>
    <cfRule type="cellIs" dxfId="22160" priority="13060" stopIfTrue="1" operator="equal">
      <formula>"Napkin Hs"</formula>
    </cfRule>
  </conditionalFormatting>
  <conditionalFormatting sqref="C55">
    <cfRule type="cellIs" dxfId="22159" priority="13061" stopIfTrue="1" operator="equal">
      <formula>"Towel"</formula>
    </cfRule>
    <cfRule type="cellIs" dxfId="22158" priority="13062" stopIfTrue="1" operator="equal">
      <formula>"Napkin Hs"</formula>
    </cfRule>
  </conditionalFormatting>
  <conditionalFormatting sqref="C55">
    <cfRule type="cellIs" dxfId="22157" priority="13063" stopIfTrue="1" operator="equal">
      <formula>"Towel"</formula>
    </cfRule>
    <cfRule type="cellIs" dxfId="22156" priority="13064" stopIfTrue="1" operator="equal">
      <formula>"Napkin Hs"</formula>
    </cfRule>
  </conditionalFormatting>
  <conditionalFormatting sqref="C55">
    <cfRule type="cellIs" dxfId="22155" priority="13013" stopIfTrue="1" operator="equal">
      <formula>"Towel"</formula>
    </cfRule>
    <cfRule type="cellIs" dxfId="22154" priority="13014" stopIfTrue="1" operator="equal">
      <formula>"Napkin Hs"</formula>
    </cfRule>
  </conditionalFormatting>
  <conditionalFormatting sqref="C55">
    <cfRule type="cellIs" dxfId="22153" priority="13015" stopIfTrue="1" operator="equal">
      <formula>"Towel"</formula>
    </cfRule>
    <cfRule type="cellIs" dxfId="22152" priority="13016" stopIfTrue="1" operator="equal">
      <formula>"Napkin Hs"</formula>
    </cfRule>
  </conditionalFormatting>
  <conditionalFormatting sqref="C55">
    <cfRule type="cellIs" dxfId="22151" priority="13011" stopIfTrue="1" operator="equal">
      <formula>"Towel"</formula>
    </cfRule>
    <cfRule type="cellIs" dxfId="22150" priority="13012" stopIfTrue="1" operator="equal">
      <formula>"Napkin Hs"</formula>
    </cfRule>
  </conditionalFormatting>
  <conditionalFormatting sqref="C55">
    <cfRule type="cellIs" dxfId="22149" priority="13009" stopIfTrue="1" operator="equal">
      <formula>"Towel"</formula>
    </cfRule>
    <cfRule type="cellIs" dxfId="22148" priority="13010" stopIfTrue="1" operator="equal">
      <formula>"Napkin Hs"</formula>
    </cfRule>
  </conditionalFormatting>
  <conditionalFormatting sqref="C55">
    <cfRule type="cellIs" dxfId="22147" priority="13005" stopIfTrue="1" operator="equal">
      <formula>"Towel"</formula>
    </cfRule>
    <cfRule type="cellIs" dxfId="22146" priority="13006" stopIfTrue="1" operator="equal">
      <formula>"Napkin Hs"</formula>
    </cfRule>
  </conditionalFormatting>
  <conditionalFormatting sqref="C55">
    <cfRule type="cellIs" dxfId="22145" priority="13007" stopIfTrue="1" operator="equal">
      <formula>"Towel"</formula>
    </cfRule>
    <cfRule type="cellIs" dxfId="22144" priority="13008" stopIfTrue="1" operator="equal">
      <formula>"Napkin Hs"</formula>
    </cfRule>
  </conditionalFormatting>
  <conditionalFormatting sqref="C55">
    <cfRule type="cellIs" dxfId="22143" priority="13057" stopIfTrue="1" operator="equal">
      <formula>"Towel"</formula>
    </cfRule>
    <cfRule type="cellIs" dxfId="22142" priority="13058" stopIfTrue="1" operator="equal">
      <formula>"Napkin Hs"</formula>
    </cfRule>
  </conditionalFormatting>
  <conditionalFormatting sqref="C55">
    <cfRule type="cellIs" dxfId="22141" priority="13053" stopIfTrue="1" operator="equal">
      <formula>"Towel"</formula>
    </cfRule>
    <cfRule type="cellIs" dxfId="22140" priority="13054" stopIfTrue="1" operator="equal">
      <formula>"Napkin Hs"</formula>
    </cfRule>
  </conditionalFormatting>
  <conditionalFormatting sqref="C55">
    <cfRule type="cellIs" dxfId="22139" priority="13056" stopIfTrue="1" operator="equal">
      <formula>"Napkin Hs"</formula>
    </cfRule>
  </conditionalFormatting>
  <conditionalFormatting sqref="C55">
    <cfRule type="cellIs" dxfId="22138" priority="13055" stopIfTrue="1" operator="equal">
      <formula>"Towel"</formula>
    </cfRule>
  </conditionalFormatting>
  <conditionalFormatting sqref="C55">
    <cfRule type="cellIs" dxfId="22137" priority="13047" stopIfTrue="1" operator="equal">
      <formula>"Towel"</formula>
    </cfRule>
    <cfRule type="cellIs" dxfId="22136" priority="13048" stopIfTrue="1" operator="equal">
      <formula>"Napkin Hs"</formula>
    </cfRule>
  </conditionalFormatting>
  <conditionalFormatting sqref="C55">
    <cfRule type="cellIs" dxfId="22135" priority="13051" stopIfTrue="1" operator="equal">
      <formula>"Towel"</formula>
    </cfRule>
    <cfRule type="cellIs" dxfId="22134" priority="13052" stopIfTrue="1" operator="equal">
      <formula>"Napkin Hs"</formula>
    </cfRule>
  </conditionalFormatting>
  <conditionalFormatting sqref="C55">
    <cfRule type="cellIs" dxfId="22133" priority="13049" stopIfTrue="1" operator="equal">
      <formula>"Towel"</formula>
    </cfRule>
    <cfRule type="cellIs" dxfId="22132" priority="13050" stopIfTrue="1" operator="equal">
      <formula>"Napkin Hs"</formula>
    </cfRule>
  </conditionalFormatting>
  <conditionalFormatting sqref="C55">
    <cfRule type="cellIs" dxfId="22131" priority="13041" stopIfTrue="1" operator="equal">
      <formula>"Towel"</formula>
    </cfRule>
    <cfRule type="cellIs" dxfId="22130" priority="13042" stopIfTrue="1" operator="equal">
      <formula>"Napkin Hs"</formula>
    </cfRule>
  </conditionalFormatting>
  <conditionalFormatting sqref="C55">
    <cfRule type="cellIs" dxfId="22129" priority="13043" stopIfTrue="1" operator="equal">
      <formula>"Towel"</formula>
    </cfRule>
    <cfRule type="cellIs" dxfId="22128" priority="13044" stopIfTrue="1" operator="equal">
      <formula>"Napkin Hs"</formula>
    </cfRule>
  </conditionalFormatting>
  <conditionalFormatting sqref="C55">
    <cfRule type="cellIs" dxfId="22127" priority="13045" stopIfTrue="1" operator="equal">
      <formula>"Towel"</formula>
    </cfRule>
    <cfRule type="cellIs" dxfId="22126" priority="13046" stopIfTrue="1" operator="equal">
      <formula>"Napkin Hs"</formula>
    </cfRule>
  </conditionalFormatting>
  <conditionalFormatting sqref="C55">
    <cfRule type="cellIs" dxfId="22125" priority="13035" stopIfTrue="1" operator="equal">
      <formula>"Towel"</formula>
    </cfRule>
    <cfRule type="cellIs" dxfId="22124" priority="13036" stopIfTrue="1" operator="equal">
      <formula>"Napkin Hs"</formula>
    </cfRule>
  </conditionalFormatting>
  <conditionalFormatting sqref="C55">
    <cfRule type="cellIs" dxfId="22123" priority="13039" stopIfTrue="1" operator="equal">
      <formula>"Towel"</formula>
    </cfRule>
    <cfRule type="cellIs" dxfId="22122" priority="13040" stopIfTrue="1" operator="equal">
      <formula>"Napkin Hs"</formula>
    </cfRule>
  </conditionalFormatting>
  <conditionalFormatting sqref="C55">
    <cfRule type="cellIs" dxfId="22121" priority="13037" stopIfTrue="1" operator="equal">
      <formula>"Towel"</formula>
    </cfRule>
    <cfRule type="cellIs" dxfId="22120" priority="13038" stopIfTrue="1" operator="equal">
      <formula>"Napkin Hs"</formula>
    </cfRule>
  </conditionalFormatting>
  <conditionalFormatting sqref="C55">
    <cfRule type="cellIs" dxfId="22119" priority="13029" stopIfTrue="1" operator="equal">
      <formula>"Towel"</formula>
    </cfRule>
    <cfRule type="cellIs" dxfId="22118" priority="13030" stopIfTrue="1" operator="equal">
      <formula>"Napkin Hs"</formula>
    </cfRule>
  </conditionalFormatting>
  <conditionalFormatting sqref="C55">
    <cfRule type="cellIs" dxfId="22117" priority="13031" stopIfTrue="1" operator="equal">
      <formula>"Towel"</formula>
    </cfRule>
    <cfRule type="cellIs" dxfId="22116" priority="13032" stopIfTrue="1" operator="equal">
      <formula>"Napkin Hs"</formula>
    </cfRule>
  </conditionalFormatting>
  <conditionalFormatting sqref="C55">
    <cfRule type="cellIs" dxfId="22115" priority="13033" stopIfTrue="1" operator="equal">
      <formula>"Towel"</formula>
    </cfRule>
    <cfRule type="cellIs" dxfId="22114" priority="13034" stopIfTrue="1" operator="equal">
      <formula>"Napkin Hs"</formula>
    </cfRule>
  </conditionalFormatting>
  <conditionalFormatting sqref="C55">
    <cfRule type="cellIs" dxfId="22113" priority="13027" stopIfTrue="1" operator="equal">
      <formula>"Towel"</formula>
    </cfRule>
    <cfRule type="cellIs" dxfId="22112" priority="13028" stopIfTrue="1" operator="equal">
      <formula>"Napkin Hs"</formula>
    </cfRule>
  </conditionalFormatting>
  <conditionalFormatting sqref="C55">
    <cfRule type="cellIs" dxfId="22111" priority="13023" stopIfTrue="1" operator="equal">
      <formula>"Towel"</formula>
    </cfRule>
    <cfRule type="cellIs" dxfId="22110" priority="13024" stopIfTrue="1" operator="equal">
      <formula>"Napkin Hs"</formula>
    </cfRule>
  </conditionalFormatting>
  <conditionalFormatting sqref="C55">
    <cfRule type="cellIs" dxfId="22109" priority="13025" stopIfTrue="1" operator="equal">
      <formula>"Towel"</formula>
    </cfRule>
    <cfRule type="cellIs" dxfId="22108" priority="13026" stopIfTrue="1" operator="equal">
      <formula>"Napkin Hs"</formula>
    </cfRule>
  </conditionalFormatting>
  <conditionalFormatting sqref="C55">
    <cfRule type="cellIs" dxfId="22107" priority="13021" stopIfTrue="1" operator="equal">
      <formula>"Towel"</formula>
    </cfRule>
    <cfRule type="cellIs" dxfId="22106" priority="13022" stopIfTrue="1" operator="equal">
      <formula>"Napkin Hs"</formula>
    </cfRule>
  </conditionalFormatting>
  <conditionalFormatting sqref="C55">
    <cfRule type="cellIs" dxfId="22105" priority="13019" stopIfTrue="1" operator="equal">
      <formula>"Towel"</formula>
    </cfRule>
    <cfRule type="cellIs" dxfId="22104" priority="13020" stopIfTrue="1" operator="equal">
      <formula>"Napkin Hs"</formula>
    </cfRule>
  </conditionalFormatting>
  <conditionalFormatting sqref="C55">
    <cfRule type="cellIs" dxfId="22103" priority="13017" stopIfTrue="1" operator="equal">
      <formula>"Towel"</formula>
    </cfRule>
    <cfRule type="cellIs" dxfId="22102" priority="13018" stopIfTrue="1" operator="equal">
      <formula>"Napkin Hs"</formula>
    </cfRule>
  </conditionalFormatting>
  <conditionalFormatting sqref="C55">
    <cfRule type="cellIs" dxfId="22101" priority="13001" stopIfTrue="1" operator="equal">
      <formula>"Towel"</formula>
    </cfRule>
    <cfRule type="cellIs" dxfId="22100" priority="13002" stopIfTrue="1" operator="equal">
      <formula>"Napkin Hs"</formula>
    </cfRule>
  </conditionalFormatting>
  <conditionalFormatting sqref="C55">
    <cfRule type="cellIs" dxfId="22099" priority="13003" stopIfTrue="1" operator="equal">
      <formula>"Towel"</formula>
    </cfRule>
    <cfRule type="cellIs" dxfId="22098" priority="13004" stopIfTrue="1" operator="equal">
      <formula>"Napkin Hs"</formula>
    </cfRule>
  </conditionalFormatting>
  <conditionalFormatting sqref="C55">
    <cfRule type="cellIs" dxfId="22097" priority="12999" stopIfTrue="1" operator="equal">
      <formula>"Towel"</formula>
    </cfRule>
    <cfRule type="cellIs" dxfId="22096" priority="13000" stopIfTrue="1" operator="equal">
      <formula>"Napkin Hs"</formula>
    </cfRule>
  </conditionalFormatting>
  <conditionalFormatting sqref="C55">
    <cfRule type="cellIs" dxfId="22095" priority="12997" stopIfTrue="1" operator="equal">
      <formula>"Towel"</formula>
    </cfRule>
    <cfRule type="cellIs" dxfId="22094" priority="12998" stopIfTrue="1" operator="equal">
      <formula>"Napkin Hs"</formula>
    </cfRule>
  </conditionalFormatting>
  <conditionalFormatting sqref="C55">
    <cfRule type="cellIs" dxfId="22093" priority="12993" stopIfTrue="1" operator="equal">
      <formula>"Towel"</formula>
    </cfRule>
    <cfRule type="cellIs" dxfId="22092" priority="12994" stopIfTrue="1" operator="equal">
      <formula>"Napkin Hs"</formula>
    </cfRule>
  </conditionalFormatting>
  <conditionalFormatting sqref="C55">
    <cfRule type="cellIs" dxfId="22091" priority="12995" stopIfTrue="1" operator="equal">
      <formula>"Towel"</formula>
    </cfRule>
    <cfRule type="cellIs" dxfId="22090" priority="12996" stopIfTrue="1" operator="equal">
      <formula>"Napkin Hs"</formula>
    </cfRule>
  </conditionalFormatting>
  <conditionalFormatting sqref="C55">
    <cfRule type="cellIs" dxfId="22089" priority="12989" stopIfTrue="1" operator="equal">
      <formula>"Towel"</formula>
    </cfRule>
    <cfRule type="cellIs" dxfId="22088" priority="12990" stopIfTrue="1" operator="equal">
      <formula>"Napkin Hs"</formula>
    </cfRule>
  </conditionalFormatting>
  <conditionalFormatting sqref="C55">
    <cfRule type="cellIs" dxfId="22087" priority="12991" stopIfTrue="1" operator="equal">
      <formula>"Towel"</formula>
    </cfRule>
    <cfRule type="cellIs" dxfId="22086" priority="12992" stopIfTrue="1" operator="equal">
      <formula>"Napkin Hs"</formula>
    </cfRule>
  </conditionalFormatting>
  <conditionalFormatting sqref="C55">
    <cfRule type="cellIs" dxfId="22085" priority="12987" stopIfTrue="1" operator="equal">
      <formula>"Towel"</formula>
    </cfRule>
    <cfRule type="cellIs" dxfId="22084" priority="12988" stopIfTrue="1" operator="equal">
      <formula>"Napkin Hs"</formula>
    </cfRule>
  </conditionalFormatting>
  <conditionalFormatting sqref="C55">
    <cfRule type="cellIs" dxfId="22083" priority="12985" stopIfTrue="1" operator="equal">
      <formula>"Towel"</formula>
    </cfRule>
    <cfRule type="cellIs" dxfId="22082" priority="12986" stopIfTrue="1" operator="equal">
      <formula>"Napkin Hs"</formula>
    </cfRule>
  </conditionalFormatting>
  <conditionalFormatting sqref="C55">
    <cfRule type="cellIs" dxfId="22081" priority="12981" stopIfTrue="1" operator="equal">
      <formula>"Towel"</formula>
    </cfRule>
    <cfRule type="cellIs" dxfId="22080" priority="12982" stopIfTrue="1" operator="equal">
      <formula>"Napkin Hs"</formula>
    </cfRule>
  </conditionalFormatting>
  <conditionalFormatting sqref="C55">
    <cfRule type="cellIs" dxfId="22079" priority="12983" stopIfTrue="1" operator="equal">
      <formula>"Towel"</formula>
    </cfRule>
    <cfRule type="cellIs" dxfId="22078" priority="12984" stopIfTrue="1" operator="equal">
      <formula>"Napkin Hs"</formula>
    </cfRule>
  </conditionalFormatting>
  <conditionalFormatting sqref="B55">
    <cfRule type="cellIs" dxfId="22077" priority="12979" stopIfTrue="1" operator="equal">
      <formula>"Towel"</formula>
    </cfRule>
    <cfRule type="cellIs" dxfId="22076" priority="12980" stopIfTrue="1" operator="equal">
      <formula>"Napkin Hs"</formula>
    </cfRule>
  </conditionalFormatting>
  <conditionalFormatting sqref="B55">
    <cfRule type="cellIs" dxfId="22075" priority="12963" stopIfTrue="1" operator="equal">
      <formula>"Towel"</formula>
    </cfRule>
    <cfRule type="cellIs" dxfId="22074" priority="12964" stopIfTrue="1" operator="equal">
      <formula>"Napkin Hs"</formula>
    </cfRule>
  </conditionalFormatting>
  <conditionalFormatting sqref="B55">
    <cfRule type="cellIs" dxfId="22073" priority="12961" stopIfTrue="1" operator="equal">
      <formula>"Towel"</formula>
    </cfRule>
    <cfRule type="cellIs" dxfId="22072" priority="12962" stopIfTrue="1" operator="equal">
      <formula>"Napkin Hs"</formula>
    </cfRule>
  </conditionalFormatting>
  <conditionalFormatting sqref="B55">
    <cfRule type="cellIs" dxfId="22071" priority="12977" stopIfTrue="1" operator="equal">
      <formula>"Towel"</formula>
    </cfRule>
    <cfRule type="cellIs" dxfId="22070" priority="12978" stopIfTrue="1" operator="equal">
      <formula>"Napkin Hs"</formula>
    </cfRule>
  </conditionalFormatting>
  <conditionalFormatting sqref="B55">
    <cfRule type="cellIs" dxfId="22069" priority="12973" stopIfTrue="1" operator="equal">
      <formula>"Towel"</formula>
    </cfRule>
    <cfRule type="cellIs" dxfId="22068" priority="12974" stopIfTrue="1" operator="equal">
      <formula>"Napkin Hs"</formula>
    </cfRule>
  </conditionalFormatting>
  <conditionalFormatting sqref="B55">
    <cfRule type="cellIs" dxfId="22067" priority="12975" stopIfTrue="1" operator="equal">
      <formula>"Towel"</formula>
    </cfRule>
    <cfRule type="cellIs" dxfId="22066" priority="12976" stopIfTrue="1" operator="equal">
      <formula>"Napkin Hs"</formula>
    </cfRule>
  </conditionalFormatting>
  <conditionalFormatting sqref="B55">
    <cfRule type="cellIs" dxfId="22065" priority="12969" stopIfTrue="1" operator="equal">
      <formula>"Towel"</formula>
    </cfRule>
    <cfRule type="cellIs" dxfId="22064" priority="12970" stopIfTrue="1" operator="equal">
      <formula>"Napkin Hs"</formula>
    </cfRule>
  </conditionalFormatting>
  <conditionalFormatting sqref="B55">
    <cfRule type="cellIs" dxfId="22063" priority="12971" stopIfTrue="1" operator="equal">
      <formula>"Towel"</formula>
    </cfRule>
    <cfRule type="cellIs" dxfId="22062" priority="12972" stopIfTrue="1" operator="equal">
      <formula>"Napkin Hs"</formula>
    </cfRule>
  </conditionalFormatting>
  <conditionalFormatting sqref="B55">
    <cfRule type="cellIs" dxfId="22061" priority="12967" stopIfTrue="1" operator="equal">
      <formula>"Towel"</formula>
    </cfRule>
    <cfRule type="cellIs" dxfId="22060" priority="12968" stopIfTrue="1" operator="equal">
      <formula>"Napkin Hs"</formula>
    </cfRule>
  </conditionalFormatting>
  <conditionalFormatting sqref="B55">
    <cfRule type="cellIs" dxfId="22059" priority="12965" stopIfTrue="1" operator="equal">
      <formula>"Towel"</formula>
    </cfRule>
    <cfRule type="cellIs" dxfId="22058" priority="12966" stopIfTrue="1" operator="equal">
      <formula>"Napkin Hs"</formula>
    </cfRule>
  </conditionalFormatting>
  <conditionalFormatting sqref="B55">
    <cfRule type="cellIs" dxfId="22057" priority="12959" stopIfTrue="1" operator="equal">
      <formula>"Towel"</formula>
    </cfRule>
    <cfRule type="cellIs" dxfId="22056" priority="12960" stopIfTrue="1" operator="equal">
      <formula>"Napkin Hs"</formula>
    </cfRule>
  </conditionalFormatting>
  <conditionalFormatting sqref="B55">
    <cfRule type="cellIs" dxfId="22055" priority="12957" stopIfTrue="1" operator="equal">
      <formula>"Towel"</formula>
    </cfRule>
    <cfRule type="cellIs" dxfId="22054" priority="12958" stopIfTrue="1" operator="equal">
      <formula>"Napkin Hs"</formula>
    </cfRule>
  </conditionalFormatting>
  <conditionalFormatting sqref="B55">
    <cfRule type="cellIs" dxfId="22053" priority="12955" stopIfTrue="1" operator="equal">
      <formula>"Towel"</formula>
    </cfRule>
    <cfRule type="cellIs" dxfId="22052" priority="12956" stopIfTrue="1" operator="equal">
      <formula>"Napkin Hs"</formula>
    </cfRule>
  </conditionalFormatting>
  <conditionalFormatting sqref="B55">
    <cfRule type="cellIs" dxfId="22051" priority="12953" stopIfTrue="1" operator="equal">
      <formula>"Towel"</formula>
    </cfRule>
    <cfRule type="cellIs" dxfId="22050" priority="12954" stopIfTrue="1" operator="equal">
      <formula>"Napkin Hs"</formula>
    </cfRule>
  </conditionalFormatting>
  <conditionalFormatting sqref="C54">
    <cfRule type="cellIs" dxfId="22049" priority="12661" stopIfTrue="1" operator="equal">
      <formula>"Towel"</formula>
    </cfRule>
    <cfRule type="cellIs" dxfId="22048" priority="12662" stopIfTrue="1" operator="equal">
      <formula>"Napkin Hs"</formula>
    </cfRule>
  </conditionalFormatting>
  <conditionalFormatting sqref="C54">
    <cfRule type="cellIs" dxfId="22047" priority="12663" stopIfTrue="1" operator="equal">
      <formula>"Towel"</formula>
    </cfRule>
    <cfRule type="cellIs" dxfId="22046" priority="12664" stopIfTrue="1" operator="equal">
      <formula>"Napkin Hs"</formula>
    </cfRule>
  </conditionalFormatting>
  <conditionalFormatting sqref="C54">
    <cfRule type="cellIs" dxfId="22045" priority="12659" stopIfTrue="1" operator="equal">
      <formula>"Towel"</formula>
    </cfRule>
    <cfRule type="cellIs" dxfId="22044" priority="12660" stopIfTrue="1" operator="equal">
      <formula>"Napkin Hs"</formula>
    </cfRule>
  </conditionalFormatting>
  <conditionalFormatting sqref="C54">
    <cfRule type="cellIs" dxfId="22043" priority="12657" stopIfTrue="1" operator="equal">
      <formula>"Towel"</formula>
    </cfRule>
    <cfRule type="cellIs" dxfId="22042" priority="12658" stopIfTrue="1" operator="equal">
      <formula>"Napkin Hs"</formula>
    </cfRule>
  </conditionalFormatting>
  <conditionalFormatting sqref="C54">
    <cfRule type="cellIs" dxfId="22041" priority="12665" stopIfTrue="1" operator="equal">
      <formula>"Towel"</formula>
    </cfRule>
    <cfRule type="cellIs" dxfId="22040" priority="12666" stopIfTrue="1" operator="equal">
      <formula>"Napkin Hs"</formula>
    </cfRule>
  </conditionalFormatting>
  <conditionalFormatting sqref="C54">
    <cfRule type="cellIs" dxfId="22039" priority="12667" stopIfTrue="1" operator="equal">
      <formula>"Towel"</formula>
    </cfRule>
    <cfRule type="cellIs" dxfId="22038" priority="12668" stopIfTrue="1" operator="equal">
      <formula>"Napkin Hs"</formula>
    </cfRule>
  </conditionalFormatting>
  <conditionalFormatting sqref="C54">
    <cfRule type="cellIs" dxfId="22037" priority="12653" stopIfTrue="1" operator="equal">
      <formula>"Towel"</formula>
    </cfRule>
    <cfRule type="cellIs" dxfId="22036" priority="12654" stopIfTrue="1" operator="equal">
      <formula>"Napkin Hs"</formula>
    </cfRule>
  </conditionalFormatting>
  <conditionalFormatting sqref="C54">
    <cfRule type="cellIs" dxfId="22035" priority="12655" stopIfTrue="1" operator="equal">
      <formula>"Towel"</formula>
    </cfRule>
    <cfRule type="cellIs" dxfId="22034" priority="12656" stopIfTrue="1" operator="equal">
      <formula>"Napkin Hs"</formula>
    </cfRule>
  </conditionalFormatting>
  <conditionalFormatting sqref="C54">
    <cfRule type="cellIs" dxfId="22033" priority="12651" stopIfTrue="1" operator="equal">
      <formula>"Towel"</formula>
    </cfRule>
    <cfRule type="cellIs" dxfId="22032" priority="12652" stopIfTrue="1" operator="equal">
      <formula>"Napkin Hs"</formula>
    </cfRule>
  </conditionalFormatting>
  <conditionalFormatting sqref="C54">
    <cfRule type="cellIs" dxfId="22031" priority="12645" stopIfTrue="1" operator="equal">
      <formula>"Towel"</formula>
    </cfRule>
    <cfRule type="cellIs" dxfId="22030" priority="12646" stopIfTrue="1" operator="equal">
      <formula>"Napkin Hs"</formula>
    </cfRule>
  </conditionalFormatting>
  <conditionalFormatting sqref="C54">
    <cfRule type="cellIs" dxfId="22029" priority="12647" stopIfTrue="1" operator="equal">
      <formula>"Towel"</formula>
    </cfRule>
    <cfRule type="cellIs" dxfId="22028" priority="12648" stopIfTrue="1" operator="equal">
      <formula>"Napkin Hs"</formula>
    </cfRule>
  </conditionalFormatting>
  <conditionalFormatting sqref="C54">
    <cfRule type="cellIs" dxfId="22027" priority="12649" stopIfTrue="1" operator="equal">
      <formula>"Towel"</formula>
    </cfRule>
    <cfRule type="cellIs" dxfId="22026" priority="12650" stopIfTrue="1" operator="equal">
      <formula>"Napkin Hs"</formula>
    </cfRule>
  </conditionalFormatting>
  <conditionalFormatting sqref="C54">
    <cfRule type="cellIs" dxfId="22025" priority="12599" stopIfTrue="1" operator="equal">
      <formula>"Towel"</formula>
    </cfRule>
    <cfRule type="cellIs" dxfId="22024" priority="12600" stopIfTrue="1" operator="equal">
      <formula>"Napkin Hs"</formula>
    </cfRule>
  </conditionalFormatting>
  <conditionalFormatting sqref="C54">
    <cfRule type="cellIs" dxfId="22023" priority="12601" stopIfTrue="1" operator="equal">
      <formula>"Towel"</formula>
    </cfRule>
    <cfRule type="cellIs" dxfId="22022" priority="12602" stopIfTrue="1" operator="equal">
      <formula>"Napkin Hs"</formula>
    </cfRule>
  </conditionalFormatting>
  <conditionalFormatting sqref="C54">
    <cfRule type="cellIs" dxfId="22021" priority="12597" stopIfTrue="1" operator="equal">
      <formula>"Towel"</formula>
    </cfRule>
    <cfRule type="cellIs" dxfId="22020" priority="12598" stopIfTrue="1" operator="equal">
      <formula>"Napkin Hs"</formula>
    </cfRule>
  </conditionalFormatting>
  <conditionalFormatting sqref="C54">
    <cfRule type="cellIs" dxfId="22019" priority="12595" stopIfTrue="1" operator="equal">
      <formula>"Towel"</formula>
    </cfRule>
    <cfRule type="cellIs" dxfId="22018" priority="12596" stopIfTrue="1" operator="equal">
      <formula>"Napkin Hs"</formula>
    </cfRule>
  </conditionalFormatting>
  <conditionalFormatting sqref="C54">
    <cfRule type="cellIs" dxfId="22017" priority="12591" stopIfTrue="1" operator="equal">
      <formula>"Towel"</formula>
    </cfRule>
    <cfRule type="cellIs" dxfId="22016" priority="12592" stopIfTrue="1" operator="equal">
      <formula>"Napkin Hs"</formula>
    </cfRule>
  </conditionalFormatting>
  <conditionalFormatting sqref="C54">
    <cfRule type="cellIs" dxfId="22015" priority="12593" stopIfTrue="1" operator="equal">
      <formula>"Towel"</formula>
    </cfRule>
    <cfRule type="cellIs" dxfId="22014" priority="12594" stopIfTrue="1" operator="equal">
      <formula>"Napkin Hs"</formula>
    </cfRule>
  </conditionalFormatting>
  <conditionalFormatting sqref="C54">
    <cfRule type="cellIs" dxfId="22013" priority="12643" stopIfTrue="1" operator="equal">
      <formula>"Towel"</formula>
    </cfRule>
    <cfRule type="cellIs" dxfId="22012" priority="12644" stopIfTrue="1" operator="equal">
      <formula>"Napkin Hs"</formula>
    </cfRule>
  </conditionalFormatting>
  <conditionalFormatting sqref="C54">
    <cfRule type="cellIs" dxfId="22011" priority="12639" stopIfTrue="1" operator="equal">
      <formula>"Towel"</formula>
    </cfRule>
    <cfRule type="cellIs" dxfId="22010" priority="12640" stopIfTrue="1" operator="equal">
      <formula>"Napkin Hs"</formula>
    </cfRule>
  </conditionalFormatting>
  <conditionalFormatting sqref="C54">
    <cfRule type="cellIs" dxfId="22009" priority="12642" stopIfTrue="1" operator="equal">
      <formula>"Napkin Hs"</formula>
    </cfRule>
  </conditionalFormatting>
  <conditionalFormatting sqref="C54">
    <cfRule type="cellIs" dxfId="22008" priority="12641" stopIfTrue="1" operator="equal">
      <formula>"Towel"</formula>
    </cfRule>
  </conditionalFormatting>
  <conditionalFormatting sqref="C54">
    <cfRule type="cellIs" dxfId="22007" priority="12633" stopIfTrue="1" operator="equal">
      <formula>"Towel"</formula>
    </cfRule>
    <cfRule type="cellIs" dxfId="22006" priority="12634" stopIfTrue="1" operator="equal">
      <formula>"Napkin Hs"</formula>
    </cfRule>
  </conditionalFormatting>
  <conditionalFormatting sqref="C54">
    <cfRule type="cellIs" dxfId="22005" priority="12637" stopIfTrue="1" operator="equal">
      <formula>"Towel"</formula>
    </cfRule>
    <cfRule type="cellIs" dxfId="22004" priority="12638" stopIfTrue="1" operator="equal">
      <formula>"Napkin Hs"</formula>
    </cfRule>
  </conditionalFormatting>
  <conditionalFormatting sqref="C54">
    <cfRule type="cellIs" dxfId="22003" priority="12635" stopIfTrue="1" operator="equal">
      <formula>"Towel"</formula>
    </cfRule>
    <cfRule type="cellIs" dxfId="22002" priority="12636" stopIfTrue="1" operator="equal">
      <formula>"Napkin Hs"</formula>
    </cfRule>
  </conditionalFormatting>
  <conditionalFormatting sqref="C54">
    <cfRule type="cellIs" dxfId="22001" priority="12627" stopIfTrue="1" operator="equal">
      <formula>"Towel"</formula>
    </cfRule>
    <cfRule type="cellIs" dxfId="22000" priority="12628" stopIfTrue="1" operator="equal">
      <formula>"Napkin Hs"</formula>
    </cfRule>
  </conditionalFormatting>
  <conditionalFormatting sqref="C54">
    <cfRule type="cellIs" dxfId="21999" priority="12629" stopIfTrue="1" operator="equal">
      <formula>"Towel"</formula>
    </cfRule>
    <cfRule type="cellIs" dxfId="21998" priority="12630" stopIfTrue="1" operator="equal">
      <formula>"Napkin Hs"</formula>
    </cfRule>
  </conditionalFormatting>
  <conditionalFormatting sqref="C54">
    <cfRule type="cellIs" dxfId="21997" priority="12631" stopIfTrue="1" operator="equal">
      <formula>"Towel"</formula>
    </cfRule>
    <cfRule type="cellIs" dxfId="21996" priority="12632" stopIfTrue="1" operator="equal">
      <formula>"Napkin Hs"</formula>
    </cfRule>
  </conditionalFormatting>
  <conditionalFormatting sqref="C54">
    <cfRule type="cellIs" dxfId="21995" priority="12621" stopIfTrue="1" operator="equal">
      <formula>"Towel"</formula>
    </cfRule>
    <cfRule type="cellIs" dxfId="21994" priority="12622" stopIfTrue="1" operator="equal">
      <formula>"Napkin Hs"</formula>
    </cfRule>
  </conditionalFormatting>
  <conditionalFormatting sqref="C54">
    <cfRule type="cellIs" dxfId="21993" priority="12625" stopIfTrue="1" operator="equal">
      <formula>"Towel"</formula>
    </cfRule>
    <cfRule type="cellIs" dxfId="21992" priority="12626" stopIfTrue="1" operator="equal">
      <formula>"Napkin Hs"</formula>
    </cfRule>
  </conditionalFormatting>
  <conditionalFormatting sqref="C54">
    <cfRule type="cellIs" dxfId="21991" priority="12623" stopIfTrue="1" operator="equal">
      <formula>"Towel"</formula>
    </cfRule>
    <cfRule type="cellIs" dxfId="21990" priority="12624" stopIfTrue="1" operator="equal">
      <formula>"Napkin Hs"</formula>
    </cfRule>
  </conditionalFormatting>
  <conditionalFormatting sqref="C54">
    <cfRule type="cellIs" dxfId="21989" priority="12615" stopIfTrue="1" operator="equal">
      <formula>"Towel"</formula>
    </cfRule>
    <cfRule type="cellIs" dxfId="21988" priority="12616" stopIfTrue="1" operator="equal">
      <formula>"Napkin Hs"</formula>
    </cfRule>
  </conditionalFormatting>
  <conditionalFormatting sqref="C54">
    <cfRule type="cellIs" dxfId="21987" priority="12617" stopIfTrue="1" operator="equal">
      <formula>"Towel"</formula>
    </cfRule>
    <cfRule type="cellIs" dxfId="21986" priority="12618" stopIfTrue="1" operator="equal">
      <formula>"Napkin Hs"</formula>
    </cfRule>
  </conditionalFormatting>
  <conditionalFormatting sqref="C54">
    <cfRule type="cellIs" dxfId="21985" priority="12619" stopIfTrue="1" operator="equal">
      <formula>"Towel"</formula>
    </cfRule>
    <cfRule type="cellIs" dxfId="21984" priority="12620" stopIfTrue="1" operator="equal">
      <formula>"Napkin Hs"</formula>
    </cfRule>
  </conditionalFormatting>
  <conditionalFormatting sqref="C54">
    <cfRule type="cellIs" dxfId="21983" priority="12613" stopIfTrue="1" operator="equal">
      <formula>"Towel"</formula>
    </cfRule>
    <cfRule type="cellIs" dxfId="21982" priority="12614" stopIfTrue="1" operator="equal">
      <formula>"Napkin Hs"</formula>
    </cfRule>
  </conditionalFormatting>
  <conditionalFormatting sqref="C54">
    <cfRule type="cellIs" dxfId="21981" priority="12609" stopIfTrue="1" operator="equal">
      <formula>"Towel"</formula>
    </cfRule>
    <cfRule type="cellIs" dxfId="21980" priority="12610" stopIfTrue="1" operator="equal">
      <formula>"Napkin Hs"</formula>
    </cfRule>
  </conditionalFormatting>
  <conditionalFormatting sqref="C54">
    <cfRule type="cellIs" dxfId="21979" priority="12611" stopIfTrue="1" operator="equal">
      <formula>"Towel"</formula>
    </cfRule>
    <cfRule type="cellIs" dxfId="21978" priority="12612" stopIfTrue="1" operator="equal">
      <formula>"Napkin Hs"</formula>
    </cfRule>
  </conditionalFormatting>
  <conditionalFormatting sqref="C54">
    <cfRule type="cellIs" dxfId="21977" priority="12607" stopIfTrue="1" operator="equal">
      <formula>"Towel"</formula>
    </cfRule>
    <cfRule type="cellIs" dxfId="21976" priority="12608" stopIfTrue="1" operator="equal">
      <formula>"Napkin Hs"</formula>
    </cfRule>
  </conditionalFormatting>
  <conditionalFormatting sqref="C54">
    <cfRule type="cellIs" dxfId="21975" priority="12605" stopIfTrue="1" operator="equal">
      <formula>"Towel"</formula>
    </cfRule>
    <cfRule type="cellIs" dxfId="21974" priority="12606" stopIfTrue="1" operator="equal">
      <formula>"Napkin Hs"</formula>
    </cfRule>
  </conditionalFormatting>
  <conditionalFormatting sqref="C54">
    <cfRule type="cellIs" dxfId="21973" priority="12603" stopIfTrue="1" operator="equal">
      <formula>"Towel"</formula>
    </cfRule>
    <cfRule type="cellIs" dxfId="21972" priority="12604" stopIfTrue="1" operator="equal">
      <formula>"Napkin Hs"</formula>
    </cfRule>
  </conditionalFormatting>
  <conditionalFormatting sqref="C54">
    <cfRule type="cellIs" dxfId="21971" priority="12587" stopIfTrue="1" operator="equal">
      <formula>"Towel"</formula>
    </cfRule>
    <cfRule type="cellIs" dxfId="21970" priority="12588" stopIfTrue="1" operator="equal">
      <formula>"Napkin Hs"</formula>
    </cfRule>
  </conditionalFormatting>
  <conditionalFormatting sqref="C54">
    <cfRule type="cellIs" dxfId="21969" priority="12589" stopIfTrue="1" operator="equal">
      <formula>"Towel"</formula>
    </cfRule>
    <cfRule type="cellIs" dxfId="21968" priority="12590" stopIfTrue="1" operator="equal">
      <formula>"Napkin Hs"</formula>
    </cfRule>
  </conditionalFormatting>
  <conditionalFormatting sqref="C54">
    <cfRule type="cellIs" dxfId="21967" priority="12585" stopIfTrue="1" operator="equal">
      <formula>"Towel"</formula>
    </cfRule>
    <cfRule type="cellIs" dxfId="21966" priority="12586" stopIfTrue="1" operator="equal">
      <formula>"Napkin Hs"</formula>
    </cfRule>
  </conditionalFormatting>
  <conditionalFormatting sqref="C54">
    <cfRule type="cellIs" dxfId="21965" priority="12583" stopIfTrue="1" operator="equal">
      <formula>"Towel"</formula>
    </cfRule>
    <cfRule type="cellIs" dxfId="21964" priority="12584" stopIfTrue="1" operator="equal">
      <formula>"Napkin Hs"</formula>
    </cfRule>
  </conditionalFormatting>
  <conditionalFormatting sqref="C54">
    <cfRule type="cellIs" dxfId="21963" priority="12579" stopIfTrue="1" operator="equal">
      <formula>"Towel"</formula>
    </cfRule>
    <cfRule type="cellIs" dxfId="21962" priority="12580" stopIfTrue="1" operator="equal">
      <formula>"Napkin Hs"</formula>
    </cfRule>
  </conditionalFormatting>
  <conditionalFormatting sqref="C54">
    <cfRule type="cellIs" dxfId="21961" priority="12581" stopIfTrue="1" operator="equal">
      <formula>"Towel"</formula>
    </cfRule>
    <cfRule type="cellIs" dxfId="21960" priority="12582" stopIfTrue="1" operator="equal">
      <formula>"Napkin Hs"</formula>
    </cfRule>
  </conditionalFormatting>
  <conditionalFormatting sqref="C54">
    <cfRule type="cellIs" dxfId="21959" priority="12575" stopIfTrue="1" operator="equal">
      <formula>"Towel"</formula>
    </cfRule>
    <cfRule type="cellIs" dxfId="21958" priority="12576" stopIfTrue="1" operator="equal">
      <formula>"Napkin Hs"</formula>
    </cfRule>
  </conditionalFormatting>
  <conditionalFormatting sqref="C54">
    <cfRule type="cellIs" dxfId="21957" priority="12577" stopIfTrue="1" operator="equal">
      <formula>"Towel"</formula>
    </cfRule>
    <cfRule type="cellIs" dxfId="21956" priority="12578" stopIfTrue="1" operator="equal">
      <formula>"Napkin Hs"</formula>
    </cfRule>
  </conditionalFormatting>
  <conditionalFormatting sqref="C54">
    <cfRule type="cellIs" dxfId="21955" priority="12573" stopIfTrue="1" operator="equal">
      <formula>"Towel"</formula>
    </cfRule>
    <cfRule type="cellIs" dxfId="21954" priority="12574" stopIfTrue="1" operator="equal">
      <formula>"Napkin Hs"</formula>
    </cfRule>
  </conditionalFormatting>
  <conditionalFormatting sqref="C54">
    <cfRule type="cellIs" dxfId="21953" priority="12571" stopIfTrue="1" operator="equal">
      <formula>"Towel"</formula>
    </cfRule>
    <cfRule type="cellIs" dxfId="21952" priority="12572" stopIfTrue="1" operator="equal">
      <formula>"Napkin Hs"</formula>
    </cfRule>
  </conditionalFormatting>
  <conditionalFormatting sqref="C54">
    <cfRule type="cellIs" dxfId="21951" priority="12567" stopIfTrue="1" operator="equal">
      <formula>"Towel"</formula>
    </cfRule>
    <cfRule type="cellIs" dxfId="21950" priority="12568" stopIfTrue="1" operator="equal">
      <formula>"Napkin Hs"</formula>
    </cfRule>
  </conditionalFormatting>
  <conditionalFormatting sqref="C54">
    <cfRule type="cellIs" dxfId="21949" priority="12569" stopIfTrue="1" operator="equal">
      <formula>"Towel"</formula>
    </cfRule>
    <cfRule type="cellIs" dxfId="21948" priority="12570" stopIfTrue="1" operator="equal">
      <formula>"Napkin Hs"</formula>
    </cfRule>
  </conditionalFormatting>
  <conditionalFormatting sqref="C52">
    <cfRule type="cellIs" dxfId="21947" priority="12531" stopIfTrue="1" operator="equal">
      <formula>"Towel"</formula>
    </cfRule>
    <cfRule type="cellIs" dxfId="21946" priority="12532" stopIfTrue="1" operator="equal">
      <formula>"Napkin Hs"</formula>
    </cfRule>
  </conditionalFormatting>
  <conditionalFormatting sqref="C52">
    <cfRule type="cellIs" dxfId="21945" priority="12533" stopIfTrue="1" operator="equal">
      <formula>"Towel"</formula>
    </cfRule>
    <cfRule type="cellIs" dxfId="21944" priority="12534" stopIfTrue="1" operator="equal">
      <formula>"Napkin Hs"</formula>
    </cfRule>
  </conditionalFormatting>
  <conditionalFormatting sqref="C52">
    <cfRule type="cellIs" dxfId="21943" priority="12529" stopIfTrue="1" operator="equal">
      <formula>"Towel"</formula>
    </cfRule>
    <cfRule type="cellIs" dxfId="21942" priority="12530" stopIfTrue="1" operator="equal">
      <formula>"Napkin Hs"</formula>
    </cfRule>
  </conditionalFormatting>
  <conditionalFormatting sqref="C52">
    <cfRule type="cellIs" dxfId="21941" priority="12527" stopIfTrue="1" operator="equal">
      <formula>"Towel"</formula>
    </cfRule>
    <cfRule type="cellIs" dxfId="21940" priority="12528" stopIfTrue="1" operator="equal">
      <formula>"Napkin Hs"</formula>
    </cfRule>
  </conditionalFormatting>
  <conditionalFormatting sqref="C52">
    <cfRule type="cellIs" dxfId="21939" priority="12535" stopIfTrue="1" operator="equal">
      <formula>"Towel"</formula>
    </cfRule>
    <cfRule type="cellIs" dxfId="21938" priority="12536" stopIfTrue="1" operator="equal">
      <formula>"Napkin Hs"</formula>
    </cfRule>
  </conditionalFormatting>
  <conditionalFormatting sqref="C52">
    <cfRule type="cellIs" dxfId="21937" priority="12537" stopIfTrue="1" operator="equal">
      <formula>"Towel"</formula>
    </cfRule>
    <cfRule type="cellIs" dxfId="21936" priority="12538" stopIfTrue="1" operator="equal">
      <formula>"Napkin Hs"</formula>
    </cfRule>
  </conditionalFormatting>
  <conditionalFormatting sqref="C52">
    <cfRule type="cellIs" dxfId="21935" priority="12523" stopIfTrue="1" operator="equal">
      <formula>"Towel"</formula>
    </cfRule>
    <cfRule type="cellIs" dxfId="21934" priority="12524" stopIfTrue="1" operator="equal">
      <formula>"Napkin Hs"</formula>
    </cfRule>
  </conditionalFormatting>
  <conditionalFormatting sqref="C52">
    <cfRule type="cellIs" dxfId="21933" priority="12525" stopIfTrue="1" operator="equal">
      <formula>"Towel"</formula>
    </cfRule>
    <cfRule type="cellIs" dxfId="21932" priority="12526" stopIfTrue="1" operator="equal">
      <formula>"Napkin Hs"</formula>
    </cfRule>
  </conditionalFormatting>
  <conditionalFormatting sqref="C52">
    <cfRule type="cellIs" dxfId="21931" priority="12521" stopIfTrue="1" operator="equal">
      <formula>"Towel"</formula>
    </cfRule>
    <cfRule type="cellIs" dxfId="21930" priority="12522" stopIfTrue="1" operator="equal">
      <formula>"Napkin Hs"</formula>
    </cfRule>
  </conditionalFormatting>
  <conditionalFormatting sqref="C52">
    <cfRule type="cellIs" dxfId="21929" priority="12515" stopIfTrue="1" operator="equal">
      <formula>"Towel"</formula>
    </cfRule>
    <cfRule type="cellIs" dxfId="21928" priority="12516" stopIfTrue="1" operator="equal">
      <formula>"Napkin Hs"</formula>
    </cfRule>
  </conditionalFormatting>
  <conditionalFormatting sqref="C52">
    <cfRule type="cellIs" dxfId="21927" priority="12517" stopIfTrue="1" operator="equal">
      <formula>"Towel"</formula>
    </cfRule>
    <cfRule type="cellIs" dxfId="21926" priority="12518" stopIfTrue="1" operator="equal">
      <formula>"Napkin Hs"</formula>
    </cfRule>
  </conditionalFormatting>
  <conditionalFormatting sqref="C52">
    <cfRule type="cellIs" dxfId="21925" priority="12519" stopIfTrue="1" operator="equal">
      <formula>"Towel"</formula>
    </cfRule>
    <cfRule type="cellIs" dxfId="21924" priority="12520" stopIfTrue="1" operator="equal">
      <formula>"Napkin Hs"</formula>
    </cfRule>
  </conditionalFormatting>
  <conditionalFormatting sqref="C52">
    <cfRule type="cellIs" dxfId="21923" priority="12469" stopIfTrue="1" operator="equal">
      <formula>"Towel"</formula>
    </cfRule>
    <cfRule type="cellIs" dxfId="21922" priority="12470" stopIfTrue="1" operator="equal">
      <formula>"Napkin Hs"</formula>
    </cfRule>
  </conditionalFormatting>
  <conditionalFormatting sqref="C52">
    <cfRule type="cellIs" dxfId="21921" priority="12471" stopIfTrue="1" operator="equal">
      <formula>"Towel"</formula>
    </cfRule>
    <cfRule type="cellIs" dxfId="21920" priority="12472" stopIfTrue="1" operator="equal">
      <formula>"Napkin Hs"</formula>
    </cfRule>
  </conditionalFormatting>
  <conditionalFormatting sqref="C52">
    <cfRule type="cellIs" dxfId="21919" priority="12467" stopIfTrue="1" operator="equal">
      <formula>"Towel"</formula>
    </cfRule>
    <cfRule type="cellIs" dxfId="21918" priority="12468" stopIfTrue="1" operator="equal">
      <formula>"Napkin Hs"</formula>
    </cfRule>
  </conditionalFormatting>
  <conditionalFormatting sqref="C52">
    <cfRule type="cellIs" dxfId="21917" priority="12465" stopIfTrue="1" operator="equal">
      <formula>"Towel"</formula>
    </cfRule>
    <cfRule type="cellIs" dxfId="21916" priority="12466" stopIfTrue="1" operator="equal">
      <formula>"Napkin Hs"</formula>
    </cfRule>
  </conditionalFormatting>
  <conditionalFormatting sqref="C52">
    <cfRule type="cellIs" dxfId="21915" priority="12461" stopIfTrue="1" operator="equal">
      <formula>"Towel"</formula>
    </cfRule>
    <cfRule type="cellIs" dxfId="21914" priority="12462" stopIfTrue="1" operator="equal">
      <formula>"Napkin Hs"</formula>
    </cfRule>
  </conditionalFormatting>
  <conditionalFormatting sqref="C52">
    <cfRule type="cellIs" dxfId="21913" priority="12463" stopIfTrue="1" operator="equal">
      <formula>"Towel"</formula>
    </cfRule>
    <cfRule type="cellIs" dxfId="21912" priority="12464" stopIfTrue="1" operator="equal">
      <formula>"Napkin Hs"</formula>
    </cfRule>
  </conditionalFormatting>
  <conditionalFormatting sqref="C52">
    <cfRule type="cellIs" dxfId="21911" priority="12513" stopIfTrue="1" operator="equal">
      <formula>"Towel"</formula>
    </cfRule>
    <cfRule type="cellIs" dxfId="21910" priority="12514" stopIfTrue="1" operator="equal">
      <formula>"Napkin Hs"</formula>
    </cfRule>
  </conditionalFormatting>
  <conditionalFormatting sqref="C52">
    <cfRule type="cellIs" dxfId="21909" priority="12509" stopIfTrue="1" operator="equal">
      <formula>"Towel"</formula>
    </cfRule>
    <cfRule type="cellIs" dxfId="21908" priority="12510" stopIfTrue="1" operator="equal">
      <formula>"Napkin Hs"</formula>
    </cfRule>
  </conditionalFormatting>
  <conditionalFormatting sqref="C52">
    <cfRule type="cellIs" dxfId="21907" priority="12512" stopIfTrue="1" operator="equal">
      <formula>"Napkin Hs"</formula>
    </cfRule>
  </conditionalFormatting>
  <conditionalFormatting sqref="C52">
    <cfRule type="cellIs" dxfId="21906" priority="12511" stopIfTrue="1" operator="equal">
      <formula>"Towel"</formula>
    </cfRule>
  </conditionalFormatting>
  <conditionalFormatting sqref="C52">
    <cfRule type="cellIs" dxfId="21905" priority="12503" stopIfTrue="1" operator="equal">
      <formula>"Towel"</formula>
    </cfRule>
    <cfRule type="cellIs" dxfId="21904" priority="12504" stopIfTrue="1" operator="equal">
      <formula>"Napkin Hs"</formula>
    </cfRule>
  </conditionalFormatting>
  <conditionalFormatting sqref="C52">
    <cfRule type="cellIs" dxfId="21903" priority="12507" stopIfTrue="1" operator="equal">
      <formula>"Towel"</formula>
    </cfRule>
    <cfRule type="cellIs" dxfId="21902" priority="12508" stopIfTrue="1" operator="equal">
      <formula>"Napkin Hs"</formula>
    </cfRule>
  </conditionalFormatting>
  <conditionalFormatting sqref="C52">
    <cfRule type="cellIs" dxfId="21901" priority="12505" stopIfTrue="1" operator="equal">
      <formula>"Towel"</formula>
    </cfRule>
    <cfRule type="cellIs" dxfId="21900" priority="12506" stopIfTrue="1" operator="equal">
      <formula>"Napkin Hs"</formula>
    </cfRule>
  </conditionalFormatting>
  <conditionalFormatting sqref="C52">
    <cfRule type="cellIs" dxfId="21899" priority="12497" stopIfTrue="1" operator="equal">
      <formula>"Towel"</formula>
    </cfRule>
    <cfRule type="cellIs" dxfId="21898" priority="12498" stopIfTrue="1" operator="equal">
      <formula>"Napkin Hs"</formula>
    </cfRule>
  </conditionalFormatting>
  <conditionalFormatting sqref="C52">
    <cfRule type="cellIs" dxfId="21897" priority="12499" stopIfTrue="1" operator="equal">
      <formula>"Towel"</formula>
    </cfRule>
    <cfRule type="cellIs" dxfId="21896" priority="12500" stopIfTrue="1" operator="equal">
      <formula>"Napkin Hs"</formula>
    </cfRule>
  </conditionalFormatting>
  <conditionalFormatting sqref="C52">
    <cfRule type="cellIs" dxfId="21895" priority="12501" stopIfTrue="1" operator="equal">
      <formula>"Towel"</formula>
    </cfRule>
    <cfRule type="cellIs" dxfId="21894" priority="12502" stopIfTrue="1" operator="equal">
      <formula>"Napkin Hs"</formula>
    </cfRule>
  </conditionalFormatting>
  <conditionalFormatting sqref="C52">
    <cfRule type="cellIs" dxfId="21893" priority="12491" stopIfTrue="1" operator="equal">
      <formula>"Towel"</formula>
    </cfRule>
    <cfRule type="cellIs" dxfId="21892" priority="12492" stopIfTrue="1" operator="equal">
      <formula>"Napkin Hs"</formula>
    </cfRule>
  </conditionalFormatting>
  <conditionalFormatting sqref="C52">
    <cfRule type="cellIs" dxfId="21891" priority="12495" stopIfTrue="1" operator="equal">
      <formula>"Towel"</formula>
    </cfRule>
    <cfRule type="cellIs" dxfId="21890" priority="12496" stopIfTrue="1" operator="equal">
      <formula>"Napkin Hs"</formula>
    </cfRule>
  </conditionalFormatting>
  <conditionalFormatting sqref="C52">
    <cfRule type="cellIs" dxfId="21889" priority="12493" stopIfTrue="1" operator="equal">
      <formula>"Towel"</formula>
    </cfRule>
    <cfRule type="cellIs" dxfId="21888" priority="12494" stopIfTrue="1" operator="equal">
      <formula>"Napkin Hs"</formula>
    </cfRule>
  </conditionalFormatting>
  <conditionalFormatting sqref="C52">
    <cfRule type="cellIs" dxfId="21887" priority="12485" stopIfTrue="1" operator="equal">
      <formula>"Towel"</formula>
    </cfRule>
    <cfRule type="cellIs" dxfId="21886" priority="12486" stopIfTrue="1" operator="equal">
      <formula>"Napkin Hs"</formula>
    </cfRule>
  </conditionalFormatting>
  <conditionalFormatting sqref="C52">
    <cfRule type="cellIs" dxfId="21885" priority="12487" stopIfTrue="1" operator="equal">
      <formula>"Towel"</formula>
    </cfRule>
    <cfRule type="cellIs" dxfId="21884" priority="12488" stopIfTrue="1" operator="equal">
      <formula>"Napkin Hs"</formula>
    </cfRule>
  </conditionalFormatting>
  <conditionalFormatting sqref="C52">
    <cfRule type="cellIs" dxfId="21883" priority="12489" stopIfTrue="1" operator="equal">
      <formula>"Towel"</formula>
    </cfRule>
    <cfRule type="cellIs" dxfId="21882" priority="12490" stopIfTrue="1" operator="equal">
      <formula>"Napkin Hs"</formula>
    </cfRule>
  </conditionalFormatting>
  <conditionalFormatting sqref="C52">
    <cfRule type="cellIs" dxfId="21881" priority="12483" stopIfTrue="1" operator="equal">
      <formula>"Towel"</formula>
    </cfRule>
    <cfRule type="cellIs" dxfId="21880" priority="12484" stopIfTrue="1" operator="equal">
      <formula>"Napkin Hs"</formula>
    </cfRule>
  </conditionalFormatting>
  <conditionalFormatting sqref="C52">
    <cfRule type="cellIs" dxfId="21879" priority="12479" stopIfTrue="1" operator="equal">
      <formula>"Towel"</formula>
    </cfRule>
    <cfRule type="cellIs" dxfId="21878" priority="12480" stopIfTrue="1" operator="equal">
      <formula>"Napkin Hs"</formula>
    </cfRule>
  </conditionalFormatting>
  <conditionalFormatting sqref="C52">
    <cfRule type="cellIs" dxfId="21877" priority="12481" stopIfTrue="1" operator="equal">
      <formula>"Towel"</formula>
    </cfRule>
    <cfRule type="cellIs" dxfId="21876" priority="12482" stopIfTrue="1" operator="equal">
      <formula>"Napkin Hs"</formula>
    </cfRule>
  </conditionalFormatting>
  <conditionalFormatting sqref="C52">
    <cfRule type="cellIs" dxfId="21875" priority="12477" stopIfTrue="1" operator="equal">
      <formula>"Towel"</formula>
    </cfRule>
    <cfRule type="cellIs" dxfId="21874" priority="12478" stopIfTrue="1" operator="equal">
      <formula>"Napkin Hs"</formula>
    </cfRule>
  </conditionalFormatting>
  <conditionalFormatting sqref="C52">
    <cfRule type="cellIs" dxfId="21873" priority="12475" stopIfTrue="1" operator="equal">
      <formula>"Towel"</formula>
    </cfRule>
    <cfRule type="cellIs" dxfId="21872" priority="12476" stopIfTrue="1" operator="equal">
      <formula>"Napkin Hs"</formula>
    </cfRule>
  </conditionalFormatting>
  <conditionalFormatting sqref="C52">
    <cfRule type="cellIs" dxfId="21871" priority="12473" stopIfTrue="1" operator="equal">
      <formula>"Towel"</formula>
    </cfRule>
    <cfRule type="cellIs" dxfId="21870" priority="12474" stopIfTrue="1" operator="equal">
      <formula>"Napkin Hs"</formula>
    </cfRule>
  </conditionalFormatting>
  <conditionalFormatting sqref="C52">
    <cfRule type="cellIs" dxfId="21869" priority="12457" stopIfTrue="1" operator="equal">
      <formula>"Towel"</formula>
    </cfRule>
    <cfRule type="cellIs" dxfId="21868" priority="12458" stopIfTrue="1" operator="equal">
      <formula>"Napkin Hs"</formula>
    </cfRule>
  </conditionalFormatting>
  <conditionalFormatting sqref="C52">
    <cfRule type="cellIs" dxfId="21867" priority="12459" stopIfTrue="1" operator="equal">
      <formula>"Towel"</formula>
    </cfRule>
    <cfRule type="cellIs" dxfId="21866" priority="12460" stopIfTrue="1" operator="equal">
      <formula>"Napkin Hs"</formula>
    </cfRule>
  </conditionalFormatting>
  <conditionalFormatting sqref="C52">
    <cfRule type="cellIs" dxfId="21865" priority="12455" stopIfTrue="1" operator="equal">
      <formula>"Towel"</formula>
    </cfRule>
    <cfRule type="cellIs" dxfId="21864" priority="12456" stopIfTrue="1" operator="equal">
      <formula>"Napkin Hs"</formula>
    </cfRule>
  </conditionalFormatting>
  <conditionalFormatting sqref="C52">
    <cfRule type="cellIs" dxfId="21863" priority="12453" stopIfTrue="1" operator="equal">
      <formula>"Towel"</formula>
    </cfRule>
    <cfRule type="cellIs" dxfId="21862" priority="12454" stopIfTrue="1" operator="equal">
      <formula>"Napkin Hs"</formula>
    </cfRule>
  </conditionalFormatting>
  <conditionalFormatting sqref="C52">
    <cfRule type="cellIs" dxfId="21861" priority="12449" stopIfTrue="1" operator="equal">
      <formula>"Towel"</formula>
    </cfRule>
    <cfRule type="cellIs" dxfId="21860" priority="12450" stopIfTrue="1" operator="equal">
      <formula>"Napkin Hs"</formula>
    </cfRule>
  </conditionalFormatting>
  <conditionalFormatting sqref="C52">
    <cfRule type="cellIs" dxfId="21859" priority="12451" stopIfTrue="1" operator="equal">
      <formula>"Towel"</formula>
    </cfRule>
    <cfRule type="cellIs" dxfId="21858" priority="12452" stopIfTrue="1" operator="equal">
      <formula>"Napkin Hs"</formula>
    </cfRule>
  </conditionalFormatting>
  <conditionalFormatting sqref="C52">
    <cfRule type="cellIs" dxfId="21857" priority="12445" stopIfTrue="1" operator="equal">
      <formula>"Towel"</formula>
    </cfRule>
    <cfRule type="cellIs" dxfId="21856" priority="12446" stopIfTrue="1" operator="equal">
      <formula>"Napkin Hs"</formula>
    </cfRule>
  </conditionalFormatting>
  <conditionalFormatting sqref="C52">
    <cfRule type="cellIs" dxfId="21855" priority="12447" stopIfTrue="1" operator="equal">
      <formula>"Towel"</formula>
    </cfRule>
    <cfRule type="cellIs" dxfId="21854" priority="12448" stopIfTrue="1" operator="equal">
      <formula>"Napkin Hs"</formula>
    </cfRule>
  </conditionalFormatting>
  <conditionalFormatting sqref="C52">
    <cfRule type="cellIs" dxfId="21853" priority="12443" stopIfTrue="1" operator="equal">
      <formula>"Towel"</formula>
    </cfRule>
    <cfRule type="cellIs" dxfId="21852" priority="12444" stopIfTrue="1" operator="equal">
      <formula>"Napkin Hs"</formula>
    </cfRule>
  </conditionalFormatting>
  <conditionalFormatting sqref="C52">
    <cfRule type="cellIs" dxfId="21851" priority="12441" stopIfTrue="1" operator="equal">
      <formula>"Towel"</formula>
    </cfRule>
    <cfRule type="cellIs" dxfId="21850" priority="12442" stopIfTrue="1" operator="equal">
      <formula>"Napkin Hs"</formula>
    </cfRule>
  </conditionalFormatting>
  <conditionalFormatting sqref="C52">
    <cfRule type="cellIs" dxfId="21849" priority="12437" stopIfTrue="1" operator="equal">
      <formula>"Towel"</formula>
    </cfRule>
    <cfRule type="cellIs" dxfId="21848" priority="12438" stopIfTrue="1" operator="equal">
      <formula>"Napkin Hs"</formula>
    </cfRule>
  </conditionalFormatting>
  <conditionalFormatting sqref="C52">
    <cfRule type="cellIs" dxfId="21847" priority="12439" stopIfTrue="1" operator="equal">
      <formula>"Towel"</formula>
    </cfRule>
    <cfRule type="cellIs" dxfId="21846" priority="12440" stopIfTrue="1" operator="equal">
      <formula>"Napkin Hs"</formula>
    </cfRule>
  </conditionalFormatting>
  <conditionalFormatting sqref="B52">
    <cfRule type="cellIs" dxfId="21845" priority="12435" stopIfTrue="1" operator="equal">
      <formula>"Towel"</formula>
    </cfRule>
    <cfRule type="cellIs" dxfId="21844" priority="12436" stopIfTrue="1" operator="equal">
      <formula>"Napkin Hs"</formula>
    </cfRule>
  </conditionalFormatting>
  <conditionalFormatting sqref="B52">
    <cfRule type="cellIs" dxfId="21843" priority="12419" stopIfTrue="1" operator="equal">
      <formula>"Towel"</formula>
    </cfRule>
    <cfRule type="cellIs" dxfId="21842" priority="12420" stopIfTrue="1" operator="equal">
      <formula>"Napkin Hs"</formula>
    </cfRule>
  </conditionalFormatting>
  <conditionalFormatting sqref="B52">
    <cfRule type="cellIs" dxfId="21841" priority="12417" stopIfTrue="1" operator="equal">
      <formula>"Towel"</formula>
    </cfRule>
    <cfRule type="cellIs" dxfId="21840" priority="12418" stopIfTrue="1" operator="equal">
      <formula>"Napkin Hs"</formula>
    </cfRule>
  </conditionalFormatting>
  <conditionalFormatting sqref="B52">
    <cfRule type="cellIs" dxfId="21839" priority="12433" stopIfTrue="1" operator="equal">
      <formula>"Towel"</formula>
    </cfRule>
    <cfRule type="cellIs" dxfId="21838" priority="12434" stopIfTrue="1" operator="equal">
      <formula>"Napkin Hs"</formula>
    </cfRule>
  </conditionalFormatting>
  <conditionalFormatting sqref="B52">
    <cfRule type="cellIs" dxfId="21837" priority="12429" stopIfTrue="1" operator="equal">
      <formula>"Towel"</formula>
    </cfRule>
    <cfRule type="cellIs" dxfId="21836" priority="12430" stopIfTrue="1" operator="equal">
      <formula>"Napkin Hs"</formula>
    </cfRule>
  </conditionalFormatting>
  <conditionalFormatting sqref="B52">
    <cfRule type="cellIs" dxfId="21835" priority="12431" stopIfTrue="1" operator="equal">
      <formula>"Towel"</formula>
    </cfRule>
    <cfRule type="cellIs" dxfId="21834" priority="12432" stopIfTrue="1" operator="equal">
      <formula>"Napkin Hs"</formula>
    </cfRule>
  </conditionalFormatting>
  <conditionalFormatting sqref="B52">
    <cfRule type="cellIs" dxfId="21833" priority="12425" stopIfTrue="1" operator="equal">
      <formula>"Towel"</formula>
    </cfRule>
    <cfRule type="cellIs" dxfId="21832" priority="12426" stopIfTrue="1" operator="equal">
      <formula>"Napkin Hs"</formula>
    </cfRule>
  </conditionalFormatting>
  <conditionalFormatting sqref="B52">
    <cfRule type="cellIs" dxfId="21831" priority="12427" stopIfTrue="1" operator="equal">
      <formula>"Towel"</formula>
    </cfRule>
    <cfRule type="cellIs" dxfId="21830" priority="12428" stopIfTrue="1" operator="equal">
      <formula>"Napkin Hs"</formula>
    </cfRule>
  </conditionalFormatting>
  <conditionalFormatting sqref="B52">
    <cfRule type="cellIs" dxfId="21829" priority="12423" stopIfTrue="1" operator="equal">
      <formula>"Towel"</formula>
    </cfRule>
    <cfRule type="cellIs" dxfId="21828" priority="12424" stopIfTrue="1" operator="equal">
      <formula>"Napkin Hs"</formula>
    </cfRule>
  </conditionalFormatting>
  <conditionalFormatting sqref="B52">
    <cfRule type="cellIs" dxfId="21827" priority="12421" stopIfTrue="1" operator="equal">
      <formula>"Towel"</formula>
    </cfRule>
    <cfRule type="cellIs" dxfId="21826" priority="12422" stopIfTrue="1" operator="equal">
      <formula>"Napkin Hs"</formula>
    </cfRule>
  </conditionalFormatting>
  <conditionalFormatting sqref="B52">
    <cfRule type="cellIs" dxfId="21825" priority="12415" stopIfTrue="1" operator="equal">
      <formula>"Towel"</formula>
    </cfRule>
    <cfRule type="cellIs" dxfId="21824" priority="12416" stopIfTrue="1" operator="equal">
      <formula>"Napkin Hs"</formula>
    </cfRule>
  </conditionalFormatting>
  <conditionalFormatting sqref="B52">
    <cfRule type="cellIs" dxfId="21823" priority="12413" stopIfTrue="1" operator="equal">
      <formula>"Towel"</formula>
    </cfRule>
    <cfRule type="cellIs" dxfId="21822" priority="12414" stopIfTrue="1" operator="equal">
      <formula>"Napkin Hs"</formula>
    </cfRule>
  </conditionalFormatting>
  <conditionalFormatting sqref="B52">
    <cfRule type="cellIs" dxfId="21821" priority="12411" stopIfTrue="1" operator="equal">
      <formula>"Towel"</formula>
    </cfRule>
    <cfRule type="cellIs" dxfId="21820" priority="12412" stopIfTrue="1" operator="equal">
      <formula>"Napkin Hs"</formula>
    </cfRule>
  </conditionalFormatting>
  <conditionalFormatting sqref="B52">
    <cfRule type="cellIs" dxfId="21819" priority="12409" stopIfTrue="1" operator="equal">
      <formula>"Towel"</formula>
    </cfRule>
    <cfRule type="cellIs" dxfId="21818" priority="12410" stopIfTrue="1" operator="equal">
      <formula>"Napkin Hs"</formula>
    </cfRule>
  </conditionalFormatting>
  <conditionalFormatting sqref="C53">
    <cfRule type="cellIs" dxfId="21817" priority="12401" stopIfTrue="1" operator="equal">
      <formula>"Towel"</formula>
    </cfRule>
    <cfRule type="cellIs" dxfId="21816" priority="12402" stopIfTrue="1" operator="equal">
      <formula>"Napkin Hs"</formula>
    </cfRule>
  </conditionalFormatting>
  <conditionalFormatting sqref="C53">
    <cfRule type="cellIs" dxfId="21815" priority="12403" stopIfTrue="1" operator="equal">
      <formula>"Towel"</formula>
    </cfRule>
    <cfRule type="cellIs" dxfId="21814" priority="12404" stopIfTrue="1" operator="equal">
      <formula>"Napkin Hs"</formula>
    </cfRule>
  </conditionalFormatting>
  <conditionalFormatting sqref="C53">
    <cfRule type="cellIs" dxfId="21813" priority="12399" stopIfTrue="1" operator="equal">
      <formula>"Towel"</formula>
    </cfRule>
    <cfRule type="cellIs" dxfId="21812" priority="12400" stopIfTrue="1" operator="equal">
      <formula>"Napkin Hs"</formula>
    </cfRule>
  </conditionalFormatting>
  <conditionalFormatting sqref="C53">
    <cfRule type="cellIs" dxfId="21811" priority="12397" stopIfTrue="1" operator="equal">
      <formula>"Towel"</formula>
    </cfRule>
    <cfRule type="cellIs" dxfId="21810" priority="12398" stopIfTrue="1" operator="equal">
      <formula>"Napkin Hs"</formula>
    </cfRule>
  </conditionalFormatting>
  <conditionalFormatting sqref="C53">
    <cfRule type="cellIs" dxfId="21809" priority="12405" stopIfTrue="1" operator="equal">
      <formula>"Towel"</formula>
    </cfRule>
    <cfRule type="cellIs" dxfId="21808" priority="12406" stopIfTrue="1" operator="equal">
      <formula>"Napkin Hs"</formula>
    </cfRule>
  </conditionalFormatting>
  <conditionalFormatting sqref="C53">
    <cfRule type="cellIs" dxfId="21807" priority="12407" stopIfTrue="1" operator="equal">
      <formula>"Towel"</formula>
    </cfRule>
    <cfRule type="cellIs" dxfId="21806" priority="12408" stopIfTrue="1" operator="equal">
      <formula>"Napkin Hs"</formula>
    </cfRule>
  </conditionalFormatting>
  <conditionalFormatting sqref="C53">
    <cfRule type="cellIs" dxfId="21805" priority="12393" stopIfTrue="1" operator="equal">
      <formula>"Towel"</formula>
    </cfRule>
    <cfRule type="cellIs" dxfId="21804" priority="12394" stopIfTrue="1" operator="equal">
      <formula>"Napkin Hs"</formula>
    </cfRule>
  </conditionalFormatting>
  <conditionalFormatting sqref="C53">
    <cfRule type="cellIs" dxfId="21803" priority="12395" stopIfTrue="1" operator="equal">
      <formula>"Towel"</formula>
    </cfRule>
    <cfRule type="cellIs" dxfId="21802" priority="12396" stopIfTrue="1" operator="equal">
      <formula>"Napkin Hs"</formula>
    </cfRule>
  </conditionalFormatting>
  <conditionalFormatting sqref="C53">
    <cfRule type="cellIs" dxfId="21801" priority="12391" stopIfTrue="1" operator="equal">
      <formula>"Towel"</formula>
    </cfRule>
    <cfRule type="cellIs" dxfId="21800" priority="12392" stopIfTrue="1" operator="equal">
      <formula>"Napkin Hs"</formula>
    </cfRule>
  </conditionalFormatting>
  <conditionalFormatting sqref="C53">
    <cfRule type="cellIs" dxfId="21799" priority="12385" stopIfTrue="1" operator="equal">
      <formula>"Towel"</formula>
    </cfRule>
    <cfRule type="cellIs" dxfId="21798" priority="12386" stopIfTrue="1" operator="equal">
      <formula>"Napkin Hs"</formula>
    </cfRule>
  </conditionalFormatting>
  <conditionalFormatting sqref="C53">
    <cfRule type="cellIs" dxfId="21797" priority="12387" stopIfTrue="1" operator="equal">
      <formula>"Towel"</formula>
    </cfRule>
    <cfRule type="cellIs" dxfId="21796" priority="12388" stopIfTrue="1" operator="equal">
      <formula>"Napkin Hs"</formula>
    </cfRule>
  </conditionalFormatting>
  <conditionalFormatting sqref="C53">
    <cfRule type="cellIs" dxfId="21795" priority="12389" stopIfTrue="1" operator="equal">
      <formula>"Towel"</formula>
    </cfRule>
    <cfRule type="cellIs" dxfId="21794" priority="12390" stopIfTrue="1" operator="equal">
      <formula>"Napkin Hs"</formula>
    </cfRule>
  </conditionalFormatting>
  <conditionalFormatting sqref="C53">
    <cfRule type="cellIs" dxfId="21793" priority="12339" stopIfTrue="1" operator="equal">
      <formula>"Towel"</formula>
    </cfRule>
    <cfRule type="cellIs" dxfId="21792" priority="12340" stopIfTrue="1" operator="equal">
      <formula>"Napkin Hs"</formula>
    </cfRule>
  </conditionalFormatting>
  <conditionalFormatting sqref="C53">
    <cfRule type="cellIs" dxfId="21791" priority="12341" stopIfTrue="1" operator="equal">
      <formula>"Towel"</formula>
    </cfRule>
    <cfRule type="cellIs" dxfId="21790" priority="12342" stopIfTrue="1" operator="equal">
      <formula>"Napkin Hs"</formula>
    </cfRule>
  </conditionalFormatting>
  <conditionalFormatting sqref="C53">
    <cfRule type="cellIs" dxfId="21789" priority="12337" stopIfTrue="1" operator="equal">
      <formula>"Towel"</formula>
    </cfRule>
    <cfRule type="cellIs" dxfId="21788" priority="12338" stopIfTrue="1" operator="equal">
      <formula>"Napkin Hs"</formula>
    </cfRule>
  </conditionalFormatting>
  <conditionalFormatting sqref="C53">
    <cfRule type="cellIs" dxfId="21787" priority="12335" stopIfTrue="1" operator="equal">
      <formula>"Towel"</formula>
    </cfRule>
    <cfRule type="cellIs" dxfId="21786" priority="12336" stopIfTrue="1" operator="equal">
      <formula>"Napkin Hs"</formula>
    </cfRule>
  </conditionalFormatting>
  <conditionalFormatting sqref="C53">
    <cfRule type="cellIs" dxfId="21785" priority="12331" stopIfTrue="1" operator="equal">
      <formula>"Towel"</formula>
    </cfRule>
    <cfRule type="cellIs" dxfId="21784" priority="12332" stopIfTrue="1" operator="equal">
      <formula>"Napkin Hs"</formula>
    </cfRule>
  </conditionalFormatting>
  <conditionalFormatting sqref="C53">
    <cfRule type="cellIs" dxfId="21783" priority="12333" stopIfTrue="1" operator="equal">
      <formula>"Towel"</formula>
    </cfRule>
    <cfRule type="cellIs" dxfId="21782" priority="12334" stopIfTrue="1" operator="equal">
      <formula>"Napkin Hs"</formula>
    </cfRule>
  </conditionalFormatting>
  <conditionalFormatting sqref="C53">
    <cfRule type="cellIs" dxfId="21781" priority="12383" stopIfTrue="1" operator="equal">
      <formula>"Towel"</formula>
    </cfRule>
    <cfRule type="cellIs" dxfId="21780" priority="12384" stopIfTrue="1" operator="equal">
      <formula>"Napkin Hs"</formula>
    </cfRule>
  </conditionalFormatting>
  <conditionalFormatting sqref="C53">
    <cfRule type="cellIs" dxfId="21779" priority="12379" stopIfTrue="1" operator="equal">
      <formula>"Towel"</formula>
    </cfRule>
    <cfRule type="cellIs" dxfId="21778" priority="12380" stopIfTrue="1" operator="equal">
      <formula>"Napkin Hs"</formula>
    </cfRule>
  </conditionalFormatting>
  <conditionalFormatting sqref="C53">
    <cfRule type="cellIs" dxfId="21777" priority="12382" stopIfTrue="1" operator="equal">
      <formula>"Napkin Hs"</formula>
    </cfRule>
  </conditionalFormatting>
  <conditionalFormatting sqref="C53">
    <cfRule type="cellIs" dxfId="21776" priority="12381" stopIfTrue="1" operator="equal">
      <formula>"Towel"</formula>
    </cfRule>
  </conditionalFormatting>
  <conditionalFormatting sqref="C53">
    <cfRule type="cellIs" dxfId="21775" priority="12373" stopIfTrue="1" operator="equal">
      <formula>"Towel"</formula>
    </cfRule>
    <cfRule type="cellIs" dxfId="21774" priority="12374" stopIfTrue="1" operator="equal">
      <formula>"Napkin Hs"</formula>
    </cfRule>
  </conditionalFormatting>
  <conditionalFormatting sqref="C53">
    <cfRule type="cellIs" dxfId="21773" priority="12377" stopIfTrue="1" operator="equal">
      <formula>"Towel"</formula>
    </cfRule>
    <cfRule type="cellIs" dxfId="21772" priority="12378" stopIfTrue="1" operator="equal">
      <formula>"Napkin Hs"</formula>
    </cfRule>
  </conditionalFormatting>
  <conditionalFormatting sqref="C53">
    <cfRule type="cellIs" dxfId="21771" priority="12375" stopIfTrue="1" operator="equal">
      <formula>"Towel"</formula>
    </cfRule>
    <cfRule type="cellIs" dxfId="21770" priority="12376" stopIfTrue="1" operator="equal">
      <formula>"Napkin Hs"</formula>
    </cfRule>
  </conditionalFormatting>
  <conditionalFormatting sqref="C53">
    <cfRule type="cellIs" dxfId="21769" priority="12367" stopIfTrue="1" operator="equal">
      <formula>"Towel"</formula>
    </cfRule>
    <cfRule type="cellIs" dxfId="21768" priority="12368" stopIfTrue="1" operator="equal">
      <formula>"Napkin Hs"</formula>
    </cfRule>
  </conditionalFormatting>
  <conditionalFormatting sqref="C53">
    <cfRule type="cellIs" dxfId="21767" priority="12369" stopIfTrue="1" operator="equal">
      <formula>"Towel"</formula>
    </cfRule>
    <cfRule type="cellIs" dxfId="21766" priority="12370" stopIfTrue="1" operator="equal">
      <formula>"Napkin Hs"</formula>
    </cfRule>
  </conditionalFormatting>
  <conditionalFormatting sqref="C53">
    <cfRule type="cellIs" dxfId="21765" priority="12371" stopIfTrue="1" operator="equal">
      <formula>"Towel"</formula>
    </cfRule>
    <cfRule type="cellIs" dxfId="21764" priority="12372" stopIfTrue="1" operator="equal">
      <formula>"Napkin Hs"</formula>
    </cfRule>
  </conditionalFormatting>
  <conditionalFormatting sqref="C53">
    <cfRule type="cellIs" dxfId="21763" priority="12361" stopIfTrue="1" operator="equal">
      <formula>"Towel"</formula>
    </cfRule>
    <cfRule type="cellIs" dxfId="21762" priority="12362" stopIfTrue="1" operator="equal">
      <formula>"Napkin Hs"</formula>
    </cfRule>
  </conditionalFormatting>
  <conditionalFormatting sqref="C53">
    <cfRule type="cellIs" dxfId="21761" priority="12365" stopIfTrue="1" operator="equal">
      <formula>"Towel"</formula>
    </cfRule>
    <cfRule type="cellIs" dxfId="21760" priority="12366" stopIfTrue="1" operator="equal">
      <formula>"Napkin Hs"</formula>
    </cfRule>
  </conditionalFormatting>
  <conditionalFormatting sqref="C53">
    <cfRule type="cellIs" dxfId="21759" priority="12363" stopIfTrue="1" operator="equal">
      <formula>"Towel"</formula>
    </cfRule>
    <cfRule type="cellIs" dxfId="21758" priority="12364" stopIfTrue="1" operator="equal">
      <formula>"Napkin Hs"</formula>
    </cfRule>
  </conditionalFormatting>
  <conditionalFormatting sqref="C53">
    <cfRule type="cellIs" dxfId="21757" priority="12355" stopIfTrue="1" operator="equal">
      <formula>"Towel"</formula>
    </cfRule>
    <cfRule type="cellIs" dxfId="21756" priority="12356" stopIfTrue="1" operator="equal">
      <formula>"Napkin Hs"</formula>
    </cfRule>
  </conditionalFormatting>
  <conditionalFormatting sqref="C53">
    <cfRule type="cellIs" dxfId="21755" priority="12357" stopIfTrue="1" operator="equal">
      <formula>"Towel"</formula>
    </cfRule>
    <cfRule type="cellIs" dxfId="21754" priority="12358" stopIfTrue="1" operator="equal">
      <formula>"Napkin Hs"</formula>
    </cfRule>
  </conditionalFormatting>
  <conditionalFormatting sqref="C53">
    <cfRule type="cellIs" dxfId="21753" priority="12359" stopIfTrue="1" operator="equal">
      <formula>"Towel"</formula>
    </cfRule>
    <cfRule type="cellIs" dxfId="21752" priority="12360" stopIfTrue="1" operator="equal">
      <formula>"Napkin Hs"</formula>
    </cfRule>
  </conditionalFormatting>
  <conditionalFormatting sqref="C53">
    <cfRule type="cellIs" dxfId="21751" priority="12353" stopIfTrue="1" operator="equal">
      <formula>"Towel"</formula>
    </cfRule>
    <cfRule type="cellIs" dxfId="21750" priority="12354" stopIfTrue="1" operator="equal">
      <formula>"Napkin Hs"</formula>
    </cfRule>
  </conditionalFormatting>
  <conditionalFormatting sqref="C53">
    <cfRule type="cellIs" dxfId="21749" priority="12349" stopIfTrue="1" operator="equal">
      <formula>"Towel"</formula>
    </cfRule>
    <cfRule type="cellIs" dxfId="21748" priority="12350" stopIfTrue="1" operator="equal">
      <formula>"Napkin Hs"</formula>
    </cfRule>
  </conditionalFormatting>
  <conditionalFormatting sqref="C53">
    <cfRule type="cellIs" dxfId="21747" priority="12351" stopIfTrue="1" operator="equal">
      <formula>"Towel"</formula>
    </cfRule>
    <cfRule type="cellIs" dxfId="21746" priority="12352" stopIfTrue="1" operator="equal">
      <formula>"Napkin Hs"</formula>
    </cfRule>
  </conditionalFormatting>
  <conditionalFormatting sqref="C53">
    <cfRule type="cellIs" dxfId="21745" priority="12347" stopIfTrue="1" operator="equal">
      <formula>"Towel"</formula>
    </cfRule>
    <cfRule type="cellIs" dxfId="21744" priority="12348" stopIfTrue="1" operator="equal">
      <formula>"Napkin Hs"</formula>
    </cfRule>
  </conditionalFormatting>
  <conditionalFormatting sqref="C53">
    <cfRule type="cellIs" dxfId="21743" priority="12345" stopIfTrue="1" operator="equal">
      <formula>"Towel"</formula>
    </cfRule>
    <cfRule type="cellIs" dxfId="21742" priority="12346" stopIfTrue="1" operator="equal">
      <formula>"Napkin Hs"</formula>
    </cfRule>
  </conditionalFormatting>
  <conditionalFormatting sqref="C53">
    <cfRule type="cellIs" dxfId="21741" priority="12343" stopIfTrue="1" operator="equal">
      <formula>"Towel"</formula>
    </cfRule>
    <cfRule type="cellIs" dxfId="21740" priority="12344" stopIfTrue="1" operator="equal">
      <formula>"Napkin Hs"</formula>
    </cfRule>
  </conditionalFormatting>
  <conditionalFormatting sqref="C53">
    <cfRule type="cellIs" dxfId="21739" priority="12327" stopIfTrue="1" operator="equal">
      <formula>"Towel"</formula>
    </cfRule>
    <cfRule type="cellIs" dxfId="21738" priority="12328" stopIfTrue="1" operator="equal">
      <formula>"Napkin Hs"</formula>
    </cfRule>
  </conditionalFormatting>
  <conditionalFormatting sqref="C53">
    <cfRule type="cellIs" dxfId="21737" priority="12329" stopIfTrue="1" operator="equal">
      <formula>"Towel"</formula>
    </cfRule>
    <cfRule type="cellIs" dxfId="21736" priority="12330" stopIfTrue="1" operator="equal">
      <formula>"Napkin Hs"</formula>
    </cfRule>
  </conditionalFormatting>
  <conditionalFormatting sqref="C53">
    <cfRule type="cellIs" dxfId="21735" priority="12325" stopIfTrue="1" operator="equal">
      <formula>"Towel"</formula>
    </cfRule>
    <cfRule type="cellIs" dxfId="21734" priority="12326" stopIfTrue="1" operator="equal">
      <formula>"Napkin Hs"</formula>
    </cfRule>
  </conditionalFormatting>
  <conditionalFormatting sqref="C53">
    <cfRule type="cellIs" dxfId="21733" priority="12323" stopIfTrue="1" operator="equal">
      <formula>"Towel"</formula>
    </cfRule>
    <cfRule type="cellIs" dxfId="21732" priority="12324" stopIfTrue="1" operator="equal">
      <formula>"Napkin Hs"</formula>
    </cfRule>
  </conditionalFormatting>
  <conditionalFormatting sqref="C53">
    <cfRule type="cellIs" dxfId="21731" priority="12319" stopIfTrue="1" operator="equal">
      <formula>"Towel"</formula>
    </cfRule>
    <cfRule type="cellIs" dxfId="21730" priority="12320" stopIfTrue="1" operator="equal">
      <formula>"Napkin Hs"</formula>
    </cfRule>
  </conditionalFormatting>
  <conditionalFormatting sqref="C53">
    <cfRule type="cellIs" dxfId="21729" priority="12321" stopIfTrue="1" operator="equal">
      <formula>"Towel"</formula>
    </cfRule>
    <cfRule type="cellIs" dxfId="21728" priority="12322" stopIfTrue="1" operator="equal">
      <formula>"Napkin Hs"</formula>
    </cfRule>
  </conditionalFormatting>
  <conditionalFormatting sqref="C53">
    <cfRule type="cellIs" dxfId="21727" priority="12315" stopIfTrue="1" operator="equal">
      <formula>"Towel"</formula>
    </cfRule>
    <cfRule type="cellIs" dxfId="21726" priority="12316" stopIfTrue="1" operator="equal">
      <formula>"Napkin Hs"</formula>
    </cfRule>
  </conditionalFormatting>
  <conditionalFormatting sqref="C53">
    <cfRule type="cellIs" dxfId="21725" priority="12317" stopIfTrue="1" operator="equal">
      <formula>"Towel"</formula>
    </cfRule>
    <cfRule type="cellIs" dxfId="21724" priority="12318" stopIfTrue="1" operator="equal">
      <formula>"Napkin Hs"</formula>
    </cfRule>
  </conditionalFormatting>
  <conditionalFormatting sqref="C53">
    <cfRule type="cellIs" dxfId="21723" priority="12313" stopIfTrue="1" operator="equal">
      <formula>"Towel"</formula>
    </cfRule>
    <cfRule type="cellIs" dxfId="21722" priority="12314" stopIfTrue="1" operator="equal">
      <formula>"Napkin Hs"</formula>
    </cfRule>
  </conditionalFormatting>
  <conditionalFormatting sqref="C53">
    <cfRule type="cellIs" dxfId="21721" priority="12311" stopIfTrue="1" operator="equal">
      <formula>"Towel"</formula>
    </cfRule>
    <cfRule type="cellIs" dxfId="21720" priority="12312" stopIfTrue="1" operator="equal">
      <formula>"Napkin Hs"</formula>
    </cfRule>
  </conditionalFormatting>
  <conditionalFormatting sqref="C53">
    <cfRule type="cellIs" dxfId="21719" priority="12307" stopIfTrue="1" operator="equal">
      <formula>"Towel"</formula>
    </cfRule>
    <cfRule type="cellIs" dxfId="21718" priority="12308" stopIfTrue="1" operator="equal">
      <formula>"Napkin Hs"</formula>
    </cfRule>
  </conditionalFormatting>
  <conditionalFormatting sqref="C53">
    <cfRule type="cellIs" dxfId="21717" priority="12309" stopIfTrue="1" operator="equal">
      <formula>"Towel"</formula>
    </cfRule>
    <cfRule type="cellIs" dxfId="21716" priority="12310" stopIfTrue="1" operator="equal">
      <formula>"Napkin Hs"</formula>
    </cfRule>
  </conditionalFormatting>
  <conditionalFormatting sqref="B53">
    <cfRule type="cellIs" dxfId="21715" priority="12305" stopIfTrue="1" operator="equal">
      <formula>"Towel"</formula>
    </cfRule>
    <cfRule type="cellIs" dxfId="21714" priority="12306" stopIfTrue="1" operator="equal">
      <formula>"Napkin Hs"</formula>
    </cfRule>
  </conditionalFormatting>
  <conditionalFormatting sqref="B53">
    <cfRule type="cellIs" dxfId="21713" priority="12289" stopIfTrue="1" operator="equal">
      <formula>"Towel"</formula>
    </cfRule>
    <cfRule type="cellIs" dxfId="21712" priority="12290" stopIfTrue="1" operator="equal">
      <formula>"Napkin Hs"</formula>
    </cfRule>
  </conditionalFormatting>
  <conditionalFormatting sqref="B53">
    <cfRule type="cellIs" dxfId="21711" priority="12287" stopIfTrue="1" operator="equal">
      <formula>"Towel"</formula>
    </cfRule>
    <cfRule type="cellIs" dxfId="21710" priority="12288" stopIfTrue="1" operator="equal">
      <formula>"Napkin Hs"</formula>
    </cfRule>
  </conditionalFormatting>
  <conditionalFormatting sqref="B53">
    <cfRule type="cellIs" dxfId="21709" priority="12303" stopIfTrue="1" operator="equal">
      <formula>"Towel"</formula>
    </cfRule>
    <cfRule type="cellIs" dxfId="21708" priority="12304" stopIfTrue="1" operator="equal">
      <formula>"Napkin Hs"</formula>
    </cfRule>
  </conditionalFormatting>
  <conditionalFormatting sqref="B53">
    <cfRule type="cellIs" dxfId="21707" priority="12299" stopIfTrue="1" operator="equal">
      <formula>"Towel"</formula>
    </cfRule>
    <cfRule type="cellIs" dxfId="21706" priority="12300" stopIfTrue="1" operator="equal">
      <formula>"Napkin Hs"</formula>
    </cfRule>
  </conditionalFormatting>
  <conditionalFormatting sqref="B53">
    <cfRule type="cellIs" dxfId="21705" priority="12301" stopIfTrue="1" operator="equal">
      <formula>"Towel"</formula>
    </cfRule>
    <cfRule type="cellIs" dxfId="21704" priority="12302" stopIfTrue="1" operator="equal">
      <formula>"Napkin Hs"</formula>
    </cfRule>
  </conditionalFormatting>
  <conditionalFormatting sqref="B53">
    <cfRule type="cellIs" dxfId="21703" priority="12295" stopIfTrue="1" operator="equal">
      <formula>"Towel"</formula>
    </cfRule>
    <cfRule type="cellIs" dxfId="21702" priority="12296" stopIfTrue="1" operator="equal">
      <formula>"Napkin Hs"</formula>
    </cfRule>
  </conditionalFormatting>
  <conditionalFormatting sqref="B53">
    <cfRule type="cellIs" dxfId="21701" priority="12297" stopIfTrue="1" operator="equal">
      <formula>"Towel"</formula>
    </cfRule>
    <cfRule type="cellIs" dxfId="21700" priority="12298" stopIfTrue="1" operator="equal">
      <formula>"Napkin Hs"</formula>
    </cfRule>
  </conditionalFormatting>
  <conditionalFormatting sqref="B53">
    <cfRule type="cellIs" dxfId="21699" priority="12293" stopIfTrue="1" operator="equal">
      <formula>"Towel"</formula>
    </cfRule>
    <cfRule type="cellIs" dxfId="21698" priority="12294" stopIfTrue="1" operator="equal">
      <formula>"Napkin Hs"</formula>
    </cfRule>
  </conditionalFormatting>
  <conditionalFormatting sqref="B53">
    <cfRule type="cellIs" dxfId="21697" priority="12291" stopIfTrue="1" operator="equal">
      <formula>"Towel"</formula>
    </cfRule>
    <cfRule type="cellIs" dxfId="21696" priority="12292" stopIfTrue="1" operator="equal">
      <formula>"Napkin Hs"</formula>
    </cfRule>
  </conditionalFormatting>
  <conditionalFormatting sqref="B53">
    <cfRule type="cellIs" dxfId="21695" priority="12285" stopIfTrue="1" operator="equal">
      <formula>"Towel"</formula>
    </cfRule>
    <cfRule type="cellIs" dxfId="21694" priority="12286" stopIfTrue="1" operator="equal">
      <formula>"Napkin Hs"</formula>
    </cfRule>
  </conditionalFormatting>
  <conditionalFormatting sqref="B53">
    <cfRule type="cellIs" dxfId="21693" priority="12283" stopIfTrue="1" operator="equal">
      <formula>"Towel"</formula>
    </cfRule>
    <cfRule type="cellIs" dxfId="21692" priority="12284" stopIfTrue="1" operator="equal">
      <formula>"Napkin Hs"</formula>
    </cfRule>
  </conditionalFormatting>
  <conditionalFormatting sqref="B53">
    <cfRule type="cellIs" dxfId="21691" priority="12281" stopIfTrue="1" operator="equal">
      <formula>"Towel"</formula>
    </cfRule>
    <cfRule type="cellIs" dxfId="21690" priority="12282" stopIfTrue="1" operator="equal">
      <formula>"Napkin Hs"</formula>
    </cfRule>
  </conditionalFormatting>
  <conditionalFormatting sqref="B53">
    <cfRule type="cellIs" dxfId="21689" priority="12279" stopIfTrue="1" operator="equal">
      <formula>"Towel"</formula>
    </cfRule>
    <cfRule type="cellIs" dxfId="21688" priority="12280" stopIfTrue="1" operator="equal">
      <formula>"Napkin Hs"</formula>
    </cfRule>
  </conditionalFormatting>
  <conditionalFormatting sqref="B54">
    <cfRule type="cellIs" dxfId="21687" priority="12277" stopIfTrue="1" operator="equal">
      <formula>"Towel"</formula>
    </cfRule>
    <cfRule type="cellIs" dxfId="21686" priority="12278" stopIfTrue="1" operator="equal">
      <formula>"Napkin Hs"</formula>
    </cfRule>
  </conditionalFormatting>
  <conditionalFormatting sqref="B54">
    <cfRule type="cellIs" dxfId="21685" priority="12275" stopIfTrue="1" operator="equal">
      <formula>"Towel"</formula>
    </cfRule>
    <cfRule type="cellIs" dxfId="21684" priority="12276" stopIfTrue="1" operator="equal">
      <formula>"Napkin Hs"</formula>
    </cfRule>
  </conditionalFormatting>
  <conditionalFormatting sqref="B54">
    <cfRule type="cellIs" dxfId="21683" priority="12273" stopIfTrue="1" operator="equal">
      <formula>"Towel"</formula>
    </cfRule>
    <cfRule type="cellIs" dxfId="21682" priority="12274" stopIfTrue="1" operator="equal">
      <formula>"Napkin Hs"</formula>
    </cfRule>
  </conditionalFormatting>
  <conditionalFormatting sqref="B54">
    <cfRule type="cellIs" dxfId="21681" priority="12271" stopIfTrue="1" operator="equal">
      <formula>"Towel"</formula>
    </cfRule>
    <cfRule type="cellIs" dxfId="21680" priority="12272" stopIfTrue="1" operator="equal">
      <formula>"Napkin Hs"</formula>
    </cfRule>
  </conditionalFormatting>
  <conditionalFormatting sqref="B54">
    <cfRule type="cellIs" dxfId="21679" priority="12269" stopIfTrue="1" operator="equal">
      <formula>"Towel"</formula>
    </cfRule>
    <cfRule type="cellIs" dxfId="21678" priority="12270" stopIfTrue="1" operator="equal">
      <formula>"Napkin Hs"</formula>
    </cfRule>
  </conditionalFormatting>
  <conditionalFormatting sqref="B54">
    <cfRule type="cellIs" dxfId="21677" priority="12253" stopIfTrue="1" operator="equal">
      <formula>"Towel"</formula>
    </cfRule>
    <cfRule type="cellIs" dxfId="21676" priority="12254" stopIfTrue="1" operator="equal">
      <formula>"Napkin Hs"</formula>
    </cfRule>
  </conditionalFormatting>
  <conditionalFormatting sqref="B54">
    <cfRule type="cellIs" dxfId="21675" priority="12251" stopIfTrue="1" operator="equal">
      <formula>"Towel"</formula>
    </cfRule>
    <cfRule type="cellIs" dxfId="21674" priority="12252" stopIfTrue="1" operator="equal">
      <formula>"Napkin Hs"</formula>
    </cfRule>
  </conditionalFormatting>
  <conditionalFormatting sqref="B54">
    <cfRule type="cellIs" dxfId="21673" priority="12267" stopIfTrue="1" operator="equal">
      <formula>"Towel"</formula>
    </cfRule>
    <cfRule type="cellIs" dxfId="21672" priority="12268" stopIfTrue="1" operator="equal">
      <formula>"Napkin Hs"</formula>
    </cfRule>
  </conditionalFormatting>
  <conditionalFormatting sqref="B54">
    <cfRule type="cellIs" dxfId="21671" priority="12263" stopIfTrue="1" operator="equal">
      <formula>"Towel"</formula>
    </cfRule>
    <cfRule type="cellIs" dxfId="21670" priority="12264" stopIfTrue="1" operator="equal">
      <formula>"Napkin Hs"</formula>
    </cfRule>
  </conditionalFormatting>
  <conditionalFormatting sqref="B54">
    <cfRule type="cellIs" dxfId="21669" priority="12265" stopIfTrue="1" operator="equal">
      <formula>"Towel"</formula>
    </cfRule>
    <cfRule type="cellIs" dxfId="21668" priority="12266" stopIfTrue="1" operator="equal">
      <formula>"Napkin Hs"</formula>
    </cfRule>
  </conditionalFormatting>
  <conditionalFormatting sqref="B54">
    <cfRule type="cellIs" dxfId="21667" priority="12259" stopIfTrue="1" operator="equal">
      <formula>"Towel"</formula>
    </cfRule>
    <cfRule type="cellIs" dxfId="21666" priority="12260" stopIfTrue="1" operator="equal">
      <formula>"Napkin Hs"</formula>
    </cfRule>
  </conditionalFormatting>
  <conditionalFormatting sqref="B54">
    <cfRule type="cellIs" dxfId="21665" priority="12261" stopIfTrue="1" operator="equal">
      <formula>"Towel"</formula>
    </cfRule>
    <cfRule type="cellIs" dxfId="21664" priority="12262" stopIfTrue="1" operator="equal">
      <formula>"Napkin Hs"</formula>
    </cfRule>
  </conditionalFormatting>
  <conditionalFormatting sqref="B54">
    <cfRule type="cellIs" dxfId="21663" priority="12257" stopIfTrue="1" operator="equal">
      <formula>"Towel"</formula>
    </cfRule>
    <cfRule type="cellIs" dxfId="21662" priority="12258" stopIfTrue="1" operator="equal">
      <formula>"Napkin Hs"</formula>
    </cfRule>
  </conditionalFormatting>
  <conditionalFormatting sqref="B54">
    <cfRule type="cellIs" dxfId="21661" priority="12255" stopIfTrue="1" operator="equal">
      <formula>"Towel"</formula>
    </cfRule>
    <cfRule type="cellIs" dxfId="21660" priority="12256" stopIfTrue="1" operator="equal">
      <formula>"Napkin Hs"</formula>
    </cfRule>
  </conditionalFormatting>
  <conditionalFormatting sqref="B54">
    <cfRule type="cellIs" dxfId="21659" priority="12249" stopIfTrue="1" operator="equal">
      <formula>"Towel"</formula>
    </cfRule>
    <cfRule type="cellIs" dxfId="21658" priority="12250" stopIfTrue="1" operator="equal">
      <formula>"Napkin Hs"</formula>
    </cfRule>
  </conditionalFormatting>
  <conditionalFormatting sqref="B54">
    <cfRule type="cellIs" dxfId="21657" priority="12247" stopIfTrue="1" operator="equal">
      <formula>"Towel"</formula>
    </cfRule>
    <cfRule type="cellIs" dxfId="21656" priority="12248" stopIfTrue="1" operator="equal">
      <formula>"Napkin Hs"</formula>
    </cfRule>
  </conditionalFormatting>
  <conditionalFormatting sqref="B54">
    <cfRule type="cellIs" dxfId="21655" priority="12245" stopIfTrue="1" operator="equal">
      <formula>"Towel"</formula>
    </cfRule>
    <cfRule type="cellIs" dxfId="21654" priority="12246" stopIfTrue="1" operator="equal">
      <formula>"Napkin Hs"</formula>
    </cfRule>
  </conditionalFormatting>
  <conditionalFormatting sqref="B54">
    <cfRule type="cellIs" dxfId="21653" priority="12243" stopIfTrue="1" operator="equal">
      <formula>"Towel"</formula>
    </cfRule>
    <cfRule type="cellIs" dxfId="21652" priority="12244" stopIfTrue="1" operator="equal">
      <formula>"Napkin Hs"</formula>
    </cfRule>
  </conditionalFormatting>
  <conditionalFormatting sqref="C60">
    <cfRule type="cellIs" dxfId="21651" priority="12229" stopIfTrue="1" operator="equal">
      <formula>"Towel"</formula>
    </cfRule>
    <cfRule type="cellIs" dxfId="21650" priority="12230" stopIfTrue="1" operator="equal">
      <formula>"Napkin Hs"</formula>
    </cfRule>
  </conditionalFormatting>
  <conditionalFormatting sqref="C60">
    <cfRule type="cellIs" dxfId="21649" priority="12227" stopIfTrue="1" operator="equal">
      <formula>"Towel"</formula>
    </cfRule>
    <cfRule type="cellIs" dxfId="21648" priority="12228" stopIfTrue="1" operator="equal">
      <formula>"Napkin Hs"</formula>
    </cfRule>
  </conditionalFormatting>
  <conditionalFormatting sqref="C60">
    <cfRule type="cellIs" dxfId="21647" priority="12235" stopIfTrue="1" operator="equal">
      <formula>"Towel"</formula>
    </cfRule>
    <cfRule type="cellIs" dxfId="21646" priority="12236" stopIfTrue="1" operator="equal">
      <formula>"Napkin Hs"</formula>
    </cfRule>
  </conditionalFormatting>
  <conditionalFormatting sqref="B60:C60">
    <cfRule type="cellIs" dxfId="21645" priority="12237" stopIfTrue="1" operator="equal">
      <formula>"Towel"</formula>
    </cfRule>
    <cfRule type="cellIs" dxfId="21644" priority="12238" stopIfTrue="1" operator="equal">
      <formula>"Napkin Hs"</formula>
    </cfRule>
  </conditionalFormatting>
  <conditionalFormatting sqref="C60">
    <cfRule type="cellIs" dxfId="21643" priority="12233" stopIfTrue="1" operator="equal">
      <formula>"Towel"</formula>
    </cfRule>
    <cfRule type="cellIs" dxfId="21642" priority="12234" stopIfTrue="1" operator="equal">
      <formula>"Napkin Hs"</formula>
    </cfRule>
  </conditionalFormatting>
  <conditionalFormatting sqref="B60:C60">
    <cfRule type="cellIs" dxfId="21641" priority="12231" stopIfTrue="1" operator="equal">
      <formula>"Towel"</formula>
    </cfRule>
    <cfRule type="cellIs" dxfId="21640" priority="12232" stopIfTrue="1" operator="equal">
      <formula>"Napkin Hs"</formula>
    </cfRule>
  </conditionalFormatting>
  <conditionalFormatting sqref="C60">
    <cfRule type="cellIs" dxfId="21639" priority="12239" stopIfTrue="1" operator="equal">
      <formula>"Towel"</formula>
    </cfRule>
    <cfRule type="cellIs" dxfId="21638" priority="12240" stopIfTrue="1" operator="equal">
      <formula>"Napkin Hs"</formula>
    </cfRule>
  </conditionalFormatting>
  <conditionalFormatting sqref="C60">
    <cfRule type="cellIs" dxfId="21637" priority="12241" stopIfTrue="1" operator="equal">
      <formula>"Towel"</formula>
    </cfRule>
    <cfRule type="cellIs" dxfId="21636" priority="12242" stopIfTrue="1" operator="equal">
      <formula>"Napkin Hs"</formula>
    </cfRule>
  </conditionalFormatting>
  <conditionalFormatting sqref="C60">
    <cfRule type="cellIs" dxfId="21635" priority="12223" stopIfTrue="1" operator="equal">
      <formula>"Towel"</formula>
    </cfRule>
    <cfRule type="cellIs" dxfId="21634" priority="12224" stopIfTrue="1" operator="equal">
      <formula>"Napkin Hs"</formula>
    </cfRule>
  </conditionalFormatting>
  <conditionalFormatting sqref="B60:C60">
    <cfRule type="cellIs" dxfId="21633" priority="12225" stopIfTrue="1" operator="equal">
      <formula>"Towel"</formula>
    </cfRule>
    <cfRule type="cellIs" dxfId="21632" priority="12226" stopIfTrue="1" operator="equal">
      <formula>"Napkin Hs"</formula>
    </cfRule>
  </conditionalFormatting>
  <conditionalFormatting sqref="C60">
    <cfRule type="cellIs" dxfId="21631" priority="12221" stopIfTrue="1" operator="equal">
      <formula>"Towel"</formula>
    </cfRule>
    <cfRule type="cellIs" dxfId="21630" priority="12222" stopIfTrue="1" operator="equal">
      <formula>"Napkin Hs"</formula>
    </cfRule>
  </conditionalFormatting>
  <conditionalFormatting sqref="B60:C60">
    <cfRule type="cellIs" dxfId="21629" priority="12219" stopIfTrue="1" operator="equal">
      <formula>"Towel"</formula>
    </cfRule>
    <cfRule type="cellIs" dxfId="21628" priority="12220" stopIfTrue="1" operator="equal">
      <formula>"Napkin Hs"</formula>
    </cfRule>
  </conditionalFormatting>
  <conditionalFormatting sqref="C60">
    <cfRule type="cellIs" dxfId="21627" priority="12211" stopIfTrue="1" operator="equal">
      <formula>"Towel"</formula>
    </cfRule>
    <cfRule type="cellIs" dxfId="21626" priority="12212" stopIfTrue="1" operator="equal">
      <formula>"Napkin Hs"</formula>
    </cfRule>
  </conditionalFormatting>
  <conditionalFormatting sqref="C60">
    <cfRule type="cellIs" dxfId="21625" priority="12213" stopIfTrue="1" operator="equal">
      <formula>"Towel"</formula>
    </cfRule>
    <cfRule type="cellIs" dxfId="21624" priority="12214" stopIfTrue="1" operator="equal">
      <formula>"Napkin Hs"</formula>
    </cfRule>
  </conditionalFormatting>
  <conditionalFormatting sqref="C60">
    <cfRule type="cellIs" dxfId="21623" priority="12209" stopIfTrue="1" operator="equal">
      <formula>"Towel"</formula>
    </cfRule>
    <cfRule type="cellIs" dxfId="21622" priority="12210" stopIfTrue="1" operator="equal">
      <formula>"Napkin Hs"</formula>
    </cfRule>
  </conditionalFormatting>
  <conditionalFormatting sqref="C60">
    <cfRule type="cellIs" dxfId="21621" priority="12207" stopIfTrue="1" operator="equal">
      <formula>"Towel"</formula>
    </cfRule>
    <cfRule type="cellIs" dxfId="21620" priority="12208" stopIfTrue="1" operator="equal">
      <formula>"Napkin Hs"</formula>
    </cfRule>
  </conditionalFormatting>
  <conditionalFormatting sqref="C60">
    <cfRule type="cellIs" dxfId="21619" priority="12215" stopIfTrue="1" operator="equal">
      <formula>"Towel"</formula>
    </cfRule>
    <cfRule type="cellIs" dxfId="21618" priority="12216" stopIfTrue="1" operator="equal">
      <formula>"Napkin Hs"</formula>
    </cfRule>
  </conditionalFormatting>
  <conditionalFormatting sqref="C60">
    <cfRule type="cellIs" dxfId="21617" priority="12217" stopIfTrue="1" operator="equal">
      <formula>"Towel"</formula>
    </cfRule>
    <cfRule type="cellIs" dxfId="21616" priority="12218" stopIfTrue="1" operator="equal">
      <formula>"Napkin Hs"</formula>
    </cfRule>
  </conditionalFormatting>
  <conditionalFormatting sqref="C60">
    <cfRule type="cellIs" dxfId="21615" priority="12203" stopIfTrue="1" operator="equal">
      <formula>"Towel"</formula>
    </cfRule>
    <cfRule type="cellIs" dxfId="21614" priority="12204" stopIfTrue="1" operator="equal">
      <formula>"Napkin Hs"</formula>
    </cfRule>
  </conditionalFormatting>
  <conditionalFormatting sqref="C60">
    <cfRule type="cellIs" dxfId="21613" priority="12205" stopIfTrue="1" operator="equal">
      <formula>"Towel"</formula>
    </cfRule>
    <cfRule type="cellIs" dxfId="21612" priority="12206" stopIfTrue="1" operator="equal">
      <formula>"Napkin Hs"</formula>
    </cfRule>
  </conditionalFormatting>
  <conditionalFormatting sqref="C60">
    <cfRule type="cellIs" dxfId="21611" priority="12201" stopIfTrue="1" operator="equal">
      <formula>"Towel"</formula>
    </cfRule>
    <cfRule type="cellIs" dxfId="21610" priority="12202" stopIfTrue="1" operator="equal">
      <formula>"Napkin Hs"</formula>
    </cfRule>
  </conditionalFormatting>
  <conditionalFormatting sqref="C60">
    <cfRule type="cellIs" dxfId="21609" priority="12195" stopIfTrue="1" operator="equal">
      <formula>"Towel"</formula>
    </cfRule>
    <cfRule type="cellIs" dxfId="21608" priority="12196" stopIfTrue="1" operator="equal">
      <formula>"Napkin Hs"</formula>
    </cfRule>
  </conditionalFormatting>
  <conditionalFormatting sqref="C60">
    <cfRule type="cellIs" dxfId="21607" priority="12197" stopIfTrue="1" operator="equal">
      <formula>"Towel"</formula>
    </cfRule>
    <cfRule type="cellIs" dxfId="21606" priority="12198" stopIfTrue="1" operator="equal">
      <formula>"Napkin Hs"</formula>
    </cfRule>
  </conditionalFormatting>
  <conditionalFormatting sqref="C60">
    <cfRule type="cellIs" dxfId="21605" priority="12199" stopIfTrue="1" operator="equal">
      <formula>"Towel"</formula>
    </cfRule>
    <cfRule type="cellIs" dxfId="21604" priority="12200" stopIfTrue="1" operator="equal">
      <formula>"Napkin Hs"</formula>
    </cfRule>
  </conditionalFormatting>
  <conditionalFormatting sqref="C60">
    <cfRule type="cellIs" dxfId="21603" priority="12149" stopIfTrue="1" operator="equal">
      <formula>"Towel"</formula>
    </cfRule>
    <cfRule type="cellIs" dxfId="21602" priority="12150" stopIfTrue="1" operator="equal">
      <formula>"Napkin Hs"</formula>
    </cfRule>
  </conditionalFormatting>
  <conditionalFormatting sqref="C60">
    <cfRule type="cellIs" dxfId="21601" priority="12151" stopIfTrue="1" operator="equal">
      <formula>"Towel"</formula>
    </cfRule>
    <cfRule type="cellIs" dxfId="21600" priority="12152" stopIfTrue="1" operator="equal">
      <formula>"Napkin Hs"</formula>
    </cfRule>
  </conditionalFormatting>
  <conditionalFormatting sqref="C60">
    <cfRule type="cellIs" dxfId="21599" priority="12147" stopIfTrue="1" operator="equal">
      <formula>"Towel"</formula>
    </cfRule>
    <cfRule type="cellIs" dxfId="21598" priority="12148" stopIfTrue="1" operator="equal">
      <formula>"Napkin Hs"</formula>
    </cfRule>
  </conditionalFormatting>
  <conditionalFormatting sqref="C60">
    <cfRule type="cellIs" dxfId="21597" priority="12145" stopIfTrue="1" operator="equal">
      <formula>"Towel"</formula>
    </cfRule>
    <cfRule type="cellIs" dxfId="21596" priority="12146" stopIfTrue="1" operator="equal">
      <formula>"Napkin Hs"</formula>
    </cfRule>
  </conditionalFormatting>
  <conditionalFormatting sqref="C60">
    <cfRule type="cellIs" dxfId="21595" priority="12141" stopIfTrue="1" operator="equal">
      <formula>"Towel"</formula>
    </cfRule>
    <cfRule type="cellIs" dxfId="21594" priority="12142" stopIfTrue="1" operator="equal">
      <formula>"Napkin Hs"</formula>
    </cfRule>
  </conditionalFormatting>
  <conditionalFormatting sqref="C60">
    <cfRule type="cellIs" dxfId="21593" priority="12143" stopIfTrue="1" operator="equal">
      <formula>"Towel"</formula>
    </cfRule>
    <cfRule type="cellIs" dxfId="21592" priority="12144" stopIfTrue="1" operator="equal">
      <formula>"Napkin Hs"</formula>
    </cfRule>
  </conditionalFormatting>
  <conditionalFormatting sqref="C60">
    <cfRule type="cellIs" dxfId="21591" priority="12193" stopIfTrue="1" operator="equal">
      <formula>"Towel"</formula>
    </cfRule>
    <cfRule type="cellIs" dxfId="21590" priority="12194" stopIfTrue="1" operator="equal">
      <formula>"Napkin Hs"</formula>
    </cfRule>
  </conditionalFormatting>
  <conditionalFormatting sqref="C60">
    <cfRule type="cellIs" dxfId="21589" priority="12189" stopIfTrue="1" operator="equal">
      <formula>"Towel"</formula>
    </cfRule>
    <cfRule type="cellIs" dxfId="21588" priority="12190" stopIfTrue="1" operator="equal">
      <formula>"Napkin Hs"</formula>
    </cfRule>
  </conditionalFormatting>
  <conditionalFormatting sqref="C60">
    <cfRule type="cellIs" dxfId="21587" priority="12192" stopIfTrue="1" operator="equal">
      <formula>"Napkin Hs"</formula>
    </cfRule>
  </conditionalFormatting>
  <conditionalFormatting sqref="C60">
    <cfRule type="cellIs" dxfId="21586" priority="12191" stopIfTrue="1" operator="equal">
      <formula>"Towel"</formula>
    </cfRule>
  </conditionalFormatting>
  <conditionalFormatting sqref="C60">
    <cfRule type="cellIs" dxfId="21585" priority="12183" stopIfTrue="1" operator="equal">
      <formula>"Towel"</formula>
    </cfRule>
    <cfRule type="cellIs" dxfId="21584" priority="12184" stopIfTrue="1" operator="equal">
      <formula>"Napkin Hs"</formula>
    </cfRule>
  </conditionalFormatting>
  <conditionalFormatting sqref="C60">
    <cfRule type="cellIs" dxfId="21583" priority="12187" stopIfTrue="1" operator="equal">
      <formula>"Towel"</formula>
    </cfRule>
    <cfRule type="cellIs" dxfId="21582" priority="12188" stopIfTrue="1" operator="equal">
      <formula>"Napkin Hs"</formula>
    </cfRule>
  </conditionalFormatting>
  <conditionalFormatting sqref="C60">
    <cfRule type="cellIs" dxfId="21581" priority="12185" stopIfTrue="1" operator="equal">
      <formula>"Towel"</formula>
    </cfRule>
    <cfRule type="cellIs" dxfId="21580" priority="12186" stopIfTrue="1" operator="equal">
      <formula>"Napkin Hs"</formula>
    </cfRule>
  </conditionalFormatting>
  <conditionalFormatting sqref="C60">
    <cfRule type="cellIs" dxfId="21579" priority="12177" stopIfTrue="1" operator="equal">
      <formula>"Towel"</formula>
    </cfRule>
    <cfRule type="cellIs" dxfId="21578" priority="12178" stopIfTrue="1" operator="equal">
      <formula>"Napkin Hs"</formula>
    </cfRule>
  </conditionalFormatting>
  <conditionalFormatting sqref="C60">
    <cfRule type="cellIs" dxfId="21577" priority="12179" stopIfTrue="1" operator="equal">
      <formula>"Towel"</formula>
    </cfRule>
    <cfRule type="cellIs" dxfId="21576" priority="12180" stopIfTrue="1" operator="equal">
      <formula>"Napkin Hs"</formula>
    </cfRule>
  </conditionalFormatting>
  <conditionalFormatting sqref="C60">
    <cfRule type="cellIs" dxfId="21575" priority="12181" stopIfTrue="1" operator="equal">
      <formula>"Towel"</formula>
    </cfRule>
    <cfRule type="cellIs" dxfId="21574" priority="12182" stopIfTrue="1" operator="equal">
      <formula>"Napkin Hs"</formula>
    </cfRule>
  </conditionalFormatting>
  <conditionalFormatting sqref="C60">
    <cfRule type="cellIs" dxfId="21573" priority="12171" stopIfTrue="1" operator="equal">
      <formula>"Towel"</formula>
    </cfRule>
    <cfRule type="cellIs" dxfId="21572" priority="12172" stopIfTrue="1" operator="equal">
      <formula>"Napkin Hs"</formula>
    </cfRule>
  </conditionalFormatting>
  <conditionalFormatting sqref="C60">
    <cfRule type="cellIs" dxfId="21571" priority="12175" stopIfTrue="1" operator="equal">
      <formula>"Towel"</formula>
    </cfRule>
    <cfRule type="cellIs" dxfId="21570" priority="12176" stopIfTrue="1" operator="equal">
      <formula>"Napkin Hs"</formula>
    </cfRule>
  </conditionalFormatting>
  <conditionalFormatting sqref="C60">
    <cfRule type="cellIs" dxfId="21569" priority="12173" stopIfTrue="1" operator="equal">
      <formula>"Towel"</formula>
    </cfRule>
    <cfRule type="cellIs" dxfId="21568" priority="12174" stopIfTrue="1" operator="equal">
      <formula>"Napkin Hs"</formula>
    </cfRule>
  </conditionalFormatting>
  <conditionalFormatting sqref="C60">
    <cfRule type="cellIs" dxfId="21567" priority="12165" stopIfTrue="1" operator="equal">
      <formula>"Towel"</formula>
    </cfRule>
    <cfRule type="cellIs" dxfId="21566" priority="12166" stopIfTrue="1" operator="equal">
      <formula>"Napkin Hs"</formula>
    </cfRule>
  </conditionalFormatting>
  <conditionalFormatting sqref="C60">
    <cfRule type="cellIs" dxfId="21565" priority="12167" stopIfTrue="1" operator="equal">
      <formula>"Towel"</formula>
    </cfRule>
    <cfRule type="cellIs" dxfId="21564" priority="12168" stopIfTrue="1" operator="equal">
      <formula>"Napkin Hs"</formula>
    </cfRule>
  </conditionalFormatting>
  <conditionalFormatting sqref="C60">
    <cfRule type="cellIs" dxfId="21563" priority="12169" stopIfTrue="1" operator="equal">
      <formula>"Towel"</formula>
    </cfRule>
    <cfRule type="cellIs" dxfId="21562" priority="12170" stopIfTrue="1" operator="equal">
      <formula>"Napkin Hs"</formula>
    </cfRule>
  </conditionalFormatting>
  <conditionalFormatting sqref="C60">
    <cfRule type="cellIs" dxfId="21561" priority="12163" stopIfTrue="1" operator="equal">
      <formula>"Towel"</formula>
    </cfRule>
    <cfRule type="cellIs" dxfId="21560" priority="12164" stopIfTrue="1" operator="equal">
      <formula>"Napkin Hs"</formula>
    </cfRule>
  </conditionalFormatting>
  <conditionalFormatting sqref="C60">
    <cfRule type="cellIs" dxfId="21559" priority="12159" stopIfTrue="1" operator="equal">
      <formula>"Towel"</formula>
    </cfRule>
    <cfRule type="cellIs" dxfId="21558" priority="12160" stopIfTrue="1" operator="equal">
      <formula>"Napkin Hs"</formula>
    </cfRule>
  </conditionalFormatting>
  <conditionalFormatting sqref="C60">
    <cfRule type="cellIs" dxfId="21557" priority="12161" stopIfTrue="1" operator="equal">
      <formula>"Towel"</formula>
    </cfRule>
    <cfRule type="cellIs" dxfId="21556" priority="12162" stopIfTrue="1" operator="equal">
      <formula>"Napkin Hs"</formula>
    </cfRule>
  </conditionalFormatting>
  <conditionalFormatting sqref="C60">
    <cfRule type="cellIs" dxfId="21555" priority="12157" stopIfTrue="1" operator="equal">
      <formula>"Towel"</formula>
    </cfRule>
    <cfRule type="cellIs" dxfId="21554" priority="12158" stopIfTrue="1" operator="equal">
      <formula>"Napkin Hs"</formula>
    </cfRule>
  </conditionalFormatting>
  <conditionalFormatting sqref="C60">
    <cfRule type="cellIs" dxfId="21553" priority="12155" stopIfTrue="1" operator="equal">
      <formula>"Towel"</formula>
    </cfRule>
    <cfRule type="cellIs" dxfId="21552" priority="12156" stopIfTrue="1" operator="equal">
      <formula>"Napkin Hs"</formula>
    </cfRule>
  </conditionalFormatting>
  <conditionalFormatting sqref="C60">
    <cfRule type="cellIs" dxfId="21551" priority="12153" stopIfTrue="1" operator="equal">
      <formula>"Towel"</formula>
    </cfRule>
    <cfRule type="cellIs" dxfId="21550" priority="12154" stopIfTrue="1" operator="equal">
      <formula>"Napkin Hs"</formula>
    </cfRule>
  </conditionalFormatting>
  <conditionalFormatting sqref="C60">
    <cfRule type="cellIs" dxfId="21549" priority="12137" stopIfTrue="1" operator="equal">
      <formula>"Towel"</formula>
    </cfRule>
    <cfRule type="cellIs" dxfId="21548" priority="12138" stopIfTrue="1" operator="equal">
      <formula>"Napkin Hs"</formula>
    </cfRule>
  </conditionalFormatting>
  <conditionalFormatting sqref="C60">
    <cfRule type="cellIs" dxfId="21547" priority="12139" stopIfTrue="1" operator="equal">
      <formula>"Towel"</formula>
    </cfRule>
    <cfRule type="cellIs" dxfId="21546" priority="12140" stopIfTrue="1" operator="equal">
      <formula>"Napkin Hs"</formula>
    </cfRule>
  </conditionalFormatting>
  <conditionalFormatting sqref="C60">
    <cfRule type="cellIs" dxfId="21545" priority="12135" stopIfTrue="1" operator="equal">
      <formula>"Towel"</formula>
    </cfRule>
    <cfRule type="cellIs" dxfId="21544" priority="12136" stopIfTrue="1" operator="equal">
      <formula>"Napkin Hs"</formula>
    </cfRule>
  </conditionalFormatting>
  <conditionalFormatting sqref="C60">
    <cfRule type="cellIs" dxfId="21543" priority="12133" stopIfTrue="1" operator="equal">
      <formula>"Towel"</formula>
    </cfRule>
    <cfRule type="cellIs" dxfId="21542" priority="12134" stopIfTrue="1" operator="equal">
      <formula>"Napkin Hs"</formula>
    </cfRule>
  </conditionalFormatting>
  <conditionalFormatting sqref="C60">
    <cfRule type="cellIs" dxfId="21541" priority="12129" stopIfTrue="1" operator="equal">
      <formula>"Towel"</formula>
    </cfRule>
    <cfRule type="cellIs" dxfId="21540" priority="12130" stopIfTrue="1" operator="equal">
      <formula>"Napkin Hs"</formula>
    </cfRule>
  </conditionalFormatting>
  <conditionalFormatting sqref="C60">
    <cfRule type="cellIs" dxfId="21539" priority="12131" stopIfTrue="1" operator="equal">
      <formula>"Towel"</formula>
    </cfRule>
    <cfRule type="cellIs" dxfId="21538" priority="12132" stopIfTrue="1" operator="equal">
      <formula>"Napkin Hs"</formula>
    </cfRule>
  </conditionalFormatting>
  <conditionalFormatting sqref="C60">
    <cfRule type="cellIs" dxfId="21537" priority="12125" stopIfTrue="1" operator="equal">
      <formula>"Towel"</formula>
    </cfRule>
    <cfRule type="cellIs" dxfId="21536" priority="12126" stopIfTrue="1" operator="equal">
      <formula>"Napkin Hs"</formula>
    </cfRule>
  </conditionalFormatting>
  <conditionalFormatting sqref="C60">
    <cfRule type="cellIs" dxfId="21535" priority="12127" stopIfTrue="1" operator="equal">
      <formula>"Towel"</formula>
    </cfRule>
    <cfRule type="cellIs" dxfId="21534" priority="12128" stopIfTrue="1" operator="equal">
      <formula>"Napkin Hs"</formula>
    </cfRule>
  </conditionalFormatting>
  <conditionalFormatting sqref="C60">
    <cfRule type="cellIs" dxfId="21533" priority="12123" stopIfTrue="1" operator="equal">
      <formula>"Towel"</formula>
    </cfRule>
    <cfRule type="cellIs" dxfId="21532" priority="12124" stopIfTrue="1" operator="equal">
      <formula>"Napkin Hs"</formula>
    </cfRule>
  </conditionalFormatting>
  <conditionalFormatting sqref="C60">
    <cfRule type="cellIs" dxfId="21531" priority="12121" stopIfTrue="1" operator="equal">
      <formula>"Towel"</formula>
    </cfRule>
    <cfRule type="cellIs" dxfId="21530" priority="12122" stopIfTrue="1" operator="equal">
      <formula>"Napkin Hs"</formula>
    </cfRule>
  </conditionalFormatting>
  <conditionalFormatting sqref="C60">
    <cfRule type="cellIs" dxfId="21529" priority="12117" stopIfTrue="1" operator="equal">
      <formula>"Towel"</formula>
    </cfRule>
    <cfRule type="cellIs" dxfId="21528" priority="12118" stopIfTrue="1" operator="equal">
      <formula>"Napkin Hs"</formula>
    </cfRule>
  </conditionalFormatting>
  <conditionalFormatting sqref="C60">
    <cfRule type="cellIs" dxfId="21527" priority="12119" stopIfTrue="1" operator="equal">
      <formula>"Towel"</formula>
    </cfRule>
    <cfRule type="cellIs" dxfId="21526" priority="12120" stopIfTrue="1" operator="equal">
      <formula>"Napkin Hs"</formula>
    </cfRule>
  </conditionalFormatting>
  <conditionalFormatting sqref="B60">
    <cfRule type="cellIs" dxfId="21525" priority="12115" stopIfTrue="1" operator="equal">
      <formula>"Towel"</formula>
    </cfRule>
    <cfRule type="cellIs" dxfId="21524" priority="12116" stopIfTrue="1" operator="equal">
      <formula>"Napkin Hs"</formula>
    </cfRule>
  </conditionalFormatting>
  <conditionalFormatting sqref="B60">
    <cfRule type="cellIs" dxfId="21523" priority="12099" stopIfTrue="1" operator="equal">
      <formula>"Towel"</formula>
    </cfRule>
    <cfRule type="cellIs" dxfId="21522" priority="12100" stopIfTrue="1" operator="equal">
      <formula>"Napkin Hs"</formula>
    </cfRule>
  </conditionalFormatting>
  <conditionalFormatting sqref="B60">
    <cfRule type="cellIs" dxfId="21521" priority="12097" stopIfTrue="1" operator="equal">
      <formula>"Towel"</formula>
    </cfRule>
    <cfRule type="cellIs" dxfId="21520" priority="12098" stopIfTrue="1" operator="equal">
      <formula>"Napkin Hs"</formula>
    </cfRule>
  </conditionalFormatting>
  <conditionalFormatting sqref="B60">
    <cfRule type="cellIs" dxfId="21519" priority="12113" stopIfTrue="1" operator="equal">
      <formula>"Towel"</formula>
    </cfRule>
    <cfRule type="cellIs" dxfId="21518" priority="12114" stopIfTrue="1" operator="equal">
      <formula>"Napkin Hs"</formula>
    </cfRule>
  </conditionalFormatting>
  <conditionalFormatting sqref="B60">
    <cfRule type="cellIs" dxfId="21517" priority="12109" stopIfTrue="1" operator="equal">
      <formula>"Towel"</formula>
    </cfRule>
    <cfRule type="cellIs" dxfId="21516" priority="12110" stopIfTrue="1" operator="equal">
      <formula>"Napkin Hs"</formula>
    </cfRule>
  </conditionalFormatting>
  <conditionalFormatting sqref="B60">
    <cfRule type="cellIs" dxfId="21515" priority="12111" stopIfTrue="1" operator="equal">
      <formula>"Towel"</formula>
    </cfRule>
    <cfRule type="cellIs" dxfId="21514" priority="12112" stopIfTrue="1" operator="equal">
      <formula>"Napkin Hs"</formula>
    </cfRule>
  </conditionalFormatting>
  <conditionalFormatting sqref="B60">
    <cfRule type="cellIs" dxfId="21513" priority="12105" stopIfTrue="1" operator="equal">
      <formula>"Towel"</formula>
    </cfRule>
    <cfRule type="cellIs" dxfId="21512" priority="12106" stopIfTrue="1" operator="equal">
      <formula>"Napkin Hs"</formula>
    </cfRule>
  </conditionalFormatting>
  <conditionalFormatting sqref="B60">
    <cfRule type="cellIs" dxfId="21511" priority="12107" stopIfTrue="1" operator="equal">
      <formula>"Towel"</formula>
    </cfRule>
    <cfRule type="cellIs" dxfId="21510" priority="12108" stopIfTrue="1" operator="equal">
      <formula>"Napkin Hs"</formula>
    </cfRule>
  </conditionalFormatting>
  <conditionalFormatting sqref="B60">
    <cfRule type="cellIs" dxfId="21509" priority="12103" stopIfTrue="1" operator="equal">
      <formula>"Towel"</formula>
    </cfRule>
    <cfRule type="cellIs" dxfId="21508" priority="12104" stopIfTrue="1" operator="equal">
      <formula>"Napkin Hs"</formula>
    </cfRule>
  </conditionalFormatting>
  <conditionalFormatting sqref="B60">
    <cfRule type="cellIs" dxfId="21507" priority="12101" stopIfTrue="1" operator="equal">
      <formula>"Towel"</formula>
    </cfRule>
    <cfRule type="cellIs" dxfId="21506" priority="12102" stopIfTrue="1" operator="equal">
      <formula>"Napkin Hs"</formula>
    </cfRule>
  </conditionalFormatting>
  <conditionalFormatting sqref="B60">
    <cfRule type="cellIs" dxfId="21505" priority="12095" stopIfTrue="1" operator="equal">
      <formula>"Towel"</formula>
    </cfRule>
    <cfRule type="cellIs" dxfId="21504" priority="12096" stopIfTrue="1" operator="equal">
      <formula>"Napkin Hs"</formula>
    </cfRule>
  </conditionalFormatting>
  <conditionalFormatting sqref="B60">
    <cfRule type="cellIs" dxfId="21503" priority="12093" stopIfTrue="1" operator="equal">
      <formula>"Towel"</formula>
    </cfRule>
    <cfRule type="cellIs" dxfId="21502" priority="12094" stopIfTrue="1" operator="equal">
      <formula>"Napkin Hs"</formula>
    </cfRule>
  </conditionalFormatting>
  <conditionalFormatting sqref="B60">
    <cfRule type="cellIs" dxfId="21501" priority="12091" stopIfTrue="1" operator="equal">
      <formula>"Towel"</formula>
    </cfRule>
    <cfRule type="cellIs" dxfId="21500" priority="12092" stopIfTrue="1" operator="equal">
      <formula>"Napkin Hs"</formula>
    </cfRule>
  </conditionalFormatting>
  <conditionalFormatting sqref="B60">
    <cfRule type="cellIs" dxfId="21499" priority="12089" stopIfTrue="1" operator="equal">
      <formula>"Towel"</formula>
    </cfRule>
    <cfRule type="cellIs" dxfId="21498" priority="12090" stopIfTrue="1" operator="equal">
      <formula>"Napkin Hs"</formula>
    </cfRule>
  </conditionalFormatting>
  <conditionalFormatting sqref="C59">
    <cfRule type="cellIs" dxfId="21497" priority="12081" stopIfTrue="1" operator="equal">
      <formula>"Towel"</formula>
    </cfRule>
    <cfRule type="cellIs" dxfId="21496" priority="12082" stopIfTrue="1" operator="equal">
      <formula>"Napkin Hs"</formula>
    </cfRule>
  </conditionalFormatting>
  <conditionalFormatting sqref="C59">
    <cfRule type="cellIs" dxfId="21495" priority="12083" stopIfTrue="1" operator="equal">
      <formula>"Towel"</formula>
    </cfRule>
    <cfRule type="cellIs" dxfId="21494" priority="12084" stopIfTrue="1" operator="equal">
      <formula>"Napkin Hs"</formula>
    </cfRule>
  </conditionalFormatting>
  <conditionalFormatting sqref="C59">
    <cfRule type="cellIs" dxfId="21493" priority="12079" stopIfTrue="1" operator="equal">
      <formula>"Towel"</formula>
    </cfRule>
    <cfRule type="cellIs" dxfId="21492" priority="12080" stopIfTrue="1" operator="equal">
      <formula>"Napkin Hs"</formula>
    </cfRule>
  </conditionalFormatting>
  <conditionalFormatting sqref="C59">
    <cfRule type="cellIs" dxfId="21491" priority="12077" stopIfTrue="1" operator="equal">
      <formula>"Towel"</formula>
    </cfRule>
    <cfRule type="cellIs" dxfId="21490" priority="12078" stopIfTrue="1" operator="equal">
      <formula>"Napkin Hs"</formula>
    </cfRule>
  </conditionalFormatting>
  <conditionalFormatting sqref="C59">
    <cfRule type="cellIs" dxfId="21489" priority="12085" stopIfTrue="1" operator="equal">
      <formula>"Towel"</formula>
    </cfRule>
    <cfRule type="cellIs" dxfId="21488" priority="12086" stopIfTrue="1" operator="equal">
      <formula>"Napkin Hs"</formula>
    </cfRule>
  </conditionalFormatting>
  <conditionalFormatting sqref="C59">
    <cfRule type="cellIs" dxfId="21487" priority="12087" stopIfTrue="1" operator="equal">
      <formula>"Towel"</formula>
    </cfRule>
    <cfRule type="cellIs" dxfId="21486" priority="12088" stopIfTrue="1" operator="equal">
      <formula>"Napkin Hs"</formula>
    </cfRule>
  </conditionalFormatting>
  <conditionalFormatting sqref="C59">
    <cfRule type="cellIs" dxfId="21485" priority="12073" stopIfTrue="1" operator="equal">
      <formula>"Towel"</formula>
    </cfRule>
    <cfRule type="cellIs" dxfId="21484" priority="12074" stopIfTrue="1" operator="equal">
      <formula>"Napkin Hs"</formula>
    </cfRule>
  </conditionalFormatting>
  <conditionalFormatting sqref="C59">
    <cfRule type="cellIs" dxfId="21483" priority="12075" stopIfTrue="1" operator="equal">
      <formula>"Towel"</formula>
    </cfRule>
    <cfRule type="cellIs" dxfId="21482" priority="12076" stopIfTrue="1" operator="equal">
      <formula>"Napkin Hs"</formula>
    </cfRule>
  </conditionalFormatting>
  <conditionalFormatting sqref="C59">
    <cfRule type="cellIs" dxfId="21481" priority="12071" stopIfTrue="1" operator="equal">
      <formula>"Towel"</formula>
    </cfRule>
    <cfRule type="cellIs" dxfId="21480" priority="12072" stopIfTrue="1" operator="equal">
      <formula>"Napkin Hs"</formula>
    </cfRule>
  </conditionalFormatting>
  <conditionalFormatting sqref="C59">
    <cfRule type="cellIs" dxfId="21479" priority="12065" stopIfTrue="1" operator="equal">
      <formula>"Towel"</formula>
    </cfRule>
    <cfRule type="cellIs" dxfId="21478" priority="12066" stopIfTrue="1" operator="equal">
      <formula>"Napkin Hs"</formula>
    </cfRule>
  </conditionalFormatting>
  <conditionalFormatting sqref="C59">
    <cfRule type="cellIs" dxfId="21477" priority="12067" stopIfTrue="1" operator="equal">
      <formula>"Towel"</formula>
    </cfRule>
    <cfRule type="cellIs" dxfId="21476" priority="12068" stopIfTrue="1" operator="equal">
      <formula>"Napkin Hs"</formula>
    </cfRule>
  </conditionalFormatting>
  <conditionalFormatting sqref="C59">
    <cfRule type="cellIs" dxfId="21475" priority="12069" stopIfTrue="1" operator="equal">
      <formula>"Towel"</formula>
    </cfRule>
    <cfRule type="cellIs" dxfId="21474" priority="12070" stopIfTrue="1" operator="equal">
      <formula>"Napkin Hs"</formula>
    </cfRule>
  </conditionalFormatting>
  <conditionalFormatting sqref="C59">
    <cfRule type="cellIs" dxfId="21473" priority="12019" stopIfTrue="1" operator="equal">
      <formula>"Towel"</formula>
    </cfRule>
    <cfRule type="cellIs" dxfId="21472" priority="12020" stopIfTrue="1" operator="equal">
      <formula>"Napkin Hs"</formula>
    </cfRule>
  </conditionalFormatting>
  <conditionalFormatting sqref="C59">
    <cfRule type="cellIs" dxfId="21471" priority="12021" stopIfTrue="1" operator="equal">
      <formula>"Towel"</formula>
    </cfRule>
    <cfRule type="cellIs" dxfId="21470" priority="12022" stopIfTrue="1" operator="equal">
      <formula>"Napkin Hs"</formula>
    </cfRule>
  </conditionalFormatting>
  <conditionalFormatting sqref="C59">
    <cfRule type="cellIs" dxfId="21469" priority="12017" stopIfTrue="1" operator="equal">
      <formula>"Towel"</formula>
    </cfRule>
    <cfRule type="cellIs" dxfId="21468" priority="12018" stopIfTrue="1" operator="equal">
      <formula>"Napkin Hs"</formula>
    </cfRule>
  </conditionalFormatting>
  <conditionalFormatting sqref="C59">
    <cfRule type="cellIs" dxfId="21467" priority="12015" stopIfTrue="1" operator="equal">
      <formula>"Towel"</formula>
    </cfRule>
    <cfRule type="cellIs" dxfId="21466" priority="12016" stopIfTrue="1" operator="equal">
      <formula>"Napkin Hs"</formula>
    </cfRule>
  </conditionalFormatting>
  <conditionalFormatting sqref="C59">
    <cfRule type="cellIs" dxfId="21465" priority="12011" stopIfTrue="1" operator="equal">
      <formula>"Towel"</formula>
    </cfRule>
    <cfRule type="cellIs" dxfId="21464" priority="12012" stopIfTrue="1" operator="equal">
      <formula>"Napkin Hs"</formula>
    </cfRule>
  </conditionalFormatting>
  <conditionalFormatting sqref="C59">
    <cfRule type="cellIs" dxfId="21463" priority="12013" stopIfTrue="1" operator="equal">
      <formula>"Towel"</formula>
    </cfRule>
    <cfRule type="cellIs" dxfId="21462" priority="12014" stopIfTrue="1" operator="equal">
      <formula>"Napkin Hs"</formula>
    </cfRule>
  </conditionalFormatting>
  <conditionalFormatting sqref="C59">
    <cfRule type="cellIs" dxfId="21461" priority="12063" stopIfTrue="1" operator="equal">
      <formula>"Towel"</formula>
    </cfRule>
    <cfRule type="cellIs" dxfId="21460" priority="12064" stopIfTrue="1" operator="equal">
      <formula>"Napkin Hs"</formula>
    </cfRule>
  </conditionalFormatting>
  <conditionalFormatting sqref="C59">
    <cfRule type="cellIs" dxfId="21459" priority="12059" stopIfTrue="1" operator="equal">
      <formula>"Towel"</formula>
    </cfRule>
    <cfRule type="cellIs" dxfId="21458" priority="12060" stopIfTrue="1" operator="equal">
      <formula>"Napkin Hs"</formula>
    </cfRule>
  </conditionalFormatting>
  <conditionalFormatting sqref="C59">
    <cfRule type="cellIs" dxfId="21457" priority="12062" stopIfTrue="1" operator="equal">
      <formula>"Napkin Hs"</formula>
    </cfRule>
  </conditionalFormatting>
  <conditionalFormatting sqref="C59">
    <cfRule type="cellIs" dxfId="21456" priority="12061" stopIfTrue="1" operator="equal">
      <formula>"Towel"</formula>
    </cfRule>
  </conditionalFormatting>
  <conditionalFormatting sqref="C59">
    <cfRule type="cellIs" dxfId="21455" priority="12053" stopIfTrue="1" operator="equal">
      <formula>"Towel"</formula>
    </cfRule>
    <cfRule type="cellIs" dxfId="21454" priority="12054" stopIfTrue="1" operator="equal">
      <formula>"Napkin Hs"</formula>
    </cfRule>
  </conditionalFormatting>
  <conditionalFormatting sqref="C59">
    <cfRule type="cellIs" dxfId="21453" priority="12057" stopIfTrue="1" operator="equal">
      <formula>"Towel"</formula>
    </cfRule>
    <cfRule type="cellIs" dxfId="21452" priority="12058" stopIfTrue="1" operator="equal">
      <formula>"Napkin Hs"</formula>
    </cfRule>
  </conditionalFormatting>
  <conditionalFormatting sqref="C59">
    <cfRule type="cellIs" dxfId="21451" priority="12055" stopIfTrue="1" operator="equal">
      <formula>"Towel"</formula>
    </cfRule>
    <cfRule type="cellIs" dxfId="21450" priority="12056" stopIfTrue="1" operator="equal">
      <formula>"Napkin Hs"</formula>
    </cfRule>
  </conditionalFormatting>
  <conditionalFormatting sqref="C59">
    <cfRule type="cellIs" dxfId="21449" priority="12047" stopIfTrue="1" operator="equal">
      <formula>"Towel"</formula>
    </cfRule>
    <cfRule type="cellIs" dxfId="21448" priority="12048" stopIfTrue="1" operator="equal">
      <formula>"Napkin Hs"</formula>
    </cfRule>
  </conditionalFormatting>
  <conditionalFormatting sqref="C59">
    <cfRule type="cellIs" dxfId="21447" priority="12049" stopIfTrue="1" operator="equal">
      <formula>"Towel"</formula>
    </cfRule>
    <cfRule type="cellIs" dxfId="21446" priority="12050" stopIfTrue="1" operator="equal">
      <formula>"Napkin Hs"</formula>
    </cfRule>
  </conditionalFormatting>
  <conditionalFormatting sqref="C59">
    <cfRule type="cellIs" dxfId="21445" priority="12051" stopIfTrue="1" operator="equal">
      <formula>"Towel"</formula>
    </cfRule>
    <cfRule type="cellIs" dxfId="21444" priority="12052" stopIfTrue="1" operator="equal">
      <formula>"Napkin Hs"</formula>
    </cfRule>
  </conditionalFormatting>
  <conditionalFormatting sqref="C59">
    <cfRule type="cellIs" dxfId="21443" priority="12041" stopIfTrue="1" operator="equal">
      <formula>"Towel"</formula>
    </cfRule>
    <cfRule type="cellIs" dxfId="21442" priority="12042" stopIfTrue="1" operator="equal">
      <formula>"Napkin Hs"</formula>
    </cfRule>
  </conditionalFormatting>
  <conditionalFormatting sqref="C59">
    <cfRule type="cellIs" dxfId="21441" priority="12045" stopIfTrue="1" operator="equal">
      <formula>"Towel"</formula>
    </cfRule>
    <cfRule type="cellIs" dxfId="21440" priority="12046" stopIfTrue="1" operator="equal">
      <formula>"Napkin Hs"</formula>
    </cfRule>
  </conditionalFormatting>
  <conditionalFormatting sqref="C59">
    <cfRule type="cellIs" dxfId="21439" priority="12043" stopIfTrue="1" operator="equal">
      <formula>"Towel"</formula>
    </cfRule>
    <cfRule type="cellIs" dxfId="21438" priority="12044" stopIfTrue="1" operator="equal">
      <formula>"Napkin Hs"</formula>
    </cfRule>
  </conditionalFormatting>
  <conditionalFormatting sqref="C59">
    <cfRule type="cellIs" dxfId="21437" priority="12035" stopIfTrue="1" operator="equal">
      <formula>"Towel"</formula>
    </cfRule>
    <cfRule type="cellIs" dxfId="21436" priority="12036" stopIfTrue="1" operator="equal">
      <formula>"Napkin Hs"</formula>
    </cfRule>
  </conditionalFormatting>
  <conditionalFormatting sqref="C59">
    <cfRule type="cellIs" dxfId="21435" priority="12037" stopIfTrue="1" operator="equal">
      <formula>"Towel"</formula>
    </cfRule>
    <cfRule type="cellIs" dxfId="21434" priority="12038" stopIfTrue="1" operator="equal">
      <formula>"Napkin Hs"</formula>
    </cfRule>
  </conditionalFormatting>
  <conditionalFormatting sqref="C59">
    <cfRule type="cellIs" dxfId="21433" priority="12039" stopIfTrue="1" operator="equal">
      <formula>"Towel"</formula>
    </cfRule>
    <cfRule type="cellIs" dxfId="21432" priority="12040" stopIfTrue="1" operator="equal">
      <formula>"Napkin Hs"</formula>
    </cfRule>
  </conditionalFormatting>
  <conditionalFormatting sqref="C59">
    <cfRule type="cellIs" dxfId="21431" priority="12033" stopIfTrue="1" operator="equal">
      <formula>"Towel"</formula>
    </cfRule>
    <cfRule type="cellIs" dxfId="21430" priority="12034" stopIfTrue="1" operator="equal">
      <formula>"Napkin Hs"</formula>
    </cfRule>
  </conditionalFormatting>
  <conditionalFormatting sqref="C59">
    <cfRule type="cellIs" dxfId="21429" priority="12029" stopIfTrue="1" operator="equal">
      <formula>"Towel"</formula>
    </cfRule>
    <cfRule type="cellIs" dxfId="21428" priority="12030" stopIfTrue="1" operator="equal">
      <formula>"Napkin Hs"</formula>
    </cfRule>
  </conditionalFormatting>
  <conditionalFormatting sqref="C59">
    <cfRule type="cellIs" dxfId="21427" priority="12031" stopIfTrue="1" operator="equal">
      <formula>"Towel"</formula>
    </cfRule>
    <cfRule type="cellIs" dxfId="21426" priority="12032" stopIfTrue="1" operator="equal">
      <formula>"Napkin Hs"</formula>
    </cfRule>
  </conditionalFormatting>
  <conditionalFormatting sqref="C59">
    <cfRule type="cellIs" dxfId="21425" priority="12027" stopIfTrue="1" operator="equal">
      <formula>"Towel"</formula>
    </cfRule>
    <cfRule type="cellIs" dxfId="21424" priority="12028" stopIfTrue="1" operator="equal">
      <formula>"Napkin Hs"</formula>
    </cfRule>
  </conditionalFormatting>
  <conditionalFormatting sqref="C59">
    <cfRule type="cellIs" dxfId="21423" priority="12025" stopIfTrue="1" operator="equal">
      <formula>"Towel"</formula>
    </cfRule>
    <cfRule type="cellIs" dxfId="21422" priority="12026" stopIfTrue="1" operator="equal">
      <formula>"Napkin Hs"</formula>
    </cfRule>
  </conditionalFormatting>
  <conditionalFormatting sqref="C59">
    <cfRule type="cellIs" dxfId="21421" priority="12023" stopIfTrue="1" operator="equal">
      <formula>"Towel"</formula>
    </cfRule>
    <cfRule type="cellIs" dxfId="21420" priority="12024" stopIfTrue="1" operator="equal">
      <formula>"Napkin Hs"</formula>
    </cfRule>
  </conditionalFormatting>
  <conditionalFormatting sqref="C59">
    <cfRule type="cellIs" dxfId="21419" priority="12007" stopIfTrue="1" operator="equal">
      <formula>"Towel"</formula>
    </cfRule>
    <cfRule type="cellIs" dxfId="21418" priority="12008" stopIfTrue="1" operator="equal">
      <formula>"Napkin Hs"</formula>
    </cfRule>
  </conditionalFormatting>
  <conditionalFormatting sqref="C59">
    <cfRule type="cellIs" dxfId="21417" priority="12009" stopIfTrue="1" operator="equal">
      <formula>"Towel"</formula>
    </cfRule>
    <cfRule type="cellIs" dxfId="21416" priority="12010" stopIfTrue="1" operator="equal">
      <formula>"Napkin Hs"</formula>
    </cfRule>
  </conditionalFormatting>
  <conditionalFormatting sqref="C59">
    <cfRule type="cellIs" dxfId="21415" priority="12005" stopIfTrue="1" operator="equal">
      <formula>"Towel"</formula>
    </cfRule>
    <cfRule type="cellIs" dxfId="21414" priority="12006" stopIfTrue="1" operator="equal">
      <formula>"Napkin Hs"</formula>
    </cfRule>
  </conditionalFormatting>
  <conditionalFormatting sqref="C59">
    <cfRule type="cellIs" dxfId="21413" priority="12003" stopIfTrue="1" operator="equal">
      <formula>"Towel"</formula>
    </cfRule>
    <cfRule type="cellIs" dxfId="21412" priority="12004" stopIfTrue="1" operator="equal">
      <formula>"Napkin Hs"</formula>
    </cfRule>
  </conditionalFormatting>
  <conditionalFormatting sqref="C59">
    <cfRule type="cellIs" dxfId="21411" priority="11999" stopIfTrue="1" operator="equal">
      <formula>"Towel"</formula>
    </cfRule>
    <cfRule type="cellIs" dxfId="21410" priority="12000" stopIfTrue="1" operator="equal">
      <formula>"Napkin Hs"</formula>
    </cfRule>
  </conditionalFormatting>
  <conditionalFormatting sqref="C59">
    <cfRule type="cellIs" dxfId="21409" priority="12001" stopIfTrue="1" operator="equal">
      <formula>"Towel"</formula>
    </cfRule>
    <cfRule type="cellIs" dxfId="21408" priority="12002" stopIfTrue="1" operator="equal">
      <formula>"Napkin Hs"</formula>
    </cfRule>
  </conditionalFormatting>
  <conditionalFormatting sqref="C59">
    <cfRule type="cellIs" dxfId="21407" priority="11995" stopIfTrue="1" operator="equal">
      <formula>"Towel"</formula>
    </cfRule>
    <cfRule type="cellIs" dxfId="21406" priority="11996" stopIfTrue="1" operator="equal">
      <formula>"Napkin Hs"</formula>
    </cfRule>
  </conditionalFormatting>
  <conditionalFormatting sqref="C59">
    <cfRule type="cellIs" dxfId="21405" priority="11997" stopIfTrue="1" operator="equal">
      <formula>"Towel"</formula>
    </cfRule>
    <cfRule type="cellIs" dxfId="21404" priority="11998" stopIfTrue="1" operator="equal">
      <formula>"Napkin Hs"</formula>
    </cfRule>
  </conditionalFormatting>
  <conditionalFormatting sqref="C59">
    <cfRule type="cellIs" dxfId="21403" priority="11993" stopIfTrue="1" operator="equal">
      <formula>"Towel"</formula>
    </cfRule>
    <cfRule type="cellIs" dxfId="21402" priority="11994" stopIfTrue="1" operator="equal">
      <formula>"Napkin Hs"</formula>
    </cfRule>
  </conditionalFormatting>
  <conditionalFormatting sqref="C59">
    <cfRule type="cellIs" dxfId="21401" priority="11991" stopIfTrue="1" operator="equal">
      <formula>"Towel"</formula>
    </cfRule>
    <cfRule type="cellIs" dxfId="21400" priority="11992" stopIfTrue="1" operator="equal">
      <formula>"Napkin Hs"</formula>
    </cfRule>
  </conditionalFormatting>
  <conditionalFormatting sqref="C59">
    <cfRule type="cellIs" dxfId="21399" priority="11987" stopIfTrue="1" operator="equal">
      <formula>"Towel"</formula>
    </cfRule>
    <cfRule type="cellIs" dxfId="21398" priority="11988" stopIfTrue="1" operator="equal">
      <formula>"Napkin Hs"</formula>
    </cfRule>
  </conditionalFormatting>
  <conditionalFormatting sqref="C59">
    <cfRule type="cellIs" dxfId="21397" priority="11989" stopIfTrue="1" operator="equal">
      <formula>"Towel"</formula>
    </cfRule>
    <cfRule type="cellIs" dxfId="21396" priority="11990" stopIfTrue="1" operator="equal">
      <formula>"Napkin Hs"</formula>
    </cfRule>
  </conditionalFormatting>
  <conditionalFormatting sqref="C58">
    <cfRule type="cellIs" dxfId="21395" priority="11849" stopIfTrue="1" operator="equal">
      <formula>"Towel"</formula>
    </cfRule>
    <cfRule type="cellIs" dxfId="21394" priority="11850" stopIfTrue="1" operator="equal">
      <formula>"Napkin Hs"</formula>
    </cfRule>
  </conditionalFormatting>
  <conditionalFormatting sqref="C58">
    <cfRule type="cellIs" dxfId="21393" priority="11851" stopIfTrue="1" operator="equal">
      <formula>"Towel"</formula>
    </cfRule>
    <cfRule type="cellIs" dxfId="21392" priority="11852" stopIfTrue="1" operator="equal">
      <formula>"Napkin Hs"</formula>
    </cfRule>
  </conditionalFormatting>
  <conditionalFormatting sqref="C58">
    <cfRule type="cellIs" dxfId="21391" priority="11847" stopIfTrue="1" operator="equal">
      <formula>"Towel"</formula>
    </cfRule>
    <cfRule type="cellIs" dxfId="21390" priority="11848" stopIfTrue="1" operator="equal">
      <formula>"Napkin Hs"</formula>
    </cfRule>
  </conditionalFormatting>
  <conditionalFormatting sqref="C58">
    <cfRule type="cellIs" dxfId="21389" priority="11845" stopIfTrue="1" operator="equal">
      <formula>"Towel"</formula>
    </cfRule>
    <cfRule type="cellIs" dxfId="21388" priority="11846" stopIfTrue="1" operator="equal">
      <formula>"Napkin Hs"</formula>
    </cfRule>
  </conditionalFormatting>
  <conditionalFormatting sqref="C58">
    <cfRule type="cellIs" dxfId="21387" priority="11853" stopIfTrue="1" operator="equal">
      <formula>"Towel"</formula>
    </cfRule>
    <cfRule type="cellIs" dxfId="21386" priority="11854" stopIfTrue="1" operator="equal">
      <formula>"Napkin Hs"</formula>
    </cfRule>
  </conditionalFormatting>
  <conditionalFormatting sqref="C58">
    <cfRule type="cellIs" dxfId="21385" priority="11855" stopIfTrue="1" operator="equal">
      <formula>"Towel"</formula>
    </cfRule>
    <cfRule type="cellIs" dxfId="21384" priority="11856" stopIfTrue="1" operator="equal">
      <formula>"Napkin Hs"</formula>
    </cfRule>
  </conditionalFormatting>
  <conditionalFormatting sqref="C58">
    <cfRule type="cellIs" dxfId="21383" priority="11841" stopIfTrue="1" operator="equal">
      <formula>"Towel"</formula>
    </cfRule>
    <cfRule type="cellIs" dxfId="21382" priority="11842" stopIfTrue="1" operator="equal">
      <formula>"Napkin Hs"</formula>
    </cfRule>
  </conditionalFormatting>
  <conditionalFormatting sqref="C58">
    <cfRule type="cellIs" dxfId="21381" priority="11843" stopIfTrue="1" operator="equal">
      <formula>"Towel"</formula>
    </cfRule>
    <cfRule type="cellIs" dxfId="21380" priority="11844" stopIfTrue="1" operator="equal">
      <formula>"Napkin Hs"</formula>
    </cfRule>
  </conditionalFormatting>
  <conditionalFormatting sqref="C58">
    <cfRule type="cellIs" dxfId="21379" priority="11839" stopIfTrue="1" operator="equal">
      <formula>"Towel"</formula>
    </cfRule>
    <cfRule type="cellIs" dxfId="21378" priority="11840" stopIfTrue="1" operator="equal">
      <formula>"Napkin Hs"</formula>
    </cfRule>
  </conditionalFormatting>
  <conditionalFormatting sqref="C58">
    <cfRule type="cellIs" dxfId="21377" priority="11833" stopIfTrue="1" operator="equal">
      <formula>"Towel"</formula>
    </cfRule>
    <cfRule type="cellIs" dxfId="21376" priority="11834" stopIfTrue="1" operator="equal">
      <formula>"Napkin Hs"</formula>
    </cfRule>
  </conditionalFormatting>
  <conditionalFormatting sqref="C58">
    <cfRule type="cellIs" dxfId="21375" priority="11835" stopIfTrue="1" operator="equal">
      <formula>"Towel"</formula>
    </cfRule>
    <cfRule type="cellIs" dxfId="21374" priority="11836" stopIfTrue="1" operator="equal">
      <formula>"Napkin Hs"</formula>
    </cfRule>
  </conditionalFormatting>
  <conditionalFormatting sqref="C58">
    <cfRule type="cellIs" dxfId="21373" priority="11837" stopIfTrue="1" operator="equal">
      <formula>"Towel"</formula>
    </cfRule>
    <cfRule type="cellIs" dxfId="21372" priority="11838" stopIfTrue="1" operator="equal">
      <formula>"Napkin Hs"</formula>
    </cfRule>
  </conditionalFormatting>
  <conditionalFormatting sqref="C58">
    <cfRule type="cellIs" dxfId="21371" priority="11787" stopIfTrue="1" operator="equal">
      <formula>"Towel"</formula>
    </cfRule>
    <cfRule type="cellIs" dxfId="21370" priority="11788" stopIfTrue="1" operator="equal">
      <formula>"Napkin Hs"</formula>
    </cfRule>
  </conditionalFormatting>
  <conditionalFormatting sqref="C58">
    <cfRule type="cellIs" dxfId="21369" priority="11789" stopIfTrue="1" operator="equal">
      <formula>"Towel"</formula>
    </cfRule>
    <cfRule type="cellIs" dxfId="21368" priority="11790" stopIfTrue="1" operator="equal">
      <formula>"Napkin Hs"</formula>
    </cfRule>
  </conditionalFormatting>
  <conditionalFormatting sqref="C58">
    <cfRule type="cellIs" dxfId="21367" priority="11785" stopIfTrue="1" operator="equal">
      <formula>"Towel"</formula>
    </cfRule>
    <cfRule type="cellIs" dxfId="21366" priority="11786" stopIfTrue="1" operator="equal">
      <formula>"Napkin Hs"</formula>
    </cfRule>
  </conditionalFormatting>
  <conditionalFormatting sqref="C58">
    <cfRule type="cellIs" dxfId="21365" priority="11783" stopIfTrue="1" operator="equal">
      <formula>"Towel"</formula>
    </cfRule>
    <cfRule type="cellIs" dxfId="21364" priority="11784" stopIfTrue="1" operator="equal">
      <formula>"Napkin Hs"</formula>
    </cfRule>
  </conditionalFormatting>
  <conditionalFormatting sqref="C58">
    <cfRule type="cellIs" dxfId="21363" priority="11779" stopIfTrue="1" operator="equal">
      <formula>"Towel"</formula>
    </cfRule>
    <cfRule type="cellIs" dxfId="21362" priority="11780" stopIfTrue="1" operator="equal">
      <formula>"Napkin Hs"</formula>
    </cfRule>
  </conditionalFormatting>
  <conditionalFormatting sqref="C58">
    <cfRule type="cellIs" dxfId="21361" priority="11781" stopIfTrue="1" operator="equal">
      <formula>"Towel"</formula>
    </cfRule>
    <cfRule type="cellIs" dxfId="21360" priority="11782" stopIfTrue="1" operator="equal">
      <formula>"Napkin Hs"</formula>
    </cfRule>
  </conditionalFormatting>
  <conditionalFormatting sqref="C58">
    <cfRule type="cellIs" dxfId="21359" priority="11831" stopIfTrue="1" operator="equal">
      <formula>"Towel"</formula>
    </cfRule>
    <cfRule type="cellIs" dxfId="21358" priority="11832" stopIfTrue="1" operator="equal">
      <formula>"Napkin Hs"</formula>
    </cfRule>
  </conditionalFormatting>
  <conditionalFormatting sqref="C58">
    <cfRule type="cellIs" dxfId="21357" priority="11827" stopIfTrue="1" operator="equal">
      <formula>"Towel"</formula>
    </cfRule>
    <cfRule type="cellIs" dxfId="21356" priority="11828" stopIfTrue="1" operator="equal">
      <formula>"Napkin Hs"</formula>
    </cfRule>
  </conditionalFormatting>
  <conditionalFormatting sqref="C58">
    <cfRule type="cellIs" dxfId="21355" priority="11830" stopIfTrue="1" operator="equal">
      <formula>"Napkin Hs"</formula>
    </cfRule>
  </conditionalFormatting>
  <conditionalFormatting sqref="C58">
    <cfRule type="cellIs" dxfId="21354" priority="11829" stopIfTrue="1" operator="equal">
      <formula>"Towel"</formula>
    </cfRule>
  </conditionalFormatting>
  <conditionalFormatting sqref="C58">
    <cfRule type="cellIs" dxfId="21353" priority="11821" stopIfTrue="1" operator="equal">
      <formula>"Towel"</formula>
    </cfRule>
    <cfRule type="cellIs" dxfId="21352" priority="11822" stopIfTrue="1" operator="equal">
      <formula>"Napkin Hs"</formula>
    </cfRule>
  </conditionalFormatting>
  <conditionalFormatting sqref="C58">
    <cfRule type="cellIs" dxfId="21351" priority="11825" stopIfTrue="1" operator="equal">
      <formula>"Towel"</formula>
    </cfRule>
    <cfRule type="cellIs" dxfId="21350" priority="11826" stopIfTrue="1" operator="equal">
      <formula>"Napkin Hs"</formula>
    </cfRule>
  </conditionalFormatting>
  <conditionalFormatting sqref="C58">
    <cfRule type="cellIs" dxfId="21349" priority="11823" stopIfTrue="1" operator="equal">
      <formula>"Towel"</formula>
    </cfRule>
    <cfRule type="cellIs" dxfId="21348" priority="11824" stopIfTrue="1" operator="equal">
      <formula>"Napkin Hs"</formula>
    </cfRule>
  </conditionalFormatting>
  <conditionalFormatting sqref="C58">
    <cfRule type="cellIs" dxfId="21347" priority="11815" stopIfTrue="1" operator="equal">
      <formula>"Towel"</formula>
    </cfRule>
    <cfRule type="cellIs" dxfId="21346" priority="11816" stopIfTrue="1" operator="equal">
      <formula>"Napkin Hs"</formula>
    </cfRule>
  </conditionalFormatting>
  <conditionalFormatting sqref="C58">
    <cfRule type="cellIs" dxfId="21345" priority="11817" stopIfTrue="1" operator="equal">
      <formula>"Towel"</formula>
    </cfRule>
    <cfRule type="cellIs" dxfId="21344" priority="11818" stopIfTrue="1" operator="equal">
      <formula>"Napkin Hs"</formula>
    </cfRule>
  </conditionalFormatting>
  <conditionalFormatting sqref="C58">
    <cfRule type="cellIs" dxfId="21343" priority="11819" stopIfTrue="1" operator="equal">
      <formula>"Towel"</formula>
    </cfRule>
    <cfRule type="cellIs" dxfId="21342" priority="11820" stopIfTrue="1" operator="equal">
      <formula>"Napkin Hs"</formula>
    </cfRule>
  </conditionalFormatting>
  <conditionalFormatting sqref="C58">
    <cfRule type="cellIs" dxfId="21341" priority="11809" stopIfTrue="1" operator="equal">
      <formula>"Towel"</formula>
    </cfRule>
    <cfRule type="cellIs" dxfId="21340" priority="11810" stopIfTrue="1" operator="equal">
      <formula>"Napkin Hs"</formula>
    </cfRule>
  </conditionalFormatting>
  <conditionalFormatting sqref="C58">
    <cfRule type="cellIs" dxfId="21339" priority="11813" stopIfTrue="1" operator="equal">
      <formula>"Towel"</formula>
    </cfRule>
    <cfRule type="cellIs" dxfId="21338" priority="11814" stopIfTrue="1" operator="equal">
      <formula>"Napkin Hs"</formula>
    </cfRule>
  </conditionalFormatting>
  <conditionalFormatting sqref="C58">
    <cfRule type="cellIs" dxfId="21337" priority="11811" stopIfTrue="1" operator="equal">
      <formula>"Towel"</formula>
    </cfRule>
    <cfRule type="cellIs" dxfId="21336" priority="11812" stopIfTrue="1" operator="equal">
      <formula>"Napkin Hs"</formula>
    </cfRule>
  </conditionalFormatting>
  <conditionalFormatting sqref="C58">
    <cfRule type="cellIs" dxfId="21335" priority="11803" stopIfTrue="1" operator="equal">
      <formula>"Towel"</formula>
    </cfRule>
    <cfRule type="cellIs" dxfId="21334" priority="11804" stopIfTrue="1" operator="equal">
      <formula>"Napkin Hs"</formula>
    </cfRule>
  </conditionalFormatting>
  <conditionalFormatting sqref="C58">
    <cfRule type="cellIs" dxfId="21333" priority="11805" stopIfTrue="1" operator="equal">
      <formula>"Towel"</formula>
    </cfRule>
    <cfRule type="cellIs" dxfId="21332" priority="11806" stopIfTrue="1" operator="equal">
      <formula>"Napkin Hs"</formula>
    </cfRule>
  </conditionalFormatting>
  <conditionalFormatting sqref="C58">
    <cfRule type="cellIs" dxfId="21331" priority="11807" stopIfTrue="1" operator="equal">
      <formula>"Towel"</formula>
    </cfRule>
    <cfRule type="cellIs" dxfId="21330" priority="11808" stopIfTrue="1" operator="equal">
      <formula>"Napkin Hs"</formula>
    </cfRule>
  </conditionalFormatting>
  <conditionalFormatting sqref="C58">
    <cfRule type="cellIs" dxfId="21329" priority="11801" stopIfTrue="1" operator="equal">
      <formula>"Towel"</formula>
    </cfRule>
    <cfRule type="cellIs" dxfId="21328" priority="11802" stopIfTrue="1" operator="equal">
      <formula>"Napkin Hs"</formula>
    </cfRule>
  </conditionalFormatting>
  <conditionalFormatting sqref="C58">
    <cfRule type="cellIs" dxfId="21327" priority="11797" stopIfTrue="1" operator="equal">
      <formula>"Towel"</formula>
    </cfRule>
    <cfRule type="cellIs" dxfId="21326" priority="11798" stopIfTrue="1" operator="equal">
      <formula>"Napkin Hs"</formula>
    </cfRule>
  </conditionalFormatting>
  <conditionalFormatting sqref="C58">
    <cfRule type="cellIs" dxfId="21325" priority="11799" stopIfTrue="1" operator="equal">
      <formula>"Towel"</formula>
    </cfRule>
    <cfRule type="cellIs" dxfId="21324" priority="11800" stopIfTrue="1" operator="equal">
      <formula>"Napkin Hs"</formula>
    </cfRule>
  </conditionalFormatting>
  <conditionalFormatting sqref="C58">
    <cfRule type="cellIs" dxfId="21323" priority="11795" stopIfTrue="1" operator="equal">
      <formula>"Towel"</formula>
    </cfRule>
    <cfRule type="cellIs" dxfId="21322" priority="11796" stopIfTrue="1" operator="equal">
      <formula>"Napkin Hs"</formula>
    </cfRule>
  </conditionalFormatting>
  <conditionalFormatting sqref="C58">
    <cfRule type="cellIs" dxfId="21321" priority="11793" stopIfTrue="1" operator="equal">
      <formula>"Towel"</formula>
    </cfRule>
    <cfRule type="cellIs" dxfId="21320" priority="11794" stopIfTrue="1" operator="equal">
      <formula>"Napkin Hs"</formula>
    </cfRule>
  </conditionalFormatting>
  <conditionalFormatting sqref="C58">
    <cfRule type="cellIs" dxfId="21319" priority="11791" stopIfTrue="1" operator="equal">
      <formula>"Towel"</formula>
    </cfRule>
    <cfRule type="cellIs" dxfId="21318" priority="11792" stopIfTrue="1" operator="equal">
      <formula>"Napkin Hs"</formula>
    </cfRule>
  </conditionalFormatting>
  <conditionalFormatting sqref="C58">
    <cfRule type="cellIs" dxfId="21317" priority="11775" stopIfTrue="1" operator="equal">
      <formula>"Towel"</formula>
    </cfRule>
    <cfRule type="cellIs" dxfId="21316" priority="11776" stopIfTrue="1" operator="equal">
      <formula>"Napkin Hs"</formula>
    </cfRule>
  </conditionalFormatting>
  <conditionalFormatting sqref="C58">
    <cfRule type="cellIs" dxfId="21315" priority="11777" stopIfTrue="1" operator="equal">
      <formula>"Towel"</formula>
    </cfRule>
    <cfRule type="cellIs" dxfId="21314" priority="11778" stopIfTrue="1" operator="equal">
      <formula>"Napkin Hs"</formula>
    </cfRule>
  </conditionalFormatting>
  <conditionalFormatting sqref="C58">
    <cfRule type="cellIs" dxfId="21313" priority="11773" stopIfTrue="1" operator="equal">
      <formula>"Towel"</formula>
    </cfRule>
    <cfRule type="cellIs" dxfId="21312" priority="11774" stopIfTrue="1" operator="equal">
      <formula>"Napkin Hs"</formula>
    </cfRule>
  </conditionalFormatting>
  <conditionalFormatting sqref="C58">
    <cfRule type="cellIs" dxfId="21311" priority="11771" stopIfTrue="1" operator="equal">
      <formula>"Towel"</formula>
    </cfRule>
    <cfRule type="cellIs" dxfId="21310" priority="11772" stopIfTrue="1" operator="equal">
      <formula>"Napkin Hs"</formula>
    </cfRule>
  </conditionalFormatting>
  <conditionalFormatting sqref="C58">
    <cfRule type="cellIs" dxfId="21309" priority="11767" stopIfTrue="1" operator="equal">
      <formula>"Towel"</formula>
    </cfRule>
    <cfRule type="cellIs" dxfId="21308" priority="11768" stopIfTrue="1" operator="equal">
      <formula>"Napkin Hs"</formula>
    </cfRule>
  </conditionalFormatting>
  <conditionalFormatting sqref="C58">
    <cfRule type="cellIs" dxfId="21307" priority="11769" stopIfTrue="1" operator="equal">
      <formula>"Towel"</formula>
    </cfRule>
    <cfRule type="cellIs" dxfId="21306" priority="11770" stopIfTrue="1" operator="equal">
      <formula>"Napkin Hs"</formula>
    </cfRule>
  </conditionalFormatting>
  <conditionalFormatting sqref="C58">
    <cfRule type="cellIs" dxfId="21305" priority="11763" stopIfTrue="1" operator="equal">
      <formula>"Towel"</formula>
    </cfRule>
    <cfRule type="cellIs" dxfId="21304" priority="11764" stopIfTrue="1" operator="equal">
      <formula>"Napkin Hs"</formula>
    </cfRule>
  </conditionalFormatting>
  <conditionalFormatting sqref="C58">
    <cfRule type="cellIs" dxfId="21303" priority="11765" stopIfTrue="1" operator="equal">
      <formula>"Towel"</formula>
    </cfRule>
    <cfRule type="cellIs" dxfId="21302" priority="11766" stopIfTrue="1" operator="equal">
      <formula>"Napkin Hs"</formula>
    </cfRule>
  </conditionalFormatting>
  <conditionalFormatting sqref="C58">
    <cfRule type="cellIs" dxfId="21301" priority="11761" stopIfTrue="1" operator="equal">
      <formula>"Towel"</formula>
    </cfRule>
    <cfRule type="cellIs" dxfId="21300" priority="11762" stopIfTrue="1" operator="equal">
      <formula>"Napkin Hs"</formula>
    </cfRule>
  </conditionalFormatting>
  <conditionalFormatting sqref="C58">
    <cfRule type="cellIs" dxfId="21299" priority="11759" stopIfTrue="1" operator="equal">
      <formula>"Towel"</formula>
    </cfRule>
    <cfRule type="cellIs" dxfId="21298" priority="11760" stopIfTrue="1" operator="equal">
      <formula>"Napkin Hs"</formula>
    </cfRule>
  </conditionalFormatting>
  <conditionalFormatting sqref="C58">
    <cfRule type="cellIs" dxfId="21297" priority="11755" stopIfTrue="1" operator="equal">
      <formula>"Towel"</formula>
    </cfRule>
    <cfRule type="cellIs" dxfId="21296" priority="11756" stopIfTrue="1" operator="equal">
      <formula>"Napkin Hs"</formula>
    </cfRule>
  </conditionalFormatting>
  <conditionalFormatting sqref="C58">
    <cfRule type="cellIs" dxfId="21295" priority="11757" stopIfTrue="1" operator="equal">
      <formula>"Towel"</formula>
    </cfRule>
    <cfRule type="cellIs" dxfId="21294" priority="11758" stopIfTrue="1" operator="equal">
      <formula>"Napkin Hs"</formula>
    </cfRule>
  </conditionalFormatting>
  <conditionalFormatting sqref="B58">
    <cfRule type="cellIs" dxfId="21293" priority="11753" stopIfTrue="1" operator="equal">
      <formula>"Towel"</formula>
    </cfRule>
    <cfRule type="cellIs" dxfId="21292" priority="11754" stopIfTrue="1" operator="equal">
      <formula>"Napkin Hs"</formula>
    </cfRule>
  </conditionalFormatting>
  <conditionalFormatting sqref="B58">
    <cfRule type="cellIs" dxfId="21291" priority="11737" stopIfTrue="1" operator="equal">
      <formula>"Towel"</formula>
    </cfRule>
    <cfRule type="cellIs" dxfId="21290" priority="11738" stopIfTrue="1" operator="equal">
      <formula>"Napkin Hs"</formula>
    </cfRule>
  </conditionalFormatting>
  <conditionalFormatting sqref="B58">
    <cfRule type="cellIs" dxfId="21289" priority="11735" stopIfTrue="1" operator="equal">
      <formula>"Towel"</formula>
    </cfRule>
    <cfRule type="cellIs" dxfId="21288" priority="11736" stopIfTrue="1" operator="equal">
      <formula>"Napkin Hs"</formula>
    </cfRule>
  </conditionalFormatting>
  <conditionalFormatting sqref="B58">
    <cfRule type="cellIs" dxfId="21287" priority="11751" stopIfTrue="1" operator="equal">
      <formula>"Towel"</formula>
    </cfRule>
    <cfRule type="cellIs" dxfId="21286" priority="11752" stopIfTrue="1" operator="equal">
      <formula>"Napkin Hs"</formula>
    </cfRule>
  </conditionalFormatting>
  <conditionalFormatting sqref="B58">
    <cfRule type="cellIs" dxfId="21285" priority="11747" stopIfTrue="1" operator="equal">
      <formula>"Towel"</formula>
    </cfRule>
    <cfRule type="cellIs" dxfId="21284" priority="11748" stopIfTrue="1" operator="equal">
      <formula>"Napkin Hs"</formula>
    </cfRule>
  </conditionalFormatting>
  <conditionalFormatting sqref="B58">
    <cfRule type="cellIs" dxfId="21283" priority="11749" stopIfTrue="1" operator="equal">
      <formula>"Towel"</formula>
    </cfRule>
    <cfRule type="cellIs" dxfId="21282" priority="11750" stopIfTrue="1" operator="equal">
      <formula>"Napkin Hs"</formula>
    </cfRule>
  </conditionalFormatting>
  <conditionalFormatting sqref="B58">
    <cfRule type="cellIs" dxfId="21281" priority="11743" stopIfTrue="1" operator="equal">
      <formula>"Towel"</formula>
    </cfRule>
    <cfRule type="cellIs" dxfId="21280" priority="11744" stopIfTrue="1" operator="equal">
      <formula>"Napkin Hs"</formula>
    </cfRule>
  </conditionalFormatting>
  <conditionalFormatting sqref="B58">
    <cfRule type="cellIs" dxfId="21279" priority="11745" stopIfTrue="1" operator="equal">
      <formula>"Towel"</formula>
    </cfRule>
    <cfRule type="cellIs" dxfId="21278" priority="11746" stopIfTrue="1" operator="equal">
      <formula>"Napkin Hs"</formula>
    </cfRule>
  </conditionalFormatting>
  <conditionalFormatting sqref="B58">
    <cfRule type="cellIs" dxfId="21277" priority="11741" stopIfTrue="1" operator="equal">
      <formula>"Towel"</formula>
    </cfRule>
    <cfRule type="cellIs" dxfId="21276" priority="11742" stopIfTrue="1" operator="equal">
      <formula>"Napkin Hs"</formula>
    </cfRule>
  </conditionalFormatting>
  <conditionalFormatting sqref="B58">
    <cfRule type="cellIs" dxfId="21275" priority="11739" stopIfTrue="1" operator="equal">
      <formula>"Towel"</formula>
    </cfRule>
    <cfRule type="cellIs" dxfId="21274" priority="11740" stopIfTrue="1" operator="equal">
      <formula>"Napkin Hs"</formula>
    </cfRule>
  </conditionalFormatting>
  <conditionalFormatting sqref="B58">
    <cfRule type="cellIs" dxfId="21273" priority="11733" stopIfTrue="1" operator="equal">
      <formula>"Towel"</formula>
    </cfRule>
    <cfRule type="cellIs" dxfId="21272" priority="11734" stopIfTrue="1" operator="equal">
      <formula>"Napkin Hs"</formula>
    </cfRule>
  </conditionalFormatting>
  <conditionalFormatting sqref="B58">
    <cfRule type="cellIs" dxfId="21271" priority="11731" stopIfTrue="1" operator="equal">
      <formula>"Towel"</formula>
    </cfRule>
    <cfRule type="cellIs" dxfId="21270" priority="11732" stopIfTrue="1" operator="equal">
      <formula>"Napkin Hs"</formula>
    </cfRule>
  </conditionalFormatting>
  <conditionalFormatting sqref="B58">
    <cfRule type="cellIs" dxfId="21269" priority="11729" stopIfTrue="1" operator="equal">
      <formula>"Towel"</formula>
    </cfRule>
    <cfRule type="cellIs" dxfId="21268" priority="11730" stopIfTrue="1" operator="equal">
      <formula>"Napkin Hs"</formula>
    </cfRule>
  </conditionalFormatting>
  <conditionalFormatting sqref="B58">
    <cfRule type="cellIs" dxfId="21267" priority="11727" stopIfTrue="1" operator="equal">
      <formula>"Towel"</formula>
    </cfRule>
    <cfRule type="cellIs" dxfId="21266" priority="11728" stopIfTrue="1" operator="equal">
      <formula>"Napkin Hs"</formula>
    </cfRule>
  </conditionalFormatting>
  <conditionalFormatting sqref="B59">
    <cfRule type="cellIs" dxfId="21265" priority="11725" stopIfTrue="1" operator="equal">
      <formula>"Towel"</formula>
    </cfRule>
    <cfRule type="cellIs" dxfId="21264" priority="11726" stopIfTrue="1" operator="equal">
      <formula>"Napkin Hs"</formula>
    </cfRule>
  </conditionalFormatting>
  <conditionalFormatting sqref="B59">
    <cfRule type="cellIs" dxfId="21263" priority="11723" stopIfTrue="1" operator="equal">
      <formula>"Towel"</formula>
    </cfRule>
    <cfRule type="cellIs" dxfId="21262" priority="11724" stopIfTrue="1" operator="equal">
      <formula>"Napkin Hs"</formula>
    </cfRule>
  </conditionalFormatting>
  <conditionalFormatting sqref="B59">
    <cfRule type="cellIs" dxfId="21261" priority="11721" stopIfTrue="1" operator="equal">
      <formula>"Towel"</formula>
    </cfRule>
    <cfRule type="cellIs" dxfId="21260" priority="11722" stopIfTrue="1" operator="equal">
      <formula>"Napkin Hs"</formula>
    </cfRule>
  </conditionalFormatting>
  <conditionalFormatting sqref="B59">
    <cfRule type="cellIs" dxfId="21259" priority="11719" stopIfTrue="1" operator="equal">
      <formula>"Towel"</formula>
    </cfRule>
    <cfRule type="cellIs" dxfId="21258" priority="11720" stopIfTrue="1" operator="equal">
      <formula>"Napkin Hs"</formula>
    </cfRule>
  </conditionalFormatting>
  <conditionalFormatting sqref="B59">
    <cfRule type="cellIs" dxfId="21257" priority="11717" stopIfTrue="1" operator="equal">
      <formula>"Towel"</formula>
    </cfRule>
    <cfRule type="cellIs" dxfId="21256" priority="11718" stopIfTrue="1" operator="equal">
      <formula>"Napkin Hs"</formula>
    </cfRule>
  </conditionalFormatting>
  <conditionalFormatting sqref="B59">
    <cfRule type="cellIs" dxfId="21255" priority="11701" stopIfTrue="1" operator="equal">
      <formula>"Towel"</formula>
    </cfRule>
    <cfRule type="cellIs" dxfId="21254" priority="11702" stopIfTrue="1" operator="equal">
      <formula>"Napkin Hs"</formula>
    </cfRule>
  </conditionalFormatting>
  <conditionalFormatting sqref="B59">
    <cfRule type="cellIs" dxfId="21253" priority="11699" stopIfTrue="1" operator="equal">
      <formula>"Towel"</formula>
    </cfRule>
    <cfRule type="cellIs" dxfId="21252" priority="11700" stopIfTrue="1" operator="equal">
      <formula>"Napkin Hs"</formula>
    </cfRule>
  </conditionalFormatting>
  <conditionalFormatting sqref="B59">
    <cfRule type="cellIs" dxfId="21251" priority="11715" stopIfTrue="1" operator="equal">
      <formula>"Towel"</formula>
    </cfRule>
    <cfRule type="cellIs" dxfId="21250" priority="11716" stopIfTrue="1" operator="equal">
      <formula>"Napkin Hs"</formula>
    </cfRule>
  </conditionalFormatting>
  <conditionalFormatting sqref="B59">
    <cfRule type="cellIs" dxfId="21249" priority="11711" stopIfTrue="1" operator="equal">
      <formula>"Towel"</formula>
    </cfRule>
    <cfRule type="cellIs" dxfId="21248" priority="11712" stopIfTrue="1" operator="equal">
      <formula>"Napkin Hs"</formula>
    </cfRule>
  </conditionalFormatting>
  <conditionalFormatting sqref="B59">
    <cfRule type="cellIs" dxfId="21247" priority="11713" stopIfTrue="1" operator="equal">
      <formula>"Towel"</formula>
    </cfRule>
    <cfRule type="cellIs" dxfId="21246" priority="11714" stopIfTrue="1" operator="equal">
      <formula>"Napkin Hs"</formula>
    </cfRule>
  </conditionalFormatting>
  <conditionalFormatting sqref="B59">
    <cfRule type="cellIs" dxfId="21245" priority="11707" stopIfTrue="1" operator="equal">
      <formula>"Towel"</formula>
    </cfRule>
    <cfRule type="cellIs" dxfId="21244" priority="11708" stopIfTrue="1" operator="equal">
      <formula>"Napkin Hs"</formula>
    </cfRule>
  </conditionalFormatting>
  <conditionalFormatting sqref="B59">
    <cfRule type="cellIs" dxfId="21243" priority="11709" stopIfTrue="1" operator="equal">
      <formula>"Towel"</formula>
    </cfRule>
    <cfRule type="cellIs" dxfId="21242" priority="11710" stopIfTrue="1" operator="equal">
      <formula>"Napkin Hs"</formula>
    </cfRule>
  </conditionalFormatting>
  <conditionalFormatting sqref="B59">
    <cfRule type="cellIs" dxfId="21241" priority="11705" stopIfTrue="1" operator="equal">
      <formula>"Towel"</formula>
    </cfRule>
    <cfRule type="cellIs" dxfId="21240" priority="11706" stopIfTrue="1" operator="equal">
      <formula>"Napkin Hs"</formula>
    </cfRule>
  </conditionalFormatting>
  <conditionalFormatting sqref="B59">
    <cfRule type="cellIs" dxfId="21239" priority="11703" stopIfTrue="1" operator="equal">
      <formula>"Towel"</formula>
    </cfRule>
    <cfRule type="cellIs" dxfId="21238" priority="11704" stopIfTrue="1" operator="equal">
      <formula>"Napkin Hs"</formula>
    </cfRule>
  </conditionalFormatting>
  <conditionalFormatting sqref="B59">
    <cfRule type="cellIs" dxfId="21237" priority="11697" stopIfTrue="1" operator="equal">
      <formula>"Towel"</formula>
    </cfRule>
    <cfRule type="cellIs" dxfId="21236" priority="11698" stopIfTrue="1" operator="equal">
      <formula>"Napkin Hs"</formula>
    </cfRule>
  </conditionalFormatting>
  <conditionalFormatting sqref="B59">
    <cfRule type="cellIs" dxfId="21235" priority="11695" stopIfTrue="1" operator="equal">
      <formula>"Towel"</formula>
    </cfRule>
    <cfRule type="cellIs" dxfId="21234" priority="11696" stopIfTrue="1" operator="equal">
      <formula>"Napkin Hs"</formula>
    </cfRule>
  </conditionalFormatting>
  <conditionalFormatting sqref="B59">
    <cfRule type="cellIs" dxfId="21233" priority="11693" stopIfTrue="1" operator="equal">
      <formula>"Towel"</formula>
    </cfRule>
    <cfRule type="cellIs" dxfId="21232" priority="11694" stopIfTrue="1" operator="equal">
      <formula>"Napkin Hs"</formula>
    </cfRule>
  </conditionalFormatting>
  <conditionalFormatting sqref="B59">
    <cfRule type="cellIs" dxfId="21231" priority="11691" stopIfTrue="1" operator="equal">
      <formula>"Towel"</formula>
    </cfRule>
    <cfRule type="cellIs" dxfId="21230" priority="11692" stopIfTrue="1" operator="equal">
      <formula>"Napkin Hs"</formula>
    </cfRule>
  </conditionalFormatting>
  <conditionalFormatting sqref="C57">
    <cfRule type="cellIs" dxfId="21229" priority="11683" stopIfTrue="1" operator="equal">
      <formula>"Towel"</formula>
    </cfRule>
    <cfRule type="cellIs" dxfId="21228" priority="11684" stopIfTrue="1" operator="equal">
      <formula>"Napkin Hs"</formula>
    </cfRule>
  </conditionalFormatting>
  <conditionalFormatting sqref="C57">
    <cfRule type="cellIs" dxfId="21227" priority="11685" stopIfTrue="1" operator="equal">
      <formula>"Towel"</formula>
    </cfRule>
    <cfRule type="cellIs" dxfId="21226" priority="11686" stopIfTrue="1" operator="equal">
      <formula>"Napkin Hs"</formula>
    </cfRule>
  </conditionalFormatting>
  <conditionalFormatting sqref="C57">
    <cfRule type="cellIs" dxfId="21225" priority="11681" stopIfTrue="1" operator="equal">
      <formula>"Towel"</formula>
    </cfRule>
    <cfRule type="cellIs" dxfId="21224" priority="11682" stopIfTrue="1" operator="equal">
      <formula>"Napkin Hs"</formula>
    </cfRule>
  </conditionalFormatting>
  <conditionalFormatting sqref="C57">
    <cfRule type="cellIs" dxfId="21223" priority="11679" stopIfTrue="1" operator="equal">
      <formula>"Towel"</formula>
    </cfRule>
    <cfRule type="cellIs" dxfId="21222" priority="11680" stopIfTrue="1" operator="equal">
      <formula>"Napkin Hs"</formula>
    </cfRule>
  </conditionalFormatting>
  <conditionalFormatting sqref="C57">
    <cfRule type="cellIs" dxfId="21221" priority="11687" stopIfTrue="1" operator="equal">
      <formula>"Towel"</formula>
    </cfRule>
    <cfRule type="cellIs" dxfId="21220" priority="11688" stopIfTrue="1" operator="equal">
      <formula>"Napkin Hs"</formula>
    </cfRule>
  </conditionalFormatting>
  <conditionalFormatting sqref="C57">
    <cfRule type="cellIs" dxfId="21219" priority="11689" stopIfTrue="1" operator="equal">
      <formula>"Towel"</formula>
    </cfRule>
    <cfRule type="cellIs" dxfId="21218" priority="11690" stopIfTrue="1" operator="equal">
      <formula>"Napkin Hs"</formula>
    </cfRule>
  </conditionalFormatting>
  <conditionalFormatting sqref="C57">
    <cfRule type="cellIs" dxfId="21217" priority="11675" stopIfTrue="1" operator="equal">
      <formula>"Towel"</formula>
    </cfRule>
    <cfRule type="cellIs" dxfId="21216" priority="11676" stopIfTrue="1" operator="equal">
      <formula>"Napkin Hs"</formula>
    </cfRule>
  </conditionalFormatting>
  <conditionalFormatting sqref="C57">
    <cfRule type="cellIs" dxfId="21215" priority="11677" stopIfTrue="1" operator="equal">
      <formula>"Towel"</formula>
    </cfRule>
    <cfRule type="cellIs" dxfId="21214" priority="11678" stopIfTrue="1" operator="equal">
      <formula>"Napkin Hs"</formula>
    </cfRule>
  </conditionalFormatting>
  <conditionalFormatting sqref="C57">
    <cfRule type="cellIs" dxfId="21213" priority="11673" stopIfTrue="1" operator="equal">
      <formula>"Towel"</formula>
    </cfRule>
    <cfRule type="cellIs" dxfId="21212" priority="11674" stopIfTrue="1" operator="equal">
      <formula>"Napkin Hs"</formula>
    </cfRule>
  </conditionalFormatting>
  <conditionalFormatting sqref="C57">
    <cfRule type="cellIs" dxfId="21211" priority="11667" stopIfTrue="1" operator="equal">
      <formula>"Towel"</formula>
    </cfRule>
    <cfRule type="cellIs" dxfId="21210" priority="11668" stopIfTrue="1" operator="equal">
      <formula>"Napkin Hs"</formula>
    </cfRule>
  </conditionalFormatting>
  <conditionalFormatting sqref="C57">
    <cfRule type="cellIs" dxfId="21209" priority="11669" stopIfTrue="1" operator="equal">
      <formula>"Towel"</formula>
    </cfRule>
    <cfRule type="cellIs" dxfId="21208" priority="11670" stopIfTrue="1" operator="equal">
      <formula>"Napkin Hs"</formula>
    </cfRule>
  </conditionalFormatting>
  <conditionalFormatting sqref="C57">
    <cfRule type="cellIs" dxfId="21207" priority="11671" stopIfTrue="1" operator="equal">
      <formula>"Towel"</formula>
    </cfRule>
    <cfRule type="cellIs" dxfId="21206" priority="11672" stopIfTrue="1" operator="equal">
      <formula>"Napkin Hs"</formula>
    </cfRule>
  </conditionalFormatting>
  <conditionalFormatting sqref="C57">
    <cfRule type="cellIs" dxfId="21205" priority="11621" stopIfTrue="1" operator="equal">
      <formula>"Towel"</formula>
    </cfRule>
    <cfRule type="cellIs" dxfId="21204" priority="11622" stopIfTrue="1" operator="equal">
      <formula>"Napkin Hs"</formula>
    </cfRule>
  </conditionalFormatting>
  <conditionalFormatting sqref="C57">
    <cfRule type="cellIs" dxfId="21203" priority="11623" stopIfTrue="1" operator="equal">
      <formula>"Towel"</formula>
    </cfRule>
    <cfRule type="cellIs" dxfId="21202" priority="11624" stopIfTrue="1" operator="equal">
      <formula>"Napkin Hs"</formula>
    </cfRule>
  </conditionalFormatting>
  <conditionalFormatting sqref="C57">
    <cfRule type="cellIs" dxfId="21201" priority="11619" stopIfTrue="1" operator="equal">
      <formula>"Towel"</formula>
    </cfRule>
    <cfRule type="cellIs" dxfId="21200" priority="11620" stopIfTrue="1" operator="equal">
      <formula>"Napkin Hs"</formula>
    </cfRule>
  </conditionalFormatting>
  <conditionalFormatting sqref="C57">
    <cfRule type="cellIs" dxfId="21199" priority="11617" stopIfTrue="1" operator="equal">
      <formula>"Towel"</formula>
    </cfRule>
    <cfRule type="cellIs" dxfId="21198" priority="11618" stopIfTrue="1" operator="equal">
      <formula>"Napkin Hs"</formula>
    </cfRule>
  </conditionalFormatting>
  <conditionalFormatting sqref="C57">
    <cfRule type="cellIs" dxfId="21197" priority="11613" stopIfTrue="1" operator="equal">
      <formula>"Towel"</formula>
    </cfRule>
    <cfRule type="cellIs" dxfId="21196" priority="11614" stopIfTrue="1" operator="equal">
      <formula>"Napkin Hs"</formula>
    </cfRule>
  </conditionalFormatting>
  <conditionalFormatting sqref="C57">
    <cfRule type="cellIs" dxfId="21195" priority="11615" stopIfTrue="1" operator="equal">
      <formula>"Towel"</formula>
    </cfRule>
    <cfRule type="cellIs" dxfId="21194" priority="11616" stopIfTrue="1" operator="equal">
      <formula>"Napkin Hs"</formula>
    </cfRule>
  </conditionalFormatting>
  <conditionalFormatting sqref="C57">
    <cfRule type="cellIs" dxfId="21193" priority="11665" stopIfTrue="1" operator="equal">
      <formula>"Towel"</formula>
    </cfRule>
    <cfRule type="cellIs" dxfId="21192" priority="11666" stopIfTrue="1" operator="equal">
      <formula>"Napkin Hs"</formula>
    </cfRule>
  </conditionalFormatting>
  <conditionalFormatting sqref="C57">
    <cfRule type="cellIs" dxfId="21191" priority="11661" stopIfTrue="1" operator="equal">
      <formula>"Towel"</formula>
    </cfRule>
    <cfRule type="cellIs" dxfId="21190" priority="11662" stopIfTrue="1" operator="equal">
      <formula>"Napkin Hs"</formula>
    </cfRule>
  </conditionalFormatting>
  <conditionalFormatting sqref="C57">
    <cfRule type="cellIs" dxfId="21189" priority="11664" stopIfTrue="1" operator="equal">
      <formula>"Napkin Hs"</formula>
    </cfRule>
  </conditionalFormatting>
  <conditionalFormatting sqref="C57">
    <cfRule type="cellIs" dxfId="21188" priority="11663" stopIfTrue="1" operator="equal">
      <formula>"Towel"</formula>
    </cfRule>
  </conditionalFormatting>
  <conditionalFormatting sqref="C57">
    <cfRule type="cellIs" dxfId="21187" priority="11655" stopIfTrue="1" operator="equal">
      <formula>"Towel"</formula>
    </cfRule>
    <cfRule type="cellIs" dxfId="21186" priority="11656" stopIfTrue="1" operator="equal">
      <formula>"Napkin Hs"</formula>
    </cfRule>
  </conditionalFormatting>
  <conditionalFormatting sqref="C57">
    <cfRule type="cellIs" dxfId="21185" priority="11659" stopIfTrue="1" operator="equal">
      <formula>"Towel"</formula>
    </cfRule>
    <cfRule type="cellIs" dxfId="21184" priority="11660" stopIfTrue="1" operator="equal">
      <formula>"Napkin Hs"</formula>
    </cfRule>
  </conditionalFormatting>
  <conditionalFormatting sqref="C57">
    <cfRule type="cellIs" dxfId="21183" priority="11657" stopIfTrue="1" operator="equal">
      <formula>"Towel"</formula>
    </cfRule>
    <cfRule type="cellIs" dxfId="21182" priority="11658" stopIfTrue="1" operator="equal">
      <formula>"Napkin Hs"</formula>
    </cfRule>
  </conditionalFormatting>
  <conditionalFormatting sqref="C57">
    <cfRule type="cellIs" dxfId="21181" priority="11649" stopIfTrue="1" operator="equal">
      <formula>"Towel"</formula>
    </cfRule>
    <cfRule type="cellIs" dxfId="21180" priority="11650" stopIfTrue="1" operator="equal">
      <formula>"Napkin Hs"</formula>
    </cfRule>
  </conditionalFormatting>
  <conditionalFormatting sqref="C57">
    <cfRule type="cellIs" dxfId="21179" priority="11651" stopIfTrue="1" operator="equal">
      <formula>"Towel"</formula>
    </cfRule>
    <cfRule type="cellIs" dxfId="21178" priority="11652" stopIfTrue="1" operator="equal">
      <formula>"Napkin Hs"</formula>
    </cfRule>
  </conditionalFormatting>
  <conditionalFormatting sqref="C57">
    <cfRule type="cellIs" dxfId="21177" priority="11653" stopIfTrue="1" operator="equal">
      <formula>"Towel"</formula>
    </cfRule>
    <cfRule type="cellIs" dxfId="21176" priority="11654" stopIfTrue="1" operator="equal">
      <formula>"Napkin Hs"</formula>
    </cfRule>
  </conditionalFormatting>
  <conditionalFormatting sqref="C57">
    <cfRule type="cellIs" dxfId="21175" priority="11643" stopIfTrue="1" operator="equal">
      <formula>"Towel"</formula>
    </cfRule>
    <cfRule type="cellIs" dxfId="21174" priority="11644" stopIfTrue="1" operator="equal">
      <formula>"Napkin Hs"</formula>
    </cfRule>
  </conditionalFormatting>
  <conditionalFormatting sqref="C57">
    <cfRule type="cellIs" dxfId="21173" priority="11647" stopIfTrue="1" operator="equal">
      <formula>"Towel"</formula>
    </cfRule>
    <cfRule type="cellIs" dxfId="21172" priority="11648" stopIfTrue="1" operator="equal">
      <formula>"Napkin Hs"</formula>
    </cfRule>
  </conditionalFormatting>
  <conditionalFormatting sqref="C57">
    <cfRule type="cellIs" dxfId="21171" priority="11645" stopIfTrue="1" operator="equal">
      <formula>"Towel"</formula>
    </cfRule>
    <cfRule type="cellIs" dxfId="21170" priority="11646" stopIfTrue="1" operator="equal">
      <formula>"Napkin Hs"</formula>
    </cfRule>
  </conditionalFormatting>
  <conditionalFormatting sqref="C57">
    <cfRule type="cellIs" dxfId="21169" priority="11637" stopIfTrue="1" operator="equal">
      <formula>"Towel"</formula>
    </cfRule>
    <cfRule type="cellIs" dxfId="21168" priority="11638" stopIfTrue="1" operator="equal">
      <formula>"Napkin Hs"</formula>
    </cfRule>
  </conditionalFormatting>
  <conditionalFormatting sqref="C57">
    <cfRule type="cellIs" dxfId="21167" priority="11639" stopIfTrue="1" operator="equal">
      <formula>"Towel"</formula>
    </cfRule>
    <cfRule type="cellIs" dxfId="21166" priority="11640" stopIfTrue="1" operator="equal">
      <formula>"Napkin Hs"</formula>
    </cfRule>
  </conditionalFormatting>
  <conditionalFormatting sqref="C57">
    <cfRule type="cellIs" dxfId="21165" priority="11641" stopIfTrue="1" operator="equal">
      <formula>"Towel"</formula>
    </cfRule>
    <cfRule type="cellIs" dxfId="21164" priority="11642" stopIfTrue="1" operator="equal">
      <formula>"Napkin Hs"</formula>
    </cfRule>
  </conditionalFormatting>
  <conditionalFormatting sqref="C57">
    <cfRule type="cellIs" dxfId="21163" priority="11635" stopIfTrue="1" operator="equal">
      <formula>"Towel"</formula>
    </cfRule>
    <cfRule type="cellIs" dxfId="21162" priority="11636" stopIfTrue="1" operator="equal">
      <formula>"Napkin Hs"</formula>
    </cfRule>
  </conditionalFormatting>
  <conditionalFormatting sqref="C57">
    <cfRule type="cellIs" dxfId="21161" priority="11631" stopIfTrue="1" operator="equal">
      <formula>"Towel"</formula>
    </cfRule>
    <cfRule type="cellIs" dxfId="21160" priority="11632" stopIfTrue="1" operator="equal">
      <formula>"Napkin Hs"</formula>
    </cfRule>
  </conditionalFormatting>
  <conditionalFormatting sqref="C57">
    <cfRule type="cellIs" dxfId="21159" priority="11633" stopIfTrue="1" operator="equal">
      <formula>"Towel"</formula>
    </cfRule>
    <cfRule type="cellIs" dxfId="21158" priority="11634" stopIfTrue="1" operator="equal">
      <formula>"Napkin Hs"</formula>
    </cfRule>
  </conditionalFormatting>
  <conditionalFormatting sqref="C57">
    <cfRule type="cellIs" dxfId="21157" priority="11629" stopIfTrue="1" operator="equal">
      <formula>"Towel"</formula>
    </cfRule>
    <cfRule type="cellIs" dxfId="21156" priority="11630" stopIfTrue="1" operator="equal">
      <formula>"Napkin Hs"</formula>
    </cfRule>
  </conditionalFormatting>
  <conditionalFormatting sqref="C57">
    <cfRule type="cellIs" dxfId="21155" priority="11627" stopIfTrue="1" operator="equal">
      <formula>"Towel"</formula>
    </cfRule>
    <cfRule type="cellIs" dxfId="21154" priority="11628" stopIfTrue="1" operator="equal">
      <formula>"Napkin Hs"</formula>
    </cfRule>
  </conditionalFormatting>
  <conditionalFormatting sqref="C57">
    <cfRule type="cellIs" dxfId="21153" priority="11625" stopIfTrue="1" operator="equal">
      <formula>"Towel"</formula>
    </cfRule>
    <cfRule type="cellIs" dxfId="21152" priority="11626" stopIfTrue="1" operator="equal">
      <formula>"Napkin Hs"</formula>
    </cfRule>
  </conditionalFormatting>
  <conditionalFormatting sqref="C57">
    <cfRule type="cellIs" dxfId="21151" priority="11609" stopIfTrue="1" operator="equal">
      <formula>"Towel"</formula>
    </cfRule>
    <cfRule type="cellIs" dxfId="21150" priority="11610" stopIfTrue="1" operator="equal">
      <formula>"Napkin Hs"</formula>
    </cfRule>
  </conditionalFormatting>
  <conditionalFormatting sqref="C57">
    <cfRule type="cellIs" dxfId="21149" priority="11611" stopIfTrue="1" operator="equal">
      <formula>"Towel"</formula>
    </cfRule>
    <cfRule type="cellIs" dxfId="21148" priority="11612" stopIfTrue="1" operator="equal">
      <formula>"Napkin Hs"</formula>
    </cfRule>
  </conditionalFormatting>
  <conditionalFormatting sqref="C57">
    <cfRule type="cellIs" dxfId="21147" priority="11607" stopIfTrue="1" operator="equal">
      <formula>"Towel"</formula>
    </cfRule>
    <cfRule type="cellIs" dxfId="21146" priority="11608" stopIfTrue="1" operator="equal">
      <formula>"Napkin Hs"</formula>
    </cfRule>
  </conditionalFormatting>
  <conditionalFormatting sqref="C57">
    <cfRule type="cellIs" dxfId="21145" priority="11605" stopIfTrue="1" operator="equal">
      <formula>"Towel"</formula>
    </cfRule>
    <cfRule type="cellIs" dxfId="21144" priority="11606" stopIfTrue="1" operator="equal">
      <formula>"Napkin Hs"</formula>
    </cfRule>
  </conditionalFormatting>
  <conditionalFormatting sqref="C57">
    <cfRule type="cellIs" dxfId="21143" priority="11601" stopIfTrue="1" operator="equal">
      <formula>"Towel"</formula>
    </cfRule>
    <cfRule type="cellIs" dxfId="21142" priority="11602" stopIfTrue="1" operator="equal">
      <formula>"Napkin Hs"</formula>
    </cfRule>
  </conditionalFormatting>
  <conditionalFormatting sqref="C57">
    <cfRule type="cellIs" dxfId="21141" priority="11603" stopIfTrue="1" operator="equal">
      <formula>"Towel"</formula>
    </cfRule>
    <cfRule type="cellIs" dxfId="21140" priority="11604" stopIfTrue="1" operator="equal">
      <formula>"Napkin Hs"</formula>
    </cfRule>
  </conditionalFormatting>
  <conditionalFormatting sqref="C57">
    <cfRule type="cellIs" dxfId="21139" priority="11597" stopIfTrue="1" operator="equal">
      <formula>"Towel"</formula>
    </cfRule>
    <cfRule type="cellIs" dxfId="21138" priority="11598" stopIfTrue="1" operator="equal">
      <formula>"Napkin Hs"</formula>
    </cfRule>
  </conditionalFormatting>
  <conditionalFormatting sqref="C57">
    <cfRule type="cellIs" dxfId="21137" priority="11599" stopIfTrue="1" operator="equal">
      <formula>"Towel"</formula>
    </cfRule>
    <cfRule type="cellIs" dxfId="21136" priority="11600" stopIfTrue="1" operator="equal">
      <formula>"Napkin Hs"</formula>
    </cfRule>
  </conditionalFormatting>
  <conditionalFormatting sqref="C57">
    <cfRule type="cellIs" dxfId="21135" priority="11595" stopIfTrue="1" operator="equal">
      <formula>"Towel"</formula>
    </cfRule>
    <cfRule type="cellIs" dxfId="21134" priority="11596" stopIfTrue="1" operator="equal">
      <formula>"Napkin Hs"</formula>
    </cfRule>
  </conditionalFormatting>
  <conditionalFormatting sqref="C57">
    <cfRule type="cellIs" dxfId="21133" priority="11593" stopIfTrue="1" operator="equal">
      <formula>"Towel"</formula>
    </cfRule>
    <cfRule type="cellIs" dxfId="21132" priority="11594" stopIfTrue="1" operator="equal">
      <formula>"Napkin Hs"</formula>
    </cfRule>
  </conditionalFormatting>
  <conditionalFormatting sqref="C57">
    <cfRule type="cellIs" dxfId="21131" priority="11589" stopIfTrue="1" operator="equal">
      <formula>"Towel"</formula>
    </cfRule>
    <cfRule type="cellIs" dxfId="21130" priority="11590" stopIfTrue="1" operator="equal">
      <formula>"Napkin Hs"</formula>
    </cfRule>
  </conditionalFormatting>
  <conditionalFormatting sqref="C57">
    <cfRule type="cellIs" dxfId="21129" priority="11591" stopIfTrue="1" operator="equal">
      <formula>"Towel"</formula>
    </cfRule>
    <cfRule type="cellIs" dxfId="21128" priority="11592" stopIfTrue="1" operator="equal">
      <formula>"Napkin Hs"</formula>
    </cfRule>
  </conditionalFormatting>
  <conditionalFormatting sqref="B57">
    <cfRule type="cellIs" dxfId="21127" priority="11587" stopIfTrue="1" operator="equal">
      <formula>"Towel"</formula>
    </cfRule>
    <cfRule type="cellIs" dxfId="21126" priority="11588" stopIfTrue="1" operator="equal">
      <formula>"Napkin Hs"</formula>
    </cfRule>
  </conditionalFormatting>
  <conditionalFormatting sqref="B57">
    <cfRule type="cellIs" dxfId="21125" priority="11571" stopIfTrue="1" operator="equal">
      <formula>"Towel"</formula>
    </cfRule>
    <cfRule type="cellIs" dxfId="21124" priority="11572" stopIfTrue="1" operator="equal">
      <formula>"Napkin Hs"</formula>
    </cfRule>
  </conditionalFormatting>
  <conditionalFormatting sqref="B57">
    <cfRule type="cellIs" dxfId="21123" priority="11569" stopIfTrue="1" operator="equal">
      <formula>"Towel"</formula>
    </cfRule>
    <cfRule type="cellIs" dxfId="21122" priority="11570" stopIfTrue="1" operator="equal">
      <formula>"Napkin Hs"</formula>
    </cfRule>
  </conditionalFormatting>
  <conditionalFormatting sqref="B57">
    <cfRule type="cellIs" dxfId="21121" priority="11585" stopIfTrue="1" operator="equal">
      <formula>"Towel"</formula>
    </cfRule>
    <cfRule type="cellIs" dxfId="21120" priority="11586" stopIfTrue="1" operator="equal">
      <formula>"Napkin Hs"</formula>
    </cfRule>
  </conditionalFormatting>
  <conditionalFormatting sqref="B57">
    <cfRule type="cellIs" dxfId="21119" priority="11581" stopIfTrue="1" operator="equal">
      <formula>"Towel"</formula>
    </cfRule>
    <cfRule type="cellIs" dxfId="21118" priority="11582" stopIfTrue="1" operator="equal">
      <formula>"Napkin Hs"</formula>
    </cfRule>
  </conditionalFormatting>
  <conditionalFormatting sqref="B57">
    <cfRule type="cellIs" dxfId="21117" priority="11583" stopIfTrue="1" operator="equal">
      <formula>"Towel"</formula>
    </cfRule>
    <cfRule type="cellIs" dxfId="21116" priority="11584" stopIfTrue="1" operator="equal">
      <formula>"Napkin Hs"</formula>
    </cfRule>
  </conditionalFormatting>
  <conditionalFormatting sqref="B57">
    <cfRule type="cellIs" dxfId="21115" priority="11577" stopIfTrue="1" operator="equal">
      <formula>"Towel"</formula>
    </cfRule>
    <cfRule type="cellIs" dxfId="21114" priority="11578" stopIfTrue="1" operator="equal">
      <formula>"Napkin Hs"</formula>
    </cfRule>
  </conditionalFormatting>
  <conditionalFormatting sqref="B57">
    <cfRule type="cellIs" dxfId="21113" priority="11579" stopIfTrue="1" operator="equal">
      <formula>"Towel"</formula>
    </cfRule>
    <cfRule type="cellIs" dxfId="21112" priority="11580" stopIfTrue="1" operator="equal">
      <formula>"Napkin Hs"</formula>
    </cfRule>
  </conditionalFormatting>
  <conditionalFormatting sqref="B57">
    <cfRule type="cellIs" dxfId="21111" priority="11575" stopIfTrue="1" operator="equal">
      <formula>"Towel"</formula>
    </cfRule>
    <cfRule type="cellIs" dxfId="21110" priority="11576" stopIfTrue="1" operator="equal">
      <formula>"Napkin Hs"</formula>
    </cfRule>
  </conditionalFormatting>
  <conditionalFormatting sqref="B57">
    <cfRule type="cellIs" dxfId="21109" priority="11573" stopIfTrue="1" operator="equal">
      <formula>"Towel"</formula>
    </cfRule>
    <cfRule type="cellIs" dxfId="21108" priority="11574" stopIfTrue="1" operator="equal">
      <formula>"Napkin Hs"</formula>
    </cfRule>
  </conditionalFormatting>
  <conditionalFormatting sqref="B57">
    <cfRule type="cellIs" dxfId="21107" priority="11567" stopIfTrue="1" operator="equal">
      <formula>"Towel"</formula>
    </cfRule>
    <cfRule type="cellIs" dxfId="21106" priority="11568" stopIfTrue="1" operator="equal">
      <formula>"Napkin Hs"</formula>
    </cfRule>
  </conditionalFormatting>
  <conditionalFormatting sqref="B57">
    <cfRule type="cellIs" dxfId="21105" priority="11565" stopIfTrue="1" operator="equal">
      <formula>"Towel"</formula>
    </cfRule>
    <cfRule type="cellIs" dxfId="21104" priority="11566" stopIfTrue="1" operator="equal">
      <formula>"Napkin Hs"</formula>
    </cfRule>
  </conditionalFormatting>
  <conditionalFormatting sqref="B57">
    <cfRule type="cellIs" dxfId="21103" priority="11563" stopIfTrue="1" operator="equal">
      <formula>"Towel"</formula>
    </cfRule>
    <cfRule type="cellIs" dxfId="21102" priority="11564" stopIfTrue="1" operator="equal">
      <formula>"Napkin Hs"</formula>
    </cfRule>
  </conditionalFormatting>
  <conditionalFormatting sqref="B57">
    <cfRule type="cellIs" dxfId="21101" priority="11561" stopIfTrue="1" operator="equal">
      <formula>"Towel"</formula>
    </cfRule>
    <cfRule type="cellIs" dxfId="21100" priority="11562" stopIfTrue="1" operator="equal">
      <formula>"Napkin Hs"</formula>
    </cfRule>
  </conditionalFormatting>
  <conditionalFormatting sqref="B66:C66">
    <cfRule type="cellIs" dxfId="21099" priority="11559" stopIfTrue="1" operator="equal">
      <formula>"Towel"</formula>
    </cfRule>
    <cfRule type="cellIs" dxfId="21098" priority="11560" stopIfTrue="1" operator="equal">
      <formula>"Napkin Hs"</formula>
    </cfRule>
  </conditionalFormatting>
  <conditionalFormatting sqref="C66">
    <cfRule type="cellIs" dxfId="21097" priority="11555" stopIfTrue="1" operator="equal">
      <formula>"Towel"</formula>
    </cfRule>
    <cfRule type="cellIs" dxfId="21096" priority="11556" stopIfTrue="1" operator="equal">
      <formula>"Napkin Hs"</formula>
    </cfRule>
  </conditionalFormatting>
  <conditionalFormatting sqref="C66">
    <cfRule type="cellIs" dxfId="21095" priority="11557" stopIfTrue="1" operator="equal">
      <formula>"Towel"</formula>
    </cfRule>
    <cfRule type="cellIs" dxfId="21094" priority="11558" stopIfTrue="1" operator="equal">
      <formula>"Napkin Hs"</formula>
    </cfRule>
  </conditionalFormatting>
  <conditionalFormatting sqref="C65">
    <cfRule type="cellIs" dxfId="21093" priority="11541" stopIfTrue="1" operator="equal">
      <formula>"Towel"</formula>
    </cfRule>
    <cfRule type="cellIs" dxfId="21092" priority="11542" stopIfTrue="1" operator="equal">
      <formula>"Napkin Hs"</formula>
    </cfRule>
  </conditionalFormatting>
  <conditionalFormatting sqref="C65">
    <cfRule type="cellIs" dxfId="21091" priority="11539" stopIfTrue="1" operator="equal">
      <formula>"Towel"</formula>
    </cfRule>
    <cfRule type="cellIs" dxfId="21090" priority="11540" stopIfTrue="1" operator="equal">
      <formula>"Napkin Hs"</formula>
    </cfRule>
  </conditionalFormatting>
  <conditionalFormatting sqref="C65">
    <cfRule type="cellIs" dxfId="21089" priority="11547" stopIfTrue="1" operator="equal">
      <formula>"Towel"</formula>
    </cfRule>
    <cfRule type="cellIs" dxfId="21088" priority="11548" stopIfTrue="1" operator="equal">
      <formula>"Napkin Hs"</formula>
    </cfRule>
  </conditionalFormatting>
  <conditionalFormatting sqref="B65:C65">
    <cfRule type="cellIs" dxfId="21087" priority="11549" stopIfTrue="1" operator="equal">
      <formula>"Towel"</formula>
    </cfRule>
    <cfRule type="cellIs" dxfId="21086" priority="11550" stopIfTrue="1" operator="equal">
      <formula>"Napkin Hs"</formula>
    </cfRule>
  </conditionalFormatting>
  <conditionalFormatting sqref="C65">
    <cfRule type="cellIs" dxfId="21085" priority="11545" stopIfTrue="1" operator="equal">
      <formula>"Towel"</formula>
    </cfRule>
    <cfRule type="cellIs" dxfId="21084" priority="11546" stopIfTrue="1" operator="equal">
      <formula>"Napkin Hs"</formula>
    </cfRule>
  </conditionalFormatting>
  <conditionalFormatting sqref="B65:C65">
    <cfRule type="cellIs" dxfId="21083" priority="11543" stopIfTrue="1" operator="equal">
      <formula>"Towel"</formula>
    </cfRule>
    <cfRule type="cellIs" dxfId="21082" priority="11544" stopIfTrue="1" operator="equal">
      <formula>"Napkin Hs"</formula>
    </cfRule>
  </conditionalFormatting>
  <conditionalFormatting sqref="C65">
    <cfRule type="cellIs" dxfId="21081" priority="11551" stopIfTrue="1" operator="equal">
      <formula>"Towel"</formula>
    </cfRule>
    <cfRule type="cellIs" dxfId="21080" priority="11552" stopIfTrue="1" operator="equal">
      <formula>"Napkin Hs"</formula>
    </cfRule>
  </conditionalFormatting>
  <conditionalFormatting sqref="C65">
    <cfRule type="cellIs" dxfId="21079" priority="11553" stopIfTrue="1" operator="equal">
      <formula>"Towel"</formula>
    </cfRule>
    <cfRule type="cellIs" dxfId="21078" priority="11554" stopIfTrue="1" operator="equal">
      <formula>"Napkin Hs"</formula>
    </cfRule>
  </conditionalFormatting>
  <conditionalFormatting sqref="C65">
    <cfRule type="cellIs" dxfId="21077" priority="11535" stopIfTrue="1" operator="equal">
      <formula>"Towel"</formula>
    </cfRule>
    <cfRule type="cellIs" dxfId="21076" priority="11536" stopIfTrue="1" operator="equal">
      <formula>"Napkin Hs"</formula>
    </cfRule>
  </conditionalFormatting>
  <conditionalFormatting sqref="B65:C65">
    <cfRule type="cellIs" dxfId="21075" priority="11537" stopIfTrue="1" operator="equal">
      <formula>"Towel"</formula>
    </cfRule>
    <cfRule type="cellIs" dxfId="21074" priority="11538" stopIfTrue="1" operator="equal">
      <formula>"Napkin Hs"</formula>
    </cfRule>
  </conditionalFormatting>
  <conditionalFormatting sqref="C65">
    <cfRule type="cellIs" dxfId="21073" priority="11533" stopIfTrue="1" operator="equal">
      <formula>"Towel"</formula>
    </cfRule>
    <cfRule type="cellIs" dxfId="21072" priority="11534" stopIfTrue="1" operator="equal">
      <formula>"Napkin Hs"</formula>
    </cfRule>
  </conditionalFormatting>
  <conditionalFormatting sqref="B65:C65">
    <cfRule type="cellIs" dxfId="21071" priority="11531" stopIfTrue="1" operator="equal">
      <formula>"Towel"</formula>
    </cfRule>
    <cfRule type="cellIs" dxfId="21070" priority="11532" stopIfTrue="1" operator="equal">
      <formula>"Napkin Hs"</formula>
    </cfRule>
  </conditionalFormatting>
  <conditionalFormatting sqref="C65">
    <cfRule type="cellIs" dxfId="21069" priority="11523" stopIfTrue="1" operator="equal">
      <formula>"Towel"</formula>
    </cfRule>
    <cfRule type="cellIs" dxfId="21068" priority="11524" stopIfTrue="1" operator="equal">
      <formula>"Napkin Hs"</formula>
    </cfRule>
  </conditionalFormatting>
  <conditionalFormatting sqref="C65">
    <cfRule type="cellIs" dxfId="21067" priority="11525" stopIfTrue="1" operator="equal">
      <formula>"Towel"</formula>
    </cfRule>
    <cfRule type="cellIs" dxfId="21066" priority="11526" stopIfTrue="1" operator="equal">
      <formula>"Napkin Hs"</formula>
    </cfRule>
  </conditionalFormatting>
  <conditionalFormatting sqref="C65">
    <cfRule type="cellIs" dxfId="21065" priority="11521" stopIfTrue="1" operator="equal">
      <formula>"Towel"</formula>
    </cfRule>
    <cfRule type="cellIs" dxfId="21064" priority="11522" stopIfTrue="1" operator="equal">
      <formula>"Napkin Hs"</formula>
    </cfRule>
  </conditionalFormatting>
  <conditionalFormatting sqref="C65">
    <cfRule type="cellIs" dxfId="21063" priority="11519" stopIfTrue="1" operator="equal">
      <formula>"Towel"</formula>
    </cfRule>
    <cfRule type="cellIs" dxfId="21062" priority="11520" stopIfTrue="1" operator="equal">
      <formula>"Napkin Hs"</formula>
    </cfRule>
  </conditionalFormatting>
  <conditionalFormatting sqref="C65">
    <cfRule type="cellIs" dxfId="21061" priority="11527" stopIfTrue="1" operator="equal">
      <formula>"Towel"</formula>
    </cfRule>
    <cfRule type="cellIs" dxfId="21060" priority="11528" stopIfTrue="1" operator="equal">
      <formula>"Napkin Hs"</formula>
    </cfRule>
  </conditionalFormatting>
  <conditionalFormatting sqref="C65">
    <cfRule type="cellIs" dxfId="21059" priority="11529" stopIfTrue="1" operator="equal">
      <formula>"Towel"</formula>
    </cfRule>
    <cfRule type="cellIs" dxfId="21058" priority="11530" stopIfTrue="1" operator="equal">
      <formula>"Napkin Hs"</formula>
    </cfRule>
  </conditionalFormatting>
  <conditionalFormatting sqref="C65">
    <cfRule type="cellIs" dxfId="21057" priority="11515" stopIfTrue="1" operator="equal">
      <formula>"Towel"</formula>
    </cfRule>
    <cfRule type="cellIs" dxfId="21056" priority="11516" stopIfTrue="1" operator="equal">
      <formula>"Napkin Hs"</formula>
    </cfRule>
  </conditionalFormatting>
  <conditionalFormatting sqref="C65">
    <cfRule type="cellIs" dxfId="21055" priority="11517" stopIfTrue="1" operator="equal">
      <formula>"Towel"</formula>
    </cfRule>
    <cfRule type="cellIs" dxfId="21054" priority="11518" stopIfTrue="1" operator="equal">
      <formula>"Napkin Hs"</formula>
    </cfRule>
  </conditionalFormatting>
  <conditionalFormatting sqref="C65">
    <cfRule type="cellIs" dxfId="21053" priority="11513" stopIfTrue="1" operator="equal">
      <formula>"Towel"</formula>
    </cfRule>
    <cfRule type="cellIs" dxfId="21052" priority="11514" stopIfTrue="1" operator="equal">
      <formula>"Napkin Hs"</formula>
    </cfRule>
  </conditionalFormatting>
  <conditionalFormatting sqref="C65">
    <cfRule type="cellIs" dxfId="21051" priority="11507" stopIfTrue="1" operator="equal">
      <formula>"Towel"</formula>
    </cfRule>
    <cfRule type="cellIs" dxfId="21050" priority="11508" stopIfTrue="1" operator="equal">
      <formula>"Napkin Hs"</formula>
    </cfRule>
  </conditionalFormatting>
  <conditionalFormatting sqref="C65">
    <cfRule type="cellIs" dxfId="21049" priority="11509" stopIfTrue="1" operator="equal">
      <formula>"Towel"</formula>
    </cfRule>
    <cfRule type="cellIs" dxfId="21048" priority="11510" stopIfTrue="1" operator="equal">
      <formula>"Napkin Hs"</formula>
    </cfRule>
  </conditionalFormatting>
  <conditionalFormatting sqref="C65">
    <cfRule type="cellIs" dxfId="21047" priority="11511" stopIfTrue="1" operator="equal">
      <formula>"Towel"</formula>
    </cfRule>
    <cfRule type="cellIs" dxfId="21046" priority="11512" stopIfTrue="1" operator="equal">
      <formula>"Napkin Hs"</formula>
    </cfRule>
  </conditionalFormatting>
  <conditionalFormatting sqref="C65">
    <cfRule type="cellIs" dxfId="21045" priority="11461" stopIfTrue="1" operator="equal">
      <formula>"Towel"</formula>
    </cfRule>
    <cfRule type="cellIs" dxfId="21044" priority="11462" stopIfTrue="1" operator="equal">
      <formula>"Napkin Hs"</formula>
    </cfRule>
  </conditionalFormatting>
  <conditionalFormatting sqref="C65">
    <cfRule type="cellIs" dxfId="21043" priority="11463" stopIfTrue="1" operator="equal">
      <formula>"Towel"</formula>
    </cfRule>
    <cfRule type="cellIs" dxfId="21042" priority="11464" stopIfTrue="1" operator="equal">
      <formula>"Napkin Hs"</formula>
    </cfRule>
  </conditionalFormatting>
  <conditionalFormatting sqref="C65">
    <cfRule type="cellIs" dxfId="21041" priority="11459" stopIfTrue="1" operator="equal">
      <formula>"Towel"</formula>
    </cfRule>
    <cfRule type="cellIs" dxfId="21040" priority="11460" stopIfTrue="1" operator="equal">
      <formula>"Napkin Hs"</formula>
    </cfRule>
  </conditionalFormatting>
  <conditionalFormatting sqref="C65">
    <cfRule type="cellIs" dxfId="21039" priority="11457" stopIfTrue="1" operator="equal">
      <formula>"Towel"</formula>
    </cfRule>
    <cfRule type="cellIs" dxfId="21038" priority="11458" stopIfTrue="1" operator="equal">
      <formula>"Napkin Hs"</formula>
    </cfRule>
  </conditionalFormatting>
  <conditionalFormatting sqref="C65">
    <cfRule type="cellIs" dxfId="21037" priority="11453" stopIfTrue="1" operator="equal">
      <formula>"Towel"</formula>
    </cfRule>
    <cfRule type="cellIs" dxfId="21036" priority="11454" stopIfTrue="1" operator="equal">
      <formula>"Napkin Hs"</formula>
    </cfRule>
  </conditionalFormatting>
  <conditionalFormatting sqref="C65">
    <cfRule type="cellIs" dxfId="21035" priority="11455" stopIfTrue="1" operator="equal">
      <formula>"Towel"</formula>
    </cfRule>
    <cfRule type="cellIs" dxfId="21034" priority="11456" stopIfTrue="1" operator="equal">
      <formula>"Napkin Hs"</formula>
    </cfRule>
  </conditionalFormatting>
  <conditionalFormatting sqref="C65">
    <cfRule type="cellIs" dxfId="21033" priority="11505" stopIfTrue="1" operator="equal">
      <formula>"Towel"</formula>
    </cfRule>
    <cfRule type="cellIs" dxfId="21032" priority="11506" stopIfTrue="1" operator="equal">
      <formula>"Napkin Hs"</formula>
    </cfRule>
  </conditionalFormatting>
  <conditionalFormatting sqref="C65">
    <cfRule type="cellIs" dxfId="21031" priority="11501" stopIfTrue="1" operator="equal">
      <formula>"Towel"</formula>
    </cfRule>
    <cfRule type="cellIs" dxfId="21030" priority="11502" stopIfTrue="1" operator="equal">
      <formula>"Napkin Hs"</formula>
    </cfRule>
  </conditionalFormatting>
  <conditionalFormatting sqref="C65">
    <cfRule type="cellIs" dxfId="21029" priority="11504" stopIfTrue="1" operator="equal">
      <formula>"Napkin Hs"</formula>
    </cfRule>
  </conditionalFormatting>
  <conditionalFormatting sqref="C65">
    <cfRule type="cellIs" dxfId="21028" priority="11503" stopIfTrue="1" operator="equal">
      <formula>"Towel"</formula>
    </cfRule>
  </conditionalFormatting>
  <conditionalFormatting sqref="C65">
    <cfRule type="cellIs" dxfId="21027" priority="11495" stopIfTrue="1" operator="equal">
      <formula>"Towel"</formula>
    </cfRule>
    <cfRule type="cellIs" dxfId="21026" priority="11496" stopIfTrue="1" operator="equal">
      <formula>"Napkin Hs"</formula>
    </cfRule>
  </conditionalFormatting>
  <conditionalFormatting sqref="C65">
    <cfRule type="cellIs" dxfId="21025" priority="11499" stopIfTrue="1" operator="equal">
      <formula>"Towel"</formula>
    </cfRule>
    <cfRule type="cellIs" dxfId="21024" priority="11500" stopIfTrue="1" operator="equal">
      <formula>"Napkin Hs"</formula>
    </cfRule>
  </conditionalFormatting>
  <conditionalFormatting sqref="C65">
    <cfRule type="cellIs" dxfId="21023" priority="11497" stopIfTrue="1" operator="equal">
      <formula>"Towel"</formula>
    </cfRule>
    <cfRule type="cellIs" dxfId="21022" priority="11498" stopIfTrue="1" operator="equal">
      <formula>"Napkin Hs"</formula>
    </cfRule>
  </conditionalFormatting>
  <conditionalFormatting sqref="C65">
    <cfRule type="cellIs" dxfId="21021" priority="11489" stopIfTrue="1" operator="equal">
      <formula>"Towel"</formula>
    </cfRule>
    <cfRule type="cellIs" dxfId="21020" priority="11490" stopIfTrue="1" operator="equal">
      <formula>"Napkin Hs"</formula>
    </cfRule>
  </conditionalFormatting>
  <conditionalFormatting sqref="C65">
    <cfRule type="cellIs" dxfId="21019" priority="11491" stopIfTrue="1" operator="equal">
      <formula>"Towel"</formula>
    </cfRule>
    <cfRule type="cellIs" dxfId="21018" priority="11492" stopIfTrue="1" operator="equal">
      <formula>"Napkin Hs"</formula>
    </cfRule>
  </conditionalFormatting>
  <conditionalFormatting sqref="C65">
    <cfRule type="cellIs" dxfId="21017" priority="11493" stopIfTrue="1" operator="equal">
      <formula>"Towel"</formula>
    </cfRule>
    <cfRule type="cellIs" dxfId="21016" priority="11494" stopIfTrue="1" operator="equal">
      <formula>"Napkin Hs"</formula>
    </cfRule>
  </conditionalFormatting>
  <conditionalFormatting sqref="C65">
    <cfRule type="cellIs" dxfId="21015" priority="11483" stopIfTrue="1" operator="equal">
      <formula>"Towel"</formula>
    </cfRule>
    <cfRule type="cellIs" dxfId="21014" priority="11484" stopIfTrue="1" operator="equal">
      <formula>"Napkin Hs"</formula>
    </cfRule>
  </conditionalFormatting>
  <conditionalFormatting sqref="C65">
    <cfRule type="cellIs" dxfId="21013" priority="11487" stopIfTrue="1" operator="equal">
      <formula>"Towel"</formula>
    </cfRule>
    <cfRule type="cellIs" dxfId="21012" priority="11488" stopIfTrue="1" operator="equal">
      <formula>"Napkin Hs"</formula>
    </cfRule>
  </conditionalFormatting>
  <conditionalFormatting sqref="C65">
    <cfRule type="cellIs" dxfId="21011" priority="11485" stopIfTrue="1" operator="equal">
      <formula>"Towel"</formula>
    </cfRule>
    <cfRule type="cellIs" dxfId="21010" priority="11486" stopIfTrue="1" operator="equal">
      <formula>"Napkin Hs"</formula>
    </cfRule>
  </conditionalFormatting>
  <conditionalFormatting sqref="C65">
    <cfRule type="cellIs" dxfId="21009" priority="11477" stopIfTrue="1" operator="equal">
      <formula>"Towel"</formula>
    </cfRule>
    <cfRule type="cellIs" dxfId="21008" priority="11478" stopIfTrue="1" operator="equal">
      <formula>"Napkin Hs"</formula>
    </cfRule>
  </conditionalFormatting>
  <conditionalFormatting sqref="C65">
    <cfRule type="cellIs" dxfId="21007" priority="11479" stopIfTrue="1" operator="equal">
      <formula>"Towel"</formula>
    </cfRule>
    <cfRule type="cellIs" dxfId="21006" priority="11480" stopIfTrue="1" operator="equal">
      <formula>"Napkin Hs"</formula>
    </cfRule>
  </conditionalFormatting>
  <conditionalFormatting sqref="C65">
    <cfRule type="cellIs" dxfId="21005" priority="11481" stopIfTrue="1" operator="equal">
      <formula>"Towel"</formula>
    </cfRule>
    <cfRule type="cellIs" dxfId="21004" priority="11482" stopIfTrue="1" operator="equal">
      <formula>"Napkin Hs"</formula>
    </cfRule>
  </conditionalFormatting>
  <conditionalFormatting sqref="C65">
    <cfRule type="cellIs" dxfId="21003" priority="11475" stopIfTrue="1" operator="equal">
      <formula>"Towel"</formula>
    </cfRule>
    <cfRule type="cellIs" dxfId="21002" priority="11476" stopIfTrue="1" operator="equal">
      <formula>"Napkin Hs"</formula>
    </cfRule>
  </conditionalFormatting>
  <conditionalFormatting sqref="C65">
    <cfRule type="cellIs" dxfId="21001" priority="11471" stopIfTrue="1" operator="equal">
      <formula>"Towel"</formula>
    </cfRule>
    <cfRule type="cellIs" dxfId="21000" priority="11472" stopIfTrue="1" operator="equal">
      <formula>"Napkin Hs"</formula>
    </cfRule>
  </conditionalFormatting>
  <conditionalFormatting sqref="C65">
    <cfRule type="cellIs" dxfId="20999" priority="11473" stopIfTrue="1" operator="equal">
      <formula>"Towel"</formula>
    </cfRule>
    <cfRule type="cellIs" dxfId="20998" priority="11474" stopIfTrue="1" operator="equal">
      <formula>"Napkin Hs"</formula>
    </cfRule>
  </conditionalFormatting>
  <conditionalFormatting sqref="C65">
    <cfRule type="cellIs" dxfId="20997" priority="11469" stopIfTrue="1" operator="equal">
      <formula>"Towel"</formula>
    </cfRule>
    <cfRule type="cellIs" dxfId="20996" priority="11470" stopIfTrue="1" operator="equal">
      <formula>"Napkin Hs"</formula>
    </cfRule>
  </conditionalFormatting>
  <conditionalFormatting sqref="C65">
    <cfRule type="cellIs" dxfId="20995" priority="11467" stopIfTrue="1" operator="equal">
      <formula>"Towel"</formula>
    </cfRule>
    <cfRule type="cellIs" dxfId="20994" priority="11468" stopIfTrue="1" operator="equal">
      <formula>"Napkin Hs"</formula>
    </cfRule>
  </conditionalFormatting>
  <conditionalFormatting sqref="C65">
    <cfRule type="cellIs" dxfId="20993" priority="11465" stopIfTrue="1" operator="equal">
      <formula>"Towel"</formula>
    </cfRule>
    <cfRule type="cellIs" dxfId="20992" priority="11466" stopIfTrue="1" operator="equal">
      <formula>"Napkin Hs"</formula>
    </cfRule>
  </conditionalFormatting>
  <conditionalFormatting sqref="C65">
    <cfRule type="cellIs" dxfId="20991" priority="11449" stopIfTrue="1" operator="equal">
      <formula>"Towel"</formula>
    </cfRule>
    <cfRule type="cellIs" dxfId="20990" priority="11450" stopIfTrue="1" operator="equal">
      <formula>"Napkin Hs"</formula>
    </cfRule>
  </conditionalFormatting>
  <conditionalFormatting sqref="C65">
    <cfRule type="cellIs" dxfId="20989" priority="11451" stopIfTrue="1" operator="equal">
      <formula>"Towel"</formula>
    </cfRule>
    <cfRule type="cellIs" dxfId="20988" priority="11452" stopIfTrue="1" operator="equal">
      <formula>"Napkin Hs"</formula>
    </cfRule>
  </conditionalFormatting>
  <conditionalFormatting sqref="C65">
    <cfRule type="cellIs" dxfId="20987" priority="11447" stopIfTrue="1" operator="equal">
      <formula>"Towel"</formula>
    </cfRule>
    <cfRule type="cellIs" dxfId="20986" priority="11448" stopIfTrue="1" operator="equal">
      <formula>"Napkin Hs"</formula>
    </cfRule>
  </conditionalFormatting>
  <conditionalFormatting sqref="C65">
    <cfRule type="cellIs" dxfId="20985" priority="11445" stopIfTrue="1" operator="equal">
      <formula>"Towel"</formula>
    </cfRule>
    <cfRule type="cellIs" dxfId="20984" priority="11446" stopIfTrue="1" operator="equal">
      <formula>"Napkin Hs"</formula>
    </cfRule>
  </conditionalFormatting>
  <conditionalFormatting sqref="C65">
    <cfRule type="cellIs" dxfId="20983" priority="11441" stopIfTrue="1" operator="equal">
      <formula>"Towel"</formula>
    </cfRule>
    <cfRule type="cellIs" dxfId="20982" priority="11442" stopIfTrue="1" operator="equal">
      <formula>"Napkin Hs"</formula>
    </cfRule>
  </conditionalFormatting>
  <conditionalFormatting sqref="C65">
    <cfRule type="cellIs" dxfId="20981" priority="11443" stopIfTrue="1" operator="equal">
      <formula>"Towel"</formula>
    </cfRule>
    <cfRule type="cellIs" dxfId="20980" priority="11444" stopIfTrue="1" operator="equal">
      <formula>"Napkin Hs"</formula>
    </cfRule>
  </conditionalFormatting>
  <conditionalFormatting sqref="C65">
    <cfRule type="cellIs" dxfId="20979" priority="11437" stopIfTrue="1" operator="equal">
      <formula>"Towel"</formula>
    </cfRule>
    <cfRule type="cellIs" dxfId="20978" priority="11438" stopIfTrue="1" operator="equal">
      <formula>"Napkin Hs"</formula>
    </cfRule>
  </conditionalFormatting>
  <conditionalFormatting sqref="C65">
    <cfRule type="cellIs" dxfId="20977" priority="11439" stopIfTrue="1" operator="equal">
      <formula>"Towel"</formula>
    </cfRule>
    <cfRule type="cellIs" dxfId="20976" priority="11440" stopIfTrue="1" operator="equal">
      <formula>"Napkin Hs"</formula>
    </cfRule>
  </conditionalFormatting>
  <conditionalFormatting sqref="C65">
    <cfRule type="cellIs" dxfId="20975" priority="11435" stopIfTrue="1" operator="equal">
      <formula>"Towel"</formula>
    </cfRule>
    <cfRule type="cellIs" dxfId="20974" priority="11436" stopIfTrue="1" operator="equal">
      <formula>"Napkin Hs"</formula>
    </cfRule>
  </conditionalFormatting>
  <conditionalFormatting sqref="C65">
    <cfRule type="cellIs" dxfId="20973" priority="11433" stopIfTrue="1" operator="equal">
      <formula>"Towel"</formula>
    </cfRule>
    <cfRule type="cellIs" dxfId="20972" priority="11434" stopIfTrue="1" operator="equal">
      <formula>"Napkin Hs"</formula>
    </cfRule>
  </conditionalFormatting>
  <conditionalFormatting sqref="C65">
    <cfRule type="cellIs" dxfId="20971" priority="11429" stopIfTrue="1" operator="equal">
      <formula>"Towel"</formula>
    </cfRule>
    <cfRule type="cellIs" dxfId="20970" priority="11430" stopIfTrue="1" operator="equal">
      <formula>"Napkin Hs"</formula>
    </cfRule>
  </conditionalFormatting>
  <conditionalFormatting sqref="C65">
    <cfRule type="cellIs" dxfId="20969" priority="11431" stopIfTrue="1" operator="equal">
      <formula>"Towel"</formula>
    </cfRule>
    <cfRule type="cellIs" dxfId="20968" priority="11432" stopIfTrue="1" operator="equal">
      <formula>"Napkin Hs"</formula>
    </cfRule>
  </conditionalFormatting>
  <conditionalFormatting sqref="B65">
    <cfRule type="cellIs" dxfId="20967" priority="11427" stopIfTrue="1" operator="equal">
      <formula>"Towel"</formula>
    </cfRule>
    <cfRule type="cellIs" dxfId="20966" priority="11428" stopIfTrue="1" operator="equal">
      <formula>"Napkin Hs"</formula>
    </cfRule>
  </conditionalFormatting>
  <conditionalFormatting sqref="B65">
    <cfRule type="cellIs" dxfId="20965" priority="11411" stopIfTrue="1" operator="equal">
      <formula>"Towel"</formula>
    </cfRule>
    <cfRule type="cellIs" dxfId="20964" priority="11412" stopIfTrue="1" operator="equal">
      <formula>"Napkin Hs"</formula>
    </cfRule>
  </conditionalFormatting>
  <conditionalFormatting sqref="B65">
    <cfRule type="cellIs" dxfId="20963" priority="11409" stopIfTrue="1" operator="equal">
      <formula>"Towel"</formula>
    </cfRule>
    <cfRule type="cellIs" dxfId="20962" priority="11410" stopIfTrue="1" operator="equal">
      <formula>"Napkin Hs"</formula>
    </cfRule>
  </conditionalFormatting>
  <conditionalFormatting sqref="B65">
    <cfRule type="cellIs" dxfId="20961" priority="11425" stopIfTrue="1" operator="equal">
      <formula>"Towel"</formula>
    </cfRule>
    <cfRule type="cellIs" dxfId="20960" priority="11426" stopIfTrue="1" operator="equal">
      <formula>"Napkin Hs"</formula>
    </cfRule>
  </conditionalFormatting>
  <conditionalFormatting sqref="B65">
    <cfRule type="cellIs" dxfId="20959" priority="11421" stopIfTrue="1" operator="equal">
      <formula>"Towel"</formula>
    </cfRule>
    <cfRule type="cellIs" dxfId="20958" priority="11422" stopIfTrue="1" operator="equal">
      <formula>"Napkin Hs"</formula>
    </cfRule>
  </conditionalFormatting>
  <conditionalFormatting sqref="B65">
    <cfRule type="cellIs" dxfId="20957" priority="11423" stopIfTrue="1" operator="equal">
      <formula>"Towel"</formula>
    </cfRule>
    <cfRule type="cellIs" dxfId="20956" priority="11424" stopIfTrue="1" operator="equal">
      <formula>"Napkin Hs"</formula>
    </cfRule>
  </conditionalFormatting>
  <conditionalFormatting sqref="B65">
    <cfRule type="cellIs" dxfId="20955" priority="11417" stopIfTrue="1" operator="equal">
      <formula>"Towel"</formula>
    </cfRule>
    <cfRule type="cellIs" dxfId="20954" priority="11418" stopIfTrue="1" operator="equal">
      <formula>"Napkin Hs"</formula>
    </cfRule>
  </conditionalFormatting>
  <conditionalFormatting sqref="B65">
    <cfRule type="cellIs" dxfId="20953" priority="11419" stopIfTrue="1" operator="equal">
      <formula>"Towel"</formula>
    </cfRule>
    <cfRule type="cellIs" dxfId="20952" priority="11420" stopIfTrue="1" operator="equal">
      <formula>"Napkin Hs"</formula>
    </cfRule>
  </conditionalFormatting>
  <conditionalFormatting sqref="B65">
    <cfRule type="cellIs" dxfId="20951" priority="11415" stopIfTrue="1" operator="equal">
      <formula>"Towel"</formula>
    </cfRule>
    <cfRule type="cellIs" dxfId="20950" priority="11416" stopIfTrue="1" operator="equal">
      <formula>"Napkin Hs"</formula>
    </cfRule>
  </conditionalFormatting>
  <conditionalFormatting sqref="B65">
    <cfRule type="cellIs" dxfId="20949" priority="11413" stopIfTrue="1" operator="equal">
      <formula>"Towel"</formula>
    </cfRule>
    <cfRule type="cellIs" dxfId="20948" priority="11414" stopIfTrue="1" operator="equal">
      <formula>"Napkin Hs"</formula>
    </cfRule>
  </conditionalFormatting>
  <conditionalFormatting sqref="B65">
    <cfRule type="cellIs" dxfId="20947" priority="11407" stopIfTrue="1" operator="equal">
      <formula>"Towel"</formula>
    </cfRule>
    <cfRule type="cellIs" dxfId="20946" priority="11408" stopIfTrue="1" operator="equal">
      <formula>"Napkin Hs"</formula>
    </cfRule>
  </conditionalFormatting>
  <conditionalFormatting sqref="B65">
    <cfRule type="cellIs" dxfId="20945" priority="11405" stopIfTrue="1" operator="equal">
      <formula>"Towel"</formula>
    </cfRule>
    <cfRule type="cellIs" dxfId="20944" priority="11406" stopIfTrue="1" operator="equal">
      <formula>"Napkin Hs"</formula>
    </cfRule>
  </conditionalFormatting>
  <conditionalFormatting sqref="B65">
    <cfRule type="cellIs" dxfId="20943" priority="11403" stopIfTrue="1" operator="equal">
      <formula>"Towel"</formula>
    </cfRule>
    <cfRule type="cellIs" dxfId="20942" priority="11404" stopIfTrue="1" operator="equal">
      <formula>"Napkin Hs"</formula>
    </cfRule>
  </conditionalFormatting>
  <conditionalFormatting sqref="B65">
    <cfRule type="cellIs" dxfId="20941" priority="11401" stopIfTrue="1" operator="equal">
      <formula>"Towel"</formula>
    </cfRule>
    <cfRule type="cellIs" dxfId="20940" priority="11402" stopIfTrue="1" operator="equal">
      <formula>"Napkin Hs"</formula>
    </cfRule>
  </conditionalFormatting>
  <conditionalFormatting sqref="C64">
    <cfRule type="cellIs" dxfId="20939" priority="11393" stopIfTrue="1" operator="equal">
      <formula>"Towel"</formula>
    </cfRule>
    <cfRule type="cellIs" dxfId="20938" priority="11394" stopIfTrue="1" operator="equal">
      <formula>"Napkin Hs"</formula>
    </cfRule>
  </conditionalFormatting>
  <conditionalFormatting sqref="C64">
    <cfRule type="cellIs" dxfId="20937" priority="11395" stopIfTrue="1" operator="equal">
      <formula>"Towel"</formula>
    </cfRule>
    <cfRule type="cellIs" dxfId="20936" priority="11396" stopIfTrue="1" operator="equal">
      <formula>"Napkin Hs"</formula>
    </cfRule>
  </conditionalFormatting>
  <conditionalFormatting sqref="C64">
    <cfRule type="cellIs" dxfId="20935" priority="11391" stopIfTrue="1" operator="equal">
      <formula>"Towel"</formula>
    </cfRule>
    <cfRule type="cellIs" dxfId="20934" priority="11392" stopIfTrue="1" operator="equal">
      <formula>"Napkin Hs"</formula>
    </cfRule>
  </conditionalFormatting>
  <conditionalFormatting sqref="C64">
    <cfRule type="cellIs" dxfId="20933" priority="11389" stopIfTrue="1" operator="equal">
      <formula>"Towel"</formula>
    </cfRule>
    <cfRule type="cellIs" dxfId="20932" priority="11390" stopIfTrue="1" operator="equal">
      <formula>"Napkin Hs"</formula>
    </cfRule>
  </conditionalFormatting>
  <conditionalFormatting sqref="C64">
    <cfRule type="cellIs" dxfId="20931" priority="11397" stopIfTrue="1" operator="equal">
      <formula>"Towel"</formula>
    </cfRule>
    <cfRule type="cellIs" dxfId="20930" priority="11398" stopIfTrue="1" operator="equal">
      <formula>"Napkin Hs"</formula>
    </cfRule>
  </conditionalFormatting>
  <conditionalFormatting sqref="C64">
    <cfRule type="cellIs" dxfId="20929" priority="11399" stopIfTrue="1" operator="equal">
      <formula>"Towel"</formula>
    </cfRule>
    <cfRule type="cellIs" dxfId="20928" priority="11400" stopIfTrue="1" operator="equal">
      <formula>"Napkin Hs"</formula>
    </cfRule>
  </conditionalFormatting>
  <conditionalFormatting sqref="C64">
    <cfRule type="cellIs" dxfId="20927" priority="11385" stopIfTrue="1" operator="equal">
      <formula>"Towel"</formula>
    </cfRule>
    <cfRule type="cellIs" dxfId="20926" priority="11386" stopIfTrue="1" operator="equal">
      <formula>"Napkin Hs"</formula>
    </cfRule>
  </conditionalFormatting>
  <conditionalFormatting sqref="C64">
    <cfRule type="cellIs" dxfId="20925" priority="11387" stopIfTrue="1" operator="equal">
      <formula>"Towel"</formula>
    </cfRule>
    <cfRule type="cellIs" dxfId="20924" priority="11388" stopIfTrue="1" operator="equal">
      <formula>"Napkin Hs"</formula>
    </cfRule>
  </conditionalFormatting>
  <conditionalFormatting sqref="C64">
    <cfRule type="cellIs" dxfId="20923" priority="11383" stopIfTrue="1" operator="equal">
      <formula>"Towel"</formula>
    </cfRule>
    <cfRule type="cellIs" dxfId="20922" priority="11384" stopIfTrue="1" operator="equal">
      <formula>"Napkin Hs"</formula>
    </cfRule>
  </conditionalFormatting>
  <conditionalFormatting sqref="C64">
    <cfRule type="cellIs" dxfId="20921" priority="11377" stopIfTrue="1" operator="equal">
      <formula>"Towel"</formula>
    </cfRule>
    <cfRule type="cellIs" dxfId="20920" priority="11378" stopIfTrue="1" operator="equal">
      <formula>"Napkin Hs"</formula>
    </cfRule>
  </conditionalFormatting>
  <conditionalFormatting sqref="C64">
    <cfRule type="cellIs" dxfId="20919" priority="11379" stopIfTrue="1" operator="equal">
      <formula>"Towel"</formula>
    </cfRule>
    <cfRule type="cellIs" dxfId="20918" priority="11380" stopIfTrue="1" operator="equal">
      <formula>"Napkin Hs"</formula>
    </cfRule>
  </conditionalFormatting>
  <conditionalFormatting sqref="C64">
    <cfRule type="cellIs" dxfId="20917" priority="11381" stopIfTrue="1" operator="equal">
      <formula>"Towel"</formula>
    </cfRule>
    <cfRule type="cellIs" dxfId="20916" priority="11382" stopIfTrue="1" operator="equal">
      <formula>"Napkin Hs"</formula>
    </cfRule>
  </conditionalFormatting>
  <conditionalFormatting sqref="C64">
    <cfRule type="cellIs" dxfId="20915" priority="11331" stopIfTrue="1" operator="equal">
      <formula>"Towel"</formula>
    </cfRule>
    <cfRule type="cellIs" dxfId="20914" priority="11332" stopIfTrue="1" operator="equal">
      <formula>"Napkin Hs"</formula>
    </cfRule>
  </conditionalFormatting>
  <conditionalFormatting sqref="C64">
    <cfRule type="cellIs" dxfId="20913" priority="11333" stopIfTrue="1" operator="equal">
      <formula>"Towel"</formula>
    </cfRule>
    <cfRule type="cellIs" dxfId="20912" priority="11334" stopIfTrue="1" operator="equal">
      <formula>"Napkin Hs"</formula>
    </cfRule>
  </conditionalFormatting>
  <conditionalFormatting sqref="C64">
    <cfRule type="cellIs" dxfId="20911" priority="11329" stopIfTrue="1" operator="equal">
      <formula>"Towel"</formula>
    </cfRule>
    <cfRule type="cellIs" dxfId="20910" priority="11330" stopIfTrue="1" operator="equal">
      <formula>"Napkin Hs"</formula>
    </cfRule>
  </conditionalFormatting>
  <conditionalFormatting sqref="C64">
    <cfRule type="cellIs" dxfId="20909" priority="11327" stopIfTrue="1" operator="equal">
      <formula>"Towel"</formula>
    </cfRule>
    <cfRule type="cellIs" dxfId="20908" priority="11328" stopIfTrue="1" operator="equal">
      <formula>"Napkin Hs"</formula>
    </cfRule>
  </conditionalFormatting>
  <conditionalFormatting sqref="C64">
    <cfRule type="cellIs" dxfId="20907" priority="11323" stopIfTrue="1" operator="equal">
      <formula>"Towel"</formula>
    </cfRule>
    <cfRule type="cellIs" dxfId="20906" priority="11324" stopIfTrue="1" operator="equal">
      <formula>"Napkin Hs"</formula>
    </cfRule>
  </conditionalFormatting>
  <conditionalFormatting sqref="C64">
    <cfRule type="cellIs" dxfId="20905" priority="11325" stopIfTrue="1" operator="equal">
      <formula>"Towel"</formula>
    </cfRule>
    <cfRule type="cellIs" dxfId="20904" priority="11326" stopIfTrue="1" operator="equal">
      <formula>"Napkin Hs"</formula>
    </cfRule>
  </conditionalFormatting>
  <conditionalFormatting sqref="C64">
    <cfRule type="cellIs" dxfId="20903" priority="11375" stopIfTrue="1" operator="equal">
      <formula>"Towel"</formula>
    </cfRule>
    <cfRule type="cellIs" dxfId="20902" priority="11376" stopIfTrue="1" operator="equal">
      <formula>"Napkin Hs"</formula>
    </cfRule>
  </conditionalFormatting>
  <conditionalFormatting sqref="C64">
    <cfRule type="cellIs" dxfId="20901" priority="11371" stopIfTrue="1" operator="equal">
      <formula>"Towel"</formula>
    </cfRule>
    <cfRule type="cellIs" dxfId="20900" priority="11372" stopIfTrue="1" operator="equal">
      <formula>"Napkin Hs"</formula>
    </cfRule>
  </conditionalFormatting>
  <conditionalFormatting sqref="C64">
    <cfRule type="cellIs" dxfId="20899" priority="11374" stopIfTrue="1" operator="equal">
      <formula>"Napkin Hs"</formula>
    </cfRule>
  </conditionalFormatting>
  <conditionalFormatting sqref="C64">
    <cfRule type="cellIs" dxfId="20898" priority="11373" stopIfTrue="1" operator="equal">
      <formula>"Towel"</formula>
    </cfRule>
  </conditionalFormatting>
  <conditionalFormatting sqref="C64">
    <cfRule type="cellIs" dxfId="20897" priority="11365" stopIfTrue="1" operator="equal">
      <formula>"Towel"</formula>
    </cfRule>
    <cfRule type="cellIs" dxfId="20896" priority="11366" stopIfTrue="1" operator="equal">
      <formula>"Napkin Hs"</formula>
    </cfRule>
  </conditionalFormatting>
  <conditionalFormatting sqref="C64">
    <cfRule type="cellIs" dxfId="20895" priority="11369" stopIfTrue="1" operator="equal">
      <formula>"Towel"</formula>
    </cfRule>
    <cfRule type="cellIs" dxfId="20894" priority="11370" stopIfTrue="1" operator="equal">
      <formula>"Napkin Hs"</formula>
    </cfRule>
  </conditionalFormatting>
  <conditionalFormatting sqref="C64">
    <cfRule type="cellIs" dxfId="20893" priority="11367" stopIfTrue="1" operator="equal">
      <formula>"Towel"</formula>
    </cfRule>
    <cfRule type="cellIs" dxfId="20892" priority="11368" stopIfTrue="1" operator="equal">
      <formula>"Napkin Hs"</formula>
    </cfRule>
  </conditionalFormatting>
  <conditionalFormatting sqref="C64">
    <cfRule type="cellIs" dxfId="20891" priority="11359" stopIfTrue="1" operator="equal">
      <formula>"Towel"</formula>
    </cfRule>
    <cfRule type="cellIs" dxfId="20890" priority="11360" stopIfTrue="1" operator="equal">
      <formula>"Napkin Hs"</formula>
    </cfRule>
  </conditionalFormatting>
  <conditionalFormatting sqref="C64">
    <cfRule type="cellIs" dxfId="20889" priority="11361" stopIfTrue="1" operator="equal">
      <formula>"Towel"</formula>
    </cfRule>
    <cfRule type="cellIs" dxfId="20888" priority="11362" stopIfTrue="1" operator="equal">
      <formula>"Napkin Hs"</formula>
    </cfRule>
  </conditionalFormatting>
  <conditionalFormatting sqref="C64">
    <cfRule type="cellIs" dxfId="20887" priority="11363" stopIfTrue="1" operator="equal">
      <formula>"Towel"</formula>
    </cfRule>
    <cfRule type="cellIs" dxfId="20886" priority="11364" stopIfTrue="1" operator="equal">
      <formula>"Napkin Hs"</formula>
    </cfRule>
  </conditionalFormatting>
  <conditionalFormatting sqref="C64">
    <cfRule type="cellIs" dxfId="20885" priority="11353" stopIfTrue="1" operator="equal">
      <formula>"Towel"</formula>
    </cfRule>
    <cfRule type="cellIs" dxfId="20884" priority="11354" stopIfTrue="1" operator="equal">
      <formula>"Napkin Hs"</formula>
    </cfRule>
  </conditionalFormatting>
  <conditionalFormatting sqref="C64">
    <cfRule type="cellIs" dxfId="20883" priority="11357" stopIfTrue="1" operator="equal">
      <formula>"Towel"</formula>
    </cfRule>
    <cfRule type="cellIs" dxfId="20882" priority="11358" stopIfTrue="1" operator="equal">
      <formula>"Napkin Hs"</formula>
    </cfRule>
  </conditionalFormatting>
  <conditionalFormatting sqref="C64">
    <cfRule type="cellIs" dxfId="20881" priority="11355" stopIfTrue="1" operator="equal">
      <formula>"Towel"</formula>
    </cfRule>
    <cfRule type="cellIs" dxfId="20880" priority="11356" stopIfTrue="1" operator="equal">
      <formula>"Napkin Hs"</formula>
    </cfRule>
  </conditionalFormatting>
  <conditionalFormatting sqref="C64">
    <cfRule type="cellIs" dxfId="20879" priority="11347" stopIfTrue="1" operator="equal">
      <formula>"Towel"</formula>
    </cfRule>
    <cfRule type="cellIs" dxfId="20878" priority="11348" stopIfTrue="1" operator="equal">
      <formula>"Napkin Hs"</formula>
    </cfRule>
  </conditionalFormatting>
  <conditionalFormatting sqref="C64">
    <cfRule type="cellIs" dxfId="20877" priority="11349" stopIfTrue="1" operator="equal">
      <formula>"Towel"</formula>
    </cfRule>
    <cfRule type="cellIs" dxfId="20876" priority="11350" stopIfTrue="1" operator="equal">
      <formula>"Napkin Hs"</formula>
    </cfRule>
  </conditionalFormatting>
  <conditionalFormatting sqref="C64">
    <cfRule type="cellIs" dxfId="20875" priority="11351" stopIfTrue="1" operator="equal">
      <formula>"Towel"</formula>
    </cfRule>
    <cfRule type="cellIs" dxfId="20874" priority="11352" stopIfTrue="1" operator="equal">
      <formula>"Napkin Hs"</formula>
    </cfRule>
  </conditionalFormatting>
  <conditionalFormatting sqref="C64">
    <cfRule type="cellIs" dxfId="20873" priority="11345" stopIfTrue="1" operator="equal">
      <formula>"Towel"</formula>
    </cfRule>
    <cfRule type="cellIs" dxfId="20872" priority="11346" stopIfTrue="1" operator="equal">
      <formula>"Napkin Hs"</formula>
    </cfRule>
  </conditionalFormatting>
  <conditionalFormatting sqref="C64">
    <cfRule type="cellIs" dxfId="20871" priority="11341" stopIfTrue="1" operator="equal">
      <formula>"Towel"</formula>
    </cfRule>
    <cfRule type="cellIs" dxfId="20870" priority="11342" stopIfTrue="1" operator="equal">
      <formula>"Napkin Hs"</formula>
    </cfRule>
  </conditionalFormatting>
  <conditionalFormatting sqref="C64">
    <cfRule type="cellIs" dxfId="20869" priority="11343" stopIfTrue="1" operator="equal">
      <formula>"Towel"</formula>
    </cfRule>
    <cfRule type="cellIs" dxfId="20868" priority="11344" stopIfTrue="1" operator="equal">
      <formula>"Napkin Hs"</formula>
    </cfRule>
  </conditionalFormatting>
  <conditionalFormatting sqref="C64">
    <cfRule type="cellIs" dxfId="20867" priority="11339" stopIfTrue="1" operator="equal">
      <formula>"Towel"</formula>
    </cfRule>
    <cfRule type="cellIs" dxfId="20866" priority="11340" stopIfTrue="1" operator="equal">
      <formula>"Napkin Hs"</formula>
    </cfRule>
  </conditionalFormatting>
  <conditionalFormatting sqref="C64">
    <cfRule type="cellIs" dxfId="20865" priority="11337" stopIfTrue="1" operator="equal">
      <formula>"Towel"</formula>
    </cfRule>
    <cfRule type="cellIs" dxfId="20864" priority="11338" stopIfTrue="1" operator="equal">
      <formula>"Napkin Hs"</formula>
    </cfRule>
  </conditionalFormatting>
  <conditionalFormatting sqref="C64">
    <cfRule type="cellIs" dxfId="20863" priority="11335" stopIfTrue="1" operator="equal">
      <formula>"Towel"</formula>
    </cfRule>
    <cfRule type="cellIs" dxfId="20862" priority="11336" stopIfTrue="1" operator="equal">
      <formula>"Napkin Hs"</formula>
    </cfRule>
  </conditionalFormatting>
  <conditionalFormatting sqref="C64">
    <cfRule type="cellIs" dxfId="20861" priority="11319" stopIfTrue="1" operator="equal">
      <formula>"Towel"</formula>
    </cfRule>
    <cfRule type="cellIs" dxfId="20860" priority="11320" stopIfTrue="1" operator="equal">
      <formula>"Napkin Hs"</formula>
    </cfRule>
  </conditionalFormatting>
  <conditionalFormatting sqref="C64">
    <cfRule type="cellIs" dxfId="20859" priority="11321" stopIfTrue="1" operator="equal">
      <formula>"Towel"</formula>
    </cfRule>
    <cfRule type="cellIs" dxfId="20858" priority="11322" stopIfTrue="1" operator="equal">
      <formula>"Napkin Hs"</formula>
    </cfRule>
  </conditionalFormatting>
  <conditionalFormatting sqref="C64">
    <cfRule type="cellIs" dxfId="20857" priority="11317" stopIfTrue="1" operator="equal">
      <formula>"Towel"</formula>
    </cfRule>
    <cfRule type="cellIs" dxfId="20856" priority="11318" stopIfTrue="1" operator="equal">
      <formula>"Napkin Hs"</formula>
    </cfRule>
  </conditionalFormatting>
  <conditionalFormatting sqref="C64">
    <cfRule type="cellIs" dxfId="20855" priority="11315" stopIfTrue="1" operator="equal">
      <formula>"Towel"</formula>
    </cfRule>
    <cfRule type="cellIs" dxfId="20854" priority="11316" stopIfTrue="1" operator="equal">
      <formula>"Napkin Hs"</formula>
    </cfRule>
  </conditionalFormatting>
  <conditionalFormatting sqref="C64">
    <cfRule type="cellIs" dxfId="20853" priority="11311" stopIfTrue="1" operator="equal">
      <formula>"Towel"</formula>
    </cfRule>
    <cfRule type="cellIs" dxfId="20852" priority="11312" stopIfTrue="1" operator="equal">
      <formula>"Napkin Hs"</formula>
    </cfRule>
  </conditionalFormatting>
  <conditionalFormatting sqref="C64">
    <cfRule type="cellIs" dxfId="20851" priority="11313" stopIfTrue="1" operator="equal">
      <formula>"Towel"</formula>
    </cfRule>
    <cfRule type="cellIs" dxfId="20850" priority="11314" stopIfTrue="1" operator="equal">
      <formula>"Napkin Hs"</formula>
    </cfRule>
  </conditionalFormatting>
  <conditionalFormatting sqref="C64">
    <cfRule type="cellIs" dxfId="20849" priority="11307" stopIfTrue="1" operator="equal">
      <formula>"Towel"</formula>
    </cfRule>
    <cfRule type="cellIs" dxfId="20848" priority="11308" stopIfTrue="1" operator="equal">
      <formula>"Napkin Hs"</formula>
    </cfRule>
  </conditionalFormatting>
  <conditionalFormatting sqref="C64">
    <cfRule type="cellIs" dxfId="20847" priority="11309" stopIfTrue="1" operator="equal">
      <formula>"Towel"</formula>
    </cfRule>
    <cfRule type="cellIs" dxfId="20846" priority="11310" stopIfTrue="1" operator="equal">
      <formula>"Napkin Hs"</formula>
    </cfRule>
  </conditionalFormatting>
  <conditionalFormatting sqref="C64">
    <cfRule type="cellIs" dxfId="20845" priority="11305" stopIfTrue="1" operator="equal">
      <formula>"Towel"</formula>
    </cfRule>
    <cfRule type="cellIs" dxfId="20844" priority="11306" stopIfTrue="1" operator="equal">
      <formula>"Napkin Hs"</formula>
    </cfRule>
  </conditionalFormatting>
  <conditionalFormatting sqref="C64">
    <cfRule type="cellIs" dxfId="20843" priority="11303" stopIfTrue="1" operator="equal">
      <formula>"Towel"</formula>
    </cfRule>
    <cfRule type="cellIs" dxfId="20842" priority="11304" stopIfTrue="1" operator="equal">
      <formula>"Napkin Hs"</formula>
    </cfRule>
  </conditionalFormatting>
  <conditionalFormatting sqref="C64">
    <cfRule type="cellIs" dxfId="20841" priority="11299" stopIfTrue="1" operator="equal">
      <formula>"Towel"</formula>
    </cfRule>
    <cfRule type="cellIs" dxfId="20840" priority="11300" stopIfTrue="1" operator="equal">
      <formula>"Napkin Hs"</formula>
    </cfRule>
  </conditionalFormatting>
  <conditionalFormatting sqref="C64">
    <cfRule type="cellIs" dxfId="20839" priority="11301" stopIfTrue="1" operator="equal">
      <formula>"Towel"</formula>
    </cfRule>
    <cfRule type="cellIs" dxfId="20838" priority="11302" stopIfTrue="1" operator="equal">
      <formula>"Napkin Hs"</formula>
    </cfRule>
  </conditionalFormatting>
  <conditionalFormatting sqref="C63">
    <cfRule type="cellIs" dxfId="20837" priority="11291" stopIfTrue="1" operator="equal">
      <formula>"Towel"</formula>
    </cfRule>
    <cfRule type="cellIs" dxfId="20836" priority="11292" stopIfTrue="1" operator="equal">
      <formula>"Napkin Hs"</formula>
    </cfRule>
  </conditionalFormatting>
  <conditionalFormatting sqref="C63">
    <cfRule type="cellIs" dxfId="20835" priority="11293" stopIfTrue="1" operator="equal">
      <formula>"Towel"</formula>
    </cfRule>
    <cfRule type="cellIs" dxfId="20834" priority="11294" stopIfTrue="1" operator="equal">
      <formula>"Napkin Hs"</formula>
    </cfRule>
  </conditionalFormatting>
  <conditionalFormatting sqref="C63">
    <cfRule type="cellIs" dxfId="20833" priority="11289" stopIfTrue="1" operator="equal">
      <formula>"Towel"</formula>
    </cfRule>
    <cfRule type="cellIs" dxfId="20832" priority="11290" stopIfTrue="1" operator="equal">
      <formula>"Napkin Hs"</formula>
    </cfRule>
  </conditionalFormatting>
  <conditionalFormatting sqref="C63">
    <cfRule type="cellIs" dxfId="20831" priority="11287" stopIfTrue="1" operator="equal">
      <formula>"Towel"</formula>
    </cfRule>
    <cfRule type="cellIs" dxfId="20830" priority="11288" stopIfTrue="1" operator="equal">
      <formula>"Napkin Hs"</formula>
    </cfRule>
  </conditionalFormatting>
  <conditionalFormatting sqref="C63">
    <cfRule type="cellIs" dxfId="20829" priority="11295" stopIfTrue="1" operator="equal">
      <formula>"Towel"</formula>
    </cfRule>
    <cfRule type="cellIs" dxfId="20828" priority="11296" stopIfTrue="1" operator="equal">
      <formula>"Napkin Hs"</formula>
    </cfRule>
  </conditionalFormatting>
  <conditionalFormatting sqref="C63">
    <cfRule type="cellIs" dxfId="20827" priority="11297" stopIfTrue="1" operator="equal">
      <formula>"Towel"</formula>
    </cfRule>
    <cfRule type="cellIs" dxfId="20826" priority="11298" stopIfTrue="1" operator="equal">
      <formula>"Napkin Hs"</formula>
    </cfRule>
  </conditionalFormatting>
  <conditionalFormatting sqref="C63">
    <cfRule type="cellIs" dxfId="20825" priority="11283" stopIfTrue="1" operator="equal">
      <formula>"Towel"</formula>
    </cfRule>
    <cfRule type="cellIs" dxfId="20824" priority="11284" stopIfTrue="1" operator="equal">
      <formula>"Napkin Hs"</formula>
    </cfRule>
  </conditionalFormatting>
  <conditionalFormatting sqref="C63">
    <cfRule type="cellIs" dxfId="20823" priority="11285" stopIfTrue="1" operator="equal">
      <formula>"Towel"</formula>
    </cfRule>
    <cfRule type="cellIs" dxfId="20822" priority="11286" stopIfTrue="1" operator="equal">
      <formula>"Napkin Hs"</formula>
    </cfRule>
  </conditionalFormatting>
  <conditionalFormatting sqref="C63">
    <cfRule type="cellIs" dxfId="20821" priority="11281" stopIfTrue="1" operator="equal">
      <formula>"Towel"</formula>
    </cfRule>
    <cfRule type="cellIs" dxfId="20820" priority="11282" stopIfTrue="1" operator="equal">
      <formula>"Napkin Hs"</formula>
    </cfRule>
  </conditionalFormatting>
  <conditionalFormatting sqref="C63">
    <cfRule type="cellIs" dxfId="20819" priority="11275" stopIfTrue="1" operator="equal">
      <formula>"Towel"</formula>
    </cfRule>
    <cfRule type="cellIs" dxfId="20818" priority="11276" stopIfTrue="1" operator="equal">
      <formula>"Napkin Hs"</formula>
    </cfRule>
  </conditionalFormatting>
  <conditionalFormatting sqref="C63">
    <cfRule type="cellIs" dxfId="20817" priority="11277" stopIfTrue="1" operator="equal">
      <formula>"Towel"</formula>
    </cfRule>
    <cfRule type="cellIs" dxfId="20816" priority="11278" stopIfTrue="1" operator="equal">
      <formula>"Napkin Hs"</formula>
    </cfRule>
  </conditionalFormatting>
  <conditionalFormatting sqref="C63">
    <cfRule type="cellIs" dxfId="20815" priority="11279" stopIfTrue="1" operator="equal">
      <formula>"Towel"</formula>
    </cfRule>
    <cfRule type="cellIs" dxfId="20814" priority="11280" stopIfTrue="1" operator="equal">
      <formula>"Napkin Hs"</formula>
    </cfRule>
  </conditionalFormatting>
  <conditionalFormatting sqref="C63">
    <cfRule type="cellIs" dxfId="20813" priority="11229" stopIfTrue="1" operator="equal">
      <formula>"Towel"</formula>
    </cfRule>
    <cfRule type="cellIs" dxfId="20812" priority="11230" stopIfTrue="1" operator="equal">
      <formula>"Napkin Hs"</formula>
    </cfRule>
  </conditionalFormatting>
  <conditionalFormatting sqref="C63">
    <cfRule type="cellIs" dxfId="20811" priority="11231" stopIfTrue="1" operator="equal">
      <formula>"Towel"</formula>
    </cfRule>
    <cfRule type="cellIs" dxfId="20810" priority="11232" stopIfTrue="1" operator="equal">
      <formula>"Napkin Hs"</formula>
    </cfRule>
  </conditionalFormatting>
  <conditionalFormatting sqref="C63">
    <cfRule type="cellIs" dxfId="20809" priority="11227" stopIfTrue="1" operator="equal">
      <formula>"Towel"</formula>
    </cfRule>
    <cfRule type="cellIs" dxfId="20808" priority="11228" stopIfTrue="1" operator="equal">
      <formula>"Napkin Hs"</formula>
    </cfRule>
  </conditionalFormatting>
  <conditionalFormatting sqref="C63">
    <cfRule type="cellIs" dxfId="20807" priority="11225" stopIfTrue="1" operator="equal">
      <formula>"Towel"</formula>
    </cfRule>
    <cfRule type="cellIs" dxfId="20806" priority="11226" stopIfTrue="1" operator="equal">
      <formula>"Napkin Hs"</formula>
    </cfRule>
  </conditionalFormatting>
  <conditionalFormatting sqref="C63">
    <cfRule type="cellIs" dxfId="20805" priority="11221" stopIfTrue="1" operator="equal">
      <formula>"Towel"</formula>
    </cfRule>
    <cfRule type="cellIs" dxfId="20804" priority="11222" stopIfTrue="1" operator="equal">
      <formula>"Napkin Hs"</formula>
    </cfRule>
  </conditionalFormatting>
  <conditionalFormatting sqref="C63">
    <cfRule type="cellIs" dxfId="20803" priority="11223" stopIfTrue="1" operator="equal">
      <formula>"Towel"</formula>
    </cfRule>
    <cfRule type="cellIs" dxfId="20802" priority="11224" stopIfTrue="1" operator="equal">
      <formula>"Napkin Hs"</formula>
    </cfRule>
  </conditionalFormatting>
  <conditionalFormatting sqref="C63">
    <cfRule type="cellIs" dxfId="20801" priority="11273" stopIfTrue="1" operator="equal">
      <formula>"Towel"</formula>
    </cfRule>
    <cfRule type="cellIs" dxfId="20800" priority="11274" stopIfTrue="1" operator="equal">
      <formula>"Napkin Hs"</formula>
    </cfRule>
  </conditionalFormatting>
  <conditionalFormatting sqref="C63">
    <cfRule type="cellIs" dxfId="20799" priority="11269" stopIfTrue="1" operator="equal">
      <formula>"Towel"</formula>
    </cfRule>
    <cfRule type="cellIs" dxfId="20798" priority="11270" stopIfTrue="1" operator="equal">
      <formula>"Napkin Hs"</formula>
    </cfRule>
  </conditionalFormatting>
  <conditionalFormatting sqref="C63">
    <cfRule type="cellIs" dxfId="20797" priority="11272" stopIfTrue="1" operator="equal">
      <formula>"Napkin Hs"</formula>
    </cfRule>
  </conditionalFormatting>
  <conditionalFormatting sqref="C63">
    <cfRule type="cellIs" dxfId="20796" priority="11271" stopIfTrue="1" operator="equal">
      <formula>"Towel"</formula>
    </cfRule>
  </conditionalFormatting>
  <conditionalFormatting sqref="C63">
    <cfRule type="cellIs" dxfId="20795" priority="11263" stopIfTrue="1" operator="equal">
      <formula>"Towel"</formula>
    </cfRule>
    <cfRule type="cellIs" dxfId="20794" priority="11264" stopIfTrue="1" operator="equal">
      <formula>"Napkin Hs"</formula>
    </cfRule>
  </conditionalFormatting>
  <conditionalFormatting sqref="C63">
    <cfRule type="cellIs" dxfId="20793" priority="11267" stopIfTrue="1" operator="equal">
      <formula>"Towel"</formula>
    </cfRule>
    <cfRule type="cellIs" dxfId="20792" priority="11268" stopIfTrue="1" operator="equal">
      <formula>"Napkin Hs"</formula>
    </cfRule>
  </conditionalFormatting>
  <conditionalFormatting sqref="C63">
    <cfRule type="cellIs" dxfId="20791" priority="11265" stopIfTrue="1" operator="equal">
      <formula>"Towel"</formula>
    </cfRule>
    <cfRule type="cellIs" dxfId="20790" priority="11266" stopIfTrue="1" operator="equal">
      <formula>"Napkin Hs"</formula>
    </cfRule>
  </conditionalFormatting>
  <conditionalFormatting sqref="C63">
    <cfRule type="cellIs" dxfId="20789" priority="11257" stopIfTrue="1" operator="equal">
      <formula>"Towel"</formula>
    </cfRule>
    <cfRule type="cellIs" dxfId="20788" priority="11258" stopIfTrue="1" operator="equal">
      <formula>"Napkin Hs"</formula>
    </cfRule>
  </conditionalFormatting>
  <conditionalFormatting sqref="C63">
    <cfRule type="cellIs" dxfId="20787" priority="11259" stopIfTrue="1" operator="equal">
      <formula>"Towel"</formula>
    </cfRule>
    <cfRule type="cellIs" dxfId="20786" priority="11260" stopIfTrue="1" operator="equal">
      <formula>"Napkin Hs"</formula>
    </cfRule>
  </conditionalFormatting>
  <conditionalFormatting sqref="C63">
    <cfRule type="cellIs" dxfId="20785" priority="11261" stopIfTrue="1" operator="equal">
      <formula>"Towel"</formula>
    </cfRule>
    <cfRule type="cellIs" dxfId="20784" priority="11262" stopIfTrue="1" operator="equal">
      <formula>"Napkin Hs"</formula>
    </cfRule>
  </conditionalFormatting>
  <conditionalFormatting sqref="C63">
    <cfRule type="cellIs" dxfId="20783" priority="11251" stopIfTrue="1" operator="equal">
      <formula>"Towel"</formula>
    </cfRule>
    <cfRule type="cellIs" dxfId="20782" priority="11252" stopIfTrue="1" operator="equal">
      <formula>"Napkin Hs"</formula>
    </cfRule>
  </conditionalFormatting>
  <conditionalFormatting sqref="C63">
    <cfRule type="cellIs" dxfId="20781" priority="11255" stopIfTrue="1" operator="equal">
      <formula>"Towel"</formula>
    </cfRule>
    <cfRule type="cellIs" dxfId="20780" priority="11256" stopIfTrue="1" operator="equal">
      <formula>"Napkin Hs"</formula>
    </cfRule>
  </conditionalFormatting>
  <conditionalFormatting sqref="C63">
    <cfRule type="cellIs" dxfId="20779" priority="11253" stopIfTrue="1" operator="equal">
      <formula>"Towel"</formula>
    </cfRule>
    <cfRule type="cellIs" dxfId="20778" priority="11254" stopIfTrue="1" operator="equal">
      <formula>"Napkin Hs"</formula>
    </cfRule>
  </conditionalFormatting>
  <conditionalFormatting sqref="C63">
    <cfRule type="cellIs" dxfId="20777" priority="11245" stopIfTrue="1" operator="equal">
      <formula>"Towel"</formula>
    </cfRule>
    <cfRule type="cellIs" dxfId="20776" priority="11246" stopIfTrue="1" operator="equal">
      <formula>"Napkin Hs"</formula>
    </cfRule>
  </conditionalFormatting>
  <conditionalFormatting sqref="C63">
    <cfRule type="cellIs" dxfId="20775" priority="11247" stopIfTrue="1" operator="equal">
      <formula>"Towel"</formula>
    </cfRule>
    <cfRule type="cellIs" dxfId="20774" priority="11248" stopIfTrue="1" operator="equal">
      <formula>"Napkin Hs"</formula>
    </cfRule>
  </conditionalFormatting>
  <conditionalFormatting sqref="C63">
    <cfRule type="cellIs" dxfId="20773" priority="11249" stopIfTrue="1" operator="equal">
      <formula>"Towel"</formula>
    </cfRule>
    <cfRule type="cellIs" dxfId="20772" priority="11250" stopIfTrue="1" operator="equal">
      <formula>"Napkin Hs"</formula>
    </cfRule>
  </conditionalFormatting>
  <conditionalFormatting sqref="C63">
    <cfRule type="cellIs" dxfId="20771" priority="11243" stopIfTrue="1" operator="equal">
      <formula>"Towel"</formula>
    </cfRule>
    <cfRule type="cellIs" dxfId="20770" priority="11244" stopIfTrue="1" operator="equal">
      <formula>"Napkin Hs"</formula>
    </cfRule>
  </conditionalFormatting>
  <conditionalFormatting sqref="C63">
    <cfRule type="cellIs" dxfId="20769" priority="11239" stopIfTrue="1" operator="equal">
      <formula>"Towel"</formula>
    </cfRule>
    <cfRule type="cellIs" dxfId="20768" priority="11240" stopIfTrue="1" operator="equal">
      <formula>"Napkin Hs"</formula>
    </cfRule>
  </conditionalFormatting>
  <conditionalFormatting sqref="C63">
    <cfRule type="cellIs" dxfId="20767" priority="11241" stopIfTrue="1" operator="equal">
      <formula>"Towel"</formula>
    </cfRule>
    <cfRule type="cellIs" dxfId="20766" priority="11242" stopIfTrue="1" operator="equal">
      <formula>"Napkin Hs"</formula>
    </cfRule>
  </conditionalFormatting>
  <conditionalFormatting sqref="C63">
    <cfRule type="cellIs" dxfId="20765" priority="11237" stopIfTrue="1" operator="equal">
      <formula>"Towel"</formula>
    </cfRule>
    <cfRule type="cellIs" dxfId="20764" priority="11238" stopIfTrue="1" operator="equal">
      <formula>"Napkin Hs"</formula>
    </cfRule>
  </conditionalFormatting>
  <conditionalFormatting sqref="C63">
    <cfRule type="cellIs" dxfId="20763" priority="11235" stopIfTrue="1" operator="equal">
      <formula>"Towel"</formula>
    </cfRule>
    <cfRule type="cellIs" dxfId="20762" priority="11236" stopIfTrue="1" operator="equal">
      <formula>"Napkin Hs"</formula>
    </cfRule>
  </conditionalFormatting>
  <conditionalFormatting sqref="C63">
    <cfRule type="cellIs" dxfId="20761" priority="11233" stopIfTrue="1" operator="equal">
      <formula>"Towel"</formula>
    </cfRule>
    <cfRule type="cellIs" dxfId="20760" priority="11234" stopIfTrue="1" operator="equal">
      <formula>"Napkin Hs"</formula>
    </cfRule>
  </conditionalFormatting>
  <conditionalFormatting sqref="C63">
    <cfRule type="cellIs" dxfId="20759" priority="11217" stopIfTrue="1" operator="equal">
      <formula>"Towel"</formula>
    </cfRule>
    <cfRule type="cellIs" dxfId="20758" priority="11218" stopIfTrue="1" operator="equal">
      <formula>"Napkin Hs"</formula>
    </cfRule>
  </conditionalFormatting>
  <conditionalFormatting sqref="C63">
    <cfRule type="cellIs" dxfId="20757" priority="11219" stopIfTrue="1" operator="equal">
      <formula>"Towel"</formula>
    </cfRule>
    <cfRule type="cellIs" dxfId="20756" priority="11220" stopIfTrue="1" operator="equal">
      <formula>"Napkin Hs"</formula>
    </cfRule>
  </conditionalFormatting>
  <conditionalFormatting sqref="C63">
    <cfRule type="cellIs" dxfId="20755" priority="11215" stopIfTrue="1" operator="equal">
      <formula>"Towel"</formula>
    </cfRule>
    <cfRule type="cellIs" dxfId="20754" priority="11216" stopIfTrue="1" operator="equal">
      <formula>"Napkin Hs"</formula>
    </cfRule>
  </conditionalFormatting>
  <conditionalFormatting sqref="C63">
    <cfRule type="cellIs" dxfId="20753" priority="11213" stopIfTrue="1" operator="equal">
      <formula>"Towel"</formula>
    </cfRule>
    <cfRule type="cellIs" dxfId="20752" priority="11214" stopIfTrue="1" operator="equal">
      <formula>"Napkin Hs"</formula>
    </cfRule>
  </conditionalFormatting>
  <conditionalFormatting sqref="C63">
    <cfRule type="cellIs" dxfId="20751" priority="11209" stopIfTrue="1" operator="equal">
      <formula>"Towel"</formula>
    </cfRule>
    <cfRule type="cellIs" dxfId="20750" priority="11210" stopIfTrue="1" operator="equal">
      <formula>"Napkin Hs"</formula>
    </cfRule>
  </conditionalFormatting>
  <conditionalFormatting sqref="C63">
    <cfRule type="cellIs" dxfId="20749" priority="11211" stopIfTrue="1" operator="equal">
      <formula>"Towel"</formula>
    </cfRule>
    <cfRule type="cellIs" dxfId="20748" priority="11212" stopIfTrue="1" operator="equal">
      <formula>"Napkin Hs"</formula>
    </cfRule>
  </conditionalFormatting>
  <conditionalFormatting sqref="C63">
    <cfRule type="cellIs" dxfId="20747" priority="11205" stopIfTrue="1" operator="equal">
      <formula>"Towel"</formula>
    </cfRule>
    <cfRule type="cellIs" dxfId="20746" priority="11206" stopIfTrue="1" operator="equal">
      <formula>"Napkin Hs"</formula>
    </cfRule>
  </conditionalFormatting>
  <conditionalFormatting sqref="C63">
    <cfRule type="cellIs" dxfId="20745" priority="11207" stopIfTrue="1" operator="equal">
      <formula>"Towel"</formula>
    </cfRule>
    <cfRule type="cellIs" dxfId="20744" priority="11208" stopIfTrue="1" operator="equal">
      <formula>"Napkin Hs"</formula>
    </cfRule>
  </conditionalFormatting>
  <conditionalFormatting sqref="C63">
    <cfRule type="cellIs" dxfId="20743" priority="11203" stopIfTrue="1" operator="equal">
      <formula>"Towel"</formula>
    </cfRule>
    <cfRule type="cellIs" dxfId="20742" priority="11204" stopIfTrue="1" operator="equal">
      <formula>"Napkin Hs"</formula>
    </cfRule>
  </conditionalFormatting>
  <conditionalFormatting sqref="C63">
    <cfRule type="cellIs" dxfId="20741" priority="11201" stopIfTrue="1" operator="equal">
      <formula>"Towel"</formula>
    </cfRule>
    <cfRule type="cellIs" dxfId="20740" priority="11202" stopIfTrue="1" operator="equal">
      <formula>"Napkin Hs"</formula>
    </cfRule>
  </conditionalFormatting>
  <conditionalFormatting sqref="C63">
    <cfRule type="cellIs" dxfId="20739" priority="11197" stopIfTrue="1" operator="equal">
      <formula>"Towel"</formula>
    </cfRule>
    <cfRule type="cellIs" dxfId="20738" priority="11198" stopIfTrue="1" operator="equal">
      <formula>"Napkin Hs"</formula>
    </cfRule>
  </conditionalFormatting>
  <conditionalFormatting sqref="C63">
    <cfRule type="cellIs" dxfId="20737" priority="11199" stopIfTrue="1" operator="equal">
      <formula>"Towel"</formula>
    </cfRule>
    <cfRule type="cellIs" dxfId="20736" priority="11200" stopIfTrue="1" operator="equal">
      <formula>"Napkin Hs"</formula>
    </cfRule>
  </conditionalFormatting>
  <conditionalFormatting sqref="B63">
    <cfRule type="cellIs" dxfId="20735" priority="11195" stopIfTrue="1" operator="equal">
      <formula>"Towel"</formula>
    </cfRule>
    <cfRule type="cellIs" dxfId="20734" priority="11196" stopIfTrue="1" operator="equal">
      <formula>"Napkin Hs"</formula>
    </cfRule>
  </conditionalFormatting>
  <conditionalFormatting sqref="B63">
    <cfRule type="cellIs" dxfId="20733" priority="11179" stopIfTrue="1" operator="equal">
      <formula>"Towel"</formula>
    </cfRule>
    <cfRule type="cellIs" dxfId="20732" priority="11180" stopIfTrue="1" operator="equal">
      <formula>"Napkin Hs"</formula>
    </cfRule>
  </conditionalFormatting>
  <conditionalFormatting sqref="B63">
    <cfRule type="cellIs" dxfId="20731" priority="11177" stopIfTrue="1" operator="equal">
      <formula>"Towel"</formula>
    </cfRule>
    <cfRule type="cellIs" dxfId="20730" priority="11178" stopIfTrue="1" operator="equal">
      <formula>"Napkin Hs"</formula>
    </cfRule>
  </conditionalFormatting>
  <conditionalFormatting sqref="B63">
    <cfRule type="cellIs" dxfId="20729" priority="11193" stopIfTrue="1" operator="equal">
      <formula>"Towel"</formula>
    </cfRule>
    <cfRule type="cellIs" dxfId="20728" priority="11194" stopIfTrue="1" operator="equal">
      <formula>"Napkin Hs"</formula>
    </cfRule>
  </conditionalFormatting>
  <conditionalFormatting sqref="B63">
    <cfRule type="cellIs" dxfId="20727" priority="11189" stopIfTrue="1" operator="equal">
      <formula>"Towel"</formula>
    </cfRule>
    <cfRule type="cellIs" dxfId="20726" priority="11190" stopIfTrue="1" operator="equal">
      <formula>"Napkin Hs"</formula>
    </cfRule>
  </conditionalFormatting>
  <conditionalFormatting sqref="B63">
    <cfRule type="cellIs" dxfId="20725" priority="11191" stopIfTrue="1" operator="equal">
      <formula>"Towel"</formula>
    </cfRule>
    <cfRule type="cellIs" dxfId="20724" priority="11192" stopIfTrue="1" operator="equal">
      <formula>"Napkin Hs"</formula>
    </cfRule>
  </conditionalFormatting>
  <conditionalFormatting sqref="B63">
    <cfRule type="cellIs" dxfId="20723" priority="11185" stopIfTrue="1" operator="equal">
      <formula>"Towel"</formula>
    </cfRule>
    <cfRule type="cellIs" dxfId="20722" priority="11186" stopIfTrue="1" operator="equal">
      <formula>"Napkin Hs"</formula>
    </cfRule>
  </conditionalFormatting>
  <conditionalFormatting sqref="B63">
    <cfRule type="cellIs" dxfId="20721" priority="11187" stopIfTrue="1" operator="equal">
      <formula>"Towel"</formula>
    </cfRule>
    <cfRule type="cellIs" dxfId="20720" priority="11188" stopIfTrue="1" operator="equal">
      <formula>"Napkin Hs"</formula>
    </cfRule>
  </conditionalFormatting>
  <conditionalFormatting sqref="B63">
    <cfRule type="cellIs" dxfId="20719" priority="11183" stopIfTrue="1" operator="equal">
      <formula>"Towel"</formula>
    </cfRule>
    <cfRule type="cellIs" dxfId="20718" priority="11184" stopIfTrue="1" operator="equal">
      <formula>"Napkin Hs"</formula>
    </cfRule>
  </conditionalFormatting>
  <conditionalFormatting sqref="B63">
    <cfRule type="cellIs" dxfId="20717" priority="11181" stopIfTrue="1" operator="equal">
      <formula>"Towel"</formula>
    </cfRule>
    <cfRule type="cellIs" dxfId="20716" priority="11182" stopIfTrue="1" operator="equal">
      <formula>"Napkin Hs"</formula>
    </cfRule>
  </conditionalFormatting>
  <conditionalFormatting sqref="B63">
    <cfRule type="cellIs" dxfId="20715" priority="11175" stopIfTrue="1" operator="equal">
      <formula>"Towel"</formula>
    </cfRule>
    <cfRule type="cellIs" dxfId="20714" priority="11176" stopIfTrue="1" operator="equal">
      <formula>"Napkin Hs"</formula>
    </cfRule>
  </conditionalFormatting>
  <conditionalFormatting sqref="B63">
    <cfRule type="cellIs" dxfId="20713" priority="11173" stopIfTrue="1" operator="equal">
      <formula>"Towel"</formula>
    </cfRule>
    <cfRule type="cellIs" dxfId="20712" priority="11174" stopIfTrue="1" operator="equal">
      <formula>"Napkin Hs"</formula>
    </cfRule>
  </conditionalFormatting>
  <conditionalFormatting sqref="B63">
    <cfRule type="cellIs" dxfId="20711" priority="11171" stopIfTrue="1" operator="equal">
      <formula>"Towel"</formula>
    </cfRule>
    <cfRule type="cellIs" dxfId="20710" priority="11172" stopIfTrue="1" operator="equal">
      <formula>"Napkin Hs"</formula>
    </cfRule>
  </conditionalFormatting>
  <conditionalFormatting sqref="B63">
    <cfRule type="cellIs" dxfId="20709" priority="11169" stopIfTrue="1" operator="equal">
      <formula>"Towel"</formula>
    </cfRule>
    <cfRule type="cellIs" dxfId="20708" priority="11170" stopIfTrue="1" operator="equal">
      <formula>"Napkin Hs"</formula>
    </cfRule>
  </conditionalFormatting>
  <conditionalFormatting sqref="B64">
    <cfRule type="cellIs" dxfId="20707" priority="11167" stopIfTrue="1" operator="equal">
      <formula>"Towel"</formula>
    </cfRule>
    <cfRule type="cellIs" dxfId="20706" priority="11168" stopIfTrue="1" operator="equal">
      <formula>"Napkin Hs"</formula>
    </cfRule>
  </conditionalFormatting>
  <conditionalFormatting sqref="B64">
    <cfRule type="cellIs" dxfId="20705" priority="11165" stopIfTrue="1" operator="equal">
      <formula>"Towel"</formula>
    </cfRule>
    <cfRule type="cellIs" dxfId="20704" priority="11166" stopIfTrue="1" operator="equal">
      <formula>"Napkin Hs"</formula>
    </cfRule>
  </conditionalFormatting>
  <conditionalFormatting sqref="B64">
    <cfRule type="cellIs" dxfId="20703" priority="11163" stopIfTrue="1" operator="equal">
      <formula>"Towel"</formula>
    </cfRule>
    <cfRule type="cellIs" dxfId="20702" priority="11164" stopIfTrue="1" operator="equal">
      <formula>"Napkin Hs"</formula>
    </cfRule>
  </conditionalFormatting>
  <conditionalFormatting sqref="B64">
    <cfRule type="cellIs" dxfId="20701" priority="11161" stopIfTrue="1" operator="equal">
      <formula>"Towel"</formula>
    </cfRule>
    <cfRule type="cellIs" dxfId="20700" priority="11162" stopIfTrue="1" operator="equal">
      <formula>"Napkin Hs"</formula>
    </cfRule>
  </conditionalFormatting>
  <conditionalFormatting sqref="B64">
    <cfRule type="cellIs" dxfId="20699" priority="11159" stopIfTrue="1" operator="equal">
      <formula>"Towel"</formula>
    </cfRule>
    <cfRule type="cellIs" dxfId="20698" priority="11160" stopIfTrue="1" operator="equal">
      <formula>"Napkin Hs"</formula>
    </cfRule>
  </conditionalFormatting>
  <conditionalFormatting sqref="B64">
    <cfRule type="cellIs" dxfId="20697" priority="11143" stopIfTrue="1" operator="equal">
      <formula>"Towel"</formula>
    </cfRule>
    <cfRule type="cellIs" dxfId="20696" priority="11144" stopIfTrue="1" operator="equal">
      <formula>"Napkin Hs"</formula>
    </cfRule>
  </conditionalFormatting>
  <conditionalFormatting sqref="B64">
    <cfRule type="cellIs" dxfId="20695" priority="11141" stopIfTrue="1" operator="equal">
      <formula>"Towel"</formula>
    </cfRule>
    <cfRule type="cellIs" dxfId="20694" priority="11142" stopIfTrue="1" operator="equal">
      <formula>"Napkin Hs"</formula>
    </cfRule>
  </conditionalFormatting>
  <conditionalFormatting sqref="B64">
    <cfRule type="cellIs" dxfId="20693" priority="11157" stopIfTrue="1" operator="equal">
      <formula>"Towel"</formula>
    </cfRule>
    <cfRule type="cellIs" dxfId="20692" priority="11158" stopIfTrue="1" operator="equal">
      <formula>"Napkin Hs"</formula>
    </cfRule>
  </conditionalFormatting>
  <conditionalFormatting sqref="B64">
    <cfRule type="cellIs" dxfId="20691" priority="11153" stopIfTrue="1" operator="equal">
      <formula>"Towel"</formula>
    </cfRule>
    <cfRule type="cellIs" dxfId="20690" priority="11154" stopIfTrue="1" operator="equal">
      <formula>"Napkin Hs"</formula>
    </cfRule>
  </conditionalFormatting>
  <conditionalFormatting sqref="B64">
    <cfRule type="cellIs" dxfId="20689" priority="11155" stopIfTrue="1" operator="equal">
      <formula>"Towel"</formula>
    </cfRule>
    <cfRule type="cellIs" dxfId="20688" priority="11156" stopIfTrue="1" operator="equal">
      <formula>"Napkin Hs"</formula>
    </cfRule>
  </conditionalFormatting>
  <conditionalFormatting sqref="B64">
    <cfRule type="cellIs" dxfId="20687" priority="11149" stopIfTrue="1" operator="equal">
      <formula>"Towel"</formula>
    </cfRule>
    <cfRule type="cellIs" dxfId="20686" priority="11150" stopIfTrue="1" operator="equal">
      <formula>"Napkin Hs"</formula>
    </cfRule>
  </conditionalFormatting>
  <conditionalFormatting sqref="B64">
    <cfRule type="cellIs" dxfId="20685" priority="11151" stopIfTrue="1" operator="equal">
      <formula>"Towel"</formula>
    </cfRule>
    <cfRule type="cellIs" dxfId="20684" priority="11152" stopIfTrue="1" operator="equal">
      <formula>"Napkin Hs"</formula>
    </cfRule>
  </conditionalFormatting>
  <conditionalFormatting sqref="B64">
    <cfRule type="cellIs" dxfId="20683" priority="11147" stopIfTrue="1" operator="equal">
      <formula>"Towel"</formula>
    </cfRule>
    <cfRule type="cellIs" dxfId="20682" priority="11148" stopIfTrue="1" operator="equal">
      <formula>"Napkin Hs"</formula>
    </cfRule>
  </conditionalFormatting>
  <conditionalFormatting sqref="B64">
    <cfRule type="cellIs" dxfId="20681" priority="11145" stopIfTrue="1" operator="equal">
      <formula>"Towel"</formula>
    </cfRule>
    <cfRule type="cellIs" dxfId="20680" priority="11146" stopIfTrue="1" operator="equal">
      <formula>"Napkin Hs"</formula>
    </cfRule>
  </conditionalFormatting>
  <conditionalFormatting sqref="B64">
    <cfRule type="cellIs" dxfId="20679" priority="11139" stopIfTrue="1" operator="equal">
      <formula>"Towel"</formula>
    </cfRule>
    <cfRule type="cellIs" dxfId="20678" priority="11140" stopIfTrue="1" operator="equal">
      <formula>"Napkin Hs"</formula>
    </cfRule>
  </conditionalFormatting>
  <conditionalFormatting sqref="B64">
    <cfRule type="cellIs" dxfId="20677" priority="11137" stopIfTrue="1" operator="equal">
      <formula>"Towel"</formula>
    </cfRule>
    <cfRule type="cellIs" dxfId="20676" priority="11138" stopIfTrue="1" operator="equal">
      <formula>"Napkin Hs"</formula>
    </cfRule>
  </conditionalFormatting>
  <conditionalFormatting sqref="B64">
    <cfRule type="cellIs" dxfId="20675" priority="11135" stopIfTrue="1" operator="equal">
      <formula>"Towel"</formula>
    </cfRule>
    <cfRule type="cellIs" dxfId="20674" priority="11136" stopIfTrue="1" operator="equal">
      <formula>"Napkin Hs"</formula>
    </cfRule>
  </conditionalFormatting>
  <conditionalFormatting sqref="B64">
    <cfRule type="cellIs" dxfId="20673" priority="11133" stopIfTrue="1" operator="equal">
      <formula>"Towel"</formula>
    </cfRule>
    <cfRule type="cellIs" dxfId="20672" priority="11134" stopIfTrue="1" operator="equal">
      <formula>"Napkin Hs"</formula>
    </cfRule>
  </conditionalFormatting>
  <conditionalFormatting sqref="C62">
    <cfRule type="cellIs" dxfId="20671" priority="10995" stopIfTrue="1" operator="equal">
      <formula>"Towel"</formula>
    </cfRule>
    <cfRule type="cellIs" dxfId="20670" priority="10996" stopIfTrue="1" operator="equal">
      <formula>"Napkin Hs"</formula>
    </cfRule>
  </conditionalFormatting>
  <conditionalFormatting sqref="C62">
    <cfRule type="cellIs" dxfId="20669" priority="10997" stopIfTrue="1" operator="equal">
      <formula>"Towel"</formula>
    </cfRule>
    <cfRule type="cellIs" dxfId="20668" priority="10998" stopIfTrue="1" operator="equal">
      <formula>"Napkin Hs"</formula>
    </cfRule>
  </conditionalFormatting>
  <conditionalFormatting sqref="C62">
    <cfRule type="cellIs" dxfId="20667" priority="10993" stopIfTrue="1" operator="equal">
      <formula>"Towel"</formula>
    </cfRule>
    <cfRule type="cellIs" dxfId="20666" priority="10994" stopIfTrue="1" operator="equal">
      <formula>"Napkin Hs"</formula>
    </cfRule>
  </conditionalFormatting>
  <conditionalFormatting sqref="C62">
    <cfRule type="cellIs" dxfId="20665" priority="10991" stopIfTrue="1" operator="equal">
      <formula>"Towel"</formula>
    </cfRule>
    <cfRule type="cellIs" dxfId="20664" priority="10992" stopIfTrue="1" operator="equal">
      <formula>"Napkin Hs"</formula>
    </cfRule>
  </conditionalFormatting>
  <conditionalFormatting sqref="C62">
    <cfRule type="cellIs" dxfId="20663" priority="10999" stopIfTrue="1" operator="equal">
      <formula>"Towel"</formula>
    </cfRule>
    <cfRule type="cellIs" dxfId="20662" priority="11000" stopIfTrue="1" operator="equal">
      <formula>"Napkin Hs"</formula>
    </cfRule>
  </conditionalFormatting>
  <conditionalFormatting sqref="C62">
    <cfRule type="cellIs" dxfId="20661" priority="11001" stopIfTrue="1" operator="equal">
      <formula>"Towel"</formula>
    </cfRule>
    <cfRule type="cellIs" dxfId="20660" priority="11002" stopIfTrue="1" operator="equal">
      <formula>"Napkin Hs"</formula>
    </cfRule>
  </conditionalFormatting>
  <conditionalFormatting sqref="C62">
    <cfRule type="cellIs" dxfId="20659" priority="10987" stopIfTrue="1" operator="equal">
      <formula>"Towel"</formula>
    </cfRule>
    <cfRule type="cellIs" dxfId="20658" priority="10988" stopIfTrue="1" operator="equal">
      <formula>"Napkin Hs"</formula>
    </cfRule>
  </conditionalFormatting>
  <conditionalFormatting sqref="C62">
    <cfRule type="cellIs" dxfId="20657" priority="10989" stopIfTrue="1" operator="equal">
      <formula>"Towel"</formula>
    </cfRule>
    <cfRule type="cellIs" dxfId="20656" priority="10990" stopIfTrue="1" operator="equal">
      <formula>"Napkin Hs"</formula>
    </cfRule>
  </conditionalFormatting>
  <conditionalFormatting sqref="C62">
    <cfRule type="cellIs" dxfId="20655" priority="10985" stopIfTrue="1" operator="equal">
      <formula>"Towel"</formula>
    </cfRule>
    <cfRule type="cellIs" dxfId="20654" priority="10986" stopIfTrue="1" operator="equal">
      <formula>"Napkin Hs"</formula>
    </cfRule>
  </conditionalFormatting>
  <conditionalFormatting sqref="C62">
    <cfRule type="cellIs" dxfId="20653" priority="10979" stopIfTrue="1" operator="equal">
      <formula>"Towel"</formula>
    </cfRule>
    <cfRule type="cellIs" dxfId="20652" priority="10980" stopIfTrue="1" operator="equal">
      <formula>"Napkin Hs"</formula>
    </cfRule>
  </conditionalFormatting>
  <conditionalFormatting sqref="C62">
    <cfRule type="cellIs" dxfId="20651" priority="10981" stopIfTrue="1" operator="equal">
      <formula>"Towel"</formula>
    </cfRule>
    <cfRule type="cellIs" dxfId="20650" priority="10982" stopIfTrue="1" operator="equal">
      <formula>"Napkin Hs"</formula>
    </cfRule>
  </conditionalFormatting>
  <conditionalFormatting sqref="C62">
    <cfRule type="cellIs" dxfId="20649" priority="10983" stopIfTrue="1" operator="equal">
      <formula>"Towel"</formula>
    </cfRule>
    <cfRule type="cellIs" dxfId="20648" priority="10984" stopIfTrue="1" operator="equal">
      <formula>"Napkin Hs"</formula>
    </cfRule>
  </conditionalFormatting>
  <conditionalFormatting sqref="C62">
    <cfRule type="cellIs" dxfId="20647" priority="10933" stopIfTrue="1" operator="equal">
      <formula>"Towel"</formula>
    </cfRule>
    <cfRule type="cellIs" dxfId="20646" priority="10934" stopIfTrue="1" operator="equal">
      <formula>"Napkin Hs"</formula>
    </cfRule>
  </conditionalFormatting>
  <conditionalFormatting sqref="C62">
    <cfRule type="cellIs" dxfId="20645" priority="10935" stopIfTrue="1" operator="equal">
      <formula>"Towel"</formula>
    </cfRule>
    <cfRule type="cellIs" dxfId="20644" priority="10936" stopIfTrue="1" operator="equal">
      <formula>"Napkin Hs"</formula>
    </cfRule>
  </conditionalFormatting>
  <conditionalFormatting sqref="C62">
    <cfRule type="cellIs" dxfId="20643" priority="10931" stopIfTrue="1" operator="equal">
      <formula>"Towel"</formula>
    </cfRule>
    <cfRule type="cellIs" dxfId="20642" priority="10932" stopIfTrue="1" operator="equal">
      <formula>"Napkin Hs"</formula>
    </cfRule>
  </conditionalFormatting>
  <conditionalFormatting sqref="C62">
    <cfRule type="cellIs" dxfId="20641" priority="10929" stopIfTrue="1" operator="equal">
      <formula>"Towel"</formula>
    </cfRule>
    <cfRule type="cellIs" dxfId="20640" priority="10930" stopIfTrue="1" operator="equal">
      <formula>"Napkin Hs"</formula>
    </cfRule>
  </conditionalFormatting>
  <conditionalFormatting sqref="C62">
    <cfRule type="cellIs" dxfId="20639" priority="10925" stopIfTrue="1" operator="equal">
      <formula>"Towel"</formula>
    </cfRule>
    <cfRule type="cellIs" dxfId="20638" priority="10926" stopIfTrue="1" operator="equal">
      <formula>"Napkin Hs"</formula>
    </cfRule>
  </conditionalFormatting>
  <conditionalFormatting sqref="C62">
    <cfRule type="cellIs" dxfId="20637" priority="10927" stopIfTrue="1" operator="equal">
      <formula>"Towel"</formula>
    </cfRule>
    <cfRule type="cellIs" dxfId="20636" priority="10928" stopIfTrue="1" operator="equal">
      <formula>"Napkin Hs"</formula>
    </cfRule>
  </conditionalFormatting>
  <conditionalFormatting sqref="C62">
    <cfRule type="cellIs" dxfId="20635" priority="10977" stopIfTrue="1" operator="equal">
      <formula>"Towel"</formula>
    </cfRule>
    <cfRule type="cellIs" dxfId="20634" priority="10978" stopIfTrue="1" operator="equal">
      <formula>"Napkin Hs"</formula>
    </cfRule>
  </conditionalFormatting>
  <conditionalFormatting sqref="C62">
    <cfRule type="cellIs" dxfId="20633" priority="10973" stopIfTrue="1" operator="equal">
      <formula>"Towel"</formula>
    </cfRule>
    <cfRule type="cellIs" dxfId="20632" priority="10974" stopIfTrue="1" operator="equal">
      <formula>"Napkin Hs"</formula>
    </cfRule>
  </conditionalFormatting>
  <conditionalFormatting sqref="C62">
    <cfRule type="cellIs" dxfId="20631" priority="10976" stopIfTrue="1" operator="equal">
      <formula>"Napkin Hs"</formula>
    </cfRule>
  </conditionalFormatting>
  <conditionalFormatting sqref="C62">
    <cfRule type="cellIs" dxfId="20630" priority="10975" stopIfTrue="1" operator="equal">
      <formula>"Towel"</formula>
    </cfRule>
  </conditionalFormatting>
  <conditionalFormatting sqref="C62">
    <cfRule type="cellIs" dxfId="20629" priority="10967" stopIfTrue="1" operator="equal">
      <formula>"Towel"</formula>
    </cfRule>
    <cfRule type="cellIs" dxfId="20628" priority="10968" stopIfTrue="1" operator="equal">
      <formula>"Napkin Hs"</formula>
    </cfRule>
  </conditionalFormatting>
  <conditionalFormatting sqref="C62">
    <cfRule type="cellIs" dxfId="20627" priority="10971" stopIfTrue="1" operator="equal">
      <formula>"Towel"</formula>
    </cfRule>
    <cfRule type="cellIs" dxfId="20626" priority="10972" stopIfTrue="1" operator="equal">
      <formula>"Napkin Hs"</formula>
    </cfRule>
  </conditionalFormatting>
  <conditionalFormatting sqref="C62">
    <cfRule type="cellIs" dxfId="20625" priority="10969" stopIfTrue="1" operator="equal">
      <formula>"Towel"</formula>
    </cfRule>
    <cfRule type="cellIs" dxfId="20624" priority="10970" stopIfTrue="1" operator="equal">
      <formula>"Napkin Hs"</formula>
    </cfRule>
  </conditionalFormatting>
  <conditionalFormatting sqref="C62">
    <cfRule type="cellIs" dxfId="20623" priority="10961" stopIfTrue="1" operator="equal">
      <formula>"Towel"</formula>
    </cfRule>
    <cfRule type="cellIs" dxfId="20622" priority="10962" stopIfTrue="1" operator="equal">
      <formula>"Napkin Hs"</formula>
    </cfRule>
  </conditionalFormatting>
  <conditionalFormatting sqref="C62">
    <cfRule type="cellIs" dxfId="20621" priority="10963" stopIfTrue="1" operator="equal">
      <formula>"Towel"</formula>
    </cfRule>
    <cfRule type="cellIs" dxfId="20620" priority="10964" stopIfTrue="1" operator="equal">
      <formula>"Napkin Hs"</formula>
    </cfRule>
  </conditionalFormatting>
  <conditionalFormatting sqref="C62">
    <cfRule type="cellIs" dxfId="20619" priority="10965" stopIfTrue="1" operator="equal">
      <formula>"Towel"</formula>
    </cfRule>
    <cfRule type="cellIs" dxfId="20618" priority="10966" stopIfTrue="1" operator="equal">
      <formula>"Napkin Hs"</formula>
    </cfRule>
  </conditionalFormatting>
  <conditionalFormatting sqref="C62">
    <cfRule type="cellIs" dxfId="20617" priority="10955" stopIfTrue="1" operator="equal">
      <formula>"Towel"</formula>
    </cfRule>
    <cfRule type="cellIs" dxfId="20616" priority="10956" stopIfTrue="1" operator="equal">
      <formula>"Napkin Hs"</formula>
    </cfRule>
  </conditionalFormatting>
  <conditionalFormatting sqref="C62">
    <cfRule type="cellIs" dxfId="20615" priority="10959" stopIfTrue="1" operator="equal">
      <formula>"Towel"</formula>
    </cfRule>
    <cfRule type="cellIs" dxfId="20614" priority="10960" stopIfTrue="1" operator="equal">
      <formula>"Napkin Hs"</formula>
    </cfRule>
  </conditionalFormatting>
  <conditionalFormatting sqref="C62">
    <cfRule type="cellIs" dxfId="20613" priority="10957" stopIfTrue="1" operator="equal">
      <formula>"Towel"</formula>
    </cfRule>
    <cfRule type="cellIs" dxfId="20612" priority="10958" stopIfTrue="1" operator="equal">
      <formula>"Napkin Hs"</formula>
    </cfRule>
  </conditionalFormatting>
  <conditionalFormatting sqref="C62">
    <cfRule type="cellIs" dxfId="20611" priority="10949" stopIfTrue="1" operator="equal">
      <formula>"Towel"</formula>
    </cfRule>
    <cfRule type="cellIs" dxfId="20610" priority="10950" stopIfTrue="1" operator="equal">
      <formula>"Napkin Hs"</formula>
    </cfRule>
  </conditionalFormatting>
  <conditionalFormatting sqref="C62">
    <cfRule type="cellIs" dxfId="20609" priority="10951" stopIfTrue="1" operator="equal">
      <formula>"Towel"</formula>
    </cfRule>
    <cfRule type="cellIs" dxfId="20608" priority="10952" stopIfTrue="1" operator="equal">
      <formula>"Napkin Hs"</formula>
    </cfRule>
  </conditionalFormatting>
  <conditionalFormatting sqref="C62">
    <cfRule type="cellIs" dxfId="20607" priority="10953" stopIfTrue="1" operator="equal">
      <formula>"Towel"</formula>
    </cfRule>
    <cfRule type="cellIs" dxfId="20606" priority="10954" stopIfTrue="1" operator="equal">
      <formula>"Napkin Hs"</formula>
    </cfRule>
  </conditionalFormatting>
  <conditionalFormatting sqref="C62">
    <cfRule type="cellIs" dxfId="20605" priority="10947" stopIfTrue="1" operator="equal">
      <formula>"Towel"</formula>
    </cfRule>
    <cfRule type="cellIs" dxfId="20604" priority="10948" stopIfTrue="1" operator="equal">
      <formula>"Napkin Hs"</formula>
    </cfRule>
  </conditionalFormatting>
  <conditionalFormatting sqref="C62">
    <cfRule type="cellIs" dxfId="20603" priority="10943" stopIfTrue="1" operator="equal">
      <formula>"Towel"</formula>
    </cfRule>
    <cfRule type="cellIs" dxfId="20602" priority="10944" stopIfTrue="1" operator="equal">
      <formula>"Napkin Hs"</formula>
    </cfRule>
  </conditionalFormatting>
  <conditionalFormatting sqref="C62">
    <cfRule type="cellIs" dxfId="20601" priority="10945" stopIfTrue="1" operator="equal">
      <formula>"Towel"</formula>
    </cfRule>
    <cfRule type="cellIs" dxfId="20600" priority="10946" stopIfTrue="1" operator="equal">
      <formula>"Napkin Hs"</formula>
    </cfRule>
  </conditionalFormatting>
  <conditionalFormatting sqref="C62">
    <cfRule type="cellIs" dxfId="20599" priority="10941" stopIfTrue="1" operator="equal">
      <formula>"Towel"</formula>
    </cfRule>
    <cfRule type="cellIs" dxfId="20598" priority="10942" stopIfTrue="1" operator="equal">
      <formula>"Napkin Hs"</formula>
    </cfRule>
  </conditionalFormatting>
  <conditionalFormatting sqref="C62">
    <cfRule type="cellIs" dxfId="20597" priority="10939" stopIfTrue="1" operator="equal">
      <formula>"Towel"</formula>
    </cfRule>
    <cfRule type="cellIs" dxfId="20596" priority="10940" stopIfTrue="1" operator="equal">
      <formula>"Napkin Hs"</formula>
    </cfRule>
  </conditionalFormatting>
  <conditionalFormatting sqref="C62">
    <cfRule type="cellIs" dxfId="20595" priority="10937" stopIfTrue="1" operator="equal">
      <formula>"Towel"</formula>
    </cfRule>
    <cfRule type="cellIs" dxfId="20594" priority="10938" stopIfTrue="1" operator="equal">
      <formula>"Napkin Hs"</formula>
    </cfRule>
  </conditionalFormatting>
  <conditionalFormatting sqref="C62">
    <cfRule type="cellIs" dxfId="20593" priority="10921" stopIfTrue="1" operator="equal">
      <formula>"Towel"</formula>
    </cfRule>
    <cfRule type="cellIs" dxfId="20592" priority="10922" stopIfTrue="1" operator="equal">
      <formula>"Napkin Hs"</formula>
    </cfRule>
  </conditionalFormatting>
  <conditionalFormatting sqref="C62">
    <cfRule type="cellIs" dxfId="20591" priority="10923" stopIfTrue="1" operator="equal">
      <formula>"Towel"</formula>
    </cfRule>
    <cfRule type="cellIs" dxfId="20590" priority="10924" stopIfTrue="1" operator="equal">
      <formula>"Napkin Hs"</formula>
    </cfRule>
  </conditionalFormatting>
  <conditionalFormatting sqref="C62">
    <cfRule type="cellIs" dxfId="20589" priority="10919" stopIfTrue="1" operator="equal">
      <formula>"Towel"</formula>
    </cfRule>
    <cfRule type="cellIs" dxfId="20588" priority="10920" stopIfTrue="1" operator="equal">
      <formula>"Napkin Hs"</formula>
    </cfRule>
  </conditionalFormatting>
  <conditionalFormatting sqref="C62">
    <cfRule type="cellIs" dxfId="20587" priority="10917" stopIfTrue="1" operator="equal">
      <formula>"Towel"</formula>
    </cfRule>
    <cfRule type="cellIs" dxfId="20586" priority="10918" stopIfTrue="1" operator="equal">
      <formula>"Napkin Hs"</formula>
    </cfRule>
  </conditionalFormatting>
  <conditionalFormatting sqref="C62">
    <cfRule type="cellIs" dxfId="20585" priority="10913" stopIfTrue="1" operator="equal">
      <formula>"Towel"</formula>
    </cfRule>
    <cfRule type="cellIs" dxfId="20584" priority="10914" stopIfTrue="1" operator="equal">
      <formula>"Napkin Hs"</formula>
    </cfRule>
  </conditionalFormatting>
  <conditionalFormatting sqref="C62">
    <cfRule type="cellIs" dxfId="20583" priority="10915" stopIfTrue="1" operator="equal">
      <formula>"Towel"</formula>
    </cfRule>
    <cfRule type="cellIs" dxfId="20582" priority="10916" stopIfTrue="1" operator="equal">
      <formula>"Napkin Hs"</formula>
    </cfRule>
  </conditionalFormatting>
  <conditionalFormatting sqref="C62">
    <cfRule type="cellIs" dxfId="20581" priority="10909" stopIfTrue="1" operator="equal">
      <formula>"Towel"</formula>
    </cfRule>
    <cfRule type="cellIs" dxfId="20580" priority="10910" stopIfTrue="1" operator="equal">
      <formula>"Napkin Hs"</formula>
    </cfRule>
  </conditionalFormatting>
  <conditionalFormatting sqref="C62">
    <cfRule type="cellIs" dxfId="20579" priority="10911" stopIfTrue="1" operator="equal">
      <formula>"Towel"</formula>
    </cfRule>
    <cfRule type="cellIs" dxfId="20578" priority="10912" stopIfTrue="1" operator="equal">
      <formula>"Napkin Hs"</formula>
    </cfRule>
  </conditionalFormatting>
  <conditionalFormatting sqref="C62">
    <cfRule type="cellIs" dxfId="20577" priority="10907" stopIfTrue="1" operator="equal">
      <formula>"Towel"</formula>
    </cfRule>
    <cfRule type="cellIs" dxfId="20576" priority="10908" stopIfTrue="1" operator="equal">
      <formula>"Napkin Hs"</formula>
    </cfRule>
  </conditionalFormatting>
  <conditionalFormatting sqref="C62">
    <cfRule type="cellIs" dxfId="20575" priority="10905" stopIfTrue="1" operator="equal">
      <formula>"Towel"</formula>
    </cfRule>
    <cfRule type="cellIs" dxfId="20574" priority="10906" stopIfTrue="1" operator="equal">
      <formula>"Napkin Hs"</formula>
    </cfRule>
  </conditionalFormatting>
  <conditionalFormatting sqref="C62">
    <cfRule type="cellIs" dxfId="20573" priority="10901" stopIfTrue="1" operator="equal">
      <formula>"Towel"</formula>
    </cfRule>
    <cfRule type="cellIs" dxfId="20572" priority="10902" stopIfTrue="1" operator="equal">
      <formula>"Napkin Hs"</formula>
    </cfRule>
  </conditionalFormatting>
  <conditionalFormatting sqref="C62">
    <cfRule type="cellIs" dxfId="20571" priority="10903" stopIfTrue="1" operator="equal">
      <formula>"Towel"</formula>
    </cfRule>
    <cfRule type="cellIs" dxfId="20570" priority="10904" stopIfTrue="1" operator="equal">
      <formula>"Napkin Hs"</formula>
    </cfRule>
  </conditionalFormatting>
  <conditionalFormatting sqref="B62">
    <cfRule type="cellIs" dxfId="20569" priority="10899" stopIfTrue="1" operator="equal">
      <formula>"Towel"</formula>
    </cfRule>
    <cfRule type="cellIs" dxfId="20568" priority="10900" stopIfTrue="1" operator="equal">
      <formula>"Napkin Hs"</formula>
    </cfRule>
  </conditionalFormatting>
  <conditionalFormatting sqref="B62">
    <cfRule type="cellIs" dxfId="20567" priority="10883" stopIfTrue="1" operator="equal">
      <formula>"Towel"</formula>
    </cfRule>
    <cfRule type="cellIs" dxfId="20566" priority="10884" stopIfTrue="1" operator="equal">
      <formula>"Napkin Hs"</formula>
    </cfRule>
  </conditionalFormatting>
  <conditionalFormatting sqref="B62">
    <cfRule type="cellIs" dxfId="20565" priority="10881" stopIfTrue="1" operator="equal">
      <formula>"Towel"</formula>
    </cfRule>
    <cfRule type="cellIs" dxfId="20564" priority="10882" stopIfTrue="1" operator="equal">
      <formula>"Napkin Hs"</formula>
    </cfRule>
  </conditionalFormatting>
  <conditionalFormatting sqref="B62">
    <cfRule type="cellIs" dxfId="20563" priority="10897" stopIfTrue="1" operator="equal">
      <formula>"Towel"</formula>
    </cfRule>
    <cfRule type="cellIs" dxfId="20562" priority="10898" stopIfTrue="1" operator="equal">
      <formula>"Napkin Hs"</formula>
    </cfRule>
  </conditionalFormatting>
  <conditionalFormatting sqref="B62">
    <cfRule type="cellIs" dxfId="20561" priority="10893" stopIfTrue="1" operator="equal">
      <formula>"Towel"</formula>
    </cfRule>
    <cfRule type="cellIs" dxfId="20560" priority="10894" stopIfTrue="1" operator="equal">
      <formula>"Napkin Hs"</formula>
    </cfRule>
  </conditionalFormatting>
  <conditionalFormatting sqref="B62">
    <cfRule type="cellIs" dxfId="20559" priority="10895" stopIfTrue="1" operator="equal">
      <formula>"Towel"</formula>
    </cfRule>
    <cfRule type="cellIs" dxfId="20558" priority="10896" stopIfTrue="1" operator="equal">
      <formula>"Napkin Hs"</formula>
    </cfRule>
  </conditionalFormatting>
  <conditionalFormatting sqref="B62">
    <cfRule type="cellIs" dxfId="20557" priority="10889" stopIfTrue="1" operator="equal">
      <formula>"Towel"</formula>
    </cfRule>
    <cfRule type="cellIs" dxfId="20556" priority="10890" stopIfTrue="1" operator="equal">
      <formula>"Napkin Hs"</formula>
    </cfRule>
  </conditionalFormatting>
  <conditionalFormatting sqref="B62">
    <cfRule type="cellIs" dxfId="20555" priority="10891" stopIfTrue="1" operator="equal">
      <formula>"Towel"</formula>
    </cfRule>
    <cfRule type="cellIs" dxfId="20554" priority="10892" stopIfTrue="1" operator="equal">
      <formula>"Napkin Hs"</formula>
    </cfRule>
  </conditionalFormatting>
  <conditionalFormatting sqref="B62">
    <cfRule type="cellIs" dxfId="20553" priority="10887" stopIfTrue="1" operator="equal">
      <formula>"Towel"</formula>
    </cfRule>
    <cfRule type="cellIs" dxfId="20552" priority="10888" stopIfTrue="1" operator="equal">
      <formula>"Napkin Hs"</formula>
    </cfRule>
  </conditionalFormatting>
  <conditionalFormatting sqref="B62">
    <cfRule type="cellIs" dxfId="20551" priority="10885" stopIfTrue="1" operator="equal">
      <formula>"Towel"</formula>
    </cfRule>
    <cfRule type="cellIs" dxfId="20550" priority="10886" stopIfTrue="1" operator="equal">
      <formula>"Napkin Hs"</formula>
    </cfRule>
  </conditionalFormatting>
  <conditionalFormatting sqref="B62">
    <cfRule type="cellIs" dxfId="20549" priority="10879" stopIfTrue="1" operator="equal">
      <formula>"Towel"</formula>
    </cfRule>
    <cfRule type="cellIs" dxfId="20548" priority="10880" stopIfTrue="1" operator="equal">
      <formula>"Napkin Hs"</formula>
    </cfRule>
  </conditionalFormatting>
  <conditionalFormatting sqref="B62">
    <cfRule type="cellIs" dxfId="20547" priority="10877" stopIfTrue="1" operator="equal">
      <formula>"Towel"</formula>
    </cfRule>
    <cfRule type="cellIs" dxfId="20546" priority="10878" stopIfTrue="1" operator="equal">
      <formula>"Napkin Hs"</formula>
    </cfRule>
  </conditionalFormatting>
  <conditionalFormatting sqref="B62">
    <cfRule type="cellIs" dxfId="20545" priority="10875" stopIfTrue="1" operator="equal">
      <formula>"Towel"</formula>
    </cfRule>
    <cfRule type="cellIs" dxfId="20544" priority="10876" stopIfTrue="1" operator="equal">
      <formula>"Napkin Hs"</formula>
    </cfRule>
  </conditionalFormatting>
  <conditionalFormatting sqref="B62">
    <cfRule type="cellIs" dxfId="20543" priority="10873" stopIfTrue="1" operator="equal">
      <formula>"Towel"</formula>
    </cfRule>
    <cfRule type="cellIs" dxfId="20542" priority="10874" stopIfTrue="1" operator="equal">
      <formula>"Napkin Hs"</formula>
    </cfRule>
  </conditionalFormatting>
  <conditionalFormatting sqref="C70">
    <cfRule type="cellIs" dxfId="20541" priority="10865" stopIfTrue="1" operator="equal">
      <formula>"Towel"</formula>
    </cfRule>
    <cfRule type="cellIs" dxfId="20540" priority="10866" stopIfTrue="1" operator="equal">
      <formula>"Napkin Hs"</formula>
    </cfRule>
  </conditionalFormatting>
  <conditionalFormatting sqref="C70">
    <cfRule type="cellIs" dxfId="20539" priority="10867" stopIfTrue="1" operator="equal">
      <formula>"Towel"</formula>
    </cfRule>
    <cfRule type="cellIs" dxfId="20538" priority="10868" stopIfTrue="1" operator="equal">
      <formula>"Napkin Hs"</formula>
    </cfRule>
  </conditionalFormatting>
  <conditionalFormatting sqref="C70">
    <cfRule type="cellIs" dxfId="20537" priority="10863" stopIfTrue="1" operator="equal">
      <formula>"Towel"</formula>
    </cfRule>
    <cfRule type="cellIs" dxfId="20536" priority="10864" stopIfTrue="1" operator="equal">
      <formula>"Napkin Hs"</formula>
    </cfRule>
  </conditionalFormatting>
  <conditionalFormatting sqref="C70">
    <cfRule type="cellIs" dxfId="20535" priority="10861" stopIfTrue="1" operator="equal">
      <formula>"Towel"</formula>
    </cfRule>
    <cfRule type="cellIs" dxfId="20534" priority="10862" stopIfTrue="1" operator="equal">
      <formula>"Napkin Hs"</formula>
    </cfRule>
  </conditionalFormatting>
  <conditionalFormatting sqref="C70">
    <cfRule type="cellIs" dxfId="20533" priority="10869" stopIfTrue="1" operator="equal">
      <formula>"Towel"</formula>
    </cfRule>
    <cfRule type="cellIs" dxfId="20532" priority="10870" stopIfTrue="1" operator="equal">
      <formula>"Napkin Hs"</formula>
    </cfRule>
  </conditionalFormatting>
  <conditionalFormatting sqref="C70">
    <cfRule type="cellIs" dxfId="20531" priority="10871" stopIfTrue="1" operator="equal">
      <formula>"Towel"</formula>
    </cfRule>
    <cfRule type="cellIs" dxfId="20530" priority="10872" stopIfTrue="1" operator="equal">
      <formula>"Napkin Hs"</formula>
    </cfRule>
  </conditionalFormatting>
  <conditionalFormatting sqref="C70">
    <cfRule type="cellIs" dxfId="20529" priority="10857" stopIfTrue="1" operator="equal">
      <formula>"Towel"</formula>
    </cfRule>
    <cfRule type="cellIs" dxfId="20528" priority="10858" stopIfTrue="1" operator="equal">
      <formula>"Napkin Hs"</formula>
    </cfRule>
  </conditionalFormatting>
  <conditionalFormatting sqref="C70">
    <cfRule type="cellIs" dxfId="20527" priority="10859" stopIfTrue="1" operator="equal">
      <formula>"Towel"</formula>
    </cfRule>
    <cfRule type="cellIs" dxfId="20526" priority="10860" stopIfTrue="1" operator="equal">
      <formula>"Napkin Hs"</formula>
    </cfRule>
  </conditionalFormatting>
  <conditionalFormatting sqref="C70">
    <cfRule type="cellIs" dxfId="20525" priority="10855" stopIfTrue="1" operator="equal">
      <formula>"Towel"</formula>
    </cfRule>
    <cfRule type="cellIs" dxfId="20524" priority="10856" stopIfTrue="1" operator="equal">
      <formula>"Napkin Hs"</formula>
    </cfRule>
  </conditionalFormatting>
  <conditionalFormatting sqref="C70">
    <cfRule type="cellIs" dxfId="20523" priority="10849" stopIfTrue="1" operator="equal">
      <formula>"Towel"</formula>
    </cfRule>
    <cfRule type="cellIs" dxfId="20522" priority="10850" stopIfTrue="1" operator="equal">
      <formula>"Napkin Hs"</formula>
    </cfRule>
  </conditionalFormatting>
  <conditionalFormatting sqref="C70">
    <cfRule type="cellIs" dxfId="20521" priority="10851" stopIfTrue="1" operator="equal">
      <formula>"Towel"</formula>
    </cfRule>
    <cfRule type="cellIs" dxfId="20520" priority="10852" stopIfTrue="1" operator="equal">
      <formula>"Napkin Hs"</formula>
    </cfRule>
  </conditionalFormatting>
  <conditionalFormatting sqref="C70">
    <cfRule type="cellIs" dxfId="20519" priority="10853" stopIfTrue="1" operator="equal">
      <formula>"Towel"</formula>
    </cfRule>
    <cfRule type="cellIs" dxfId="20518" priority="10854" stopIfTrue="1" operator="equal">
      <formula>"Napkin Hs"</formula>
    </cfRule>
  </conditionalFormatting>
  <conditionalFormatting sqref="C70">
    <cfRule type="cellIs" dxfId="20517" priority="10803" stopIfTrue="1" operator="equal">
      <formula>"Towel"</formula>
    </cfRule>
    <cfRule type="cellIs" dxfId="20516" priority="10804" stopIfTrue="1" operator="equal">
      <formula>"Napkin Hs"</formula>
    </cfRule>
  </conditionalFormatting>
  <conditionalFormatting sqref="C70">
    <cfRule type="cellIs" dxfId="20515" priority="10805" stopIfTrue="1" operator="equal">
      <formula>"Towel"</formula>
    </cfRule>
    <cfRule type="cellIs" dxfId="20514" priority="10806" stopIfTrue="1" operator="equal">
      <formula>"Napkin Hs"</formula>
    </cfRule>
  </conditionalFormatting>
  <conditionalFormatting sqref="C70">
    <cfRule type="cellIs" dxfId="20513" priority="10801" stopIfTrue="1" operator="equal">
      <formula>"Towel"</formula>
    </cfRule>
    <cfRule type="cellIs" dxfId="20512" priority="10802" stopIfTrue="1" operator="equal">
      <formula>"Napkin Hs"</formula>
    </cfRule>
  </conditionalFormatting>
  <conditionalFormatting sqref="C70">
    <cfRule type="cellIs" dxfId="20511" priority="10799" stopIfTrue="1" operator="equal">
      <formula>"Towel"</formula>
    </cfRule>
    <cfRule type="cellIs" dxfId="20510" priority="10800" stopIfTrue="1" operator="equal">
      <formula>"Napkin Hs"</formula>
    </cfRule>
  </conditionalFormatting>
  <conditionalFormatting sqref="C70">
    <cfRule type="cellIs" dxfId="20509" priority="10795" stopIfTrue="1" operator="equal">
      <formula>"Towel"</formula>
    </cfRule>
    <cfRule type="cellIs" dxfId="20508" priority="10796" stopIfTrue="1" operator="equal">
      <formula>"Napkin Hs"</formula>
    </cfRule>
  </conditionalFormatting>
  <conditionalFormatting sqref="C70">
    <cfRule type="cellIs" dxfId="20507" priority="10797" stopIfTrue="1" operator="equal">
      <formula>"Towel"</formula>
    </cfRule>
    <cfRule type="cellIs" dxfId="20506" priority="10798" stopIfTrue="1" operator="equal">
      <formula>"Napkin Hs"</formula>
    </cfRule>
  </conditionalFormatting>
  <conditionalFormatting sqref="C70">
    <cfRule type="cellIs" dxfId="20505" priority="10847" stopIfTrue="1" operator="equal">
      <formula>"Towel"</formula>
    </cfRule>
    <cfRule type="cellIs" dxfId="20504" priority="10848" stopIfTrue="1" operator="equal">
      <formula>"Napkin Hs"</formula>
    </cfRule>
  </conditionalFormatting>
  <conditionalFormatting sqref="C70">
    <cfRule type="cellIs" dxfId="20503" priority="10843" stopIfTrue="1" operator="equal">
      <formula>"Towel"</formula>
    </cfRule>
    <cfRule type="cellIs" dxfId="20502" priority="10844" stopIfTrue="1" operator="equal">
      <formula>"Napkin Hs"</formula>
    </cfRule>
  </conditionalFormatting>
  <conditionalFormatting sqref="C70">
    <cfRule type="cellIs" dxfId="20501" priority="10846" stopIfTrue="1" operator="equal">
      <formula>"Napkin Hs"</formula>
    </cfRule>
  </conditionalFormatting>
  <conditionalFormatting sqref="C70">
    <cfRule type="cellIs" dxfId="20500" priority="10845" stopIfTrue="1" operator="equal">
      <formula>"Towel"</formula>
    </cfRule>
  </conditionalFormatting>
  <conditionalFormatting sqref="C70">
    <cfRule type="cellIs" dxfId="20499" priority="10837" stopIfTrue="1" operator="equal">
      <formula>"Towel"</formula>
    </cfRule>
    <cfRule type="cellIs" dxfId="20498" priority="10838" stopIfTrue="1" operator="equal">
      <formula>"Napkin Hs"</formula>
    </cfRule>
  </conditionalFormatting>
  <conditionalFormatting sqref="C70">
    <cfRule type="cellIs" dxfId="20497" priority="10841" stopIfTrue="1" operator="equal">
      <formula>"Towel"</formula>
    </cfRule>
    <cfRule type="cellIs" dxfId="20496" priority="10842" stopIfTrue="1" operator="equal">
      <formula>"Napkin Hs"</formula>
    </cfRule>
  </conditionalFormatting>
  <conditionalFormatting sqref="C70">
    <cfRule type="cellIs" dxfId="20495" priority="10839" stopIfTrue="1" operator="equal">
      <formula>"Towel"</formula>
    </cfRule>
    <cfRule type="cellIs" dxfId="20494" priority="10840" stopIfTrue="1" operator="equal">
      <formula>"Napkin Hs"</formula>
    </cfRule>
  </conditionalFormatting>
  <conditionalFormatting sqref="C70">
    <cfRule type="cellIs" dxfId="20493" priority="10831" stopIfTrue="1" operator="equal">
      <formula>"Towel"</formula>
    </cfRule>
    <cfRule type="cellIs" dxfId="20492" priority="10832" stopIfTrue="1" operator="equal">
      <formula>"Napkin Hs"</formula>
    </cfRule>
  </conditionalFormatting>
  <conditionalFormatting sqref="C70">
    <cfRule type="cellIs" dxfId="20491" priority="10833" stopIfTrue="1" operator="equal">
      <formula>"Towel"</formula>
    </cfRule>
    <cfRule type="cellIs" dxfId="20490" priority="10834" stopIfTrue="1" operator="equal">
      <formula>"Napkin Hs"</formula>
    </cfRule>
  </conditionalFormatting>
  <conditionalFormatting sqref="C70">
    <cfRule type="cellIs" dxfId="20489" priority="10835" stopIfTrue="1" operator="equal">
      <formula>"Towel"</formula>
    </cfRule>
    <cfRule type="cellIs" dxfId="20488" priority="10836" stopIfTrue="1" operator="equal">
      <formula>"Napkin Hs"</formula>
    </cfRule>
  </conditionalFormatting>
  <conditionalFormatting sqref="C70">
    <cfRule type="cellIs" dxfId="20487" priority="10825" stopIfTrue="1" operator="equal">
      <formula>"Towel"</formula>
    </cfRule>
    <cfRule type="cellIs" dxfId="20486" priority="10826" stopIfTrue="1" operator="equal">
      <formula>"Napkin Hs"</formula>
    </cfRule>
  </conditionalFormatting>
  <conditionalFormatting sqref="C70">
    <cfRule type="cellIs" dxfId="20485" priority="10829" stopIfTrue="1" operator="equal">
      <formula>"Towel"</formula>
    </cfRule>
    <cfRule type="cellIs" dxfId="20484" priority="10830" stopIfTrue="1" operator="equal">
      <formula>"Napkin Hs"</formula>
    </cfRule>
  </conditionalFormatting>
  <conditionalFormatting sqref="C70">
    <cfRule type="cellIs" dxfId="20483" priority="10827" stopIfTrue="1" operator="equal">
      <formula>"Towel"</formula>
    </cfRule>
    <cfRule type="cellIs" dxfId="20482" priority="10828" stopIfTrue="1" operator="equal">
      <formula>"Napkin Hs"</formula>
    </cfRule>
  </conditionalFormatting>
  <conditionalFormatting sqref="C70">
    <cfRule type="cellIs" dxfId="20481" priority="10819" stopIfTrue="1" operator="equal">
      <formula>"Towel"</formula>
    </cfRule>
    <cfRule type="cellIs" dxfId="20480" priority="10820" stopIfTrue="1" operator="equal">
      <formula>"Napkin Hs"</formula>
    </cfRule>
  </conditionalFormatting>
  <conditionalFormatting sqref="C70">
    <cfRule type="cellIs" dxfId="20479" priority="10821" stopIfTrue="1" operator="equal">
      <formula>"Towel"</formula>
    </cfRule>
    <cfRule type="cellIs" dxfId="20478" priority="10822" stopIfTrue="1" operator="equal">
      <formula>"Napkin Hs"</formula>
    </cfRule>
  </conditionalFormatting>
  <conditionalFormatting sqref="C70">
    <cfRule type="cellIs" dxfId="20477" priority="10823" stopIfTrue="1" operator="equal">
      <formula>"Towel"</formula>
    </cfRule>
    <cfRule type="cellIs" dxfId="20476" priority="10824" stopIfTrue="1" operator="equal">
      <formula>"Napkin Hs"</formula>
    </cfRule>
  </conditionalFormatting>
  <conditionalFormatting sqref="C70">
    <cfRule type="cellIs" dxfId="20475" priority="10817" stopIfTrue="1" operator="equal">
      <formula>"Towel"</formula>
    </cfRule>
    <cfRule type="cellIs" dxfId="20474" priority="10818" stopIfTrue="1" operator="equal">
      <formula>"Napkin Hs"</formula>
    </cfRule>
  </conditionalFormatting>
  <conditionalFormatting sqref="C70">
    <cfRule type="cellIs" dxfId="20473" priority="10813" stopIfTrue="1" operator="equal">
      <formula>"Towel"</formula>
    </cfRule>
    <cfRule type="cellIs" dxfId="20472" priority="10814" stopIfTrue="1" operator="equal">
      <formula>"Napkin Hs"</formula>
    </cfRule>
  </conditionalFormatting>
  <conditionalFormatting sqref="C70">
    <cfRule type="cellIs" dxfId="20471" priority="10815" stopIfTrue="1" operator="equal">
      <formula>"Towel"</formula>
    </cfRule>
    <cfRule type="cellIs" dxfId="20470" priority="10816" stopIfTrue="1" operator="equal">
      <formula>"Napkin Hs"</formula>
    </cfRule>
  </conditionalFormatting>
  <conditionalFormatting sqref="C70">
    <cfRule type="cellIs" dxfId="20469" priority="10811" stopIfTrue="1" operator="equal">
      <formula>"Towel"</formula>
    </cfRule>
    <cfRule type="cellIs" dxfId="20468" priority="10812" stopIfTrue="1" operator="equal">
      <formula>"Napkin Hs"</formula>
    </cfRule>
  </conditionalFormatting>
  <conditionalFormatting sqref="C70">
    <cfRule type="cellIs" dxfId="20467" priority="10809" stopIfTrue="1" operator="equal">
      <formula>"Towel"</formula>
    </cfRule>
    <cfRule type="cellIs" dxfId="20466" priority="10810" stopIfTrue="1" operator="equal">
      <formula>"Napkin Hs"</formula>
    </cfRule>
  </conditionalFormatting>
  <conditionalFormatting sqref="C70">
    <cfRule type="cellIs" dxfId="20465" priority="10807" stopIfTrue="1" operator="equal">
      <formula>"Towel"</formula>
    </cfRule>
    <cfRule type="cellIs" dxfId="20464" priority="10808" stopIfTrue="1" operator="equal">
      <formula>"Napkin Hs"</formula>
    </cfRule>
  </conditionalFormatting>
  <conditionalFormatting sqref="C70">
    <cfRule type="cellIs" dxfId="20463" priority="10791" stopIfTrue="1" operator="equal">
      <formula>"Towel"</formula>
    </cfRule>
    <cfRule type="cellIs" dxfId="20462" priority="10792" stopIfTrue="1" operator="equal">
      <formula>"Napkin Hs"</formula>
    </cfRule>
  </conditionalFormatting>
  <conditionalFormatting sqref="C70">
    <cfRule type="cellIs" dxfId="20461" priority="10793" stopIfTrue="1" operator="equal">
      <formula>"Towel"</formula>
    </cfRule>
    <cfRule type="cellIs" dxfId="20460" priority="10794" stopIfTrue="1" operator="equal">
      <formula>"Napkin Hs"</formula>
    </cfRule>
  </conditionalFormatting>
  <conditionalFormatting sqref="C70">
    <cfRule type="cellIs" dxfId="20459" priority="10789" stopIfTrue="1" operator="equal">
      <formula>"Towel"</formula>
    </cfRule>
    <cfRule type="cellIs" dxfId="20458" priority="10790" stopIfTrue="1" operator="equal">
      <formula>"Napkin Hs"</formula>
    </cfRule>
  </conditionalFormatting>
  <conditionalFormatting sqref="C70">
    <cfRule type="cellIs" dxfId="20457" priority="10787" stopIfTrue="1" operator="equal">
      <formula>"Towel"</formula>
    </cfRule>
    <cfRule type="cellIs" dxfId="20456" priority="10788" stopIfTrue="1" operator="equal">
      <formula>"Napkin Hs"</formula>
    </cfRule>
  </conditionalFormatting>
  <conditionalFormatting sqref="C70">
    <cfRule type="cellIs" dxfId="20455" priority="10783" stopIfTrue="1" operator="equal">
      <formula>"Towel"</formula>
    </cfRule>
    <cfRule type="cellIs" dxfId="20454" priority="10784" stopIfTrue="1" operator="equal">
      <formula>"Napkin Hs"</formula>
    </cfRule>
  </conditionalFormatting>
  <conditionalFormatting sqref="C70">
    <cfRule type="cellIs" dxfId="20453" priority="10785" stopIfTrue="1" operator="equal">
      <formula>"Towel"</formula>
    </cfRule>
    <cfRule type="cellIs" dxfId="20452" priority="10786" stopIfTrue="1" operator="equal">
      <formula>"Napkin Hs"</formula>
    </cfRule>
  </conditionalFormatting>
  <conditionalFormatting sqref="C70">
    <cfRule type="cellIs" dxfId="20451" priority="10779" stopIfTrue="1" operator="equal">
      <formula>"Towel"</formula>
    </cfRule>
    <cfRule type="cellIs" dxfId="20450" priority="10780" stopIfTrue="1" operator="equal">
      <formula>"Napkin Hs"</formula>
    </cfRule>
  </conditionalFormatting>
  <conditionalFormatting sqref="C70">
    <cfRule type="cellIs" dxfId="20449" priority="10781" stopIfTrue="1" operator="equal">
      <formula>"Towel"</formula>
    </cfRule>
    <cfRule type="cellIs" dxfId="20448" priority="10782" stopIfTrue="1" operator="equal">
      <formula>"Napkin Hs"</formula>
    </cfRule>
  </conditionalFormatting>
  <conditionalFormatting sqref="C70">
    <cfRule type="cellIs" dxfId="20447" priority="10777" stopIfTrue="1" operator="equal">
      <formula>"Towel"</formula>
    </cfRule>
    <cfRule type="cellIs" dxfId="20446" priority="10778" stopIfTrue="1" operator="equal">
      <formula>"Napkin Hs"</formula>
    </cfRule>
  </conditionalFormatting>
  <conditionalFormatting sqref="C70">
    <cfRule type="cellIs" dxfId="20445" priority="10775" stopIfTrue="1" operator="equal">
      <formula>"Towel"</formula>
    </cfRule>
    <cfRule type="cellIs" dxfId="20444" priority="10776" stopIfTrue="1" operator="equal">
      <formula>"Napkin Hs"</formula>
    </cfRule>
  </conditionalFormatting>
  <conditionalFormatting sqref="C70">
    <cfRule type="cellIs" dxfId="20443" priority="10771" stopIfTrue="1" operator="equal">
      <formula>"Towel"</formula>
    </cfRule>
    <cfRule type="cellIs" dxfId="20442" priority="10772" stopIfTrue="1" operator="equal">
      <formula>"Napkin Hs"</formula>
    </cfRule>
  </conditionalFormatting>
  <conditionalFormatting sqref="C70">
    <cfRule type="cellIs" dxfId="20441" priority="10773" stopIfTrue="1" operator="equal">
      <formula>"Towel"</formula>
    </cfRule>
    <cfRule type="cellIs" dxfId="20440" priority="10774" stopIfTrue="1" operator="equal">
      <formula>"Napkin Hs"</formula>
    </cfRule>
  </conditionalFormatting>
  <conditionalFormatting sqref="C69">
    <cfRule type="cellIs" dxfId="20439" priority="10763" stopIfTrue="1" operator="equal">
      <formula>"Towel"</formula>
    </cfRule>
    <cfRule type="cellIs" dxfId="20438" priority="10764" stopIfTrue="1" operator="equal">
      <formula>"Napkin Hs"</formula>
    </cfRule>
  </conditionalFormatting>
  <conditionalFormatting sqref="C69">
    <cfRule type="cellIs" dxfId="20437" priority="10765" stopIfTrue="1" operator="equal">
      <formula>"Towel"</formula>
    </cfRule>
    <cfRule type="cellIs" dxfId="20436" priority="10766" stopIfTrue="1" operator="equal">
      <formula>"Napkin Hs"</formula>
    </cfRule>
  </conditionalFormatting>
  <conditionalFormatting sqref="C69">
    <cfRule type="cellIs" dxfId="20435" priority="10761" stopIfTrue="1" operator="equal">
      <formula>"Towel"</formula>
    </cfRule>
    <cfRule type="cellIs" dxfId="20434" priority="10762" stopIfTrue="1" operator="equal">
      <formula>"Napkin Hs"</formula>
    </cfRule>
  </conditionalFormatting>
  <conditionalFormatting sqref="C69">
    <cfRule type="cellIs" dxfId="20433" priority="10759" stopIfTrue="1" operator="equal">
      <formula>"Towel"</formula>
    </cfRule>
    <cfRule type="cellIs" dxfId="20432" priority="10760" stopIfTrue="1" operator="equal">
      <formula>"Napkin Hs"</formula>
    </cfRule>
  </conditionalFormatting>
  <conditionalFormatting sqref="C69">
    <cfRule type="cellIs" dxfId="20431" priority="10767" stopIfTrue="1" operator="equal">
      <formula>"Towel"</formula>
    </cfRule>
    <cfRule type="cellIs" dxfId="20430" priority="10768" stopIfTrue="1" operator="equal">
      <formula>"Napkin Hs"</formula>
    </cfRule>
  </conditionalFormatting>
  <conditionalFormatting sqref="C69">
    <cfRule type="cellIs" dxfId="20429" priority="10769" stopIfTrue="1" operator="equal">
      <formula>"Towel"</formula>
    </cfRule>
    <cfRule type="cellIs" dxfId="20428" priority="10770" stopIfTrue="1" operator="equal">
      <formula>"Napkin Hs"</formula>
    </cfRule>
  </conditionalFormatting>
  <conditionalFormatting sqref="C69">
    <cfRule type="cellIs" dxfId="20427" priority="10755" stopIfTrue="1" operator="equal">
      <formula>"Towel"</formula>
    </cfRule>
    <cfRule type="cellIs" dxfId="20426" priority="10756" stopIfTrue="1" operator="equal">
      <formula>"Napkin Hs"</formula>
    </cfRule>
  </conditionalFormatting>
  <conditionalFormatting sqref="C69">
    <cfRule type="cellIs" dxfId="20425" priority="10757" stopIfTrue="1" operator="equal">
      <formula>"Towel"</formula>
    </cfRule>
    <cfRule type="cellIs" dxfId="20424" priority="10758" stopIfTrue="1" operator="equal">
      <formula>"Napkin Hs"</formula>
    </cfRule>
  </conditionalFormatting>
  <conditionalFormatting sqref="C69">
    <cfRule type="cellIs" dxfId="20423" priority="10753" stopIfTrue="1" operator="equal">
      <formula>"Towel"</formula>
    </cfRule>
    <cfRule type="cellIs" dxfId="20422" priority="10754" stopIfTrue="1" operator="equal">
      <formula>"Napkin Hs"</formula>
    </cfRule>
  </conditionalFormatting>
  <conditionalFormatting sqref="C69">
    <cfRule type="cellIs" dxfId="20421" priority="10747" stopIfTrue="1" operator="equal">
      <formula>"Towel"</formula>
    </cfRule>
    <cfRule type="cellIs" dxfId="20420" priority="10748" stopIfTrue="1" operator="equal">
      <formula>"Napkin Hs"</formula>
    </cfRule>
  </conditionalFormatting>
  <conditionalFormatting sqref="C69">
    <cfRule type="cellIs" dxfId="20419" priority="10749" stopIfTrue="1" operator="equal">
      <formula>"Towel"</formula>
    </cfRule>
    <cfRule type="cellIs" dxfId="20418" priority="10750" stopIfTrue="1" operator="equal">
      <formula>"Napkin Hs"</formula>
    </cfRule>
  </conditionalFormatting>
  <conditionalFormatting sqref="C69">
    <cfRule type="cellIs" dxfId="20417" priority="10751" stopIfTrue="1" operator="equal">
      <formula>"Towel"</formula>
    </cfRule>
    <cfRule type="cellIs" dxfId="20416" priority="10752" stopIfTrue="1" operator="equal">
      <formula>"Napkin Hs"</formula>
    </cfRule>
  </conditionalFormatting>
  <conditionalFormatting sqref="C69">
    <cfRule type="cellIs" dxfId="20415" priority="10701" stopIfTrue="1" operator="equal">
      <formula>"Towel"</formula>
    </cfRule>
    <cfRule type="cellIs" dxfId="20414" priority="10702" stopIfTrue="1" operator="equal">
      <formula>"Napkin Hs"</formula>
    </cfRule>
  </conditionalFormatting>
  <conditionalFormatting sqref="C69">
    <cfRule type="cellIs" dxfId="20413" priority="10703" stopIfTrue="1" operator="equal">
      <formula>"Towel"</formula>
    </cfRule>
    <cfRule type="cellIs" dxfId="20412" priority="10704" stopIfTrue="1" operator="equal">
      <formula>"Napkin Hs"</formula>
    </cfRule>
  </conditionalFormatting>
  <conditionalFormatting sqref="C69">
    <cfRule type="cellIs" dxfId="20411" priority="10699" stopIfTrue="1" operator="equal">
      <formula>"Towel"</formula>
    </cfRule>
    <cfRule type="cellIs" dxfId="20410" priority="10700" stopIfTrue="1" operator="equal">
      <formula>"Napkin Hs"</formula>
    </cfRule>
  </conditionalFormatting>
  <conditionalFormatting sqref="C69">
    <cfRule type="cellIs" dxfId="20409" priority="10697" stopIfTrue="1" operator="equal">
      <formula>"Towel"</formula>
    </cfRule>
    <cfRule type="cellIs" dxfId="20408" priority="10698" stopIfTrue="1" operator="equal">
      <formula>"Napkin Hs"</formula>
    </cfRule>
  </conditionalFormatting>
  <conditionalFormatting sqref="C69">
    <cfRule type="cellIs" dxfId="20407" priority="10693" stopIfTrue="1" operator="equal">
      <formula>"Towel"</formula>
    </cfRule>
    <cfRule type="cellIs" dxfId="20406" priority="10694" stopIfTrue="1" operator="equal">
      <formula>"Napkin Hs"</formula>
    </cfRule>
  </conditionalFormatting>
  <conditionalFormatting sqref="C69">
    <cfRule type="cellIs" dxfId="20405" priority="10695" stopIfTrue="1" operator="equal">
      <formula>"Towel"</formula>
    </cfRule>
    <cfRule type="cellIs" dxfId="20404" priority="10696" stopIfTrue="1" operator="equal">
      <formula>"Napkin Hs"</formula>
    </cfRule>
  </conditionalFormatting>
  <conditionalFormatting sqref="C69">
    <cfRule type="cellIs" dxfId="20403" priority="10745" stopIfTrue="1" operator="equal">
      <formula>"Towel"</formula>
    </cfRule>
    <cfRule type="cellIs" dxfId="20402" priority="10746" stopIfTrue="1" operator="equal">
      <formula>"Napkin Hs"</formula>
    </cfRule>
  </conditionalFormatting>
  <conditionalFormatting sqref="C69">
    <cfRule type="cellIs" dxfId="20401" priority="10741" stopIfTrue="1" operator="equal">
      <formula>"Towel"</formula>
    </cfRule>
    <cfRule type="cellIs" dxfId="20400" priority="10742" stopIfTrue="1" operator="equal">
      <formula>"Napkin Hs"</formula>
    </cfRule>
  </conditionalFormatting>
  <conditionalFormatting sqref="C69">
    <cfRule type="cellIs" dxfId="20399" priority="10744" stopIfTrue="1" operator="equal">
      <formula>"Napkin Hs"</formula>
    </cfRule>
  </conditionalFormatting>
  <conditionalFormatting sqref="C69">
    <cfRule type="cellIs" dxfId="20398" priority="10743" stopIfTrue="1" operator="equal">
      <formula>"Towel"</formula>
    </cfRule>
  </conditionalFormatting>
  <conditionalFormatting sqref="C69">
    <cfRule type="cellIs" dxfId="20397" priority="10735" stopIfTrue="1" operator="equal">
      <formula>"Towel"</formula>
    </cfRule>
    <cfRule type="cellIs" dxfId="20396" priority="10736" stopIfTrue="1" operator="equal">
      <formula>"Napkin Hs"</formula>
    </cfRule>
  </conditionalFormatting>
  <conditionalFormatting sqref="C69">
    <cfRule type="cellIs" dxfId="20395" priority="10739" stopIfTrue="1" operator="equal">
      <formula>"Towel"</formula>
    </cfRule>
    <cfRule type="cellIs" dxfId="20394" priority="10740" stopIfTrue="1" operator="equal">
      <formula>"Napkin Hs"</formula>
    </cfRule>
  </conditionalFormatting>
  <conditionalFormatting sqref="C69">
    <cfRule type="cellIs" dxfId="20393" priority="10737" stopIfTrue="1" operator="equal">
      <formula>"Towel"</formula>
    </cfRule>
    <cfRule type="cellIs" dxfId="20392" priority="10738" stopIfTrue="1" operator="equal">
      <formula>"Napkin Hs"</formula>
    </cfRule>
  </conditionalFormatting>
  <conditionalFormatting sqref="C69">
    <cfRule type="cellIs" dxfId="20391" priority="10729" stopIfTrue="1" operator="equal">
      <formula>"Towel"</formula>
    </cfRule>
    <cfRule type="cellIs" dxfId="20390" priority="10730" stopIfTrue="1" operator="equal">
      <formula>"Napkin Hs"</formula>
    </cfRule>
  </conditionalFormatting>
  <conditionalFormatting sqref="C69">
    <cfRule type="cellIs" dxfId="20389" priority="10731" stopIfTrue="1" operator="equal">
      <formula>"Towel"</formula>
    </cfRule>
    <cfRule type="cellIs" dxfId="20388" priority="10732" stopIfTrue="1" operator="equal">
      <formula>"Napkin Hs"</formula>
    </cfRule>
  </conditionalFormatting>
  <conditionalFormatting sqref="C69">
    <cfRule type="cellIs" dxfId="20387" priority="10733" stopIfTrue="1" operator="equal">
      <formula>"Towel"</formula>
    </cfRule>
    <cfRule type="cellIs" dxfId="20386" priority="10734" stopIfTrue="1" operator="equal">
      <formula>"Napkin Hs"</formula>
    </cfRule>
  </conditionalFormatting>
  <conditionalFormatting sqref="C69">
    <cfRule type="cellIs" dxfId="20385" priority="10723" stopIfTrue="1" operator="equal">
      <formula>"Towel"</formula>
    </cfRule>
    <cfRule type="cellIs" dxfId="20384" priority="10724" stopIfTrue="1" operator="equal">
      <formula>"Napkin Hs"</formula>
    </cfRule>
  </conditionalFormatting>
  <conditionalFormatting sqref="C69">
    <cfRule type="cellIs" dxfId="20383" priority="10727" stopIfTrue="1" operator="equal">
      <formula>"Towel"</formula>
    </cfRule>
    <cfRule type="cellIs" dxfId="20382" priority="10728" stopIfTrue="1" operator="equal">
      <formula>"Napkin Hs"</formula>
    </cfRule>
  </conditionalFormatting>
  <conditionalFormatting sqref="C69">
    <cfRule type="cellIs" dxfId="20381" priority="10725" stopIfTrue="1" operator="equal">
      <formula>"Towel"</formula>
    </cfRule>
    <cfRule type="cellIs" dxfId="20380" priority="10726" stopIfTrue="1" operator="equal">
      <formula>"Napkin Hs"</formula>
    </cfRule>
  </conditionalFormatting>
  <conditionalFormatting sqref="C69">
    <cfRule type="cellIs" dxfId="20379" priority="10717" stopIfTrue="1" operator="equal">
      <formula>"Towel"</formula>
    </cfRule>
    <cfRule type="cellIs" dxfId="20378" priority="10718" stopIfTrue="1" operator="equal">
      <formula>"Napkin Hs"</formula>
    </cfRule>
  </conditionalFormatting>
  <conditionalFormatting sqref="C69">
    <cfRule type="cellIs" dxfId="20377" priority="10719" stopIfTrue="1" operator="equal">
      <formula>"Towel"</formula>
    </cfRule>
    <cfRule type="cellIs" dxfId="20376" priority="10720" stopIfTrue="1" operator="equal">
      <formula>"Napkin Hs"</formula>
    </cfRule>
  </conditionalFormatting>
  <conditionalFormatting sqref="C69">
    <cfRule type="cellIs" dxfId="20375" priority="10721" stopIfTrue="1" operator="equal">
      <formula>"Towel"</formula>
    </cfRule>
    <cfRule type="cellIs" dxfId="20374" priority="10722" stopIfTrue="1" operator="equal">
      <formula>"Napkin Hs"</formula>
    </cfRule>
  </conditionalFormatting>
  <conditionalFormatting sqref="C69">
    <cfRule type="cellIs" dxfId="20373" priority="10715" stopIfTrue="1" operator="equal">
      <formula>"Towel"</formula>
    </cfRule>
    <cfRule type="cellIs" dxfId="20372" priority="10716" stopIfTrue="1" operator="equal">
      <formula>"Napkin Hs"</formula>
    </cfRule>
  </conditionalFormatting>
  <conditionalFormatting sqref="C69">
    <cfRule type="cellIs" dxfId="20371" priority="10711" stopIfTrue="1" operator="equal">
      <formula>"Towel"</formula>
    </cfRule>
    <cfRule type="cellIs" dxfId="20370" priority="10712" stopIfTrue="1" operator="equal">
      <formula>"Napkin Hs"</formula>
    </cfRule>
  </conditionalFormatting>
  <conditionalFormatting sqref="C69">
    <cfRule type="cellIs" dxfId="20369" priority="10713" stopIfTrue="1" operator="equal">
      <formula>"Towel"</formula>
    </cfRule>
    <cfRule type="cellIs" dxfId="20368" priority="10714" stopIfTrue="1" operator="equal">
      <formula>"Napkin Hs"</formula>
    </cfRule>
  </conditionalFormatting>
  <conditionalFormatting sqref="C69">
    <cfRule type="cellIs" dxfId="20367" priority="10709" stopIfTrue="1" operator="equal">
      <formula>"Towel"</formula>
    </cfRule>
    <cfRule type="cellIs" dxfId="20366" priority="10710" stopIfTrue="1" operator="equal">
      <formula>"Napkin Hs"</formula>
    </cfRule>
  </conditionalFormatting>
  <conditionalFormatting sqref="C69">
    <cfRule type="cellIs" dxfId="20365" priority="10707" stopIfTrue="1" operator="equal">
      <formula>"Towel"</formula>
    </cfRule>
    <cfRule type="cellIs" dxfId="20364" priority="10708" stopIfTrue="1" operator="equal">
      <formula>"Napkin Hs"</formula>
    </cfRule>
  </conditionalFormatting>
  <conditionalFormatting sqref="C69">
    <cfRule type="cellIs" dxfId="20363" priority="10705" stopIfTrue="1" operator="equal">
      <formula>"Towel"</formula>
    </cfRule>
    <cfRule type="cellIs" dxfId="20362" priority="10706" stopIfTrue="1" operator="equal">
      <formula>"Napkin Hs"</formula>
    </cfRule>
  </conditionalFormatting>
  <conditionalFormatting sqref="C69">
    <cfRule type="cellIs" dxfId="20361" priority="10689" stopIfTrue="1" operator="equal">
      <formula>"Towel"</formula>
    </cfRule>
    <cfRule type="cellIs" dxfId="20360" priority="10690" stopIfTrue="1" operator="equal">
      <formula>"Napkin Hs"</formula>
    </cfRule>
  </conditionalFormatting>
  <conditionalFormatting sqref="C69">
    <cfRule type="cellIs" dxfId="20359" priority="10691" stopIfTrue="1" operator="equal">
      <formula>"Towel"</formula>
    </cfRule>
    <cfRule type="cellIs" dxfId="20358" priority="10692" stopIfTrue="1" operator="equal">
      <formula>"Napkin Hs"</formula>
    </cfRule>
  </conditionalFormatting>
  <conditionalFormatting sqref="C69">
    <cfRule type="cellIs" dxfId="20357" priority="10687" stopIfTrue="1" operator="equal">
      <formula>"Towel"</formula>
    </cfRule>
    <cfRule type="cellIs" dxfId="20356" priority="10688" stopIfTrue="1" operator="equal">
      <formula>"Napkin Hs"</formula>
    </cfRule>
  </conditionalFormatting>
  <conditionalFormatting sqref="C69">
    <cfRule type="cellIs" dxfId="20355" priority="10685" stopIfTrue="1" operator="equal">
      <formula>"Towel"</formula>
    </cfRule>
    <cfRule type="cellIs" dxfId="20354" priority="10686" stopIfTrue="1" operator="equal">
      <formula>"Napkin Hs"</formula>
    </cfRule>
  </conditionalFormatting>
  <conditionalFormatting sqref="C69">
    <cfRule type="cellIs" dxfId="20353" priority="10681" stopIfTrue="1" operator="equal">
      <formula>"Towel"</formula>
    </cfRule>
    <cfRule type="cellIs" dxfId="20352" priority="10682" stopIfTrue="1" operator="equal">
      <formula>"Napkin Hs"</formula>
    </cfRule>
  </conditionalFormatting>
  <conditionalFormatting sqref="C69">
    <cfRule type="cellIs" dxfId="20351" priority="10683" stopIfTrue="1" operator="equal">
      <formula>"Towel"</formula>
    </cfRule>
    <cfRule type="cellIs" dxfId="20350" priority="10684" stopIfTrue="1" operator="equal">
      <formula>"Napkin Hs"</formula>
    </cfRule>
  </conditionalFormatting>
  <conditionalFormatting sqref="C69">
    <cfRule type="cellIs" dxfId="20349" priority="10677" stopIfTrue="1" operator="equal">
      <formula>"Towel"</formula>
    </cfRule>
    <cfRule type="cellIs" dxfId="20348" priority="10678" stopIfTrue="1" operator="equal">
      <formula>"Napkin Hs"</formula>
    </cfRule>
  </conditionalFormatting>
  <conditionalFormatting sqref="C69">
    <cfRule type="cellIs" dxfId="20347" priority="10679" stopIfTrue="1" operator="equal">
      <formula>"Towel"</formula>
    </cfRule>
    <cfRule type="cellIs" dxfId="20346" priority="10680" stopIfTrue="1" operator="equal">
      <formula>"Napkin Hs"</formula>
    </cfRule>
  </conditionalFormatting>
  <conditionalFormatting sqref="C69">
    <cfRule type="cellIs" dxfId="20345" priority="10675" stopIfTrue="1" operator="equal">
      <formula>"Towel"</formula>
    </cfRule>
    <cfRule type="cellIs" dxfId="20344" priority="10676" stopIfTrue="1" operator="equal">
      <formula>"Napkin Hs"</formula>
    </cfRule>
  </conditionalFormatting>
  <conditionalFormatting sqref="C69">
    <cfRule type="cellIs" dxfId="20343" priority="10673" stopIfTrue="1" operator="equal">
      <formula>"Towel"</formula>
    </cfRule>
    <cfRule type="cellIs" dxfId="20342" priority="10674" stopIfTrue="1" operator="equal">
      <formula>"Napkin Hs"</formula>
    </cfRule>
  </conditionalFormatting>
  <conditionalFormatting sqref="C69">
    <cfRule type="cellIs" dxfId="20341" priority="10669" stopIfTrue="1" operator="equal">
      <formula>"Towel"</formula>
    </cfRule>
    <cfRule type="cellIs" dxfId="20340" priority="10670" stopIfTrue="1" operator="equal">
      <formula>"Napkin Hs"</formula>
    </cfRule>
  </conditionalFormatting>
  <conditionalFormatting sqref="C69">
    <cfRule type="cellIs" dxfId="20339" priority="10671" stopIfTrue="1" operator="equal">
      <formula>"Towel"</formula>
    </cfRule>
    <cfRule type="cellIs" dxfId="20338" priority="10672" stopIfTrue="1" operator="equal">
      <formula>"Napkin Hs"</formula>
    </cfRule>
  </conditionalFormatting>
  <conditionalFormatting sqref="B69">
    <cfRule type="cellIs" dxfId="20337" priority="10667" stopIfTrue="1" operator="equal">
      <formula>"Towel"</formula>
    </cfRule>
    <cfRule type="cellIs" dxfId="20336" priority="10668" stopIfTrue="1" operator="equal">
      <formula>"Napkin Hs"</formula>
    </cfRule>
  </conditionalFormatting>
  <conditionalFormatting sqref="B69">
    <cfRule type="cellIs" dxfId="20335" priority="10651" stopIfTrue="1" operator="equal">
      <formula>"Towel"</formula>
    </cfRule>
    <cfRule type="cellIs" dxfId="20334" priority="10652" stopIfTrue="1" operator="equal">
      <formula>"Napkin Hs"</formula>
    </cfRule>
  </conditionalFormatting>
  <conditionalFormatting sqref="B69">
    <cfRule type="cellIs" dxfId="20333" priority="10649" stopIfTrue="1" operator="equal">
      <formula>"Towel"</formula>
    </cfRule>
    <cfRule type="cellIs" dxfId="20332" priority="10650" stopIfTrue="1" operator="equal">
      <formula>"Napkin Hs"</formula>
    </cfRule>
  </conditionalFormatting>
  <conditionalFormatting sqref="B69">
    <cfRule type="cellIs" dxfId="20331" priority="10665" stopIfTrue="1" operator="equal">
      <formula>"Towel"</formula>
    </cfRule>
    <cfRule type="cellIs" dxfId="20330" priority="10666" stopIfTrue="1" operator="equal">
      <formula>"Napkin Hs"</formula>
    </cfRule>
  </conditionalFormatting>
  <conditionalFormatting sqref="B69">
    <cfRule type="cellIs" dxfId="20329" priority="10661" stopIfTrue="1" operator="equal">
      <formula>"Towel"</formula>
    </cfRule>
    <cfRule type="cellIs" dxfId="20328" priority="10662" stopIfTrue="1" operator="equal">
      <formula>"Napkin Hs"</formula>
    </cfRule>
  </conditionalFormatting>
  <conditionalFormatting sqref="B69">
    <cfRule type="cellIs" dxfId="20327" priority="10663" stopIfTrue="1" operator="equal">
      <formula>"Towel"</formula>
    </cfRule>
    <cfRule type="cellIs" dxfId="20326" priority="10664" stopIfTrue="1" operator="equal">
      <formula>"Napkin Hs"</formula>
    </cfRule>
  </conditionalFormatting>
  <conditionalFormatting sqref="B69">
    <cfRule type="cellIs" dxfId="20325" priority="10657" stopIfTrue="1" operator="equal">
      <formula>"Towel"</formula>
    </cfRule>
    <cfRule type="cellIs" dxfId="20324" priority="10658" stopIfTrue="1" operator="equal">
      <formula>"Napkin Hs"</formula>
    </cfRule>
  </conditionalFormatting>
  <conditionalFormatting sqref="B69">
    <cfRule type="cellIs" dxfId="20323" priority="10659" stopIfTrue="1" operator="equal">
      <formula>"Towel"</formula>
    </cfRule>
    <cfRule type="cellIs" dxfId="20322" priority="10660" stopIfTrue="1" operator="equal">
      <formula>"Napkin Hs"</formula>
    </cfRule>
  </conditionalFormatting>
  <conditionalFormatting sqref="B69">
    <cfRule type="cellIs" dxfId="20321" priority="10655" stopIfTrue="1" operator="equal">
      <formula>"Towel"</formula>
    </cfRule>
    <cfRule type="cellIs" dxfId="20320" priority="10656" stopIfTrue="1" operator="equal">
      <formula>"Napkin Hs"</formula>
    </cfRule>
  </conditionalFormatting>
  <conditionalFormatting sqref="B69">
    <cfRule type="cellIs" dxfId="20319" priority="10653" stopIfTrue="1" operator="equal">
      <formula>"Towel"</formula>
    </cfRule>
    <cfRule type="cellIs" dxfId="20318" priority="10654" stopIfTrue="1" operator="equal">
      <formula>"Napkin Hs"</formula>
    </cfRule>
  </conditionalFormatting>
  <conditionalFormatting sqref="B69">
    <cfRule type="cellIs" dxfId="20317" priority="10647" stopIfTrue="1" operator="equal">
      <formula>"Towel"</formula>
    </cfRule>
    <cfRule type="cellIs" dxfId="20316" priority="10648" stopIfTrue="1" operator="equal">
      <formula>"Napkin Hs"</formula>
    </cfRule>
  </conditionalFormatting>
  <conditionalFormatting sqref="B69">
    <cfRule type="cellIs" dxfId="20315" priority="10645" stopIfTrue="1" operator="equal">
      <formula>"Towel"</formula>
    </cfRule>
    <cfRule type="cellIs" dxfId="20314" priority="10646" stopIfTrue="1" operator="equal">
      <formula>"Napkin Hs"</formula>
    </cfRule>
  </conditionalFormatting>
  <conditionalFormatting sqref="B69">
    <cfRule type="cellIs" dxfId="20313" priority="10643" stopIfTrue="1" operator="equal">
      <formula>"Towel"</formula>
    </cfRule>
    <cfRule type="cellIs" dxfId="20312" priority="10644" stopIfTrue="1" operator="equal">
      <formula>"Napkin Hs"</formula>
    </cfRule>
  </conditionalFormatting>
  <conditionalFormatting sqref="B69">
    <cfRule type="cellIs" dxfId="20311" priority="10641" stopIfTrue="1" operator="equal">
      <formula>"Towel"</formula>
    </cfRule>
    <cfRule type="cellIs" dxfId="20310" priority="10642" stopIfTrue="1" operator="equal">
      <formula>"Napkin Hs"</formula>
    </cfRule>
  </conditionalFormatting>
  <conditionalFormatting sqref="B70">
    <cfRule type="cellIs" dxfId="20309" priority="10639" stopIfTrue="1" operator="equal">
      <formula>"Towel"</formula>
    </cfRule>
    <cfRule type="cellIs" dxfId="20308" priority="10640" stopIfTrue="1" operator="equal">
      <formula>"Napkin Hs"</formula>
    </cfRule>
  </conditionalFormatting>
  <conditionalFormatting sqref="B70">
    <cfRule type="cellIs" dxfId="20307" priority="10637" stopIfTrue="1" operator="equal">
      <formula>"Towel"</formula>
    </cfRule>
    <cfRule type="cellIs" dxfId="20306" priority="10638" stopIfTrue="1" operator="equal">
      <formula>"Napkin Hs"</formula>
    </cfRule>
  </conditionalFormatting>
  <conditionalFormatting sqref="B70">
    <cfRule type="cellIs" dxfId="20305" priority="10635" stopIfTrue="1" operator="equal">
      <formula>"Towel"</formula>
    </cfRule>
    <cfRule type="cellIs" dxfId="20304" priority="10636" stopIfTrue="1" operator="equal">
      <formula>"Napkin Hs"</formula>
    </cfRule>
  </conditionalFormatting>
  <conditionalFormatting sqref="B70">
    <cfRule type="cellIs" dxfId="20303" priority="10633" stopIfTrue="1" operator="equal">
      <formula>"Towel"</formula>
    </cfRule>
    <cfRule type="cellIs" dxfId="20302" priority="10634" stopIfTrue="1" operator="equal">
      <formula>"Napkin Hs"</formula>
    </cfRule>
  </conditionalFormatting>
  <conditionalFormatting sqref="B70">
    <cfRule type="cellIs" dxfId="20301" priority="10631" stopIfTrue="1" operator="equal">
      <formula>"Towel"</formula>
    </cfRule>
    <cfRule type="cellIs" dxfId="20300" priority="10632" stopIfTrue="1" operator="equal">
      <formula>"Napkin Hs"</formula>
    </cfRule>
  </conditionalFormatting>
  <conditionalFormatting sqref="B70">
    <cfRule type="cellIs" dxfId="20299" priority="10615" stopIfTrue="1" operator="equal">
      <formula>"Towel"</formula>
    </cfRule>
    <cfRule type="cellIs" dxfId="20298" priority="10616" stopIfTrue="1" operator="equal">
      <formula>"Napkin Hs"</formula>
    </cfRule>
  </conditionalFormatting>
  <conditionalFormatting sqref="B70">
    <cfRule type="cellIs" dxfId="20297" priority="10613" stopIfTrue="1" operator="equal">
      <formula>"Towel"</formula>
    </cfRule>
    <cfRule type="cellIs" dxfId="20296" priority="10614" stopIfTrue="1" operator="equal">
      <formula>"Napkin Hs"</formula>
    </cfRule>
  </conditionalFormatting>
  <conditionalFormatting sqref="B70">
    <cfRule type="cellIs" dxfId="20295" priority="10629" stopIfTrue="1" operator="equal">
      <formula>"Towel"</formula>
    </cfRule>
    <cfRule type="cellIs" dxfId="20294" priority="10630" stopIfTrue="1" operator="equal">
      <formula>"Napkin Hs"</formula>
    </cfRule>
  </conditionalFormatting>
  <conditionalFormatting sqref="B70">
    <cfRule type="cellIs" dxfId="20293" priority="10625" stopIfTrue="1" operator="equal">
      <formula>"Towel"</formula>
    </cfRule>
    <cfRule type="cellIs" dxfId="20292" priority="10626" stopIfTrue="1" operator="equal">
      <formula>"Napkin Hs"</formula>
    </cfRule>
  </conditionalFormatting>
  <conditionalFormatting sqref="B70">
    <cfRule type="cellIs" dxfId="20291" priority="10627" stopIfTrue="1" operator="equal">
      <formula>"Towel"</formula>
    </cfRule>
    <cfRule type="cellIs" dxfId="20290" priority="10628" stopIfTrue="1" operator="equal">
      <formula>"Napkin Hs"</formula>
    </cfRule>
  </conditionalFormatting>
  <conditionalFormatting sqref="B70">
    <cfRule type="cellIs" dxfId="20289" priority="10621" stopIfTrue="1" operator="equal">
      <formula>"Towel"</formula>
    </cfRule>
    <cfRule type="cellIs" dxfId="20288" priority="10622" stopIfTrue="1" operator="equal">
      <formula>"Napkin Hs"</formula>
    </cfRule>
  </conditionalFormatting>
  <conditionalFormatting sqref="B70">
    <cfRule type="cellIs" dxfId="20287" priority="10623" stopIfTrue="1" operator="equal">
      <formula>"Towel"</formula>
    </cfRule>
    <cfRule type="cellIs" dxfId="20286" priority="10624" stopIfTrue="1" operator="equal">
      <formula>"Napkin Hs"</formula>
    </cfRule>
  </conditionalFormatting>
  <conditionalFormatting sqref="B70">
    <cfRule type="cellIs" dxfId="20285" priority="10619" stopIfTrue="1" operator="equal">
      <formula>"Towel"</formula>
    </cfRule>
    <cfRule type="cellIs" dxfId="20284" priority="10620" stopIfTrue="1" operator="equal">
      <formula>"Napkin Hs"</formula>
    </cfRule>
  </conditionalFormatting>
  <conditionalFormatting sqref="B70">
    <cfRule type="cellIs" dxfId="20283" priority="10617" stopIfTrue="1" operator="equal">
      <formula>"Towel"</formula>
    </cfRule>
    <cfRule type="cellIs" dxfId="20282" priority="10618" stopIfTrue="1" operator="equal">
      <formula>"Napkin Hs"</formula>
    </cfRule>
  </conditionalFormatting>
  <conditionalFormatting sqref="B70">
    <cfRule type="cellIs" dxfId="20281" priority="10611" stopIfTrue="1" operator="equal">
      <formula>"Towel"</formula>
    </cfRule>
    <cfRule type="cellIs" dxfId="20280" priority="10612" stopIfTrue="1" operator="equal">
      <formula>"Napkin Hs"</formula>
    </cfRule>
  </conditionalFormatting>
  <conditionalFormatting sqref="B70">
    <cfRule type="cellIs" dxfId="20279" priority="10609" stopIfTrue="1" operator="equal">
      <formula>"Towel"</formula>
    </cfRule>
    <cfRule type="cellIs" dxfId="20278" priority="10610" stopIfTrue="1" operator="equal">
      <formula>"Napkin Hs"</formula>
    </cfRule>
  </conditionalFormatting>
  <conditionalFormatting sqref="B70">
    <cfRule type="cellIs" dxfId="20277" priority="10607" stopIfTrue="1" operator="equal">
      <formula>"Towel"</formula>
    </cfRule>
    <cfRule type="cellIs" dxfId="20276" priority="10608" stopIfTrue="1" operator="equal">
      <formula>"Napkin Hs"</formula>
    </cfRule>
  </conditionalFormatting>
  <conditionalFormatting sqref="B70">
    <cfRule type="cellIs" dxfId="20275" priority="10605" stopIfTrue="1" operator="equal">
      <formula>"Towel"</formula>
    </cfRule>
    <cfRule type="cellIs" dxfId="20274" priority="10606" stopIfTrue="1" operator="equal">
      <formula>"Napkin Hs"</formula>
    </cfRule>
  </conditionalFormatting>
  <conditionalFormatting sqref="C68">
    <cfRule type="cellIs" dxfId="20273" priority="10597" stopIfTrue="1" operator="equal">
      <formula>"Towel"</formula>
    </cfRule>
    <cfRule type="cellIs" dxfId="20272" priority="10598" stopIfTrue="1" operator="equal">
      <formula>"Napkin Hs"</formula>
    </cfRule>
  </conditionalFormatting>
  <conditionalFormatting sqref="C68">
    <cfRule type="cellIs" dxfId="20271" priority="10599" stopIfTrue="1" operator="equal">
      <formula>"Towel"</formula>
    </cfRule>
    <cfRule type="cellIs" dxfId="20270" priority="10600" stopIfTrue="1" operator="equal">
      <formula>"Napkin Hs"</formula>
    </cfRule>
  </conditionalFormatting>
  <conditionalFormatting sqref="C68">
    <cfRule type="cellIs" dxfId="20269" priority="10595" stopIfTrue="1" operator="equal">
      <formula>"Towel"</formula>
    </cfRule>
    <cfRule type="cellIs" dxfId="20268" priority="10596" stopIfTrue="1" operator="equal">
      <formula>"Napkin Hs"</formula>
    </cfRule>
  </conditionalFormatting>
  <conditionalFormatting sqref="C68">
    <cfRule type="cellIs" dxfId="20267" priority="10593" stopIfTrue="1" operator="equal">
      <formula>"Towel"</formula>
    </cfRule>
    <cfRule type="cellIs" dxfId="20266" priority="10594" stopIfTrue="1" operator="equal">
      <formula>"Napkin Hs"</formula>
    </cfRule>
  </conditionalFormatting>
  <conditionalFormatting sqref="C68">
    <cfRule type="cellIs" dxfId="20265" priority="10601" stopIfTrue="1" operator="equal">
      <formula>"Towel"</formula>
    </cfRule>
    <cfRule type="cellIs" dxfId="20264" priority="10602" stopIfTrue="1" operator="equal">
      <formula>"Napkin Hs"</formula>
    </cfRule>
  </conditionalFormatting>
  <conditionalFormatting sqref="C68">
    <cfRule type="cellIs" dxfId="20263" priority="10603" stopIfTrue="1" operator="equal">
      <formula>"Towel"</formula>
    </cfRule>
    <cfRule type="cellIs" dxfId="20262" priority="10604" stopIfTrue="1" operator="equal">
      <formula>"Napkin Hs"</formula>
    </cfRule>
  </conditionalFormatting>
  <conditionalFormatting sqref="C68">
    <cfRule type="cellIs" dxfId="20261" priority="10589" stopIfTrue="1" operator="equal">
      <formula>"Towel"</formula>
    </cfRule>
    <cfRule type="cellIs" dxfId="20260" priority="10590" stopIfTrue="1" operator="equal">
      <formula>"Napkin Hs"</formula>
    </cfRule>
  </conditionalFormatting>
  <conditionalFormatting sqref="C68">
    <cfRule type="cellIs" dxfId="20259" priority="10591" stopIfTrue="1" operator="equal">
      <formula>"Towel"</formula>
    </cfRule>
    <cfRule type="cellIs" dxfId="20258" priority="10592" stopIfTrue="1" operator="equal">
      <formula>"Napkin Hs"</formula>
    </cfRule>
  </conditionalFormatting>
  <conditionalFormatting sqref="C68">
    <cfRule type="cellIs" dxfId="20257" priority="10587" stopIfTrue="1" operator="equal">
      <formula>"Towel"</formula>
    </cfRule>
    <cfRule type="cellIs" dxfId="20256" priority="10588" stopIfTrue="1" operator="equal">
      <formula>"Napkin Hs"</formula>
    </cfRule>
  </conditionalFormatting>
  <conditionalFormatting sqref="C68">
    <cfRule type="cellIs" dxfId="20255" priority="10581" stopIfTrue="1" operator="equal">
      <formula>"Towel"</formula>
    </cfRule>
    <cfRule type="cellIs" dxfId="20254" priority="10582" stopIfTrue="1" operator="equal">
      <formula>"Napkin Hs"</formula>
    </cfRule>
  </conditionalFormatting>
  <conditionalFormatting sqref="C68">
    <cfRule type="cellIs" dxfId="20253" priority="10583" stopIfTrue="1" operator="equal">
      <formula>"Towel"</formula>
    </cfRule>
    <cfRule type="cellIs" dxfId="20252" priority="10584" stopIfTrue="1" operator="equal">
      <formula>"Napkin Hs"</formula>
    </cfRule>
  </conditionalFormatting>
  <conditionalFormatting sqref="C68">
    <cfRule type="cellIs" dxfId="20251" priority="10585" stopIfTrue="1" operator="equal">
      <formula>"Towel"</formula>
    </cfRule>
    <cfRule type="cellIs" dxfId="20250" priority="10586" stopIfTrue="1" operator="equal">
      <formula>"Napkin Hs"</formula>
    </cfRule>
  </conditionalFormatting>
  <conditionalFormatting sqref="C68">
    <cfRule type="cellIs" dxfId="20249" priority="10535" stopIfTrue="1" operator="equal">
      <formula>"Towel"</formula>
    </cfRule>
    <cfRule type="cellIs" dxfId="20248" priority="10536" stopIfTrue="1" operator="equal">
      <formula>"Napkin Hs"</formula>
    </cfRule>
  </conditionalFormatting>
  <conditionalFormatting sqref="C68">
    <cfRule type="cellIs" dxfId="20247" priority="10537" stopIfTrue="1" operator="equal">
      <formula>"Towel"</formula>
    </cfRule>
    <cfRule type="cellIs" dxfId="20246" priority="10538" stopIfTrue="1" operator="equal">
      <formula>"Napkin Hs"</formula>
    </cfRule>
  </conditionalFormatting>
  <conditionalFormatting sqref="C68">
    <cfRule type="cellIs" dxfId="20245" priority="10533" stopIfTrue="1" operator="equal">
      <formula>"Towel"</formula>
    </cfRule>
    <cfRule type="cellIs" dxfId="20244" priority="10534" stopIfTrue="1" operator="equal">
      <formula>"Napkin Hs"</formula>
    </cfRule>
  </conditionalFormatting>
  <conditionalFormatting sqref="C68">
    <cfRule type="cellIs" dxfId="20243" priority="10531" stopIfTrue="1" operator="equal">
      <formula>"Towel"</formula>
    </cfRule>
    <cfRule type="cellIs" dxfId="20242" priority="10532" stopIfTrue="1" operator="equal">
      <formula>"Napkin Hs"</formula>
    </cfRule>
  </conditionalFormatting>
  <conditionalFormatting sqref="C68">
    <cfRule type="cellIs" dxfId="20241" priority="10527" stopIfTrue="1" operator="equal">
      <formula>"Towel"</formula>
    </cfRule>
    <cfRule type="cellIs" dxfId="20240" priority="10528" stopIfTrue="1" operator="equal">
      <formula>"Napkin Hs"</formula>
    </cfRule>
  </conditionalFormatting>
  <conditionalFormatting sqref="C68">
    <cfRule type="cellIs" dxfId="20239" priority="10529" stopIfTrue="1" operator="equal">
      <formula>"Towel"</formula>
    </cfRule>
    <cfRule type="cellIs" dxfId="20238" priority="10530" stopIfTrue="1" operator="equal">
      <formula>"Napkin Hs"</formula>
    </cfRule>
  </conditionalFormatting>
  <conditionalFormatting sqref="C68">
    <cfRule type="cellIs" dxfId="20237" priority="10579" stopIfTrue="1" operator="equal">
      <formula>"Towel"</formula>
    </cfRule>
    <cfRule type="cellIs" dxfId="20236" priority="10580" stopIfTrue="1" operator="equal">
      <formula>"Napkin Hs"</formula>
    </cfRule>
  </conditionalFormatting>
  <conditionalFormatting sqref="C68">
    <cfRule type="cellIs" dxfId="20235" priority="10575" stopIfTrue="1" operator="equal">
      <formula>"Towel"</formula>
    </cfRule>
    <cfRule type="cellIs" dxfId="20234" priority="10576" stopIfTrue="1" operator="equal">
      <formula>"Napkin Hs"</formula>
    </cfRule>
  </conditionalFormatting>
  <conditionalFormatting sqref="C68">
    <cfRule type="cellIs" dxfId="20233" priority="10578" stopIfTrue="1" operator="equal">
      <formula>"Napkin Hs"</formula>
    </cfRule>
  </conditionalFormatting>
  <conditionalFormatting sqref="C68">
    <cfRule type="cellIs" dxfId="20232" priority="10577" stopIfTrue="1" operator="equal">
      <formula>"Towel"</formula>
    </cfRule>
  </conditionalFormatting>
  <conditionalFormatting sqref="C68">
    <cfRule type="cellIs" dxfId="20231" priority="10569" stopIfTrue="1" operator="equal">
      <formula>"Towel"</formula>
    </cfRule>
    <cfRule type="cellIs" dxfId="20230" priority="10570" stopIfTrue="1" operator="equal">
      <formula>"Napkin Hs"</formula>
    </cfRule>
  </conditionalFormatting>
  <conditionalFormatting sqref="C68">
    <cfRule type="cellIs" dxfId="20229" priority="10573" stopIfTrue="1" operator="equal">
      <formula>"Towel"</formula>
    </cfRule>
    <cfRule type="cellIs" dxfId="20228" priority="10574" stopIfTrue="1" operator="equal">
      <formula>"Napkin Hs"</formula>
    </cfRule>
  </conditionalFormatting>
  <conditionalFormatting sqref="C68">
    <cfRule type="cellIs" dxfId="20227" priority="10571" stopIfTrue="1" operator="equal">
      <formula>"Towel"</formula>
    </cfRule>
    <cfRule type="cellIs" dxfId="20226" priority="10572" stopIfTrue="1" operator="equal">
      <formula>"Napkin Hs"</formula>
    </cfRule>
  </conditionalFormatting>
  <conditionalFormatting sqref="C68">
    <cfRule type="cellIs" dxfId="20225" priority="10563" stopIfTrue="1" operator="equal">
      <formula>"Towel"</formula>
    </cfRule>
    <cfRule type="cellIs" dxfId="20224" priority="10564" stopIfTrue="1" operator="equal">
      <formula>"Napkin Hs"</formula>
    </cfRule>
  </conditionalFormatting>
  <conditionalFormatting sqref="C68">
    <cfRule type="cellIs" dxfId="20223" priority="10565" stopIfTrue="1" operator="equal">
      <formula>"Towel"</formula>
    </cfRule>
    <cfRule type="cellIs" dxfId="20222" priority="10566" stopIfTrue="1" operator="equal">
      <formula>"Napkin Hs"</formula>
    </cfRule>
  </conditionalFormatting>
  <conditionalFormatting sqref="C68">
    <cfRule type="cellIs" dxfId="20221" priority="10567" stopIfTrue="1" operator="equal">
      <formula>"Towel"</formula>
    </cfRule>
    <cfRule type="cellIs" dxfId="20220" priority="10568" stopIfTrue="1" operator="equal">
      <formula>"Napkin Hs"</formula>
    </cfRule>
  </conditionalFormatting>
  <conditionalFormatting sqref="C68">
    <cfRule type="cellIs" dxfId="20219" priority="10557" stopIfTrue="1" operator="equal">
      <formula>"Towel"</formula>
    </cfRule>
    <cfRule type="cellIs" dxfId="20218" priority="10558" stopIfTrue="1" operator="equal">
      <formula>"Napkin Hs"</formula>
    </cfRule>
  </conditionalFormatting>
  <conditionalFormatting sqref="C68">
    <cfRule type="cellIs" dxfId="20217" priority="10561" stopIfTrue="1" operator="equal">
      <formula>"Towel"</formula>
    </cfRule>
    <cfRule type="cellIs" dxfId="20216" priority="10562" stopIfTrue="1" operator="equal">
      <formula>"Napkin Hs"</formula>
    </cfRule>
  </conditionalFormatting>
  <conditionalFormatting sqref="C68">
    <cfRule type="cellIs" dxfId="20215" priority="10559" stopIfTrue="1" operator="equal">
      <formula>"Towel"</formula>
    </cfRule>
    <cfRule type="cellIs" dxfId="20214" priority="10560" stopIfTrue="1" operator="equal">
      <formula>"Napkin Hs"</formula>
    </cfRule>
  </conditionalFormatting>
  <conditionalFormatting sqref="C68">
    <cfRule type="cellIs" dxfId="20213" priority="10551" stopIfTrue="1" operator="equal">
      <formula>"Towel"</formula>
    </cfRule>
    <cfRule type="cellIs" dxfId="20212" priority="10552" stopIfTrue="1" operator="equal">
      <formula>"Napkin Hs"</formula>
    </cfRule>
  </conditionalFormatting>
  <conditionalFormatting sqref="C68">
    <cfRule type="cellIs" dxfId="20211" priority="10553" stopIfTrue="1" operator="equal">
      <formula>"Towel"</formula>
    </cfRule>
    <cfRule type="cellIs" dxfId="20210" priority="10554" stopIfTrue="1" operator="equal">
      <formula>"Napkin Hs"</formula>
    </cfRule>
  </conditionalFormatting>
  <conditionalFormatting sqref="C68">
    <cfRule type="cellIs" dxfId="20209" priority="10555" stopIfTrue="1" operator="equal">
      <formula>"Towel"</formula>
    </cfRule>
    <cfRule type="cellIs" dxfId="20208" priority="10556" stopIfTrue="1" operator="equal">
      <formula>"Napkin Hs"</formula>
    </cfRule>
  </conditionalFormatting>
  <conditionalFormatting sqref="C68">
    <cfRule type="cellIs" dxfId="20207" priority="10549" stopIfTrue="1" operator="equal">
      <formula>"Towel"</formula>
    </cfRule>
    <cfRule type="cellIs" dxfId="20206" priority="10550" stopIfTrue="1" operator="equal">
      <formula>"Napkin Hs"</formula>
    </cfRule>
  </conditionalFormatting>
  <conditionalFormatting sqref="C68">
    <cfRule type="cellIs" dxfId="20205" priority="10545" stopIfTrue="1" operator="equal">
      <formula>"Towel"</formula>
    </cfRule>
    <cfRule type="cellIs" dxfId="20204" priority="10546" stopIfTrue="1" operator="equal">
      <formula>"Napkin Hs"</formula>
    </cfRule>
  </conditionalFormatting>
  <conditionalFormatting sqref="C68">
    <cfRule type="cellIs" dxfId="20203" priority="10547" stopIfTrue="1" operator="equal">
      <formula>"Towel"</formula>
    </cfRule>
    <cfRule type="cellIs" dxfId="20202" priority="10548" stopIfTrue="1" operator="equal">
      <formula>"Napkin Hs"</formula>
    </cfRule>
  </conditionalFormatting>
  <conditionalFormatting sqref="C68">
    <cfRule type="cellIs" dxfId="20201" priority="10543" stopIfTrue="1" operator="equal">
      <formula>"Towel"</formula>
    </cfRule>
    <cfRule type="cellIs" dxfId="20200" priority="10544" stopIfTrue="1" operator="equal">
      <formula>"Napkin Hs"</formula>
    </cfRule>
  </conditionalFormatting>
  <conditionalFormatting sqref="C68">
    <cfRule type="cellIs" dxfId="20199" priority="10541" stopIfTrue="1" operator="equal">
      <formula>"Towel"</formula>
    </cfRule>
    <cfRule type="cellIs" dxfId="20198" priority="10542" stopIfTrue="1" operator="equal">
      <formula>"Napkin Hs"</formula>
    </cfRule>
  </conditionalFormatting>
  <conditionalFormatting sqref="C68">
    <cfRule type="cellIs" dxfId="20197" priority="10539" stopIfTrue="1" operator="equal">
      <formula>"Towel"</formula>
    </cfRule>
    <cfRule type="cellIs" dxfId="20196" priority="10540" stopIfTrue="1" operator="equal">
      <formula>"Napkin Hs"</formula>
    </cfRule>
  </conditionalFormatting>
  <conditionalFormatting sqref="C68">
    <cfRule type="cellIs" dxfId="20195" priority="10523" stopIfTrue="1" operator="equal">
      <formula>"Towel"</formula>
    </cfRule>
    <cfRule type="cellIs" dxfId="20194" priority="10524" stopIfTrue="1" operator="equal">
      <formula>"Napkin Hs"</formula>
    </cfRule>
  </conditionalFormatting>
  <conditionalFormatting sqref="C68">
    <cfRule type="cellIs" dxfId="20193" priority="10525" stopIfTrue="1" operator="equal">
      <formula>"Towel"</formula>
    </cfRule>
    <cfRule type="cellIs" dxfId="20192" priority="10526" stopIfTrue="1" operator="equal">
      <formula>"Napkin Hs"</formula>
    </cfRule>
  </conditionalFormatting>
  <conditionalFormatting sqref="C68">
    <cfRule type="cellIs" dxfId="20191" priority="10521" stopIfTrue="1" operator="equal">
      <formula>"Towel"</formula>
    </cfRule>
    <cfRule type="cellIs" dxfId="20190" priority="10522" stopIfTrue="1" operator="equal">
      <formula>"Napkin Hs"</formula>
    </cfRule>
  </conditionalFormatting>
  <conditionalFormatting sqref="C68">
    <cfRule type="cellIs" dxfId="20189" priority="10519" stopIfTrue="1" operator="equal">
      <formula>"Towel"</formula>
    </cfRule>
    <cfRule type="cellIs" dxfId="20188" priority="10520" stopIfTrue="1" operator="equal">
      <formula>"Napkin Hs"</formula>
    </cfRule>
  </conditionalFormatting>
  <conditionalFormatting sqref="C68">
    <cfRule type="cellIs" dxfId="20187" priority="10515" stopIfTrue="1" operator="equal">
      <formula>"Towel"</formula>
    </cfRule>
    <cfRule type="cellIs" dxfId="20186" priority="10516" stopIfTrue="1" operator="equal">
      <formula>"Napkin Hs"</formula>
    </cfRule>
  </conditionalFormatting>
  <conditionalFormatting sqref="C68">
    <cfRule type="cellIs" dxfId="20185" priority="10517" stopIfTrue="1" operator="equal">
      <formula>"Towel"</formula>
    </cfRule>
    <cfRule type="cellIs" dxfId="20184" priority="10518" stopIfTrue="1" operator="equal">
      <formula>"Napkin Hs"</formula>
    </cfRule>
  </conditionalFormatting>
  <conditionalFormatting sqref="C68">
    <cfRule type="cellIs" dxfId="20183" priority="10511" stopIfTrue="1" operator="equal">
      <formula>"Towel"</formula>
    </cfRule>
    <cfRule type="cellIs" dxfId="20182" priority="10512" stopIfTrue="1" operator="equal">
      <formula>"Napkin Hs"</formula>
    </cfRule>
  </conditionalFormatting>
  <conditionalFormatting sqref="C68">
    <cfRule type="cellIs" dxfId="20181" priority="10513" stopIfTrue="1" operator="equal">
      <formula>"Towel"</formula>
    </cfRule>
    <cfRule type="cellIs" dxfId="20180" priority="10514" stopIfTrue="1" operator="equal">
      <formula>"Napkin Hs"</formula>
    </cfRule>
  </conditionalFormatting>
  <conditionalFormatting sqref="C68">
    <cfRule type="cellIs" dxfId="20179" priority="10509" stopIfTrue="1" operator="equal">
      <formula>"Towel"</formula>
    </cfRule>
    <cfRule type="cellIs" dxfId="20178" priority="10510" stopIfTrue="1" operator="equal">
      <formula>"Napkin Hs"</formula>
    </cfRule>
  </conditionalFormatting>
  <conditionalFormatting sqref="C68">
    <cfRule type="cellIs" dxfId="20177" priority="10507" stopIfTrue="1" operator="equal">
      <formula>"Towel"</formula>
    </cfRule>
    <cfRule type="cellIs" dxfId="20176" priority="10508" stopIfTrue="1" operator="equal">
      <formula>"Napkin Hs"</formula>
    </cfRule>
  </conditionalFormatting>
  <conditionalFormatting sqref="C68">
    <cfRule type="cellIs" dxfId="20175" priority="10503" stopIfTrue="1" operator="equal">
      <formula>"Towel"</formula>
    </cfRule>
    <cfRule type="cellIs" dxfId="20174" priority="10504" stopIfTrue="1" operator="equal">
      <formula>"Napkin Hs"</formula>
    </cfRule>
  </conditionalFormatting>
  <conditionalFormatting sqref="C68">
    <cfRule type="cellIs" dxfId="20173" priority="10505" stopIfTrue="1" operator="equal">
      <formula>"Towel"</formula>
    </cfRule>
    <cfRule type="cellIs" dxfId="20172" priority="10506" stopIfTrue="1" operator="equal">
      <formula>"Napkin Hs"</formula>
    </cfRule>
  </conditionalFormatting>
  <conditionalFormatting sqref="B68">
    <cfRule type="cellIs" dxfId="20171" priority="10501" stopIfTrue="1" operator="equal">
      <formula>"Towel"</formula>
    </cfRule>
    <cfRule type="cellIs" dxfId="20170" priority="10502" stopIfTrue="1" operator="equal">
      <formula>"Napkin Hs"</formula>
    </cfRule>
  </conditionalFormatting>
  <conditionalFormatting sqref="B68">
    <cfRule type="cellIs" dxfId="20169" priority="10485" stopIfTrue="1" operator="equal">
      <formula>"Towel"</formula>
    </cfRule>
    <cfRule type="cellIs" dxfId="20168" priority="10486" stopIfTrue="1" operator="equal">
      <formula>"Napkin Hs"</formula>
    </cfRule>
  </conditionalFormatting>
  <conditionalFormatting sqref="B68">
    <cfRule type="cellIs" dxfId="20167" priority="10483" stopIfTrue="1" operator="equal">
      <formula>"Towel"</formula>
    </cfRule>
    <cfRule type="cellIs" dxfId="20166" priority="10484" stopIfTrue="1" operator="equal">
      <formula>"Napkin Hs"</formula>
    </cfRule>
  </conditionalFormatting>
  <conditionalFormatting sqref="B68">
    <cfRule type="cellIs" dxfId="20165" priority="10499" stopIfTrue="1" operator="equal">
      <formula>"Towel"</formula>
    </cfRule>
    <cfRule type="cellIs" dxfId="20164" priority="10500" stopIfTrue="1" operator="equal">
      <formula>"Napkin Hs"</formula>
    </cfRule>
  </conditionalFormatting>
  <conditionalFormatting sqref="B68">
    <cfRule type="cellIs" dxfId="20163" priority="10495" stopIfTrue="1" operator="equal">
      <formula>"Towel"</formula>
    </cfRule>
    <cfRule type="cellIs" dxfId="20162" priority="10496" stopIfTrue="1" operator="equal">
      <formula>"Napkin Hs"</formula>
    </cfRule>
  </conditionalFormatting>
  <conditionalFormatting sqref="B68">
    <cfRule type="cellIs" dxfId="20161" priority="10497" stopIfTrue="1" operator="equal">
      <formula>"Towel"</formula>
    </cfRule>
    <cfRule type="cellIs" dxfId="20160" priority="10498" stopIfTrue="1" operator="equal">
      <formula>"Napkin Hs"</formula>
    </cfRule>
  </conditionalFormatting>
  <conditionalFormatting sqref="B68">
    <cfRule type="cellIs" dxfId="20159" priority="10491" stopIfTrue="1" operator="equal">
      <formula>"Towel"</formula>
    </cfRule>
    <cfRule type="cellIs" dxfId="20158" priority="10492" stopIfTrue="1" operator="equal">
      <formula>"Napkin Hs"</formula>
    </cfRule>
  </conditionalFormatting>
  <conditionalFormatting sqref="B68">
    <cfRule type="cellIs" dxfId="20157" priority="10493" stopIfTrue="1" operator="equal">
      <formula>"Towel"</formula>
    </cfRule>
    <cfRule type="cellIs" dxfId="20156" priority="10494" stopIfTrue="1" operator="equal">
      <formula>"Napkin Hs"</formula>
    </cfRule>
  </conditionalFormatting>
  <conditionalFormatting sqref="B68">
    <cfRule type="cellIs" dxfId="20155" priority="10489" stopIfTrue="1" operator="equal">
      <formula>"Towel"</formula>
    </cfRule>
    <cfRule type="cellIs" dxfId="20154" priority="10490" stopIfTrue="1" operator="equal">
      <formula>"Napkin Hs"</formula>
    </cfRule>
  </conditionalFormatting>
  <conditionalFormatting sqref="B68">
    <cfRule type="cellIs" dxfId="20153" priority="10487" stopIfTrue="1" operator="equal">
      <formula>"Towel"</formula>
    </cfRule>
    <cfRule type="cellIs" dxfId="20152" priority="10488" stopIfTrue="1" operator="equal">
      <formula>"Napkin Hs"</formula>
    </cfRule>
  </conditionalFormatting>
  <conditionalFormatting sqref="B68">
    <cfRule type="cellIs" dxfId="20151" priority="10481" stopIfTrue="1" operator="equal">
      <formula>"Towel"</formula>
    </cfRule>
    <cfRule type="cellIs" dxfId="20150" priority="10482" stopIfTrue="1" operator="equal">
      <formula>"Napkin Hs"</formula>
    </cfRule>
  </conditionalFormatting>
  <conditionalFormatting sqref="B68">
    <cfRule type="cellIs" dxfId="20149" priority="10479" stopIfTrue="1" operator="equal">
      <formula>"Towel"</formula>
    </cfRule>
    <cfRule type="cellIs" dxfId="20148" priority="10480" stopIfTrue="1" operator="equal">
      <formula>"Napkin Hs"</formula>
    </cfRule>
  </conditionalFormatting>
  <conditionalFormatting sqref="B68">
    <cfRule type="cellIs" dxfId="20147" priority="10477" stopIfTrue="1" operator="equal">
      <formula>"Towel"</formula>
    </cfRule>
    <cfRule type="cellIs" dxfId="20146" priority="10478" stopIfTrue="1" operator="equal">
      <formula>"Napkin Hs"</formula>
    </cfRule>
  </conditionalFormatting>
  <conditionalFormatting sqref="B68">
    <cfRule type="cellIs" dxfId="20145" priority="10475" stopIfTrue="1" operator="equal">
      <formula>"Towel"</formula>
    </cfRule>
    <cfRule type="cellIs" dxfId="20144" priority="10476" stopIfTrue="1" operator="equal">
      <formula>"Napkin Hs"</formula>
    </cfRule>
  </conditionalFormatting>
  <conditionalFormatting sqref="B77:C77">
    <cfRule type="cellIs" dxfId="20143" priority="10473" stopIfTrue="1" operator="equal">
      <formula>"Towel"</formula>
    </cfRule>
    <cfRule type="cellIs" dxfId="20142" priority="10474" stopIfTrue="1" operator="equal">
      <formula>"Napkin Hs"</formula>
    </cfRule>
  </conditionalFormatting>
  <conditionalFormatting sqref="C77">
    <cfRule type="cellIs" dxfId="20141" priority="10469" stopIfTrue="1" operator="equal">
      <formula>"Towel"</formula>
    </cfRule>
    <cfRule type="cellIs" dxfId="20140" priority="10470" stopIfTrue="1" operator="equal">
      <formula>"Napkin Hs"</formula>
    </cfRule>
  </conditionalFormatting>
  <conditionalFormatting sqref="C77">
    <cfRule type="cellIs" dxfId="20139" priority="10471" stopIfTrue="1" operator="equal">
      <formula>"Towel"</formula>
    </cfRule>
    <cfRule type="cellIs" dxfId="20138" priority="10472" stopIfTrue="1" operator="equal">
      <formula>"Napkin Hs"</formula>
    </cfRule>
  </conditionalFormatting>
  <conditionalFormatting sqref="C78">
    <cfRule type="cellIs" dxfId="20137" priority="10429" stopIfTrue="1" operator="equal">
      <formula>"Towel"</formula>
    </cfRule>
    <cfRule type="cellIs" dxfId="20136" priority="10430" stopIfTrue="1" operator="equal">
      <formula>"Napkin Hs"</formula>
    </cfRule>
  </conditionalFormatting>
  <conditionalFormatting sqref="B78:C78">
    <cfRule type="cellIs" dxfId="20135" priority="10431" stopIfTrue="1" operator="equal">
      <formula>"Towel"</formula>
    </cfRule>
    <cfRule type="cellIs" dxfId="20134" priority="10432" stopIfTrue="1" operator="equal">
      <formula>"Napkin Hs"</formula>
    </cfRule>
  </conditionalFormatting>
  <conditionalFormatting sqref="C78">
    <cfRule type="cellIs" dxfId="20133" priority="10427" stopIfTrue="1" operator="equal">
      <formula>"Towel"</formula>
    </cfRule>
    <cfRule type="cellIs" dxfId="20132" priority="10428" stopIfTrue="1" operator="equal">
      <formula>"Napkin Hs"</formula>
    </cfRule>
  </conditionalFormatting>
  <conditionalFormatting sqref="B78:C78">
    <cfRule type="cellIs" dxfId="20131" priority="10425" stopIfTrue="1" operator="equal">
      <formula>"Towel"</formula>
    </cfRule>
    <cfRule type="cellIs" dxfId="20130" priority="10426" stopIfTrue="1" operator="equal">
      <formula>"Napkin Hs"</formula>
    </cfRule>
  </conditionalFormatting>
  <conditionalFormatting sqref="C78">
    <cfRule type="cellIs" dxfId="20129" priority="10433" stopIfTrue="1" operator="equal">
      <formula>"Towel"</formula>
    </cfRule>
    <cfRule type="cellIs" dxfId="20128" priority="10434" stopIfTrue="1" operator="equal">
      <formula>"Napkin Hs"</formula>
    </cfRule>
  </conditionalFormatting>
  <conditionalFormatting sqref="C78">
    <cfRule type="cellIs" dxfId="20127" priority="10435" stopIfTrue="1" operator="equal">
      <formula>"Towel"</formula>
    </cfRule>
    <cfRule type="cellIs" dxfId="20126" priority="10436" stopIfTrue="1" operator="equal">
      <formula>"Napkin Hs"</formula>
    </cfRule>
  </conditionalFormatting>
  <conditionalFormatting sqref="C76">
    <cfRule type="cellIs" dxfId="20125" priority="10417" stopIfTrue="1" operator="equal">
      <formula>"Towel"</formula>
    </cfRule>
    <cfRule type="cellIs" dxfId="20124" priority="10418" stopIfTrue="1" operator="equal">
      <formula>"Napkin Hs"</formula>
    </cfRule>
  </conditionalFormatting>
  <conditionalFormatting sqref="C76">
    <cfRule type="cellIs" dxfId="20123" priority="10419" stopIfTrue="1" operator="equal">
      <formula>"Towel"</formula>
    </cfRule>
    <cfRule type="cellIs" dxfId="20122" priority="10420" stopIfTrue="1" operator="equal">
      <formula>"Napkin Hs"</formula>
    </cfRule>
  </conditionalFormatting>
  <conditionalFormatting sqref="C76">
    <cfRule type="cellIs" dxfId="20121" priority="10415" stopIfTrue="1" operator="equal">
      <formula>"Towel"</formula>
    </cfRule>
    <cfRule type="cellIs" dxfId="20120" priority="10416" stopIfTrue="1" operator="equal">
      <formula>"Napkin Hs"</formula>
    </cfRule>
  </conditionalFormatting>
  <conditionalFormatting sqref="C76">
    <cfRule type="cellIs" dxfId="20119" priority="10413" stopIfTrue="1" operator="equal">
      <formula>"Towel"</formula>
    </cfRule>
    <cfRule type="cellIs" dxfId="20118" priority="10414" stopIfTrue="1" operator="equal">
      <formula>"Napkin Hs"</formula>
    </cfRule>
  </conditionalFormatting>
  <conditionalFormatting sqref="C76">
    <cfRule type="cellIs" dxfId="20117" priority="10421" stopIfTrue="1" operator="equal">
      <formula>"Towel"</formula>
    </cfRule>
    <cfRule type="cellIs" dxfId="20116" priority="10422" stopIfTrue="1" operator="equal">
      <formula>"Napkin Hs"</formula>
    </cfRule>
  </conditionalFormatting>
  <conditionalFormatting sqref="C76">
    <cfRule type="cellIs" dxfId="20115" priority="10423" stopIfTrue="1" operator="equal">
      <formula>"Towel"</formula>
    </cfRule>
    <cfRule type="cellIs" dxfId="20114" priority="10424" stopIfTrue="1" operator="equal">
      <formula>"Napkin Hs"</formula>
    </cfRule>
  </conditionalFormatting>
  <conditionalFormatting sqref="C76">
    <cfRule type="cellIs" dxfId="20113" priority="10409" stopIfTrue="1" operator="equal">
      <formula>"Towel"</formula>
    </cfRule>
    <cfRule type="cellIs" dxfId="20112" priority="10410" stopIfTrue="1" operator="equal">
      <formula>"Napkin Hs"</formula>
    </cfRule>
  </conditionalFormatting>
  <conditionalFormatting sqref="C76">
    <cfRule type="cellIs" dxfId="20111" priority="10411" stopIfTrue="1" operator="equal">
      <formula>"Towel"</formula>
    </cfRule>
    <cfRule type="cellIs" dxfId="20110" priority="10412" stopIfTrue="1" operator="equal">
      <formula>"Napkin Hs"</formula>
    </cfRule>
  </conditionalFormatting>
  <conditionalFormatting sqref="C76">
    <cfRule type="cellIs" dxfId="20109" priority="10407" stopIfTrue="1" operator="equal">
      <formula>"Towel"</formula>
    </cfRule>
    <cfRule type="cellIs" dxfId="20108" priority="10408" stopIfTrue="1" operator="equal">
      <formula>"Napkin Hs"</formula>
    </cfRule>
  </conditionalFormatting>
  <conditionalFormatting sqref="C76">
    <cfRule type="cellIs" dxfId="20107" priority="10401" stopIfTrue="1" operator="equal">
      <formula>"Towel"</formula>
    </cfRule>
    <cfRule type="cellIs" dxfId="20106" priority="10402" stopIfTrue="1" operator="equal">
      <formula>"Napkin Hs"</formula>
    </cfRule>
  </conditionalFormatting>
  <conditionalFormatting sqref="C76">
    <cfRule type="cellIs" dxfId="20105" priority="10403" stopIfTrue="1" operator="equal">
      <formula>"Towel"</formula>
    </cfRule>
    <cfRule type="cellIs" dxfId="20104" priority="10404" stopIfTrue="1" operator="equal">
      <formula>"Napkin Hs"</formula>
    </cfRule>
  </conditionalFormatting>
  <conditionalFormatting sqref="C76">
    <cfRule type="cellIs" dxfId="20103" priority="10405" stopIfTrue="1" operator="equal">
      <formula>"Towel"</formula>
    </cfRule>
    <cfRule type="cellIs" dxfId="20102" priority="10406" stopIfTrue="1" operator="equal">
      <formula>"Napkin Hs"</formula>
    </cfRule>
  </conditionalFormatting>
  <conditionalFormatting sqref="C76">
    <cfRule type="cellIs" dxfId="20101" priority="10355" stopIfTrue="1" operator="equal">
      <formula>"Towel"</formula>
    </cfRule>
    <cfRule type="cellIs" dxfId="20100" priority="10356" stopIfTrue="1" operator="equal">
      <formula>"Napkin Hs"</formula>
    </cfRule>
  </conditionalFormatting>
  <conditionalFormatting sqref="C76">
    <cfRule type="cellIs" dxfId="20099" priority="10357" stopIfTrue="1" operator="equal">
      <formula>"Towel"</formula>
    </cfRule>
    <cfRule type="cellIs" dxfId="20098" priority="10358" stopIfTrue="1" operator="equal">
      <formula>"Napkin Hs"</formula>
    </cfRule>
  </conditionalFormatting>
  <conditionalFormatting sqref="C76">
    <cfRule type="cellIs" dxfId="20097" priority="10353" stopIfTrue="1" operator="equal">
      <formula>"Towel"</formula>
    </cfRule>
    <cfRule type="cellIs" dxfId="20096" priority="10354" stopIfTrue="1" operator="equal">
      <formula>"Napkin Hs"</formula>
    </cfRule>
  </conditionalFormatting>
  <conditionalFormatting sqref="C76">
    <cfRule type="cellIs" dxfId="20095" priority="10351" stopIfTrue="1" operator="equal">
      <formula>"Towel"</formula>
    </cfRule>
    <cfRule type="cellIs" dxfId="20094" priority="10352" stopIfTrue="1" operator="equal">
      <formula>"Napkin Hs"</formula>
    </cfRule>
  </conditionalFormatting>
  <conditionalFormatting sqref="C76">
    <cfRule type="cellIs" dxfId="20093" priority="10347" stopIfTrue="1" operator="equal">
      <formula>"Towel"</formula>
    </cfRule>
    <cfRule type="cellIs" dxfId="20092" priority="10348" stopIfTrue="1" operator="equal">
      <formula>"Napkin Hs"</formula>
    </cfRule>
  </conditionalFormatting>
  <conditionalFormatting sqref="C76">
    <cfRule type="cellIs" dxfId="20091" priority="10349" stopIfTrue="1" operator="equal">
      <formula>"Towel"</formula>
    </cfRule>
    <cfRule type="cellIs" dxfId="20090" priority="10350" stopIfTrue="1" operator="equal">
      <formula>"Napkin Hs"</formula>
    </cfRule>
  </conditionalFormatting>
  <conditionalFormatting sqref="C76">
    <cfRule type="cellIs" dxfId="20089" priority="10399" stopIfTrue="1" operator="equal">
      <formula>"Towel"</formula>
    </cfRule>
    <cfRule type="cellIs" dxfId="20088" priority="10400" stopIfTrue="1" operator="equal">
      <formula>"Napkin Hs"</formula>
    </cfRule>
  </conditionalFormatting>
  <conditionalFormatting sqref="C76">
    <cfRule type="cellIs" dxfId="20087" priority="10395" stopIfTrue="1" operator="equal">
      <formula>"Towel"</formula>
    </cfRule>
    <cfRule type="cellIs" dxfId="20086" priority="10396" stopIfTrue="1" operator="equal">
      <formula>"Napkin Hs"</formula>
    </cfRule>
  </conditionalFormatting>
  <conditionalFormatting sqref="C76">
    <cfRule type="cellIs" dxfId="20085" priority="10398" stopIfTrue="1" operator="equal">
      <formula>"Napkin Hs"</formula>
    </cfRule>
  </conditionalFormatting>
  <conditionalFormatting sqref="C76">
    <cfRule type="cellIs" dxfId="20084" priority="10397" stopIfTrue="1" operator="equal">
      <formula>"Towel"</formula>
    </cfRule>
  </conditionalFormatting>
  <conditionalFormatting sqref="C76">
    <cfRule type="cellIs" dxfId="20083" priority="10389" stopIfTrue="1" operator="equal">
      <formula>"Towel"</formula>
    </cfRule>
    <cfRule type="cellIs" dxfId="20082" priority="10390" stopIfTrue="1" operator="equal">
      <formula>"Napkin Hs"</formula>
    </cfRule>
  </conditionalFormatting>
  <conditionalFormatting sqref="C76">
    <cfRule type="cellIs" dxfId="20081" priority="10393" stopIfTrue="1" operator="equal">
      <formula>"Towel"</formula>
    </cfRule>
    <cfRule type="cellIs" dxfId="20080" priority="10394" stopIfTrue="1" operator="equal">
      <formula>"Napkin Hs"</formula>
    </cfRule>
  </conditionalFormatting>
  <conditionalFormatting sqref="C76">
    <cfRule type="cellIs" dxfId="20079" priority="10391" stopIfTrue="1" operator="equal">
      <formula>"Towel"</formula>
    </cfRule>
    <cfRule type="cellIs" dxfId="20078" priority="10392" stopIfTrue="1" operator="equal">
      <formula>"Napkin Hs"</formula>
    </cfRule>
  </conditionalFormatting>
  <conditionalFormatting sqref="C76">
    <cfRule type="cellIs" dxfId="20077" priority="10383" stopIfTrue="1" operator="equal">
      <formula>"Towel"</formula>
    </cfRule>
    <cfRule type="cellIs" dxfId="20076" priority="10384" stopIfTrue="1" operator="equal">
      <formula>"Napkin Hs"</formula>
    </cfRule>
  </conditionalFormatting>
  <conditionalFormatting sqref="C76">
    <cfRule type="cellIs" dxfId="20075" priority="10385" stopIfTrue="1" operator="equal">
      <formula>"Towel"</formula>
    </cfRule>
    <cfRule type="cellIs" dxfId="20074" priority="10386" stopIfTrue="1" operator="equal">
      <formula>"Napkin Hs"</formula>
    </cfRule>
  </conditionalFormatting>
  <conditionalFormatting sqref="C76">
    <cfRule type="cellIs" dxfId="20073" priority="10387" stopIfTrue="1" operator="equal">
      <formula>"Towel"</formula>
    </cfRule>
    <cfRule type="cellIs" dxfId="20072" priority="10388" stopIfTrue="1" operator="equal">
      <formula>"Napkin Hs"</formula>
    </cfRule>
  </conditionalFormatting>
  <conditionalFormatting sqref="C76">
    <cfRule type="cellIs" dxfId="20071" priority="10377" stopIfTrue="1" operator="equal">
      <formula>"Towel"</formula>
    </cfRule>
    <cfRule type="cellIs" dxfId="20070" priority="10378" stopIfTrue="1" operator="equal">
      <formula>"Napkin Hs"</formula>
    </cfRule>
  </conditionalFormatting>
  <conditionalFormatting sqref="C76">
    <cfRule type="cellIs" dxfId="20069" priority="10381" stopIfTrue="1" operator="equal">
      <formula>"Towel"</formula>
    </cfRule>
    <cfRule type="cellIs" dxfId="20068" priority="10382" stopIfTrue="1" operator="equal">
      <formula>"Napkin Hs"</formula>
    </cfRule>
  </conditionalFormatting>
  <conditionalFormatting sqref="C76">
    <cfRule type="cellIs" dxfId="20067" priority="10379" stopIfTrue="1" operator="equal">
      <formula>"Towel"</formula>
    </cfRule>
    <cfRule type="cellIs" dxfId="20066" priority="10380" stopIfTrue="1" operator="equal">
      <formula>"Napkin Hs"</formula>
    </cfRule>
  </conditionalFormatting>
  <conditionalFormatting sqref="C76">
    <cfRule type="cellIs" dxfId="20065" priority="10371" stopIfTrue="1" operator="equal">
      <formula>"Towel"</formula>
    </cfRule>
    <cfRule type="cellIs" dxfId="20064" priority="10372" stopIfTrue="1" operator="equal">
      <formula>"Napkin Hs"</formula>
    </cfRule>
  </conditionalFormatting>
  <conditionalFormatting sqref="C76">
    <cfRule type="cellIs" dxfId="20063" priority="10373" stopIfTrue="1" operator="equal">
      <formula>"Towel"</formula>
    </cfRule>
    <cfRule type="cellIs" dxfId="20062" priority="10374" stopIfTrue="1" operator="equal">
      <formula>"Napkin Hs"</formula>
    </cfRule>
  </conditionalFormatting>
  <conditionalFormatting sqref="C76">
    <cfRule type="cellIs" dxfId="20061" priority="10375" stopIfTrue="1" operator="equal">
      <formula>"Towel"</formula>
    </cfRule>
    <cfRule type="cellIs" dxfId="20060" priority="10376" stopIfTrue="1" operator="equal">
      <formula>"Napkin Hs"</formula>
    </cfRule>
  </conditionalFormatting>
  <conditionalFormatting sqref="C76">
    <cfRule type="cellIs" dxfId="20059" priority="10369" stopIfTrue="1" operator="equal">
      <formula>"Towel"</formula>
    </cfRule>
    <cfRule type="cellIs" dxfId="20058" priority="10370" stopIfTrue="1" operator="equal">
      <formula>"Napkin Hs"</formula>
    </cfRule>
  </conditionalFormatting>
  <conditionalFormatting sqref="C76">
    <cfRule type="cellIs" dxfId="20057" priority="10365" stopIfTrue="1" operator="equal">
      <formula>"Towel"</formula>
    </cfRule>
    <cfRule type="cellIs" dxfId="20056" priority="10366" stopIfTrue="1" operator="equal">
      <formula>"Napkin Hs"</formula>
    </cfRule>
  </conditionalFormatting>
  <conditionalFormatting sqref="C76">
    <cfRule type="cellIs" dxfId="20055" priority="10367" stopIfTrue="1" operator="equal">
      <formula>"Towel"</formula>
    </cfRule>
    <cfRule type="cellIs" dxfId="20054" priority="10368" stopIfTrue="1" operator="equal">
      <formula>"Napkin Hs"</formula>
    </cfRule>
  </conditionalFormatting>
  <conditionalFormatting sqref="C76">
    <cfRule type="cellIs" dxfId="20053" priority="10363" stopIfTrue="1" operator="equal">
      <formula>"Towel"</formula>
    </cfRule>
    <cfRule type="cellIs" dxfId="20052" priority="10364" stopIfTrue="1" operator="equal">
      <formula>"Napkin Hs"</formula>
    </cfRule>
  </conditionalFormatting>
  <conditionalFormatting sqref="C76">
    <cfRule type="cellIs" dxfId="20051" priority="10361" stopIfTrue="1" operator="equal">
      <formula>"Towel"</formula>
    </cfRule>
    <cfRule type="cellIs" dxfId="20050" priority="10362" stopIfTrue="1" operator="equal">
      <formula>"Napkin Hs"</formula>
    </cfRule>
  </conditionalFormatting>
  <conditionalFormatting sqref="C76">
    <cfRule type="cellIs" dxfId="20049" priority="10359" stopIfTrue="1" operator="equal">
      <formula>"Towel"</formula>
    </cfRule>
    <cfRule type="cellIs" dxfId="20048" priority="10360" stopIfTrue="1" operator="equal">
      <formula>"Napkin Hs"</formula>
    </cfRule>
  </conditionalFormatting>
  <conditionalFormatting sqref="C76">
    <cfRule type="cellIs" dxfId="20047" priority="10343" stopIfTrue="1" operator="equal">
      <formula>"Towel"</formula>
    </cfRule>
    <cfRule type="cellIs" dxfId="20046" priority="10344" stopIfTrue="1" operator="equal">
      <formula>"Napkin Hs"</formula>
    </cfRule>
  </conditionalFormatting>
  <conditionalFormatting sqref="C76">
    <cfRule type="cellIs" dxfId="20045" priority="10345" stopIfTrue="1" operator="equal">
      <formula>"Towel"</formula>
    </cfRule>
    <cfRule type="cellIs" dxfId="20044" priority="10346" stopIfTrue="1" operator="equal">
      <formula>"Napkin Hs"</formula>
    </cfRule>
  </conditionalFormatting>
  <conditionalFormatting sqref="C76">
    <cfRule type="cellIs" dxfId="20043" priority="10341" stopIfTrue="1" operator="equal">
      <formula>"Towel"</formula>
    </cfRule>
    <cfRule type="cellIs" dxfId="20042" priority="10342" stopIfTrue="1" operator="equal">
      <formula>"Napkin Hs"</formula>
    </cfRule>
  </conditionalFormatting>
  <conditionalFormatting sqref="C76">
    <cfRule type="cellIs" dxfId="20041" priority="10339" stopIfTrue="1" operator="equal">
      <formula>"Towel"</formula>
    </cfRule>
    <cfRule type="cellIs" dxfId="20040" priority="10340" stopIfTrue="1" operator="equal">
      <formula>"Napkin Hs"</formula>
    </cfRule>
  </conditionalFormatting>
  <conditionalFormatting sqref="C76">
    <cfRule type="cellIs" dxfId="20039" priority="10335" stopIfTrue="1" operator="equal">
      <formula>"Towel"</formula>
    </cfRule>
    <cfRule type="cellIs" dxfId="20038" priority="10336" stopIfTrue="1" operator="equal">
      <formula>"Napkin Hs"</formula>
    </cfRule>
  </conditionalFormatting>
  <conditionalFormatting sqref="C76">
    <cfRule type="cellIs" dxfId="20037" priority="10337" stopIfTrue="1" operator="equal">
      <formula>"Towel"</formula>
    </cfRule>
    <cfRule type="cellIs" dxfId="20036" priority="10338" stopIfTrue="1" operator="equal">
      <formula>"Napkin Hs"</formula>
    </cfRule>
  </conditionalFormatting>
  <conditionalFormatting sqref="C76">
    <cfRule type="cellIs" dxfId="20035" priority="10331" stopIfTrue="1" operator="equal">
      <formula>"Towel"</formula>
    </cfRule>
    <cfRule type="cellIs" dxfId="20034" priority="10332" stopIfTrue="1" operator="equal">
      <formula>"Napkin Hs"</formula>
    </cfRule>
  </conditionalFormatting>
  <conditionalFormatting sqref="C76">
    <cfRule type="cellIs" dxfId="20033" priority="10333" stopIfTrue="1" operator="equal">
      <formula>"Towel"</formula>
    </cfRule>
    <cfRule type="cellIs" dxfId="20032" priority="10334" stopIfTrue="1" operator="equal">
      <formula>"Napkin Hs"</formula>
    </cfRule>
  </conditionalFormatting>
  <conditionalFormatting sqref="C76">
    <cfRule type="cellIs" dxfId="20031" priority="10329" stopIfTrue="1" operator="equal">
      <formula>"Towel"</formula>
    </cfRule>
    <cfRule type="cellIs" dxfId="20030" priority="10330" stopIfTrue="1" operator="equal">
      <formula>"Napkin Hs"</formula>
    </cfRule>
  </conditionalFormatting>
  <conditionalFormatting sqref="C76">
    <cfRule type="cellIs" dxfId="20029" priority="10327" stopIfTrue="1" operator="equal">
      <formula>"Towel"</formula>
    </cfRule>
    <cfRule type="cellIs" dxfId="20028" priority="10328" stopIfTrue="1" operator="equal">
      <formula>"Napkin Hs"</formula>
    </cfRule>
  </conditionalFormatting>
  <conditionalFormatting sqref="C76">
    <cfRule type="cellIs" dxfId="20027" priority="10323" stopIfTrue="1" operator="equal">
      <formula>"Towel"</formula>
    </cfRule>
    <cfRule type="cellIs" dxfId="20026" priority="10324" stopIfTrue="1" operator="equal">
      <formula>"Napkin Hs"</formula>
    </cfRule>
  </conditionalFormatting>
  <conditionalFormatting sqref="C76">
    <cfRule type="cellIs" dxfId="20025" priority="10325" stopIfTrue="1" operator="equal">
      <formula>"Towel"</formula>
    </cfRule>
    <cfRule type="cellIs" dxfId="20024" priority="10326" stopIfTrue="1" operator="equal">
      <formula>"Napkin Hs"</formula>
    </cfRule>
  </conditionalFormatting>
  <conditionalFormatting sqref="B76">
    <cfRule type="cellIs" dxfId="20023" priority="10191" stopIfTrue="1" operator="equal">
      <formula>"Towel"</formula>
    </cfRule>
    <cfRule type="cellIs" dxfId="20022" priority="10192" stopIfTrue="1" operator="equal">
      <formula>"Napkin Hs"</formula>
    </cfRule>
  </conditionalFormatting>
  <conditionalFormatting sqref="B76">
    <cfRule type="cellIs" dxfId="20021" priority="10189" stopIfTrue="1" operator="equal">
      <formula>"Towel"</formula>
    </cfRule>
    <cfRule type="cellIs" dxfId="20020" priority="10190" stopIfTrue="1" operator="equal">
      <formula>"Napkin Hs"</formula>
    </cfRule>
  </conditionalFormatting>
  <conditionalFormatting sqref="B76">
    <cfRule type="cellIs" dxfId="20019" priority="10187" stopIfTrue="1" operator="equal">
      <formula>"Towel"</formula>
    </cfRule>
    <cfRule type="cellIs" dxfId="20018" priority="10188" stopIfTrue="1" operator="equal">
      <formula>"Napkin Hs"</formula>
    </cfRule>
  </conditionalFormatting>
  <conditionalFormatting sqref="B76">
    <cfRule type="cellIs" dxfId="20017" priority="10185" stopIfTrue="1" operator="equal">
      <formula>"Towel"</formula>
    </cfRule>
    <cfRule type="cellIs" dxfId="20016" priority="10186" stopIfTrue="1" operator="equal">
      <formula>"Napkin Hs"</formula>
    </cfRule>
  </conditionalFormatting>
  <conditionalFormatting sqref="B76">
    <cfRule type="cellIs" dxfId="20015" priority="10183" stopIfTrue="1" operator="equal">
      <formula>"Towel"</formula>
    </cfRule>
    <cfRule type="cellIs" dxfId="20014" priority="10184" stopIfTrue="1" operator="equal">
      <formula>"Napkin Hs"</formula>
    </cfRule>
  </conditionalFormatting>
  <conditionalFormatting sqref="B76">
    <cfRule type="cellIs" dxfId="20013" priority="10167" stopIfTrue="1" operator="equal">
      <formula>"Towel"</formula>
    </cfRule>
    <cfRule type="cellIs" dxfId="20012" priority="10168" stopIfTrue="1" operator="equal">
      <formula>"Napkin Hs"</formula>
    </cfRule>
  </conditionalFormatting>
  <conditionalFormatting sqref="B76">
    <cfRule type="cellIs" dxfId="20011" priority="10165" stopIfTrue="1" operator="equal">
      <formula>"Towel"</formula>
    </cfRule>
    <cfRule type="cellIs" dxfId="20010" priority="10166" stopIfTrue="1" operator="equal">
      <formula>"Napkin Hs"</formula>
    </cfRule>
  </conditionalFormatting>
  <conditionalFormatting sqref="B76">
    <cfRule type="cellIs" dxfId="20009" priority="10181" stopIfTrue="1" operator="equal">
      <formula>"Towel"</formula>
    </cfRule>
    <cfRule type="cellIs" dxfId="20008" priority="10182" stopIfTrue="1" operator="equal">
      <formula>"Napkin Hs"</formula>
    </cfRule>
  </conditionalFormatting>
  <conditionalFormatting sqref="B76">
    <cfRule type="cellIs" dxfId="20007" priority="10177" stopIfTrue="1" operator="equal">
      <formula>"Towel"</formula>
    </cfRule>
    <cfRule type="cellIs" dxfId="20006" priority="10178" stopIfTrue="1" operator="equal">
      <formula>"Napkin Hs"</formula>
    </cfRule>
  </conditionalFormatting>
  <conditionalFormatting sqref="B76">
    <cfRule type="cellIs" dxfId="20005" priority="10179" stopIfTrue="1" operator="equal">
      <formula>"Towel"</formula>
    </cfRule>
    <cfRule type="cellIs" dxfId="20004" priority="10180" stopIfTrue="1" operator="equal">
      <formula>"Napkin Hs"</formula>
    </cfRule>
  </conditionalFormatting>
  <conditionalFormatting sqref="B76">
    <cfRule type="cellIs" dxfId="20003" priority="10173" stopIfTrue="1" operator="equal">
      <formula>"Towel"</formula>
    </cfRule>
    <cfRule type="cellIs" dxfId="20002" priority="10174" stopIfTrue="1" operator="equal">
      <formula>"Napkin Hs"</formula>
    </cfRule>
  </conditionalFormatting>
  <conditionalFormatting sqref="B76">
    <cfRule type="cellIs" dxfId="20001" priority="10175" stopIfTrue="1" operator="equal">
      <formula>"Towel"</formula>
    </cfRule>
    <cfRule type="cellIs" dxfId="20000" priority="10176" stopIfTrue="1" operator="equal">
      <formula>"Napkin Hs"</formula>
    </cfRule>
  </conditionalFormatting>
  <conditionalFormatting sqref="B76">
    <cfRule type="cellIs" dxfId="19999" priority="10171" stopIfTrue="1" operator="equal">
      <formula>"Towel"</formula>
    </cfRule>
    <cfRule type="cellIs" dxfId="19998" priority="10172" stopIfTrue="1" operator="equal">
      <formula>"Napkin Hs"</formula>
    </cfRule>
  </conditionalFormatting>
  <conditionalFormatting sqref="B76">
    <cfRule type="cellIs" dxfId="19997" priority="10169" stopIfTrue="1" operator="equal">
      <formula>"Towel"</formula>
    </cfRule>
    <cfRule type="cellIs" dxfId="19996" priority="10170" stopIfTrue="1" operator="equal">
      <formula>"Napkin Hs"</formula>
    </cfRule>
  </conditionalFormatting>
  <conditionalFormatting sqref="B76">
    <cfRule type="cellIs" dxfId="19995" priority="10163" stopIfTrue="1" operator="equal">
      <formula>"Towel"</formula>
    </cfRule>
    <cfRule type="cellIs" dxfId="19994" priority="10164" stopIfTrue="1" operator="equal">
      <formula>"Napkin Hs"</formula>
    </cfRule>
  </conditionalFormatting>
  <conditionalFormatting sqref="B76">
    <cfRule type="cellIs" dxfId="19993" priority="10161" stopIfTrue="1" operator="equal">
      <formula>"Towel"</formula>
    </cfRule>
    <cfRule type="cellIs" dxfId="19992" priority="10162" stopIfTrue="1" operator="equal">
      <formula>"Napkin Hs"</formula>
    </cfRule>
  </conditionalFormatting>
  <conditionalFormatting sqref="B76">
    <cfRule type="cellIs" dxfId="19991" priority="10159" stopIfTrue="1" operator="equal">
      <formula>"Towel"</formula>
    </cfRule>
    <cfRule type="cellIs" dxfId="19990" priority="10160" stopIfTrue="1" operator="equal">
      <formula>"Napkin Hs"</formula>
    </cfRule>
  </conditionalFormatting>
  <conditionalFormatting sqref="B76">
    <cfRule type="cellIs" dxfId="19989" priority="10157" stopIfTrue="1" operator="equal">
      <formula>"Towel"</formula>
    </cfRule>
    <cfRule type="cellIs" dxfId="19988" priority="10158" stopIfTrue="1" operator="equal">
      <formula>"Napkin Hs"</formula>
    </cfRule>
  </conditionalFormatting>
  <conditionalFormatting sqref="C74">
    <cfRule type="cellIs" dxfId="19987" priority="10149" stopIfTrue="1" operator="equal">
      <formula>"Towel"</formula>
    </cfRule>
    <cfRule type="cellIs" dxfId="19986" priority="10150" stopIfTrue="1" operator="equal">
      <formula>"Napkin Hs"</formula>
    </cfRule>
  </conditionalFormatting>
  <conditionalFormatting sqref="C74">
    <cfRule type="cellIs" dxfId="19985" priority="10151" stopIfTrue="1" operator="equal">
      <formula>"Towel"</formula>
    </cfRule>
    <cfRule type="cellIs" dxfId="19984" priority="10152" stopIfTrue="1" operator="equal">
      <formula>"Napkin Hs"</formula>
    </cfRule>
  </conditionalFormatting>
  <conditionalFormatting sqref="C74">
    <cfRule type="cellIs" dxfId="19983" priority="10147" stopIfTrue="1" operator="equal">
      <formula>"Towel"</formula>
    </cfRule>
    <cfRule type="cellIs" dxfId="19982" priority="10148" stopIfTrue="1" operator="equal">
      <formula>"Napkin Hs"</formula>
    </cfRule>
  </conditionalFormatting>
  <conditionalFormatting sqref="C74">
    <cfRule type="cellIs" dxfId="19981" priority="10145" stopIfTrue="1" operator="equal">
      <formula>"Towel"</formula>
    </cfRule>
    <cfRule type="cellIs" dxfId="19980" priority="10146" stopIfTrue="1" operator="equal">
      <formula>"Napkin Hs"</formula>
    </cfRule>
  </conditionalFormatting>
  <conditionalFormatting sqref="C74">
    <cfRule type="cellIs" dxfId="19979" priority="10153" stopIfTrue="1" operator="equal">
      <formula>"Towel"</formula>
    </cfRule>
    <cfRule type="cellIs" dxfId="19978" priority="10154" stopIfTrue="1" operator="equal">
      <formula>"Napkin Hs"</formula>
    </cfRule>
  </conditionalFormatting>
  <conditionalFormatting sqref="C74">
    <cfRule type="cellIs" dxfId="19977" priority="10155" stopIfTrue="1" operator="equal">
      <formula>"Towel"</formula>
    </cfRule>
    <cfRule type="cellIs" dxfId="19976" priority="10156" stopIfTrue="1" operator="equal">
      <formula>"Napkin Hs"</formula>
    </cfRule>
  </conditionalFormatting>
  <conditionalFormatting sqref="C74">
    <cfRule type="cellIs" dxfId="19975" priority="10141" stopIfTrue="1" operator="equal">
      <formula>"Towel"</formula>
    </cfRule>
    <cfRule type="cellIs" dxfId="19974" priority="10142" stopIfTrue="1" operator="equal">
      <formula>"Napkin Hs"</formula>
    </cfRule>
  </conditionalFormatting>
  <conditionalFormatting sqref="C74">
    <cfRule type="cellIs" dxfId="19973" priority="10143" stopIfTrue="1" operator="equal">
      <formula>"Towel"</formula>
    </cfRule>
    <cfRule type="cellIs" dxfId="19972" priority="10144" stopIfTrue="1" operator="equal">
      <formula>"Napkin Hs"</formula>
    </cfRule>
  </conditionalFormatting>
  <conditionalFormatting sqref="C74">
    <cfRule type="cellIs" dxfId="19971" priority="10139" stopIfTrue="1" operator="equal">
      <formula>"Towel"</formula>
    </cfRule>
    <cfRule type="cellIs" dxfId="19970" priority="10140" stopIfTrue="1" operator="equal">
      <formula>"Napkin Hs"</formula>
    </cfRule>
  </conditionalFormatting>
  <conditionalFormatting sqref="C74">
    <cfRule type="cellIs" dxfId="19969" priority="10133" stopIfTrue="1" operator="equal">
      <formula>"Towel"</formula>
    </cfRule>
    <cfRule type="cellIs" dxfId="19968" priority="10134" stopIfTrue="1" operator="equal">
      <formula>"Napkin Hs"</formula>
    </cfRule>
  </conditionalFormatting>
  <conditionalFormatting sqref="C74">
    <cfRule type="cellIs" dxfId="19967" priority="10135" stopIfTrue="1" operator="equal">
      <formula>"Towel"</formula>
    </cfRule>
    <cfRule type="cellIs" dxfId="19966" priority="10136" stopIfTrue="1" operator="equal">
      <formula>"Napkin Hs"</formula>
    </cfRule>
  </conditionalFormatting>
  <conditionalFormatting sqref="C74">
    <cfRule type="cellIs" dxfId="19965" priority="10137" stopIfTrue="1" operator="equal">
      <formula>"Towel"</formula>
    </cfRule>
    <cfRule type="cellIs" dxfId="19964" priority="10138" stopIfTrue="1" operator="equal">
      <formula>"Napkin Hs"</formula>
    </cfRule>
  </conditionalFormatting>
  <conditionalFormatting sqref="C74">
    <cfRule type="cellIs" dxfId="19963" priority="10087" stopIfTrue="1" operator="equal">
      <formula>"Towel"</formula>
    </cfRule>
    <cfRule type="cellIs" dxfId="19962" priority="10088" stopIfTrue="1" operator="equal">
      <formula>"Napkin Hs"</formula>
    </cfRule>
  </conditionalFormatting>
  <conditionalFormatting sqref="C74">
    <cfRule type="cellIs" dxfId="19961" priority="10089" stopIfTrue="1" operator="equal">
      <formula>"Towel"</formula>
    </cfRule>
    <cfRule type="cellIs" dxfId="19960" priority="10090" stopIfTrue="1" operator="equal">
      <formula>"Napkin Hs"</formula>
    </cfRule>
  </conditionalFormatting>
  <conditionalFormatting sqref="C74">
    <cfRule type="cellIs" dxfId="19959" priority="10085" stopIfTrue="1" operator="equal">
      <formula>"Towel"</formula>
    </cfRule>
    <cfRule type="cellIs" dxfId="19958" priority="10086" stopIfTrue="1" operator="equal">
      <formula>"Napkin Hs"</formula>
    </cfRule>
  </conditionalFormatting>
  <conditionalFormatting sqref="C74">
    <cfRule type="cellIs" dxfId="19957" priority="10083" stopIfTrue="1" operator="equal">
      <formula>"Towel"</formula>
    </cfRule>
    <cfRule type="cellIs" dxfId="19956" priority="10084" stopIfTrue="1" operator="equal">
      <formula>"Napkin Hs"</formula>
    </cfRule>
  </conditionalFormatting>
  <conditionalFormatting sqref="C74">
    <cfRule type="cellIs" dxfId="19955" priority="10079" stopIfTrue="1" operator="equal">
      <formula>"Towel"</formula>
    </cfRule>
    <cfRule type="cellIs" dxfId="19954" priority="10080" stopIfTrue="1" operator="equal">
      <formula>"Napkin Hs"</formula>
    </cfRule>
  </conditionalFormatting>
  <conditionalFormatting sqref="C74">
    <cfRule type="cellIs" dxfId="19953" priority="10081" stopIfTrue="1" operator="equal">
      <formula>"Towel"</formula>
    </cfRule>
    <cfRule type="cellIs" dxfId="19952" priority="10082" stopIfTrue="1" operator="equal">
      <formula>"Napkin Hs"</formula>
    </cfRule>
  </conditionalFormatting>
  <conditionalFormatting sqref="C74">
    <cfRule type="cellIs" dxfId="19951" priority="10131" stopIfTrue="1" operator="equal">
      <formula>"Towel"</formula>
    </cfRule>
    <cfRule type="cellIs" dxfId="19950" priority="10132" stopIfTrue="1" operator="equal">
      <formula>"Napkin Hs"</formula>
    </cfRule>
  </conditionalFormatting>
  <conditionalFormatting sqref="C74">
    <cfRule type="cellIs" dxfId="19949" priority="10127" stopIfTrue="1" operator="equal">
      <formula>"Towel"</formula>
    </cfRule>
    <cfRule type="cellIs" dxfId="19948" priority="10128" stopIfTrue="1" operator="equal">
      <formula>"Napkin Hs"</formula>
    </cfRule>
  </conditionalFormatting>
  <conditionalFormatting sqref="C74">
    <cfRule type="cellIs" dxfId="19947" priority="10130" stopIfTrue="1" operator="equal">
      <formula>"Napkin Hs"</formula>
    </cfRule>
  </conditionalFormatting>
  <conditionalFormatting sqref="C74">
    <cfRule type="cellIs" dxfId="19946" priority="10129" stopIfTrue="1" operator="equal">
      <formula>"Towel"</formula>
    </cfRule>
  </conditionalFormatting>
  <conditionalFormatting sqref="C74">
    <cfRule type="cellIs" dxfId="19945" priority="10121" stopIfTrue="1" operator="equal">
      <formula>"Towel"</formula>
    </cfRule>
    <cfRule type="cellIs" dxfId="19944" priority="10122" stopIfTrue="1" operator="equal">
      <formula>"Napkin Hs"</formula>
    </cfRule>
  </conditionalFormatting>
  <conditionalFormatting sqref="C74">
    <cfRule type="cellIs" dxfId="19943" priority="10125" stopIfTrue="1" operator="equal">
      <formula>"Towel"</formula>
    </cfRule>
    <cfRule type="cellIs" dxfId="19942" priority="10126" stopIfTrue="1" operator="equal">
      <formula>"Napkin Hs"</formula>
    </cfRule>
  </conditionalFormatting>
  <conditionalFormatting sqref="C74">
    <cfRule type="cellIs" dxfId="19941" priority="10123" stopIfTrue="1" operator="equal">
      <formula>"Towel"</formula>
    </cfRule>
    <cfRule type="cellIs" dxfId="19940" priority="10124" stopIfTrue="1" operator="equal">
      <formula>"Napkin Hs"</formula>
    </cfRule>
  </conditionalFormatting>
  <conditionalFormatting sqref="C74">
    <cfRule type="cellIs" dxfId="19939" priority="10115" stopIfTrue="1" operator="equal">
      <formula>"Towel"</formula>
    </cfRule>
    <cfRule type="cellIs" dxfId="19938" priority="10116" stopIfTrue="1" operator="equal">
      <formula>"Napkin Hs"</formula>
    </cfRule>
  </conditionalFormatting>
  <conditionalFormatting sqref="C74">
    <cfRule type="cellIs" dxfId="19937" priority="10117" stopIfTrue="1" operator="equal">
      <formula>"Towel"</formula>
    </cfRule>
    <cfRule type="cellIs" dxfId="19936" priority="10118" stopIfTrue="1" operator="equal">
      <formula>"Napkin Hs"</formula>
    </cfRule>
  </conditionalFormatting>
  <conditionalFormatting sqref="C74">
    <cfRule type="cellIs" dxfId="19935" priority="10119" stopIfTrue="1" operator="equal">
      <formula>"Towel"</formula>
    </cfRule>
    <cfRule type="cellIs" dxfId="19934" priority="10120" stopIfTrue="1" operator="equal">
      <formula>"Napkin Hs"</formula>
    </cfRule>
  </conditionalFormatting>
  <conditionalFormatting sqref="C74">
    <cfRule type="cellIs" dxfId="19933" priority="10109" stopIfTrue="1" operator="equal">
      <formula>"Towel"</formula>
    </cfRule>
    <cfRule type="cellIs" dxfId="19932" priority="10110" stopIfTrue="1" operator="equal">
      <formula>"Napkin Hs"</formula>
    </cfRule>
  </conditionalFormatting>
  <conditionalFormatting sqref="C74">
    <cfRule type="cellIs" dxfId="19931" priority="10113" stopIfTrue="1" operator="equal">
      <formula>"Towel"</formula>
    </cfRule>
    <cfRule type="cellIs" dxfId="19930" priority="10114" stopIfTrue="1" operator="equal">
      <formula>"Napkin Hs"</formula>
    </cfRule>
  </conditionalFormatting>
  <conditionalFormatting sqref="C74">
    <cfRule type="cellIs" dxfId="19929" priority="10111" stopIfTrue="1" operator="equal">
      <formula>"Towel"</formula>
    </cfRule>
    <cfRule type="cellIs" dxfId="19928" priority="10112" stopIfTrue="1" operator="equal">
      <formula>"Napkin Hs"</formula>
    </cfRule>
  </conditionalFormatting>
  <conditionalFormatting sqref="C74">
    <cfRule type="cellIs" dxfId="19927" priority="10103" stopIfTrue="1" operator="equal">
      <formula>"Towel"</formula>
    </cfRule>
    <cfRule type="cellIs" dxfId="19926" priority="10104" stopIfTrue="1" operator="equal">
      <formula>"Napkin Hs"</formula>
    </cfRule>
  </conditionalFormatting>
  <conditionalFormatting sqref="C74">
    <cfRule type="cellIs" dxfId="19925" priority="10105" stopIfTrue="1" operator="equal">
      <formula>"Towel"</formula>
    </cfRule>
    <cfRule type="cellIs" dxfId="19924" priority="10106" stopIfTrue="1" operator="equal">
      <formula>"Napkin Hs"</formula>
    </cfRule>
  </conditionalFormatting>
  <conditionalFormatting sqref="C74">
    <cfRule type="cellIs" dxfId="19923" priority="10107" stopIfTrue="1" operator="equal">
      <formula>"Towel"</formula>
    </cfRule>
    <cfRule type="cellIs" dxfId="19922" priority="10108" stopIfTrue="1" operator="equal">
      <formula>"Napkin Hs"</formula>
    </cfRule>
  </conditionalFormatting>
  <conditionalFormatting sqref="C74">
    <cfRule type="cellIs" dxfId="19921" priority="10101" stopIfTrue="1" operator="equal">
      <formula>"Towel"</formula>
    </cfRule>
    <cfRule type="cellIs" dxfId="19920" priority="10102" stopIfTrue="1" operator="equal">
      <formula>"Napkin Hs"</formula>
    </cfRule>
  </conditionalFormatting>
  <conditionalFormatting sqref="C74">
    <cfRule type="cellIs" dxfId="19919" priority="10097" stopIfTrue="1" operator="equal">
      <formula>"Towel"</formula>
    </cfRule>
    <cfRule type="cellIs" dxfId="19918" priority="10098" stopIfTrue="1" operator="equal">
      <formula>"Napkin Hs"</formula>
    </cfRule>
  </conditionalFormatting>
  <conditionalFormatting sqref="C74">
    <cfRule type="cellIs" dxfId="19917" priority="10099" stopIfTrue="1" operator="equal">
      <formula>"Towel"</formula>
    </cfRule>
    <cfRule type="cellIs" dxfId="19916" priority="10100" stopIfTrue="1" operator="equal">
      <formula>"Napkin Hs"</formula>
    </cfRule>
  </conditionalFormatting>
  <conditionalFormatting sqref="C74">
    <cfRule type="cellIs" dxfId="19915" priority="10095" stopIfTrue="1" operator="equal">
      <formula>"Towel"</formula>
    </cfRule>
    <cfRule type="cellIs" dxfId="19914" priority="10096" stopIfTrue="1" operator="equal">
      <formula>"Napkin Hs"</formula>
    </cfRule>
  </conditionalFormatting>
  <conditionalFormatting sqref="C74">
    <cfRule type="cellIs" dxfId="19913" priority="10093" stopIfTrue="1" operator="equal">
      <formula>"Towel"</formula>
    </cfRule>
    <cfRule type="cellIs" dxfId="19912" priority="10094" stopIfTrue="1" operator="equal">
      <formula>"Napkin Hs"</formula>
    </cfRule>
  </conditionalFormatting>
  <conditionalFormatting sqref="C74">
    <cfRule type="cellIs" dxfId="19911" priority="10091" stopIfTrue="1" operator="equal">
      <formula>"Towel"</formula>
    </cfRule>
    <cfRule type="cellIs" dxfId="19910" priority="10092" stopIfTrue="1" operator="equal">
      <formula>"Napkin Hs"</formula>
    </cfRule>
  </conditionalFormatting>
  <conditionalFormatting sqref="C74">
    <cfRule type="cellIs" dxfId="19909" priority="10075" stopIfTrue="1" operator="equal">
      <formula>"Towel"</formula>
    </cfRule>
    <cfRule type="cellIs" dxfId="19908" priority="10076" stopIfTrue="1" operator="equal">
      <formula>"Napkin Hs"</formula>
    </cfRule>
  </conditionalFormatting>
  <conditionalFormatting sqref="C74">
    <cfRule type="cellIs" dxfId="19907" priority="10077" stopIfTrue="1" operator="equal">
      <formula>"Towel"</formula>
    </cfRule>
    <cfRule type="cellIs" dxfId="19906" priority="10078" stopIfTrue="1" operator="equal">
      <formula>"Napkin Hs"</formula>
    </cfRule>
  </conditionalFormatting>
  <conditionalFormatting sqref="C74">
    <cfRule type="cellIs" dxfId="19905" priority="10073" stopIfTrue="1" operator="equal">
      <formula>"Towel"</formula>
    </cfRule>
    <cfRule type="cellIs" dxfId="19904" priority="10074" stopIfTrue="1" operator="equal">
      <formula>"Napkin Hs"</formula>
    </cfRule>
  </conditionalFormatting>
  <conditionalFormatting sqref="C74">
    <cfRule type="cellIs" dxfId="19903" priority="10071" stopIfTrue="1" operator="equal">
      <formula>"Towel"</formula>
    </cfRule>
    <cfRule type="cellIs" dxfId="19902" priority="10072" stopIfTrue="1" operator="equal">
      <formula>"Napkin Hs"</formula>
    </cfRule>
  </conditionalFormatting>
  <conditionalFormatting sqref="C74">
    <cfRule type="cellIs" dxfId="19901" priority="10067" stopIfTrue="1" operator="equal">
      <formula>"Towel"</formula>
    </cfRule>
    <cfRule type="cellIs" dxfId="19900" priority="10068" stopIfTrue="1" operator="equal">
      <formula>"Napkin Hs"</formula>
    </cfRule>
  </conditionalFormatting>
  <conditionalFormatting sqref="C74">
    <cfRule type="cellIs" dxfId="19899" priority="10069" stopIfTrue="1" operator="equal">
      <formula>"Towel"</formula>
    </cfRule>
    <cfRule type="cellIs" dxfId="19898" priority="10070" stopIfTrue="1" operator="equal">
      <formula>"Napkin Hs"</formula>
    </cfRule>
  </conditionalFormatting>
  <conditionalFormatting sqref="C74">
    <cfRule type="cellIs" dxfId="19897" priority="10063" stopIfTrue="1" operator="equal">
      <formula>"Towel"</formula>
    </cfRule>
    <cfRule type="cellIs" dxfId="19896" priority="10064" stopIfTrue="1" operator="equal">
      <formula>"Napkin Hs"</formula>
    </cfRule>
  </conditionalFormatting>
  <conditionalFormatting sqref="C74">
    <cfRule type="cellIs" dxfId="19895" priority="10065" stopIfTrue="1" operator="equal">
      <formula>"Towel"</formula>
    </cfRule>
    <cfRule type="cellIs" dxfId="19894" priority="10066" stopIfTrue="1" operator="equal">
      <formula>"Napkin Hs"</formula>
    </cfRule>
  </conditionalFormatting>
  <conditionalFormatting sqref="C74">
    <cfRule type="cellIs" dxfId="19893" priority="10061" stopIfTrue="1" operator="equal">
      <formula>"Towel"</formula>
    </cfRule>
    <cfRule type="cellIs" dxfId="19892" priority="10062" stopIfTrue="1" operator="equal">
      <formula>"Napkin Hs"</formula>
    </cfRule>
  </conditionalFormatting>
  <conditionalFormatting sqref="C74">
    <cfRule type="cellIs" dxfId="19891" priority="10059" stopIfTrue="1" operator="equal">
      <formula>"Towel"</formula>
    </cfRule>
    <cfRule type="cellIs" dxfId="19890" priority="10060" stopIfTrue="1" operator="equal">
      <formula>"Napkin Hs"</formula>
    </cfRule>
  </conditionalFormatting>
  <conditionalFormatting sqref="C74">
    <cfRule type="cellIs" dxfId="19889" priority="10055" stopIfTrue="1" operator="equal">
      <formula>"Towel"</formula>
    </cfRule>
    <cfRule type="cellIs" dxfId="19888" priority="10056" stopIfTrue="1" operator="equal">
      <formula>"Napkin Hs"</formula>
    </cfRule>
  </conditionalFormatting>
  <conditionalFormatting sqref="C74">
    <cfRule type="cellIs" dxfId="19887" priority="10057" stopIfTrue="1" operator="equal">
      <formula>"Towel"</formula>
    </cfRule>
    <cfRule type="cellIs" dxfId="19886" priority="10058" stopIfTrue="1" operator="equal">
      <formula>"Napkin Hs"</formula>
    </cfRule>
  </conditionalFormatting>
  <conditionalFormatting sqref="B74">
    <cfRule type="cellIs" dxfId="19885" priority="10053" stopIfTrue="1" operator="equal">
      <formula>"Towel"</formula>
    </cfRule>
    <cfRule type="cellIs" dxfId="19884" priority="10054" stopIfTrue="1" operator="equal">
      <formula>"Napkin Hs"</formula>
    </cfRule>
  </conditionalFormatting>
  <conditionalFormatting sqref="B74">
    <cfRule type="cellIs" dxfId="19883" priority="10037" stopIfTrue="1" operator="equal">
      <formula>"Towel"</formula>
    </cfRule>
    <cfRule type="cellIs" dxfId="19882" priority="10038" stopIfTrue="1" operator="equal">
      <formula>"Napkin Hs"</formula>
    </cfRule>
  </conditionalFormatting>
  <conditionalFormatting sqref="B74">
    <cfRule type="cellIs" dxfId="19881" priority="10035" stopIfTrue="1" operator="equal">
      <formula>"Towel"</formula>
    </cfRule>
    <cfRule type="cellIs" dxfId="19880" priority="10036" stopIfTrue="1" operator="equal">
      <formula>"Napkin Hs"</formula>
    </cfRule>
  </conditionalFormatting>
  <conditionalFormatting sqref="B74">
    <cfRule type="cellIs" dxfId="19879" priority="10051" stopIfTrue="1" operator="equal">
      <formula>"Towel"</formula>
    </cfRule>
    <cfRule type="cellIs" dxfId="19878" priority="10052" stopIfTrue="1" operator="equal">
      <formula>"Napkin Hs"</formula>
    </cfRule>
  </conditionalFormatting>
  <conditionalFormatting sqref="B74">
    <cfRule type="cellIs" dxfId="19877" priority="10047" stopIfTrue="1" operator="equal">
      <formula>"Towel"</formula>
    </cfRule>
    <cfRule type="cellIs" dxfId="19876" priority="10048" stopIfTrue="1" operator="equal">
      <formula>"Napkin Hs"</formula>
    </cfRule>
  </conditionalFormatting>
  <conditionalFormatting sqref="B74">
    <cfRule type="cellIs" dxfId="19875" priority="10049" stopIfTrue="1" operator="equal">
      <formula>"Towel"</formula>
    </cfRule>
    <cfRule type="cellIs" dxfId="19874" priority="10050" stopIfTrue="1" operator="equal">
      <formula>"Napkin Hs"</formula>
    </cfRule>
  </conditionalFormatting>
  <conditionalFormatting sqref="B74">
    <cfRule type="cellIs" dxfId="19873" priority="10043" stopIfTrue="1" operator="equal">
      <formula>"Towel"</formula>
    </cfRule>
    <cfRule type="cellIs" dxfId="19872" priority="10044" stopIfTrue="1" operator="equal">
      <formula>"Napkin Hs"</formula>
    </cfRule>
  </conditionalFormatting>
  <conditionalFormatting sqref="B74">
    <cfRule type="cellIs" dxfId="19871" priority="10045" stopIfTrue="1" operator="equal">
      <formula>"Towel"</formula>
    </cfRule>
    <cfRule type="cellIs" dxfId="19870" priority="10046" stopIfTrue="1" operator="equal">
      <formula>"Napkin Hs"</formula>
    </cfRule>
  </conditionalFormatting>
  <conditionalFormatting sqref="B74">
    <cfRule type="cellIs" dxfId="19869" priority="10041" stopIfTrue="1" operator="equal">
      <formula>"Towel"</formula>
    </cfRule>
    <cfRule type="cellIs" dxfId="19868" priority="10042" stopIfTrue="1" operator="equal">
      <formula>"Napkin Hs"</formula>
    </cfRule>
  </conditionalFormatting>
  <conditionalFormatting sqref="B74">
    <cfRule type="cellIs" dxfId="19867" priority="10039" stopIfTrue="1" operator="equal">
      <formula>"Towel"</formula>
    </cfRule>
    <cfRule type="cellIs" dxfId="19866" priority="10040" stopIfTrue="1" operator="equal">
      <formula>"Napkin Hs"</formula>
    </cfRule>
  </conditionalFormatting>
  <conditionalFormatting sqref="B74">
    <cfRule type="cellIs" dxfId="19865" priority="10033" stopIfTrue="1" operator="equal">
      <formula>"Towel"</formula>
    </cfRule>
    <cfRule type="cellIs" dxfId="19864" priority="10034" stopIfTrue="1" operator="equal">
      <formula>"Napkin Hs"</formula>
    </cfRule>
  </conditionalFormatting>
  <conditionalFormatting sqref="B74">
    <cfRule type="cellIs" dxfId="19863" priority="10031" stopIfTrue="1" operator="equal">
      <formula>"Towel"</formula>
    </cfRule>
    <cfRule type="cellIs" dxfId="19862" priority="10032" stopIfTrue="1" operator="equal">
      <formula>"Napkin Hs"</formula>
    </cfRule>
  </conditionalFormatting>
  <conditionalFormatting sqref="B74">
    <cfRule type="cellIs" dxfId="19861" priority="10029" stopIfTrue="1" operator="equal">
      <formula>"Towel"</formula>
    </cfRule>
    <cfRule type="cellIs" dxfId="19860" priority="10030" stopIfTrue="1" operator="equal">
      <formula>"Napkin Hs"</formula>
    </cfRule>
  </conditionalFormatting>
  <conditionalFormatting sqref="B74">
    <cfRule type="cellIs" dxfId="19859" priority="10027" stopIfTrue="1" operator="equal">
      <formula>"Towel"</formula>
    </cfRule>
    <cfRule type="cellIs" dxfId="19858" priority="10028" stopIfTrue="1" operator="equal">
      <formula>"Napkin Hs"</formula>
    </cfRule>
  </conditionalFormatting>
  <conditionalFormatting sqref="C75">
    <cfRule type="cellIs" dxfId="19857" priority="10023" stopIfTrue="1" operator="equal">
      <formula>"Towel"</formula>
    </cfRule>
    <cfRule type="cellIs" dxfId="19856" priority="10024" stopIfTrue="1" operator="equal">
      <formula>"Napkin Hs"</formula>
    </cfRule>
  </conditionalFormatting>
  <conditionalFormatting sqref="C75">
    <cfRule type="cellIs" dxfId="19855" priority="10025" stopIfTrue="1" operator="equal">
      <formula>"Towel"</formula>
    </cfRule>
    <cfRule type="cellIs" dxfId="19854" priority="10026" stopIfTrue="1" operator="equal">
      <formula>"Napkin Hs"</formula>
    </cfRule>
  </conditionalFormatting>
  <conditionalFormatting sqref="C75">
    <cfRule type="cellIs" dxfId="19853" priority="10021" stopIfTrue="1" operator="equal">
      <formula>"Towel"</formula>
    </cfRule>
    <cfRule type="cellIs" dxfId="19852" priority="10022" stopIfTrue="1" operator="equal">
      <formula>"Napkin Hs"</formula>
    </cfRule>
  </conditionalFormatting>
  <conditionalFormatting sqref="C75">
    <cfRule type="cellIs" dxfId="19851" priority="10015" stopIfTrue="1" operator="equal">
      <formula>"Towel"</formula>
    </cfRule>
    <cfRule type="cellIs" dxfId="19850" priority="10016" stopIfTrue="1" operator="equal">
      <formula>"Napkin Hs"</formula>
    </cfRule>
  </conditionalFormatting>
  <conditionalFormatting sqref="C75">
    <cfRule type="cellIs" dxfId="19849" priority="10017" stopIfTrue="1" operator="equal">
      <formula>"Towel"</formula>
    </cfRule>
    <cfRule type="cellIs" dxfId="19848" priority="10018" stopIfTrue="1" operator="equal">
      <formula>"Napkin Hs"</formula>
    </cfRule>
  </conditionalFormatting>
  <conditionalFormatting sqref="C75">
    <cfRule type="cellIs" dxfId="19847" priority="10019" stopIfTrue="1" operator="equal">
      <formula>"Towel"</formula>
    </cfRule>
    <cfRule type="cellIs" dxfId="19846" priority="10020" stopIfTrue="1" operator="equal">
      <formula>"Napkin Hs"</formula>
    </cfRule>
  </conditionalFormatting>
  <conditionalFormatting sqref="C75">
    <cfRule type="cellIs" dxfId="19845" priority="9969" stopIfTrue="1" operator="equal">
      <formula>"Towel"</formula>
    </cfRule>
    <cfRule type="cellIs" dxfId="19844" priority="9970" stopIfTrue="1" operator="equal">
      <formula>"Napkin Hs"</formula>
    </cfRule>
  </conditionalFormatting>
  <conditionalFormatting sqref="C75">
    <cfRule type="cellIs" dxfId="19843" priority="9971" stopIfTrue="1" operator="equal">
      <formula>"Towel"</formula>
    </cfRule>
    <cfRule type="cellIs" dxfId="19842" priority="9972" stopIfTrue="1" operator="equal">
      <formula>"Napkin Hs"</formula>
    </cfRule>
  </conditionalFormatting>
  <conditionalFormatting sqref="C75">
    <cfRule type="cellIs" dxfId="19841" priority="9967" stopIfTrue="1" operator="equal">
      <formula>"Towel"</formula>
    </cfRule>
    <cfRule type="cellIs" dxfId="19840" priority="9968" stopIfTrue="1" operator="equal">
      <formula>"Napkin Hs"</formula>
    </cfRule>
  </conditionalFormatting>
  <conditionalFormatting sqref="C75">
    <cfRule type="cellIs" dxfId="19839" priority="9965" stopIfTrue="1" operator="equal">
      <formula>"Towel"</formula>
    </cfRule>
    <cfRule type="cellIs" dxfId="19838" priority="9966" stopIfTrue="1" operator="equal">
      <formula>"Napkin Hs"</formula>
    </cfRule>
  </conditionalFormatting>
  <conditionalFormatting sqref="C75">
    <cfRule type="cellIs" dxfId="19837" priority="9961" stopIfTrue="1" operator="equal">
      <formula>"Towel"</formula>
    </cfRule>
    <cfRule type="cellIs" dxfId="19836" priority="9962" stopIfTrue="1" operator="equal">
      <formula>"Napkin Hs"</formula>
    </cfRule>
  </conditionalFormatting>
  <conditionalFormatting sqref="C75">
    <cfRule type="cellIs" dxfId="19835" priority="9963" stopIfTrue="1" operator="equal">
      <formula>"Towel"</formula>
    </cfRule>
    <cfRule type="cellIs" dxfId="19834" priority="9964" stopIfTrue="1" operator="equal">
      <formula>"Napkin Hs"</formula>
    </cfRule>
  </conditionalFormatting>
  <conditionalFormatting sqref="C75">
    <cfRule type="cellIs" dxfId="19833" priority="10013" stopIfTrue="1" operator="equal">
      <formula>"Towel"</formula>
    </cfRule>
    <cfRule type="cellIs" dxfId="19832" priority="10014" stopIfTrue="1" operator="equal">
      <formula>"Napkin Hs"</formula>
    </cfRule>
  </conditionalFormatting>
  <conditionalFormatting sqref="C75">
    <cfRule type="cellIs" dxfId="19831" priority="10009" stopIfTrue="1" operator="equal">
      <formula>"Towel"</formula>
    </cfRule>
    <cfRule type="cellIs" dxfId="19830" priority="10010" stopIfTrue="1" operator="equal">
      <formula>"Napkin Hs"</formula>
    </cfRule>
  </conditionalFormatting>
  <conditionalFormatting sqref="C75">
    <cfRule type="cellIs" dxfId="19829" priority="10012" stopIfTrue="1" operator="equal">
      <formula>"Napkin Hs"</formula>
    </cfRule>
  </conditionalFormatting>
  <conditionalFormatting sqref="C75">
    <cfRule type="cellIs" dxfId="19828" priority="10011" stopIfTrue="1" operator="equal">
      <formula>"Towel"</formula>
    </cfRule>
  </conditionalFormatting>
  <conditionalFormatting sqref="C75">
    <cfRule type="cellIs" dxfId="19827" priority="10003" stopIfTrue="1" operator="equal">
      <formula>"Towel"</formula>
    </cfRule>
    <cfRule type="cellIs" dxfId="19826" priority="10004" stopIfTrue="1" operator="equal">
      <formula>"Napkin Hs"</formula>
    </cfRule>
  </conditionalFormatting>
  <conditionalFormatting sqref="C75">
    <cfRule type="cellIs" dxfId="19825" priority="10007" stopIfTrue="1" operator="equal">
      <formula>"Towel"</formula>
    </cfRule>
    <cfRule type="cellIs" dxfId="19824" priority="10008" stopIfTrue="1" operator="equal">
      <formula>"Napkin Hs"</formula>
    </cfRule>
  </conditionalFormatting>
  <conditionalFormatting sqref="C75">
    <cfRule type="cellIs" dxfId="19823" priority="10005" stopIfTrue="1" operator="equal">
      <formula>"Towel"</formula>
    </cfRule>
    <cfRule type="cellIs" dxfId="19822" priority="10006" stopIfTrue="1" operator="equal">
      <formula>"Napkin Hs"</formula>
    </cfRule>
  </conditionalFormatting>
  <conditionalFormatting sqref="C75">
    <cfRule type="cellIs" dxfId="19821" priority="9997" stopIfTrue="1" operator="equal">
      <formula>"Towel"</formula>
    </cfRule>
    <cfRule type="cellIs" dxfId="19820" priority="9998" stopIfTrue="1" operator="equal">
      <formula>"Napkin Hs"</formula>
    </cfRule>
  </conditionalFormatting>
  <conditionalFormatting sqref="C75">
    <cfRule type="cellIs" dxfId="19819" priority="9999" stopIfTrue="1" operator="equal">
      <formula>"Towel"</formula>
    </cfRule>
    <cfRule type="cellIs" dxfId="19818" priority="10000" stopIfTrue="1" operator="equal">
      <formula>"Napkin Hs"</formula>
    </cfRule>
  </conditionalFormatting>
  <conditionalFormatting sqref="C75">
    <cfRule type="cellIs" dxfId="19817" priority="10001" stopIfTrue="1" operator="equal">
      <formula>"Towel"</formula>
    </cfRule>
    <cfRule type="cellIs" dxfId="19816" priority="10002" stopIfTrue="1" operator="equal">
      <formula>"Napkin Hs"</formula>
    </cfRule>
  </conditionalFormatting>
  <conditionalFormatting sqref="C75">
    <cfRule type="cellIs" dxfId="19815" priority="9991" stopIfTrue="1" operator="equal">
      <formula>"Towel"</formula>
    </cfRule>
    <cfRule type="cellIs" dxfId="19814" priority="9992" stopIfTrue="1" operator="equal">
      <formula>"Napkin Hs"</formula>
    </cfRule>
  </conditionalFormatting>
  <conditionalFormatting sqref="C75">
    <cfRule type="cellIs" dxfId="19813" priority="9995" stopIfTrue="1" operator="equal">
      <formula>"Towel"</formula>
    </cfRule>
    <cfRule type="cellIs" dxfId="19812" priority="9996" stopIfTrue="1" operator="equal">
      <formula>"Napkin Hs"</formula>
    </cfRule>
  </conditionalFormatting>
  <conditionalFormatting sqref="C75">
    <cfRule type="cellIs" dxfId="19811" priority="9993" stopIfTrue="1" operator="equal">
      <formula>"Towel"</formula>
    </cfRule>
    <cfRule type="cellIs" dxfId="19810" priority="9994" stopIfTrue="1" operator="equal">
      <formula>"Napkin Hs"</formula>
    </cfRule>
  </conditionalFormatting>
  <conditionalFormatting sqref="C75">
    <cfRule type="cellIs" dxfId="19809" priority="9985" stopIfTrue="1" operator="equal">
      <formula>"Towel"</formula>
    </cfRule>
    <cfRule type="cellIs" dxfId="19808" priority="9986" stopIfTrue="1" operator="equal">
      <formula>"Napkin Hs"</formula>
    </cfRule>
  </conditionalFormatting>
  <conditionalFormatting sqref="C75">
    <cfRule type="cellIs" dxfId="19807" priority="9987" stopIfTrue="1" operator="equal">
      <formula>"Towel"</formula>
    </cfRule>
    <cfRule type="cellIs" dxfId="19806" priority="9988" stopIfTrue="1" operator="equal">
      <formula>"Napkin Hs"</formula>
    </cfRule>
  </conditionalFormatting>
  <conditionalFormatting sqref="C75">
    <cfRule type="cellIs" dxfId="19805" priority="9989" stopIfTrue="1" operator="equal">
      <formula>"Towel"</formula>
    </cfRule>
    <cfRule type="cellIs" dxfId="19804" priority="9990" stopIfTrue="1" operator="equal">
      <formula>"Napkin Hs"</formula>
    </cfRule>
  </conditionalFormatting>
  <conditionalFormatting sqref="C75">
    <cfRule type="cellIs" dxfId="19803" priority="9983" stopIfTrue="1" operator="equal">
      <formula>"Towel"</formula>
    </cfRule>
    <cfRule type="cellIs" dxfId="19802" priority="9984" stopIfTrue="1" operator="equal">
      <formula>"Napkin Hs"</formula>
    </cfRule>
  </conditionalFormatting>
  <conditionalFormatting sqref="C75">
    <cfRule type="cellIs" dxfId="19801" priority="9979" stopIfTrue="1" operator="equal">
      <formula>"Towel"</formula>
    </cfRule>
    <cfRule type="cellIs" dxfId="19800" priority="9980" stopIfTrue="1" operator="equal">
      <formula>"Napkin Hs"</formula>
    </cfRule>
  </conditionalFormatting>
  <conditionalFormatting sqref="C75">
    <cfRule type="cellIs" dxfId="19799" priority="9981" stopIfTrue="1" operator="equal">
      <formula>"Towel"</formula>
    </cfRule>
    <cfRule type="cellIs" dxfId="19798" priority="9982" stopIfTrue="1" operator="equal">
      <formula>"Napkin Hs"</formula>
    </cfRule>
  </conditionalFormatting>
  <conditionalFormatting sqref="C75">
    <cfRule type="cellIs" dxfId="19797" priority="9977" stopIfTrue="1" operator="equal">
      <formula>"Towel"</formula>
    </cfRule>
    <cfRule type="cellIs" dxfId="19796" priority="9978" stopIfTrue="1" operator="equal">
      <formula>"Napkin Hs"</formula>
    </cfRule>
  </conditionalFormatting>
  <conditionalFormatting sqref="C75">
    <cfRule type="cellIs" dxfId="19795" priority="9975" stopIfTrue="1" operator="equal">
      <formula>"Towel"</formula>
    </cfRule>
    <cfRule type="cellIs" dxfId="19794" priority="9976" stopIfTrue="1" operator="equal">
      <formula>"Napkin Hs"</formula>
    </cfRule>
  </conditionalFormatting>
  <conditionalFormatting sqref="C75">
    <cfRule type="cellIs" dxfId="19793" priority="9973" stopIfTrue="1" operator="equal">
      <formula>"Towel"</formula>
    </cfRule>
    <cfRule type="cellIs" dxfId="19792" priority="9974" stopIfTrue="1" operator="equal">
      <formula>"Napkin Hs"</formula>
    </cfRule>
  </conditionalFormatting>
  <conditionalFormatting sqref="C75">
    <cfRule type="cellIs" dxfId="19791" priority="9957" stopIfTrue="1" operator="equal">
      <formula>"Towel"</formula>
    </cfRule>
    <cfRule type="cellIs" dxfId="19790" priority="9958" stopIfTrue="1" operator="equal">
      <formula>"Napkin Hs"</formula>
    </cfRule>
  </conditionalFormatting>
  <conditionalFormatting sqref="C75">
    <cfRule type="cellIs" dxfId="19789" priority="9959" stopIfTrue="1" operator="equal">
      <formula>"Towel"</formula>
    </cfRule>
    <cfRule type="cellIs" dxfId="19788" priority="9960" stopIfTrue="1" operator="equal">
      <formula>"Napkin Hs"</formula>
    </cfRule>
  </conditionalFormatting>
  <conditionalFormatting sqref="C75">
    <cfRule type="cellIs" dxfId="19787" priority="9955" stopIfTrue="1" operator="equal">
      <formula>"Towel"</formula>
    </cfRule>
    <cfRule type="cellIs" dxfId="19786" priority="9956" stopIfTrue="1" operator="equal">
      <formula>"Napkin Hs"</formula>
    </cfRule>
  </conditionalFormatting>
  <conditionalFormatting sqref="C75">
    <cfRule type="cellIs" dxfId="19785" priority="9953" stopIfTrue="1" operator="equal">
      <formula>"Towel"</formula>
    </cfRule>
    <cfRule type="cellIs" dxfId="19784" priority="9954" stopIfTrue="1" operator="equal">
      <formula>"Napkin Hs"</formula>
    </cfRule>
  </conditionalFormatting>
  <conditionalFormatting sqref="C75">
    <cfRule type="cellIs" dxfId="19783" priority="9949" stopIfTrue="1" operator="equal">
      <formula>"Towel"</formula>
    </cfRule>
    <cfRule type="cellIs" dxfId="19782" priority="9950" stopIfTrue="1" operator="equal">
      <formula>"Napkin Hs"</formula>
    </cfRule>
  </conditionalFormatting>
  <conditionalFormatting sqref="C75">
    <cfRule type="cellIs" dxfId="19781" priority="9951" stopIfTrue="1" operator="equal">
      <formula>"Towel"</formula>
    </cfRule>
    <cfRule type="cellIs" dxfId="19780" priority="9952" stopIfTrue="1" operator="equal">
      <formula>"Napkin Hs"</formula>
    </cfRule>
  </conditionalFormatting>
  <conditionalFormatting sqref="C75">
    <cfRule type="cellIs" dxfId="19779" priority="9945" stopIfTrue="1" operator="equal">
      <formula>"Towel"</formula>
    </cfRule>
    <cfRule type="cellIs" dxfId="19778" priority="9946" stopIfTrue="1" operator="equal">
      <formula>"Napkin Hs"</formula>
    </cfRule>
  </conditionalFormatting>
  <conditionalFormatting sqref="C75">
    <cfRule type="cellIs" dxfId="19777" priority="9947" stopIfTrue="1" operator="equal">
      <formula>"Towel"</formula>
    </cfRule>
    <cfRule type="cellIs" dxfId="19776" priority="9948" stopIfTrue="1" operator="equal">
      <formula>"Napkin Hs"</formula>
    </cfRule>
  </conditionalFormatting>
  <conditionalFormatting sqref="C75">
    <cfRule type="cellIs" dxfId="19775" priority="9943" stopIfTrue="1" operator="equal">
      <formula>"Towel"</formula>
    </cfRule>
    <cfRule type="cellIs" dxfId="19774" priority="9944" stopIfTrue="1" operator="equal">
      <formula>"Napkin Hs"</formula>
    </cfRule>
  </conditionalFormatting>
  <conditionalFormatting sqref="C75">
    <cfRule type="cellIs" dxfId="19773" priority="9941" stopIfTrue="1" operator="equal">
      <formula>"Towel"</formula>
    </cfRule>
    <cfRule type="cellIs" dxfId="19772" priority="9942" stopIfTrue="1" operator="equal">
      <formula>"Napkin Hs"</formula>
    </cfRule>
  </conditionalFormatting>
  <conditionalFormatting sqref="C75">
    <cfRule type="cellIs" dxfId="19771" priority="9937" stopIfTrue="1" operator="equal">
      <formula>"Towel"</formula>
    </cfRule>
    <cfRule type="cellIs" dxfId="19770" priority="9938" stopIfTrue="1" operator="equal">
      <formula>"Napkin Hs"</formula>
    </cfRule>
  </conditionalFormatting>
  <conditionalFormatting sqref="C75">
    <cfRule type="cellIs" dxfId="19769" priority="9939" stopIfTrue="1" operator="equal">
      <formula>"Towel"</formula>
    </cfRule>
    <cfRule type="cellIs" dxfId="19768" priority="9940" stopIfTrue="1" operator="equal">
      <formula>"Napkin Hs"</formula>
    </cfRule>
  </conditionalFormatting>
  <conditionalFormatting sqref="B75">
    <cfRule type="cellIs" dxfId="19767" priority="9935" stopIfTrue="1" operator="equal">
      <formula>"Towel"</formula>
    </cfRule>
    <cfRule type="cellIs" dxfId="19766" priority="9936" stopIfTrue="1" operator="equal">
      <formula>"Napkin Hs"</formula>
    </cfRule>
  </conditionalFormatting>
  <conditionalFormatting sqref="B75">
    <cfRule type="cellIs" dxfId="19765" priority="9919" stopIfTrue="1" operator="equal">
      <formula>"Towel"</formula>
    </cfRule>
    <cfRule type="cellIs" dxfId="19764" priority="9920" stopIfTrue="1" operator="equal">
      <formula>"Napkin Hs"</formula>
    </cfRule>
  </conditionalFormatting>
  <conditionalFormatting sqref="B75">
    <cfRule type="cellIs" dxfId="19763" priority="9917" stopIfTrue="1" operator="equal">
      <formula>"Towel"</formula>
    </cfRule>
    <cfRule type="cellIs" dxfId="19762" priority="9918" stopIfTrue="1" operator="equal">
      <formula>"Napkin Hs"</formula>
    </cfRule>
  </conditionalFormatting>
  <conditionalFormatting sqref="B75">
    <cfRule type="cellIs" dxfId="19761" priority="9933" stopIfTrue="1" operator="equal">
      <formula>"Towel"</formula>
    </cfRule>
    <cfRule type="cellIs" dxfId="19760" priority="9934" stopIfTrue="1" operator="equal">
      <formula>"Napkin Hs"</formula>
    </cfRule>
  </conditionalFormatting>
  <conditionalFormatting sqref="B75">
    <cfRule type="cellIs" dxfId="19759" priority="9929" stopIfTrue="1" operator="equal">
      <formula>"Towel"</formula>
    </cfRule>
    <cfRule type="cellIs" dxfId="19758" priority="9930" stopIfTrue="1" operator="equal">
      <formula>"Napkin Hs"</formula>
    </cfRule>
  </conditionalFormatting>
  <conditionalFormatting sqref="B75">
    <cfRule type="cellIs" dxfId="19757" priority="9931" stopIfTrue="1" operator="equal">
      <formula>"Towel"</formula>
    </cfRule>
    <cfRule type="cellIs" dxfId="19756" priority="9932" stopIfTrue="1" operator="equal">
      <formula>"Napkin Hs"</formula>
    </cfRule>
  </conditionalFormatting>
  <conditionalFormatting sqref="B75">
    <cfRule type="cellIs" dxfId="19755" priority="9925" stopIfTrue="1" operator="equal">
      <formula>"Towel"</formula>
    </cfRule>
    <cfRule type="cellIs" dxfId="19754" priority="9926" stopIfTrue="1" operator="equal">
      <formula>"Napkin Hs"</formula>
    </cfRule>
  </conditionalFormatting>
  <conditionalFormatting sqref="B75">
    <cfRule type="cellIs" dxfId="19753" priority="9927" stopIfTrue="1" operator="equal">
      <formula>"Towel"</formula>
    </cfRule>
    <cfRule type="cellIs" dxfId="19752" priority="9928" stopIfTrue="1" operator="equal">
      <formula>"Napkin Hs"</formula>
    </cfRule>
  </conditionalFormatting>
  <conditionalFormatting sqref="B75">
    <cfRule type="cellIs" dxfId="19751" priority="9923" stopIfTrue="1" operator="equal">
      <formula>"Towel"</formula>
    </cfRule>
    <cfRule type="cellIs" dxfId="19750" priority="9924" stopIfTrue="1" operator="equal">
      <formula>"Napkin Hs"</formula>
    </cfRule>
  </conditionalFormatting>
  <conditionalFormatting sqref="B75">
    <cfRule type="cellIs" dxfId="19749" priority="9921" stopIfTrue="1" operator="equal">
      <formula>"Towel"</formula>
    </cfRule>
    <cfRule type="cellIs" dxfId="19748" priority="9922" stopIfTrue="1" operator="equal">
      <formula>"Napkin Hs"</formula>
    </cfRule>
  </conditionalFormatting>
  <conditionalFormatting sqref="B75">
    <cfRule type="cellIs" dxfId="19747" priority="9915" stopIfTrue="1" operator="equal">
      <formula>"Towel"</formula>
    </cfRule>
    <cfRule type="cellIs" dxfId="19746" priority="9916" stopIfTrue="1" operator="equal">
      <formula>"Napkin Hs"</formula>
    </cfRule>
  </conditionalFormatting>
  <conditionalFormatting sqref="B75">
    <cfRule type="cellIs" dxfId="19745" priority="9913" stopIfTrue="1" operator="equal">
      <formula>"Towel"</formula>
    </cfRule>
    <cfRule type="cellIs" dxfId="19744" priority="9914" stopIfTrue="1" operator="equal">
      <formula>"Napkin Hs"</formula>
    </cfRule>
  </conditionalFormatting>
  <conditionalFormatting sqref="B75">
    <cfRule type="cellIs" dxfId="19743" priority="9911" stopIfTrue="1" operator="equal">
      <formula>"Towel"</formula>
    </cfRule>
    <cfRule type="cellIs" dxfId="19742" priority="9912" stopIfTrue="1" operator="equal">
      <formula>"Napkin Hs"</formula>
    </cfRule>
  </conditionalFormatting>
  <conditionalFormatting sqref="B75">
    <cfRule type="cellIs" dxfId="19741" priority="9909" stopIfTrue="1" operator="equal">
      <formula>"Towel"</formula>
    </cfRule>
    <cfRule type="cellIs" dxfId="19740" priority="9910" stopIfTrue="1" operator="equal">
      <formula>"Napkin Hs"</formula>
    </cfRule>
  </conditionalFormatting>
  <conditionalFormatting sqref="B82:C83">
    <cfRule type="cellIs" dxfId="19739" priority="9901" stopIfTrue="1" operator="equal">
      <formula>"Towel"</formula>
    </cfRule>
    <cfRule type="cellIs" dxfId="19738" priority="9902" stopIfTrue="1" operator="equal">
      <formula>"Napkin Hs"</formula>
    </cfRule>
  </conditionalFormatting>
  <conditionalFormatting sqref="C82:C83">
    <cfRule type="cellIs" dxfId="19737" priority="9899" stopIfTrue="1" operator="equal">
      <formula>"Towel"</formula>
    </cfRule>
    <cfRule type="cellIs" dxfId="19736" priority="9900" stopIfTrue="1" operator="equal">
      <formula>"Napkin Hs"</formula>
    </cfRule>
  </conditionalFormatting>
  <conditionalFormatting sqref="C82:C83">
    <cfRule type="cellIs" dxfId="19735" priority="9897" stopIfTrue="1" operator="equal">
      <formula>"Towel"</formula>
    </cfRule>
    <cfRule type="cellIs" dxfId="19734" priority="9898" stopIfTrue="1" operator="equal">
      <formula>"Napkin Hs"</formula>
    </cfRule>
  </conditionalFormatting>
  <conditionalFormatting sqref="B82:C83">
    <cfRule type="cellIs" dxfId="19733" priority="9869" stopIfTrue="1" operator="equal">
      <formula>"Towel"</formula>
    </cfRule>
    <cfRule type="cellIs" dxfId="19732" priority="9870" stopIfTrue="1" operator="equal">
      <formula>"Napkin Hs"</formula>
    </cfRule>
  </conditionalFormatting>
  <conditionalFormatting sqref="C82:C83">
    <cfRule type="cellIs" dxfId="19731" priority="9865" stopIfTrue="1" operator="equal">
      <formula>"Towel"</formula>
    </cfRule>
    <cfRule type="cellIs" dxfId="19730" priority="9866" stopIfTrue="1" operator="equal">
      <formula>"Napkin Hs"</formula>
    </cfRule>
  </conditionalFormatting>
  <conditionalFormatting sqref="C82:C83">
    <cfRule type="cellIs" dxfId="19729" priority="9867" stopIfTrue="1" operator="equal">
      <formula>"Towel"</formula>
    </cfRule>
    <cfRule type="cellIs" dxfId="19728" priority="9868" stopIfTrue="1" operator="equal">
      <formula>"Napkin Hs"</formula>
    </cfRule>
  </conditionalFormatting>
  <conditionalFormatting sqref="C79">
    <cfRule type="cellIs" dxfId="19727" priority="9463" stopIfTrue="1" operator="equal">
      <formula>"Towel"</formula>
    </cfRule>
    <cfRule type="cellIs" dxfId="19726" priority="9464" stopIfTrue="1" operator="equal">
      <formula>"Napkin Hs"</formula>
    </cfRule>
  </conditionalFormatting>
  <conditionalFormatting sqref="C79">
    <cfRule type="cellIs" dxfId="19725" priority="9465" stopIfTrue="1" operator="equal">
      <formula>"Towel"</formula>
    </cfRule>
    <cfRule type="cellIs" dxfId="19724" priority="9466" stopIfTrue="1" operator="equal">
      <formula>"Napkin Hs"</formula>
    </cfRule>
  </conditionalFormatting>
  <conditionalFormatting sqref="C79">
    <cfRule type="cellIs" dxfId="19723" priority="9461" stopIfTrue="1" operator="equal">
      <formula>"Towel"</formula>
    </cfRule>
    <cfRule type="cellIs" dxfId="19722" priority="9462" stopIfTrue="1" operator="equal">
      <formula>"Napkin Hs"</formula>
    </cfRule>
  </conditionalFormatting>
  <conditionalFormatting sqref="C79">
    <cfRule type="cellIs" dxfId="19721" priority="9455" stopIfTrue="1" operator="equal">
      <formula>"Towel"</formula>
    </cfRule>
    <cfRule type="cellIs" dxfId="19720" priority="9456" stopIfTrue="1" operator="equal">
      <formula>"Napkin Hs"</formula>
    </cfRule>
  </conditionalFormatting>
  <conditionalFormatting sqref="C79">
    <cfRule type="cellIs" dxfId="19719" priority="9457" stopIfTrue="1" operator="equal">
      <formula>"Towel"</formula>
    </cfRule>
    <cfRule type="cellIs" dxfId="19718" priority="9458" stopIfTrue="1" operator="equal">
      <formula>"Napkin Hs"</formula>
    </cfRule>
  </conditionalFormatting>
  <conditionalFormatting sqref="C79">
    <cfRule type="cellIs" dxfId="19717" priority="9459" stopIfTrue="1" operator="equal">
      <formula>"Towel"</formula>
    </cfRule>
    <cfRule type="cellIs" dxfId="19716" priority="9460" stopIfTrue="1" operator="equal">
      <formula>"Napkin Hs"</formula>
    </cfRule>
  </conditionalFormatting>
  <conditionalFormatting sqref="C79">
    <cfRule type="cellIs" dxfId="19715" priority="9409" stopIfTrue="1" operator="equal">
      <formula>"Towel"</formula>
    </cfRule>
    <cfRule type="cellIs" dxfId="19714" priority="9410" stopIfTrue="1" operator="equal">
      <formula>"Napkin Hs"</formula>
    </cfRule>
  </conditionalFormatting>
  <conditionalFormatting sqref="C79">
    <cfRule type="cellIs" dxfId="19713" priority="9411" stopIfTrue="1" operator="equal">
      <formula>"Towel"</formula>
    </cfRule>
    <cfRule type="cellIs" dxfId="19712" priority="9412" stopIfTrue="1" operator="equal">
      <formula>"Napkin Hs"</formula>
    </cfRule>
  </conditionalFormatting>
  <conditionalFormatting sqref="C79">
    <cfRule type="cellIs" dxfId="19711" priority="9407" stopIfTrue="1" operator="equal">
      <formula>"Towel"</formula>
    </cfRule>
    <cfRule type="cellIs" dxfId="19710" priority="9408" stopIfTrue="1" operator="equal">
      <formula>"Napkin Hs"</formula>
    </cfRule>
  </conditionalFormatting>
  <conditionalFormatting sqref="C79">
    <cfRule type="cellIs" dxfId="19709" priority="9405" stopIfTrue="1" operator="equal">
      <formula>"Towel"</formula>
    </cfRule>
    <cfRule type="cellIs" dxfId="19708" priority="9406" stopIfTrue="1" operator="equal">
      <formula>"Napkin Hs"</formula>
    </cfRule>
  </conditionalFormatting>
  <conditionalFormatting sqref="C79">
    <cfRule type="cellIs" dxfId="19707" priority="9401" stopIfTrue="1" operator="equal">
      <formula>"Towel"</formula>
    </cfRule>
    <cfRule type="cellIs" dxfId="19706" priority="9402" stopIfTrue="1" operator="equal">
      <formula>"Napkin Hs"</formula>
    </cfRule>
  </conditionalFormatting>
  <conditionalFormatting sqref="C79">
    <cfRule type="cellIs" dxfId="19705" priority="9403" stopIfTrue="1" operator="equal">
      <formula>"Towel"</formula>
    </cfRule>
    <cfRule type="cellIs" dxfId="19704" priority="9404" stopIfTrue="1" operator="equal">
      <formula>"Napkin Hs"</formula>
    </cfRule>
  </conditionalFormatting>
  <conditionalFormatting sqref="C79">
    <cfRule type="cellIs" dxfId="19703" priority="9453" stopIfTrue="1" operator="equal">
      <formula>"Towel"</formula>
    </cfRule>
    <cfRule type="cellIs" dxfId="19702" priority="9454" stopIfTrue="1" operator="equal">
      <formula>"Napkin Hs"</formula>
    </cfRule>
  </conditionalFormatting>
  <conditionalFormatting sqref="C79">
    <cfRule type="cellIs" dxfId="19701" priority="9449" stopIfTrue="1" operator="equal">
      <formula>"Towel"</formula>
    </cfRule>
    <cfRule type="cellIs" dxfId="19700" priority="9450" stopIfTrue="1" operator="equal">
      <formula>"Napkin Hs"</formula>
    </cfRule>
  </conditionalFormatting>
  <conditionalFormatting sqref="C79">
    <cfRule type="cellIs" dxfId="19699" priority="9452" stopIfTrue="1" operator="equal">
      <formula>"Napkin Hs"</formula>
    </cfRule>
  </conditionalFormatting>
  <conditionalFormatting sqref="C79">
    <cfRule type="cellIs" dxfId="19698" priority="9451" stopIfTrue="1" operator="equal">
      <formula>"Towel"</formula>
    </cfRule>
  </conditionalFormatting>
  <conditionalFormatting sqref="C79">
    <cfRule type="cellIs" dxfId="19697" priority="9443" stopIfTrue="1" operator="equal">
      <formula>"Towel"</formula>
    </cfRule>
    <cfRule type="cellIs" dxfId="19696" priority="9444" stopIfTrue="1" operator="equal">
      <formula>"Napkin Hs"</formula>
    </cfRule>
  </conditionalFormatting>
  <conditionalFormatting sqref="C79">
    <cfRule type="cellIs" dxfId="19695" priority="9447" stopIfTrue="1" operator="equal">
      <formula>"Towel"</formula>
    </cfRule>
    <cfRule type="cellIs" dxfId="19694" priority="9448" stopIfTrue="1" operator="equal">
      <formula>"Napkin Hs"</formula>
    </cfRule>
  </conditionalFormatting>
  <conditionalFormatting sqref="C79">
    <cfRule type="cellIs" dxfId="19693" priority="9445" stopIfTrue="1" operator="equal">
      <formula>"Towel"</formula>
    </cfRule>
    <cfRule type="cellIs" dxfId="19692" priority="9446" stopIfTrue="1" operator="equal">
      <formula>"Napkin Hs"</formula>
    </cfRule>
  </conditionalFormatting>
  <conditionalFormatting sqref="C79">
    <cfRule type="cellIs" dxfId="19691" priority="9437" stopIfTrue="1" operator="equal">
      <formula>"Towel"</formula>
    </cfRule>
    <cfRule type="cellIs" dxfId="19690" priority="9438" stopIfTrue="1" operator="equal">
      <formula>"Napkin Hs"</formula>
    </cfRule>
  </conditionalFormatting>
  <conditionalFormatting sqref="C79">
    <cfRule type="cellIs" dxfId="19689" priority="9439" stopIfTrue="1" operator="equal">
      <formula>"Towel"</formula>
    </cfRule>
    <cfRule type="cellIs" dxfId="19688" priority="9440" stopIfTrue="1" operator="equal">
      <formula>"Napkin Hs"</formula>
    </cfRule>
  </conditionalFormatting>
  <conditionalFormatting sqref="C79">
    <cfRule type="cellIs" dxfId="19687" priority="9441" stopIfTrue="1" operator="equal">
      <formula>"Towel"</formula>
    </cfRule>
    <cfRule type="cellIs" dxfId="19686" priority="9442" stopIfTrue="1" operator="equal">
      <formula>"Napkin Hs"</formula>
    </cfRule>
  </conditionalFormatting>
  <conditionalFormatting sqref="C79">
    <cfRule type="cellIs" dxfId="19685" priority="9431" stopIfTrue="1" operator="equal">
      <formula>"Towel"</formula>
    </cfRule>
    <cfRule type="cellIs" dxfId="19684" priority="9432" stopIfTrue="1" operator="equal">
      <formula>"Napkin Hs"</formula>
    </cfRule>
  </conditionalFormatting>
  <conditionalFormatting sqref="C79">
    <cfRule type="cellIs" dxfId="19683" priority="9435" stopIfTrue="1" operator="equal">
      <formula>"Towel"</formula>
    </cfRule>
    <cfRule type="cellIs" dxfId="19682" priority="9436" stopIfTrue="1" operator="equal">
      <formula>"Napkin Hs"</formula>
    </cfRule>
  </conditionalFormatting>
  <conditionalFormatting sqref="C79">
    <cfRule type="cellIs" dxfId="19681" priority="9433" stopIfTrue="1" operator="equal">
      <formula>"Towel"</formula>
    </cfRule>
    <cfRule type="cellIs" dxfId="19680" priority="9434" stopIfTrue="1" operator="equal">
      <formula>"Napkin Hs"</formula>
    </cfRule>
  </conditionalFormatting>
  <conditionalFormatting sqref="C79">
    <cfRule type="cellIs" dxfId="19679" priority="9425" stopIfTrue="1" operator="equal">
      <formula>"Towel"</formula>
    </cfRule>
    <cfRule type="cellIs" dxfId="19678" priority="9426" stopIfTrue="1" operator="equal">
      <formula>"Napkin Hs"</formula>
    </cfRule>
  </conditionalFormatting>
  <conditionalFormatting sqref="C79">
    <cfRule type="cellIs" dxfId="19677" priority="9427" stopIfTrue="1" operator="equal">
      <formula>"Towel"</formula>
    </cfRule>
    <cfRule type="cellIs" dxfId="19676" priority="9428" stopIfTrue="1" operator="equal">
      <formula>"Napkin Hs"</formula>
    </cfRule>
  </conditionalFormatting>
  <conditionalFormatting sqref="C79">
    <cfRule type="cellIs" dxfId="19675" priority="9429" stopIfTrue="1" operator="equal">
      <formula>"Towel"</formula>
    </cfRule>
    <cfRule type="cellIs" dxfId="19674" priority="9430" stopIfTrue="1" operator="equal">
      <formula>"Napkin Hs"</formula>
    </cfRule>
  </conditionalFormatting>
  <conditionalFormatting sqref="C79">
    <cfRule type="cellIs" dxfId="19673" priority="9423" stopIfTrue="1" operator="equal">
      <formula>"Towel"</formula>
    </cfRule>
    <cfRule type="cellIs" dxfId="19672" priority="9424" stopIfTrue="1" operator="equal">
      <formula>"Napkin Hs"</formula>
    </cfRule>
  </conditionalFormatting>
  <conditionalFormatting sqref="C79">
    <cfRule type="cellIs" dxfId="19671" priority="9419" stopIfTrue="1" operator="equal">
      <formula>"Towel"</formula>
    </cfRule>
    <cfRule type="cellIs" dxfId="19670" priority="9420" stopIfTrue="1" operator="equal">
      <formula>"Napkin Hs"</formula>
    </cfRule>
  </conditionalFormatting>
  <conditionalFormatting sqref="C79">
    <cfRule type="cellIs" dxfId="19669" priority="9421" stopIfTrue="1" operator="equal">
      <formula>"Towel"</formula>
    </cfRule>
    <cfRule type="cellIs" dxfId="19668" priority="9422" stopIfTrue="1" operator="equal">
      <formula>"Napkin Hs"</formula>
    </cfRule>
  </conditionalFormatting>
  <conditionalFormatting sqref="C79">
    <cfRule type="cellIs" dxfId="19667" priority="9417" stopIfTrue="1" operator="equal">
      <formula>"Towel"</formula>
    </cfRule>
    <cfRule type="cellIs" dxfId="19666" priority="9418" stopIfTrue="1" operator="equal">
      <formula>"Napkin Hs"</formula>
    </cfRule>
  </conditionalFormatting>
  <conditionalFormatting sqref="C79">
    <cfRule type="cellIs" dxfId="19665" priority="9415" stopIfTrue="1" operator="equal">
      <formula>"Towel"</formula>
    </cfRule>
    <cfRule type="cellIs" dxfId="19664" priority="9416" stopIfTrue="1" operator="equal">
      <formula>"Napkin Hs"</formula>
    </cfRule>
  </conditionalFormatting>
  <conditionalFormatting sqref="C79">
    <cfRule type="cellIs" dxfId="19663" priority="9413" stopIfTrue="1" operator="equal">
      <formula>"Towel"</formula>
    </cfRule>
    <cfRule type="cellIs" dxfId="19662" priority="9414" stopIfTrue="1" operator="equal">
      <formula>"Napkin Hs"</formula>
    </cfRule>
  </conditionalFormatting>
  <conditionalFormatting sqref="C79">
    <cfRule type="cellIs" dxfId="19661" priority="9397" stopIfTrue="1" operator="equal">
      <formula>"Towel"</formula>
    </cfRule>
    <cfRule type="cellIs" dxfId="19660" priority="9398" stopIfTrue="1" operator="equal">
      <formula>"Napkin Hs"</formula>
    </cfRule>
  </conditionalFormatting>
  <conditionalFormatting sqref="C79">
    <cfRule type="cellIs" dxfId="19659" priority="9399" stopIfTrue="1" operator="equal">
      <formula>"Towel"</formula>
    </cfRule>
    <cfRule type="cellIs" dxfId="19658" priority="9400" stopIfTrue="1" operator="equal">
      <formula>"Napkin Hs"</formula>
    </cfRule>
  </conditionalFormatting>
  <conditionalFormatting sqref="C79">
    <cfRule type="cellIs" dxfId="19657" priority="9395" stopIfTrue="1" operator="equal">
      <formula>"Towel"</formula>
    </cfRule>
    <cfRule type="cellIs" dxfId="19656" priority="9396" stopIfTrue="1" operator="equal">
      <formula>"Napkin Hs"</formula>
    </cfRule>
  </conditionalFormatting>
  <conditionalFormatting sqref="C79">
    <cfRule type="cellIs" dxfId="19655" priority="9393" stopIfTrue="1" operator="equal">
      <formula>"Towel"</formula>
    </cfRule>
    <cfRule type="cellIs" dxfId="19654" priority="9394" stopIfTrue="1" operator="equal">
      <formula>"Napkin Hs"</formula>
    </cfRule>
  </conditionalFormatting>
  <conditionalFormatting sqref="C79">
    <cfRule type="cellIs" dxfId="19653" priority="9389" stopIfTrue="1" operator="equal">
      <formula>"Towel"</formula>
    </cfRule>
    <cfRule type="cellIs" dxfId="19652" priority="9390" stopIfTrue="1" operator="equal">
      <formula>"Napkin Hs"</formula>
    </cfRule>
  </conditionalFormatting>
  <conditionalFormatting sqref="C79">
    <cfRule type="cellIs" dxfId="19651" priority="9391" stopIfTrue="1" operator="equal">
      <formula>"Towel"</formula>
    </cfRule>
    <cfRule type="cellIs" dxfId="19650" priority="9392" stopIfTrue="1" operator="equal">
      <formula>"Napkin Hs"</formula>
    </cfRule>
  </conditionalFormatting>
  <conditionalFormatting sqref="C79">
    <cfRule type="cellIs" dxfId="19649" priority="9385" stopIfTrue="1" operator="equal">
      <formula>"Towel"</formula>
    </cfRule>
    <cfRule type="cellIs" dxfId="19648" priority="9386" stopIfTrue="1" operator="equal">
      <formula>"Napkin Hs"</formula>
    </cfRule>
  </conditionalFormatting>
  <conditionalFormatting sqref="C79">
    <cfRule type="cellIs" dxfId="19647" priority="9387" stopIfTrue="1" operator="equal">
      <formula>"Towel"</formula>
    </cfRule>
    <cfRule type="cellIs" dxfId="19646" priority="9388" stopIfTrue="1" operator="equal">
      <formula>"Napkin Hs"</formula>
    </cfRule>
  </conditionalFormatting>
  <conditionalFormatting sqref="C79">
    <cfRule type="cellIs" dxfId="19645" priority="9383" stopIfTrue="1" operator="equal">
      <formula>"Towel"</formula>
    </cfRule>
    <cfRule type="cellIs" dxfId="19644" priority="9384" stopIfTrue="1" operator="equal">
      <formula>"Napkin Hs"</formula>
    </cfRule>
  </conditionalFormatting>
  <conditionalFormatting sqref="C79">
    <cfRule type="cellIs" dxfId="19643" priority="9381" stopIfTrue="1" operator="equal">
      <formula>"Towel"</formula>
    </cfRule>
    <cfRule type="cellIs" dxfId="19642" priority="9382" stopIfTrue="1" operator="equal">
      <formula>"Napkin Hs"</formula>
    </cfRule>
  </conditionalFormatting>
  <conditionalFormatting sqref="C79">
    <cfRule type="cellIs" dxfId="19641" priority="9377" stopIfTrue="1" operator="equal">
      <formula>"Towel"</formula>
    </cfRule>
    <cfRule type="cellIs" dxfId="19640" priority="9378" stopIfTrue="1" operator="equal">
      <formula>"Napkin Hs"</formula>
    </cfRule>
  </conditionalFormatting>
  <conditionalFormatting sqref="C79">
    <cfRule type="cellIs" dxfId="19639" priority="9379" stopIfTrue="1" operator="equal">
      <formula>"Towel"</formula>
    </cfRule>
    <cfRule type="cellIs" dxfId="19638" priority="9380" stopIfTrue="1" operator="equal">
      <formula>"Napkin Hs"</formula>
    </cfRule>
  </conditionalFormatting>
  <conditionalFormatting sqref="B79">
    <cfRule type="cellIs" dxfId="19637" priority="9375" stopIfTrue="1" operator="equal">
      <formula>"Towel"</formula>
    </cfRule>
    <cfRule type="cellIs" dxfId="19636" priority="9376" stopIfTrue="1" operator="equal">
      <formula>"Napkin Hs"</formula>
    </cfRule>
  </conditionalFormatting>
  <conditionalFormatting sqref="B79">
    <cfRule type="cellIs" dxfId="19635" priority="9359" stopIfTrue="1" operator="equal">
      <formula>"Towel"</formula>
    </cfRule>
    <cfRule type="cellIs" dxfId="19634" priority="9360" stopIfTrue="1" operator="equal">
      <formula>"Napkin Hs"</formula>
    </cfRule>
  </conditionalFormatting>
  <conditionalFormatting sqref="B79">
    <cfRule type="cellIs" dxfId="19633" priority="9357" stopIfTrue="1" operator="equal">
      <formula>"Towel"</formula>
    </cfRule>
    <cfRule type="cellIs" dxfId="19632" priority="9358" stopIfTrue="1" operator="equal">
      <formula>"Napkin Hs"</formula>
    </cfRule>
  </conditionalFormatting>
  <conditionalFormatting sqref="B79">
    <cfRule type="cellIs" dxfId="19631" priority="9373" stopIfTrue="1" operator="equal">
      <formula>"Towel"</formula>
    </cfRule>
    <cfRule type="cellIs" dxfId="19630" priority="9374" stopIfTrue="1" operator="equal">
      <formula>"Napkin Hs"</formula>
    </cfRule>
  </conditionalFormatting>
  <conditionalFormatting sqref="B79">
    <cfRule type="cellIs" dxfId="19629" priority="9369" stopIfTrue="1" operator="equal">
      <formula>"Towel"</formula>
    </cfRule>
    <cfRule type="cellIs" dxfId="19628" priority="9370" stopIfTrue="1" operator="equal">
      <formula>"Napkin Hs"</formula>
    </cfRule>
  </conditionalFormatting>
  <conditionalFormatting sqref="B79">
    <cfRule type="cellIs" dxfId="19627" priority="9371" stopIfTrue="1" operator="equal">
      <formula>"Towel"</formula>
    </cfRule>
    <cfRule type="cellIs" dxfId="19626" priority="9372" stopIfTrue="1" operator="equal">
      <formula>"Napkin Hs"</formula>
    </cfRule>
  </conditionalFormatting>
  <conditionalFormatting sqref="B79">
    <cfRule type="cellIs" dxfId="19625" priority="9365" stopIfTrue="1" operator="equal">
      <formula>"Towel"</formula>
    </cfRule>
    <cfRule type="cellIs" dxfId="19624" priority="9366" stopIfTrue="1" operator="equal">
      <formula>"Napkin Hs"</formula>
    </cfRule>
  </conditionalFormatting>
  <conditionalFormatting sqref="B79">
    <cfRule type="cellIs" dxfId="19623" priority="9367" stopIfTrue="1" operator="equal">
      <formula>"Towel"</formula>
    </cfRule>
    <cfRule type="cellIs" dxfId="19622" priority="9368" stopIfTrue="1" operator="equal">
      <formula>"Napkin Hs"</formula>
    </cfRule>
  </conditionalFormatting>
  <conditionalFormatting sqref="B79">
    <cfRule type="cellIs" dxfId="19621" priority="9363" stopIfTrue="1" operator="equal">
      <formula>"Towel"</formula>
    </cfRule>
    <cfRule type="cellIs" dxfId="19620" priority="9364" stopIfTrue="1" operator="equal">
      <formula>"Napkin Hs"</formula>
    </cfRule>
  </conditionalFormatting>
  <conditionalFormatting sqref="B79">
    <cfRule type="cellIs" dxfId="19619" priority="9361" stopIfTrue="1" operator="equal">
      <formula>"Towel"</formula>
    </cfRule>
    <cfRule type="cellIs" dxfId="19618" priority="9362" stopIfTrue="1" operator="equal">
      <formula>"Napkin Hs"</formula>
    </cfRule>
  </conditionalFormatting>
  <conditionalFormatting sqref="B79">
    <cfRule type="cellIs" dxfId="19617" priority="9355" stopIfTrue="1" operator="equal">
      <formula>"Towel"</formula>
    </cfRule>
    <cfRule type="cellIs" dxfId="19616" priority="9356" stopIfTrue="1" operator="equal">
      <formula>"Napkin Hs"</formula>
    </cfRule>
  </conditionalFormatting>
  <conditionalFormatting sqref="B79">
    <cfRule type="cellIs" dxfId="19615" priority="9353" stopIfTrue="1" operator="equal">
      <formula>"Towel"</formula>
    </cfRule>
    <cfRule type="cellIs" dxfId="19614" priority="9354" stopIfTrue="1" operator="equal">
      <formula>"Napkin Hs"</formula>
    </cfRule>
  </conditionalFormatting>
  <conditionalFormatting sqref="B79">
    <cfRule type="cellIs" dxfId="19613" priority="9351" stopIfTrue="1" operator="equal">
      <formula>"Towel"</formula>
    </cfRule>
    <cfRule type="cellIs" dxfId="19612" priority="9352" stopIfTrue="1" operator="equal">
      <formula>"Napkin Hs"</formula>
    </cfRule>
  </conditionalFormatting>
  <conditionalFormatting sqref="B79">
    <cfRule type="cellIs" dxfId="19611" priority="9349" stopIfTrue="1" operator="equal">
      <formula>"Towel"</formula>
    </cfRule>
    <cfRule type="cellIs" dxfId="19610" priority="9350" stopIfTrue="1" operator="equal">
      <formula>"Napkin Hs"</formula>
    </cfRule>
  </conditionalFormatting>
  <conditionalFormatting sqref="C80">
    <cfRule type="cellIs" dxfId="19609" priority="9295" stopIfTrue="1" operator="equal">
      <formula>"Towel"</formula>
    </cfRule>
    <cfRule type="cellIs" dxfId="19608" priority="9296" stopIfTrue="1" operator="equal">
      <formula>"Napkin Hs"</formula>
    </cfRule>
  </conditionalFormatting>
  <conditionalFormatting sqref="C80">
    <cfRule type="cellIs" dxfId="19607" priority="9297" stopIfTrue="1" operator="equal">
      <formula>"Towel"</formula>
    </cfRule>
    <cfRule type="cellIs" dxfId="19606" priority="9298" stopIfTrue="1" operator="equal">
      <formula>"Napkin Hs"</formula>
    </cfRule>
  </conditionalFormatting>
  <conditionalFormatting sqref="B80:C80">
    <cfRule type="cellIs" dxfId="19605" priority="9293" stopIfTrue="1" operator="equal">
      <formula>"Towel"</formula>
    </cfRule>
    <cfRule type="cellIs" dxfId="19604" priority="9294" stopIfTrue="1" operator="equal">
      <formula>"Napkin Hs"</formula>
    </cfRule>
  </conditionalFormatting>
  <conditionalFormatting sqref="C80">
    <cfRule type="cellIs" dxfId="19603" priority="9291" stopIfTrue="1" operator="equal">
      <formula>"Towel"</formula>
    </cfRule>
    <cfRule type="cellIs" dxfId="19602" priority="9292" stopIfTrue="1" operator="equal">
      <formula>"Napkin Hs"</formula>
    </cfRule>
  </conditionalFormatting>
  <conditionalFormatting sqref="B80:C80">
    <cfRule type="cellIs" dxfId="19601" priority="9287" stopIfTrue="1" operator="equal">
      <formula>"Towel"</formula>
    </cfRule>
    <cfRule type="cellIs" dxfId="19600" priority="9288" stopIfTrue="1" operator="equal">
      <formula>"Napkin Hs"</formula>
    </cfRule>
  </conditionalFormatting>
  <conditionalFormatting sqref="C80">
    <cfRule type="cellIs" dxfId="19599" priority="9289" stopIfTrue="1" operator="equal">
      <formula>"Towel"</formula>
    </cfRule>
    <cfRule type="cellIs" dxfId="19598" priority="9290" stopIfTrue="1" operator="equal">
      <formula>"Napkin Hs"</formula>
    </cfRule>
  </conditionalFormatting>
  <conditionalFormatting sqref="B80:C80">
    <cfRule type="cellIs" dxfId="19597" priority="9347" stopIfTrue="1" operator="equal">
      <formula>"Towel"</formula>
    </cfRule>
    <cfRule type="cellIs" dxfId="19596" priority="9348" stopIfTrue="1" operator="equal">
      <formula>"Napkin Hs"</formula>
    </cfRule>
  </conditionalFormatting>
  <conditionalFormatting sqref="C80">
    <cfRule type="cellIs" dxfId="19595" priority="9343" stopIfTrue="1" operator="equal">
      <formula>"Towel"</formula>
    </cfRule>
    <cfRule type="cellIs" dxfId="19594" priority="9344" stopIfTrue="1" operator="equal">
      <formula>"Napkin Hs"</formula>
    </cfRule>
  </conditionalFormatting>
  <conditionalFormatting sqref="C80">
    <cfRule type="cellIs" dxfId="19593" priority="9346" stopIfTrue="1" operator="equal">
      <formula>"Napkin Hs"</formula>
    </cfRule>
  </conditionalFormatting>
  <conditionalFormatting sqref="C80">
    <cfRule type="cellIs" dxfId="19592" priority="9345" stopIfTrue="1" operator="equal">
      <formula>"Towel"</formula>
    </cfRule>
  </conditionalFormatting>
  <conditionalFormatting sqref="C80">
    <cfRule type="cellIs" dxfId="19591" priority="9337" stopIfTrue="1" operator="equal">
      <formula>"Towel"</formula>
    </cfRule>
    <cfRule type="cellIs" dxfId="19590" priority="9338" stopIfTrue="1" operator="equal">
      <formula>"Napkin Hs"</formula>
    </cfRule>
  </conditionalFormatting>
  <conditionalFormatting sqref="C80">
    <cfRule type="cellIs" dxfId="19589" priority="9341" stopIfTrue="1" operator="equal">
      <formula>"Towel"</formula>
    </cfRule>
    <cfRule type="cellIs" dxfId="19588" priority="9342" stopIfTrue="1" operator="equal">
      <formula>"Napkin Hs"</formula>
    </cfRule>
  </conditionalFormatting>
  <conditionalFormatting sqref="B80">
    <cfRule type="cellIs" dxfId="19587" priority="9327" stopIfTrue="1" operator="equal">
      <formula>"Towel"</formula>
    </cfRule>
    <cfRule type="cellIs" dxfId="19586" priority="9328" stopIfTrue="1" operator="equal">
      <formula>"Napkin Hs"</formula>
    </cfRule>
  </conditionalFormatting>
  <conditionalFormatting sqref="C80">
    <cfRule type="cellIs" dxfId="19585" priority="9339" stopIfTrue="1" operator="equal">
      <formula>"Towel"</formula>
    </cfRule>
    <cfRule type="cellIs" dxfId="19584" priority="9340" stopIfTrue="1" operator="equal">
      <formula>"Napkin Hs"</formula>
    </cfRule>
  </conditionalFormatting>
  <conditionalFormatting sqref="C80">
    <cfRule type="cellIs" dxfId="19583" priority="9331" stopIfTrue="1" operator="equal">
      <formula>"Towel"</formula>
    </cfRule>
    <cfRule type="cellIs" dxfId="19582" priority="9332" stopIfTrue="1" operator="equal">
      <formula>"Napkin Hs"</formula>
    </cfRule>
  </conditionalFormatting>
  <conditionalFormatting sqref="C80">
    <cfRule type="cellIs" dxfId="19581" priority="9333" stopIfTrue="1" operator="equal">
      <formula>"Towel"</formula>
    </cfRule>
    <cfRule type="cellIs" dxfId="19580" priority="9334" stopIfTrue="1" operator="equal">
      <formula>"Napkin Hs"</formula>
    </cfRule>
  </conditionalFormatting>
  <conditionalFormatting sqref="C80">
    <cfRule type="cellIs" dxfId="19579" priority="9335" stopIfTrue="1" operator="equal">
      <formula>"Towel"</formula>
    </cfRule>
    <cfRule type="cellIs" dxfId="19578" priority="9336" stopIfTrue="1" operator="equal">
      <formula>"Napkin Hs"</formula>
    </cfRule>
  </conditionalFormatting>
  <conditionalFormatting sqref="B80">
    <cfRule type="cellIs" dxfId="19577" priority="9329" stopIfTrue="1" operator="equal">
      <formula>"Towel"</formula>
    </cfRule>
    <cfRule type="cellIs" dxfId="19576" priority="9330" stopIfTrue="1" operator="equal">
      <formula>"Napkin Hs"</formula>
    </cfRule>
  </conditionalFormatting>
  <conditionalFormatting sqref="C80">
    <cfRule type="cellIs" dxfId="19575" priority="9321" stopIfTrue="1" operator="equal">
      <formula>"Towel"</formula>
    </cfRule>
    <cfRule type="cellIs" dxfId="19574" priority="9322" stopIfTrue="1" operator="equal">
      <formula>"Napkin Hs"</formula>
    </cfRule>
  </conditionalFormatting>
  <conditionalFormatting sqref="C80">
    <cfRule type="cellIs" dxfId="19573" priority="9325" stopIfTrue="1" operator="equal">
      <formula>"Towel"</formula>
    </cfRule>
    <cfRule type="cellIs" dxfId="19572" priority="9326" stopIfTrue="1" operator="equal">
      <formula>"Napkin Hs"</formula>
    </cfRule>
  </conditionalFormatting>
  <conditionalFormatting sqref="B80">
    <cfRule type="cellIs" dxfId="19571" priority="9311" stopIfTrue="1" operator="equal">
      <formula>"Towel"</formula>
    </cfRule>
    <cfRule type="cellIs" dxfId="19570" priority="9312" stopIfTrue="1" operator="equal">
      <formula>"Napkin Hs"</formula>
    </cfRule>
  </conditionalFormatting>
  <conditionalFormatting sqref="C80">
    <cfRule type="cellIs" dxfId="19569" priority="9323" stopIfTrue="1" operator="equal">
      <formula>"Towel"</formula>
    </cfRule>
    <cfRule type="cellIs" dxfId="19568" priority="9324" stopIfTrue="1" operator="equal">
      <formula>"Napkin Hs"</formula>
    </cfRule>
  </conditionalFormatting>
  <conditionalFormatting sqref="C80">
    <cfRule type="cellIs" dxfId="19567" priority="9315" stopIfTrue="1" operator="equal">
      <formula>"Towel"</formula>
    </cfRule>
    <cfRule type="cellIs" dxfId="19566" priority="9316" stopIfTrue="1" operator="equal">
      <formula>"Napkin Hs"</formula>
    </cfRule>
  </conditionalFormatting>
  <conditionalFormatting sqref="C80">
    <cfRule type="cellIs" dxfId="19565" priority="9317" stopIfTrue="1" operator="equal">
      <formula>"Towel"</formula>
    </cfRule>
    <cfRule type="cellIs" dxfId="19564" priority="9318" stopIfTrue="1" operator="equal">
      <formula>"Napkin Hs"</formula>
    </cfRule>
  </conditionalFormatting>
  <conditionalFormatting sqref="C80">
    <cfRule type="cellIs" dxfId="19563" priority="9319" stopIfTrue="1" operator="equal">
      <formula>"Towel"</formula>
    </cfRule>
    <cfRule type="cellIs" dxfId="19562" priority="9320" stopIfTrue="1" operator="equal">
      <formula>"Napkin Hs"</formula>
    </cfRule>
  </conditionalFormatting>
  <conditionalFormatting sqref="B80">
    <cfRule type="cellIs" dxfId="19561" priority="9313" stopIfTrue="1" operator="equal">
      <formula>"Towel"</formula>
    </cfRule>
    <cfRule type="cellIs" dxfId="19560" priority="9314" stopIfTrue="1" operator="equal">
      <formula>"Napkin Hs"</formula>
    </cfRule>
  </conditionalFormatting>
  <conditionalFormatting sqref="B80:C80">
    <cfRule type="cellIs" dxfId="19559" priority="9309" stopIfTrue="1" operator="equal">
      <formula>"Towel"</formula>
    </cfRule>
    <cfRule type="cellIs" dxfId="19558" priority="9310" stopIfTrue="1" operator="equal">
      <formula>"Napkin Hs"</formula>
    </cfRule>
  </conditionalFormatting>
  <conditionalFormatting sqref="C80">
    <cfRule type="cellIs" dxfId="19557" priority="9305" stopIfTrue="1" operator="equal">
      <formula>"Towel"</formula>
    </cfRule>
    <cfRule type="cellIs" dxfId="19556" priority="9306" stopIfTrue="1" operator="equal">
      <formula>"Napkin Hs"</formula>
    </cfRule>
  </conditionalFormatting>
  <conditionalFormatting sqref="C80">
    <cfRule type="cellIs" dxfId="19555" priority="9307" stopIfTrue="1" operator="equal">
      <formula>"Towel"</formula>
    </cfRule>
    <cfRule type="cellIs" dxfId="19554" priority="9308" stopIfTrue="1" operator="equal">
      <formula>"Napkin Hs"</formula>
    </cfRule>
  </conditionalFormatting>
  <conditionalFormatting sqref="B80:C80">
    <cfRule type="cellIs" dxfId="19553" priority="9303" stopIfTrue="1" operator="equal">
      <formula>"Towel"</formula>
    </cfRule>
    <cfRule type="cellIs" dxfId="19552" priority="9304" stopIfTrue="1" operator="equal">
      <formula>"Napkin Hs"</formula>
    </cfRule>
  </conditionalFormatting>
  <conditionalFormatting sqref="C80">
    <cfRule type="cellIs" dxfId="19551" priority="9301" stopIfTrue="1" operator="equal">
      <formula>"Towel"</formula>
    </cfRule>
    <cfRule type="cellIs" dxfId="19550" priority="9302" stopIfTrue="1" operator="equal">
      <formula>"Napkin Hs"</formula>
    </cfRule>
  </conditionalFormatting>
  <conditionalFormatting sqref="C80">
    <cfRule type="cellIs" dxfId="19549" priority="9299" stopIfTrue="1" operator="equal">
      <formula>"Towel"</formula>
    </cfRule>
    <cfRule type="cellIs" dxfId="19548" priority="9300" stopIfTrue="1" operator="equal">
      <formula>"Napkin Hs"</formula>
    </cfRule>
  </conditionalFormatting>
  <conditionalFormatting sqref="B80:C80">
    <cfRule type="cellIs" dxfId="19547" priority="9283" stopIfTrue="1" operator="equal">
      <formula>"Towel"</formula>
    </cfRule>
    <cfRule type="cellIs" dxfId="19546" priority="9284" stopIfTrue="1" operator="equal">
      <formula>"Napkin Hs"</formula>
    </cfRule>
  </conditionalFormatting>
  <conditionalFormatting sqref="C80">
    <cfRule type="cellIs" dxfId="19545" priority="9285" stopIfTrue="1" operator="equal">
      <formula>"Towel"</formula>
    </cfRule>
    <cfRule type="cellIs" dxfId="19544" priority="9286" stopIfTrue="1" operator="equal">
      <formula>"Napkin Hs"</formula>
    </cfRule>
  </conditionalFormatting>
  <conditionalFormatting sqref="C80">
    <cfRule type="cellIs" dxfId="19543" priority="9281" stopIfTrue="1" operator="equal">
      <formula>"Towel"</formula>
    </cfRule>
    <cfRule type="cellIs" dxfId="19542" priority="9282" stopIfTrue="1" operator="equal">
      <formula>"Napkin Hs"</formula>
    </cfRule>
  </conditionalFormatting>
  <conditionalFormatting sqref="B80:C80">
    <cfRule type="cellIs" dxfId="19541" priority="9279" stopIfTrue="1" operator="equal">
      <formula>"Towel"</formula>
    </cfRule>
    <cfRule type="cellIs" dxfId="19540" priority="9280" stopIfTrue="1" operator="equal">
      <formula>"Napkin Hs"</formula>
    </cfRule>
  </conditionalFormatting>
  <conditionalFormatting sqref="C80">
    <cfRule type="cellIs" dxfId="19539" priority="9275" stopIfTrue="1" operator="equal">
      <formula>"Towel"</formula>
    </cfRule>
    <cfRule type="cellIs" dxfId="19538" priority="9276" stopIfTrue="1" operator="equal">
      <formula>"Napkin Hs"</formula>
    </cfRule>
  </conditionalFormatting>
  <conditionalFormatting sqref="C80">
    <cfRule type="cellIs" dxfId="19537" priority="9277" stopIfTrue="1" operator="equal">
      <formula>"Towel"</formula>
    </cfRule>
    <cfRule type="cellIs" dxfId="19536" priority="9278" stopIfTrue="1" operator="equal">
      <formula>"Napkin Hs"</formula>
    </cfRule>
  </conditionalFormatting>
  <conditionalFormatting sqref="B80:C80">
    <cfRule type="cellIs" dxfId="19535" priority="9271" stopIfTrue="1" operator="equal">
      <formula>"Towel"</formula>
    </cfRule>
    <cfRule type="cellIs" dxfId="19534" priority="9272" stopIfTrue="1" operator="equal">
      <formula>"Napkin Hs"</formula>
    </cfRule>
  </conditionalFormatting>
  <conditionalFormatting sqref="C80">
    <cfRule type="cellIs" dxfId="19533" priority="9273" stopIfTrue="1" operator="equal">
      <formula>"Towel"</formula>
    </cfRule>
    <cfRule type="cellIs" dxfId="19532" priority="9274" stopIfTrue="1" operator="equal">
      <formula>"Napkin Hs"</formula>
    </cfRule>
  </conditionalFormatting>
  <conditionalFormatting sqref="C80">
    <cfRule type="cellIs" dxfId="19531" priority="9269" stopIfTrue="1" operator="equal">
      <formula>"Towel"</formula>
    </cfRule>
    <cfRule type="cellIs" dxfId="19530" priority="9270" stopIfTrue="1" operator="equal">
      <formula>"Napkin Hs"</formula>
    </cfRule>
  </conditionalFormatting>
  <conditionalFormatting sqref="B80:C80">
    <cfRule type="cellIs" dxfId="19529" priority="9267" stopIfTrue="1" operator="equal">
      <formula>"Towel"</formula>
    </cfRule>
    <cfRule type="cellIs" dxfId="19528" priority="9268" stopIfTrue="1" operator="equal">
      <formula>"Napkin Hs"</formula>
    </cfRule>
  </conditionalFormatting>
  <conditionalFormatting sqref="C80">
    <cfRule type="cellIs" dxfId="19527" priority="9263" stopIfTrue="1" operator="equal">
      <formula>"Towel"</formula>
    </cfRule>
    <cfRule type="cellIs" dxfId="19526" priority="9264" stopIfTrue="1" operator="equal">
      <formula>"Napkin Hs"</formula>
    </cfRule>
  </conditionalFormatting>
  <conditionalFormatting sqref="C80">
    <cfRule type="cellIs" dxfId="19525" priority="9265" stopIfTrue="1" operator="equal">
      <formula>"Towel"</formula>
    </cfRule>
    <cfRule type="cellIs" dxfId="19524" priority="9266" stopIfTrue="1" operator="equal">
      <formula>"Napkin Hs"</formula>
    </cfRule>
  </conditionalFormatting>
  <conditionalFormatting sqref="C81">
    <cfRule type="cellIs" dxfId="19523" priority="9209" stopIfTrue="1" operator="equal">
      <formula>"Towel"</formula>
    </cfRule>
    <cfRule type="cellIs" dxfId="19522" priority="9210" stopIfTrue="1" operator="equal">
      <formula>"Napkin Hs"</formula>
    </cfRule>
  </conditionalFormatting>
  <conditionalFormatting sqref="C81">
    <cfRule type="cellIs" dxfId="19521" priority="9211" stopIfTrue="1" operator="equal">
      <formula>"Towel"</formula>
    </cfRule>
    <cfRule type="cellIs" dxfId="19520" priority="9212" stopIfTrue="1" operator="equal">
      <formula>"Napkin Hs"</formula>
    </cfRule>
  </conditionalFormatting>
  <conditionalFormatting sqref="B81:C81">
    <cfRule type="cellIs" dxfId="19519" priority="9207" stopIfTrue="1" operator="equal">
      <formula>"Towel"</formula>
    </cfRule>
    <cfRule type="cellIs" dxfId="19518" priority="9208" stopIfTrue="1" operator="equal">
      <formula>"Napkin Hs"</formula>
    </cfRule>
  </conditionalFormatting>
  <conditionalFormatting sqref="C81">
    <cfRule type="cellIs" dxfId="19517" priority="9205" stopIfTrue="1" operator="equal">
      <formula>"Towel"</formula>
    </cfRule>
    <cfRule type="cellIs" dxfId="19516" priority="9206" stopIfTrue="1" operator="equal">
      <formula>"Napkin Hs"</formula>
    </cfRule>
  </conditionalFormatting>
  <conditionalFormatting sqref="B81:C81">
    <cfRule type="cellIs" dxfId="19515" priority="9201" stopIfTrue="1" operator="equal">
      <formula>"Towel"</formula>
    </cfRule>
    <cfRule type="cellIs" dxfId="19514" priority="9202" stopIfTrue="1" operator="equal">
      <formula>"Napkin Hs"</formula>
    </cfRule>
  </conditionalFormatting>
  <conditionalFormatting sqref="C81">
    <cfRule type="cellIs" dxfId="19513" priority="9203" stopIfTrue="1" operator="equal">
      <formula>"Towel"</formula>
    </cfRule>
    <cfRule type="cellIs" dxfId="19512" priority="9204" stopIfTrue="1" operator="equal">
      <formula>"Napkin Hs"</formula>
    </cfRule>
  </conditionalFormatting>
  <conditionalFormatting sqref="B81:C81">
    <cfRule type="cellIs" dxfId="19511" priority="9261" stopIfTrue="1" operator="equal">
      <formula>"Towel"</formula>
    </cfRule>
    <cfRule type="cellIs" dxfId="19510" priority="9262" stopIfTrue="1" operator="equal">
      <formula>"Napkin Hs"</formula>
    </cfRule>
  </conditionalFormatting>
  <conditionalFormatting sqref="C81">
    <cfRule type="cellIs" dxfId="19509" priority="9257" stopIfTrue="1" operator="equal">
      <formula>"Towel"</formula>
    </cfRule>
    <cfRule type="cellIs" dxfId="19508" priority="9258" stopIfTrue="1" operator="equal">
      <formula>"Napkin Hs"</formula>
    </cfRule>
  </conditionalFormatting>
  <conditionalFormatting sqref="C81">
    <cfRule type="cellIs" dxfId="19507" priority="9260" stopIfTrue="1" operator="equal">
      <formula>"Napkin Hs"</formula>
    </cfRule>
  </conditionalFormatting>
  <conditionalFormatting sqref="C81">
    <cfRule type="cellIs" dxfId="19506" priority="9259" stopIfTrue="1" operator="equal">
      <formula>"Towel"</formula>
    </cfRule>
  </conditionalFormatting>
  <conditionalFormatting sqref="C81">
    <cfRule type="cellIs" dxfId="19505" priority="9251" stopIfTrue="1" operator="equal">
      <formula>"Towel"</formula>
    </cfRule>
    <cfRule type="cellIs" dxfId="19504" priority="9252" stopIfTrue="1" operator="equal">
      <formula>"Napkin Hs"</formula>
    </cfRule>
  </conditionalFormatting>
  <conditionalFormatting sqref="C81">
    <cfRule type="cellIs" dxfId="19503" priority="9255" stopIfTrue="1" operator="equal">
      <formula>"Towel"</formula>
    </cfRule>
    <cfRule type="cellIs" dxfId="19502" priority="9256" stopIfTrue="1" operator="equal">
      <formula>"Napkin Hs"</formula>
    </cfRule>
  </conditionalFormatting>
  <conditionalFormatting sqref="B81">
    <cfRule type="cellIs" dxfId="19501" priority="9241" stopIfTrue="1" operator="equal">
      <formula>"Towel"</formula>
    </cfRule>
    <cfRule type="cellIs" dxfId="19500" priority="9242" stopIfTrue="1" operator="equal">
      <formula>"Napkin Hs"</formula>
    </cfRule>
  </conditionalFormatting>
  <conditionalFormatting sqref="C81">
    <cfRule type="cellIs" dxfId="19499" priority="9253" stopIfTrue="1" operator="equal">
      <formula>"Towel"</formula>
    </cfRule>
    <cfRule type="cellIs" dxfId="19498" priority="9254" stopIfTrue="1" operator="equal">
      <formula>"Napkin Hs"</formula>
    </cfRule>
  </conditionalFormatting>
  <conditionalFormatting sqref="C81">
    <cfRule type="cellIs" dxfId="19497" priority="9245" stopIfTrue="1" operator="equal">
      <formula>"Towel"</formula>
    </cfRule>
    <cfRule type="cellIs" dxfId="19496" priority="9246" stopIfTrue="1" operator="equal">
      <formula>"Napkin Hs"</formula>
    </cfRule>
  </conditionalFormatting>
  <conditionalFormatting sqref="C81">
    <cfRule type="cellIs" dxfId="19495" priority="9247" stopIfTrue="1" operator="equal">
      <formula>"Towel"</formula>
    </cfRule>
    <cfRule type="cellIs" dxfId="19494" priority="9248" stopIfTrue="1" operator="equal">
      <formula>"Napkin Hs"</formula>
    </cfRule>
  </conditionalFormatting>
  <conditionalFormatting sqref="C81">
    <cfRule type="cellIs" dxfId="19493" priority="9249" stopIfTrue="1" operator="equal">
      <formula>"Towel"</formula>
    </cfRule>
    <cfRule type="cellIs" dxfId="19492" priority="9250" stopIfTrue="1" operator="equal">
      <formula>"Napkin Hs"</formula>
    </cfRule>
  </conditionalFormatting>
  <conditionalFormatting sqref="B81">
    <cfRule type="cellIs" dxfId="19491" priority="9243" stopIfTrue="1" operator="equal">
      <formula>"Towel"</formula>
    </cfRule>
    <cfRule type="cellIs" dxfId="19490" priority="9244" stopIfTrue="1" operator="equal">
      <formula>"Napkin Hs"</formula>
    </cfRule>
  </conditionalFormatting>
  <conditionalFormatting sqref="C81">
    <cfRule type="cellIs" dxfId="19489" priority="9235" stopIfTrue="1" operator="equal">
      <formula>"Towel"</formula>
    </cfRule>
    <cfRule type="cellIs" dxfId="19488" priority="9236" stopIfTrue="1" operator="equal">
      <formula>"Napkin Hs"</formula>
    </cfRule>
  </conditionalFormatting>
  <conditionalFormatting sqref="C81">
    <cfRule type="cellIs" dxfId="19487" priority="9239" stopIfTrue="1" operator="equal">
      <formula>"Towel"</formula>
    </cfRule>
    <cfRule type="cellIs" dxfId="19486" priority="9240" stopIfTrue="1" operator="equal">
      <formula>"Napkin Hs"</formula>
    </cfRule>
  </conditionalFormatting>
  <conditionalFormatting sqref="B81">
    <cfRule type="cellIs" dxfId="19485" priority="9225" stopIfTrue="1" operator="equal">
      <formula>"Towel"</formula>
    </cfRule>
    <cfRule type="cellIs" dxfId="19484" priority="9226" stopIfTrue="1" operator="equal">
      <formula>"Napkin Hs"</formula>
    </cfRule>
  </conditionalFormatting>
  <conditionalFormatting sqref="C81">
    <cfRule type="cellIs" dxfId="19483" priority="9237" stopIfTrue="1" operator="equal">
      <formula>"Towel"</formula>
    </cfRule>
    <cfRule type="cellIs" dxfId="19482" priority="9238" stopIfTrue="1" operator="equal">
      <formula>"Napkin Hs"</formula>
    </cfRule>
  </conditionalFormatting>
  <conditionalFormatting sqref="C81">
    <cfRule type="cellIs" dxfId="19481" priority="9229" stopIfTrue="1" operator="equal">
      <formula>"Towel"</formula>
    </cfRule>
    <cfRule type="cellIs" dxfId="19480" priority="9230" stopIfTrue="1" operator="equal">
      <formula>"Napkin Hs"</formula>
    </cfRule>
  </conditionalFormatting>
  <conditionalFormatting sqref="C81">
    <cfRule type="cellIs" dxfId="19479" priority="9231" stopIfTrue="1" operator="equal">
      <formula>"Towel"</formula>
    </cfRule>
    <cfRule type="cellIs" dxfId="19478" priority="9232" stopIfTrue="1" operator="equal">
      <formula>"Napkin Hs"</formula>
    </cfRule>
  </conditionalFormatting>
  <conditionalFormatting sqref="C81">
    <cfRule type="cellIs" dxfId="19477" priority="9233" stopIfTrue="1" operator="equal">
      <formula>"Towel"</formula>
    </cfRule>
    <cfRule type="cellIs" dxfId="19476" priority="9234" stopIfTrue="1" operator="equal">
      <formula>"Napkin Hs"</formula>
    </cfRule>
  </conditionalFormatting>
  <conditionalFormatting sqref="B81">
    <cfRule type="cellIs" dxfId="19475" priority="9227" stopIfTrue="1" operator="equal">
      <formula>"Towel"</formula>
    </cfRule>
    <cfRule type="cellIs" dxfId="19474" priority="9228" stopIfTrue="1" operator="equal">
      <formula>"Napkin Hs"</formula>
    </cfRule>
  </conditionalFormatting>
  <conditionalFormatting sqref="B81:C81">
    <cfRule type="cellIs" dxfId="19473" priority="9223" stopIfTrue="1" operator="equal">
      <formula>"Towel"</formula>
    </cfRule>
    <cfRule type="cellIs" dxfId="19472" priority="9224" stopIfTrue="1" operator="equal">
      <formula>"Napkin Hs"</formula>
    </cfRule>
  </conditionalFormatting>
  <conditionalFormatting sqref="C81">
    <cfRule type="cellIs" dxfId="19471" priority="9219" stopIfTrue="1" operator="equal">
      <formula>"Towel"</formula>
    </cfRule>
    <cfRule type="cellIs" dxfId="19470" priority="9220" stopIfTrue="1" operator="equal">
      <formula>"Napkin Hs"</formula>
    </cfRule>
  </conditionalFormatting>
  <conditionalFormatting sqref="C81">
    <cfRule type="cellIs" dxfId="19469" priority="9221" stopIfTrue="1" operator="equal">
      <formula>"Towel"</formula>
    </cfRule>
    <cfRule type="cellIs" dxfId="19468" priority="9222" stopIfTrue="1" operator="equal">
      <formula>"Napkin Hs"</formula>
    </cfRule>
  </conditionalFormatting>
  <conditionalFormatting sqref="B81:C81">
    <cfRule type="cellIs" dxfId="19467" priority="9217" stopIfTrue="1" operator="equal">
      <formula>"Towel"</formula>
    </cfRule>
    <cfRule type="cellIs" dxfId="19466" priority="9218" stopIfTrue="1" operator="equal">
      <formula>"Napkin Hs"</formula>
    </cfRule>
  </conditionalFormatting>
  <conditionalFormatting sqref="C81">
    <cfRule type="cellIs" dxfId="19465" priority="9215" stopIfTrue="1" operator="equal">
      <formula>"Towel"</formula>
    </cfRule>
    <cfRule type="cellIs" dxfId="19464" priority="9216" stopIfTrue="1" operator="equal">
      <formula>"Napkin Hs"</formula>
    </cfRule>
  </conditionalFormatting>
  <conditionalFormatting sqref="C81">
    <cfRule type="cellIs" dxfId="19463" priority="9213" stopIfTrue="1" operator="equal">
      <formula>"Towel"</formula>
    </cfRule>
    <cfRule type="cellIs" dxfId="19462" priority="9214" stopIfTrue="1" operator="equal">
      <formula>"Napkin Hs"</formula>
    </cfRule>
  </conditionalFormatting>
  <conditionalFormatting sqref="B81:C81">
    <cfRule type="cellIs" dxfId="19461" priority="9197" stopIfTrue="1" operator="equal">
      <formula>"Towel"</formula>
    </cfRule>
    <cfRule type="cellIs" dxfId="19460" priority="9198" stopIfTrue="1" operator="equal">
      <formula>"Napkin Hs"</formula>
    </cfRule>
  </conditionalFormatting>
  <conditionalFormatting sqref="C81">
    <cfRule type="cellIs" dxfId="19459" priority="9199" stopIfTrue="1" operator="equal">
      <formula>"Towel"</formula>
    </cfRule>
    <cfRule type="cellIs" dxfId="19458" priority="9200" stopIfTrue="1" operator="equal">
      <formula>"Napkin Hs"</formula>
    </cfRule>
  </conditionalFormatting>
  <conditionalFormatting sqref="C81">
    <cfRule type="cellIs" dxfId="19457" priority="9195" stopIfTrue="1" operator="equal">
      <formula>"Towel"</formula>
    </cfRule>
    <cfRule type="cellIs" dxfId="19456" priority="9196" stopIfTrue="1" operator="equal">
      <formula>"Napkin Hs"</formula>
    </cfRule>
  </conditionalFormatting>
  <conditionalFormatting sqref="B81:C81">
    <cfRule type="cellIs" dxfId="19455" priority="9193" stopIfTrue="1" operator="equal">
      <formula>"Towel"</formula>
    </cfRule>
    <cfRule type="cellIs" dxfId="19454" priority="9194" stopIfTrue="1" operator="equal">
      <formula>"Napkin Hs"</formula>
    </cfRule>
  </conditionalFormatting>
  <conditionalFormatting sqref="C81">
    <cfRule type="cellIs" dxfId="19453" priority="9189" stopIfTrue="1" operator="equal">
      <formula>"Towel"</formula>
    </cfRule>
    <cfRule type="cellIs" dxfId="19452" priority="9190" stopIfTrue="1" operator="equal">
      <formula>"Napkin Hs"</formula>
    </cfRule>
  </conditionalFormatting>
  <conditionalFormatting sqref="C81">
    <cfRule type="cellIs" dxfId="19451" priority="9191" stopIfTrue="1" operator="equal">
      <formula>"Towel"</formula>
    </cfRule>
    <cfRule type="cellIs" dxfId="19450" priority="9192" stopIfTrue="1" operator="equal">
      <formula>"Napkin Hs"</formula>
    </cfRule>
  </conditionalFormatting>
  <conditionalFormatting sqref="B81:C81">
    <cfRule type="cellIs" dxfId="19449" priority="9185" stopIfTrue="1" operator="equal">
      <formula>"Towel"</formula>
    </cfRule>
    <cfRule type="cellIs" dxfId="19448" priority="9186" stopIfTrue="1" operator="equal">
      <formula>"Napkin Hs"</formula>
    </cfRule>
  </conditionalFormatting>
  <conditionalFormatting sqref="C81">
    <cfRule type="cellIs" dxfId="19447" priority="9187" stopIfTrue="1" operator="equal">
      <formula>"Towel"</formula>
    </cfRule>
    <cfRule type="cellIs" dxfId="19446" priority="9188" stopIfTrue="1" operator="equal">
      <formula>"Napkin Hs"</formula>
    </cfRule>
  </conditionalFormatting>
  <conditionalFormatting sqref="C81">
    <cfRule type="cellIs" dxfId="19445" priority="9183" stopIfTrue="1" operator="equal">
      <formula>"Towel"</formula>
    </cfRule>
    <cfRule type="cellIs" dxfId="19444" priority="9184" stopIfTrue="1" operator="equal">
      <formula>"Napkin Hs"</formula>
    </cfRule>
  </conditionalFormatting>
  <conditionalFormatting sqref="B81:C81">
    <cfRule type="cellIs" dxfId="19443" priority="9181" stopIfTrue="1" operator="equal">
      <formula>"Towel"</formula>
    </cfRule>
    <cfRule type="cellIs" dxfId="19442" priority="9182" stopIfTrue="1" operator="equal">
      <formula>"Napkin Hs"</formula>
    </cfRule>
  </conditionalFormatting>
  <conditionalFormatting sqref="C81">
    <cfRule type="cellIs" dxfId="19441" priority="9177" stopIfTrue="1" operator="equal">
      <formula>"Towel"</formula>
    </cfRule>
    <cfRule type="cellIs" dxfId="19440" priority="9178" stopIfTrue="1" operator="equal">
      <formula>"Napkin Hs"</formula>
    </cfRule>
  </conditionalFormatting>
  <conditionalFormatting sqref="C81">
    <cfRule type="cellIs" dxfId="19439" priority="9179" stopIfTrue="1" operator="equal">
      <formula>"Towel"</formula>
    </cfRule>
    <cfRule type="cellIs" dxfId="19438" priority="9180" stopIfTrue="1" operator="equal">
      <formula>"Napkin Hs"</formula>
    </cfRule>
  </conditionalFormatting>
  <conditionalFormatting sqref="B87:C87">
    <cfRule type="cellIs" dxfId="19437" priority="9159" stopIfTrue="1" operator="equal">
      <formula>"Towel"</formula>
    </cfRule>
    <cfRule type="cellIs" dxfId="19436" priority="9160" stopIfTrue="1" operator="equal">
      <formula>"Napkin Hs"</formula>
    </cfRule>
  </conditionalFormatting>
  <conditionalFormatting sqref="C87">
    <cfRule type="cellIs" dxfId="19435" priority="9157" stopIfTrue="1" operator="equal">
      <formula>"Towel"</formula>
    </cfRule>
    <cfRule type="cellIs" dxfId="19434" priority="9158" stopIfTrue="1" operator="equal">
      <formula>"Napkin Hs"</formula>
    </cfRule>
  </conditionalFormatting>
  <conditionalFormatting sqref="C87">
    <cfRule type="cellIs" dxfId="19433" priority="9155" stopIfTrue="1" operator="equal">
      <formula>"Towel"</formula>
    </cfRule>
    <cfRule type="cellIs" dxfId="19432" priority="9156" stopIfTrue="1" operator="equal">
      <formula>"Napkin Hs"</formula>
    </cfRule>
  </conditionalFormatting>
  <conditionalFormatting sqref="C88">
    <cfRule type="cellIs" dxfId="19431" priority="9147" stopIfTrue="1" operator="equal">
      <formula>"Towel"</formula>
    </cfRule>
    <cfRule type="cellIs" dxfId="19430" priority="9148" stopIfTrue="1" operator="equal">
      <formula>"Napkin Hs"</formula>
    </cfRule>
  </conditionalFormatting>
  <conditionalFormatting sqref="B88:C88">
    <cfRule type="cellIs" dxfId="19429" priority="9149" stopIfTrue="1" operator="equal">
      <formula>"Towel"</formula>
    </cfRule>
    <cfRule type="cellIs" dxfId="19428" priority="9150" stopIfTrue="1" operator="equal">
      <formula>"Napkin Hs"</formula>
    </cfRule>
  </conditionalFormatting>
  <conditionalFormatting sqref="C88">
    <cfRule type="cellIs" dxfId="19427" priority="9145" stopIfTrue="1" operator="equal">
      <formula>"Towel"</formula>
    </cfRule>
    <cfRule type="cellIs" dxfId="19426" priority="9146" stopIfTrue="1" operator="equal">
      <formula>"Napkin Hs"</formula>
    </cfRule>
  </conditionalFormatting>
  <conditionalFormatting sqref="B88:C88">
    <cfRule type="cellIs" dxfId="19425" priority="9143" stopIfTrue="1" operator="equal">
      <formula>"Towel"</formula>
    </cfRule>
    <cfRule type="cellIs" dxfId="19424" priority="9144" stopIfTrue="1" operator="equal">
      <formula>"Napkin Hs"</formula>
    </cfRule>
  </conditionalFormatting>
  <conditionalFormatting sqref="C88">
    <cfRule type="cellIs" dxfId="19423" priority="9151" stopIfTrue="1" operator="equal">
      <formula>"Towel"</formula>
    </cfRule>
    <cfRule type="cellIs" dxfId="19422" priority="9152" stopIfTrue="1" operator="equal">
      <formula>"Napkin Hs"</formula>
    </cfRule>
  </conditionalFormatting>
  <conditionalFormatting sqref="C88">
    <cfRule type="cellIs" dxfId="19421" priority="9153" stopIfTrue="1" operator="equal">
      <formula>"Towel"</formula>
    </cfRule>
    <cfRule type="cellIs" dxfId="19420" priority="9154" stopIfTrue="1" operator="equal">
      <formula>"Napkin Hs"</formula>
    </cfRule>
  </conditionalFormatting>
  <conditionalFormatting sqref="B87:C87">
    <cfRule type="cellIs" dxfId="19419" priority="9141" stopIfTrue="1" operator="equal">
      <formula>"Towel"</formula>
    </cfRule>
    <cfRule type="cellIs" dxfId="19418" priority="9142" stopIfTrue="1" operator="equal">
      <formula>"Napkin Hs"</formula>
    </cfRule>
  </conditionalFormatting>
  <conditionalFormatting sqref="C87">
    <cfRule type="cellIs" dxfId="19417" priority="9137" stopIfTrue="1" operator="equal">
      <formula>"Towel"</formula>
    </cfRule>
    <cfRule type="cellIs" dxfId="19416" priority="9138" stopIfTrue="1" operator="equal">
      <formula>"Napkin Hs"</formula>
    </cfRule>
  </conditionalFormatting>
  <conditionalFormatting sqref="C87">
    <cfRule type="cellIs" dxfId="19415" priority="9139" stopIfTrue="1" operator="equal">
      <formula>"Towel"</formula>
    </cfRule>
    <cfRule type="cellIs" dxfId="19414" priority="9140" stopIfTrue="1" operator="equal">
      <formula>"Napkin Hs"</formula>
    </cfRule>
  </conditionalFormatting>
  <conditionalFormatting sqref="C88">
    <cfRule type="cellIs" dxfId="19413" priority="9129" stopIfTrue="1" operator="equal">
      <formula>"Towel"</formula>
    </cfRule>
    <cfRule type="cellIs" dxfId="19412" priority="9130" stopIfTrue="1" operator="equal">
      <formula>"Napkin Hs"</formula>
    </cfRule>
  </conditionalFormatting>
  <conditionalFormatting sqref="B88:C88">
    <cfRule type="cellIs" dxfId="19411" priority="9131" stopIfTrue="1" operator="equal">
      <formula>"Towel"</formula>
    </cfRule>
    <cfRule type="cellIs" dxfId="19410" priority="9132" stopIfTrue="1" operator="equal">
      <formula>"Napkin Hs"</formula>
    </cfRule>
  </conditionalFormatting>
  <conditionalFormatting sqref="C88">
    <cfRule type="cellIs" dxfId="19409" priority="9127" stopIfTrue="1" operator="equal">
      <formula>"Towel"</formula>
    </cfRule>
    <cfRule type="cellIs" dxfId="19408" priority="9128" stopIfTrue="1" operator="equal">
      <formula>"Napkin Hs"</formula>
    </cfRule>
  </conditionalFormatting>
  <conditionalFormatting sqref="B88:C88">
    <cfRule type="cellIs" dxfId="19407" priority="9125" stopIfTrue="1" operator="equal">
      <formula>"Towel"</formula>
    </cfRule>
    <cfRule type="cellIs" dxfId="19406" priority="9126" stopIfTrue="1" operator="equal">
      <formula>"Napkin Hs"</formula>
    </cfRule>
  </conditionalFormatting>
  <conditionalFormatting sqref="C88">
    <cfRule type="cellIs" dxfId="19405" priority="9133" stopIfTrue="1" operator="equal">
      <formula>"Towel"</formula>
    </cfRule>
    <cfRule type="cellIs" dxfId="19404" priority="9134" stopIfTrue="1" operator="equal">
      <formula>"Napkin Hs"</formula>
    </cfRule>
  </conditionalFormatting>
  <conditionalFormatting sqref="C88">
    <cfRule type="cellIs" dxfId="19403" priority="9135" stopIfTrue="1" operator="equal">
      <formula>"Towel"</formula>
    </cfRule>
    <cfRule type="cellIs" dxfId="19402" priority="9136" stopIfTrue="1" operator="equal">
      <formula>"Napkin Hs"</formula>
    </cfRule>
  </conditionalFormatting>
  <conditionalFormatting sqref="C86">
    <cfRule type="cellIs" dxfId="19401" priority="8893" stopIfTrue="1" operator="equal">
      <formula>"Towel"</formula>
    </cfRule>
    <cfRule type="cellIs" dxfId="19400" priority="8894" stopIfTrue="1" operator="equal">
      <formula>"Napkin Hs"</formula>
    </cfRule>
  </conditionalFormatting>
  <conditionalFormatting sqref="C86">
    <cfRule type="cellIs" dxfId="19399" priority="8895" stopIfTrue="1" operator="equal">
      <formula>"Towel"</formula>
    </cfRule>
    <cfRule type="cellIs" dxfId="19398" priority="8896" stopIfTrue="1" operator="equal">
      <formula>"Napkin Hs"</formula>
    </cfRule>
  </conditionalFormatting>
  <conditionalFormatting sqref="C86">
    <cfRule type="cellIs" dxfId="19397" priority="8891" stopIfTrue="1" operator="equal">
      <formula>"Towel"</formula>
    </cfRule>
    <cfRule type="cellIs" dxfId="19396" priority="8892" stopIfTrue="1" operator="equal">
      <formula>"Napkin Hs"</formula>
    </cfRule>
  </conditionalFormatting>
  <conditionalFormatting sqref="B86">
    <cfRule type="cellIs" dxfId="19395" priority="8885" stopIfTrue="1" operator="equal">
      <formula>"Towel"</formula>
    </cfRule>
    <cfRule type="cellIs" dxfId="19394" priority="8886" stopIfTrue="1" operator="equal">
      <formula>"Napkin Hs"</formula>
    </cfRule>
  </conditionalFormatting>
  <conditionalFormatting sqref="C86">
    <cfRule type="cellIs" dxfId="19393" priority="8887" stopIfTrue="1" operator="equal">
      <formula>"Towel"</formula>
    </cfRule>
    <cfRule type="cellIs" dxfId="19392" priority="8888" stopIfTrue="1" operator="equal">
      <formula>"Napkin Hs"</formula>
    </cfRule>
  </conditionalFormatting>
  <conditionalFormatting sqref="C86">
    <cfRule type="cellIs" dxfId="19391" priority="8889" stopIfTrue="1" operator="equal">
      <formula>"Towel"</formula>
    </cfRule>
    <cfRule type="cellIs" dxfId="19390" priority="8890" stopIfTrue="1" operator="equal">
      <formula>"Napkin Hs"</formula>
    </cfRule>
  </conditionalFormatting>
  <conditionalFormatting sqref="B86:C86">
    <cfRule type="cellIs" dxfId="19389" priority="8839" stopIfTrue="1" operator="equal">
      <formula>"Towel"</formula>
    </cfRule>
    <cfRule type="cellIs" dxfId="19388" priority="8840" stopIfTrue="1" operator="equal">
      <formula>"Napkin Hs"</formula>
    </cfRule>
  </conditionalFormatting>
  <conditionalFormatting sqref="C86">
    <cfRule type="cellIs" dxfId="19387" priority="8841" stopIfTrue="1" operator="equal">
      <formula>"Towel"</formula>
    </cfRule>
    <cfRule type="cellIs" dxfId="19386" priority="8842" stopIfTrue="1" operator="equal">
      <formula>"Napkin Hs"</formula>
    </cfRule>
  </conditionalFormatting>
  <conditionalFormatting sqref="C86">
    <cfRule type="cellIs" dxfId="19385" priority="8837" stopIfTrue="1" operator="equal">
      <formula>"Towel"</formula>
    </cfRule>
    <cfRule type="cellIs" dxfId="19384" priority="8838" stopIfTrue="1" operator="equal">
      <formula>"Napkin Hs"</formula>
    </cfRule>
  </conditionalFormatting>
  <conditionalFormatting sqref="C86">
    <cfRule type="cellIs" dxfId="19383" priority="8835" stopIfTrue="1" operator="equal">
      <formula>"Towel"</formula>
    </cfRule>
    <cfRule type="cellIs" dxfId="19382" priority="8836" stopIfTrue="1" operator="equal">
      <formula>"Napkin Hs"</formula>
    </cfRule>
  </conditionalFormatting>
  <conditionalFormatting sqref="C84">
    <cfRule type="cellIs" dxfId="19381" priority="8831" stopIfTrue="1" operator="equal">
      <formula>"Towel"</formula>
    </cfRule>
    <cfRule type="cellIs" dxfId="19380" priority="8832" stopIfTrue="1" operator="equal">
      <formula>"Napkin Hs"</formula>
    </cfRule>
  </conditionalFormatting>
  <conditionalFormatting sqref="C84">
    <cfRule type="cellIs" dxfId="19379" priority="8833" stopIfTrue="1" operator="equal">
      <formula>"Towel"</formula>
    </cfRule>
    <cfRule type="cellIs" dxfId="19378" priority="8834" stopIfTrue="1" operator="equal">
      <formula>"Napkin Hs"</formula>
    </cfRule>
  </conditionalFormatting>
  <conditionalFormatting sqref="B86">
    <cfRule type="cellIs" dxfId="19377" priority="8883" stopIfTrue="1" operator="equal">
      <formula>"Towel"</formula>
    </cfRule>
    <cfRule type="cellIs" dxfId="19376" priority="8884" stopIfTrue="1" operator="equal">
      <formula>"Napkin Hs"</formula>
    </cfRule>
  </conditionalFormatting>
  <conditionalFormatting sqref="C86">
    <cfRule type="cellIs" dxfId="19375" priority="8879" stopIfTrue="1" operator="equal">
      <formula>"Towel"</formula>
    </cfRule>
    <cfRule type="cellIs" dxfId="19374" priority="8880" stopIfTrue="1" operator="equal">
      <formula>"Napkin Hs"</formula>
    </cfRule>
  </conditionalFormatting>
  <conditionalFormatting sqref="C86">
    <cfRule type="cellIs" dxfId="19373" priority="8873" stopIfTrue="1" operator="equal">
      <formula>"Towel"</formula>
    </cfRule>
    <cfRule type="cellIs" dxfId="19372" priority="8874" stopIfTrue="1" operator="equal">
      <formula>"Napkin Hs"</formula>
    </cfRule>
  </conditionalFormatting>
  <conditionalFormatting sqref="C86">
    <cfRule type="cellIs" dxfId="19371" priority="8877" stopIfTrue="1" operator="equal">
      <formula>"Towel"</formula>
    </cfRule>
    <cfRule type="cellIs" dxfId="19370" priority="8878" stopIfTrue="1" operator="equal">
      <formula>"Napkin Hs"</formula>
    </cfRule>
  </conditionalFormatting>
  <conditionalFormatting sqref="B86:C86">
    <cfRule type="cellIs" dxfId="19369" priority="8875" stopIfTrue="1" operator="equal">
      <formula>"Towel"</formula>
    </cfRule>
    <cfRule type="cellIs" dxfId="19368" priority="8876" stopIfTrue="1" operator="equal">
      <formula>"Napkin Hs"</formula>
    </cfRule>
  </conditionalFormatting>
  <conditionalFormatting sqref="C86">
    <cfRule type="cellIs" dxfId="19367" priority="8867" stopIfTrue="1" operator="equal">
      <formula>"Towel"</formula>
    </cfRule>
    <cfRule type="cellIs" dxfId="19366" priority="8868" stopIfTrue="1" operator="equal">
      <formula>"Napkin Hs"</formula>
    </cfRule>
  </conditionalFormatting>
  <conditionalFormatting sqref="C86">
    <cfRule type="cellIs" dxfId="19365" priority="8869" stopIfTrue="1" operator="equal">
      <formula>"Towel"</formula>
    </cfRule>
    <cfRule type="cellIs" dxfId="19364" priority="8870" stopIfTrue="1" operator="equal">
      <formula>"Napkin Hs"</formula>
    </cfRule>
  </conditionalFormatting>
  <conditionalFormatting sqref="C86">
    <cfRule type="cellIs" dxfId="19363" priority="8871" stopIfTrue="1" operator="equal">
      <formula>"Towel"</formula>
    </cfRule>
    <cfRule type="cellIs" dxfId="19362" priority="8872" stopIfTrue="1" operator="equal">
      <formula>"Napkin Hs"</formula>
    </cfRule>
  </conditionalFormatting>
  <conditionalFormatting sqref="C86">
    <cfRule type="cellIs" dxfId="19361" priority="8861" stopIfTrue="1" operator="equal">
      <formula>"Towel"</formula>
    </cfRule>
    <cfRule type="cellIs" dxfId="19360" priority="8862" stopIfTrue="1" operator="equal">
      <formula>"Napkin Hs"</formula>
    </cfRule>
  </conditionalFormatting>
  <conditionalFormatting sqref="B86:C86">
    <cfRule type="cellIs" dxfId="19359" priority="8865" stopIfTrue="1" operator="equal">
      <formula>"Towel"</formula>
    </cfRule>
    <cfRule type="cellIs" dxfId="19358" priority="8866" stopIfTrue="1" operator="equal">
      <formula>"Napkin Hs"</formula>
    </cfRule>
  </conditionalFormatting>
  <conditionalFormatting sqref="C86">
    <cfRule type="cellIs" dxfId="19357" priority="8863" stopIfTrue="1" operator="equal">
      <formula>"Towel"</formula>
    </cfRule>
    <cfRule type="cellIs" dxfId="19356" priority="8864" stopIfTrue="1" operator="equal">
      <formula>"Napkin Hs"</formula>
    </cfRule>
  </conditionalFormatting>
  <conditionalFormatting sqref="B86:C86">
    <cfRule type="cellIs" dxfId="19355" priority="8855" stopIfTrue="1" operator="equal">
      <formula>"Towel"</formula>
    </cfRule>
    <cfRule type="cellIs" dxfId="19354" priority="8856" stopIfTrue="1" operator="equal">
      <formula>"Napkin Hs"</formula>
    </cfRule>
  </conditionalFormatting>
  <conditionalFormatting sqref="C86">
    <cfRule type="cellIs" dxfId="19353" priority="8857" stopIfTrue="1" operator="equal">
      <formula>"Towel"</formula>
    </cfRule>
    <cfRule type="cellIs" dxfId="19352" priority="8858" stopIfTrue="1" operator="equal">
      <formula>"Napkin Hs"</formula>
    </cfRule>
  </conditionalFormatting>
  <conditionalFormatting sqref="B86:C86">
    <cfRule type="cellIs" dxfId="19351" priority="8859" stopIfTrue="1" operator="equal">
      <formula>"Towel"</formula>
    </cfRule>
    <cfRule type="cellIs" dxfId="19350" priority="8860" stopIfTrue="1" operator="equal">
      <formula>"Napkin Hs"</formula>
    </cfRule>
  </conditionalFormatting>
  <conditionalFormatting sqref="C86">
    <cfRule type="cellIs" dxfId="19349" priority="8853" stopIfTrue="1" operator="equal">
      <formula>"Towel"</formula>
    </cfRule>
    <cfRule type="cellIs" dxfId="19348" priority="8854" stopIfTrue="1" operator="equal">
      <formula>"Napkin Hs"</formula>
    </cfRule>
  </conditionalFormatting>
  <conditionalFormatting sqref="C86">
    <cfRule type="cellIs" dxfId="19347" priority="8849" stopIfTrue="1" operator="equal">
      <formula>"Towel"</formula>
    </cfRule>
    <cfRule type="cellIs" dxfId="19346" priority="8850" stopIfTrue="1" operator="equal">
      <formula>"Napkin Hs"</formula>
    </cfRule>
  </conditionalFormatting>
  <conditionalFormatting sqref="B86:C86">
    <cfRule type="cellIs" dxfId="19345" priority="8851" stopIfTrue="1" operator="equal">
      <formula>"Towel"</formula>
    </cfRule>
    <cfRule type="cellIs" dxfId="19344" priority="8852" stopIfTrue="1" operator="equal">
      <formula>"Napkin Hs"</formula>
    </cfRule>
  </conditionalFormatting>
  <conditionalFormatting sqref="C86">
    <cfRule type="cellIs" dxfId="19343" priority="8847" stopIfTrue="1" operator="equal">
      <formula>"Towel"</formula>
    </cfRule>
    <cfRule type="cellIs" dxfId="19342" priority="8848" stopIfTrue="1" operator="equal">
      <formula>"Napkin Hs"</formula>
    </cfRule>
  </conditionalFormatting>
  <conditionalFormatting sqref="C86">
    <cfRule type="cellIs" dxfId="19341" priority="8845" stopIfTrue="1" operator="equal">
      <formula>"Towel"</formula>
    </cfRule>
    <cfRule type="cellIs" dxfId="19340" priority="8846" stopIfTrue="1" operator="equal">
      <formula>"Napkin Hs"</formula>
    </cfRule>
  </conditionalFormatting>
  <conditionalFormatting sqref="B86:C86">
    <cfRule type="cellIs" dxfId="19339" priority="8843" stopIfTrue="1" operator="equal">
      <formula>"Towel"</formula>
    </cfRule>
    <cfRule type="cellIs" dxfId="19338" priority="8844" stopIfTrue="1" operator="equal">
      <formula>"Napkin Hs"</formula>
    </cfRule>
  </conditionalFormatting>
  <conditionalFormatting sqref="C84">
    <cfRule type="cellIs" dxfId="19337" priority="8827" stopIfTrue="1" operator="equal">
      <formula>"Towel"</formula>
    </cfRule>
    <cfRule type="cellIs" dxfId="19336" priority="8828" stopIfTrue="1" operator="equal">
      <formula>"Napkin Hs"</formula>
    </cfRule>
  </conditionalFormatting>
  <conditionalFormatting sqref="B84:C84">
    <cfRule type="cellIs" dxfId="19335" priority="8829" stopIfTrue="1" operator="equal">
      <formula>"Towel"</formula>
    </cfRule>
    <cfRule type="cellIs" dxfId="19334" priority="8830" stopIfTrue="1" operator="equal">
      <formula>"Napkin Hs"</formula>
    </cfRule>
  </conditionalFormatting>
  <conditionalFormatting sqref="C84">
    <cfRule type="cellIs" dxfId="19333" priority="8825" stopIfTrue="1" operator="equal">
      <formula>"Towel"</formula>
    </cfRule>
    <cfRule type="cellIs" dxfId="19332" priority="8826" stopIfTrue="1" operator="equal">
      <formula>"Napkin Hs"</formula>
    </cfRule>
  </conditionalFormatting>
  <conditionalFormatting sqref="B84:C84">
    <cfRule type="cellIs" dxfId="19331" priority="8823" stopIfTrue="1" operator="equal">
      <formula>"Towel"</formula>
    </cfRule>
    <cfRule type="cellIs" dxfId="19330" priority="8824" stopIfTrue="1" operator="equal">
      <formula>"Napkin Hs"</formula>
    </cfRule>
  </conditionalFormatting>
  <conditionalFormatting sqref="B84:C84">
    <cfRule type="cellIs" dxfId="19329" priority="8821" stopIfTrue="1" operator="equal">
      <formula>"Towel"</formula>
    </cfRule>
    <cfRule type="cellIs" dxfId="19328" priority="8822" stopIfTrue="1" operator="equal">
      <formula>"Napkin Hs"</formula>
    </cfRule>
  </conditionalFormatting>
  <conditionalFormatting sqref="C84">
    <cfRule type="cellIs" dxfId="19327" priority="8815" stopIfTrue="1" operator="equal">
      <formula>"Towel"</formula>
    </cfRule>
    <cfRule type="cellIs" dxfId="19326" priority="8816" stopIfTrue="1" operator="equal">
      <formula>"Napkin Hs"</formula>
    </cfRule>
  </conditionalFormatting>
  <conditionalFormatting sqref="C84">
    <cfRule type="cellIs" dxfId="19325" priority="8817" stopIfTrue="1" operator="equal">
      <formula>"Towel"</formula>
    </cfRule>
    <cfRule type="cellIs" dxfId="19324" priority="8818" stopIfTrue="1" operator="equal">
      <formula>"Napkin Hs"</formula>
    </cfRule>
  </conditionalFormatting>
  <conditionalFormatting sqref="C84">
    <cfRule type="cellIs" dxfId="19323" priority="8813" stopIfTrue="1" operator="equal">
      <formula>"Towel"</formula>
    </cfRule>
    <cfRule type="cellIs" dxfId="19322" priority="8814" stopIfTrue="1" operator="equal">
      <formula>"Napkin Hs"</formula>
    </cfRule>
  </conditionalFormatting>
  <conditionalFormatting sqref="C84">
    <cfRule type="cellIs" dxfId="19321" priority="8811" stopIfTrue="1" operator="equal">
      <formula>"Towel"</formula>
    </cfRule>
    <cfRule type="cellIs" dxfId="19320" priority="8812" stopIfTrue="1" operator="equal">
      <formula>"Napkin Hs"</formula>
    </cfRule>
  </conditionalFormatting>
  <conditionalFormatting sqref="C84">
    <cfRule type="cellIs" dxfId="19319" priority="8807" stopIfTrue="1" operator="equal">
      <formula>"Towel"</formula>
    </cfRule>
    <cfRule type="cellIs" dxfId="19318" priority="8808" stopIfTrue="1" operator="equal">
      <formula>"Napkin Hs"</formula>
    </cfRule>
  </conditionalFormatting>
  <conditionalFormatting sqref="C84">
    <cfRule type="cellIs" dxfId="19317" priority="8809" stopIfTrue="1" operator="equal">
      <formula>"Towel"</formula>
    </cfRule>
    <cfRule type="cellIs" dxfId="19316" priority="8810" stopIfTrue="1" operator="equal">
      <formula>"Napkin Hs"</formula>
    </cfRule>
  </conditionalFormatting>
  <conditionalFormatting sqref="C84">
    <cfRule type="cellIs" dxfId="19315" priority="8805" stopIfTrue="1" operator="equal">
      <formula>"Towel"</formula>
    </cfRule>
    <cfRule type="cellIs" dxfId="19314" priority="8806" stopIfTrue="1" operator="equal">
      <formula>"Napkin Hs"</formula>
    </cfRule>
  </conditionalFormatting>
  <conditionalFormatting sqref="C84">
    <cfRule type="cellIs" dxfId="19313" priority="8789" stopIfTrue="1" operator="equal">
      <formula>"Towel"</formula>
    </cfRule>
    <cfRule type="cellIs" dxfId="19312" priority="8790" stopIfTrue="1" operator="equal">
      <formula>"Napkin Hs"</formula>
    </cfRule>
  </conditionalFormatting>
  <conditionalFormatting sqref="B84">
    <cfRule type="cellIs" dxfId="19311" priority="8787" stopIfTrue="1" operator="equal">
      <formula>"Towel"</formula>
    </cfRule>
    <cfRule type="cellIs" dxfId="19310" priority="8788" stopIfTrue="1" operator="equal">
      <formula>"Napkin Hs"</formula>
    </cfRule>
  </conditionalFormatting>
  <conditionalFormatting sqref="B84">
    <cfRule type="cellIs" dxfId="19309" priority="8803" stopIfTrue="1" operator="equal">
      <formula>"Towel"</formula>
    </cfRule>
    <cfRule type="cellIs" dxfId="19308" priority="8804" stopIfTrue="1" operator="equal">
      <formula>"Napkin Hs"</formula>
    </cfRule>
  </conditionalFormatting>
  <conditionalFormatting sqref="C84">
    <cfRule type="cellIs" dxfId="19307" priority="8799" stopIfTrue="1" operator="equal">
      <formula>"Towel"</formula>
    </cfRule>
    <cfRule type="cellIs" dxfId="19306" priority="8800" stopIfTrue="1" operator="equal">
      <formula>"Napkin Hs"</formula>
    </cfRule>
  </conditionalFormatting>
  <conditionalFormatting sqref="B84">
    <cfRule type="cellIs" dxfId="19305" priority="8801" stopIfTrue="1" operator="equal">
      <formula>"Towel"</formula>
    </cfRule>
    <cfRule type="cellIs" dxfId="19304" priority="8802" stopIfTrue="1" operator="equal">
      <formula>"Napkin Hs"</formula>
    </cfRule>
  </conditionalFormatting>
  <conditionalFormatting sqref="C84">
    <cfRule type="cellIs" dxfId="19303" priority="8795" stopIfTrue="1" operator="equal">
      <formula>"Towel"</formula>
    </cfRule>
    <cfRule type="cellIs" dxfId="19302" priority="8796" stopIfTrue="1" operator="equal">
      <formula>"Napkin Hs"</formula>
    </cfRule>
  </conditionalFormatting>
  <conditionalFormatting sqref="C84">
    <cfRule type="cellIs" dxfId="19301" priority="8797" stopIfTrue="1" operator="equal">
      <formula>"Towel"</formula>
    </cfRule>
    <cfRule type="cellIs" dxfId="19300" priority="8798" stopIfTrue="1" operator="equal">
      <formula>"Napkin Hs"</formula>
    </cfRule>
  </conditionalFormatting>
  <conditionalFormatting sqref="C84">
    <cfRule type="cellIs" dxfId="19299" priority="8793" stopIfTrue="1" operator="equal">
      <formula>"Towel"</formula>
    </cfRule>
    <cfRule type="cellIs" dxfId="19298" priority="8794" stopIfTrue="1" operator="equal">
      <formula>"Napkin Hs"</formula>
    </cfRule>
  </conditionalFormatting>
  <conditionalFormatting sqref="C84">
    <cfRule type="cellIs" dxfId="19297" priority="8791" stopIfTrue="1" operator="equal">
      <formula>"Towel"</formula>
    </cfRule>
    <cfRule type="cellIs" dxfId="19296" priority="8792" stopIfTrue="1" operator="equal">
      <formula>"Napkin Hs"</formula>
    </cfRule>
  </conditionalFormatting>
  <conditionalFormatting sqref="B84">
    <cfRule type="cellIs" dxfId="19295" priority="8785" stopIfTrue="1" operator="equal">
      <formula>"Towel"</formula>
    </cfRule>
    <cfRule type="cellIs" dxfId="19294" priority="8786" stopIfTrue="1" operator="equal">
      <formula>"Napkin Hs"</formula>
    </cfRule>
  </conditionalFormatting>
  <conditionalFormatting sqref="B84:C84">
    <cfRule type="cellIs" dxfId="19293" priority="8783" stopIfTrue="1" operator="equal">
      <formula>"Towel"</formula>
    </cfRule>
    <cfRule type="cellIs" dxfId="19292" priority="8784" stopIfTrue="1" operator="equal">
      <formula>"Napkin Hs"</formula>
    </cfRule>
  </conditionalFormatting>
  <conditionalFormatting sqref="C84">
    <cfRule type="cellIs" dxfId="19291" priority="8781" stopIfTrue="1" operator="equal">
      <formula>"Towel"</formula>
    </cfRule>
    <cfRule type="cellIs" dxfId="19290" priority="8782" stopIfTrue="1" operator="equal">
      <formula>"Napkin Hs"</formula>
    </cfRule>
  </conditionalFormatting>
  <conditionalFormatting sqref="C84">
    <cfRule type="cellIs" dxfId="19289" priority="8779" stopIfTrue="1" operator="equal">
      <formula>"Towel"</formula>
    </cfRule>
    <cfRule type="cellIs" dxfId="19288" priority="8780" stopIfTrue="1" operator="equal">
      <formula>"Napkin Hs"</formula>
    </cfRule>
  </conditionalFormatting>
  <conditionalFormatting sqref="B86:C86">
    <cfRule type="cellIs" dxfId="19287" priority="8919" stopIfTrue="1" operator="equal">
      <formula>"Towel"</formula>
    </cfRule>
    <cfRule type="cellIs" dxfId="19286" priority="8920" stopIfTrue="1" operator="equal">
      <formula>"Napkin Hs"</formula>
    </cfRule>
  </conditionalFormatting>
  <conditionalFormatting sqref="C86">
    <cfRule type="cellIs" dxfId="19285" priority="8915" stopIfTrue="1" operator="equal">
      <formula>"Towel"</formula>
    </cfRule>
    <cfRule type="cellIs" dxfId="19284" priority="8916" stopIfTrue="1" operator="equal">
      <formula>"Napkin Hs"</formula>
    </cfRule>
  </conditionalFormatting>
  <conditionalFormatting sqref="C86">
    <cfRule type="cellIs" dxfId="19283" priority="8918" stopIfTrue="1" operator="equal">
      <formula>"Napkin Hs"</formula>
    </cfRule>
  </conditionalFormatting>
  <conditionalFormatting sqref="C86">
    <cfRule type="cellIs" dxfId="19282" priority="8917" stopIfTrue="1" operator="equal">
      <formula>"Towel"</formula>
    </cfRule>
  </conditionalFormatting>
  <conditionalFormatting sqref="C86">
    <cfRule type="cellIs" dxfId="19281" priority="8909" stopIfTrue="1" operator="equal">
      <formula>"Towel"</formula>
    </cfRule>
    <cfRule type="cellIs" dxfId="19280" priority="8910" stopIfTrue="1" operator="equal">
      <formula>"Napkin Hs"</formula>
    </cfRule>
  </conditionalFormatting>
  <conditionalFormatting sqref="C86">
    <cfRule type="cellIs" dxfId="19279" priority="8913" stopIfTrue="1" operator="equal">
      <formula>"Towel"</formula>
    </cfRule>
    <cfRule type="cellIs" dxfId="19278" priority="8914" stopIfTrue="1" operator="equal">
      <formula>"Napkin Hs"</formula>
    </cfRule>
  </conditionalFormatting>
  <conditionalFormatting sqref="B86">
    <cfRule type="cellIs" dxfId="19277" priority="8899" stopIfTrue="1" operator="equal">
      <formula>"Towel"</formula>
    </cfRule>
    <cfRule type="cellIs" dxfId="19276" priority="8900" stopIfTrue="1" operator="equal">
      <formula>"Napkin Hs"</formula>
    </cfRule>
  </conditionalFormatting>
  <conditionalFormatting sqref="C86">
    <cfRule type="cellIs" dxfId="19275" priority="8911" stopIfTrue="1" operator="equal">
      <formula>"Towel"</formula>
    </cfRule>
    <cfRule type="cellIs" dxfId="19274" priority="8912" stopIfTrue="1" operator="equal">
      <formula>"Napkin Hs"</formula>
    </cfRule>
  </conditionalFormatting>
  <conditionalFormatting sqref="C86">
    <cfRule type="cellIs" dxfId="19273" priority="8903" stopIfTrue="1" operator="equal">
      <formula>"Towel"</formula>
    </cfRule>
    <cfRule type="cellIs" dxfId="19272" priority="8904" stopIfTrue="1" operator="equal">
      <formula>"Napkin Hs"</formula>
    </cfRule>
  </conditionalFormatting>
  <conditionalFormatting sqref="C86">
    <cfRule type="cellIs" dxfId="19271" priority="8905" stopIfTrue="1" operator="equal">
      <formula>"Towel"</formula>
    </cfRule>
    <cfRule type="cellIs" dxfId="19270" priority="8906" stopIfTrue="1" operator="equal">
      <formula>"Napkin Hs"</formula>
    </cfRule>
  </conditionalFormatting>
  <conditionalFormatting sqref="C86">
    <cfRule type="cellIs" dxfId="19269" priority="8907" stopIfTrue="1" operator="equal">
      <formula>"Towel"</formula>
    </cfRule>
    <cfRule type="cellIs" dxfId="19268" priority="8908" stopIfTrue="1" operator="equal">
      <formula>"Napkin Hs"</formula>
    </cfRule>
  </conditionalFormatting>
  <conditionalFormatting sqref="B86">
    <cfRule type="cellIs" dxfId="19267" priority="8901" stopIfTrue="1" operator="equal">
      <formula>"Towel"</formula>
    </cfRule>
    <cfRule type="cellIs" dxfId="19266" priority="8902" stopIfTrue="1" operator="equal">
      <formula>"Napkin Hs"</formula>
    </cfRule>
  </conditionalFormatting>
  <conditionalFormatting sqref="C86">
    <cfRule type="cellIs" dxfId="19265" priority="8897" stopIfTrue="1" operator="equal">
      <formula>"Towel"</formula>
    </cfRule>
    <cfRule type="cellIs" dxfId="19264" priority="8898" stopIfTrue="1" operator="equal">
      <formula>"Napkin Hs"</formula>
    </cfRule>
  </conditionalFormatting>
  <conditionalFormatting sqref="B86:C86">
    <cfRule type="cellIs" dxfId="19263" priority="8881" stopIfTrue="1" operator="equal">
      <formula>"Towel"</formula>
    </cfRule>
    <cfRule type="cellIs" dxfId="19262" priority="8882" stopIfTrue="1" operator="equal">
      <formula>"Napkin Hs"</formula>
    </cfRule>
  </conditionalFormatting>
  <conditionalFormatting sqref="C84">
    <cfRule type="cellIs" dxfId="19261" priority="8769" stopIfTrue="1" operator="equal">
      <formula>"Towel"</formula>
    </cfRule>
    <cfRule type="cellIs" dxfId="19260" priority="8770" stopIfTrue="1" operator="equal">
      <formula>"Napkin Hs"</formula>
    </cfRule>
  </conditionalFormatting>
  <conditionalFormatting sqref="C84">
    <cfRule type="cellIs" dxfId="19259" priority="8771" stopIfTrue="1" operator="equal">
      <formula>"Towel"</formula>
    </cfRule>
    <cfRule type="cellIs" dxfId="19258" priority="8772" stopIfTrue="1" operator="equal">
      <formula>"Napkin Hs"</formula>
    </cfRule>
  </conditionalFormatting>
  <conditionalFormatting sqref="B84:C84">
    <cfRule type="cellIs" dxfId="19257" priority="8767" stopIfTrue="1" operator="equal">
      <formula>"Towel"</formula>
    </cfRule>
    <cfRule type="cellIs" dxfId="19256" priority="8768" stopIfTrue="1" operator="equal">
      <formula>"Napkin Hs"</formula>
    </cfRule>
  </conditionalFormatting>
  <conditionalFormatting sqref="C84">
    <cfRule type="cellIs" dxfId="19255" priority="8765" stopIfTrue="1" operator="equal">
      <formula>"Towel"</formula>
    </cfRule>
    <cfRule type="cellIs" dxfId="19254" priority="8766" stopIfTrue="1" operator="equal">
      <formula>"Napkin Hs"</formula>
    </cfRule>
  </conditionalFormatting>
  <conditionalFormatting sqref="B84:C84">
    <cfRule type="cellIs" dxfId="19253" priority="8761" stopIfTrue="1" operator="equal">
      <formula>"Towel"</formula>
    </cfRule>
    <cfRule type="cellIs" dxfId="19252" priority="8762" stopIfTrue="1" operator="equal">
      <formula>"Napkin Hs"</formula>
    </cfRule>
  </conditionalFormatting>
  <conditionalFormatting sqref="C84">
    <cfRule type="cellIs" dxfId="19251" priority="8763" stopIfTrue="1" operator="equal">
      <formula>"Towel"</formula>
    </cfRule>
    <cfRule type="cellIs" dxfId="19250" priority="8764" stopIfTrue="1" operator="equal">
      <formula>"Napkin Hs"</formula>
    </cfRule>
  </conditionalFormatting>
  <conditionalFormatting sqref="C84">
    <cfRule type="cellIs" dxfId="19249" priority="8820" stopIfTrue="1" operator="equal">
      <formula>"Napkin Hs"</formula>
    </cfRule>
  </conditionalFormatting>
  <conditionalFormatting sqref="C84">
    <cfRule type="cellIs" dxfId="19248" priority="8819" stopIfTrue="1" operator="equal">
      <formula>"Towel"</formula>
    </cfRule>
  </conditionalFormatting>
  <conditionalFormatting sqref="B84:C84">
    <cfRule type="cellIs" dxfId="19247" priority="8777" stopIfTrue="1" operator="equal">
      <formula>"Towel"</formula>
    </cfRule>
    <cfRule type="cellIs" dxfId="19246" priority="8778" stopIfTrue="1" operator="equal">
      <formula>"Napkin Hs"</formula>
    </cfRule>
  </conditionalFormatting>
  <conditionalFormatting sqref="C84">
    <cfRule type="cellIs" dxfId="19245" priority="8775" stopIfTrue="1" operator="equal">
      <formula>"Towel"</formula>
    </cfRule>
    <cfRule type="cellIs" dxfId="19244" priority="8776" stopIfTrue="1" operator="equal">
      <formula>"Napkin Hs"</formula>
    </cfRule>
  </conditionalFormatting>
  <conditionalFormatting sqref="C84">
    <cfRule type="cellIs" dxfId="19243" priority="8773" stopIfTrue="1" operator="equal">
      <formula>"Towel"</formula>
    </cfRule>
    <cfRule type="cellIs" dxfId="19242" priority="8774" stopIfTrue="1" operator="equal">
      <formula>"Napkin Hs"</formula>
    </cfRule>
  </conditionalFormatting>
  <conditionalFormatting sqref="B84:C84">
    <cfRule type="cellIs" dxfId="19241" priority="8757" stopIfTrue="1" operator="equal">
      <formula>"Towel"</formula>
    </cfRule>
    <cfRule type="cellIs" dxfId="19240" priority="8758" stopIfTrue="1" operator="equal">
      <formula>"Napkin Hs"</formula>
    </cfRule>
  </conditionalFormatting>
  <conditionalFormatting sqref="C84">
    <cfRule type="cellIs" dxfId="19239" priority="8759" stopIfTrue="1" operator="equal">
      <formula>"Towel"</formula>
    </cfRule>
    <cfRule type="cellIs" dxfId="19238" priority="8760" stopIfTrue="1" operator="equal">
      <formula>"Napkin Hs"</formula>
    </cfRule>
  </conditionalFormatting>
  <conditionalFormatting sqref="C84">
    <cfRule type="cellIs" dxfId="19237" priority="8755" stopIfTrue="1" operator="equal">
      <formula>"Towel"</formula>
    </cfRule>
    <cfRule type="cellIs" dxfId="19236" priority="8756" stopIfTrue="1" operator="equal">
      <formula>"Napkin Hs"</formula>
    </cfRule>
  </conditionalFormatting>
  <conditionalFormatting sqref="B84:C84">
    <cfRule type="cellIs" dxfId="19235" priority="8753" stopIfTrue="1" operator="equal">
      <formula>"Towel"</formula>
    </cfRule>
    <cfRule type="cellIs" dxfId="19234" priority="8754" stopIfTrue="1" operator="equal">
      <formula>"Napkin Hs"</formula>
    </cfRule>
  </conditionalFormatting>
  <conditionalFormatting sqref="C84">
    <cfRule type="cellIs" dxfId="19233" priority="8749" stopIfTrue="1" operator="equal">
      <formula>"Towel"</formula>
    </cfRule>
    <cfRule type="cellIs" dxfId="19232" priority="8750" stopIfTrue="1" operator="equal">
      <formula>"Napkin Hs"</formula>
    </cfRule>
  </conditionalFormatting>
  <conditionalFormatting sqref="C84">
    <cfRule type="cellIs" dxfId="19231" priority="8751" stopIfTrue="1" operator="equal">
      <formula>"Towel"</formula>
    </cfRule>
    <cfRule type="cellIs" dxfId="19230" priority="8752" stopIfTrue="1" operator="equal">
      <formula>"Napkin Hs"</formula>
    </cfRule>
  </conditionalFormatting>
  <conditionalFormatting sqref="B84:C84">
    <cfRule type="cellIs" dxfId="19229" priority="8745" stopIfTrue="1" operator="equal">
      <formula>"Towel"</formula>
    </cfRule>
    <cfRule type="cellIs" dxfId="19228" priority="8746" stopIfTrue="1" operator="equal">
      <formula>"Napkin Hs"</formula>
    </cfRule>
  </conditionalFormatting>
  <conditionalFormatting sqref="C84">
    <cfRule type="cellIs" dxfId="19227" priority="8747" stopIfTrue="1" operator="equal">
      <formula>"Towel"</formula>
    </cfRule>
    <cfRule type="cellIs" dxfId="19226" priority="8748" stopIfTrue="1" operator="equal">
      <formula>"Napkin Hs"</formula>
    </cfRule>
  </conditionalFormatting>
  <conditionalFormatting sqref="C84">
    <cfRule type="cellIs" dxfId="19225" priority="8743" stopIfTrue="1" operator="equal">
      <formula>"Towel"</formula>
    </cfRule>
    <cfRule type="cellIs" dxfId="19224" priority="8744" stopIfTrue="1" operator="equal">
      <formula>"Napkin Hs"</formula>
    </cfRule>
  </conditionalFormatting>
  <conditionalFormatting sqref="B84:C84">
    <cfRule type="cellIs" dxfId="19223" priority="8741" stopIfTrue="1" operator="equal">
      <formula>"Towel"</formula>
    </cfRule>
    <cfRule type="cellIs" dxfId="19222" priority="8742" stopIfTrue="1" operator="equal">
      <formula>"Napkin Hs"</formula>
    </cfRule>
  </conditionalFormatting>
  <conditionalFormatting sqref="C84">
    <cfRule type="cellIs" dxfId="19221" priority="8737" stopIfTrue="1" operator="equal">
      <formula>"Towel"</formula>
    </cfRule>
    <cfRule type="cellIs" dxfId="19220" priority="8738" stopIfTrue="1" operator="equal">
      <formula>"Napkin Hs"</formula>
    </cfRule>
  </conditionalFormatting>
  <conditionalFormatting sqref="C84">
    <cfRule type="cellIs" dxfId="19219" priority="8739" stopIfTrue="1" operator="equal">
      <formula>"Towel"</formula>
    </cfRule>
    <cfRule type="cellIs" dxfId="19218" priority="8740" stopIfTrue="1" operator="equal">
      <formula>"Napkin Hs"</formula>
    </cfRule>
  </conditionalFormatting>
  <conditionalFormatting sqref="C85">
    <cfRule type="cellIs" dxfId="19217" priority="8729" stopIfTrue="1" operator="equal">
      <formula>"Towel"</formula>
    </cfRule>
    <cfRule type="cellIs" dxfId="19216" priority="8730" stopIfTrue="1" operator="equal">
      <formula>"Napkin Hs"</formula>
    </cfRule>
  </conditionalFormatting>
  <conditionalFormatting sqref="C85">
    <cfRule type="cellIs" dxfId="19215" priority="8731" stopIfTrue="1" operator="equal">
      <formula>"Towel"</formula>
    </cfRule>
    <cfRule type="cellIs" dxfId="19214" priority="8732" stopIfTrue="1" operator="equal">
      <formula>"Napkin Hs"</formula>
    </cfRule>
  </conditionalFormatting>
  <conditionalFormatting sqref="C85">
    <cfRule type="cellIs" dxfId="19213" priority="8727" stopIfTrue="1" operator="equal">
      <formula>"Towel"</formula>
    </cfRule>
    <cfRule type="cellIs" dxfId="19212" priority="8728" stopIfTrue="1" operator="equal">
      <formula>"Napkin Hs"</formula>
    </cfRule>
  </conditionalFormatting>
  <conditionalFormatting sqref="C85">
    <cfRule type="cellIs" dxfId="19211" priority="8725" stopIfTrue="1" operator="equal">
      <formula>"Towel"</formula>
    </cfRule>
    <cfRule type="cellIs" dxfId="19210" priority="8726" stopIfTrue="1" operator="equal">
      <formula>"Napkin Hs"</formula>
    </cfRule>
  </conditionalFormatting>
  <conditionalFormatting sqref="C85">
    <cfRule type="cellIs" dxfId="19209" priority="8733" stopIfTrue="1" operator="equal">
      <formula>"Towel"</formula>
    </cfRule>
    <cfRule type="cellIs" dxfId="19208" priority="8734" stopIfTrue="1" operator="equal">
      <formula>"Napkin Hs"</formula>
    </cfRule>
  </conditionalFormatting>
  <conditionalFormatting sqref="C85">
    <cfRule type="cellIs" dxfId="19207" priority="8735" stopIfTrue="1" operator="equal">
      <formula>"Towel"</formula>
    </cfRule>
    <cfRule type="cellIs" dxfId="19206" priority="8736" stopIfTrue="1" operator="equal">
      <formula>"Napkin Hs"</formula>
    </cfRule>
  </conditionalFormatting>
  <conditionalFormatting sqref="C85">
    <cfRule type="cellIs" dxfId="19205" priority="8721" stopIfTrue="1" operator="equal">
      <formula>"Towel"</formula>
    </cfRule>
    <cfRule type="cellIs" dxfId="19204" priority="8722" stopIfTrue="1" operator="equal">
      <formula>"Napkin Hs"</formula>
    </cfRule>
  </conditionalFormatting>
  <conditionalFormatting sqref="C85">
    <cfRule type="cellIs" dxfId="19203" priority="8723" stopIfTrue="1" operator="equal">
      <formula>"Towel"</formula>
    </cfRule>
    <cfRule type="cellIs" dxfId="19202" priority="8724" stopIfTrue="1" operator="equal">
      <formula>"Napkin Hs"</formula>
    </cfRule>
  </conditionalFormatting>
  <conditionalFormatting sqref="C85">
    <cfRule type="cellIs" dxfId="19201" priority="8719" stopIfTrue="1" operator="equal">
      <formula>"Towel"</formula>
    </cfRule>
    <cfRule type="cellIs" dxfId="19200" priority="8720" stopIfTrue="1" operator="equal">
      <formula>"Napkin Hs"</formula>
    </cfRule>
  </conditionalFormatting>
  <conditionalFormatting sqref="C85">
    <cfRule type="cellIs" dxfId="19199" priority="8713" stopIfTrue="1" operator="equal">
      <formula>"Towel"</formula>
    </cfRule>
    <cfRule type="cellIs" dxfId="19198" priority="8714" stopIfTrue="1" operator="equal">
      <formula>"Napkin Hs"</formula>
    </cfRule>
  </conditionalFormatting>
  <conditionalFormatting sqref="C85">
    <cfRule type="cellIs" dxfId="19197" priority="8715" stopIfTrue="1" operator="equal">
      <formula>"Towel"</formula>
    </cfRule>
    <cfRule type="cellIs" dxfId="19196" priority="8716" stopIfTrue="1" operator="equal">
      <formula>"Napkin Hs"</formula>
    </cfRule>
  </conditionalFormatting>
  <conditionalFormatting sqref="C85">
    <cfRule type="cellIs" dxfId="19195" priority="8717" stopIfTrue="1" operator="equal">
      <formula>"Towel"</formula>
    </cfRule>
    <cfRule type="cellIs" dxfId="19194" priority="8718" stopIfTrue="1" operator="equal">
      <formula>"Napkin Hs"</formula>
    </cfRule>
  </conditionalFormatting>
  <conditionalFormatting sqref="C85">
    <cfRule type="cellIs" dxfId="19193" priority="8667" stopIfTrue="1" operator="equal">
      <formula>"Towel"</formula>
    </cfRule>
    <cfRule type="cellIs" dxfId="19192" priority="8668" stopIfTrue="1" operator="equal">
      <formula>"Napkin Hs"</formula>
    </cfRule>
  </conditionalFormatting>
  <conditionalFormatting sqref="C85">
    <cfRule type="cellIs" dxfId="19191" priority="8669" stopIfTrue="1" operator="equal">
      <formula>"Towel"</formula>
    </cfRule>
    <cfRule type="cellIs" dxfId="19190" priority="8670" stopIfTrue="1" operator="equal">
      <formula>"Napkin Hs"</formula>
    </cfRule>
  </conditionalFormatting>
  <conditionalFormatting sqref="C85">
    <cfRule type="cellIs" dxfId="19189" priority="8665" stopIfTrue="1" operator="equal">
      <formula>"Towel"</formula>
    </cfRule>
    <cfRule type="cellIs" dxfId="19188" priority="8666" stopIfTrue="1" operator="equal">
      <formula>"Napkin Hs"</formula>
    </cfRule>
  </conditionalFormatting>
  <conditionalFormatting sqref="C85">
    <cfRule type="cellIs" dxfId="19187" priority="8663" stopIfTrue="1" operator="equal">
      <formula>"Towel"</formula>
    </cfRule>
    <cfRule type="cellIs" dxfId="19186" priority="8664" stopIfTrue="1" operator="equal">
      <formula>"Napkin Hs"</formula>
    </cfRule>
  </conditionalFormatting>
  <conditionalFormatting sqref="C85">
    <cfRule type="cellIs" dxfId="19185" priority="8659" stopIfTrue="1" operator="equal">
      <formula>"Towel"</formula>
    </cfRule>
    <cfRule type="cellIs" dxfId="19184" priority="8660" stopIfTrue="1" operator="equal">
      <formula>"Napkin Hs"</formula>
    </cfRule>
  </conditionalFormatting>
  <conditionalFormatting sqref="C85">
    <cfRule type="cellIs" dxfId="19183" priority="8661" stopIfTrue="1" operator="equal">
      <formula>"Towel"</formula>
    </cfRule>
    <cfRule type="cellIs" dxfId="19182" priority="8662" stopIfTrue="1" operator="equal">
      <formula>"Napkin Hs"</formula>
    </cfRule>
  </conditionalFormatting>
  <conditionalFormatting sqref="C85">
    <cfRule type="cellIs" dxfId="19181" priority="8711" stopIfTrue="1" operator="equal">
      <formula>"Towel"</formula>
    </cfRule>
    <cfRule type="cellIs" dxfId="19180" priority="8712" stopIfTrue="1" operator="equal">
      <formula>"Napkin Hs"</formula>
    </cfRule>
  </conditionalFormatting>
  <conditionalFormatting sqref="C85">
    <cfRule type="cellIs" dxfId="19179" priority="8707" stopIfTrue="1" operator="equal">
      <formula>"Towel"</formula>
    </cfRule>
    <cfRule type="cellIs" dxfId="19178" priority="8708" stopIfTrue="1" operator="equal">
      <formula>"Napkin Hs"</formula>
    </cfRule>
  </conditionalFormatting>
  <conditionalFormatting sqref="C85">
    <cfRule type="cellIs" dxfId="19177" priority="8710" stopIfTrue="1" operator="equal">
      <formula>"Napkin Hs"</formula>
    </cfRule>
  </conditionalFormatting>
  <conditionalFormatting sqref="C85">
    <cfRule type="cellIs" dxfId="19176" priority="8709" stopIfTrue="1" operator="equal">
      <formula>"Towel"</formula>
    </cfRule>
  </conditionalFormatting>
  <conditionalFormatting sqref="C85">
    <cfRule type="cellIs" dxfId="19175" priority="8701" stopIfTrue="1" operator="equal">
      <formula>"Towel"</formula>
    </cfRule>
    <cfRule type="cellIs" dxfId="19174" priority="8702" stopIfTrue="1" operator="equal">
      <formula>"Napkin Hs"</formula>
    </cfRule>
  </conditionalFormatting>
  <conditionalFormatting sqref="C85">
    <cfRule type="cellIs" dxfId="19173" priority="8705" stopIfTrue="1" operator="equal">
      <formula>"Towel"</formula>
    </cfRule>
    <cfRule type="cellIs" dxfId="19172" priority="8706" stopIfTrue="1" operator="equal">
      <formula>"Napkin Hs"</formula>
    </cfRule>
  </conditionalFormatting>
  <conditionalFormatting sqref="C85">
    <cfRule type="cellIs" dxfId="19171" priority="8703" stopIfTrue="1" operator="equal">
      <formula>"Towel"</formula>
    </cfRule>
    <cfRule type="cellIs" dxfId="19170" priority="8704" stopIfTrue="1" operator="equal">
      <formula>"Napkin Hs"</formula>
    </cfRule>
  </conditionalFormatting>
  <conditionalFormatting sqref="C85">
    <cfRule type="cellIs" dxfId="19169" priority="8695" stopIfTrue="1" operator="equal">
      <formula>"Towel"</formula>
    </cfRule>
    <cfRule type="cellIs" dxfId="19168" priority="8696" stopIfTrue="1" operator="equal">
      <formula>"Napkin Hs"</formula>
    </cfRule>
  </conditionalFormatting>
  <conditionalFormatting sqref="C85">
    <cfRule type="cellIs" dxfId="19167" priority="8697" stopIfTrue="1" operator="equal">
      <formula>"Towel"</formula>
    </cfRule>
    <cfRule type="cellIs" dxfId="19166" priority="8698" stopIfTrue="1" operator="equal">
      <formula>"Napkin Hs"</formula>
    </cfRule>
  </conditionalFormatting>
  <conditionalFormatting sqref="C85">
    <cfRule type="cellIs" dxfId="19165" priority="8699" stopIfTrue="1" operator="equal">
      <formula>"Towel"</formula>
    </cfRule>
    <cfRule type="cellIs" dxfId="19164" priority="8700" stopIfTrue="1" operator="equal">
      <formula>"Napkin Hs"</formula>
    </cfRule>
  </conditionalFormatting>
  <conditionalFormatting sqref="C85">
    <cfRule type="cellIs" dxfId="19163" priority="8689" stopIfTrue="1" operator="equal">
      <formula>"Towel"</formula>
    </cfRule>
    <cfRule type="cellIs" dxfId="19162" priority="8690" stopIfTrue="1" operator="equal">
      <formula>"Napkin Hs"</formula>
    </cfRule>
  </conditionalFormatting>
  <conditionalFormatting sqref="C85">
    <cfRule type="cellIs" dxfId="19161" priority="8693" stopIfTrue="1" operator="equal">
      <formula>"Towel"</formula>
    </cfRule>
    <cfRule type="cellIs" dxfId="19160" priority="8694" stopIfTrue="1" operator="equal">
      <formula>"Napkin Hs"</formula>
    </cfRule>
  </conditionalFormatting>
  <conditionalFormatting sqref="C85">
    <cfRule type="cellIs" dxfId="19159" priority="8691" stopIfTrue="1" operator="equal">
      <formula>"Towel"</formula>
    </cfRule>
    <cfRule type="cellIs" dxfId="19158" priority="8692" stopIfTrue="1" operator="equal">
      <formula>"Napkin Hs"</formula>
    </cfRule>
  </conditionalFormatting>
  <conditionalFormatting sqref="C85">
    <cfRule type="cellIs" dxfId="19157" priority="8683" stopIfTrue="1" operator="equal">
      <formula>"Towel"</formula>
    </cfRule>
    <cfRule type="cellIs" dxfId="19156" priority="8684" stopIfTrue="1" operator="equal">
      <formula>"Napkin Hs"</formula>
    </cfRule>
  </conditionalFormatting>
  <conditionalFormatting sqref="C85">
    <cfRule type="cellIs" dxfId="19155" priority="8685" stopIfTrue="1" operator="equal">
      <formula>"Towel"</formula>
    </cfRule>
    <cfRule type="cellIs" dxfId="19154" priority="8686" stopIfTrue="1" operator="equal">
      <formula>"Napkin Hs"</formula>
    </cfRule>
  </conditionalFormatting>
  <conditionalFormatting sqref="C85">
    <cfRule type="cellIs" dxfId="19153" priority="8687" stopIfTrue="1" operator="equal">
      <formula>"Towel"</formula>
    </cfRule>
    <cfRule type="cellIs" dxfId="19152" priority="8688" stopIfTrue="1" operator="equal">
      <formula>"Napkin Hs"</formula>
    </cfRule>
  </conditionalFormatting>
  <conditionalFormatting sqref="C85">
    <cfRule type="cellIs" dxfId="19151" priority="8681" stopIfTrue="1" operator="equal">
      <formula>"Towel"</formula>
    </cfRule>
    <cfRule type="cellIs" dxfId="19150" priority="8682" stopIfTrue="1" operator="equal">
      <formula>"Napkin Hs"</formula>
    </cfRule>
  </conditionalFormatting>
  <conditionalFormatting sqref="C85">
    <cfRule type="cellIs" dxfId="19149" priority="8677" stopIfTrue="1" operator="equal">
      <formula>"Towel"</formula>
    </cfRule>
    <cfRule type="cellIs" dxfId="19148" priority="8678" stopIfTrue="1" operator="equal">
      <formula>"Napkin Hs"</formula>
    </cfRule>
  </conditionalFormatting>
  <conditionalFormatting sqref="C85">
    <cfRule type="cellIs" dxfId="19147" priority="8679" stopIfTrue="1" operator="equal">
      <formula>"Towel"</formula>
    </cfRule>
    <cfRule type="cellIs" dxfId="19146" priority="8680" stopIfTrue="1" operator="equal">
      <formula>"Napkin Hs"</formula>
    </cfRule>
  </conditionalFormatting>
  <conditionalFormatting sqref="C85">
    <cfRule type="cellIs" dxfId="19145" priority="8675" stopIfTrue="1" operator="equal">
      <formula>"Towel"</formula>
    </cfRule>
    <cfRule type="cellIs" dxfId="19144" priority="8676" stopIfTrue="1" operator="equal">
      <formula>"Napkin Hs"</formula>
    </cfRule>
  </conditionalFormatting>
  <conditionalFormatting sqref="C85">
    <cfRule type="cellIs" dxfId="19143" priority="8673" stopIfTrue="1" operator="equal">
      <formula>"Towel"</formula>
    </cfRule>
    <cfRule type="cellIs" dxfId="19142" priority="8674" stopIfTrue="1" operator="equal">
      <formula>"Napkin Hs"</formula>
    </cfRule>
  </conditionalFormatting>
  <conditionalFormatting sqref="C85">
    <cfRule type="cellIs" dxfId="19141" priority="8671" stopIfTrue="1" operator="equal">
      <formula>"Towel"</formula>
    </cfRule>
    <cfRule type="cellIs" dxfId="19140" priority="8672" stopIfTrue="1" operator="equal">
      <formula>"Napkin Hs"</formula>
    </cfRule>
  </conditionalFormatting>
  <conditionalFormatting sqref="C85">
    <cfRule type="cellIs" dxfId="19139" priority="8655" stopIfTrue="1" operator="equal">
      <formula>"Towel"</formula>
    </cfRule>
    <cfRule type="cellIs" dxfId="19138" priority="8656" stopIfTrue="1" operator="equal">
      <formula>"Napkin Hs"</formula>
    </cfRule>
  </conditionalFormatting>
  <conditionalFormatting sqref="C85">
    <cfRule type="cellIs" dxfId="19137" priority="8657" stopIfTrue="1" operator="equal">
      <formula>"Towel"</formula>
    </cfRule>
    <cfRule type="cellIs" dxfId="19136" priority="8658" stopIfTrue="1" operator="equal">
      <formula>"Napkin Hs"</formula>
    </cfRule>
  </conditionalFormatting>
  <conditionalFormatting sqref="C85">
    <cfRule type="cellIs" dxfId="19135" priority="8653" stopIfTrue="1" operator="equal">
      <formula>"Towel"</formula>
    </cfRule>
    <cfRule type="cellIs" dxfId="19134" priority="8654" stopIfTrue="1" operator="equal">
      <formula>"Napkin Hs"</formula>
    </cfRule>
  </conditionalFormatting>
  <conditionalFormatting sqref="C85">
    <cfRule type="cellIs" dxfId="19133" priority="8651" stopIfTrue="1" operator="equal">
      <formula>"Towel"</formula>
    </cfRule>
    <cfRule type="cellIs" dxfId="19132" priority="8652" stopIfTrue="1" operator="equal">
      <formula>"Napkin Hs"</formula>
    </cfRule>
  </conditionalFormatting>
  <conditionalFormatting sqref="C85">
    <cfRule type="cellIs" dxfId="19131" priority="8647" stopIfTrue="1" operator="equal">
      <formula>"Towel"</formula>
    </cfRule>
    <cfRule type="cellIs" dxfId="19130" priority="8648" stopIfTrue="1" operator="equal">
      <formula>"Napkin Hs"</formula>
    </cfRule>
  </conditionalFormatting>
  <conditionalFormatting sqref="C85">
    <cfRule type="cellIs" dxfId="19129" priority="8649" stopIfTrue="1" operator="equal">
      <formula>"Towel"</formula>
    </cfRule>
    <cfRule type="cellIs" dxfId="19128" priority="8650" stopIfTrue="1" operator="equal">
      <formula>"Napkin Hs"</formula>
    </cfRule>
  </conditionalFormatting>
  <conditionalFormatting sqref="C85">
    <cfRule type="cellIs" dxfId="19127" priority="8643" stopIfTrue="1" operator="equal">
      <formula>"Towel"</formula>
    </cfRule>
    <cfRule type="cellIs" dxfId="19126" priority="8644" stopIfTrue="1" operator="equal">
      <formula>"Napkin Hs"</formula>
    </cfRule>
  </conditionalFormatting>
  <conditionalFormatting sqref="C85">
    <cfRule type="cellIs" dxfId="19125" priority="8645" stopIfTrue="1" operator="equal">
      <formula>"Towel"</formula>
    </cfRule>
    <cfRule type="cellIs" dxfId="19124" priority="8646" stopIfTrue="1" operator="equal">
      <formula>"Napkin Hs"</formula>
    </cfRule>
  </conditionalFormatting>
  <conditionalFormatting sqref="C85">
    <cfRule type="cellIs" dxfId="19123" priority="8641" stopIfTrue="1" operator="equal">
      <formula>"Towel"</formula>
    </cfRule>
    <cfRule type="cellIs" dxfId="19122" priority="8642" stopIfTrue="1" operator="equal">
      <formula>"Napkin Hs"</formula>
    </cfRule>
  </conditionalFormatting>
  <conditionalFormatting sqref="C85">
    <cfRule type="cellIs" dxfId="19121" priority="8639" stopIfTrue="1" operator="equal">
      <formula>"Towel"</formula>
    </cfRule>
    <cfRule type="cellIs" dxfId="19120" priority="8640" stopIfTrue="1" operator="equal">
      <formula>"Napkin Hs"</formula>
    </cfRule>
  </conditionalFormatting>
  <conditionalFormatting sqref="C85">
    <cfRule type="cellIs" dxfId="19119" priority="8635" stopIfTrue="1" operator="equal">
      <formula>"Towel"</formula>
    </cfRule>
    <cfRule type="cellIs" dxfId="19118" priority="8636" stopIfTrue="1" operator="equal">
      <formula>"Napkin Hs"</formula>
    </cfRule>
  </conditionalFormatting>
  <conditionalFormatting sqref="C85">
    <cfRule type="cellIs" dxfId="19117" priority="8637" stopIfTrue="1" operator="equal">
      <formula>"Towel"</formula>
    </cfRule>
    <cfRule type="cellIs" dxfId="19116" priority="8638" stopIfTrue="1" operator="equal">
      <formula>"Napkin Hs"</formula>
    </cfRule>
  </conditionalFormatting>
  <conditionalFormatting sqref="B85">
    <cfRule type="cellIs" dxfId="19115" priority="8633" stopIfTrue="1" operator="equal">
      <formula>"Towel"</formula>
    </cfRule>
    <cfRule type="cellIs" dxfId="19114" priority="8634" stopIfTrue="1" operator="equal">
      <formula>"Napkin Hs"</formula>
    </cfRule>
  </conditionalFormatting>
  <conditionalFormatting sqref="B85">
    <cfRule type="cellIs" dxfId="19113" priority="8617" stopIfTrue="1" operator="equal">
      <formula>"Towel"</formula>
    </cfRule>
    <cfRule type="cellIs" dxfId="19112" priority="8618" stopIfTrue="1" operator="equal">
      <formula>"Napkin Hs"</formula>
    </cfRule>
  </conditionalFormatting>
  <conditionalFormatting sqref="B85">
    <cfRule type="cellIs" dxfId="19111" priority="8615" stopIfTrue="1" operator="equal">
      <formula>"Towel"</formula>
    </cfRule>
    <cfRule type="cellIs" dxfId="19110" priority="8616" stopIfTrue="1" operator="equal">
      <formula>"Napkin Hs"</formula>
    </cfRule>
  </conditionalFormatting>
  <conditionalFormatting sqref="B85">
    <cfRule type="cellIs" dxfId="19109" priority="8631" stopIfTrue="1" operator="equal">
      <formula>"Towel"</formula>
    </cfRule>
    <cfRule type="cellIs" dxfId="19108" priority="8632" stopIfTrue="1" operator="equal">
      <formula>"Napkin Hs"</formula>
    </cfRule>
  </conditionalFormatting>
  <conditionalFormatting sqref="B85">
    <cfRule type="cellIs" dxfId="19107" priority="8627" stopIfTrue="1" operator="equal">
      <formula>"Towel"</formula>
    </cfRule>
    <cfRule type="cellIs" dxfId="19106" priority="8628" stopIfTrue="1" operator="equal">
      <formula>"Napkin Hs"</formula>
    </cfRule>
  </conditionalFormatting>
  <conditionalFormatting sqref="B85">
    <cfRule type="cellIs" dxfId="19105" priority="8629" stopIfTrue="1" operator="equal">
      <formula>"Towel"</formula>
    </cfRule>
    <cfRule type="cellIs" dxfId="19104" priority="8630" stopIfTrue="1" operator="equal">
      <formula>"Napkin Hs"</formula>
    </cfRule>
  </conditionalFormatting>
  <conditionalFormatting sqref="B85">
    <cfRule type="cellIs" dxfId="19103" priority="8623" stopIfTrue="1" operator="equal">
      <formula>"Towel"</formula>
    </cfRule>
    <cfRule type="cellIs" dxfId="19102" priority="8624" stopIfTrue="1" operator="equal">
      <formula>"Napkin Hs"</formula>
    </cfRule>
  </conditionalFormatting>
  <conditionalFormatting sqref="B85">
    <cfRule type="cellIs" dxfId="19101" priority="8625" stopIfTrue="1" operator="equal">
      <formula>"Towel"</formula>
    </cfRule>
    <cfRule type="cellIs" dxfId="19100" priority="8626" stopIfTrue="1" operator="equal">
      <formula>"Napkin Hs"</formula>
    </cfRule>
  </conditionalFormatting>
  <conditionalFormatting sqref="B85">
    <cfRule type="cellIs" dxfId="19099" priority="8621" stopIfTrue="1" operator="equal">
      <formula>"Towel"</formula>
    </cfRule>
    <cfRule type="cellIs" dxfId="19098" priority="8622" stopIfTrue="1" operator="equal">
      <formula>"Napkin Hs"</formula>
    </cfRule>
  </conditionalFormatting>
  <conditionalFormatting sqref="B85">
    <cfRule type="cellIs" dxfId="19097" priority="8619" stopIfTrue="1" operator="equal">
      <formula>"Towel"</formula>
    </cfRule>
    <cfRule type="cellIs" dxfId="19096" priority="8620" stopIfTrue="1" operator="equal">
      <formula>"Napkin Hs"</formula>
    </cfRule>
  </conditionalFormatting>
  <conditionalFormatting sqref="B85">
    <cfRule type="cellIs" dxfId="19095" priority="8613" stopIfTrue="1" operator="equal">
      <formula>"Towel"</formula>
    </cfRule>
    <cfRule type="cellIs" dxfId="19094" priority="8614" stopIfTrue="1" operator="equal">
      <formula>"Napkin Hs"</formula>
    </cfRule>
  </conditionalFormatting>
  <conditionalFormatting sqref="B85">
    <cfRule type="cellIs" dxfId="19093" priority="8611" stopIfTrue="1" operator="equal">
      <formula>"Towel"</formula>
    </cfRule>
    <cfRule type="cellIs" dxfId="19092" priority="8612" stopIfTrue="1" operator="equal">
      <formula>"Napkin Hs"</formula>
    </cfRule>
  </conditionalFormatting>
  <conditionalFormatting sqref="B85">
    <cfRule type="cellIs" dxfId="19091" priority="8609" stopIfTrue="1" operator="equal">
      <formula>"Towel"</formula>
    </cfRule>
    <cfRule type="cellIs" dxfId="19090" priority="8610" stopIfTrue="1" operator="equal">
      <formula>"Napkin Hs"</formula>
    </cfRule>
  </conditionalFormatting>
  <conditionalFormatting sqref="B85">
    <cfRule type="cellIs" dxfId="19089" priority="8607" stopIfTrue="1" operator="equal">
      <formula>"Towel"</formula>
    </cfRule>
    <cfRule type="cellIs" dxfId="19088" priority="8608" stopIfTrue="1" operator="equal">
      <formula>"Napkin Hs"</formula>
    </cfRule>
  </conditionalFormatting>
  <conditionalFormatting sqref="C91">
    <cfRule type="cellIs" dxfId="19087" priority="8603" stopIfTrue="1" operator="equal">
      <formula>"Towel"</formula>
    </cfRule>
    <cfRule type="cellIs" dxfId="19086" priority="8604" stopIfTrue="1" operator="equal">
      <formula>"Napkin Hs"</formula>
    </cfRule>
  </conditionalFormatting>
  <conditionalFormatting sqref="C91">
    <cfRule type="cellIs" dxfId="19085" priority="8605" stopIfTrue="1" operator="equal">
      <formula>"Towel"</formula>
    </cfRule>
    <cfRule type="cellIs" dxfId="19084" priority="8606" stopIfTrue="1" operator="equal">
      <formula>"Napkin Hs"</formula>
    </cfRule>
  </conditionalFormatting>
  <conditionalFormatting sqref="B91:C91">
    <cfRule type="cellIs" dxfId="19083" priority="8601" stopIfTrue="1" operator="equal">
      <formula>"Towel"</formula>
    </cfRule>
    <cfRule type="cellIs" dxfId="19082" priority="8602" stopIfTrue="1" operator="equal">
      <formula>"Napkin Hs"</formula>
    </cfRule>
  </conditionalFormatting>
  <conditionalFormatting sqref="B91:C91">
    <cfRule type="cellIs" dxfId="19081" priority="8595" stopIfTrue="1" operator="equal">
      <formula>"Towel"</formula>
    </cfRule>
    <cfRule type="cellIs" dxfId="19080" priority="8596" stopIfTrue="1" operator="equal">
      <formula>"Napkin Hs"</formula>
    </cfRule>
  </conditionalFormatting>
  <conditionalFormatting sqref="C91">
    <cfRule type="cellIs" dxfId="19079" priority="8597" stopIfTrue="1" operator="equal">
      <formula>"Towel"</formula>
    </cfRule>
    <cfRule type="cellIs" dxfId="19078" priority="8598" stopIfTrue="1" operator="equal">
      <formula>"Napkin Hs"</formula>
    </cfRule>
  </conditionalFormatting>
  <conditionalFormatting sqref="C91">
    <cfRule type="cellIs" dxfId="19077" priority="8599" stopIfTrue="1" operator="equal">
      <formula>"Towel"</formula>
    </cfRule>
    <cfRule type="cellIs" dxfId="19076" priority="8600" stopIfTrue="1" operator="equal">
      <formula>"Napkin Hs"</formula>
    </cfRule>
  </conditionalFormatting>
  <conditionalFormatting sqref="C91">
    <cfRule type="cellIs" dxfId="19075" priority="8567" stopIfTrue="1" operator="equal">
      <formula>"Towel"</formula>
    </cfRule>
    <cfRule type="cellIs" dxfId="19074" priority="8568" stopIfTrue="1" operator="equal">
      <formula>"Napkin Hs"</formula>
    </cfRule>
  </conditionalFormatting>
  <conditionalFormatting sqref="C91">
    <cfRule type="cellIs" dxfId="19073" priority="8569" stopIfTrue="1" operator="equal">
      <formula>"Towel"</formula>
    </cfRule>
    <cfRule type="cellIs" dxfId="19072" priority="8570" stopIfTrue="1" operator="equal">
      <formula>"Napkin Hs"</formula>
    </cfRule>
  </conditionalFormatting>
  <conditionalFormatting sqref="C91">
    <cfRule type="cellIs" dxfId="19071" priority="8565" stopIfTrue="1" operator="equal">
      <formula>"Towel"</formula>
    </cfRule>
    <cfRule type="cellIs" dxfId="19070" priority="8566" stopIfTrue="1" operator="equal">
      <formula>"Napkin Hs"</formula>
    </cfRule>
  </conditionalFormatting>
  <conditionalFormatting sqref="B91">
    <cfRule type="cellIs" dxfId="19069" priority="8559" stopIfTrue="1" operator="equal">
      <formula>"Towel"</formula>
    </cfRule>
    <cfRule type="cellIs" dxfId="19068" priority="8560" stopIfTrue="1" operator="equal">
      <formula>"Napkin Hs"</formula>
    </cfRule>
  </conditionalFormatting>
  <conditionalFormatting sqref="C91">
    <cfRule type="cellIs" dxfId="19067" priority="8561" stopIfTrue="1" operator="equal">
      <formula>"Towel"</formula>
    </cfRule>
    <cfRule type="cellIs" dxfId="19066" priority="8562" stopIfTrue="1" operator="equal">
      <formula>"Napkin Hs"</formula>
    </cfRule>
  </conditionalFormatting>
  <conditionalFormatting sqref="C91">
    <cfRule type="cellIs" dxfId="19065" priority="8563" stopIfTrue="1" operator="equal">
      <formula>"Towel"</formula>
    </cfRule>
    <cfRule type="cellIs" dxfId="19064" priority="8564" stopIfTrue="1" operator="equal">
      <formula>"Napkin Hs"</formula>
    </cfRule>
  </conditionalFormatting>
  <conditionalFormatting sqref="B91:C91">
    <cfRule type="cellIs" dxfId="19063" priority="8513" stopIfTrue="1" operator="equal">
      <formula>"Towel"</formula>
    </cfRule>
    <cfRule type="cellIs" dxfId="19062" priority="8514" stopIfTrue="1" operator="equal">
      <formula>"Napkin Hs"</formula>
    </cfRule>
  </conditionalFormatting>
  <conditionalFormatting sqref="C91">
    <cfRule type="cellIs" dxfId="19061" priority="8515" stopIfTrue="1" operator="equal">
      <formula>"Towel"</formula>
    </cfRule>
    <cfRule type="cellIs" dxfId="19060" priority="8516" stopIfTrue="1" operator="equal">
      <formula>"Napkin Hs"</formula>
    </cfRule>
  </conditionalFormatting>
  <conditionalFormatting sqref="C91">
    <cfRule type="cellIs" dxfId="19059" priority="8511" stopIfTrue="1" operator="equal">
      <formula>"Towel"</formula>
    </cfRule>
    <cfRule type="cellIs" dxfId="19058" priority="8512" stopIfTrue="1" operator="equal">
      <formula>"Napkin Hs"</formula>
    </cfRule>
  </conditionalFormatting>
  <conditionalFormatting sqref="C91">
    <cfRule type="cellIs" dxfId="19057" priority="8509" stopIfTrue="1" operator="equal">
      <formula>"Towel"</formula>
    </cfRule>
    <cfRule type="cellIs" dxfId="19056" priority="8510" stopIfTrue="1" operator="equal">
      <formula>"Napkin Hs"</formula>
    </cfRule>
  </conditionalFormatting>
  <conditionalFormatting sqref="C89">
    <cfRule type="cellIs" dxfId="19055" priority="8505" stopIfTrue="1" operator="equal">
      <formula>"Towel"</formula>
    </cfRule>
    <cfRule type="cellIs" dxfId="19054" priority="8506" stopIfTrue="1" operator="equal">
      <formula>"Napkin Hs"</formula>
    </cfRule>
  </conditionalFormatting>
  <conditionalFormatting sqref="C89">
    <cfRule type="cellIs" dxfId="19053" priority="8507" stopIfTrue="1" operator="equal">
      <formula>"Towel"</formula>
    </cfRule>
    <cfRule type="cellIs" dxfId="19052" priority="8508" stopIfTrue="1" operator="equal">
      <formula>"Napkin Hs"</formula>
    </cfRule>
  </conditionalFormatting>
  <conditionalFormatting sqref="B91">
    <cfRule type="cellIs" dxfId="19051" priority="8557" stopIfTrue="1" operator="equal">
      <formula>"Towel"</formula>
    </cfRule>
    <cfRule type="cellIs" dxfId="19050" priority="8558" stopIfTrue="1" operator="equal">
      <formula>"Napkin Hs"</formula>
    </cfRule>
  </conditionalFormatting>
  <conditionalFormatting sqref="C91">
    <cfRule type="cellIs" dxfId="19049" priority="8553" stopIfTrue="1" operator="equal">
      <formula>"Towel"</formula>
    </cfRule>
    <cfRule type="cellIs" dxfId="19048" priority="8554" stopIfTrue="1" operator="equal">
      <formula>"Napkin Hs"</formula>
    </cfRule>
  </conditionalFormatting>
  <conditionalFormatting sqref="C91">
    <cfRule type="cellIs" dxfId="19047" priority="8547" stopIfTrue="1" operator="equal">
      <formula>"Towel"</formula>
    </cfRule>
    <cfRule type="cellIs" dxfId="19046" priority="8548" stopIfTrue="1" operator="equal">
      <formula>"Napkin Hs"</formula>
    </cfRule>
  </conditionalFormatting>
  <conditionalFormatting sqref="C91">
    <cfRule type="cellIs" dxfId="19045" priority="8551" stopIfTrue="1" operator="equal">
      <formula>"Towel"</formula>
    </cfRule>
    <cfRule type="cellIs" dxfId="19044" priority="8552" stopIfTrue="1" operator="equal">
      <formula>"Napkin Hs"</formula>
    </cfRule>
  </conditionalFormatting>
  <conditionalFormatting sqref="B91:C91">
    <cfRule type="cellIs" dxfId="19043" priority="8549" stopIfTrue="1" operator="equal">
      <formula>"Towel"</formula>
    </cfRule>
    <cfRule type="cellIs" dxfId="19042" priority="8550" stopIfTrue="1" operator="equal">
      <formula>"Napkin Hs"</formula>
    </cfRule>
  </conditionalFormatting>
  <conditionalFormatting sqref="C91">
    <cfRule type="cellIs" dxfId="19041" priority="8541" stopIfTrue="1" operator="equal">
      <formula>"Towel"</formula>
    </cfRule>
    <cfRule type="cellIs" dxfId="19040" priority="8542" stopIfTrue="1" operator="equal">
      <formula>"Napkin Hs"</formula>
    </cfRule>
  </conditionalFormatting>
  <conditionalFormatting sqref="C91">
    <cfRule type="cellIs" dxfId="19039" priority="8543" stopIfTrue="1" operator="equal">
      <formula>"Towel"</formula>
    </cfRule>
    <cfRule type="cellIs" dxfId="19038" priority="8544" stopIfTrue="1" operator="equal">
      <formula>"Napkin Hs"</formula>
    </cfRule>
  </conditionalFormatting>
  <conditionalFormatting sqref="C91">
    <cfRule type="cellIs" dxfId="19037" priority="8545" stopIfTrue="1" operator="equal">
      <formula>"Towel"</formula>
    </cfRule>
    <cfRule type="cellIs" dxfId="19036" priority="8546" stopIfTrue="1" operator="equal">
      <formula>"Napkin Hs"</formula>
    </cfRule>
  </conditionalFormatting>
  <conditionalFormatting sqref="C91">
    <cfRule type="cellIs" dxfId="19035" priority="8535" stopIfTrue="1" operator="equal">
      <formula>"Towel"</formula>
    </cfRule>
    <cfRule type="cellIs" dxfId="19034" priority="8536" stopIfTrue="1" operator="equal">
      <formula>"Napkin Hs"</formula>
    </cfRule>
  </conditionalFormatting>
  <conditionalFormatting sqref="B91:C91">
    <cfRule type="cellIs" dxfId="19033" priority="8539" stopIfTrue="1" operator="equal">
      <formula>"Towel"</formula>
    </cfRule>
    <cfRule type="cellIs" dxfId="19032" priority="8540" stopIfTrue="1" operator="equal">
      <formula>"Napkin Hs"</formula>
    </cfRule>
  </conditionalFormatting>
  <conditionalFormatting sqref="C91">
    <cfRule type="cellIs" dxfId="19031" priority="8537" stopIfTrue="1" operator="equal">
      <formula>"Towel"</formula>
    </cfRule>
    <cfRule type="cellIs" dxfId="19030" priority="8538" stopIfTrue="1" operator="equal">
      <formula>"Napkin Hs"</formula>
    </cfRule>
  </conditionalFormatting>
  <conditionalFormatting sqref="B91:C91">
    <cfRule type="cellIs" dxfId="19029" priority="8529" stopIfTrue="1" operator="equal">
      <formula>"Towel"</formula>
    </cfRule>
    <cfRule type="cellIs" dxfId="19028" priority="8530" stopIfTrue="1" operator="equal">
      <formula>"Napkin Hs"</formula>
    </cfRule>
  </conditionalFormatting>
  <conditionalFormatting sqref="C91">
    <cfRule type="cellIs" dxfId="19027" priority="8531" stopIfTrue="1" operator="equal">
      <formula>"Towel"</formula>
    </cfRule>
    <cfRule type="cellIs" dxfId="19026" priority="8532" stopIfTrue="1" operator="equal">
      <formula>"Napkin Hs"</formula>
    </cfRule>
  </conditionalFormatting>
  <conditionalFormatting sqref="B91:C91">
    <cfRule type="cellIs" dxfId="19025" priority="8533" stopIfTrue="1" operator="equal">
      <formula>"Towel"</formula>
    </cfRule>
    <cfRule type="cellIs" dxfId="19024" priority="8534" stopIfTrue="1" operator="equal">
      <formula>"Napkin Hs"</formula>
    </cfRule>
  </conditionalFormatting>
  <conditionalFormatting sqref="C91">
    <cfRule type="cellIs" dxfId="19023" priority="8527" stopIfTrue="1" operator="equal">
      <formula>"Towel"</formula>
    </cfRule>
    <cfRule type="cellIs" dxfId="19022" priority="8528" stopIfTrue="1" operator="equal">
      <formula>"Napkin Hs"</formula>
    </cfRule>
  </conditionalFormatting>
  <conditionalFormatting sqref="C91">
    <cfRule type="cellIs" dxfId="19021" priority="8523" stopIfTrue="1" operator="equal">
      <formula>"Towel"</formula>
    </cfRule>
    <cfRule type="cellIs" dxfId="19020" priority="8524" stopIfTrue="1" operator="equal">
      <formula>"Napkin Hs"</formula>
    </cfRule>
  </conditionalFormatting>
  <conditionalFormatting sqref="B91:C91">
    <cfRule type="cellIs" dxfId="19019" priority="8525" stopIfTrue="1" operator="equal">
      <formula>"Towel"</formula>
    </cfRule>
    <cfRule type="cellIs" dxfId="19018" priority="8526" stopIfTrue="1" operator="equal">
      <formula>"Napkin Hs"</formula>
    </cfRule>
  </conditionalFormatting>
  <conditionalFormatting sqref="C91">
    <cfRule type="cellIs" dxfId="19017" priority="8521" stopIfTrue="1" operator="equal">
      <formula>"Towel"</formula>
    </cfRule>
    <cfRule type="cellIs" dxfId="19016" priority="8522" stopIfTrue="1" operator="equal">
      <formula>"Napkin Hs"</formula>
    </cfRule>
  </conditionalFormatting>
  <conditionalFormatting sqref="C91">
    <cfRule type="cellIs" dxfId="19015" priority="8519" stopIfTrue="1" operator="equal">
      <formula>"Towel"</formula>
    </cfRule>
    <cfRule type="cellIs" dxfId="19014" priority="8520" stopIfTrue="1" operator="equal">
      <formula>"Napkin Hs"</formula>
    </cfRule>
  </conditionalFormatting>
  <conditionalFormatting sqref="B91:C91">
    <cfRule type="cellIs" dxfId="19013" priority="8517" stopIfTrue="1" operator="equal">
      <formula>"Towel"</formula>
    </cfRule>
    <cfRule type="cellIs" dxfId="19012" priority="8518" stopIfTrue="1" operator="equal">
      <formula>"Napkin Hs"</formula>
    </cfRule>
  </conditionalFormatting>
  <conditionalFormatting sqref="C89">
    <cfRule type="cellIs" dxfId="19011" priority="8501" stopIfTrue="1" operator="equal">
      <formula>"Towel"</formula>
    </cfRule>
    <cfRule type="cellIs" dxfId="19010" priority="8502" stopIfTrue="1" operator="equal">
      <formula>"Napkin Hs"</formula>
    </cfRule>
  </conditionalFormatting>
  <conditionalFormatting sqref="B89:C89">
    <cfRule type="cellIs" dxfId="19009" priority="8503" stopIfTrue="1" operator="equal">
      <formula>"Towel"</formula>
    </cfRule>
    <cfRule type="cellIs" dxfId="19008" priority="8504" stopIfTrue="1" operator="equal">
      <formula>"Napkin Hs"</formula>
    </cfRule>
  </conditionalFormatting>
  <conditionalFormatting sqref="C89">
    <cfRule type="cellIs" dxfId="19007" priority="8499" stopIfTrue="1" operator="equal">
      <formula>"Towel"</formula>
    </cfRule>
    <cfRule type="cellIs" dxfId="19006" priority="8500" stopIfTrue="1" operator="equal">
      <formula>"Napkin Hs"</formula>
    </cfRule>
  </conditionalFormatting>
  <conditionalFormatting sqref="B89:C89">
    <cfRule type="cellIs" dxfId="19005" priority="8497" stopIfTrue="1" operator="equal">
      <formula>"Towel"</formula>
    </cfRule>
    <cfRule type="cellIs" dxfId="19004" priority="8498" stopIfTrue="1" operator="equal">
      <formula>"Napkin Hs"</formula>
    </cfRule>
  </conditionalFormatting>
  <conditionalFormatting sqref="B89:C89">
    <cfRule type="cellIs" dxfId="19003" priority="8495" stopIfTrue="1" operator="equal">
      <formula>"Towel"</formula>
    </cfRule>
    <cfRule type="cellIs" dxfId="19002" priority="8496" stopIfTrue="1" operator="equal">
      <formula>"Napkin Hs"</formula>
    </cfRule>
  </conditionalFormatting>
  <conditionalFormatting sqref="C89">
    <cfRule type="cellIs" dxfId="19001" priority="8489" stopIfTrue="1" operator="equal">
      <formula>"Towel"</formula>
    </cfRule>
    <cfRule type="cellIs" dxfId="19000" priority="8490" stopIfTrue="1" operator="equal">
      <formula>"Napkin Hs"</formula>
    </cfRule>
  </conditionalFormatting>
  <conditionalFormatting sqref="C89">
    <cfRule type="cellIs" dxfId="18999" priority="8491" stopIfTrue="1" operator="equal">
      <formula>"Towel"</formula>
    </cfRule>
    <cfRule type="cellIs" dxfId="18998" priority="8492" stopIfTrue="1" operator="equal">
      <formula>"Napkin Hs"</formula>
    </cfRule>
  </conditionalFormatting>
  <conditionalFormatting sqref="C89">
    <cfRule type="cellIs" dxfId="18997" priority="8487" stopIfTrue="1" operator="equal">
      <formula>"Towel"</formula>
    </cfRule>
    <cfRule type="cellIs" dxfId="18996" priority="8488" stopIfTrue="1" operator="equal">
      <formula>"Napkin Hs"</formula>
    </cfRule>
  </conditionalFormatting>
  <conditionalFormatting sqref="C89">
    <cfRule type="cellIs" dxfId="18995" priority="8485" stopIfTrue="1" operator="equal">
      <formula>"Towel"</formula>
    </cfRule>
    <cfRule type="cellIs" dxfId="18994" priority="8486" stopIfTrue="1" operator="equal">
      <formula>"Napkin Hs"</formula>
    </cfRule>
  </conditionalFormatting>
  <conditionalFormatting sqref="C89">
    <cfRule type="cellIs" dxfId="18993" priority="8481" stopIfTrue="1" operator="equal">
      <formula>"Towel"</formula>
    </cfRule>
    <cfRule type="cellIs" dxfId="18992" priority="8482" stopIfTrue="1" operator="equal">
      <formula>"Napkin Hs"</formula>
    </cfRule>
  </conditionalFormatting>
  <conditionalFormatting sqref="C89">
    <cfRule type="cellIs" dxfId="18991" priority="8483" stopIfTrue="1" operator="equal">
      <formula>"Towel"</formula>
    </cfRule>
    <cfRule type="cellIs" dxfId="18990" priority="8484" stopIfTrue="1" operator="equal">
      <formula>"Napkin Hs"</formula>
    </cfRule>
  </conditionalFormatting>
  <conditionalFormatting sqref="C89">
    <cfRule type="cellIs" dxfId="18989" priority="8479" stopIfTrue="1" operator="equal">
      <formula>"Towel"</formula>
    </cfRule>
    <cfRule type="cellIs" dxfId="18988" priority="8480" stopIfTrue="1" operator="equal">
      <formula>"Napkin Hs"</formula>
    </cfRule>
  </conditionalFormatting>
  <conditionalFormatting sqref="C89">
    <cfRule type="cellIs" dxfId="18987" priority="8463" stopIfTrue="1" operator="equal">
      <formula>"Towel"</formula>
    </cfRule>
    <cfRule type="cellIs" dxfId="18986" priority="8464" stopIfTrue="1" operator="equal">
      <formula>"Napkin Hs"</formula>
    </cfRule>
  </conditionalFormatting>
  <conditionalFormatting sqref="B89">
    <cfRule type="cellIs" dxfId="18985" priority="8461" stopIfTrue="1" operator="equal">
      <formula>"Towel"</formula>
    </cfRule>
    <cfRule type="cellIs" dxfId="18984" priority="8462" stopIfTrue="1" operator="equal">
      <formula>"Napkin Hs"</formula>
    </cfRule>
  </conditionalFormatting>
  <conditionalFormatting sqref="B89">
    <cfRule type="cellIs" dxfId="18983" priority="8477" stopIfTrue="1" operator="equal">
      <formula>"Towel"</formula>
    </cfRule>
    <cfRule type="cellIs" dxfId="18982" priority="8478" stopIfTrue="1" operator="equal">
      <formula>"Napkin Hs"</formula>
    </cfRule>
  </conditionalFormatting>
  <conditionalFormatting sqref="C89">
    <cfRule type="cellIs" dxfId="18981" priority="8473" stopIfTrue="1" operator="equal">
      <formula>"Towel"</formula>
    </cfRule>
    <cfRule type="cellIs" dxfId="18980" priority="8474" stopIfTrue="1" operator="equal">
      <formula>"Napkin Hs"</formula>
    </cfRule>
  </conditionalFormatting>
  <conditionalFormatting sqref="B89">
    <cfRule type="cellIs" dxfId="18979" priority="8475" stopIfTrue="1" operator="equal">
      <formula>"Towel"</formula>
    </cfRule>
    <cfRule type="cellIs" dxfId="18978" priority="8476" stopIfTrue="1" operator="equal">
      <formula>"Napkin Hs"</formula>
    </cfRule>
  </conditionalFormatting>
  <conditionalFormatting sqref="C89">
    <cfRule type="cellIs" dxfId="18977" priority="8469" stopIfTrue="1" operator="equal">
      <formula>"Towel"</formula>
    </cfRule>
    <cfRule type="cellIs" dxfId="18976" priority="8470" stopIfTrue="1" operator="equal">
      <formula>"Napkin Hs"</formula>
    </cfRule>
  </conditionalFormatting>
  <conditionalFormatting sqref="C89">
    <cfRule type="cellIs" dxfId="18975" priority="8471" stopIfTrue="1" operator="equal">
      <formula>"Towel"</formula>
    </cfRule>
    <cfRule type="cellIs" dxfId="18974" priority="8472" stopIfTrue="1" operator="equal">
      <formula>"Napkin Hs"</formula>
    </cfRule>
  </conditionalFormatting>
  <conditionalFormatting sqref="C89">
    <cfRule type="cellIs" dxfId="18973" priority="8467" stopIfTrue="1" operator="equal">
      <formula>"Towel"</formula>
    </cfRule>
    <cfRule type="cellIs" dxfId="18972" priority="8468" stopIfTrue="1" operator="equal">
      <formula>"Napkin Hs"</formula>
    </cfRule>
  </conditionalFormatting>
  <conditionalFormatting sqref="C89">
    <cfRule type="cellIs" dxfId="18971" priority="8465" stopIfTrue="1" operator="equal">
      <formula>"Towel"</formula>
    </cfRule>
    <cfRule type="cellIs" dxfId="18970" priority="8466" stopIfTrue="1" operator="equal">
      <formula>"Napkin Hs"</formula>
    </cfRule>
  </conditionalFormatting>
  <conditionalFormatting sqref="B89">
    <cfRule type="cellIs" dxfId="18969" priority="8459" stopIfTrue="1" operator="equal">
      <formula>"Towel"</formula>
    </cfRule>
    <cfRule type="cellIs" dxfId="18968" priority="8460" stopIfTrue="1" operator="equal">
      <formula>"Napkin Hs"</formula>
    </cfRule>
  </conditionalFormatting>
  <conditionalFormatting sqref="B89:C89">
    <cfRule type="cellIs" dxfId="18967" priority="8457" stopIfTrue="1" operator="equal">
      <formula>"Towel"</formula>
    </cfRule>
    <cfRule type="cellIs" dxfId="18966" priority="8458" stopIfTrue="1" operator="equal">
      <formula>"Napkin Hs"</formula>
    </cfRule>
  </conditionalFormatting>
  <conditionalFormatting sqref="C89">
    <cfRule type="cellIs" dxfId="18965" priority="8455" stopIfTrue="1" operator="equal">
      <formula>"Towel"</formula>
    </cfRule>
    <cfRule type="cellIs" dxfId="18964" priority="8456" stopIfTrue="1" operator="equal">
      <formula>"Napkin Hs"</formula>
    </cfRule>
  </conditionalFormatting>
  <conditionalFormatting sqref="C89">
    <cfRule type="cellIs" dxfId="18963" priority="8453" stopIfTrue="1" operator="equal">
      <formula>"Towel"</formula>
    </cfRule>
    <cfRule type="cellIs" dxfId="18962" priority="8454" stopIfTrue="1" operator="equal">
      <formula>"Napkin Hs"</formula>
    </cfRule>
  </conditionalFormatting>
  <conditionalFormatting sqref="B91:C91">
    <cfRule type="cellIs" dxfId="18961" priority="8593" stopIfTrue="1" operator="equal">
      <formula>"Towel"</formula>
    </cfRule>
    <cfRule type="cellIs" dxfId="18960" priority="8594" stopIfTrue="1" operator="equal">
      <formula>"Napkin Hs"</formula>
    </cfRule>
  </conditionalFormatting>
  <conditionalFormatting sqref="C91">
    <cfRule type="cellIs" dxfId="18959" priority="8589" stopIfTrue="1" operator="equal">
      <formula>"Towel"</formula>
    </cfRule>
    <cfRule type="cellIs" dxfId="18958" priority="8590" stopIfTrue="1" operator="equal">
      <formula>"Napkin Hs"</formula>
    </cfRule>
  </conditionalFormatting>
  <conditionalFormatting sqref="C91">
    <cfRule type="cellIs" dxfId="18957" priority="8592" stopIfTrue="1" operator="equal">
      <formula>"Napkin Hs"</formula>
    </cfRule>
  </conditionalFormatting>
  <conditionalFormatting sqref="C91">
    <cfRule type="cellIs" dxfId="18956" priority="8591" stopIfTrue="1" operator="equal">
      <formula>"Towel"</formula>
    </cfRule>
  </conditionalFormatting>
  <conditionalFormatting sqref="C91">
    <cfRule type="cellIs" dxfId="18955" priority="8583" stopIfTrue="1" operator="equal">
      <formula>"Towel"</formula>
    </cfRule>
    <cfRule type="cellIs" dxfId="18954" priority="8584" stopIfTrue="1" operator="equal">
      <formula>"Napkin Hs"</formula>
    </cfRule>
  </conditionalFormatting>
  <conditionalFormatting sqref="C91">
    <cfRule type="cellIs" dxfId="18953" priority="8587" stopIfTrue="1" operator="equal">
      <formula>"Towel"</formula>
    </cfRule>
    <cfRule type="cellIs" dxfId="18952" priority="8588" stopIfTrue="1" operator="equal">
      <formula>"Napkin Hs"</formula>
    </cfRule>
  </conditionalFormatting>
  <conditionalFormatting sqref="B91">
    <cfRule type="cellIs" dxfId="18951" priority="8573" stopIfTrue="1" operator="equal">
      <formula>"Towel"</formula>
    </cfRule>
    <cfRule type="cellIs" dxfId="18950" priority="8574" stopIfTrue="1" operator="equal">
      <formula>"Napkin Hs"</formula>
    </cfRule>
  </conditionalFormatting>
  <conditionalFormatting sqref="C91">
    <cfRule type="cellIs" dxfId="18949" priority="8585" stopIfTrue="1" operator="equal">
      <formula>"Towel"</formula>
    </cfRule>
    <cfRule type="cellIs" dxfId="18948" priority="8586" stopIfTrue="1" operator="equal">
      <formula>"Napkin Hs"</formula>
    </cfRule>
  </conditionalFormatting>
  <conditionalFormatting sqref="C91">
    <cfRule type="cellIs" dxfId="18947" priority="8577" stopIfTrue="1" operator="equal">
      <formula>"Towel"</formula>
    </cfRule>
    <cfRule type="cellIs" dxfId="18946" priority="8578" stopIfTrue="1" operator="equal">
      <formula>"Napkin Hs"</formula>
    </cfRule>
  </conditionalFormatting>
  <conditionalFormatting sqref="C91">
    <cfRule type="cellIs" dxfId="18945" priority="8579" stopIfTrue="1" operator="equal">
      <formula>"Towel"</formula>
    </cfRule>
    <cfRule type="cellIs" dxfId="18944" priority="8580" stopIfTrue="1" operator="equal">
      <formula>"Napkin Hs"</formula>
    </cfRule>
  </conditionalFormatting>
  <conditionalFormatting sqref="C91">
    <cfRule type="cellIs" dxfId="18943" priority="8581" stopIfTrue="1" operator="equal">
      <formula>"Towel"</formula>
    </cfRule>
    <cfRule type="cellIs" dxfId="18942" priority="8582" stopIfTrue="1" operator="equal">
      <formula>"Napkin Hs"</formula>
    </cfRule>
  </conditionalFormatting>
  <conditionalFormatting sqref="B91">
    <cfRule type="cellIs" dxfId="18941" priority="8575" stopIfTrue="1" operator="equal">
      <formula>"Towel"</formula>
    </cfRule>
    <cfRule type="cellIs" dxfId="18940" priority="8576" stopIfTrue="1" operator="equal">
      <formula>"Napkin Hs"</formula>
    </cfRule>
  </conditionalFormatting>
  <conditionalFormatting sqref="C91">
    <cfRule type="cellIs" dxfId="18939" priority="8571" stopIfTrue="1" operator="equal">
      <formula>"Towel"</formula>
    </cfRule>
    <cfRule type="cellIs" dxfId="18938" priority="8572" stopIfTrue="1" operator="equal">
      <formula>"Napkin Hs"</formula>
    </cfRule>
  </conditionalFormatting>
  <conditionalFormatting sqref="B91:C91">
    <cfRule type="cellIs" dxfId="18937" priority="8555" stopIfTrue="1" operator="equal">
      <formula>"Towel"</formula>
    </cfRule>
    <cfRule type="cellIs" dxfId="18936" priority="8556" stopIfTrue="1" operator="equal">
      <formula>"Napkin Hs"</formula>
    </cfRule>
  </conditionalFormatting>
  <conditionalFormatting sqref="C89">
    <cfRule type="cellIs" dxfId="18935" priority="8443" stopIfTrue="1" operator="equal">
      <formula>"Towel"</formula>
    </cfRule>
    <cfRule type="cellIs" dxfId="18934" priority="8444" stopIfTrue="1" operator="equal">
      <formula>"Napkin Hs"</formula>
    </cfRule>
  </conditionalFormatting>
  <conditionalFormatting sqref="C89">
    <cfRule type="cellIs" dxfId="18933" priority="8445" stopIfTrue="1" operator="equal">
      <formula>"Towel"</formula>
    </cfRule>
    <cfRule type="cellIs" dxfId="18932" priority="8446" stopIfTrue="1" operator="equal">
      <formula>"Napkin Hs"</formula>
    </cfRule>
  </conditionalFormatting>
  <conditionalFormatting sqref="B89:C89">
    <cfRule type="cellIs" dxfId="18931" priority="8441" stopIfTrue="1" operator="equal">
      <formula>"Towel"</formula>
    </cfRule>
    <cfRule type="cellIs" dxfId="18930" priority="8442" stopIfTrue="1" operator="equal">
      <formula>"Napkin Hs"</formula>
    </cfRule>
  </conditionalFormatting>
  <conditionalFormatting sqref="C89">
    <cfRule type="cellIs" dxfId="18929" priority="8439" stopIfTrue="1" operator="equal">
      <formula>"Towel"</formula>
    </cfRule>
    <cfRule type="cellIs" dxfId="18928" priority="8440" stopIfTrue="1" operator="equal">
      <formula>"Napkin Hs"</formula>
    </cfRule>
  </conditionalFormatting>
  <conditionalFormatting sqref="B89:C89">
    <cfRule type="cellIs" dxfId="18927" priority="8435" stopIfTrue="1" operator="equal">
      <formula>"Towel"</formula>
    </cfRule>
    <cfRule type="cellIs" dxfId="18926" priority="8436" stopIfTrue="1" operator="equal">
      <formula>"Napkin Hs"</formula>
    </cfRule>
  </conditionalFormatting>
  <conditionalFormatting sqref="C89">
    <cfRule type="cellIs" dxfId="18925" priority="8437" stopIfTrue="1" operator="equal">
      <formula>"Towel"</formula>
    </cfRule>
    <cfRule type="cellIs" dxfId="18924" priority="8438" stopIfTrue="1" operator="equal">
      <formula>"Napkin Hs"</formula>
    </cfRule>
  </conditionalFormatting>
  <conditionalFormatting sqref="C89">
    <cfRule type="cellIs" dxfId="18923" priority="8494" stopIfTrue="1" operator="equal">
      <formula>"Napkin Hs"</formula>
    </cfRule>
  </conditionalFormatting>
  <conditionalFormatting sqref="C89">
    <cfRule type="cellIs" dxfId="18922" priority="8493" stopIfTrue="1" operator="equal">
      <formula>"Towel"</formula>
    </cfRule>
  </conditionalFormatting>
  <conditionalFormatting sqref="B89:C89">
    <cfRule type="cellIs" dxfId="18921" priority="8451" stopIfTrue="1" operator="equal">
      <formula>"Towel"</formula>
    </cfRule>
    <cfRule type="cellIs" dxfId="18920" priority="8452" stopIfTrue="1" operator="equal">
      <formula>"Napkin Hs"</formula>
    </cfRule>
  </conditionalFormatting>
  <conditionalFormatting sqref="C89">
    <cfRule type="cellIs" dxfId="18919" priority="8449" stopIfTrue="1" operator="equal">
      <formula>"Towel"</formula>
    </cfRule>
    <cfRule type="cellIs" dxfId="18918" priority="8450" stopIfTrue="1" operator="equal">
      <formula>"Napkin Hs"</formula>
    </cfRule>
  </conditionalFormatting>
  <conditionalFormatting sqref="C89">
    <cfRule type="cellIs" dxfId="18917" priority="8447" stopIfTrue="1" operator="equal">
      <formula>"Towel"</formula>
    </cfRule>
    <cfRule type="cellIs" dxfId="18916" priority="8448" stopIfTrue="1" operator="equal">
      <formula>"Napkin Hs"</formula>
    </cfRule>
  </conditionalFormatting>
  <conditionalFormatting sqref="B89:C89">
    <cfRule type="cellIs" dxfId="18915" priority="8431" stopIfTrue="1" operator="equal">
      <formula>"Towel"</formula>
    </cfRule>
    <cfRule type="cellIs" dxfId="18914" priority="8432" stopIfTrue="1" operator="equal">
      <formula>"Napkin Hs"</formula>
    </cfRule>
  </conditionalFormatting>
  <conditionalFormatting sqref="C89">
    <cfRule type="cellIs" dxfId="18913" priority="8433" stopIfTrue="1" operator="equal">
      <formula>"Towel"</formula>
    </cfRule>
    <cfRule type="cellIs" dxfId="18912" priority="8434" stopIfTrue="1" operator="equal">
      <formula>"Napkin Hs"</formula>
    </cfRule>
  </conditionalFormatting>
  <conditionalFormatting sqref="C89">
    <cfRule type="cellIs" dxfId="18911" priority="8429" stopIfTrue="1" operator="equal">
      <formula>"Towel"</formula>
    </cfRule>
    <cfRule type="cellIs" dxfId="18910" priority="8430" stopIfTrue="1" operator="equal">
      <formula>"Napkin Hs"</formula>
    </cfRule>
  </conditionalFormatting>
  <conditionalFormatting sqref="B89:C89">
    <cfRule type="cellIs" dxfId="18909" priority="8427" stopIfTrue="1" operator="equal">
      <formula>"Towel"</formula>
    </cfRule>
    <cfRule type="cellIs" dxfId="18908" priority="8428" stopIfTrue="1" operator="equal">
      <formula>"Napkin Hs"</formula>
    </cfRule>
  </conditionalFormatting>
  <conditionalFormatting sqref="C89">
    <cfRule type="cellIs" dxfId="18907" priority="8423" stopIfTrue="1" operator="equal">
      <formula>"Towel"</formula>
    </cfRule>
    <cfRule type="cellIs" dxfId="18906" priority="8424" stopIfTrue="1" operator="equal">
      <formula>"Napkin Hs"</formula>
    </cfRule>
  </conditionalFormatting>
  <conditionalFormatting sqref="C89">
    <cfRule type="cellIs" dxfId="18905" priority="8425" stopIfTrue="1" operator="equal">
      <formula>"Towel"</formula>
    </cfRule>
    <cfRule type="cellIs" dxfId="18904" priority="8426" stopIfTrue="1" operator="equal">
      <formula>"Napkin Hs"</formula>
    </cfRule>
  </conditionalFormatting>
  <conditionalFormatting sqref="B89:C89">
    <cfRule type="cellIs" dxfId="18903" priority="8419" stopIfTrue="1" operator="equal">
      <formula>"Towel"</formula>
    </cfRule>
    <cfRule type="cellIs" dxfId="18902" priority="8420" stopIfTrue="1" operator="equal">
      <formula>"Napkin Hs"</formula>
    </cfRule>
  </conditionalFormatting>
  <conditionalFormatting sqref="C89">
    <cfRule type="cellIs" dxfId="18901" priority="8421" stopIfTrue="1" operator="equal">
      <formula>"Towel"</formula>
    </cfRule>
    <cfRule type="cellIs" dxfId="18900" priority="8422" stopIfTrue="1" operator="equal">
      <formula>"Napkin Hs"</formula>
    </cfRule>
  </conditionalFormatting>
  <conditionalFormatting sqref="C89">
    <cfRule type="cellIs" dxfId="18899" priority="8417" stopIfTrue="1" operator="equal">
      <formula>"Towel"</formula>
    </cfRule>
    <cfRule type="cellIs" dxfId="18898" priority="8418" stopIfTrue="1" operator="equal">
      <formula>"Napkin Hs"</formula>
    </cfRule>
  </conditionalFormatting>
  <conditionalFormatting sqref="B89:C89">
    <cfRule type="cellIs" dxfId="18897" priority="8415" stopIfTrue="1" operator="equal">
      <formula>"Towel"</formula>
    </cfRule>
    <cfRule type="cellIs" dxfId="18896" priority="8416" stopIfTrue="1" operator="equal">
      <formula>"Napkin Hs"</formula>
    </cfRule>
  </conditionalFormatting>
  <conditionalFormatting sqref="C89">
    <cfRule type="cellIs" dxfId="18895" priority="8411" stopIfTrue="1" operator="equal">
      <formula>"Towel"</formula>
    </cfRule>
    <cfRule type="cellIs" dxfId="18894" priority="8412" stopIfTrue="1" operator="equal">
      <formula>"Napkin Hs"</formula>
    </cfRule>
  </conditionalFormatting>
  <conditionalFormatting sqref="C89">
    <cfRule type="cellIs" dxfId="18893" priority="8413" stopIfTrue="1" operator="equal">
      <formula>"Towel"</formula>
    </cfRule>
    <cfRule type="cellIs" dxfId="18892" priority="8414" stopIfTrue="1" operator="equal">
      <formula>"Napkin Hs"</formula>
    </cfRule>
  </conditionalFormatting>
  <conditionalFormatting sqref="C90">
    <cfRule type="cellIs" dxfId="18891" priority="8277" stopIfTrue="1" operator="equal">
      <formula>"Towel"</formula>
    </cfRule>
    <cfRule type="cellIs" dxfId="18890" priority="8278" stopIfTrue="1" operator="equal">
      <formula>"Napkin Hs"</formula>
    </cfRule>
  </conditionalFormatting>
  <conditionalFormatting sqref="C90">
    <cfRule type="cellIs" dxfId="18889" priority="8279" stopIfTrue="1" operator="equal">
      <formula>"Towel"</formula>
    </cfRule>
    <cfRule type="cellIs" dxfId="18888" priority="8280" stopIfTrue="1" operator="equal">
      <formula>"Napkin Hs"</formula>
    </cfRule>
  </conditionalFormatting>
  <conditionalFormatting sqref="C90">
    <cfRule type="cellIs" dxfId="18887" priority="8273" stopIfTrue="1" operator="equal">
      <formula>"Towel"</formula>
    </cfRule>
    <cfRule type="cellIs" dxfId="18886" priority="8274" stopIfTrue="1" operator="equal">
      <formula>"Napkin Hs"</formula>
    </cfRule>
  </conditionalFormatting>
  <conditionalFormatting sqref="B90:C90">
    <cfRule type="cellIs" dxfId="18885" priority="8275" stopIfTrue="1" operator="equal">
      <formula>"Towel"</formula>
    </cfRule>
    <cfRule type="cellIs" dxfId="18884" priority="8276" stopIfTrue="1" operator="equal">
      <formula>"Napkin Hs"</formula>
    </cfRule>
  </conditionalFormatting>
  <conditionalFormatting sqref="C90">
    <cfRule type="cellIs" dxfId="18883" priority="8271" stopIfTrue="1" operator="equal">
      <formula>"Towel"</formula>
    </cfRule>
    <cfRule type="cellIs" dxfId="18882" priority="8272" stopIfTrue="1" operator="equal">
      <formula>"Napkin Hs"</formula>
    </cfRule>
  </conditionalFormatting>
  <conditionalFormatting sqref="B90:C90">
    <cfRule type="cellIs" dxfId="18881" priority="8269" stopIfTrue="1" operator="equal">
      <formula>"Towel"</formula>
    </cfRule>
    <cfRule type="cellIs" dxfId="18880" priority="8270" stopIfTrue="1" operator="equal">
      <formula>"Napkin Hs"</formula>
    </cfRule>
  </conditionalFormatting>
  <conditionalFormatting sqref="B90:C90">
    <cfRule type="cellIs" dxfId="18879" priority="8267" stopIfTrue="1" operator="equal">
      <formula>"Towel"</formula>
    </cfRule>
    <cfRule type="cellIs" dxfId="18878" priority="8268" stopIfTrue="1" operator="equal">
      <formula>"Napkin Hs"</formula>
    </cfRule>
  </conditionalFormatting>
  <conditionalFormatting sqref="C90">
    <cfRule type="cellIs" dxfId="18877" priority="8261" stopIfTrue="1" operator="equal">
      <formula>"Towel"</formula>
    </cfRule>
    <cfRule type="cellIs" dxfId="18876" priority="8262" stopIfTrue="1" operator="equal">
      <formula>"Napkin Hs"</formula>
    </cfRule>
  </conditionalFormatting>
  <conditionalFormatting sqref="C90">
    <cfRule type="cellIs" dxfId="18875" priority="8263" stopIfTrue="1" operator="equal">
      <formula>"Towel"</formula>
    </cfRule>
    <cfRule type="cellIs" dxfId="18874" priority="8264" stopIfTrue="1" operator="equal">
      <formula>"Napkin Hs"</formula>
    </cfRule>
  </conditionalFormatting>
  <conditionalFormatting sqref="C90">
    <cfRule type="cellIs" dxfId="18873" priority="8259" stopIfTrue="1" operator="equal">
      <formula>"Towel"</formula>
    </cfRule>
    <cfRule type="cellIs" dxfId="18872" priority="8260" stopIfTrue="1" operator="equal">
      <formula>"Napkin Hs"</formula>
    </cfRule>
  </conditionalFormatting>
  <conditionalFormatting sqref="C90">
    <cfRule type="cellIs" dxfId="18871" priority="8257" stopIfTrue="1" operator="equal">
      <formula>"Towel"</formula>
    </cfRule>
    <cfRule type="cellIs" dxfId="18870" priority="8258" stopIfTrue="1" operator="equal">
      <formula>"Napkin Hs"</formula>
    </cfRule>
  </conditionalFormatting>
  <conditionalFormatting sqref="C90">
    <cfRule type="cellIs" dxfId="18869" priority="8253" stopIfTrue="1" operator="equal">
      <formula>"Towel"</formula>
    </cfRule>
    <cfRule type="cellIs" dxfId="18868" priority="8254" stopIfTrue="1" operator="equal">
      <formula>"Napkin Hs"</formula>
    </cfRule>
  </conditionalFormatting>
  <conditionalFormatting sqref="C90">
    <cfRule type="cellIs" dxfId="18867" priority="8255" stopIfTrue="1" operator="equal">
      <formula>"Towel"</formula>
    </cfRule>
    <cfRule type="cellIs" dxfId="18866" priority="8256" stopIfTrue="1" operator="equal">
      <formula>"Napkin Hs"</formula>
    </cfRule>
  </conditionalFormatting>
  <conditionalFormatting sqref="C90">
    <cfRule type="cellIs" dxfId="18865" priority="8251" stopIfTrue="1" operator="equal">
      <formula>"Towel"</formula>
    </cfRule>
    <cfRule type="cellIs" dxfId="18864" priority="8252" stopIfTrue="1" operator="equal">
      <formula>"Napkin Hs"</formula>
    </cfRule>
  </conditionalFormatting>
  <conditionalFormatting sqref="C90">
    <cfRule type="cellIs" dxfId="18863" priority="8235" stopIfTrue="1" operator="equal">
      <formula>"Towel"</formula>
    </cfRule>
    <cfRule type="cellIs" dxfId="18862" priority="8236" stopIfTrue="1" operator="equal">
      <formula>"Napkin Hs"</formula>
    </cfRule>
  </conditionalFormatting>
  <conditionalFormatting sqref="B90">
    <cfRule type="cellIs" dxfId="18861" priority="8233" stopIfTrue="1" operator="equal">
      <formula>"Towel"</formula>
    </cfRule>
    <cfRule type="cellIs" dxfId="18860" priority="8234" stopIfTrue="1" operator="equal">
      <formula>"Napkin Hs"</formula>
    </cfRule>
  </conditionalFormatting>
  <conditionalFormatting sqref="B90">
    <cfRule type="cellIs" dxfId="18859" priority="8249" stopIfTrue="1" operator="equal">
      <formula>"Towel"</formula>
    </cfRule>
    <cfRule type="cellIs" dxfId="18858" priority="8250" stopIfTrue="1" operator="equal">
      <formula>"Napkin Hs"</formula>
    </cfRule>
  </conditionalFormatting>
  <conditionalFormatting sqref="C90">
    <cfRule type="cellIs" dxfId="18857" priority="8245" stopIfTrue="1" operator="equal">
      <formula>"Towel"</formula>
    </cfRule>
    <cfRule type="cellIs" dxfId="18856" priority="8246" stopIfTrue="1" operator="equal">
      <formula>"Napkin Hs"</formula>
    </cfRule>
  </conditionalFormatting>
  <conditionalFormatting sqref="B90">
    <cfRule type="cellIs" dxfId="18855" priority="8247" stopIfTrue="1" operator="equal">
      <formula>"Towel"</formula>
    </cfRule>
    <cfRule type="cellIs" dxfId="18854" priority="8248" stopIfTrue="1" operator="equal">
      <formula>"Napkin Hs"</formula>
    </cfRule>
  </conditionalFormatting>
  <conditionalFormatting sqref="C90">
    <cfRule type="cellIs" dxfId="18853" priority="8241" stopIfTrue="1" operator="equal">
      <formula>"Towel"</formula>
    </cfRule>
    <cfRule type="cellIs" dxfId="18852" priority="8242" stopIfTrue="1" operator="equal">
      <formula>"Napkin Hs"</formula>
    </cfRule>
  </conditionalFormatting>
  <conditionalFormatting sqref="C90">
    <cfRule type="cellIs" dxfId="18851" priority="8243" stopIfTrue="1" operator="equal">
      <formula>"Towel"</formula>
    </cfRule>
    <cfRule type="cellIs" dxfId="18850" priority="8244" stopIfTrue="1" operator="equal">
      <formula>"Napkin Hs"</formula>
    </cfRule>
  </conditionalFormatting>
  <conditionalFormatting sqref="C90">
    <cfRule type="cellIs" dxfId="18849" priority="8239" stopIfTrue="1" operator="equal">
      <formula>"Towel"</formula>
    </cfRule>
    <cfRule type="cellIs" dxfId="18848" priority="8240" stopIfTrue="1" operator="equal">
      <formula>"Napkin Hs"</formula>
    </cfRule>
  </conditionalFormatting>
  <conditionalFormatting sqref="C90">
    <cfRule type="cellIs" dxfId="18847" priority="8237" stopIfTrue="1" operator="equal">
      <formula>"Towel"</formula>
    </cfRule>
    <cfRule type="cellIs" dxfId="18846" priority="8238" stopIfTrue="1" operator="equal">
      <formula>"Napkin Hs"</formula>
    </cfRule>
  </conditionalFormatting>
  <conditionalFormatting sqref="B90">
    <cfRule type="cellIs" dxfId="18845" priority="8231" stopIfTrue="1" operator="equal">
      <formula>"Towel"</formula>
    </cfRule>
    <cfRule type="cellIs" dxfId="18844" priority="8232" stopIfTrue="1" operator="equal">
      <formula>"Napkin Hs"</formula>
    </cfRule>
  </conditionalFormatting>
  <conditionalFormatting sqref="B90:C90">
    <cfRule type="cellIs" dxfId="18843" priority="8229" stopIfTrue="1" operator="equal">
      <formula>"Towel"</formula>
    </cfRule>
    <cfRule type="cellIs" dxfId="18842" priority="8230" stopIfTrue="1" operator="equal">
      <formula>"Napkin Hs"</formula>
    </cfRule>
  </conditionalFormatting>
  <conditionalFormatting sqref="C90">
    <cfRule type="cellIs" dxfId="18841" priority="8227" stopIfTrue="1" operator="equal">
      <formula>"Towel"</formula>
    </cfRule>
    <cfRule type="cellIs" dxfId="18840" priority="8228" stopIfTrue="1" operator="equal">
      <formula>"Napkin Hs"</formula>
    </cfRule>
  </conditionalFormatting>
  <conditionalFormatting sqref="C90">
    <cfRule type="cellIs" dxfId="18839" priority="8225" stopIfTrue="1" operator="equal">
      <formula>"Towel"</formula>
    </cfRule>
    <cfRule type="cellIs" dxfId="18838" priority="8226" stopIfTrue="1" operator="equal">
      <formula>"Napkin Hs"</formula>
    </cfRule>
  </conditionalFormatting>
  <conditionalFormatting sqref="C90">
    <cfRule type="cellIs" dxfId="18837" priority="8215" stopIfTrue="1" operator="equal">
      <formula>"Towel"</formula>
    </cfRule>
    <cfRule type="cellIs" dxfId="18836" priority="8216" stopIfTrue="1" operator="equal">
      <formula>"Napkin Hs"</formula>
    </cfRule>
  </conditionalFormatting>
  <conditionalFormatting sqref="C90">
    <cfRule type="cellIs" dxfId="18835" priority="8217" stopIfTrue="1" operator="equal">
      <formula>"Towel"</formula>
    </cfRule>
    <cfRule type="cellIs" dxfId="18834" priority="8218" stopIfTrue="1" operator="equal">
      <formula>"Napkin Hs"</formula>
    </cfRule>
  </conditionalFormatting>
  <conditionalFormatting sqref="B90:C90">
    <cfRule type="cellIs" dxfId="18833" priority="8213" stopIfTrue="1" operator="equal">
      <formula>"Towel"</formula>
    </cfRule>
    <cfRule type="cellIs" dxfId="18832" priority="8214" stopIfTrue="1" operator="equal">
      <formula>"Napkin Hs"</formula>
    </cfRule>
  </conditionalFormatting>
  <conditionalFormatting sqref="C90">
    <cfRule type="cellIs" dxfId="18831" priority="8211" stopIfTrue="1" operator="equal">
      <formula>"Towel"</formula>
    </cfRule>
    <cfRule type="cellIs" dxfId="18830" priority="8212" stopIfTrue="1" operator="equal">
      <formula>"Napkin Hs"</formula>
    </cfRule>
  </conditionalFormatting>
  <conditionalFormatting sqref="B90:C90">
    <cfRule type="cellIs" dxfId="18829" priority="8207" stopIfTrue="1" operator="equal">
      <formula>"Towel"</formula>
    </cfRule>
    <cfRule type="cellIs" dxfId="18828" priority="8208" stopIfTrue="1" operator="equal">
      <formula>"Napkin Hs"</formula>
    </cfRule>
  </conditionalFormatting>
  <conditionalFormatting sqref="C90">
    <cfRule type="cellIs" dxfId="18827" priority="8209" stopIfTrue="1" operator="equal">
      <formula>"Towel"</formula>
    </cfRule>
    <cfRule type="cellIs" dxfId="18826" priority="8210" stopIfTrue="1" operator="equal">
      <formula>"Napkin Hs"</formula>
    </cfRule>
  </conditionalFormatting>
  <conditionalFormatting sqref="C90">
    <cfRule type="cellIs" dxfId="18825" priority="8266" stopIfTrue="1" operator="equal">
      <formula>"Napkin Hs"</formula>
    </cfRule>
  </conditionalFormatting>
  <conditionalFormatting sqref="C90">
    <cfRule type="cellIs" dxfId="18824" priority="8265" stopIfTrue="1" operator="equal">
      <formula>"Towel"</formula>
    </cfRule>
  </conditionalFormatting>
  <conditionalFormatting sqref="B90:C90">
    <cfRule type="cellIs" dxfId="18823" priority="8223" stopIfTrue="1" operator="equal">
      <formula>"Towel"</formula>
    </cfRule>
    <cfRule type="cellIs" dxfId="18822" priority="8224" stopIfTrue="1" operator="equal">
      <formula>"Napkin Hs"</formula>
    </cfRule>
  </conditionalFormatting>
  <conditionalFormatting sqref="C90">
    <cfRule type="cellIs" dxfId="18821" priority="8221" stopIfTrue="1" operator="equal">
      <formula>"Towel"</formula>
    </cfRule>
    <cfRule type="cellIs" dxfId="18820" priority="8222" stopIfTrue="1" operator="equal">
      <formula>"Napkin Hs"</formula>
    </cfRule>
  </conditionalFormatting>
  <conditionalFormatting sqref="C90">
    <cfRule type="cellIs" dxfId="18819" priority="8219" stopIfTrue="1" operator="equal">
      <formula>"Towel"</formula>
    </cfRule>
    <cfRule type="cellIs" dxfId="18818" priority="8220" stopIfTrue="1" operator="equal">
      <formula>"Napkin Hs"</formula>
    </cfRule>
  </conditionalFormatting>
  <conditionalFormatting sqref="B90:C90">
    <cfRule type="cellIs" dxfId="18817" priority="8203" stopIfTrue="1" operator="equal">
      <formula>"Towel"</formula>
    </cfRule>
    <cfRule type="cellIs" dxfId="18816" priority="8204" stopIfTrue="1" operator="equal">
      <formula>"Napkin Hs"</formula>
    </cfRule>
  </conditionalFormatting>
  <conditionalFormatting sqref="C90">
    <cfRule type="cellIs" dxfId="18815" priority="8205" stopIfTrue="1" operator="equal">
      <formula>"Towel"</formula>
    </cfRule>
    <cfRule type="cellIs" dxfId="18814" priority="8206" stopIfTrue="1" operator="equal">
      <formula>"Napkin Hs"</formula>
    </cfRule>
  </conditionalFormatting>
  <conditionalFormatting sqref="C90">
    <cfRule type="cellIs" dxfId="18813" priority="8201" stopIfTrue="1" operator="equal">
      <formula>"Towel"</formula>
    </cfRule>
    <cfRule type="cellIs" dxfId="18812" priority="8202" stopIfTrue="1" operator="equal">
      <formula>"Napkin Hs"</formula>
    </cfRule>
  </conditionalFormatting>
  <conditionalFormatting sqref="B90:C90">
    <cfRule type="cellIs" dxfId="18811" priority="8199" stopIfTrue="1" operator="equal">
      <formula>"Towel"</formula>
    </cfRule>
    <cfRule type="cellIs" dxfId="18810" priority="8200" stopIfTrue="1" operator="equal">
      <formula>"Napkin Hs"</formula>
    </cfRule>
  </conditionalFormatting>
  <conditionalFormatting sqref="C90">
    <cfRule type="cellIs" dxfId="18809" priority="8195" stopIfTrue="1" operator="equal">
      <formula>"Towel"</formula>
    </cfRule>
    <cfRule type="cellIs" dxfId="18808" priority="8196" stopIfTrue="1" operator="equal">
      <formula>"Napkin Hs"</formula>
    </cfRule>
  </conditionalFormatting>
  <conditionalFormatting sqref="C90">
    <cfRule type="cellIs" dxfId="18807" priority="8197" stopIfTrue="1" operator="equal">
      <formula>"Towel"</formula>
    </cfRule>
    <cfRule type="cellIs" dxfId="18806" priority="8198" stopIfTrue="1" operator="equal">
      <formula>"Napkin Hs"</formula>
    </cfRule>
  </conditionalFormatting>
  <conditionalFormatting sqref="B90:C90">
    <cfRule type="cellIs" dxfId="18805" priority="8191" stopIfTrue="1" operator="equal">
      <formula>"Towel"</formula>
    </cfRule>
    <cfRule type="cellIs" dxfId="18804" priority="8192" stopIfTrue="1" operator="equal">
      <formula>"Napkin Hs"</formula>
    </cfRule>
  </conditionalFormatting>
  <conditionalFormatting sqref="C90">
    <cfRule type="cellIs" dxfId="18803" priority="8193" stopIfTrue="1" operator="equal">
      <formula>"Towel"</formula>
    </cfRule>
    <cfRule type="cellIs" dxfId="18802" priority="8194" stopIfTrue="1" operator="equal">
      <formula>"Napkin Hs"</formula>
    </cfRule>
  </conditionalFormatting>
  <conditionalFormatting sqref="C90">
    <cfRule type="cellIs" dxfId="18801" priority="8189" stopIfTrue="1" operator="equal">
      <formula>"Towel"</formula>
    </cfRule>
    <cfRule type="cellIs" dxfId="18800" priority="8190" stopIfTrue="1" operator="equal">
      <formula>"Napkin Hs"</formula>
    </cfRule>
  </conditionalFormatting>
  <conditionalFormatting sqref="B90:C90">
    <cfRule type="cellIs" dxfId="18799" priority="8187" stopIfTrue="1" operator="equal">
      <formula>"Towel"</formula>
    </cfRule>
    <cfRule type="cellIs" dxfId="18798" priority="8188" stopIfTrue="1" operator="equal">
      <formula>"Napkin Hs"</formula>
    </cfRule>
  </conditionalFormatting>
  <conditionalFormatting sqref="C90">
    <cfRule type="cellIs" dxfId="18797" priority="8183" stopIfTrue="1" operator="equal">
      <formula>"Towel"</formula>
    </cfRule>
    <cfRule type="cellIs" dxfId="18796" priority="8184" stopIfTrue="1" operator="equal">
      <formula>"Napkin Hs"</formula>
    </cfRule>
  </conditionalFormatting>
  <conditionalFormatting sqref="C90">
    <cfRule type="cellIs" dxfId="18795" priority="8185" stopIfTrue="1" operator="equal">
      <formula>"Towel"</formula>
    </cfRule>
    <cfRule type="cellIs" dxfId="18794" priority="8186" stopIfTrue="1" operator="equal">
      <formula>"Napkin Hs"</formula>
    </cfRule>
  </conditionalFormatting>
  <conditionalFormatting sqref="C97">
    <cfRule type="cellIs" dxfId="18793" priority="8179" stopIfTrue="1" operator="equal">
      <formula>"Towel"</formula>
    </cfRule>
    <cfRule type="cellIs" dxfId="18792" priority="8180" stopIfTrue="1" operator="equal">
      <formula>"Napkin Hs"</formula>
    </cfRule>
  </conditionalFormatting>
  <conditionalFormatting sqref="C97">
    <cfRule type="cellIs" dxfId="18791" priority="8181" stopIfTrue="1" operator="equal">
      <formula>"Towel"</formula>
    </cfRule>
    <cfRule type="cellIs" dxfId="18790" priority="8182" stopIfTrue="1" operator="equal">
      <formula>"Napkin Hs"</formula>
    </cfRule>
  </conditionalFormatting>
  <conditionalFormatting sqref="B97:C97">
    <cfRule type="cellIs" dxfId="18789" priority="8177" stopIfTrue="1" operator="equal">
      <formula>"Towel"</formula>
    </cfRule>
    <cfRule type="cellIs" dxfId="18788" priority="8178" stopIfTrue="1" operator="equal">
      <formula>"Napkin Hs"</formula>
    </cfRule>
  </conditionalFormatting>
  <conditionalFormatting sqref="B97:C97">
    <cfRule type="cellIs" dxfId="18787" priority="8171" stopIfTrue="1" operator="equal">
      <formula>"Towel"</formula>
    </cfRule>
    <cfRule type="cellIs" dxfId="18786" priority="8172" stopIfTrue="1" operator="equal">
      <formula>"Napkin Hs"</formula>
    </cfRule>
  </conditionalFormatting>
  <conditionalFormatting sqref="C97">
    <cfRule type="cellIs" dxfId="18785" priority="8173" stopIfTrue="1" operator="equal">
      <formula>"Towel"</formula>
    </cfRule>
    <cfRule type="cellIs" dxfId="18784" priority="8174" stopIfTrue="1" operator="equal">
      <formula>"Napkin Hs"</formula>
    </cfRule>
  </conditionalFormatting>
  <conditionalFormatting sqref="C97">
    <cfRule type="cellIs" dxfId="18783" priority="8175" stopIfTrue="1" operator="equal">
      <formula>"Towel"</formula>
    </cfRule>
    <cfRule type="cellIs" dxfId="18782" priority="8176" stopIfTrue="1" operator="equal">
      <formula>"Napkin Hs"</formula>
    </cfRule>
  </conditionalFormatting>
  <conditionalFormatting sqref="C97">
    <cfRule type="cellIs" dxfId="18781" priority="8143" stopIfTrue="1" operator="equal">
      <formula>"Towel"</formula>
    </cfRule>
    <cfRule type="cellIs" dxfId="18780" priority="8144" stopIfTrue="1" operator="equal">
      <formula>"Napkin Hs"</formula>
    </cfRule>
  </conditionalFormatting>
  <conditionalFormatting sqref="C97">
    <cfRule type="cellIs" dxfId="18779" priority="8145" stopIfTrue="1" operator="equal">
      <formula>"Towel"</formula>
    </cfRule>
    <cfRule type="cellIs" dxfId="18778" priority="8146" stopIfTrue="1" operator="equal">
      <formula>"Napkin Hs"</formula>
    </cfRule>
  </conditionalFormatting>
  <conditionalFormatting sqref="C97">
    <cfRule type="cellIs" dxfId="18777" priority="8141" stopIfTrue="1" operator="equal">
      <formula>"Towel"</formula>
    </cfRule>
    <cfRule type="cellIs" dxfId="18776" priority="8142" stopIfTrue="1" operator="equal">
      <formula>"Napkin Hs"</formula>
    </cfRule>
  </conditionalFormatting>
  <conditionalFormatting sqref="B97">
    <cfRule type="cellIs" dxfId="18775" priority="8135" stopIfTrue="1" operator="equal">
      <formula>"Towel"</formula>
    </cfRule>
    <cfRule type="cellIs" dxfId="18774" priority="8136" stopIfTrue="1" operator="equal">
      <formula>"Napkin Hs"</formula>
    </cfRule>
  </conditionalFormatting>
  <conditionalFormatting sqref="C97">
    <cfRule type="cellIs" dxfId="18773" priority="8137" stopIfTrue="1" operator="equal">
      <formula>"Towel"</formula>
    </cfRule>
    <cfRule type="cellIs" dxfId="18772" priority="8138" stopIfTrue="1" operator="equal">
      <formula>"Napkin Hs"</formula>
    </cfRule>
  </conditionalFormatting>
  <conditionalFormatting sqref="C97">
    <cfRule type="cellIs" dxfId="18771" priority="8139" stopIfTrue="1" operator="equal">
      <formula>"Towel"</formula>
    </cfRule>
    <cfRule type="cellIs" dxfId="18770" priority="8140" stopIfTrue="1" operator="equal">
      <formula>"Napkin Hs"</formula>
    </cfRule>
  </conditionalFormatting>
  <conditionalFormatting sqref="B97:C97">
    <cfRule type="cellIs" dxfId="18769" priority="8089" stopIfTrue="1" operator="equal">
      <formula>"Towel"</formula>
    </cfRule>
    <cfRule type="cellIs" dxfId="18768" priority="8090" stopIfTrue="1" operator="equal">
      <formula>"Napkin Hs"</formula>
    </cfRule>
  </conditionalFormatting>
  <conditionalFormatting sqref="C97">
    <cfRule type="cellIs" dxfId="18767" priority="8091" stopIfTrue="1" operator="equal">
      <formula>"Towel"</formula>
    </cfRule>
    <cfRule type="cellIs" dxfId="18766" priority="8092" stopIfTrue="1" operator="equal">
      <formula>"Napkin Hs"</formula>
    </cfRule>
  </conditionalFormatting>
  <conditionalFormatting sqref="C97">
    <cfRule type="cellIs" dxfId="18765" priority="8087" stopIfTrue="1" operator="equal">
      <formula>"Towel"</formula>
    </cfRule>
    <cfRule type="cellIs" dxfId="18764" priority="8088" stopIfTrue="1" operator="equal">
      <formula>"Napkin Hs"</formula>
    </cfRule>
  </conditionalFormatting>
  <conditionalFormatting sqref="C97">
    <cfRule type="cellIs" dxfId="18763" priority="8085" stopIfTrue="1" operator="equal">
      <formula>"Towel"</formula>
    </cfRule>
    <cfRule type="cellIs" dxfId="18762" priority="8086" stopIfTrue="1" operator="equal">
      <formula>"Napkin Hs"</formula>
    </cfRule>
  </conditionalFormatting>
  <conditionalFormatting sqref="B97">
    <cfRule type="cellIs" dxfId="18761" priority="8133" stopIfTrue="1" operator="equal">
      <formula>"Towel"</formula>
    </cfRule>
    <cfRule type="cellIs" dxfId="18760" priority="8134" stopIfTrue="1" operator="equal">
      <formula>"Napkin Hs"</formula>
    </cfRule>
  </conditionalFormatting>
  <conditionalFormatting sqref="C97">
    <cfRule type="cellIs" dxfId="18759" priority="8129" stopIfTrue="1" operator="equal">
      <formula>"Towel"</formula>
    </cfRule>
    <cfRule type="cellIs" dxfId="18758" priority="8130" stopIfTrue="1" operator="equal">
      <formula>"Napkin Hs"</formula>
    </cfRule>
  </conditionalFormatting>
  <conditionalFormatting sqref="C97">
    <cfRule type="cellIs" dxfId="18757" priority="8123" stopIfTrue="1" operator="equal">
      <formula>"Towel"</formula>
    </cfRule>
    <cfRule type="cellIs" dxfId="18756" priority="8124" stopIfTrue="1" operator="equal">
      <formula>"Napkin Hs"</formula>
    </cfRule>
  </conditionalFormatting>
  <conditionalFormatting sqref="C97">
    <cfRule type="cellIs" dxfId="18755" priority="8127" stopIfTrue="1" operator="equal">
      <formula>"Towel"</formula>
    </cfRule>
    <cfRule type="cellIs" dxfId="18754" priority="8128" stopIfTrue="1" operator="equal">
      <formula>"Napkin Hs"</formula>
    </cfRule>
  </conditionalFormatting>
  <conditionalFormatting sqref="B97:C97">
    <cfRule type="cellIs" dxfId="18753" priority="8125" stopIfTrue="1" operator="equal">
      <formula>"Towel"</formula>
    </cfRule>
    <cfRule type="cellIs" dxfId="18752" priority="8126" stopIfTrue="1" operator="equal">
      <formula>"Napkin Hs"</formula>
    </cfRule>
  </conditionalFormatting>
  <conditionalFormatting sqref="C97">
    <cfRule type="cellIs" dxfId="18751" priority="8117" stopIfTrue="1" operator="equal">
      <formula>"Towel"</formula>
    </cfRule>
    <cfRule type="cellIs" dxfId="18750" priority="8118" stopIfTrue="1" operator="equal">
      <formula>"Napkin Hs"</formula>
    </cfRule>
  </conditionalFormatting>
  <conditionalFormatting sqref="C97">
    <cfRule type="cellIs" dxfId="18749" priority="8119" stopIfTrue="1" operator="equal">
      <formula>"Towel"</formula>
    </cfRule>
    <cfRule type="cellIs" dxfId="18748" priority="8120" stopIfTrue="1" operator="equal">
      <formula>"Napkin Hs"</formula>
    </cfRule>
  </conditionalFormatting>
  <conditionalFormatting sqref="C97">
    <cfRule type="cellIs" dxfId="18747" priority="8121" stopIfTrue="1" operator="equal">
      <formula>"Towel"</formula>
    </cfRule>
    <cfRule type="cellIs" dxfId="18746" priority="8122" stopIfTrue="1" operator="equal">
      <formula>"Napkin Hs"</formula>
    </cfRule>
  </conditionalFormatting>
  <conditionalFormatting sqref="C97">
    <cfRule type="cellIs" dxfId="18745" priority="8111" stopIfTrue="1" operator="equal">
      <formula>"Towel"</formula>
    </cfRule>
    <cfRule type="cellIs" dxfId="18744" priority="8112" stopIfTrue="1" operator="equal">
      <formula>"Napkin Hs"</formula>
    </cfRule>
  </conditionalFormatting>
  <conditionalFormatting sqref="B97:C97">
    <cfRule type="cellIs" dxfId="18743" priority="8115" stopIfTrue="1" operator="equal">
      <formula>"Towel"</formula>
    </cfRule>
    <cfRule type="cellIs" dxfId="18742" priority="8116" stopIfTrue="1" operator="equal">
      <formula>"Napkin Hs"</formula>
    </cfRule>
  </conditionalFormatting>
  <conditionalFormatting sqref="C97">
    <cfRule type="cellIs" dxfId="18741" priority="8113" stopIfTrue="1" operator="equal">
      <formula>"Towel"</formula>
    </cfRule>
    <cfRule type="cellIs" dxfId="18740" priority="8114" stopIfTrue="1" operator="equal">
      <formula>"Napkin Hs"</formula>
    </cfRule>
  </conditionalFormatting>
  <conditionalFormatting sqref="B97:C97">
    <cfRule type="cellIs" dxfId="18739" priority="8105" stopIfTrue="1" operator="equal">
      <formula>"Towel"</formula>
    </cfRule>
    <cfRule type="cellIs" dxfId="18738" priority="8106" stopIfTrue="1" operator="equal">
      <formula>"Napkin Hs"</formula>
    </cfRule>
  </conditionalFormatting>
  <conditionalFormatting sqref="C97">
    <cfRule type="cellIs" dxfId="18737" priority="8107" stopIfTrue="1" operator="equal">
      <formula>"Towel"</formula>
    </cfRule>
    <cfRule type="cellIs" dxfId="18736" priority="8108" stopIfTrue="1" operator="equal">
      <formula>"Napkin Hs"</formula>
    </cfRule>
  </conditionalFormatting>
  <conditionalFormatting sqref="B97:C97">
    <cfRule type="cellIs" dxfId="18735" priority="8109" stopIfTrue="1" operator="equal">
      <formula>"Towel"</formula>
    </cfRule>
    <cfRule type="cellIs" dxfId="18734" priority="8110" stopIfTrue="1" operator="equal">
      <formula>"Napkin Hs"</formula>
    </cfRule>
  </conditionalFormatting>
  <conditionalFormatting sqref="C97">
    <cfRule type="cellIs" dxfId="18733" priority="8103" stopIfTrue="1" operator="equal">
      <formula>"Towel"</formula>
    </cfRule>
    <cfRule type="cellIs" dxfId="18732" priority="8104" stopIfTrue="1" operator="equal">
      <formula>"Napkin Hs"</formula>
    </cfRule>
  </conditionalFormatting>
  <conditionalFormatting sqref="C97">
    <cfRule type="cellIs" dxfId="18731" priority="8099" stopIfTrue="1" operator="equal">
      <formula>"Towel"</formula>
    </cfRule>
    <cfRule type="cellIs" dxfId="18730" priority="8100" stopIfTrue="1" operator="equal">
      <formula>"Napkin Hs"</formula>
    </cfRule>
  </conditionalFormatting>
  <conditionalFormatting sqref="B97:C97">
    <cfRule type="cellIs" dxfId="18729" priority="8101" stopIfTrue="1" operator="equal">
      <formula>"Towel"</formula>
    </cfRule>
    <cfRule type="cellIs" dxfId="18728" priority="8102" stopIfTrue="1" operator="equal">
      <formula>"Napkin Hs"</formula>
    </cfRule>
  </conditionalFormatting>
  <conditionalFormatting sqref="C97">
    <cfRule type="cellIs" dxfId="18727" priority="8097" stopIfTrue="1" operator="equal">
      <formula>"Towel"</formula>
    </cfRule>
    <cfRule type="cellIs" dxfId="18726" priority="8098" stopIfTrue="1" operator="equal">
      <formula>"Napkin Hs"</formula>
    </cfRule>
  </conditionalFormatting>
  <conditionalFormatting sqref="C97">
    <cfRule type="cellIs" dxfId="18725" priority="8095" stopIfTrue="1" operator="equal">
      <formula>"Towel"</formula>
    </cfRule>
    <cfRule type="cellIs" dxfId="18724" priority="8096" stopIfTrue="1" operator="equal">
      <formula>"Napkin Hs"</formula>
    </cfRule>
  </conditionalFormatting>
  <conditionalFormatting sqref="B97:C97">
    <cfRule type="cellIs" dxfId="18723" priority="8093" stopIfTrue="1" operator="equal">
      <formula>"Towel"</formula>
    </cfRule>
    <cfRule type="cellIs" dxfId="18722" priority="8094" stopIfTrue="1" operator="equal">
      <formula>"Napkin Hs"</formula>
    </cfRule>
  </conditionalFormatting>
  <conditionalFormatting sqref="B97:C97">
    <cfRule type="cellIs" dxfId="18721" priority="8169" stopIfTrue="1" operator="equal">
      <formula>"Towel"</formula>
    </cfRule>
    <cfRule type="cellIs" dxfId="18720" priority="8170" stopIfTrue="1" operator="equal">
      <formula>"Napkin Hs"</formula>
    </cfRule>
  </conditionalFormatting>
  <conditionalFormatting sqref="C97">
    <cfRule type="cellIs" dxfId="18719" priority="8165" stopIfTrue="1" operator="equal">
      <formula>"Towel"</formula>
    </cfRule>
    <cfRule type="cellIs" dxfId="18718" priority="8166" stopIfTrue="1" operator="equal">
      <formula>"Napkin Hs"</formula>
    </cfRule>
  </conditionalFormatting>
  <conditionalFormatting sqref="C97">
    <cfRule type="cellIs" dxfId="18717" priority="8168" stopIfTrue="1" operator="equal">
      <formula>"Napkin Hs"</formula>
    </cfRule>
  </conditionalFormatting>
  <conditionalFormatting sqref="C97">
    <cfRule type="cellIs" dxfId="18716" priority="8167" stopIfTrue="1" operator="equal">
      <formula>"Towel"</formula>
    </cfRule>
  </conditionalFormatting>
  <conditionalFormatting sqref="C97">
    <cfRule type="cellIs" dxfId="18715" priority="8159" stopIfTrue="1" operator="equal">
      <formula>"Towel"</formula>
    </cfRule>
    <cfRule type="cellIs" dxfId="18714" priority="8160" stopIfTrue="1" operator="equal">
      <formula>"Napkin Hs"</formula>
    </cfRule>
  </conditionalFormatting>
  <conditionalFormatting sqref="C97">
    <cfRule type="cellIs" dxfId="18713" priority="8163" stopIfTrue="1" operator="equal">
      <formula>"Towel"</formula>
    </cfRule>
    <cfRule type="cellIs" dxfId="18712" priority="8164" stopIfTrue="1" operator="equal">
      <formula>"Napkin Hs"</formula>
    </cfRule>
  </conditionalFormatting>
  <conditionalFormatting sqref="B97">
    <cfRule type="cellIs" dxfId="18711" priority="8149" stopIfTrue="1" operator="equal">
      <formula>"Towel"</formula>
    </cfRule>
    <cfRule type="cellIs" dxfId="18710" priority="8150" stopIfTrue="1" operator="equal">
      <formula>"Napkin Hs"</formula>
    </cfRule>
  </conditionalFormatting>
  <conditionalFormatting sqref="C97">
    <cfRule type="cellIs" dxfId="18709" priority="8161" stopIfTrue="1" operator="equal">
      <formula>"Towel"</formula>
    </cfRule>
    <cfRule type="cellIs" dxfId="18708" priority="8162" stopIfTrue="1" operator="equal">
      <formula>"Napkin Hs"</formula>
    </cfRule>
  </conditionalFormatting>
  <conditionalFormatting sqref="C97">
    <cfRule type="cellIs" dxfId="18707" priority="8153" stopIfTrue="1" operator="equal">
      <formula>"Towel"</formula>
    </cfRule>
    <cfRule type="cellIs" dxfId="18706" priority="8154" stopIfTrue="1" operator="equal">
      <formula>"Napkin Hs"</formula>
    </cfRule>
  </conditionalFormatting>
  <conditionalFormatting sqref="C97">
    <cfRule type="cellIs" dxfId="18705" priority="8155" stopIfTrue="1" operator="equal">
      <formula>"Towel"</formula>
    </cfRule>
    <cfRule type="cellIs" dxfId="18704" priority="8156" stopIfTrue="1" operator="equal">
      <formula>"Napkin Hs"</formula>
    </cfRule>
  </conditionalFormatting>
  <conditionalFormatting sqref="C97">
    <cfRule type="cellIs" dxfId="18703" priority="8157" stopIfTrue="1" operator="equal">
      <formula>"Towel"</formula>
    </cfRule>
    <cfRule type="cellIs" dxfId="18702" priority="8158" stopIfTrue="1" operator="equal">
      <formula>"Napkin Hs"</formula>
    </cfRule>
  </conditionalFormatting>
  <conditionalFormatting sqref="B97">
    <cfRule type="cellIs" dxfId="18701" priority="8151" stopIfTrue="1" operator="equal">
      <formula>"Towel"</formula>
    </cfRule>
    <cfRule type="cellIs" dxfId="18700" priority="8152" stopIfTrue="1" operator="equal">
      <formula>"Napkin Hs"</formula>
    </cfRule>
  </conditionalFormatting>
  <conditionalFormatting sqref="C97">
    <cfRule type="cellIs" dxfId="18699" priority="8147" stopIfTrue="1" operator="equal">
      <formula>"Towel"</formula>
    </cfRule>
    <cfRule type="cellIs" dxfId="18698" priority="8148" stopIfTrue="1" operator="equal">
      <formula>"Napkin Hs"</formula>
    </cfRule>
  </conditionalFormatting>
  <conditionalFormatting sqref="B97:C97">
    <cfRule type="cellIs" dxfId="18697" priority="8131" stopIfTrue="1" operator="equal">
      <formula>"Towel"</formula>
    </cfRule>
    <cfRule type="cellIs" dxfId="18696" priority="8132" stopIfTrue="1" operator="equal">
      <formula>"Napkin Hs"</formula>
    </cfRule>
  </conditionalFormatting>
  <conditionalFormatting sqref="C96">
    <cfRule type="cellIs" dxfId="18695" priority="7983" stopIfTrue="1" operator="equal">
      <formula>"Towel"</formula>
    </cfRule>
    <cfRule type="cellIs" dxfId="18694" priority="7984" stopIfTrue="1" operator="equal">
      <formula>"Napkin Hs"</formula>
    </cfRule>
  </conditionalFormatting>
  <conditionalFormatting sqref="C96">
    <cfRule type="cellIs" dxfId="18693" priority="7985" stopIfTrue="1" operator="equal">
      <formula>"Towel"</formula>
    </cfRule>
    <cfRule type="cellIs" dxfId="18692" priority="7986" stopIfTrue="1" operator="equal">
      <formula>"Napkin Hs"</formula>
    </cfRule>
  </conditionalFormatting>
  <conditionalFormatting sqref="C96">
    <cfRule type="cellIs" dxfId="18691" priority="7979" stopIfTrue="1" operator="equal">
      <formula>"Towel"</formula>
    </cfRule>
    <cfRule type="cellIs" dxfId="18690" priority="7980" stopIfTrue="1" operator="equal">
      <formula>"Napkin Hs"</formula>
    </cfRule>
  </conditionalFormatting>
  <conditionalFormatting sqref="B96:C96">
    <cfRule type="cellIs" dxfId="18689" priority="7981" stopIfTrue="1" operator="equal">
      <formula>"Towel"</formula>
    </cfRule>
    <cfRule type="cellIs" dxfId="18688" priority="7982" stopIfTrue="1" operator="equal">
      <formula>"Napkin Hs"</formula>
    </cfRule>
  </conditionalFormatting>
  <conditionalFormatting sqref="C96">
    <cfRule type="cellIs" dxfId="18687" priority="7977" stopIfTrue="1" operator="equal">
      <formula>"Towel"</formula>
    </cfRule>
    <cfRule type="cellIs" dxfId="18686" priority="7978" stopIfTrue="1" operator="equal">
      <formula>"Napkin Hs"</formula>
    </cfRule>
  </conditionalFormatting>
  <conditionalFormatting sqref="B96:C96">
    <cfRule type="cellIs" dxfId="18685" priority="7975" stopIfTrue="1" operator="equal">
      <formula>"Towel"</formula>
    </cfRule>
    <cfRule type="cellIs" dxfId="18684" priority="7976" stopIfTrue="1" operator="equal">
      <formula>"Napkin Hs"</formula>
    </cfRule>
  </conditionalFormatting>
  <conditionalFormatting sqref="B96:C96">
    <cfRule type="cellIs" dxfId="18683" priority="7973" stopIfTrue="1" operator="equal">
      <formula>"Towel"</formula>
    </cfRule>
    <cfRule type="cellIs" dxfId="18682" priority="7974" stopIfTrue="1" operator="equal">
      <formula>"Napkin Hs"</formula>
    </cfRule>
  </conditionalFormatting>
  <conditionalFormatting sqref="C96">
    <cfRule type="cellIs" dxfId="18681" priority="7967" stopIfTrue="1" operator="equal">
      <formula>"Towel"</formula>
    </cfRule>
    <cfRule type="cellIs" dxfId="18680" priority="7968" stopIfTrue="1" operator="equal">
      <formula>"Napkin Hs"</formula>
    </cfRule>
  </conditionalFormatting>
  <conditionalFormatting sqref="C96">
    <cfRule type="cellIs" dxfId="18679" priority="7969" stopIfTrue="1" operator="equal">
      <formula>"Towel"</formula>
    </cfRule>
    <cfRule type="cellIs" dxfId="18678" priority="7970" stopIfTrue="1" operator="equal">
      <formula>"Napkin Hs"</formula>
    </cfRule>
  </conditionalFormatting>
  <conditionalFormatting sqref="C96">
    <cfRule type="cellIs" dxfId="18677" priority="7965" stopIfTrue="1" operator="equal">
      <formula>"Towel"</formula>
    </cfRule>
    <cfRule type="cellIs" dxfId="18676" priority="7966" stopIfTrue="1" operator="equal">
      <formula>"Napkin Hs"</formula>
    </cfRule>
  </conditionalFormatting>
  <conditionalFormatting sqref="C96">
    <cfRule type="cellIs" dxfId="18675" priority="7963" stopIfTrue="1" operator="equal">
      <formula>"Towel"</formula>
    </cfRule>
    <cfRule type="cellIs" dxfId="18674" priority="7964" stopIfTrue="1" operator="equal">
      <formula>"Napkin Hs"</formula>
    </cfRule>
  </conditionalFormatting>
  <conditionalFormatting sqref="C96">
    <cfRule type="cellIs" dxfId="18673" priority="7959" stopIfTrue="1" operator="equal">
      <formula>"Towel"</formula>
    </cfRule>
    <cfRule type="cellIs" dxfId="18672" priority="7960" stopIfTrue="1" operator="equal">
      <formula>"Napkin Hs"</formula>
    </cfRule>
  </conditionalFormatting>
  <conditionalFormatting sqref="C96">
    <cfRule type="cellIs" dxfId="18671" priority="7961" stopIfTrue="1" operator="equal">
      <formula>"Towel"</formula>
    </cfRule>
    <cfRule type="cellIs" dxfId="18670" priority="7962" stopIfTrue="1" operator="equal">
      <formula>"Napkin Hs"</formula>
    </cfRule>
  </conditionalFormatting>
  <conditionalFormatting sqref="C96">
    <cfRule type="cellIs" dxfId="18669" priority="7957" stopIfTrue="1" operator="equal">
      <formula>"Towel"</formula>
    </cfRule>
    <cfRule type="cellIs" dxfId="18668" priority="7958" stopIfTrue="1" operator="equal">
      <formula>"Napkin Hs"</formula>
    </cfRule>
  </conditionalFormatting>
  <conditionalFormatting sqref="C96">
    <cfRule type="cellIs" dxfId="18667" priority="7941" stopIfTrue="1" operator="equal">
      <formula>"Towel"</formula>
    </cfRule>
    <cfRule type="cellIs" dxfId="18666" priority="7942" stopIfTrue="1" operator="equal">
      <formula>"Napkin Hs"</formula>
    </cfRule>
  </conditionalFormatting>
  <conditionalFormatting sqref="B96">
    <cfRule type="cellIs" dxfId="18665" priority="7939" stopIfTrue="1" operator="equal">
      <formula>"Towel"</formula>
    </cfRule>
    <cfRule type="cellIs" dxfId="18664" priority="7940" stopIfTrue="1" operator="equal">
      <formula>"Napkin Hs"</formula>
    </cfRule>
  </conditionalFormatting>
  <conditionalFormatting sqref="B96">
    <cfRule type="cellIs" dxfId="18663" priority="7955" stopIfTrue="1" operator="equal">
      <formula>"Towel"</formula>
    </cfRule>
    <cfRule type="cellIs" dxfId="18662" priority="7956" stopIfTrue="1" operator="equal">
      <formula>"Napkin Hs"</formula>
    </cfRule>
  </conditionalFormatting>
  <conditionalFormatting sqref="C96">
    <cfRule type="cellIs" dxfId="18661" priority="7951" stopIfTrue="1" operator="equal">
      <formula>"Towel"</formula>
    </cfRule>
    <cfRule type="cellIs" dxfId="18660" priority="7952" stopIfTrue="1" operator="equal">
      <formula>"Napkin Hs"</formula>
    </cfRule>
  </conditionalFormatting>
  <conditionalFormatting sqref="B96">
    <cfRule type="cellIs" dxfId="18659" priority="7953" stopIfTrue="1" operator="equal">
      <formula>"Towel"</formula>
    </cfRule>
    <cfRule type="cellIs" dxfId="18658" priority="7954" stopIfTrue="1" operator="equal">
      <formula>"Napkin Hs"</formula>
    </cfRule>
  </conditionalFormatting>
  <conditionalFormatting sqref="C96">
    <cfRule type="cellIs" dxfId="18657" priority="7947" stopIfTrue="1" operator="equal">
      <formula>"Towel"</formula>
    </cfRule>
    <cfRule type="cellIs" dxfId="18656" priority="7948" stopIfTrue="1" operator="equal">
      <formula>"Napkin Hs"</formula>
    </cfRule>
  </conditionalFormatting>
  <conditionalFormatting sqref="C96">
    <cfRule type="cellIs" dxfId="18655" priority="7949" stopIfTrue="1" operator="equal">
      <formula>"Towel"</formula>
    </cfRule>
    <cfRule type="cellIs" dxfId="18654" priority="7950" stopIfTrue="1" operator="equal">
      <formula>"Napkin Hs"</formula>
    </cfRule>
  </conditionalFormatting>
  <conditionalFormatting sqref="C96">
    <cfRule type="cellIs" dxfId="18653" priority="7945" stopIfTrue="1" operator="equal">
      <formula>"Towel"</formula>
    </cfRule>
    <cfRule type="cellIs" dxfId="18652" priority="7946" stopIfTrue="1" operator="equal">
      <formula>"Napkin Hs"</formula>
    </cfRule>
  </conditionalFormatting>
  <conditionalFormatting sqref="C96">
    <cfRule type="cellIs" dxfId="18651" priority="7943" stopIfTrue="1" operator="equal">
      <formula>"Towel"</formula>
    </cfRule>
    <cfRule type="cellIs" dxfId="18650" priority="7944" stopIfTrue="1" operator="equal">
      <formula>"Napkin Hs"</formula>
    </cfRule>
  </conditionalFormatting>
  <conditionalFormatting sqref="B96">
    <cfRule type="cellIs" dxfId="18649" priority="7937" stopIfTrue="1" operator="equal">
      <formula>"Towel"</formula>
    </cfRule>
    <cfRule type="cellIs" dxfId="18648" priority="7938" stopIfTrue="1" operator="equal">
      <formula>"Napkin Hs"</formula>
    </cfRule>
  </conditionalFormatting>
  <conditionalFormatting sqref="B96:C96">
    <cfRule type="cellIs" dxfId="18647" priority="7935" stopIfTrue="1" operator="equal">
      <formula>"Towel"</formula>
    </cfRule>
    <cfRule type="cellIs" dxfId="18646" priority="7936" stopIfTrue="1" operator="equal">
      <formula>"Napkin Hs"</formula>
    </cfRule>
  </conditionalFormatting>
  <conditionalFormatting sqref="C96">
    <cfRule type="cellIs" dxfId="18645" priority="7933" stopIfTrue="1" operator="equal">
      <formula>"Towel"</formula>
    </cfRule>
    <cfRule type="cellIs" dxfId="18644" priority="7934" stopIfTrue="1" operator="equal">
      <formula>"Napkin Hs"</formula>
    </cfRule>
  </conditionalFormatting>
  <conditionalFormatting sqref="C96">
    <cfRule type="cellIs" dxfId="18643" priority="7931" stopIfTrue="1" operator="equal">
      <formula>"Towel"</formula>
    </cfRule>
    <cfRule type="cellIs" dxfId="18642" priority="7932" stopIfTrue="1" operator="equal">
      <formula>"Napkin Hs"</formula>
    </cfRule>
  </conditionalFormatting>
  <conditionalFormatting sqref="C96">
    <cfRule type="cellIs" dxfId="18641" priority="7921" stopIfTrue="1" operator="equal">
      <formula>"Towel"</formula>
    </cfRule>
    <cfRule type="cellIs" dxfId="18640" priority="7922" stopIfTrue="1" operator="equal">
      <formula>"Napkin Hs"</formula>
    </cfRule>
  </conditionalFormatting>
  <conditionalFormatting sqref="C96">
    <cfRule type="cellIs" dxfId="18639" priority="7923" stopIfTrue="1" operator="equal">
      <formula>"Towel"</formula>
    </cfRule>
    <cfRule type="cellIs" dxfId="18638" priority="7924" stopIfTrue="1" operator="equal">
      <formula>"Napkin Hs"</formula>
    </cfRule>
  </conditionalFormatting>
  <conditionalFormatting sqref="B96:C96">
    <cfRule type="cellIs" dxfId="18637" priority="7919" stopIfTrue="1" operator="equal">
      <formula>"Towel"</formula>
    </cfRule>
    <cfRule type="cellIs" dxfId="18636" priority="7920" stopIfTrue="1" operator="equal">
      <formula>"Napkin Hs"</formula>
    </cfRule>
  </conditionalFormatting>
  <conditionalFormatting sqref="C96">
    <cfRule type="cellIs" dxfId="18635" priority="7917" stopIfTrue="1" operator="equal">
      <formula>"Towel"</formula>
    </cfRule>
    <cfRule type="cellIs" dxfId="18634" priority="7918" stopIfTrue="1" operator="equal">
      <formula>"Napkin Hs"</formula>
    </cfRule>
  </conditionalFormatting>
  <conditionalFormatting sqref="B96:C96">
    <cfRule type="cellIs" dxfId="18633" priority="7913" stopIfTrue="1" operator="equal">
      <formula>"Towel"</formula>
    </cfRule>
    <cfRule type="cellIs" dxfId="18632" priority="7914" stopIfTrue="1" operator="equal">
      <formula>"Napkin Hs"</formula>
    </cfRule>
  </conditionalFormatting>
  <conditionalFormatting sqref="C96">
    <cfRule type="cellIs" dxfId="18631" priority="7915" stopIfTrue="1" operator="equal">
      <formula>"Towel"</formula>
    </cfRule>
    <cfRule type="cellIs" dxfId="18630" priority="7916" stopIfTrue="1" operator="equal">
      <formula>"Napkin Hs"</formula>
    </cfRule>
  </conditionalFormatting>
  <conditionalFormatting sqref="C96">
    <cfRule type="cellIs" dxfId="18629" priority="7972" stopIfTrue="1" operator="equal">
      <formula>"Napkin Hs"</formula>
    </cfRule>
  </conditionalFormatting>
  <conditionalFormatting sqref="C96">
    <cfRule type="cellIs" dxfId="18628" priority="7971" stopIfTrue="1" operator="equal">
      <formula>"Towel"</formula>
    </cfRule>
  </conditionalFormatting>
  <conditionalFormatting sqref="B96:C96">
    <cfRule type="cellIs" dxfId="18627" priority="7929" stopIfTrue="1" operator="equal">
      <formula>"Towel"</formula>
    </cfRule>
    <cfRule type="cellIs" dxfId="18626" priority="7930" stopIfTrue="1" operator="equal">
      <formula>"Napkin Hs"</formula>
    </cfRule>
  </conditionalFormatting>
  <conditionalFormatting sqref="C96">
    <cfRule type="cellIs" dxfId="18625" priority="7927" stopIfTrue="1" operator="equal">
      <formula>"Towel"</formula>
    </cfRule>
    <cfRule type="cellIs" dxfId="18624" priority="7928" stopIfTrue="1" operator="equal">
      <formula>"Napkin Hs"</formula>
    </cfRule>
  </conditionalFormatting>
  <conditionalFormatting sqref="C96">
    <cfRule type="cellIs" dxfId="18623" priority="7925" stopIfTrue="1" operator="equal">
      <formula>"Towel"</formula>
    </cfRule>
    <cfRule type="cellIs" dxfId="18622" priority="7926" stopIfTrue="1" operator="equal">
      <formula>"Napkin Hs"</formula>
    </cfRule>
  </conditionalFormatting>
  <conditionalFormatting sqref="B96:C96">
    <cfRule type="cellIs" dxfId="18621" priority="7909" stopIfTrue="1" operator="equal">
      <formula>"Towel"</formula>
    </cfRule>
    <cfRule type="cellIs" dxfId="18620" priority="7910" stopIfTrue="1" operator="equal">
      <formula>"Napkin Hs"</formula>
    </cfRule>
  </conditionalFormatting>
  <conditionalFormatting sqref="C96">
    <cfRule type="cellIs" dxfId="18619" priority="7911" stopIfTrue="1" operator="equal">
      <formula>"Towel"</formula>
    </cfRule>
    <cfRule type="cellIs" dxfId="18618" priority="7912" stopIfTrue="1" operator="equal">
      <formula>"Napkin Hs"</formula>
    </cfRule>
  </conditionalFormatting>
  <conditionalFormatting sqref="C96">
    <cfRule type="cellIs" dxfId="18617" priority="7907" stopIfTrue="1" operator="equal">
      <formula>"Towel"</formula>
    </cfRule>
    <cfRule type="cellIs" dxfId="18616" priority="7908" stopIfTrue="1" operator="equal">
      <formula>"Napkin Hs"</formula>
    </cfRule>
  </conditionalFormatting>
  <conditionalFormatting sqref="B96:C96">
    <cfRule type="cellIs" dxfId="18615" priority="7905" stopIfTrue="1" operator="equal">
      <formula>"Towel"</formula>
    </cfRule>
    <cfRule type="cellIs" dxfId="18614" priority="7906" stopIfTrue="1" operator="equal">
      <formula>"Napkin Hs"</formula>
    </cfRule>
  </conditionalFormatting>
  <conditionalFormatting sqref="C96">
    <cfRule type="cellIs" dxfId="18613" priority="7901" stopIfTrue="1" operator="equal">
      <formula>"Towel"</formula>
    </cfRule>
    <cfRule type="cellIs" dxfId="18612" priority="7902" stopIfTrue="1" operator="equal">
      <formula>"Napkin Hs"</formula>
    </cfRule>
  </conditionalFormatting>
  <conditionalFormatting sqref="C96">
    <cfRule type="cellIs" dxfId="18611" priority="7903" stopIfTrue="1" operator="equal">
      <formula>"Towel"</formula>
    </cfRule>
    <cfRule type="cellIs" dxfId="18610" priority="7904" stopIfTrue="1" operator="equal">
      <formula>"Napkin Hs"</formula>
    </cfRule>
  </conditionalFormatting>
  <conditionalFormatting sqref="B96:C96">
    <cfRule type="cellIs" dxfId="18609" priority="7897" stopIfTrue="1" operator="equal">
      <formula>"Towel"</formula>
    </cfRule>
    <cfRule type="cellIs" dxfId="18608" priority="7898" stopIfTrue="1" operator="equal">
      <formula>"Napkin Hs"</formula>
    </cfRule>
  </conditionalFormatting>
  <conditionalFormatting sqref="C96">
    <cfRule type="cellIs" dxfId="18607" priority="7899" stopIfTrue="1" operator="equal">
      <formula>"Towel"</formula>
    </cfRule>
    <cfRule type="cellIs" dxfId="18606" priority="7900" stopIfTrue="1" operator="equal">
      <formula>"Napkin Hs"</formula>
    </cfRule>
  </conditionalFormatting>
  <conditionalFormatting sqref="C96">
    <cfRule type="cellIs" dxfId="18605" priority="7895" stopIfTrue="1" operator="equal">
      <formula>"Towel"</formula>
    </cfRule>
    <cfRule type="cellIs" dxfId="18604" priority="7896" stopIfTrue="1" operator="equal">
      <formula>"Napkin Hs"</formula>
    </cfRule>
  </conditionalFormatting>
  <conditionalFormatting sqref="B96:C96">
    <cfRule type="cellIs" dxfId="18603" priority="7893" stopIfTrue="1" operator="equal">
      <formula>"Towel"</formula>
    </cfRule>
    <cfRule type="cellIs" dxfId="18602" priority="7894" stopIfTrue="1" operator="equal">
      <formula>"Napkin Hs"</formula>
    </cfRule>
  </conditionalFormatting>
  <conditionalFormatting sqref="C96">
    <cfRule type="cellIs" dxfId="18601" priority="7889" stopIfTrue="1" operator="equal">
      <formula>"Towel"</formula>
    </cfRule>
    <cfRule type="cellIs" dxfId="18600" priority="7890" stopIfTrue="1" operator="equal">
      <formula>"Napkin Hs"</formula>
    </cfRule>
  </conditionalFormatting>
  <conditionalFormatting sqref="C96">
    <cfRule type="cellIs" dxfId="18599" priority="7891" stopIfTrue="1" operator="equal">
      <formula>"Towel"</formula>
    </cfRule>
    <cfRule type="cellIs" dxfId="18598" priority="7892" stopIfTrue="1" operator="equal">
      <formula>"Napkin Hs"</formula>
    </cfRule>
  </conditionalFormatting>
  <conditionalFormatting sqref="C95">
    <cfRule type="cellIs" dxfId="18597" priority="7885" stopIfTrue="1" operator="equal">
      <formula>"Towel"</formula>
    </cfRule>
    <cfRule type="cellIs" dxfId="18596" priority="7886" stopIfTrue="1" operator="equal">
      <formula>"Napkin Hs"</formula>
    </cfRule>
  </conditionalFormatting>
  <conditionalFormatting sqref="C95">
    <cfRule type="cellIs" dxfId="18595" priority="7887" stopIfTrue="1" operator="equal">
      <formula>"Towel"</formula>
    </cfRule>
    <cfRule type="cellIs" dxfId="18594" priority="7888" stopIfTrue="1" operator="equal">
      <formula>"Napkin Hs"</formula>
    </cfRule>
  </conditionalFormatting>
  <conditionalFormatting sqref="C95">
    <cfRule type="cellIs" dxfId="18593" priority="7881" stopIfTrue="1" operator="equal">
      <formula>"Towel"</formula>
    </cfRule>
    <cfRule type="cellIs" dxfId="18592" priority="7882" stopIfTrue="1" operator="equal">
      <formula>"Napkin Hs"</formula>
    </cfRule>
  </conditionalFormatting>
  <conditionalFormatting sqref="B95:C95">
    <cfRule type="cellIs" dxfId="18591" priority="7883" stopIfTrue="1" operator="equal">
      <formula>"Towel"</formula>
    </cfRule>
    <cfRule type="cellIs" dxfId="18590" priority="7884" stopIfTrue="1" operator="equal">
      <formula>"Napkin Hs"</formula>
    </cfRule>
  </conditionalFormatting>
  <conditionalFormatting sqref="C95">
    <cfRule type="cellIs" dxfId="18589" priority="7879" stopIfTrue="1" operator="equal">
      <formula>"Towel"</formula>
    </cfRule>
    <cfRule type="cellIs" dxfId="18588" priority="7880" stopIfTrue="1" operator="equal">
      <formula>"Napkin Hs"</formula>
    </cfRule>
  </conditionalFormatting>
  <conditionalFormatting sqref="B95:C95">
    <cfRule type="cellIs" dxfId="18587" priority="7877" stopIfTrue="1" operator="equal">
      <formula>"Towel"</formula>
    </cfRule>
    <cfRule type="cellIs" dxfId="18586" priority="7878" stopIfTrue="1" operator="equal">
      <formula>"Napkin Hs"</formula>
    </cfRule>
  </conditionalFormatting>
  <conditionalFormatting sqref="B95:C95">
    <cfRule type="cellIs" dxfId="18585" priority="7875" stopIfTrue="1" operator="equal">
      <formula>"Towel"</formula>
    </cfRule>
    <cfRule type="cellIs" dxfId="18584" priority="7876" stopIfTrue="1" operator="equal">
      <formula>"Napkin Hs"</formula>
    </cfRule>
  </conditionalFormatting>
  <conditionalFormatting sqref="C95">
    <cfRule type="cellIs" dxfId="18583" priority="7869" stopIfTrue="1" operator="equal">
      <formula>"Towel"</formula>
    </cfRule>
    <cfRule type="cellIs" dxfId="18582" priority="7870" stopIfTrue="1" operator="equal">
      <formula>"Napkin Hs"</formula>
    </cfRule>
  </conditionalFormatting>
  <conditionalFormatting sqref="C95">
    <cfRule type="cellIs" dxfId="18581" priority="7871" stopIfTrue="1" operator="equal">
      <formula>"Towel"</formula>
    </cfRule>
    <cfRule type="cellIs" dxfId="18580" priority="7872" stopIfTrue="1" operator="equal">
      <formula>"Napkin Hs"</formula>
    </cfRule>
  </conditionalFormatting>
  <conditionalFormatting sqref="C95">
    <cfRule type="cellIs" dxfId="18579" priority="7867" stopIfTrue="1" operator="equal">
      <formula>"Towel"</formula>
    </cfRule>
    <cfRule type="cellIs" dxfId="18578" priority="7868" stopIfTrue="1" operator="equal">
      <formula>"Napkin Hs"</formula>
    </cfRule>
  </conditionalFormatting>
  <conditionalFormatting sqref="C95">
    <cfRule type="cellIs" dxfId="18577" priority="7865" stopIfTrue="1" operator="equal">
      <formula>"Towel"</formula>
    </cfRule>
    <cfRule type="cellIs" dxfId="18576" priority="7866" stopIfTrue="1" operator="equal">
      <formula>"Napkin Hs"</formula>
    </cfRule>
  </conditionalFormatting>
  <conditionalFormatting sqref="C95">
    <cfRule type="cellIs" dxfId="18575" priority="7861" stopIfTrue="1" operator="equal">
      <formula>"Towel"</formula>
    </cfRule>
    <cfRule type="cellIs" dxfId="18574" priority="7862" stopIfTrue="1" operator="equal">
      <formula>"Napkin Hs"</formula>
    </cfRule>
  </conditionalFormatting>
  <conditionalFormatting sqref="C95">
    <cfRule type="cellIs" dxfId="18573" priority="7863" stopIfTrue="1" operator="equal">
      <formula>"Towel"</formula>
    </cfRule>
    <cfRule type="cellIs" dxfId="18572" priority="7864" stopIfTrue="1" operator="equal">
      <formula>"Napkin Hs"</formula>
    </cfRule>
  </conditionalFormatting>
  <conditionalFormatting sqref="C95">
    <cfRule type="cellIs" dxfId="18571" priority="7859" stopIfTrue="1" operator="equal">
      <formula>"Towel"</formula>
    </cfRule>
    <cfRule type="cellIs" dxfId="18570" priority="7860" stopIfTrue="1" operator="equal">
      <formula>"Napkin Hs"</formula>
    </cfRule>
  </conditionalFormatting>
  <conditionalFormatting sqref="C95">
    <cfRule type="cellIs" dxfId="18569" priority="7843" stopIfTrue="1" operator="equal">
      <formula>"Towel"</formula>
    </cfRule>
    <cfRule type="cellIs" dxfId="18568" priority="7844" stopIfTrue="1" operator="equal">
      <formula>"Napkin Hs"</formula>
    </cfRule>
  </conditionalFormatting>
  <conditionalFormatting sqref="B95">
    <cfRule type="cellIs" dxfId="18567" priority="7841" stopIfTrue="1" operator="equal">
      <formula>"Towel"</formula>
    </cfRule>
    <cfRule type="cellIs" dxfId="18566" priority="7842" stopIfTrue="1" operator="equal">
      <formula>"Napkin Hs"</formula>
    </cfRule>
  </conditionalFormatting>
  <conditionalFormatting sqref="B95">
    <cfRule type="cellIs" dxfId="18565" priority="7857" stopIfTrue="1" operator="equal">
      <formula>"Towel"</formula>
    </cfRule>
    <cfRule type="cellIs" dxfId="18564" priority="7858" stopIfTrue="1" operator="equal">
      <formula>"Napkin Hs"</formula>
    </cfRule>
  </conditionalFormatting>
  <conditionalFormatting sqref="C95">
    <cfRule type="cellIs" dxfId="18563" priority="7853" stopIfTrue="1" operator="equal">
      <formula>"Towel"</formula>
    </cfRule>
    <cfRule type="cellIs" dxfId="18562" priority="7854" stopIfTrue="1" operator="equal">
      <formula>"Napkin Hs"</formula>
    </cfRule>
  </conditionalFormatting>
  <conditionalFormatting sqref="B95">
    <cfRule type="cellIs" dxfId="18561" priority="7855" stopIfTrue="1" operator="equal">
      <formula>"Towel"</formula>
    </cfRule>
    <cfRule type="cellIs" dxfId="18560" priority="7856" stopIfTrue="1" operator="equal">
      <formula>"Napkin Hs"</formula>
    </cfRule>
  </conditionalFormatting>
  <conditionalFormatting sqref="C95">
    <cfRule type="cellIs" dxfId="18559" priority="7849" stopIfTrue="1" operator="equal">
      <formula>"Towel"</formula>
    </cfRule>
    <cfRule type="cellIs" dxfId="18558" priority="7850" stopIfTrue="1" operator="equal">
      <formula>"Napkin Hs"</formula>
    </cfRule>
  </conditionalFormatting>
  <conditionalFormatting sqref="C95">
    <cfRule type="cellIs" dxfId="18557" priority="7851" stopIfTrue="1" operator="equal">
      <formula>"Towel"</formula>
    </cfRule>
    <cfRule type="cellIs" dxfId="18556" priority="7852" stopIfTrue="1" operator="equal">
      <formula>"Napkin Hs"</formula>
    </cfRule>
  </conditionalFormatting>
  <conditionalFormatting sqref="C95">
    <cfRule type="cellIs" dxfId="18555" priority="7847" stopIfTrue="1" operator="equal">
      <formula>"Towel"</formula>
    </cfRule>
    <cfRule type="cellIs" dxfId="18554" priority="7848" stopIfTrue="1" operator="equal">
      <formula>"Napkin Hs"</formula>
    </cfRule>
  </conditionalFormatting>
  <conditionalFormatting sqref="C95">
    <cfRule type="cellIs" dxfId="18553" priority="7845" stopIfTrue="1" operator="equal">
      <formula>"Towel"</formula>
    </cfRule>
    <cfRule type="cellIs" dxfId="18552" priority="7846" stopIfTrue="1" operator="equal">
      <formula>"Napkin Hs"</formula>
    </cfRule>
  </conditionalFormatting>
  <conditionalFormatting sqref="B95">
    <cfRule type="cellIs" dxfId="18551" priority="7839" stopIfTrue="1" operator="equal">
      <formula>"Towel"</formula>
    </cfRule>
    <cfRule type="cellIs" dxfId="18550" priority="7840" stopIfTrue="1" operator="equal">
      <formula>"Napkin Hs"</formula>
    </cfRule>
  </conditionalFormatting>
  <conditionalFormatting sqref="B95:C95">
    <cfRule type="cellIs" dxfId="18549" priority="7837" stopIfTrue="1" operator="equal">
      <formula>"Towel"</formula>
    </cfRule>
    <cfRule type="cellIs" dxfId="18548" priority="7838" stopIfTrue="1" operator="equal">
      <formula>"Napkin Hs"</formula>
    </cfRule>
  </conditionalFormatting>
  <conditionalFormatting sqref="C95">
    <cfRule type="cellIs" dxfId="18547" priority="7835" stopIfTrue="1" operator="equal">
      <formula>"Towel"</formula>
    </cfRule>
    <cfRule type="cellIs" dxfId="18546" priority="7836" stopIfTrue="1" operator="equal">
      <formula>"Napkin Hs"</formula>
    </cfRule>
  </conditionalFormatting>
  <conditionalFormatting sqref="C95">
    <cfRule type="cellIs" dxfId="18545" priority="7833" stopIfTrue="1" operator="equal">
      <formula>"Towel"</formula>
    </cfRule>
    <cfRule type="cellIs" dxfId="18544" priority="7834" stopIfTrue="1" operator="equal">
      <formula>"Napkin Hs"</formula>
    </cfRule>
  </conditionalFormatting>
  <conditionalFormatting sqref="C95">
    <cfRule type="cellIs" dxfId="18543" priority="7823" stopIfTrue="1" operator="equal">
      <formula>"Towel"</formula>
    </cfRule>
    <cfRule type="cellIs" dxfId="18542" priority="7824" stopIfTrue="1" operator="equal">
      <formula>"Napkin Hs"</formula>
    </cfRule>
  </conditionalFormatting>
  <conditionalFormatting sqref="C95">
    <cfRule type="cellIs" dxfId="18541" priority="7825" stopIfTrue="1" operator="equal">
      <formula>"Towel"</formula>
    </cfRule>
    <cfRule type="cellIs" dxfId="18540" priority="7826" stopIfTrue="1" operator="equal">
      <formula>"Napkin Hs"</formula>
    </cfRule>
  </conditionalFormatting>
  <conditionalFormatting sqref="B95:C95">
    <cfRule type="cellIs" dxfId="18539" priority="7821" stopIfTrue="1" operator="equal">
      <formula>"Towel"</formula>
    </cfRule>
    <cfRule type="cellIs" dxfId="18538" priority="7822" stopIfTrue="1" operator="equal">
      <formula>"Napkin Hs"</formula>
    </cfRule>
  </conditionalFormatting>
  <conditionalFormatting sqref="C95">
    <cfRule type="cellIs" dxfId="18537" priority="7819" stopIfTrue="1" operator="equal">
      <formula>"Towel"</formula>
    </cfRule>
    <cfRule type="cellIs" dxfId="18536" priority="7820" stopIfTrue="1" operator="equal">
      <formula>"Napkin Hs"</formula>
    </cfRule>
  </conditionalFormatting>
  <conditionalFormatting sqref="B95:C95">
    <cfRule type="cellIs" dxfId="18535" priority="7815" stopIfTrue="1" operator="equal">
      <formula>"Towel"</formula>
    </cfRule>
    <cfRule type="cellIs" dxfId="18534" priority="7816" stopIfTrue="1" operator="equal">
      <formula>"Napkin Hs"</formula>
    </cfRule>
  </conditionalFormatting>
  <conditionalFormatting sqref="C95">
    <cfRule type="cellIs" dxfId="18533" priority="7817" stopIfTrue="1" operator="equal">
      <formula>"Towel"</formula>
    </cfRule>
    <cfRule type="cellIs" dxfId="18532" priority="7818" stopIfTrue="1" operator="equal">
      <formula>"Napkin Hs"</formula>
    </cfRule>
  </conditionalFormatting>
  <conditionalFormatting sqref="C95">
    <cfRule type="cellIs" dxfId="18531" priority="7874" stopIfTrue="1" operator="equal">
      <formula>"Napkin Hs"</formula>
    </cfRule>
  </conditionalFormatting>
  <conditionalFormatting sqref="C95">
    <cfRule type="cellIs" dxfId="18530" priority="7873" stopIfTrue="1" operator="equal">
      <formula>"Towel"</formula>
    </cfRule>
  </conditionalFormatting>
  <conditionalFormatting sqref="B95:C95">
    <cfRule type="cellIs" dxfId="18529" priority="7831" stopIfTrue="1" operator="equal">
      <formula>"Towel"</formula>
    </cfRule>
    <cfRule type="cellIs" dxfId="18528" priority="7832" stopIfTrue="1" operator="equal">
      <formula>"Napkin Hs"</formula>
    </cfRule>
  </conditionalFormatting>
  <conditionalFormatting sqref="C95">
    <cfRule type="cellIs" dxfId="18527" priority="7829" stopIfTrue="1" operator="equal">
      <formula>"Towel"</formula>
    </cfRule>
    <cfRule type="cellIs" dxfId="18526" priority="7830" stopIfTrue="1" operator="equal">
      <formula>"Napkin Hs"</formula>
    </cfRule>
  </conditionalFormatting>
  <conditionalFormatting sqref="C95">
    <cfRule type="cellIs" dxfId="18525" priority="7827" stopIfTrue="1" operator="equal">
      <formula>"Towel"</formula>
    </cfRule>
    <cfRule type="cellIs" dxfId="18524" priority="7828" stopIfTrue="1" operator="equal">
      <formula>"Napkin Hs"</formula>
    </cfRule>
  </conditionalFormatting>
  <conditionalFormatting sqref="B95:C95">
    <cfRule type="cellIs" dxfId="18523" priority="7811" stopIfTrue="1" operator="equal">
      <formula>"Towel"</formula>
    </cfRule>
    <cfRule type="cellIs" dxfId="18522" priority="7812" stopIfTrue="1" operator="equal">
      <formula>"Napkin Hs"</formula>
    </cfRule>
  </conditionalFormatting>
  <conditionalFormatting sqref="C95">
    <cfRule type="cellIs" dxfId="18521" priority="7813" stopIfTrue="1" operator="equal">
      <formula>"Towel"</formula>
    </cfRule>
    <cfRule type="cellIs" dxfId="18520" priority="7814" stopIfTrue="1" operator="equal">
      <formula>"Napkin Hs"</formula>
    </cfRule>
  </conditionalFormatting>
  <conditionalFormatting sqref="C95">
    <cfRule type="cellIs" dxfId="18519" priority="7809" stopIfTrue="1" operator="equal">
      <formula>"Towel"</formula>
    </cfRule>
    <cfRule type="cellIs" dxfId="18518" priority="7810" stopIfTrue="1" operator="equal">
      <formula>"Napkin Hs"</formula>
    </cfRule>
  </conditionalFormatting>
  <conditionalFormatting sqref="B95:C95">
    <cfRule type="cellIs" dxfId="18517" priority="7807" stopIfTrue="1" operator="equal">
      <formula>"Towel"</formula>
    </cfRule>
    <cfRule type="cellIs" dxfId="18516" priority="7808" stopIfTrue="1" operator="equal">
      <formula>"Napkin Hs"</formula>
    </cfRule>
  </conditionalFormatting>
  <conditionalFormatting sqref="C95">
    <cfRule type="cellIs" dxfId="18515" priority="7803" stopIfTrue="1" operator="equal">
      <formula>"Towel"</formula>
    </cfRule>
    <cfRule type="cellIs" dxfId="18514" priority="7804" stopIfTrue="1" operator="equal">
      <formula>"Napkin Hs"</formula>
    </cfRule>
  </conditionalFormatting>
  <conditionalFormatting sqref="C95">
    <cfRule type="cellIs" dxfId="18513" priority="7805" stopIfTrue="1" operator="equal">
      <formula>"Towel"</formula>
    </cfRule>
    <cfRule type="cellIs" dxfId="18512" priority="7806" stopIfTrue="1" operator="equal">
      <formula>"Napkin Hs"</formula>
    </cfRule>
  </conditionalFormatting>
  <conditionalFormatting sqref="B95:C95">
    <cfRule type="cellIs" dxfId="18511" priority="7799" stopIfTrue="1" operator="equal">
      <formula>"Towel"</formula>
    </cfRule>
    <cfRule type="cellIs" dxfId="18510" priority="7800" stopIfTrue="1" operator="equal">
      <formula>"Napkin Hs"</formula>
    </cfRule>
  </conditionalFormatting>
  <conditionalFormatting sqref="C95">
    <cfRule type="cellIs" dxfId="18509" priority="7801" stopIfTrue="1" operator="equal">
      <formula>"Towel"</formula>
    </cfRule>
    <cfRule type="cellIs" dxfId="18508" priority="7802" stopIfTrue="1" operator="equal">
      <formula>"Napkin Hs"</formula>
    </cfRule>
  </conditionalFormatting>
  <conditionalFormatting sqref="C95">
    <cfRule type="cellIs" dxfId="18507" priority="7797" stopIfTrue="1" operator="equal">
      <formula>"Towel"</formula>
    </cfRule>
    <cfRule type="cellIs" dxfId="18506" priority="7798" stopIfTrue="1" operator="equal">
      <formula>"Napkin Hs"</formula>
    </cfRule>
  </conditionalFormatting>
  <conditionalFormatting sqref="B95:C95">
    <cfRule type="cellIs" dxfId="18505" priority="7795" stopIfTrue="1" operator="equal">
      <formula>"Towel"</formula>
    </cfRule>
    <cfRule type="cellIs" dxfId="18504" priority="7796" stopIfTrue="1" operator="equal">
      <formula>"Napkin Hs"</formula>
    </cfRule>
  </conditionalFormatting>
  <conditionalFormatting sqref="C95">
    <cfRule type="cellIs" dxfId="18503" priority="7791" stopIfTrue="1" operator="equal">
      <formula>"Towel"</formula>
    </cfRule>
    <cfRule type="cellIs" dxfId="18502" priority="7792" stopIfTrue="1" operator="equal">
      <formula>"Napkin Hs"</formula>
    </cfRule>
  </conditionalFormatting>
  <conditionalFormatting sqref="C95">
    <cfRule type="cellIs" dxfId="18501" priority="7793" stopIfTrue="1" operator="equal">
      <formula>"Towel"</formula>
    </cfRule>
    <cfRule type="cellIs" dxfId="18500" priority="7794" stopIfTrue="1" operator="equal">
      <formula>"Napkin Hs"</formula>
    </cfRule>
  </conditionalFormatting>
  <conditionalFormatting sqref="B103:C103">
    <cfRule type="cellIs" dxfId="18499" priority="7787" stopIfTrue="1" operator="equal">
      <formula>"Towel"</formula>
    </cfRule>
    <cfRule type="cellIs" dxfId="18498" priority="7788" stopIfTrue="1" operator="equal">
      <formula>"Napkin Hs"</formula>
    </cfRule>
  </conditionalFormatting>
  <conditionalFormatting sqref="C103">
    <cfRule type="cellIs" dxfId="18497" priority="7789" stopIfTrue="1" operator="equal">
      <formula>"Towel"</formula>
    </cfRule>
    <cfRule type="cellIs" dxfId="18496" priority="7790" stopIfTrue="1" operator="equal">
      <formula>"Napkin Hs"</formula>
    </cfRule>
  </conditionalFormatting>
  <conditionalFormatting sqref="C103">
    <cfRule type="cellIs" dxfId="18495" priority="7785" stopIfTrue="1" operator="equal">
      <formula>"Towel"</formula>
    </cfRule>
    <cfRule type="cellIs" dxfId="18494" priority="7786" stopIfTrue="1" operator="equal">
      <formula>"Napkin Hs"</formula>
    </cfRule>
  </conditionalFormatting>
  <conditionalFormatting sqref="C102">
    <cfRule type="cellIs" dxfId="18493" priority="7781" stopIfTrue="1" operator="equal">
      <formula>"Towel"</formula>
    </cfRule>
    <cfRule type="cellIs" dxfId="18492" priority="7782" stopIfTrue="1" operator="equal">
      <formula>"Napkin Hs"</formula>
    </cfRule>
  </conditionalFormatting>
  <conditionalFormatting sqref="C102">
    <cfRule type="cellIs" dxfId="18491" priority="7783" stopIfTrue="1" operator="equal">
      <formula>"Towel"</formula>
    </cfRule>
    <cfRule type="cellIs" dxfId="18490" priority="7784" stopIfTrue="1" operator="equal">
      <formula>"Napkin Hs"</formula>
    </cfRule>
  </conditionalFormatting>
  <conditionalFormatting sqref="B102:C102">
    <cfRule type="cellIs" dxfId="18489" priority="7779" stopIfTrue="1" operator="equal">
      <formula>"Towel"</formula>
    </cfRule>
    <cfRule type="cellIs" dxfId="18488" priority="7780" stopIfTrue="1" operator="equal">
      <formula>"Napkin Hs"</formula>
    </cfRule>
  </conditionalFormatting>
  <conditionalFormatting sqref="B102:C102">
    <cfRule type="cellIs" dxfId="18487" priority="7773" stopIfTrue="1" operator="equal">
      <formula>"Towel"</formula>
    </cfRule>
    <cfRule type="cellIs" dxfId="18486" priority="7774" stopIfTrue="1" operator="equal">
      <formula>"Napkin Hs"</formula>
    </cfRule>
  </conditionalFormatting>
  <conditionalFormatting sqref="C102">
    <cfRule type="cellIs" dxfId="18485" priority="7775" stopIfTrue="1" operator="equal">
      <formula>"Towel"</formula>
    </cfRule>
    <cfRule type="cellIs" dxfId="18484" priority="7776" stopIfTrue="1" operator="equal">
      <formula>"Napkin Hs"</formula>
    </cfRule>
  </conditionalFormatting>
  <conditionalFormatting sqref="C102">
    <cfRule type="cellIs" dxfId="18483" priority="7777" stopIfTrue="1" operator="equal">
      <formula>"Towel"</formula>
    </cfRule>
    <cfRule type="cellIs" dxfId="18482" priority="7778" stopIfTrue="1" operator="equal">
      <formula>"Napkin Hs"</formula>
    </cfRule>
  </conditionalFormatting>
  <conditionalFormatting sqref="C102">
    <cfRule type="cellIs" dxfId="18481" priority="7745" stopIfTrue="1" operator="equal">
      <formula>"Towel"</formula>
    </cfRule>
    <cfRule type="cellIs" dxfId="18480" priority="7746" stopIfTrue="1" operator="equal">
      <formula>"Napkin Hs"</formula>
    </cfRule>
  </conditionalFormatting>
  <conditionalFormatting sqref="C102">
    <cfRule type="cellIs" dxfId="18479" priority="7747" stopIfTrue="1" operator="equal">
      <formula>"Towel"</formula>
    </cfRule>
    <cfRule type="cellIs" dxfId="18478" priority="7748" stopIfTrue="1" operator="equal">
      <formula>"Napkin Hs"</formula>
    </cfRule>
  </conditionalFormatting>
  <conditionalFormatting sqref="C102">
    <cfRule type="cellIs" dxfId="18477" priority="7743" stopIfTrue="1" operator="equal">
      <formula>"Towel"</formula>
    </cfRule>
    <cfRule type="cellIs" dxfId="18476" priority="7744" stopIfTrue="1" operator="equal">
      <formula>"Napkin Hs"</formula>
    </cfRule>
  </conditionalFormatting>
  <conditionalFormatting sqref="B102">
    <cfRule type="cellIs" dxfId="18475" priority="7737" stopIfTrue="1" operator="equal">
      <formula>"Towel"</formula>
    </cfRule>
    <cfRule type="cellIs" dxfId="18474" priority="7738" stopIfTrue="1" operator="equal">
      <formula>"Napkin Hs"</formula>
    </cfRule>
  </conditionalFormatting>
  <conditionalFormatting sqref="C102">
    <cfRule type="cellIs" dxfId="18473" priority="7739" stopIfTrue="1" operator="equal">
      <formula>"Towel"</formula>
    </cfRule>
    <cfRule type="cellIs" dxfId="18472" priority="7740" stopIfTrue="1" operator="equal">
      <formula>"Napkin Hs"</formula>
    </cfRule>
  </conditionalFormatting>
  <conditionalFormatting sqref="C102">
    <cfRule type="cellIs" dxfId="18471" priority="7741" stopIfTrue="1" operator="equal">
      <formula>"Towel"</formula>
    </cfRule>
    <cfRule type="cellIs" dxfId="18470" priority="7742" stopIfTrue="1" operator="equal">
      <formula>"Napkin Hs"</formula>
    </cfRule>
  </conditionalFormatting>
  <conditionalFormatting sqref="B102:C102">
    <cfRule type="cellIs" dxfId="18469" priority="7691" stopIfTrue="1" operator="equal">
      <formula>"Towel"</formula>
    </cfRule>
    <cfRule type="cellIs" dxfId="18468" priority="7692" stopIfTrue="1" operator="equal">
      <formula>"Napkin Hs"</formula>
    </cfRule>
  </conditionalFormatting>
  <conditionalFormatting sqref="C102">
    <cfRule type="cellIs" dxfId="18467" priority="7693" stopIfTrue="1" operator="equal">
      <formula>"Towel"</formula>
    </cfRule>
    <cfRule type="cellIs" dxfId="18466" priority="7694" stopIfTrue="1" operator="equal">
      <formula>"Napkin Hs"</formula>
    </cfRule>
  </conditionalFormatting>
  <conditionalFormatting sqref="C102">
    <cfRule type="cellIs" dxfId="18465" priority="7689" stopIfTrue="1" operator="equal">
      <formula>"Towel"</formula>
    </cfRule>
    <cfRule type="cellIs" dxfId="18464" priority="7690" stopIfTrue="1" operator="equal">
      <formula>"Napkin Hs"</formula>
    </cfRule>
  </conditionalFormatting>
  <conditionalFormatting sqref="C102">
    <cfRule type="cellIs" dxfId="18463" priority="7687" stopIfTrue="1" operator="equal">
      <formula>"Towel"</formula>
    </cfRule>
    <cfRule type="cellIs" dxfId="18462" priority="7688" stopIfTrue="1" operator="equal">
      <formula>"Napkin Hs"</formula>
    </cfRule>
  </conditionalFormatting>
  <conditionalFormatting sqref="B102">
    <cfRule type="cellIs" dxfId="18461" priority="7735" stopIfTrue="1" operator="equal">
      <formula>"Towel"</formula>
    </cfRule>
    <cfRule type="cellIs" dxfId="18460" priority="7736" stopIfTrue="1" operator="equal">
      <formula>"Napkin Hs"</formula>
    </cfRule>
  </conditionalFormatting>
  <conditionalFormatting sqref="C102">
    <cfRule type="cellIs" dxfId="18459" priority="7731" stopIfTrue="1" operator="equal">
      <formula>"Towel"</formula>
    </cfRule>
    <cfRule type="cellIs" dxfId="18458" priority="7732" stopIfTrue="1" operator="equal">
      <formula>"Napkin Hs"</formula>
    </cfRule>
  </conditionalFormatting>
  <conditionalFormatting sqref="C102">
    <cfRule type="cellIs" dxfId="18457" priority="7725" stopIfTrue="1" operator="equal">
      <formula>"Towel"</formula>
    </cfRule>
    <cfRule type="cellIs" dxfId="18456" priority="7726" stopIfTrue="1" operator="equal">
      <formula>"Napkin Hs"</formula>
    </cfRule>
  </conditionalFormatting>
  <conditionalFormatting sqref="C102">
    <cfRule type="cellIs" dxfId="18455" priority="7729" stopIfTrue="1" operator="equal">
      <formula>"Towel"</formula>
    </cfRule>
    <cfRule type="cellIs" dxfId="18454" priority="7730" stopIfTrue="1" operator="equal">
      <formula>"Napkin Hs"</formula>
    </cfRule>
  </conditionalFormatting>
  <conditionalFormatting sqref="B102:C102">
    <cfRule type="cellIs" dxfId="18453" priority="7727" stopIfTrue="1" operator="equal">
      <formula>"Towel"</formula>
    </cfRule>
    <cfRule type="cellIs" dxfId="18452" priority="7728" stopIfTrue="1" operator="equal">
      <formula>"Napkin Hs"</formula>
    </cfRule>
  </conditionalFormatting>
  <conditionalFormatting sqref="C102">
    <cfRule type="cellIs" dxfId="18451" priority="7719" stopIfTrue="1" operator="equal">
      <formula>"Towel"</formula>
    </cfRule>
    <cfRule type="cellIs" dxfId="18450" priority="7720" stopIfTrue="1" operator="equal">
      <formula>"Napkin Hs"</formula>
    </cfRule>
  </conditionalFormatting>
  <conditionalFormatting sqref="C102">
    <cfRule type="cellIs" dxfId="18449" priority="7721" stopIfTrue="1" operator="equal">
      <formula>"Towel"</formula>
    </cfRule>
    <cfRule type="cellIs" dxfId="18448" priority="7722" stopIfTrue="1" operator="equal">
      <formula>"Napkin Hs"</formula>
    </cfRule>
  </conditionalFormatting>
  <conditionalFormatting sqref="C102">
    <cfRule type="cellIs" dxfId="18447" priority="7723" stopIfTrue="1" operator="equal">
      <formula>"Towel"</formula>
    </cfRule>
    <cfRule type="cellIs" dxfId="18446" priority="7724" stopIfTrue="1" operator="equal">
      <formula>"Napkin Hs"</formula>
    </cfRule>
  </conditionalFormatting>
  <conditionalFormatting sqref="C102">
    <cfRule type="cellIs" dxfId="18445" priority="7713" stopIfTrue="1" operator="equal">
      <formula>"Towel"</formula>
    </cfRule>
    <cfRule type="cellIs" dxfId="18444" priority="7714" stopIfTrue="1" operator="equal">
      <formula>"Napkin Hs"</formula>
    </cfRule>
  </conditionalFormatting>
  <conditionalFormatting sqref="B102:C102">
    <cfRule type="cellIs" dxfId="18443" priority="7717" stopIfTrue="1" operator="equal">
      <formula>"Towel"</formula>
    </cfRule>
    <cfRule type="cellIs" dxfId="18442" priority="7718" stopIfTrue="1" operator="equal">
      <formula>"Napkin Hs"</formula>
    </cfRule>
  </conditionalFormatting>
  <conditionalFormatting sqref="C102">
    <cfRule type="cellIs" dxfId="18441" priority="7715" stopIfTrue="1" operator="equal">
      <formula>"Towel"</formula>
    </cfRule>
    <cfRule type="cellIs" dxfId="18440" priority="7716" stopIfTrue="1" operator="equal">
      <formula>"Napkin Hs"</formula>
    </cfRule>
  </conditionalFormatting>
  <conditionalFormatting sqref="B102:C102">
    <cfRule type="cellIs" dxfId="18439" priority="7707" stopIfTrue="1" operator="equal">
      <formula>"Towel"</formula>
    </cfRule>
    <cfRule type="cellIs" dxfId="18438" priority="7708" stopIfTrue="1" operator="equal">
      <formula>"Napkin Hs"</formula>
    </cfRule>
  </conditionalFormatting>
  <conditionalFormatting sqref="C102">
    <cfRule type="cellIs" dxfId="18437" priority="7709" stopIfTrue="1" operator="equal">
      <formula>"Towel"</formula>
    </cfRule>
    <cfRule type="cellIs" dxfId="18436" priority="7710" stopIfTrue="1" operator="equal">
      <formula>"Napkin Hs"</formula>
    </cfRule>
  </conditionalFormatting>
  <conditionalFormatting sqref="B102:C102">
    <cfRule type="cellIs" dxfId="18435" priority="7711" stopIfTrue="1" operator="equal">
      <formula>"Towel"</formula>
    </cfRule>
    <cfRule type="cellIs" dxfId="18434" priority="7712" stopIfTrue="1" operator="equal">
      <formula>"Napkin Hs"</formula>
    </cfRule>
  </conditionalFormatting>
  <conditionalFormatting sqref="C102">
    <cfRule type="cellIs" dxfId="18433" priority="7705" stopIfTrue="1" operator="equal">
      <formula>"Towel"</formula>
    </cfRule>
    <cfRule type="cellIs" dxfId="18432" priority="7706" stopIfTrue="1" operator="equal">
      <formula>"Napkin Hs"</formula>
    </cfRule>
  </conditionalFormatting>
  <conditionalFormatting sqref="C102">
    <cfRule type="cellIs" dxfId="18431" priority="7701" stopIfTrue="1" operator="equal">
      <formula>"Towel"</formula>
    </cfRule>
    <cfRule type="cellIs" dxfId="18430" priority="7702" stopIfTrue="1" operator="equal">
      <formula>"Napkin Hs"</formula>
    </cfRule>
  </conditionalFormatting>
  <conditionalFormatting sqref="B102:C102">
    <cfRule type="cellIs" dxfId="18429" priority="7703" stopIfTrue="1" operator="equal">
      <formula>"Towel"</formula>
    </cfRule>
    <cfRule type="cellIs" dxfId="18428" priority="7704" stopIfTrue="1" operator="equal">
      <formula>"Napkin Hs"</formula>
    </cfRule>
  </conditionalFormatting>
  <conditionalFormatting sqref="C102">
    <cfRule type="cellIs" dxfId="18427" priority="7699" stopIfTrue="1" operator="equal">
      <formula>"Towel"</formula>
    </cfRule>
    <cfRule type="cellIs" dxfId="18426" priority="7700" stopIfTrue="1" operator="equal">
      <formula>"Napkin Hs"</formula>
    </cfRule>
  </conditionalFormatting>
  <conditionalFormatting sqref="C102">
    <cfRule type="cellIs" dxfId="18425" priority="7697" stopIfTrue="1" operator="equal">
      <formula>"Towel"</formula>
    </cfRule>
    <cfRule type="cellIs" dxfId="18424" priority="7698" stopIfTrue="1" operator="equal">
      <formula>"Napkin Hs"</formula>
    </cfRule>
  </conditionalFormatting>
  <conditionalFormatting sqref="B102:C102">
    <cfRule type="cellIs" dxfId="18423" priority="7695" stopIfTrue="1" operator="equal">
      <formula>"Towel"</formula>
    </cfRule>
    <cfRule type="cellIs" dxfId="18422" priority="7696" stopIfTrue="1" operator="equal">
      <formula>"Napkin Hs"</formula>
    </cfRule>
  </conditionalFormatting>
  <conditionalFormatting sqref="B102:C102">
    <cfRule type="cellIs" dxfId="18421" priority="7771" stopIfTrue="1" operator="equal">
      <formula>"Towel"</formula>
    </cfRule>
    <cfRule type="cellIs" dxfId="18420" priority="7772" stopIfTrue="1" operator="equal">
      <formula>"Napkin Hs"</formula>
    </cfRule>
  </conditionalFormatting>
  <conditionalFormatting sqref="C102">
    <cfRule type="cellIs" dxfId="18419" priority="7767" stopIfTrue="1" operator="equal">
      <formula>"Towel"</formula>
    </cfRule>
    <cfRule type="cellIs" dxfId="18418" priority="7768" stopIfTrue="1" operator="equal">
      <formula>"Napkin Hs"</formula>
    </cfRule>
  </conditionalFormatting>
  <conditionalFormatting sqref="C102">
    <cfRule type="cellIs" dxfId="18417" priority="7770" stopIfTrue="1" operator="equal">
      <formula>"Napkin Hs"</formula>
    </cfRule>
  </conditionalFormatting>
  <conditionalFormatting sqref="C102">
    <cfRule type="cellIs" dxfId="18416" priority="7769" stopIfTrue="1" operator="equal">
      <formula>"Towel"</formula>
    </cfRule>
  </conditionalFormatting>
  <conditionalFormatting sqref="C102">
    <cfRule type="cellIs" dxfId="18415" priority="7761" stopIfTrue="1" operator="equal">
      <formula>"Towel"</formula>
    </cfRule>
    <cfRule type="cellIs" dxfId="18414" priority="7762" stopIfTrue="1" operator="equal">
      <formula>"Napkin Hs"</formula>
    </cfRule>
  </conditionalFormatting>
  <conditionalFormatting sqref="C102">
    <cfRule type="cellIs" dxfId="18413" priority="7765" stopIfTrue="1" operator="equal">
      <formula>"Towel"</formula>
    </cfRule>
    <cfRule type="cellIs" dxfId="18412" priority="7766" stopIfTrue="1" operator="equal">
      <formula>"Napkin Hs"</formula>
    </cfRule>
  </conditionalFormatting>
  <conditionalFormatting sqref="B102">
    <cfRule type="cellIs" dxfId="18411" priority="7751" stopIfTrue="1" operator="equal">
      <formula>"Towel"</formula>
    </cfRule>
    <cfRule type="cellIs" dxfId="18410" priority="7752" stopIfTrue="1" operator="equal">
      <formula>"Napkin Hs"</formula>
    </cfRule>
  </conditionalFormatting>
  <conditionalFormatting sqref="C102">
    <cfRule type="cellIs" dxfId="18409" priority="7763" stopIfTrue="1" operator="equal">
      <formula>"Towel"</formula>
    </cfRule>
    <cfRule type="cellIs" dxfId="18408" priority="7764" stopIfTrue="1" operator="equal">
      <formula>"Napkin Hs"</formula>
    </cfRule>
  </conditionalFormatting>
  <conditionalFormatting sqref="C102">
    <cfRule type="cellIs" dxfId="18407" priority="7755" stopIfTrue="1" operator="equal">
      <formula>"Towel"</formula>
    </cfRule>
    <cfRule type="cellIs" dxfId="18406" priority="7756" stopIfTrue="1" operator="equal">
      <formula>"Napkin Hs"</formula>
    </cfRule>
  </conditionalFormatting>
  <conditionalFormatting sqref="C102">
    <cfRule type="cellIs" dxfId="18405" priority="7757" stopIfTrue="1" operator="equal">
      <formula>"Towel"</formula>
    </cfRule>
    <cfRule type="cellIs" dxfId="18404" priority="7758" stopIfTrue="1" operator="equal">
      <formula>"Napkin Hs"</formula>
    </cfRule>
  </conditionalFormatting>
  <conditionalFormatting sqref="C102">
    <cfRule type="cellIs" dxfId="18403" priority="7759" stopIfTrue="1" operator="equal">
      <formula>"Towel"</formula>
    </cfRule>
    <cfRule type="cellIs" dxfId="18402" priority="7760" stopIfTrue="1" operator="equal">
      <formula>"Napkin Hs"</formula>
    </cfRule>
  </conditionalFormatting>
  <conditionalFormatting sqref="B102">
    <cfRule type="cellIs" dxfId="18401" priority="7753" stopIfTrue="1" operator="equal">
      <formula>"Towel"</formula>
    </cfRule>
    <cfRule type="cellIs" dxfId="18400" priority="7754" stopIfTrue="1" operator="equal">
      <formula>"Napkin Hs"</formula>
    </cfRule>
  </conditionalFormatting>
  <conditionalFormatting sqref="C102">
    <cfRule type="cellIs" dxfId="18399" priority="7749" stopIfTrue="1" operator="equal">
      <formula>"Towel"</formula>
    </cfRule>
    <cfRule type="cellIs" dxfId="18398" priority="7750" stopIfTrue="1" operator="equal">
      <formula>"Napkin Hs"</formula>
    </cfRule>
  </conditionalFormatting>
  <conditionalFormatting sqref="B102:C102">
    <cfRule type="cellIs" dxfId="18397" priority="7733" stopIfTrue="1" operator="equal">
      <formula>"Towel"</formula>
    </cfRule>
    <cfRule type="cellIs" dxfId="18396" priority="7734" stopIfTrue="1" operator="equal">
      <formula>"Napkin Hs"</formula>
    </cfRule>
  </conditionalFormatting>
  <conditionalFormatting sqref="C101">
    <cfRule type="cellIs" dxfId="18395" priority="7683" stopIfTrue="1" operator="equal">
      <formula>"Towel"</formula>
    </cfRule>
    <cfRule type="cellIs" dxfId="18394" priority="7684" stopIfTrue="1" operator="equal">
      <formula>"Napkin Hs"</formula>
    </cfRule>
  </conditionalFormatting>
  <conditionalFormatting sqref="C101">
    <cfRule type="cellIs" dxfId="18393" priority="7685" stopIfTrue="1" operator="equal">
      <formula>"Towel"</formula>
    </cfRule>
    <cfRule type="cellIs" dxfId="18392" priority="7686" stopIfTrue="1" operator="equal">
      <formula>"Napkin Hs"</formula>
    </cfRule>
  </conditionalFormatting>
  <conditionalFormatting sqref="C101">
    <cfRule type="cellIs" dxfId="18391" priority="7679" stopIfTrue="1" operator="equal">
      <formula>"Towel"</formula>
    </cfRule>
    <cfRule type="cellIs" dxfId="18390" priority="7680" stopIfTrue="1" operator="equal">
      <formula>"Napkin Hs"</formula>
    </cfRule>
  </conditionalFormatting>
  <conditionalFormatting sqref="B101:C101">
    <cfRule type="cellIs" dxfId="18389" priority="7681" stopIfTrue="1" operator="equal">
      <formula>"Towel"</formula>
    </cfRule>
    <cfRule type="cellIs" dxfId="18388" priority="7682" stopIfTrue="1" operator="equal">
      <formula>"Napkin Hs"</formula>
    </cfRule>
  </conditionalFormatting>
  <conditionalFormatting sqref="C101">
    <cfRule type="cellIs" dxfId="18387" priority="7677" stopIfTrue="1" operator="equal">
      <formula>"Towel"</formula>
    </cfRule>
    <cfRule type="cellIs" dxfId="18386" priority="7678" stopIfTrue="1" operator="equal">
      <formula>"Napkin Hs"</formula>
    </cfRule>
  </conditionalFormatting>
  <conditionalFormatting sqref="B101:C101">
    <cfRule type="cellIs" dxfId="18385" priority="7675" stopIfTrue="1" operator="equal">
      <formula>"Towel"</formula>
    </cfRule>
    <cfRule type="cellIs" dxfId="18384" priority="7676" stopIfTrue="1" operator="equal">
      <formula>"Napkin Hs"</formula>
    </cfRule>
  </conditionalFormatting>
  <conditionalFormatting sqref="B101:C101">
    <cfRule type="cellIs" dxfId="18383" priority="7673" stopIfTrue="1" operator="equal">
      <formula>"Towel"</formula>
    </cfRule>
    <cfRule type="cellIs" dxfId="18382" priority="7674" stopIfTrue="1" operator="equal">
      <formula>"Napkin Hs"</formula>
    </cfRule>
  </conditionalFormatting>
  <conditionalFormatting sqref="C101">
    <cfRule type="cellIs" dxfId="18381" priority="7667" stopIfTrue="1" operator="equal">
      <formula>"Towel"</formula>
    </cfRule>
    <cfRule type="cellIs" dxfId="18380" priority="7668" stopIfTrue="1" operator="equal">
      <formula>"Napkin Hs"</formula>
    </cfRule>
  </conditionalFormatting>
  <conditionalFormatting sqref="C101">
    <cfRule type="cellIs" dxfId="18379" priority="7669" stopIfTrue="1" operator="equal">
      <formula>"Towel"</formula>
    </cfRule>
    <cfRule type="cellIs" dxfId="18378" priority="7670" stopIfTrue="1" operator="equal">
      <formula>"Napkin Hs"</formula>
    </cfRule>
  </conditionalFormatting>
  <conditionalFormatting sqref="C101">
    <cfRule type="cellIs" dxfId="18377" priority="7665" stopIfTrue="1" operator="equal">
      <formula>"Towel"</formula>
    </cfRule>
    <cfRule type="cellIs" dxfId="18376" priority="7666" stopIfTrue="1" operator="equal">
      <formula>"Napkin Hs"</formula>
    </cfRule>
  </conditionalFormatting>
  <conditionalFormatting sqref="C101">
    <cfRule type="cellIs" dxfId="18375" priority="7663" stopIfTrue="1" operator="equal">
      <formula>"Towel"</formula>
    </cfRule>
    <cfRule type="cellIs" dxfId="18374" priority="7664" stopIfTrue="1" operator="equal">
      <formula>"Napkin Hs"</formula>
    </cfRule>
  </conditionalFormatting>
  <conditionalFormatting sqref="C101">
    <cfRule type="cellIs" dxfId="18373" priority="7659" stopIfTrue="1" operator="equal">
      <formula>"Towel"</formula>
    </cfRule>
    <cfRule type="cellIs" dxfId="18372" priority="7660" stopIfTrue="1" operator="equal">
      <formula>"Napkin Hs"</formula>
    </cfRule>
  </conditionalFormatting>
  <conditionalFormatting sqref="C101">
    <cfRule type="cellIs" dxfId="18371" priority="7661" stopIfTrue="1" operator="equal">
      <formula>"Towel"</formula>
    </cfRule>
    <cfRule type="cellIs" dxfId="18370" priority="7662" stopIfTrue="1" operator="equal">
      <formula>"Napkin Hs"</formula>
    </cfRule>
  </conditionalFormatting>
  <conditionalFormatting sqref="C101">
    <cfRule type="cellIs" dxfId="18369" priority="7657" stopIfTrue="1" operator="equal">
      <formula>"Towel"</formula>
    </cfRule>
    <cfRule type="cellIs" dxfId="18368" priority="7658" stopIfTrue="1" operator="equal">
      <formula>"Napkin Hs"</formula>
    </cfRule>
  </conditionalFormatting>
  <conditionalFormatting sqref="C101">
    <cfRule type="cellIs" dxfId="18367" priority="7641" stopIfTrue="1" operator="equal">
      <formula>"Towel"</formula>
    </cfRule>
    <cfRule type="cellIs" dxfId="18366" priority="7642" stopIfTrue="1" operator="equal">
      <formula>"Napkin Hs"</formula>
    </cfRule>
  </conditionalFormatting>
  <conditionalFormatting sqref="B101">
    <cfRule type="cellIs" dxfId="18365" priority="7639" stopIfTrue="1" operator="equal">
      <formula>"Towel"</formula>
    </cfRule>
    <cfRule type="cellIs" dxfId="18364" priority="7640" stopIfTrue="1" operator="equal">
      <formula>"Napkin Hs"</formula>
    </cfRule>
  </conditionalFormatting>
  <conditionalFormatting sqref="B101">
    <cfRule type="cellIs" dxfId="18363" priority="7655" stopIfTrue="1" operator="equal">
      <formula>"Towel"</formula>
    </cfRule>
    <cfRule type="cellIs" dxfId="18362" priority="7656" stopIfTrue="1" operator="equal">
      <formula>"Napkin Hs"</formula>
    </cfRule>
  </conditionalFormatting>
  <conditionalFormatting sqref="C101">
    <cfRule type="cellIs" dxfId="18361" priority="7651" stopIfTrue="1" operator="equal">
      <formula>"Towel"</formula>
    </cfRule>
    <cfRule type="cellIs" dxfId="18360" priority="7652" stopIfTrue="1" operator="equal">
      <formula>"Napkin Hs"</formula>
    </cfRule>
  </conditionalFormatting>
  <conditionalFormatting sqref="B101">
    <cfRule type="cellIs" dxfId="18359" priority="7653" stopIfTrue="1" operator="equal">
      <formula>"Towel"</formula>
    </cfRule>
    <cfRule type="cellIs" dxfId="18358" priority="7654" stopIfTrue="1" operator="equal">
      <formula>"Napkin Hs"</formula>
    </cfRule>
  </conditionalFormatting>
  <conditionalFormatting sqref="C101">
    <cfRule type="cellIs" dxfId="18357" priority="7647" stopIfTrue="1" operator="equal">
      <formula>"Towel"</formula>
    </cfRule>
    <cfRule type="cellIs" dxfId="18356" priority="7648" stopIfTrue="1" operator="equal">
      <formula>"Napkin Hs"</formula>
    </cfRule>
  </conditionalFormatting>
  <conditionalFormatting sqref="C101">
    <cfRule type="cellIs" dxfId="18355" priority="7649" stopIfTrue="1" operator="equal">
      <formula>"Towel"</formula>
    </cfRule>
    <cfRule type="cellIs" dxfId="18354" priority="7650" stopIfTrue="1" operator="equal">
      <formula>"Napkin Hs"</formula>
    </cfRule>
  </conditionalFormatting>
  <conditionalFormatting sqref="C101">
    <cfRule type="cellIs" dxfId="18353" priority="7645" stopIfTrue="1" operator="equal">
      <formula>"Towel"</formula>
    </cfRule>
    <cfRule type="cellIs" dxfId="18352" priority="7646" stopIfTrue="1" operator="equal">
      <formula>"Napkin Hs"</formula>
    </cfRule>
  </conditionalFormatting>
  <conditionalFormatting sqref="C101">
    <cfRule type="cellIs" dxfId="18351" priority="7643" stopIfTrue="1" operator="equal">
      <formula>"Towel"</formula>
    </cfRule>
    <cfRule type="cellIs" dxfId="18350" priority="7644" stopIfTrue="1" operator="equal">
      <formula>"Napkin Hs"</formula>
    </cfRule>
  </conditionalFormatting>
  <conditionalFormatting sqref="B101">
    <cfRule type="cellIs" dxfId="18349" priority="7637" stopIfTrue="1" operator="equal">
      <formula>"Towel"</formula>
    </cfRule>
    <cfRule type="cellIs" dxfId="18348" priority="7638" stopIfTrue="1" operator="equal">
      <formula>"Napkin Hs"</formula>
    </cfRule>
  </conditionalFormatting>
  <conditionalFormatting sqref="B101:C101">
    <cfRule type="cellIs" dxfId="18347" priority="7635" stopIfTrue="1" operator="equal">
      <formula>"Towel"</formula>
    </cfRule>
    <cfRule type="cellIs" dxfId="18346" priority="7636" stopIfTrue="1" operator="equal">
      <formula>"Napkin Hs"</formula>
    </cfRule>
  </conditionalFormatting>
  <conditionalFormatting sqref="C101">
    <cfRule type="cellIs" dxfId="18345" priority="7633" stopIfTrue="1" operator="equal">
      <formula>"Towel"</formula>
    </cfRule>
    <cfRule type="cellIs" dxfId="18344" priority="7634" stopIfTrue="1" operator="equal">
      <formula>"Napkin Hs"</formula>
    </cfRule>
  </conditionalFormatting>
  <conditionalFormatting sqref="C101">
    <cfRule type="cellIs" dxfId="18343" priority="7631" stopIfTrue="1" operator="equal">
      <formula>"Towel"</formula>
    </cfRule>
    <cfRule type="cellIs" dxfId="18342" priority="7632" stopIfTrue="1" operator="equal">
      <formula>"Napkin Hs"</formula>
    </cfRule>
  </conditionalFormatting>
  <conditionalFormatting sqref="C101">
    <cfRule type="cellIs" dxfId="18341" priority="7621" stopIfTrue="1" operator="equal">
      <formula>"Towel"</formula>
    </cfRule>
    <cfRule type="cellIs" dxfId="18340" priority="7622" stopIfTrue="1" operator="equal">
      <formula>"Napkin Hs"</formula>
    </cfRule>
  </conditionalFormatting>
  <conditionalFormatting sqref="C101">
    <cfRule type="cellIs" dxfId="18339" priority="7623" stopIfTrue="1" operator="equal">
      <formula>"Towel"</formula>
    </cfRule>
    <cfRule type="cellIs" dxfId="18338" priority="7624" stopIfTrue="1" operator="equal">
      <formula>"Napkin Hs"</formula>
    </cfRule>
  </conditionalFormatting>
  <conditionalFormatting sqref="B101:C101">
    <cfRule type="cellIs" dxfId="18337" priority="7619" stopIfTrue="1" operator="equal">
      <formula>"Towel"</formula>
    </cfRule>
    <cfRule type="cellIs" dxfId="18336" priority="7620" stopIfTrue="1" operator="equal">
      <formula>"Napkin Hs"</formula>
    </cfRule>
  </conditionalFormatting>
  <conditionalFormatting sqref="C101">
    <cfRule type="cellIs" dxfId="18335" priority="7617" stopIfTrue="1" operator="equal">
      <formula>"Towel"</formula>
    </cfRule>
    <cfRule type="cellIs" dxfId="18334" priority="7618" stopIfTrue="1" operator="equal">
      <formula>"Napkin Hs"</formula>
    </cfRule>
  </conditionalFormatting>
  <conditionalFormatting sqref="B101:C101">
    <cfRule type="cellIs" dxfId="18333" priority="7613" stopIfTrue="1" operator="equal">
      <formula>"Towel"</formula>
    </cfRule>
    <cfRule type="cellIs" dxfId="18332" priority="7614" stopIfTrue="1" operator="equal">
      <formula>"Napkin Hs"</formula>
    </cfRule>
  </conditionalFormatting>
  <conditionalFormatting sqref="C101">
    <cfRule type="cellIs" dxfId="18331" priority="7615" stopIfTrue="1" operator="equal">
      <formula>"Towel"</formula>
    </cfRule>
    <cfRule type="cellIs" dxfId="18330" priority="7616" stopIfTrue="1" operator="equal">
      <formula>"Napkin Hs"</formula>
    </cfRule>
  </conditionalFormatting>
  <conditionalFormatting sqref="C101">
    <cfRule type="cellIs" dxfId="18329" priority="7672" stopIfTrue="1" operator="equal">
      <formula>"Napkin Hs"</formula>
    </cfRule>
  </conditionalFormatting>
  <conditionalFormatting sqref="C101">
    <cfRule type="cellIs" dxfId="18328" priority="7671" stopIfTrue="1" operator="equal">
      <formula>"Towel"</formula>
    </cfRule>
  </conditionalFormatting>
  <conditionalFormatting sqref="B101:C101">
    <cfRule type="cellIs" dxfId="18327" priority="7629" stopIfTrue="1" operator="equal">
      <formula>"Towel"</formula>
    </cfRule>
    <cfRule type="cellIs" dxfId="18326" priority="7630" stopIfTrue="1" operator="equal">
      <formula>"Napkin Hs"</formula>
    </cfRule>
  </conditionalFormatting>
  <conditionalFormatting sqref="C101">
    <cfRule type="cellIs" dxfId="18325" priority="7627" stopIfTrue="1" operator="equal">
      <formula>"Towel"</formula>
    </cfRule>
    <cfRule type="cellIs" dxfId="18324" priority="7628" stopIfTrue="1" operator="equal">
      <formula>"Napkin Hs"</formula>
    </cfRule>
  </conditionalFormatting>
  <conditionalFormatting sqref="C101">
    <cfRule type="cellIs" dxfId="18323" priority="7625" stopIfTrue="1" operator="equal">
      <formula>"Towel"</formula>
    </cfRule>
    <cfRule type="cellIs" dxfId="18322" priority="7626" stopIfTrue="1" operator="equal">
      <formula>"Napkin Hs"</formula>
    </cfRule>
  </conditionalFormatting>
  <conditionalFormatting sqref="B101:C101">
    <cfRule type="cellIs" dxfId="18321" priority="7609" stopIfTrue="1" operator="equal">
      <formula>"Towel"</formula>
    </cfRule>
    <cfRule type="cellIs" dxfId="18320" priority="7610" stopIfTrue="1" operator="equal">
      <formula>"Napkin Hs"</formula>
    </cfRule>
  </conditionalFormatting>
  <conditionalFormatting sqref="C101">
    <cfRule type="cellIs" dxfId="18319" priority="7611" stopIfTrue="1" operator="equal">
      <formula>"Towel"</formula>
    </cfRule>
    <cfRule type="cellIs" dxfId="18318" priority="7612" stopIfTrue="1" operator="equal">
      <formula>"Napkin Hs"</formula>
    </cfRule>
  </conditionalFormatting>
  <conditionalFormatting sqref="C101">
    <cfRule type="cellIs" dxfId="18317" priority="7607" stopIfTrue="1" operator="equal">
      <formula>"Towel"</formula>
    </cfRule>
    <cfRule type="cellIs" dxfId="18316" priority="7608" stopIfTrue="1" operator="equal">
      <formula>"Napkin Hs"</formula>
    </cfRule>
  </conditionalFormatting>
  <conditionalFormatting sqref="B101:C101">
    <cfRule type="cellIs" dxfId="18315" priority="7605" stopIfTrue="1" operator="equal">
      <formula>"Towel"</formula>
    </cfRule>
    <cfRule type="cellIs" dxfId="18314" priority="7606" stopIfTrue="1" operator="equal">
      <formula>"Napkin Hs"</formula>
    </cfRule>
  </conditionalFormatting>
  <conditionalFormatting sqref="C101">
    <cfRule type="cellIs" dxfId="18313" priority="7601" stopIfTrue="1" operator="equal">
      <formula>"Towel"</formula>
    </cfRule>
    <cfRule type="cellIs" dxfId="18312" priority="7602" stopIfTrue="1" operator="equal">
      <formula>"Napkin Hs"</formula>
    </cfRule>
  </conditionalFormatting>
  <conditionalFormatting sqref="C101">
    <cfRule type="cellIs" dxfId="18311" priority="7603" stopIfTrue="1" operator="equal">
      <formula>"Towel"</formula>
    </cfRule>
    <cfRule type="cellIs" dxfId="18310" priority="7604" stopIfTrue="1" operator="equal">
      <formula>"Napkin Hs"</formula>
    </cfRule>
  </conditionalFormatting>
  <conditionalFormatting sqref="B101:C101">
    <cfRule type="cellIs" dxfId="18309" priority="7597" stopIfTrue="1" operator="equal">
      <formula>"Towel"</formula>
    </cfRule>
    <cfRule type="cellIs" dxfId="18308" priority="7598" stopIfTrue="1" operator="equal">
      <formula>"Napkin Hs"</formula>
    </cfRule>
  </conditionalFormatting>
  <conditionalFormatting sqref="C101">
    <cfRule type="cellIs" dxfId="18307" priority="7599" stopIfTrue="1" operator="equal">
      <formula>"Towel"</formula>
    </cfRule>
    <cfRule type="cellIs" dxfId="18306" priority="7600" stopIfTrue="1" operator="equal">
      <formula>"Napkin Hs"</formula>
    </cfRule>
  </conditionalFormatting>
  <conditionalFormatting sqref="C101">
    <cfRule type="cellIs" dxfId="18305" priority="7595" stopIfTrue="1" operator="equal">
      <formula>"Towel"</formula>
    </cfRule>
    <cfRule type="cellIs" dxfId="18304" priority="7596" stopIfTrue="1" operator="equal">
      <formula>"Napkin Hs"</formula>
    </cfRule>
  </conditionalFormatting>
  <conditionalFormatting sqref="B101:C101">
    <cfRule type="cellIs" dxfId="18303" priority="7593" stopIfTrue="1" operator="equal">
      <formula>"Towel"</formula>
    </cfRule>
    <cfRule type="cellIs" dxfId="18302" priority="7594" stopIfTrue="1" operator="equal">
      <formula>"Napkin Hs"</formula>
    </cfRule>
  </conditionalFormatting>
  <conditionalFormatting sqref="C101">
    <cfRule type="cellIs" dxfId="18301" priority="7589" stopIfTrue="1" operator="equal">
      <formula>"Towel"</formula>
    </cfRule>
    <cfRule type="cellIs" dxfId="18300" priority="7590" stopIfTrue="1" operator="equal">
      <formula>"Napkin Hs"</formula>
    </cfRule>
  </conditionalFormatting>
  <conditionalFormatting sqref="C101">
    <cfRule type="cellIs" dxfId="18299" priority="7591" stopIfTrue="1" operator="equal">
      <formula>"Towel"</formula>
    </cfRule>
    <cfRule type="cellIs" dxfId="18298" priority="7592" stopIfTrue="1" operator="equal">
      <formula>"Napkin Hs"</formula>
    </cfRule>
  </conditionalFormatting>
  <conditionalFormatting sqref="C100">
    <cfRule type="cellIs" dxfId="18297" priority="7585" stopIfTrue="1" operator="equal">
      <formula>"Towel"</formula>
    </cfRule>
    <cfRule type="cellIs" dxfId="18296" priority="7586" stopIfTrue="1" operator="equal">
      <formula>"Napkin Hs"</formula>
    </cfRule>
  </conditionalFormatting>
  <conditionalFormatting sqref="C100">
    <cfRule type="cellIs" dxfId="18295" priority="7587" stopIfTrue="1" operator="equal">
      <formula>"Towel"</formula>
    </cfRule>
    <cfRule type="cellIs" dxfId="18294" priority="7588" stopIfTrue="1" operator="equal">
      <formula>"Napkin Hs"</formula>
    </cfRule>
  </conditionalFormatting>
  <conditionalFormatting sqref="C100">
    <cfRule type="cellIs" dxfId="18293" priority="7581" stopIfTrue="1" operator="equal">
      <formula>"Towel"</formula>
    </cfRule>
    <cfRule type="cellIs" dxfId="18292" priority="7582" stopIfTrue="1" operator="equal">
      <formula>"Napkin Hs"</formula>
    </cfRule>
  </conditionalFormatting>
  <conditionalFormatting sqref="B100:C100">
    <cfRule type="cellIs" dxfId="18291" priority="7583" stopIfTrue="1" operator="equal">
      <formula>"Towel"</formula>
    </cfRule>
    <cfRule type="cellIs" dxfId="18290" priority="7584" stopIfTrue="1" operator="equal">
      <formula>"Napkin Hs"</formula>
    </cfRule>
  </conditionalFormatting>
  <conditionalFormatting sqref="C100">
    <cfRule type="cellIs" dxfId="18289" priority="7579" stopIfTrue="1" operator="equal">
      <formula>"Towel"</formula>
    </cfRule>
    <cfRule type="cellIs" dxfId="18288" priority="7580" stopIfTrue="1" operator="equal">
      <formula>"Napkin Hs"</formula>
    </cfRule>
  </conditionalFormatting>
  <conditionalFormatting sqref="B100:C100">
    <cfRule type="cellIs" dxfId="18287" priority="7577" stopIfTrue="1" operator="equal">
      <formula>"Towel"</formula>
    </cfRule>
    <cfRule type="cellIs" dxfId="18286" priority="7578" stopIfTrue="1" operator="equal">
      <formula>"Napkin Hs"</formula>
    </cfRule>
  </conditionalFormatting>
  <conditionalFormatting sqref="B100:C100">
    <cfRule type="cellIs" dxfId="18285" priority="7575" stopIfTrue="1" operator="equal">
      <formula>"Towel"</formula>
    </cfRule>
    <cfRule type="cellIs" dxfId="18284" priority="7576" stopIfTrue="1" operator="equal">
      <formula>"Napkin Hs"</formula>
    </cfRule>
  </conditionalFormatting>
  <conditionalFormatting sqref="C100">
    <cfRule type="cellIs" dxfId="18283" priority="7569" stopIfTrue="1" operator="equal">
      <formula>"Towel"</formula>
    </cfRule>
    <cfRule type="cellIs" dxfId="18282" priority="7570" stopIfTrue="1" operator="equal">
      <formula>"Napkin Hs"</formula>
    </cfRule>
  </conditionalFormatting>
  <conditionalFormatting sqref="C100">
    <cfRule type="cellIs" dxfId="18281" priority="7571" stopIfTrue="1" operator="equal">
      <formula>"Towel"</formula>
    </cfRule>
    <cfRule type="cellIs" dxfId="18280" priority="7572" stopIfTrue="1" operator="equal">
      <formula>"Napkin Hs"</formula>
    </cfRule>
  </conditionalFormatting>
  <conditionalFormatting sqref="C100">
    <cfRule type="cellIs" dxfId="18279" priority="7567" stopIfTrue="1" operator="equal">
      <formula>"Towel"</formula>
    </cfRule>
    <cfRule type="cellIs" dxfId="18278" priority="7568" stopIfTrue="1" operator="equal">
      <formula>"Napkin Hs"</formula>
    </cfRule>
  </conditionalFormatting>
  <conditionalFormatting sqref="C100">
    <cfRule type="cellIs" dxfId="18277" priority="7565" stopIfTrue="1" operator="equal">
      <formula>"Towel"</formula>
    </cfRule>
    <cfRule type="cellIs" dxfId="18276" priority="7566" stopIfTrue="1" operator="equal">
      <formula>"Napkin Hs"</formula>
    </cfRule>
  </conditionalFormatting>
  <conditionalFormatting sqref="C100">
    <cfRule type="cellIs" dxfId="18275" priority="7561" stopIfTrue="1" operator="equal">
      <formula>"Towel"</formula>
    </cfRule>
    <cfRule type="cellIs" dxfId="18274" priority="7562" stopIfTrue="1" operator="equal">
      <formula>"Napkin Hs"</formula>
    </cfRule>
  </conditionalFormatting>
  <conditionalFormatting sqref="C100">
    <cfRule type="cellIs" dxfId="18273" priority="7563" stopIfTrue="1" operator="equal">
      <formula>"Towel"</formula>
    </cfRule>
    <cfRule type="cellIs" dxfId="18272" priority="7564" stopIfTrue="1" operator="equal">
      <formula>"Napkin Hs"</formula>
    </cfRule>
  </conditionalFormatting>
  <conditionalFormatting sqref="C100">
    <cfRule type="cellIs" dxfId="18271" priority="7559" stopIfTrue="1" operator="equal">
      <formula>"Towel"</formula>
    </cfRule>
    <cfRule type="cellIs" dxfId="18270" priority="7560" stopIfTrue="1" operator="equal">
      <formula>"Napkin Hs"</formula>
    </cfRule>
  </conditionalFormatting>
  <conditionalFormatting sqref="C100">
    <cfRule type="cellIs" dxfId="18269" priority="7543" stopIfTrue="1" operator="equal">
      <formula>"Towel"</formula>
    </cfRule>
    <cfRule type="cellIs" dxfId="18268" priority="7544" stopIfTrue="1" operator="equal">
      <formula>"Napkin Hs"</formula>
    </cfRule>
  </conditionalFormatting>
  <conditionalFormatting sqref="B100">
    <cfRule type="cellIs" dxfId="18267" priority="7541" stopIfTrue="1" operator="equal">
      <formula>"Towel"</formula>
    </cfRule>
    <cfRule type="cellIs" dxfId="18266" priority="7542" stopIfTrue="1" operator="equal">
      <formula>"Napkin Hs"</formula>
    </cfRule>
  </conditionalFormatting>
  <conditionalFormatting sqref="B100">
    <cfRule type="cellIs" dxfId="18265" priority="7557" stopIfTrue="1" operator="equal">
      <formula>"Towel"</formula>
    </cfRule>
    <cfRule type="cellIs" dxfId="18264" priority="7558" stopIfTrue="1" operator="equal">
      <formula>"Napkin Hs"</formula>
    </cfRule>
  </conditionalFormatting>
  <conditionalFormatting sqref="C100">
    <cfRule type="cellIs" dxfId="18263" priority="7553" stopIfTrue="1" operator="equal">
      <formula>"Towel"</formula>
    </cfRule>
    <cfRule type="cellIs" dxfId="18262" priority="7554" stopIfTrue="1" operator="equal">
      <formula>"Napkin Hs"</formula>
    </cfRule>
  </conditionalFormatting>
  <conditionalFormatting sqref="B100">
    <cfRule type="cellIs" dxfId="18261" priority="7555" stopIfTrue="1" operator="equal">
      <formula>"Towel"</formula>
    </cfRule>
    <cfRule type="cellIs" dxfId="18260" priority="7556" stopIfTrue="1" operator="equal">
      <formula>"Napkin Hs"</formula>
    </cfRule>
  </conditionalFormatting>
  <conditionalFormatting sqref="C100">
    <cfRule type="cellIs" dxfId="18259" priority="7549" stopIfTrue="1" operator="equal">
      <formula>"Towel"</formula>
    </cfRule>
    <cfRule type="cellIs" dxfId="18258" priority="7550" stopIfTrue="1" operator="equal">
      <formula>"Napkin Hs"</formula>
    </cfRule>
  </conditionalFormatting>
  <conditionalFormatting sqref="C100">
    <cfRule type="cellIs" dxfId="18257" priority="7551" stopIfTrue="1" operator="equal">
      <formula>"Towel"</formula>
    </cfRule>
    <cfRule type="cellIs" dxfId="18256" priority="7552" stopIfTrue="1" operator="equal">
      <formula>"Napkin Hs"</formula>
    </cfRule>
  </conditionalFormatting>
  <conditionalFormatting sqref="C100">
    <cfRule type="cellIs" dxfId="18255" priority="7547" stopIfTrue="1" operator="equal">
      <formula>"Towel"</formula>
    </cfRule>
    <cfRule type="cellIs" dxfId="18254" priority="7548" stopIfTrue="1" operator="equal">
      <formula>"Napkin Hs"</formula>
    </cfRule>
  </conditionalFormatting>
  <conditionalFormatting sqref="C100">
    <cfRule type="cellIs" dxfId="18253" priority="7545" stopIfTrue="1" operator="equal">
      <formula>"Towel"</formula>
    </cfRule>
    <cfRule type="cellIs" dxfId="18252" priority="7546" stopIfTrue="1" operator="equal">
      <formula>"Napkin Hs"</formula>
    </cfRule>
  </conditionalFormatting>
  <conditionalFormatting sqref="B100">
    <cfRule type="cellIs" dxfId="18251" priority="7539" stopIfTrue="1" operator="equal">
      <formula>"Towel"</formula>
    </cfRule>
    <cfRule type="cellIs" dxfId="18250" priority="7540" stopIfTrue="1" operator="equal">
      <formula>"Napkin Hs"</formula>
    </cfRule>
  </conditionalFormatting>
  <conditionalFormatting sqref="B100:C100">
    <cfRule type="cellIs" dxfId="18249" priority="7537" stopIfTrue="1" operator="equal">
      <formula>"Towel"</formula>
    </cfRule>
    <cfRule type="cellIs" dxfId="18248" priority="7538" stopIfTrue="1" operator="equal">
      <formula>"Napkin Hs"</formula>
    </cfRule>
  </conditionalFormatting>
  <conditionalFormatting sqref="C100">
    <cfRule type="cellIs" dxfId="18247" priority="7535" stopIfTrue="1" operator="equal">
      <formula>"Towel"</formula>
    </cfRule>
    <cfRule type="cellIs" dxfId="18246" priority="7536" stopIfTrue="1" operator="equal">
      <formula>"Napkin Hs"</formula>
    </cfRule>
  </conditionalFormatting>
  <conditionalFormatting sqref="C100">
    <cfRule type="cellIs" dxfId="18245" priority="7533" stopIfTrue="1" operator="equal">
      <formula>"Towel"</formula>
    </cfRule>
    <cfRule type="cellIs" dxfId="18244" priority="7534" stopIfTrue="1" operator="equal">
      <formula>"Napkin Hs"</formula>
    </cfRule>
  </conditionalFormatting>
  <conditionalFormatting sqref="C100">
    <cfRule type="cellIs" dxfId="18243" priority="7523" stopIfTrue="1" operator="equal">
      <formula>"Towel"</formula>
    </cfRule>
    <cfRule type="cellIs" dxfId="18242" priority="7524" stopIfTrue="1" operator="equal">
      <formula>"Napkin Hs"</formula>
    </cfRule>
  </conditionalFormatting>
  <conditionalFormatting sqref="C100">
    <cfRule type="cellIs" dxfId="18241" priority="7525" stopIfTrue="1" operator="equal">
      <formula>"Towel"</formula>
    </cfRule>
    <cfRule type="cellIs" dxfId="18240" priority="7526" stopIfTrue="1" operator="equal">
      <formula>"Napkin Hs"</formula>
    </cfRule>
  </conditionalFormatting>
  <conditionalFormatting sqref="B100:C100">
    <cfRule type="cellIs" dxfId="18239" priority="7521" stopIfTrue="1" operator="equal">
      <formula>"Towel"</formula>
    </cfRule>
    <cfRule type="cellIs" dxfId="18238" priority="7522" stopIfTrue="1" operator="equal">
      <formula>"Napkin Hs"</formula>
    </cfRule>
  </conditionalFormatting>
  <conditionalFormatting sqref="C100">
    <cfRule type="cellIs" dxfId="18237" priority="7519" stopIfTrue="1" operator="equal">
      <formula>"Towel"</formula>
    </cfRule>
    <cfRule type="cellIs" dxfId="18236" priority="7520" stopIfTrue="1" operator="equal">
      <formula>"Napkin Hs"</formula>
    </cfRule>
  </conditionalFormatting>
  <conditionalFormatting sqref="B100:C100">
    <cfRule type="cellIs" dxfId="18235" priority="7515" stopIfTrue="1" operator="equal">
      <formula>"Towel"</formula>
    </cfRule>
    <cfRule type="cellIs" dxfId="18234" priority="7516" stopIfTrue="1" operator="equal">
      <formula>"Napkin Hs"</formula>
    </cfRule>
  </conditionalFormatting>
  <conditionalFormatting sqref="C100">
    <cfRule type="cellIs" dxfId="18233" priority="7517" stopIfTrue="1" operator="equal">
      <formula>"Towel"</formula>
    </cfRule>
    <cfRule type="cellIs" dxfId="18232" priority="7518" stopIfTrue="1" operator="equal">
      <formula>"Napkin Hs"</formula>
    </cfRule>
  </conditionalFormatting>
  <conditionalFormatting sqref="C100">
    <cfRule type="cellIs" dxfId="18231" priority="7574" stopIfTrue="1" operator="equal">
      <formula>"Napkin Hs"</formula>
    </cfRule>
  </conditionalFormatting>
  <conditionalFormatting sqref="C100">
    <cfRule type="cellIs" dxfId="18230" priority="7573" stopIfTrue="1" operator="equal">
      <formula>"Towel"</formula>
    </cfRule>
  </conditionalFormatting>
  <conditionalFormatting sqref="B100:C100">
    <cfRule type="cellIs" dxfId="18229" priority="7531" stopIfTrue="1" operator="equal">
      <formula>"Towel"</formula>
    </cfRule>
    <cfRule type="cellIs" dxfId="18228" priority="7532" stopIfTrue="1" operator="equal">
      <formula>"Napkin Hs"</formula>
    </cfRule>
  </conditionalFormatting>
  <conditionalFormatting sqref="C100">
    <cfRule type="cellIs" dxfId="18227" priority="7529" stopIfTrue="1" operator="equal">
      <formula>"Towel"</formula>
    </cfRule>
    <cfRule type="cellIs" dxfId="18226" priority="7530" stopIfTrue="1" operator="equal">
      <formula>"Napkin Hs"</formula>
    </cfRule>
  </conditionalFormatting>
  <conditionalFormatting sqref="C100">
    <cfRule type="cellIs" dxfId="18225" priority="7527" stopIfTrue="1" operator="equal">
      <formula>"Towel"</formula>
    </cfRule>
    <cfRule type="cellIs" dxfId="18224" priority="7528" stopIfTrue="1" operator="equal">
      <formula>"Napkin Hs"</formula>
    </cfRule>
  </conditionalFormatting>
  <conditionalFormatting sqref="B100:C100">
    <cfRule type="cellIs" dxfId="18223" priority="7511" stopIfTrue="1" operator="equal">
      <formula>"Towel"</formula>
    </cfRule>
    <cfRule type="cellIs" dxfId="18222" priority="7512" stopIfTrue="1" operator="equal">
      <formula>"Napkin Hs"</formula>
    </cfRule>
  </conditionalFormatting>
  <conditionalFormatting sqref="C100">
    <cfRule type="cellIs" dxfId="18221" priority="7513" stopIfTrue="1" operator="equal">
      <formula>"Towel"</formula>
    </cfRule>
    <cfRule type="cellIs" dxfId="18220" priority="7514" stopIfTrue="1" operator="equal">
      <formula>"Napkin Hs"</formula>
    </cfRule>
  </conditionalFormatting>
  <conditionalFormatting sqref="C100">
    <cfRule type="cellIs" dxfId="18219" priority="7509" stopIfTrue="1" operator="equal">
      <formula>"Towel"</formula>
    </cfRule>
    <cfRule type="cellIs" dxfId="18218" priority="7510" stopIfTrue="1" operator="equal">
      <formula>"Napkin Hs"</formula>
    </cfRule>
  </conditionalFormatting>
  <conditionalFormatting sqref="B100:C100">
    <cfRule type="cellIs" dxfId="18217" priority="7507" stopIfTrue="1" operator="equal">
      <formula>"Towel"</formula>
    </cfRule>
    <cfRule type="cellIs" dxfId="18216" priority="7508" stopIfTrue="1" operator="equal">
      <formula>"Napkin Hs"</formula>
    </cfRule>
  </conditionalFormatting>
  <conditionalFormatting sqref="C100">
    <cfRule type="cellIs" dxfId="18215" priority="7503" stopIfTrue="1" operator="equal">
      <formula>"Towel"</formula>
    </cfRule>
    <cfRule type="cellIs" dxfId="18214" priority="7504" stopIfTrue="1" operator="equal">
      <formula>"Napkin Hs"</formula>
    </cfRule>
  </conditionalFormatting>
  <conditionalFormatting sqref="C100">
    <cfRule type="cellIs" dxfId="18213" priority="7505" stopIfTrue="1" operator="equal">
      <formula>"Towel"</formula>
    </cfRule>
    <cfRule type="cellIs" dxfId="18212" priority="7506" stopIfTrue="1" operator="equal">
      <formula>"Napkin Hs"</formula>
    </cfRule>
  </conditionalFormatting>
  <conditionalFormatting sqref="B100:C100">
    <cfRule type="cellIs" dxfId="18211" priority="7499" stopIfTrue="1" operator="equal">
      <formula>"Towel"</formula>
    </cfRule>
    <cfRule type="cellIs" dxfId="18210" priority="7500" stopIfTrue="1" operator="equal">
      <formula>"Napkin Hs"</formula>
    </cfRule>
  </conditionalFormatting>
  <conditionalFormatting sqref="C100">
    <cfRule type="cellIs" dxfId="18209" priority="7501" stopIfTrue="1" operator="equal">
      <formula>"Towel"</formula>
    </cfRule>
    <cfRule type="cellIs" dxfId="18208" priority="7502" stopIfTrue="1" operator="equal">
      <formula>"Napkin Hs"</formula>
    </cfRule>
  </conditionalFormatting>
  <conditionalFormatting sqref="C100">
    <cfRule type="cellIs" dxfId="18207" priority="7497" stopIfTrue="1" operator="equal">
      <formula>"Towel"</formula>
    </cfRule>
    <cfRule type="cellIs" dxfId="18206" priority="7498" stopIfTrue="1" operator="equal">
      <formula>"Napkin Hs"</formula>
    </cfRule>
  </conditionalFormatting>
  <conditionalFormatting sqref="B100:C100">
    <cfRule type="cellIs" dxfId="18205" priority="7495" stopIfTrue="1" operator="equal">
      <formula>"Towel"</formula>
    </cfRule>
    <cfRule type="cellIs" dxfId="18204" priority="7496" stopIfTrue="1" operator="equal">
      <formula>"Napkin Hs"</formula>
    </cfRule>
  </conditionalFormatting>
  <conditionalFormatting sqref="C100">
    <cfRule type="cellIs" dxfId="18203" priority="7491" stopIfTrue="1" operator="equal">
      <formula>"Towel"</formula>
    </cfRule>
    <cfRule type="cellIs" dxfId="18202" priority="7492" stopIfTrue="1" operator="equal">
      <formula>"Napkin Hs"</formula>
    </cfRule>
  </conditionalFormatting>
  <conditionalFormatting sqref="C100">
    <cfRule type="cellIs" dxfId="18201" priority="7493" stopIfTrue="1" operator="equal">
      <formula>"Towel"</formula>
    </cfRule>
    <cfRule type="cellIs" dxfId="18200" priority="7494" stopIfTrue="1" operator="equal">
      <formula>"Napkin Hs"</formula>
    </cfRule>
  </conditionalFormatting>
  <conditionalFormatting sqref="B107:C107">
    <cfRule type="cellIs" dxfId="18199" priority="7463" stopIfTrue="1" operator="equal">
      <formula>"Towel"</formula>
    </cfRule>
    <cfRule type="cellIs" dxfId="18198" priority="7464" stopIfTrue="1" operator="equal">
      <formula>"Napkin Hs"</formula>
    </cfRule>
  </conditionalFormatting>
  <conditionalFormatting sqref="C107">
    <cfRule type="cellIs" dxfId="18197" priority="7465" stopIfTrue="1" operator="equal">
      <formula>"Towel"</formula>
    </cfRule>
    <cfRule type="cellIs" dxfId="18196" priority="7466" stopIfTrue="1" operator="equal">
      <formula>"Napkin Hs"</formula>
    </cfRule>
  </conditionalFormatting>
  <conditionalFormatting sqref="C107">
    <cfRule type="cellIs" dxfId="18195" priority="7461" stopIfTrue="1" operator="equal">
      <formula>"Towel"</formula>
    </cfRule>
    <cfRule type="cellIs" dxfId="18194" priority="7462" stopIfTrue="1" operator="equal">
      <formula>"Napkin Hs"</formula>
    </cfRule>
  </conditionalFormatting>
  <conditionalFormatting sqref="C106">
    <cfRule type="cellIs" dxfId="18193" priority="7457" stopIfTrue="1" operator="equal">
      <formula>"Towel"</formula>
    </cfRule>
    <cfRule type="cellIs" dxfId="18192" priority="7458" stopIfTrue="1" operator="equal">
      <formula>"Napkin Hs"</formula>
    </cfRule>
  </conditionalFormatting>
  <conditionalFormatting sqref="C106">
    <cfRule type="cellIs" dxfId="18191" priority="7459" stopIfTrue="1" operator="equal">
      <formula>"Towel"</formula>
    </cfRule>
    <cfRule type="cellIs" dxfId="18190" priority="7460" stopIfTrue="1" operator="equal">
      <formula>"Napkin Hs"</formula>
    </cfRule>
  </conditionalFormatting>
  <conditionalFormatting sqref="B106:C106">
    <cfRule type="cellIs" dxfId="18189" priority="7455" stopIfTrue="1" operator="equal">
      <formula>"Towel"</formula>
    </cfRule>
    <cfRule type="cellIs" dxfId="18188" priority="7456" stopIfTrue="1" operator="equal">
      <formula>"Napkin Hs"</formula>
    </cfRule>
  </conditionalFormatting>
  <conditionalFormatting sqref="B106:C106">
    <cfRule type="cellIs" dxfId="18187" priority="7449" stopIfTrue="1" operator="equal">
      <formula>"Towel"</formula>
    </cfRule>
    <cfRule type="cellIs" dxfId="18186" priority="7450" stopIfTrue="1" operator="equal">
      <formula>"Napkin Hs"</formula>
    </cfRule>
  </conditionalFormatting>
  <conditionalFormatting sqref="C106">
    <cfRule type="cellIs" dxfId="18185" priority="7451" stopIfTrue="1" operator="equal">
      <formula>"Towel"</formula>
    </cfRule>
    <cfRule type="cellIs" dxfId="18184" priority="7452" stopIfTrue="1" operator="equal">
      <formula>"Napkin Hs"</formula>
    </cfRule>
  </conditionalFormatting>
  <conditionalFormatting sqref="C106">
    <cfRule type="cellIs" dxfId="18183" priority="7453" stopIfTrue="1" operator="equal">
      <formula>"Towel"</formula>
    </cfRule>
    <cfRule type="cellIs" dxfId="18182" priority="7454" stopIfTrue="1" operator="equal">
      <formula>"Napkin Hs"</formula>
    </cfRule>
  </conditionalFormatting>
  <conditionalFormatting sqref="C106">
    <cfRule type="cellIs" dxfId="18181" priority="7421" stopIfTrue="1" operator="equal">
      <formula>"Towel"</formula>
    </cfRule>
    <cfRule type="cellIs" dxfId="18180" priority="7422" stopIfTrue="1" operator="equal">
      <formula>"Napkin Hs"</formula>
    </cfRule>
  </conditionalFormatting>
  <conditionalFormatting sqref="C106">
    <cfRule type="cellIs" dxfId="18179" priority="7423" stopIfTrue="1" operator="equal">
      <formula>"Towel"</formula>
    </cfRule>
    <cfRule type="cellIs" dxfId="18178" priority="7424" stopIfTrue="1" operator="equal">
      <formula>"Napkin Hs"</formula>
    </cfRule>
  </conditionalFormatting>
  <conditionalFormatting sqref="C106">
    <cfRule type="cellIs" dxfId="18177" priority="7419" stopIfTrue="1" operator="equal">
      <formula>"Towel"</formula>
    </cfRule>
    <cfRule type="cellIs" dxfId="18176" priority="7420" stopIfTrue="1" operator="equal">
      <formula>"Napkin Hs"</formula>
    </cfRule>
  </conditionalFormatting>
  <conditionalFormatting sqref="B106">
    <cfRule type="cellIs" dxfId="18175" priority="7413" stopIfTrue="1" operator="equal">
      <formula>"Towel"</formula>
    </cfRule>
    <cfRule type="cellIs" dxfId="18174" priority="7414" stopIfTrue="1" operator="equal">
      <formula>"Napkin Hs"</formula>
    </cfRule>
  </conditionalFormatting>
  <conditionalFormatting sqref="C106">
    <cfRule type="cellIs" dxfId="18173" priority="7415" stopIfTrue="1" operator="equal">
      <formula>"Towel"</formula>
    </cfRule>
    <cfRule type="cellIs" dxfId="18172" priority="7416" stopIfTrue="1" operator="equal">
      <formula>"Napkin Hs"</formula>
    </cfRule>
  </conditionalFormatting>
  <conditionalFormatting sqref="C106">
    <cfRule type="cellIs" dxfId="18171" priority="7417" stopIfTrue="1" operator="equal">
      <formula>"Towel"</formula>
    </cfRule>
    <cfRule type="cellIs" dxfId="18170" priority="7418" stopIfTrue="1" operator="equal">
      <formula>"Napkin Hs"</formula>
    </cfRule>
  </conditionalFormatting>
  <conditionalFormatting sqref="B106:C106">
    <cfRule type="cellIs" dxfId="18169" priority="7367" stopIfTrue="1" operator="equal">
      <formula>"Towel"</formula>
    </cfRule>
    <cfRule type="cellIs" dxfId="18168" priority="7368" stopIfTrue="1" operator="equal">
      <formula>"Napkin Hs"</formula>
    </cfRule>
  </conditionalFormatting>
  <conditionalFormatting sqref="C106">
    <cfRule type="cellIs" dxfId="18167" priority="7369" stopIfTrue="1" operator="equal">
      <formula>"Towel"</formula>
    </cfRule>
    <cfRule type="cellIs" dxfId="18166" priority="7370" stopIfTrue="1" operator="equal">
      <formula>"Napkin Hs"</formula>
    </cfRule>
  </conditionalFormatting>
  <conditionalFormatting sqref="C106">
    <cfRule type="cellIs" dxfId="18165" priority="7365" stopIfTrue="1" operator="equal">
      <formula>"Towel"</formula>
    </cfRule>
    <cfRule type="cellIs" dxfId="18164" priority="7366" stopIfTrue="1" operator="equal">
      <formula>"Napkin Hs"</formula>
    </cfRule>
  </conditionalFormatting>
  <conditionalFormatting sqref="C106">
    <cfRule type="cellIs" dxfId="18163" priority="7363" stopIfTrue="1" operator="equal">
      <formula>"Towel"</formula>
    </cfRule>
    <cfRule type="cellIs" dxfId="18162" priority="7364" stopIfTrue="1" operator="equal">
      <formula>"Napkin Hs"</formula>
    </cfRule>
  </conditionalFormatting>
  <conditionalFormatting sqref="B106">
    <cfRule type="cellIs" dxfId="18161" priority="7411" stopIfTrue="1" operator="equal">
      <formula>"Towel"</formula>
    </cfRule>
    <cfRule type="cellIs" dxfId="18160" priority="7412" stopIfTrue="1" operator="equal">
      <formula>"Napkin Hs"</formula>
    </cfRule>
  </conditionalFormatting>
  <conditionalFormatting sqref="C106">
    <cfRule type="cellIs" dxfId="18159" priority="7407" stopIfTrue="1" operator="equal">
      <formula>"Towel"</formula>
    </cfRule>
    <cfRule type="cellIs" dxfId="18158" priority="7408" stopIfTrue="1" operator="equal">
      <formula>"Napkin Hs"</formula>
    </cfRule>
  </conditionalFormatting>
  <conditionalFormatting sqref="C106">
    <cfRule type="cellIs" dxfId="18157" priority="7401" stopIfTrue="1" operator="equal">
      <formula>"Towel"</formula>
    </cfRule>
    <cfRule type="cellIs" dxfId="18156" priority="7402" stopIfTrue="1" operator="equal">
      <formula>"Napkin Hs"</formula>
    </cfRule>
  </conditionalFormatting>
  <conditionalFormatting sqref="C106">
    <cfRule type="cellIs" dxfId="18155" priority="7405" stopIfTrue="1" operator="equal">
      <formula>"Towel"</formula>
    </cfRule>
    <cfRule type="cellIs" dxfId="18154" priority="7406" stopIfTrue="1" operator="equal">
      <formula>"Napkin Hs"</formula>
    </cfRule>
  </conditionalFormatting>
  <conditionalFormatting sqref="B106:C106">
    <cfRule type="cellIs" dxfId="18153" priority="7403" stopIfTrue="1" operator="equal">
      <formula>"Towel"</formula>
    </cfRule>
    <cfRule type="cellIs" dxfId="18152" priority="7404" stopIfTrue="1" operator="equal">
      <formula>"Napkin Hs"</formula>
    </cfRule>
  </conditionalFormatting>
  <conditionalFormatting sqref="C106">
    <cfRule type="cellIs" dxfId="18151" priority="7395" stopIfTrue="1" operator="equal">
      <formula>"Towel"</formula>
    </cfRule>
    <cfRule type="cellIs" dxfId="18150" priority="7396" stopIfTrue="1" operator="equal">
      <formula>"Napkin Hs"</formula>
    </cfRule>
  </conditionalFormatting>
  <conditionalFormatting sqref="C106">
    <cfRule type="cellIs" dxfId="18149" priority="7397" stopIfTrue="1" operator="equal">
      <formula>"Towel"</formula>
    </cfRule>
    <cfRule type="cellIs" dxfId="18148" priority="7398" stopIfTrue="1" operator="equal">
      <formula>"Napkin Hs"</formula>
    </cfRule>
  </conditionalFormatting>
  <conditionalFormatting sqref="C106">
    <cfRule type="cellIs" dxfId="18147" priority="7399" stopIfTrue="1" operator="equal">
      <formula>"Towel"</formula>
    </cfRule>
    <cfRule type="cellIs" dxfId="18146" priority="7400" stopIfTrue="1" operator="equal">
      <formula>"Napkin Hs"</formula>
    </cfRule>
  </conditionalFormatting>
  <conditionalFormatting sqref="C106">
    <cfRule type="cellIs" dxfId="18145" priority="7389" stopIfTrue="1" operator="equal">
      <formula>"Towel"</formula>
    </cfRule>
    <cfRule type="cellIs" dxfId="18144" priority="7390" stopIfTrue="1" operator="equal">
      <formula>"Napkin Hs"</formula>
    </cfRule>
  </conditionalFormatting>
  <conditionalFormatting sqref="B106:C106">
    <cfRule type="cellIs" dxfId="18143" priority="7393" stopIfTrue="1" operator="equal">
      <formula>"Towel"</formula>
    </cfRule>
    <cfRule type="cellIs" dxfId="18142" priority="7394" stopIfTrue="1" operator="equal">
      <formula>"Napkin Hs"</formula>
    </cfRule>
  </conditionalFormatting>
  <conditionalFormatting sqref="C106">
    <cfRule type="cellIs" dxfId="18141" priority="7391" stopIfTrue="1" operator="equal">
      <formula>"Towel"</formula>
    </cfRule>
    <cfRule type="cellIs" dxfId="18140" priority="7392" stopIfTrue="1" operator="equal">
      <formula>"Napkin Hs"</formula>
    </cfRule>
  </conditionalFormatting>
  <conditionalFormatting sqref="B106:C106">
    <cfRule type="cellIs" dxfId="18139" priority="7383" stopIfTrue="1" operator="equal">
      <formula>"Towel"</formula>
    </cfRule>
    <cfRule type="cellIs" dxfId="18138" priority="7384" stopIfTrue="1" operator="equal">
      <formula>"Napkin Hs"</formula>
    </cfRule>
  </conditionalFormatting>
  <conditionalFormatting sqref="C106">
    <cfRule type="cellIs" dxfId="18137" priority="7385" stopIfTrue="1" operator="equal">
      <formula>"Towel"</formula>
    </cfRule>
    <cfRule type="cellIs" dxfId="18136" priority="7386" stopIfTrue="1" operator="equal">
      <formula>"Napkin Hs"</formula>
    </cfRule>
  </conditionalFormatting>
  <conditionalFormatting sqref="B106:C106">
    <cfRule type="cellIs" dxfId="18135" priority="7387" stopIfTrue="1" operator="equal">
      <formula>"Towel"</formula>
    </cfRule>
    <cfRule type="cellIs" dxfId="18134" priority="7388" stopIfTrue="1" operator="equal">
      <formula>"Napkin Hs"</formula>
    </cfRule>
  </conditionalFormatting>
  <conditionalFormatting sqref="C106">
    <cfRule type="cellIs" dxfId="18133" priority="7381" stopIfTrue="1" operator="equal">
      <formula>"Towel"</formula>
    </cfRule>
    <cfRule type="cellIs" dxfId="18132" priority="7382" stopIfTrue="1" operator="equal">
      <formula>"Napkin Hs"</formula>
    </cfRule>
  </conditionalFormatting>
  <conditionalFormatting sqref="C106">
    <cfRule type="cellIs" dxfId="18131" priority="7377" stopIfTrue="1" operator="equal">
      <formula>"Towel"</formula>
    </cfRule>
    <cfRule type="cellIs" dxfId="18130" priority="7378" stopIfTrue="1" operator="equal">
      <formula>"Napkin Hs"</formula>
    </cfRule>
  </conditionalFormatting>
  <conditionalFormatting sqref="B106:C106">
    <cfRule type="cellIs" dxfId="18129" priority="7379" stopIfTrue="1" operator="equal">
      <formula>"Towel"</formula>
    </cfRule>
    <cfRule type="cellIs" dxfId="18128" priority="7380" stopIfTrue="1" operator="equal">
      <formula>"Napkin Hs"</formula>
    </cfRule>
  </conditionalFormatting>
  <conditionalFormatting sqref="C106">
    <cfRule type="cellIs" dxfId="18127" priority="7375" stopIfTrue="1" operator="equal">
      <formula>"Towel"</formula>
    </cfRule>
    <cfRule type="cellIs" dxfId="18126" priority="7376" stopIfTrue="1" operator="equal">
      <formula>"Napkin Hs"</formula>
    </cfRule>
  </conditionalFormatting>
  <conditionalFormatting sqref="C106">
    <cfRule type="cellIs" dxfId="18125" priority="7373" stopIfTrue="1" operator="equal">
      <formula>"Towel"</formula>
    </cfRule>
    <cfRule type="cellIs" dxfId="18124" priority="7374" stopIfTrue="1" operator="equal">
      <formula>"Napkin Hs"</formula>
    </cfRule>
  </conditionalFormatting>
  <conditionalFormatting sqref="B106:C106">
    <cfRule type="cellIs" dxfId="18123" priority="7371" stopIfTrue="1" operator="equal">
      <formula>"Towel"</formula>
    </cfRule>
    <cfRule type="cellIs" dxfId="18122" priority="7372" stopIfTrue="1" operator="equal">
      <formula>"Napkin Hs"</formula>
    </cfRule>
  </conditionalFormatting>
  <conditionalFormatting sqref="B106:C106">
    <cfRule type="cellIs" dxfId="18121" priority="7447" stopIfTrue="1" operator="equal">
      <formula>"Towel"</formula>
    </cfRule>
    <cfRule type="cellIs" dxfId="18120" priority="7448" stopIfTrue="1" operator="equal">
      <formula>"Napkin Hs"</formula>
    </cfRule>
  </conditionalFormatting>
  <conditionalFormatting sqref="C106">
    <cfRule type="cellIs" dxfId="18119" priority="7443" stopIfTrue="1" operator="equal">
      <formula>"Towel"</formula>
    </cfRule>
    <cfRule type="cellIs" dxfId="18118" priority="7444" stopIfTrue="1" operator="equal">
      <formula>"Napkin Hs"</formula>
    </cfRule>
  </conditionalFormatting>
  <conditionalFormatting sqref="C106">
    <cfRule type="cellIs" dxfId="18117" priority="7446" stopIfTrue="1" operator="equal">
      <formula>"Napkin Hs"</formula>
    </cfRule>
  </conditionalFormatting>
  <conditionalFormatting sqref="C106">
    <cfRule type="cellIs" dxfId="18116" priority="7445" stopIfTrue="1" operator="equal">
      <formula>"Towel"</formula>
    </cfRule>
  </conditionalFormatting>
  <conditionalFormatting sqref="C106">
    <cfRule type="cellIs" dxfId="18115" priority="7437" stopIfTrue="1" operator="equal">
      <formula>"Towel"</formula>
    </cfRule>
    <cfRule type="cellIs" dxfId="18114" priority="7438" stopIfTrue="1" operator="equal">
      <formula>"Napkin Hs"</formula>
    </cfRule>
  </conditionalFormatting>
  <conditionalFormatting sqref="C106">
    <cfRule type="cellIs" dxfId="18113" priority="7441" stopIfTrue="1" operator="equal">
      <formula>"Towel"</formula>
    </cfRule>
    <cfRule type="cellIs" dxfId="18112" priority="7442" stopIfTrue="1" operator="equal">
      <formula>"Napkin Hs"</formula>
    </cfRule>
  </conditionalFormatting>
  <conditionalFormatting sqref="B106">
    <cfRule type="cellIs" dxfId="18111" priority="7427" stopIfTrue="1" operator="equal">
      <formula>"Towel"</formula>
    </cfRule>
    <cfRule type="cellIs" dxfId="18110" priority="7428" stopIfTrue="1" operator="equal">
      <formula>"Napkin Hs"</formula>
    </cfRule>
  </conditionalFormatting>
  <conditionalFormatting sqref="C106">
    <cfRule type="cellIs" dxfId="18109" priority="7439" stopIfTrue="1" operator="equal">
      <formula>"Towel"</formula>
    </cfRule>
    <cfRule type="cellIs" dxfId="18108" priority="7440" stopIfTrue="1" operator="equal">
      <formula>"Napkin Hs"</formula>
    </cfRule>
  </conditionalFormatting>
  <conditionalFormatting sqref="C106">
    <cfRule type="cellIs" dxfId="18107" priority="7431" stopIfTrue="1" operator="equal">
      <formula>"Towel"</formula>
    </cfRule>
    <cfRule type="cellIs" dxfId="18106" priority="7432" stopIfTrue="1" operator="equal">
      <formula>"Napkin Hs"</formula>
    </cfRule>
  </conditionalFormatting>
  <conditionalFormatting sqref="C106">
    <cfRule type="cellIs" dxfId="18105" priority="7433" stopIfTrue="1" operator="equal">
      <formula>"Towel"</formula>
    </cfRule>
    <cfRule type="cellIs" dxfId="18104" priority="7434" stopIfTrue="1" operator="equal">
      <formula>"Napkin Hs"</formula>
    </cfRule>
  </conditionalFormatting>
  <conditionalFormatting sqref="C106">
    <cfRule type="cellIs" dxfId="18103" priority="7435" stopIfTrue="1" operator="equal">
      <formula>"Towel"</formula>
    </cfRule>
    <cfRule type="cellIs" dxfId="18102" priority="7436" stopIfTrue="1" operator="equal">
      <formula>"Napkin Hs"</formula>
    </cfRule>
  </conditionalFormatting>
  <conditionalFormatting sqref="B106">
    <cfRule type="cellIs" dxfId="18101" priority="7429" stopIfTrue="1" operator="equal">
      <formula>"Towel"</formula>
    </cfRule>
    <cfRule type="cellIs" dxfId="18100" priority="7430" stopIfTrue="1" operator="equal">
      <formula>"Napkin Hs"</formula>
    </cfRule>
  </conditionalFormatting>
  <conditionalFormatting sqref="C106">
    <cfRule type="cellIs" dxfId="18099" priority="7425" stopIfTrue="1" operator="equal">
      <formula>"Towel"</formula>
    </cfRule>
    <cfRule type="cellIs" dxfId="18098" priority="7426" stopIfTrue="1" operator="equal">
      <formula>"Napkin Hs"</formula>
    </cfRule>
  </conditionalFormatting>
  <conditionalFormatting sqref="B106:C106">
    <cfRule type="cellIs" dxfId="18097" priority="7409" stopIfTrue="1" operator="equal">
      <formula>"Towel"</formula>
    </cfRule>
    <cfRule type="cellIs" dxfId="18096" priority="7410" stopIfTrue="1" operator="equal">
      <formula>"Napkin Hs"</formula>
    </cfRule>
  </conditionalFormatting>
  <conditionalFormatting sqref="C105">
    <cfRule type="cellIs" dxfId="18095" priority="7359" stopIfTrue="1" operator="equal">
      <formula>"Towel"</formula>
    </cfRule>
    <cfRule type="cellIs" dxfId="18094" priority="7360" stopIfTrue="1" operator="equal">
      <formula>"Napkin Hs"</formula>
    </cfRule>
  </conditionalFormatting>
  <conditionalFormatting sqref="C105">
    <cfRule type="cellIs" dxfId="18093" priority="7361" stopIfTrue="1" operator="equal">
      <formula>"Towel"</formula>
    </cfRule>
    <cfRule type="cellIs" dxfId="18092" priority="7362" stopIfTrue="1" operator="equal">
      <formula>"Napkin Hs"</formula>
    </cfRule>
  </conditionalFormatting>
  <conditionalFormatting sqref="C105">
    <cfRule type="cellIs" dxfId="18091" priority="7355" stopIfTrue="1" operator="equal">
      <formula>"Towel"</formula>
    </cfRule>
    <cfRule type="cellIs" dxfId="18090" priority="7356" stopIfTrue="1" operator="equal">
      <formula>"Napkin Hs"</formula>
    </cfRule>
  </conditionalFormatting>
  <conditionalFormatting sqref="B105:C105">
    <cfRule type="cellIs" dxfId="18089" priority="7357" stopIfTrue="1" operator="equal">
      <formula>"Towel"</formula>
    </cfRule>
    <cfRule type="cellIs" dxfId="18088" priority="7358" stopIfTrue="1" operator="equal">
      <formula>"Napkin Hs"</formula>
    </cfRule>
  </conditionalFormatting>
  <conditionalFormatting sqref="C105">
    <cfRule type="cellIs" dxfId="18087" priority="7353" stopIfTrue="1" operator="equal">
      <formula>"Towel"</formula>
    </cfRule>
    <cfRule type="cellIs" dxfId="18086" priority="7354" stopIfTrue="1" operator="equal">
      <formula>"Napkin Hs"</formula>
    </cfRule>
  </conditionalFormatting>
  <conditionalFormatting sqref="B105:C105">
    <cfRule type="cellIs" dxfId="18085" priority="7351" stopIfTrue="1" operator="equal">
      <formula>"Towel"</formula>
    </cfRule>
    <cfRule type="cellIs" dxfId="18084" priority="7352" stopIfTrue="1" operator="equal">
      <formula>"Napkin Hs"</formula>
    </cfRule>
  </conditionalFormatting>
  <conditionalFormatting sqref="B105:C105">
    <cfRule type="cellIs" dxfId="18083" priority="7349" stopIfTrue="1" operator="equal">
      <formula>"Towel"</formula>
    </cfRule>
    <cfRule type="cellIs" dxfId="18082" priority="7350" stopIfTrue="1" operator="equal">
      <formula>"Napkin Hs"</formula>
    </cfRule>
  </conditionalFormatting>
  <conditionalFormatting sqref="C105">
    <cfRule type="cellIs" dxfId="18081" priority="7343" stopIfTrue="1" operator="equal">
      <formula>"Towel"</formula>
    </cfRule>
    <cfRule type="cellIs" dxfId="18080" priority="7344" stopIfTrue="1" operator="equal">
      <formula>"Napkin Hs"</formula>
    </cfRule>
  </conditionalFormatting>
  <conditionalFormatting sqref="C105">
    <cfRule type="cellIs" dxfId="18079" priority="7345" stopIfTrue="1" operator="equal">
      <formula>"Towel"</formula>
    </cfRule>
    <cfRule type="cellIs" dxfId="18078" priority="7346" stopIfTrue="1" operator="equal">
      <formula>"Napkin Hs"</formula>
    </cfRule>
  </conditionalFormatting>
  <conditionalFormatting sqref="C105">
    <cfRule type="cellIs" dxfId="18077" priority="7341" stopIfTrue="1" operator="equal">
      <formula>"Towel"</formula>
    </cfRule>
    <cfRule type="cellIs" dxfId="18076" priority="7342" stopIfTrue="1" operator="equal">
      <formula>"Napkin Hs"</formula>
    </cfRule>
  </conditionalFormatting>
  <conditionalFormatting sqref="C105">
    <cfRule type="cellIs" dxfId="18075" priority="7339" stopIfTrue="1" operator="equal">
      <formula>"Towel"</formula>
    </cfRule>
    <cfRule type="cellIs" dxfId="18074" priority="7340" stopIfTrue="1" operator="equal">
      <formula>"Napkin Hs"</formula>
    </cfRule>
  </conditionalFormatting>
  <conditionalFormatting sqref="C105">
    <cfRule type="cellIs" dxfId="18073" priority="7335" stopIfTrue="1" operator="equal">
      <formula>"Towel"</formula>
    </cfRule>
    <cfRule type="cellIs" dxfId="18072" priority="7336" stopIfTrue="1" operator="equal">
      <formula>"Napkin Hs"</formula>
    </cfRule>
  </conditionalFormatting>
  <conditionalFormatting sqref="C105">
    <cfRule type="cellIs" dxfId="18071" priority="7337" stopIfTrue="1" operator="equal">
      <formula>"Towel"</formula>
    </cfRule>
    <cfRule type="cellIs" dxfId="18070" priority="7338" stopIfTrue="1" operator="equal">
      <formula>"Napkin Hs"</formula>
    </cfRule>
  </conditionalFormatting>
  <conditionalFormatting sqref="C105">
    <cfRule type="cellIs" dxfId="18069" priority="7333" stopIfTrue="1" operator="equal">
      <formula>"Towel"</formula>
    </cfRule>
    <cfRule type="cellIs" dxfId="18068" priority="7334" stopIfTrue="1" operator="equal">
      <formula>"Napkin Hs"</formula>
    </cfRule>
  </conditionalFormatting>
  <conditionalFormatting sqref="C105">
    <cfRule type="cellIs" dxfId="18067" priority="7317" stopIfTrue="1" operator="equal">
      <formula>"Towel"</formula>
    </cfRule>
    <cfRule type="cellIs" dxfId="18066" priority="7318" stopIfTrue="1" operator="equal">
      <formula>"Napkin Hs"</formula>
    </cfRule>
  </conditionalFormatting>
  <conditionalFormatting sqref="B105">
    <cfRule type="cellIs" dxfId="18065" priority="7315" stopIfTrue="1" operator="equal">
      <formula>"Towel"</formula>
    </cfRule>
    <cfRule type="cellIs" dxfId="18064" priority="7316" stopIfTrue="1" operator="equal">
      <formula>"Napkin Hs"</formula>
    </cfRule>
  </conditionalFormatting>
  <conditionalFormatting sqref="B105">
    <cfRule type="cellIs" dxfId="18063" priority="7331" stopIfTrue="1" operator="equal">
      <formula>"Towel"</formula>
    </cfRule>
    <cfRule type="cellIs" dxfId="18062" priority="7332" stopIfTrue="1" operator="equal">
      <formula>"Napkin Hs"</formula>
    </cfRule>
  </conditionalFormatting>
  <conditionalFormatting sqref="C105">
    <cfRule type="cellIs" dxfId="18061" priority="7327" stopIfTrue="1" operator="equal">
      <formula>"Towel"</formula>
    </cfRule>
    <cfRule type="cellIs" dxfId="18060" priority="7328" stopIfTrue="1" operator="equal">
      <formula>"Napkin Hs"</formula>
    </cfRule>
  </conditionalFormatting>
  <conditionalFormatting sqref="B105">
    <cfRule type="cellIs" dxfId="18059" priority="7329" stopIfTrue="1" operator="equal">
      <formula>"Towel"</formula>
    </cfRule>
    <cfRule type="cellIs" dxfId="18058" priority="7330" stopIfTrue="1" operator="equal">
      <formula>"Napkin Hs"</formula>
    </cfRule>
  </conditionalFormatting>
  <conditionalFormatting sqref="C105">
    <cfRule type="cellIs" dxfId="18057" priority="7323" stopIfTrue="1" operator="equal">
      <formula>"Towel"</formula>
    </cfRule>
    <cfRule type="cellIs" dxfId="18056" priority="7324" stopIfTrue="1" operator="equal">
      <formula>"Napkin Hs"</formula>
    </cfRule>
  </conditionalFormatting>
  <conditionalFormatting sqref="C105">
    <cfRule type="cellIs" dxfId="18055" priority="7325" stopIfTrue="1" operator="equal">
      <formula>"Towel"</formula>
    </cfRule>
    <cfRule type="cellIs" dxfId="18054" priority="7326" stopIfTrue="1" operator="equal">
      <formula>"Napkin Hs"</formula>
    </cfRule>
  </conditionalFormatting>
  <conditionalFormatting sqref="C105">
    <cfRule type="cellIs" dxfId="18053" priority="7321" stopIfTrue="1" operator="equal">
      <formula>"Towel"</formula>
    </cfRule>
    <cfRule type="cellIs" dxfId="18052" priority="7322" stopIfTrue="1" operator="equal">
      <formula>"Napkin Hs"</formula>
    </cfRule>
  </conditionalFormatting>
  <conditionalFormatting sqref="C105">
    <cfRule type="cellIs" dxfId="18051" priority="7319" stopIfTrue="1" operator="equal">
      <formula>"Towel"</formula>
    </cfRule>
    <cfRule type="cellIs" dxfId="18050" priority="7320" stopIfTrue="1" operator="equal">
      <formula>"Napkin Hs"</formula>
    </cfRule>
  </conditionalFormatting>
  <conditionalFormatting sqref="B105">
    <cfRule type="cellIs" dxfId="18049" priority="7313" stopIfTrue="1" operator="equal">
      <formula>"Towel"</formula>
    </cfRule>
    <cfRule type="cellIs" dxfId="18048" priority="7314" stopIfTrue="1" operator="equal">
      <formula>"Napkin Hs"</formula>
    </cfRule>
  </conditionalFormatting>
  <conditionalFormatting sqref="B105:C105">
    <cfRule type="cellIs" dxfId="18047" priority="7311" stopIfTrue="1" operator="equal">
      <formula>"Towel"</formula>
    </cfRule>
    <cfRule type="cellIs" dxfId="18046" priority="7312" stopIfTrue="1" operator="equal">
      <formula>"Napkin Hs"</formula>
    </cfRule>
  </conditionalFormatting>
  <conditionalFormatting sqref="C105">
    <cfRule type="cellIs" dxfId="18045" priority="7309" stopIfTrue="1" operator="equal">
      <formula>"Towel"</formula>
    </cfRule>
    <cfRule type="cellIs" dxfId="18044" priority="7310" stopIfTrue="1" operator="equal">
      <formula>"Napkin Hs"</formula>
    </cfRule>
  </conditionalFormatting>
  <conditionalFormatting sqref="C105">
    <cfRule type="cellIs" dxfId="18043" priority="7307" stopIfTrue="1" operator="equal">
      <formula>"Towel"</formula>
    </cfRule>
    <cfRule type="cellIs" dxfId="18042" priority="7308" stopIfTrue="1" operator="equal">
      <formula>"Napkin Hs"</formula>
    </cfRule>
  </conditionalFormatting>
  <conditionalFormatting sqref="C105">
    <cfRule type="cellIs" dxfId="18041" priority="7297" stopIfTrue="1" operator="equal">
      <formula>"Towel"</formula>
    </cfRule>
    <cfRule type="cellIs" dxfId="18040" priority="7298" stopIfTrue="1" operator="equal">
      <formula>"Napkin Hs"</formula>
    </cfRule>
  </conditionalFormatting>
  <conditionalFormatting sqref="C105">
    <cfRule type="cellIs" dxfId="18039" priority="7299" stopIfTrue="1" operator="equal">
      <formula>"Towel"</formula>
    </cfRule>
    <cfRule type="cellIs" dxfId="18038" priority="7300" stopIfTrue="1" operator="equal">
      <formula>"Napkin Hs"</formula>
    </cfRule>
  </conditionalFormatting>
  <conditionalFormatting sqref="B105:C105">
    <cfRule type="cellIs" dxfId="18037" priority="7295" stopIfTrue="1" operator="equal">
      <formula>"Towel"</formula>
    </cfRule>
    <cfRule type="cellIs" dxfId="18036" priority="7296" stopIfTrue="1" operator="equal">
      <formula>"Napkin Hs"</formula>
    </cfRule>
  </conditionalFormatting>
  <conditionalFormatting sqref="C105">
    <cfRule type="cellIs" dxfId="18035" priority="7293" stopIfTrue="1" operator="equal">
      <formula>"Towel"</formula>
    </cfRule>
    <cfRule type="cellIs" dxfId="18034" priority="7294" stopIfTrue="1" operator="equal">
      <formula>"Napkin Hs"</formula>
    </cfRule>
  </conditionalFormatting>
  <conditionalFormatting sqref="B105:C105">
    <cfRule type="cellIs" dxfId="18033" priority="7289" stopIfTrue="1" operator="equal">
      <formula>"Towel"</formula>
    </cfRule>
    <cfRule type="cellIs" dxfId="18032" priority="7290" stopIfTrue="1" operator="equal">
      <formula>"Napkin Hs"</formula>
    </cfRule>
  </conditionalFormatting>
  <conditionalFormatting sqref="C105">
    <cfRule type="cellIs" dxfId="18031" priority="7291" stopIfTrue="1" operator="equal">
      <formula>"Towel"</formula>
    </cfRule>
    <cfRule type="cellIs" dxfId="18030" priority="7292" stopIfTrue="1" operator="equal">
      <formula>"Napkin Hs"</formula>
    </cfRule>
  </conditionalFormatting>
  <conditionalFormatting sqref="C105">
    <cfRule type="cellIs" dxfId="18029" priority="7348" stopIfTrue="1" operator="equal">
      <formula>"Napkin Hs"</formula>
    </cfRule>
  </conditionalFormatting>
  <conditionalFormatting sqref="C105">
    <cfRule type="cellIs" dxfId="18028" priority="7347" stopIfTrue="1" operator="equal">
      <formula>"Towel"</formula>
    </cfRule>
  </conditionalFormatting>
  <conditionalFormatting sqref="B105:C105">
    <cfRule type="cellIs" dxfId="18027" priority="7305" stopIfTrue="1" operator="equal">
      <formula>"Towel"</formula>
    </cfRule>
    <cfRule type="cellIs" dxfId="18026" priority="7306" stopIfTrue="1" operator="equal">
      <formula>"Napkin Hs"</formula>
    </cfRule>
  </conditionalFormatting>
  <conditionalFormatting sqref="C105">
    <cfRule type="cellIs" dxfId="18025" priority="7303" stopIfTrue="1" operator="equal">
      <formula>"Towel"</formula>
    </cfRule>
    <cfRule type="cellIs" dxfId="18024" priority="7304" stopIfTrue="1" operator="equal">
      <formula>"Napkin Hs"</formula>
    </cfRule>
  </conditionalFormatting>
  <conditionalFormatting sqref="C105">
    <cfRule type="cellIs" dxfId="18023" priority="7301" stopIfTrue="1" operator="equal">
      <formula>"Towel"</formula>
    </cfRule>
    <cfRule type="cellIs" dxfId="18022" priority="7302" stopIfTrue="1" operator="equal">
      <formula>"Napkin Hs"</formula>
    </cfRule>
  </conditionalFormatting>
  <conditionalFormatting sqref="B105:C105">
    <cfRule type="cellIs" dxfId="18021" priority="7285" stopIfTrue="1" operator="equal">
      <formula>"Towel"</formula>
    </cfRule>
    <cfRule type="cellIs" dxfId="18020" priority="7286" stopIfTrue="1" operator="equal">
      <formula>"Napkin Hs"</formula>
    </cfRule>
  </conditionalFormatting>
  <conditionalFormatting sqref="C105">
    <cfRule type="cellIs" dxfId="18019" priority="7287" stopIfTrue="1" operator="equal">
      <formula>"Towel"</formula>
    </cfRule>
    <cfRule type="cellIs" dxfId="18018" priority="7288" stopIfTrue="1" operator="equal">
      <formula>"Napkin Hs"</formula>
    </cfRule>
  </conditionalFormatting>
  <conditionalFormatting sqref="C105">
    <cfRule type="cellIs" dxfId="18017" priority="7283" stopIfTrue="1" operator="equal">
      <formula>"Towel"</formula>
    </cfRule>
    <cfRule type="cellIs" dxfId="18016" priority="7284" stopIfTrue="1" operator="equal">
      <formula>"Napkin Hs"</formula>
    </cfRule>
  </conditionalFormatting>
  <conditionalFormatting sqref="B105:C105">
    <cfRule type="cellIs" dxfId="18015" priority="7281" stopIfTrue="1" operator="equal">
      <formula>"Towel"</formula>
    </cfRule>
    <cfRule type="cellIs" dxfId="18014" priority="7282" stopIfTrue="1" operator="equal">
      <formula>"Napkin Hs"</formula>
    </cfRule>
  </conditionalFormatting>
  <conditionalFormatting sqref="C105">
    <cfRule type="cellIs" dxfId="18013" priority="7277" stopIfTrue="1" operator="equal">
      <formula>"Towel"</formula>
    </cfRule>
    <cfRule type="cellIs" dxfId="18012" priority="7278" stopIfTrue="1" operator="equal">
      <formula>"Napkin Hs"</formula>
    </cfRule>
  </conditionalFormatting>
  <conditionalFormatting sqref="C105">
    <cfRule type="cellIs" dxfId="18011" priority="7279" stopIfTrue="1" operator="equal">
      <formula>"Towel"</formula>
    </cfRule>
    <cfRule type="cellIs" dxfId="18010" priority="7280" stopIfTrue="1" operator="equal">
      <formula>"Napkin Hs"</formula>
    </cfRule>
  </conditionalFormatting>
  <conditionalFormatting sqref="B105:C105">
    <cfRule type="cellIs" dxfId="18009" priority="7273" stopIfTrue="1" operator="equal">
      <formula>"Towel"</formula>
    </cfRule>
    <cfRule type="cellIs" dxfId="18008" priority="7274" stopIfTrue="1" operator="equal">
      <formula>"Napkin Hs"</formula>
    </cfRule>
  </conditionalFormatting>
  <conditionalFormatting sqref="C105">
    <cfRule type="cellIs" dxfId="18007" priority="7275" stopIfTrue="1" operator="equal">
      <formula>"Towel"</formula>
    </cfRule>
    <cfRule type="cellIs" dxfId="18006" priority="7276" stopIfTrue="1" operator="equal">
      <formula>"Napkin Hs"</formula>
    </cfRule>
  </conditionalFormatting>
  <conditionalFormatting sqref="C105">
    <cfRule type="cellIs" dxfId="18005" priority="7271" stopIfTrue="1" operator="equal">
      <formula>"Towel"</formula>
    </cfRule>
    <cfRule type="cellIs" dxfId="18004" priority="7272" stopIfTrue="1" operator="equal">
      <formula>"Napkin Hs"</formula>
    </cfRule>
  </conditionalFormatting>
  <conditionalFormatting sqref="B105:C105">
    <cfRule type="cellIs" dxfId="18003" priority="7269" stopIfTrue="1" operator="equal">
      <formula>"Towel"</formula>
    </cfRule>
    <cfRule type="cellIs" dxfId="18002" priority="7270" stopIfTrue="1" operator="equal">
      <formula>"Napkin Hs"</formula>
    </cfRule>
  </conditionalFormatting>
  <conditionalFormatting sqref="C105">
    <cfRule type="cellIs" dxfId="18001" priority="7265" stopIfTrue="1" operator="equal">
      <formula>"Towel"</formula>
    </cfRule>
    <cfRule type="cellIs" dxfId="18000" priority="7266" stopIfTrue="1" operator="equal">
      <formula>"Napkin Hs"</formula>
    </cfRule>
  </conditionalFormatting>
  <conditionalFormatting sqref="C105">
    <cfRule type="cellIs" dxfId="17999" priority="7267" stopIfTrue="1" operator="equal">
      <formula>"Towel"</formula>
    </cfRule>
    <cfRule type="cellIs" dxfId="17998" priority="7268" stopIfTrue="1" operator="equal">
      <formula>"Napkin Hs"</formula>
    </cfRule>
  </conditionalFormatting>
  <conditionalFormatting sqref="C104">
    <cfRule type="cellIs" dxfId="17997" priority="7261" stopIfTrue="1" operator="equal">
      <formula>"Towel"</formula>
    </cfRule>
    <cfRule type="cellIs" dxfId="17996" priority="7262" stopIfTrue="1" operator="equal">
      <formula>"Napkin Hs"</formula>
    </cfRule>
  </conditionalFormatting>
  <conditionalFormatting sqref="C104">
    <cfRule type="cellIs" dxfId="17995" priority="7263" stopIfTrue="1" operator="equal">
      <formula>"Towel"</formula>
    </cfRule>
    <cfRule type="cellIs" dxfId="17994" priority="7264" stopIfTrue="1" operator="equal">
      <formula>"Napkin Hs"</formula>
    </cfRule>
  </conditionalFormatting>
  <conditionalFormatting sqref="C104">
    <cfRule type="cellIs" dxfId="17993" priority="7257" stopIfTrue="1" operator="equal">
      <formula>"Towel"</formula>
    </cfRule>
    <cfRule type="cellIs" dxfId="17992" priority="7258" stopIfTrue="1" operator="equal">
      <formula>"Napkin Hs"</formula>
    </cfRule>
  </conditionalFormatting>
  <conditionalFormatting sqref="B104:C104">
    <cfRule type="cellIs" dxfId="17991" priority="7259" stopIfTrue="1" operator="equal">
      <formula>"Towel"</formula>
    </cfRule>
    <cfRule type="cellIs" dxfId="17990" priority="7260" stopIfTrue="1" operator="equal">
      <formula>"Napkin Hs"</formula>
    </cfRule>
  </conditionalFormatting>
  <conditionalFormatting sqref="C104">
    <cfRule type="cellIs" dxfId="17989" priority="7255" stopIfTrue="1" operator="equal">
      <formula>"Towel"</formula>
    </cfRule>
    <cfRule type="cellIs" dxfId="17988" priority="7256" stopIfTrue="1" operator="equal">
      <formula>"Napkin Hs"</formula>
    </cfRule>
  </conditionalFormatting>
  <conditionalFormatting sqref="B104:C104">
    <cfRule type="cellIs" dxfId="17987" priority="7253" stopIfTrue="1" operator="equal">
      <formula>"Towel"</formula>
    </cfRule>
    <cfRule type="cellIs" dxfId="17986" priority="7254" stopIfTrue="1" operator="equal">
      <formula>"Napkin Hs"</formula>
    </cfRule>
  </conditionalFormatting>
  <conditionalFormatting sqref="B104:C104">
    <cfRule type="cellIs" dxfId="17985" priority="7251" stopIfTrue="1" operator="equal">
      <formula>"Towel"</formula>
    </cfRule>
    <cfRule type="cellIs" dxfId="17984" priority="7252" stopIfTrue="1" operator="equal">
      <formula>"Napkin Hs"</formula>
    </cfRule>
  </conditionalFormatting>
  <conditionalFormatting sqref="C104">
    <cfRule type="cellIs" dxfId="17983" priority="7245" stopIfTrue="1" operator="equal">
      <formula>"Towel"</formula>
    </cfRule>
    <cfRule type="cellIs" dxfId="17982" priority="7246" stopIfTrue="1" operator="equal">
      <formula>"Napkin Hs"</formula>
    </cfRule>
  </conditionalFormatting>
  <conditionalFormatting sqref="C104">
    <cfRule type="cellIs" dxfId="17981" priority="7247" stopIfTrue="1" operator="equal">
      <formula>"Towel"</formula>
    </cfRule>
    <cfRule type="cellIs" dxfId="17980" priority="7248" stopIfTrue="1" operator="equal">
      <formula>"Napkin Hs"</formula>
    </cfRule>
  </conditionalFormatting>
  <conditionalFormatting sqref="C104">
    <cfRule type="cellIs" dxfId="17979" priority="7243" stopIfTrue="1" operator="equal">
      <formula>"Towel"</formula>
    </cfRule>
    <cfRule type="cellIs" dxfId="17978" priority="7244" stopIfTrue="1" operator="equal">
      <formula>"Napkin Hs"</formula>
    </cfRule>
  </conditionalFormatting>
  <conditionalFormatting sqref="C104">
    <cfRule type="cellIs" dxfId="17977" priority="7241" stopIfTrue="1" operator="equal">
      <formula>"Towel"</formula>
    </cfRule>
    <cfRule type="cellIs" dxfId="17976" priority="7242" stopIfTrue="1" operator="equal">
      <formula>"Napkin Hs"</formula>
    </cfRule>
  </conditionalFormatting>
  <conditionalFormatting sqref="C104">
    <cfRule type="cellIs" dxfId="17975" priority="7237" stopIfTrue="1" operator="equal">
      <formula>"Towel"</formula>
    </cfRule>
    <cfRule type="cellIs" dxfId="17974" priority="7238" stopIfTrue="1" operator="equal">
      <formula>"Napkin Hs"</formula>
    </cfRule>
  </conditionalFormatting>
  <conditionalFormatting sqref="C104">
    <cfRule type="cellIs" dxfId="17973" priority="7239" stopIfTrue="1" operator="equal">
      <formula>"Towel"</formula>
    </cfRule>
    <cfRule type="cellIs" dxfId="17972" priority="7240" stopIfTrue="1" operator="equal">
      <formula>"Napkin Hs"</formula>
    </cfRule>
  </conditionalFormatting>
  <conditionalFormatting sqref="C104">
    <cfRule type="cellIs" dxfId="17971" priority="7235" stopIfTrue="1" operator="equal">
      <formula>"Towel"</formula>
    </cfRule>
    <cfRule type="cellIs" dxfId="17970" priority="7236" stopIfTrue="1" operator="equal">
      <formula>"Napkin Hs"</formula>
    </cfRule>
  </conditionalFormatting>
  <conditionalFormatting sqref="C104">
    <cfRule type="cellIs" dxfId="17969" priority="7219" stopIfTrue="1" operator="equal">
      <formula>"Towel"</formula>
    </cfRule>
    <cfRule type="cellIs" dxfId="17968" priority="7220" stopIfTrue="1" operator="equal">
      <formula>"Napkin Hs"</formula>
    </cfRule>
  </conditionalFormatting>
  <conditionalFormatting sqref="B104">
    <cfRule type="cellIs" dxfId="17967" priority="7217" stopIfTrue="1" operator="equal">
      <formula>"Towel"</formula>
    </cfRule>
    <cfRule type="cellIs" dxfId="17966" priority="7218" stopIfTrue="1" operator="equal">
      <formula>"Napkin Hs"</formula>
    </cfRule>
  </conditionalFormatting>
  <conditionalFormatting sqref="B104">
    <cfRule type="cellIs" dxfId="17965" priority="7233" stopIfTrue="1" operator="equal">
      <formula>"Towel"</formula>
    </cfRule>
    <cfRule type="cellIs" dxfId="17964" priority="7234" stopIfTrue="1" operator="equal">
      <formula>"Napkin Hs"</formula>
    </cfRule>
  </conditionalFormatting>
  <conditionalFormatting sqref="C104">
    <cfRule type="cellIs" dxfId="17963" priority="7229" stopIfTrue="1" operator="equal">
      <formula>"Towel"</formula>
    </cfRule>
    <cfRule type="cellIs" dxfId="17962" priority="7230" stopIfTrue="1" operator="equal">
      <formula>"Napkin Hs"</formula>
    </cfRule>
  </conditionalFormatting>
  <conditionalFormatting sqref="B104">
    <cfRule type="cellIs" dxfId="17961" priority="7231" stopIfTrue="1" operator="equal">
      <formula>"Towel"</formula>
    </cfRule>
    <cfRule type="cellIs" dxfId="17960" priority="7232" stopIfTrue="1" operator="equal">
      <formula>"Napkin Hs"</formula>
    </cfRule>
  </conditionalFormatting>
  <conditionalFormatting sqref="C104">
    <cfRule type="cellIs" dxfId="17959" priority="7225" stopIfTrue="1" operator="equal">
      <formula>"Towel"</formula>
    </cfRule>
    <cfRule type="cellIs" dxfId="17958" priority="7226" stopIfTrue="1" operator="equal">
      <formula>"Napkin Hs"</formula>
    </cfRule>
  </conditionalFormatting>
  <conditionalFormatting sqref="C104">
    <cfRule type="cellIs" dxfId="17957" priority="7227" stopIfTrue="1" operator="equal">
      <formula>"Towel"</formula>
    </cfRule>
    <cfRule type="cellIs" dxfId="17956" priority="7228" stopIfTrue="1" operator="equal">
      <formula>"Napkin Hs"</formula>
    </cfRule>
  </conditionalFormatting>
  <conditionalFormatting sqref="C104">
    <cfRule type="cellIs" dxfId="17955" priority="7223" stopIfTrue="1" operator="equal">
      <formula>"Towel"</formula>
    </cfRule>
    <cfRule type="cellIs" dxfId="17954" priority="7224" stopIfTrue="1" operator="equal">
      <formula>"Napkin Hs"</formula>
    </cfRule>
  </conditionalFormatting>
  <conditionalFormatting sqref="C104">
    <cfRule type="cellIs" dxfId="17953" priority="7221" stopIfTrue="1" operator="equal">
      <formula>"Towel"</formula>
    </cfRule>
    <cfRule type="cellIs" dxfId="17952" priority="7222" stopIfTrue="1" operator="equal">
      <formula>"Napkin Hs"</formula>
    </cfRule>
  </conditionalFormatting>
  <conditionalFormatting sqref="B104">
    <cfRule type="cellIs" dxfId="17951" priority="7215" stopIfTrue="1" operator="equal">
      <formula>"Towel"</formula>
    </cfRule>
    <cfRule type="cellIs" dxfId="17950" priority="7216" stopIfTrue="1" operator="equal">
      <formula>"Napkin Hs"</formula>
    </cfRule>
  </conditionalFormatting>
  <conditionalFormatting sqref="B104:C104">
    <cfRule type="cellIs" dxfId="17949" priority="7213" stopIfTrue="1" operator="equal">
      <formula>"Towel"</formula>
    </cfRule>
    <cfRule type="cellIs" dxfId="17948" priority="7214" stopIfTrue="1" operator="equal">
      <formula>"Napkin Hs"</formula>
    </cfRule>
  </conditionalFormatting>
  <conditionalFormatting sqref="C104">
    <cfRule type="cellIs" dxfId="17947" priority="7211" stopIfTrue="1" operator="equal">
      <formula>"Towel"</formula>
    </cfRule>
    <cfRule type="cellIs" dxfId="17946" priority="7212" stopIfTrue="1" operator="equal">
      <formula>"Napkin Hs"</formula>
    </cfRule>
  </conditionalFormatting>
  <conditionalFormatting sqref="C104">
    <cfRule type="cellIs" dxfId="17945" priority="7209" stopIfTrue="1" operator="equal">
      <formula>"Towel"</formula>
    </cfRule>
    <cfRule type="cellIs" dxfId="17944" priority="7210" stopIfTrue="1" operator="equal">
      <formula>"Napkin Hs"</formula>
    </cfRule>
  </conditionalFormatting>
  <conditionalFormatting sqref="C104">
    <cfRule type="cellIs" dxfId="17943" priority="7199" stopIfTrue="1" operator="equal">
      <formula>"Towel"</formula>
    </cfRule>
    <cfRule type="cellIs" dxfId="17942" priority="7200" stopIfTrue="1" operator="equal">
      <formula>"Napkin Hs"</formula>
    </cfRule>
  </conditionalFormatting>
  <conditionalFormatting sqref="C104">
    <cfRule type="cellIs" dxfId="17941" priority="7201" stopIfTrue="1" operator="equal">
      <formula>"Towel"</formula>
    </cfRule>
    <cfRule type="cellIs" dxfId="17940" priority="7202" stopIfTrue="1" operator="equal">
      <formula>"Napkin Hs"</formula>
    </cfRule>
  </conditionalFormatting>
  <conditionalFormatting sqref="B104:C104">
    <cfRule type="cellIs" dxfId="17939" priority="7197" stopIfTrue="1" operator="equal">
      <formula>"Towel"</formula>
    </cfRule>
    <cfRule type="cellIs" dxfId="17938" priority="7198" stopIfTrue="1" operator="equal">
      <formula>"Napkin Hs"</formula>
    </cfRule>
  </conditionalFormatting>
  <conditionalFormatting sqref="C104">
    <cfRule type="cellIs" dxfId="17937" priority="7195" stopIfTrue="1" operator="equal">
      <formula>"Towel"</formula>
    </cfRule>
    <cfRule type="cellIs" dxfId="17936" priority="7196" stopIfTrue="1" operator="equal">
      <formula>"Napkin Hs"</formula>
    </cfRule>
  </conditionalFormatting>
  <conditionalFormatting sqref="B104:C104">
    <cfRule type="cellIs" dxfId="17935" priority="7191" stopIfTrue="1" operator="equal">
      <formula>"Towel"</formula>
    </cfRule>
    <cfRule type="cellIs" dxfId="17934" priority="7192" stopIfTrue="1" operator="equal">
      <formula>"Napkin Hs"</formula>
    </cfRule>
  </conditionalFormatting>
  <conditionalFormatting sqref="C104">
    <cfRule type="cellIs" dxfId="17933" priority="7193" stopIfTrue="1" operator="equal">
      <formula>"Towel"</formula>
    </cfRule>
    <cfRule type="cellIs" dxfId="17932" priority="7194" stopIfTrue="1" operator="equal">
      <formula>"Napkin Hs"</formula>
    </cfRule>
  </conditionalFormatting>
  <conditionalFormatting sqref="C104">
    <cfRule type="cellIs" dxfId="17931" priority="7250" stopIfTrue="1" operator="equal">
      <formula>"Napkin Hs"</formula>
    </cfRule>
  </conditionalFormatting>
  <conditionalFormatting sqref="C104">
    <cfRule type="cellIs" dxfId="17930" priority="7249" stopIfTrue="1" operator="equal">
      <formula>"Towel"</formula>
    </cfRule>
  </conditionalFormatting>
  <conditionalFormatting sqref="B104:C104">
    <cfRule type="cellIs" dxfId="17929" priority="7207" stopIfTrue="1" operator="equal">
      <formula>"Towel"</formula>
    </cfRule>
    <cfRule type="cellIs" dxfId="17928" priority="7208" stopIfTrue="1" operator="equal">
      <formula>"Napkin Hs"</formula>
    </cfRule>
  </conditionalFormatting>
  <conditionalFormatting sqref="C104">
    <cfRule type="cellIs" dxfId="17927" priority="7205" stopIfTrue="1" operator="equal">
      <formula>"Towel"</formula>
    </cfRule>
    <cfRule type="cellIs" dxfId="17926" priority="7206" stopIfTrue="1" operator="equal">
      <formula>"Napkin Hs"</formula>
    </cfRule>
  </conditionalFormatting>
  <conditionalFormatting sqref="C104">
    <cfRule type="cellIs" dxfId="17925" priority="7203" stopIfTrue="1" operator="equal">
      <formula>"Towel"</formula>
    </cfRule>
    <cfRule type="cellIs" dxfId="17924" priority="7204" stopIfTrue="1" operator="equal">
      <formula>"Napkin Hs"</formula>
    </cfRule>
  </conditionalFormatting>
  <conditionalFormatting sqref="B104:C104">
    <cfRule type="cellIs" dxfId="17923" priority="7187" stopIfTrue="1" operator="equal">
      <formula>"Towel"</formula>
    </cfRule>
    <cfRule type="cellIs" dxfId="17922" priority="7188" stopIfTrue="1" operator="equal">
      <formula>"Napkin Hs"</formula>
    </cfRule>
  </conditionalFormatting>
  <conditionalFormatting sqref="C104">
    <cfRule type="cellIs" dxfId="17921" priority="7189" stopIfTrue="1" operator="equal">
      <formula>"Towel"</formula>
    </cfRule>
    <cfRule type="cellIs" dxfId="17920" priority="7190" stopIfTrue="1" operator="equal">
      <formula>"Napkin Hs"</formula>
    </cfRule>
  </conditionalFormatting>
  <conditionalFormatting sqref="C104">
    <cfRule type="cellIs" dxfId="17919" priority="7185" stopIfTrue="1" operator="equal">
      <formula>"Towel"</formula>
    </cfRule>
    <cfRule type="cellIs" dxfId="17918" priority="7186" stopIfTrue="1" operator="equal">
      <formula>"Napkin Hs"</formula>
    </cfRule>
  </conditionalFormatting>
  <conditionalFormatting sqref="B104:C104">
    <cfRule type="cellIs" dxfId="17917" priority="7183" stopIfTrue="1" operator="equal">
      <formula>"Towel"</formula>
    </cfRule>
    <cfRule type="cellIs" dxfId="17916" priority="7184" stopIfTrue="1" operator="equal">
      <formula>"Napkin Hs"</formula>
    </cfRule>
  </conditionalFormatting>
  <conditionalFormatting sqref="C104">
    <cfRule type="cellIs" dxfId="17915" priority="7179" stopIfTrue="1" operator="equal">
      <formula>"Towel"</formula>
    </cfRule>
    <cfRule type="cellIs" dxfId="17914" priority="7180" stopIfTrue="1" operator="equal">
      <formula>"Napkin Hs"</formula>
    </cfRule>
  </conditionalFormatting>
  <conditionalFormatting sqref="C104">
    <cfRule type="cellIs" dxfId="17913" priority="7181" stopIfTrue="1" operator="equal">
      <formula>"Towel"</formula>
    </cfRule>
    <cfRule type="cellIs" dxfId="17912" priority="7182" stopIfTrue="1" operator="equal">
      <formula>"Napkin Hs"</formula>
    </cfRule>
  </conditionalFormatting>
  <conditionalFormatting sqref="B104:C104">
    <cfRule type="cellIs" dxfId="17911" priority="7175" stopIfTrue="1" operator="equal">
      <formula>"Towel"</formula>
    </cfRule>
    <cfRule type="cellIs" dxfId="17910" priority="7176" stopIfTrue="1" operator="equal">
      <formula>"Napkin Hs"</formula>
    </cfRule>
  </conditionalFormatting>
  <conditionalFormatting sqref="C104">
    <cfRule type="cellIs" dxfId="17909" priority="7177" stopIfTrue="1" operator="equal">
      <formula>"Towel"</formula>
    </cfRule>
    <cfRule type="cellIs" dxfId="17908" priority="7178" stopIfTrue="1" operator="equal">
      <formula>"Napkin Hs"</formula>
    </cfRule>
  </conditionalFormatting>
  <conditionalFormatting sqref="C104">
    <cfRule type="cellIs" dxfId="17907" priority="7173" stopIfTrue="1" operator="equal">
      <formula>"Towel"</formula>
    </cfRule>
    <cfRule type="cellIs" dxfId="17906" priority="7174" stopIfTrue="1" operator="equal">
      <formula>"Napkin Hs"</formula>
    </cfRule>
  </conditionalFormatting>
  <conditionalFormatting sqref="B104:C104">
    <cfRule type="cellIs" dxfId="17905" priority="7171" stopIfTrue="1" operator="equal">
      <formula>"Towel"</formula>
    </cfRule>
    <cfRule type="cellIs" dxfId="17904" priority="7172" stopIfTrue="1" operator="equal">
      <formula>"Napkin Hs"</formula>
    </cfRule>
  </conditionalFormatting>
  <conditionalFormatting sqref="C104">
    <cfRule type="cellIs" dxfId="17903" priority="7167" stopIfTrue="1" operator="equal">
      <formula>"Towel"</formula>
    </cfRule>
    <cfRule type="cellIs" dxfId="17902" priority="7168" stopIfTrue="1" operator="equal">
      <formula>"Napkin Hs"</formula>
    </cfRule>
  </conditionalFormatting>
  <conditionalFormatting sqref="C104">
    <cfRule type="cellIs" dxfId="17901" priority="7169" stopIfTrue="1" operator="equal">
      <formula>"Towel"</formula>
    </cfRule>
    <cfRule type="cellIs" dxfId="17900" priority="7170" stopIfTrue="1" operator="equal">
      <formula>"Napkin Hs"</formula>
    </cfRule>
  </conditionalFormatting>
  <conditionalFormatting sqref="C108:C110">
    <cfRule type="cellIs" dxfId="17899" priority="7159" stopIfTrue="1" operator="equal">
      <formula>"Towel"</formula>
    </cfRule>
    <cfRule type="cellIs" dxfId="17898" priority="7160" stopIfTrue="1" operator="equal">
      <formula>"Napkin Hs"</formula>
    </cfRule>
  </conditionalFormatting>
  <conditionalFormatting sqref="C108:C110">
    <cfRule type="cellIs" dxfId="17897" priority="7157" stopIfTrue="1" operator="equal">
      <formula>"Towel"</formula>
    </cfRule>
    <cfRule type="cellIs" dxfId="17896" priority="7158" stopIfTrue="1" operator="equal">
      <formula>"Napkin Hs"</formula>
    </cfRule>
  </conditionalFormatting>
  <conditionalFormatting sqref="B108:C110">
    <cfRule type="cellIs" dxfId="17895" priority="7155" stopIfTrue="1" operator="equal">
      <formula>"Towel"</formula>
    </cfRule>
    <cfRule type="cellIs" dxfId="17894" priority="7156" stopIfTrue="1" operator="equal">
      <formula>"Napkin Hs"</formula>
    </cfRule>
  </conditionalFormatting>
  <conditionalFormatting sqref="B108:C110">
    <cfRule type="cellIs" dxfId="17893" priority="7165" stopIfTrue="1" operator="equal">
      <formula>"Towel"</formula>
    </cfRule>
    <cfRule type="cellIs" dxfId="17892" priority="7166" stopIfTrue="1" operator="equal">
      <formula>"Napkin Hs"</formula>
    </cfRule>
  </conditionalFormatting>
  <conditionalFormatting sqref="C108:C110">
    <cfRule type="cellIs" dxfId="17891" priority="7163" stopIfTrue="1" operator="equal">
      <formula>"Towel"</formula>
    </cfRule>
    <cfRule type="cellIs" dxfId="17890" priority="7164" stopIfTrue="1" operator="equal">
      <formula>"Napkin Hs"</formula>
    </cfRule>
  </conditionalFormatting>
  <conditionalFormatting sqref="C108:C110">
    <cfRule type="cellIs" dxfId="17889" priority="7161" stopIfTrue="1" operator="equal">
      <formula>"Towel"</formula>
    </cfRule>
    <cfRule type="cellIs" dxfId="17888" priority="7162" stopIfTrue="1" operator="equal">
      <formula>"Napkin Hs"</formula>
    </cfRule>
  </conditionalFormatting>
  <conditionalFormatting sqref="C108:C110">
    <cfRule type="cellIs" dxfId="17887" priority="7153" stopIfTrue="1" operator="equal">
      <formula>"Towel"</formula>
    </cfRule>
    <cfRule type="cellIs" dxfId="17886" priority="7154" stopIfTrue="1" operator="equal">
      <formula>"Napkin Hs"</formula>
    </cfRule>
  </conditionalFormatting>
  <conditionalFormatting sqref="C108:C110">
    <cfRule type="cellIs" dxfId="17885" priority="7151" stopIfTrue="1" operator="equal">
      <formula>"Towel"</formula>
    </cfRule>
    <cfRule type="cellIs" dxfId="17884" priority="7152" stopIfTrue="1" operator="equal">
      <formula>"Napkin Hs"</formula>
    </cfRule>
  </conditionalFormatting>
  <conditionalFormatting sqref="B108:C110">
    <cfRule type="cellIs" dxfId="17883" priority="7149" stopIfTrue="1" operator="equal">
      <formula>"Towel"</formula>
    </cfRule>
    <cfRule type="cellIs" dxfId="17882" priority="7150" stopIfTrue="1" operator="equal">
      <formula>"Napkin Hs"</formula>
    </cfRule>
  </conditionalFormatting>
  <conditionalFormatting sqref="B109:C109">
    <cfRule type="cellIs" dxfId="17881" priority="7147" stopIfTrue="1" operator="equal">
      <formula>"Towel"</formula>
    </cfRule>
    <cfRule type="cellIs" dxfId="17880" priority="7148" stopIfTrue="1" operator="equal">
      <formula>"Napkin Hs"</formula>
    </cfRule>
  </conditionalFormatting>
  <conditionalFormatting sqref="C109">
    <cfRule type="cellIs" dxfId="17879" priority="7145" stopIfTrue="1" operator="equal">
      <formula>"Towel"</formula>
    </cfRule>
    <cfRule type="cellIs" dxfId="17878" priority="7146" stopIfTrue="1" operator="equal">
      <formula>"Napkin Hs"</formula>
    </cfRule>
  </conditionalFormatting>
  <conditionalFormatting sqref="C109">
    <cfRule type="cellIs" dxfId="17877" priority="7143" stopIfTrue="1" operator="equal">
      <formula>"Towel"</formula>
    </cfRule>
    <cfRule type="cellIs" dxfId="17876" priority="7144" stopIfTrue="1" operator="equal">
      <formula>"Napkin Hs"</formula>
    </cfRule>
  </conditionalFormatting>
  <conditionalFormatting sqref="C109">
    <cfRule type="cellIs" dxfId="17875" priority="7135" stopIfTrue="1" operator="equal">
      <formula>"Towel"</formula>
    </cfRule>
    <cfRule type="cellIs" dxfId="17874" priority="7136" stopIfTrue="1" operator="equal">
      <formula>"Napkin Hs"</formula>
    </cfRule>
  </conditionalFormatting>
  <conditionalFormatting sqref="B109:C109">
    <cfRule type="cellIs" dxfId="17873" priority="7137" stopIfTrue="1" operator="equal">
      <formula>"Towel"</formula>
    </cfRule>
    <cfRule type="cellIs" dxfId="17872" priority="7138" stopIfTrue="1" operator="equal">
      <formula>"Napkin Hs"</formula>
    </cfRule>
  </conditionalFormatting>
  <conditionalFormatting sqref="C109">
    <cfRule type="cellIs" dxfId="17871" priority="7133" stopIfTrue="1" operator="equal">
      <formula>"Towel"</formula>
    </cfRule>
    <cfRule type="cellIs" dxfId="17870" priority="7134" stopIfTrue="1" operator="equal">
      <formula>"Napkin Hs"</formula>
    </cfRule>
  </conditionalFormatting>
  <conditionalFormatting sqref="B109:C109">
    <cfRule type="cellIs" dxfId="17869" priority="7131" stopIfTrue="1" operator="equal">
      <formula>"Towel"</formula>
    </cfRule>
    <cfRule type="cellIs" dxfId="17868" priority="7132" stopIfTrue="1" operator="equal">
      <formula>"Napkin Hs"</formula>
    </cfRule>
  </conditionalFormatting>
  <conditionalFormatting sqref="C109">
    <cfRule type="cellIs" dxfId="17867" priority="7139" stopIfTrue="1" operator="equal">
      <formula>"Towel"</formula>
    </cfRule>
    <cfRule type="cellIs" dxfId="17866" priority="7140" stopIfTrue="1" operator="equal">
      <formula>"Napkin Hs"</formula>
    </cfRule>
  </conditionalFormatting>
  <conditionalFormatting sqref="C109">
    <cfRule type="cellIs" dxfId="17865" priority="7141" stopIfTrue="1" operator="equal">
      <formula>"Towel"</formula>
    </cfRule>
    <cfRule type="cellIs" dxfId="17864" priority="7142" stopIfTrue="1" operator="equal">
      <formula>"Napkin Hs"</formula>
    </cfRule>
  </conditionalFormatting>
  <conditionalFormatting sqref="B110:C110">
    <cfRule type="cellIs" dxfId="17863" priority="7129" stopIfTrue="1" operator="equal">
      <formula>"Towel"</formula>
    </cfRule>
    <cfRule type="cellIs" dxfId="17862" priority="7130" stopIfTrue="1" operator="equal">
      <formula>"Napkin Hs"</formula>
    </cfRule>
  </conditionalFormatting>
  <conditionalFormatting sqref="C110">
    <cfRule type="cellIs" dxfId="17861" priority="7127" stopIfTrue="1" operator="equal">
      <formula>"Towel"</formula>
    </cfRule>
    <cfRule type="cellIs" dxfId="17860" priority="7128" stopIfTrue="1" operator="equal">
      <formula>"Napkin Hs"</formula>
    </cfRule>
  </conditionalFormatting>
  <conditionalFormatting sqref="C110">
    <cfRule type="cellIs" dxfId="17859" priority="7125" stopIfTrue="1" operator="equal">
      <formula>"Towel"</formula>
    </cfRule>
    <cfRule type="cellIs" dxfId="17858" priority="7126" stopIfTrue="1" operator="equal">
      <formula>"Napkin Hs"</formula>
    </cfRule>
  </conditionalFormatting>
  <conditionalFormatting sqref="C110">
    <cfRule type="cellIs" dxfId="17857" priority="7117" stopIfTrue="1" operator="equal">
      <formula>"Towel"</formula>
    </cfRule>
    <cfRule type="cellIs" dxfId="17856" priority="7118" stopIfTrue="1" operator="equal">
      <formula>"Napkin Hs"</formula>
    </cfRule>
  </conditionalFormatting>
  <conditionalFormatting sqref="B110:C110">
    <cfRule type="cellIs" dxfId="17855" priority="7119" stopIfTrue="1" operator="equal">
      <formula>"Towel"</formula>
    </cfRule>
    <cfRule type="cellIs" dxfId="17854" priority="7120" stopIfTrue="1" operator="equal">
      <formula>"Napkin Hs"</formula>
    </cfRule>
  </conditionalFormatting>
  <conditionalFormatting sqref="C110">
    <cfRule type="cellIs" dxfId="17853" priority="7115" stopIfTrue="1" operator="equal">
      <formula>"Towel"</formula>
    </cfRule>
    <cfRule type="cellIs" dxfId="17852" priority="7116" stopIfTrue="1" operator="equal">
      <formula>"Napkin Hs"</formula>
    </cfRule>
  </conditionalFormatting>
  <conditionalFormatting sqref="B110:C110">
    <cfRule type="cellIs" dxfId="17851" priority="7113" stopIfTrue="1" operator="equal">
      <formula>"Towel"</formula>
    </cfRule>
    <cfRule type="cellIs" dxfId="17850" priority="7114" stopIfTrue="1" operator="equal">
      <formula>"Napkin Hs"</formula>
    </cfRule>
  </conditionalFormatting>
  <conditionalFormatting sqref="C110">
    <cfRule type="cellIs" dxfId="17849" priority="7121" stopIfTrue="1" operator="equal">
      <formula>"Towel"</formula>
    </cfRule>
    <cfRule type="cellIs" dxfId="17848" priority="7122" stopIfTrue="1" operator="equal">
      <formula>"Napkin Hs"</formula>
    </cfRule>
  </conditionalFormatting>
  <conditionalFormatting sqref="C110">
    <cfRule type="cellIs" dxfId="17847" priority="7123" stopIfTrue="1" operator="equal">
      <formula>"Towel"</formula>
    </cfRule>
    <cfRule type="cellIs" dxfId="17846" priority="7124" stopIfTrue="1" operator="equal">
      <formula>"Napkin Hs"</formula>
    </cfRule>
  </conditionalFormatting>
  <conditionalFormatting sqref="B108:C110">
    <cfRule type="cellIs" dxfId="17845" priority="7109" stopIfTrue="1" operator="equal">
      <formula>"Towel"</formula>
    </cfRule>
    <cfRule type="cellIs" dxfId="17844" priority="7110" stopIfTrue="1" operator="equal">
      <formula>"Napkin Hs"</formula>
    </cfRule>
  </conditionalFormatting>
  <conditionalFormatting sqref="C108:C110">
    <cfRule type="cellIs" dxfId="17843" priority="7111" stopIfTrue="1" operator="equal">
      <formula>"Towel"</formula>
    </cfRule>
    <cfRule type="cellIs" dxfId="17842" priority="7112" stopIfTrue="1" operator="equal">
      <formula>"Napkin Hs"</formula>
    </cfRule>
  </conditionalFormatting>
  <conditionalFormatting sqref="C108:C110">
    <cfRule type="cellIs" dxfId="17841" priority="7107" stopIfTrue="1" operator="equal">
      <formula>"Towel"</formula>
    </cfRule>
    <cfRule type="cellIs" dxfId="17840" priority="7108" stopIfTrue="1" operator="equal">
      <formula>"Napkin Hs"</formula>
    </cfRule>
  </conditionalFormatting>
  <conditionalFormatting sqref="C109">
    <cfRule type="cellIs" dxfId="17839" priority="7099" stopIfTrue="1" operator="equal">
      <formula>"Towel"</formula>
    </cfRule>
    <cfRule type="cellIs" dxfId="17838" priority="7100" stopIfTrue="1" operator="equal">
      <formula>"Napkin Hs"</formula>
    </cfRule>
  </conditionalFormatting>
  <conditionalFormatting sqref="C109">
    <cfRule type="cellIs" dxfId="17837" priority="7097" stopIfTrue="1" operator="equal">
      <formula>"Towel"</formula>
    </cfRule>
    <cfRule type="cellIs" dxfId="17836" priority="7098" stopIfTrue="1" operator="equal">
      <formula>"Napkin Hs"</formula>
    </cfRule>
  </conditionalFormatting>
  <conditionalFormatting sqref="B109:C109">
    <cfRule type="cellIs" dxfId="17835" priority="7095" stopIfTrue="1" operator="equal">
      <formula>"Towel"</formula>
    </cfRule>
    <cfRule type="cellIs" dxfId="17834" priority="7096" stopIfTrue="1" operator="equal">
      <formula>"Napkin Hs"</formula>
    </cfRule>
  </conditionalFormatting>
  <conditionalFormatting sqref="B109:C109">
    <cfRule type="cellIs" dxfId="17833" priority="7105" stopIfTrue="1" operator="equal">
      <formula>"Towel"</formula>
    </cfRule>
    <cfRule type="cellIs" dxfId="17832" priority="7106" stopIfTrue="1" operator="equal">
      <formula>"Napkin Hs"</formula>
    </cfRule>
  </conditionalFormatting>
  <conditionalFormatting sqref="C109">
    <cfRule type="cellIs" dxfId="17831" priority="7103" stopIfTrue="1" operator="equal">
      <formula>"Towel"</formula>
    </cfRule>
    <cfRule type="cellIs" dxfId="17830" priority="7104" stopIfTrue="1" operator="equal">
      <formula>"Napkin Hs"</formula>
    </cfRule>
  </conditionalFormatting>
  <conditionalFormatting sqref="C109">
    <cfRule type="cellIs" dxfId="17829" priority="7101" stopIfTrue="1" operator="equal">
      <formula>"Towel"</formula>
    </cfRule>
    <cfRule type="cellIs" dxfId="17828" priority="7102" stopIfTrue="1" operator="equal">
      <formula>"Napkin Hs"</formula>
    </cfRule>
  </conditionalFormatting>
  <conditionalFormatting sqref="C109">
    <cfRule type="cellIs" dxfId="17827" priority="7093" stopIfTrue="1" operator="equal">
      <formula>"Towel"</formula>
    </cfRule>
    <cfRule type="cellIs" dxfId="17826" priority="7094" stopIfTrue="1" operator="equal">
      <formula>"Napkin Hs"</formula>
    </cfRule>
  </conditionalFormatting>
  <conditionalFormatting sqref="C109">
    <cfRule type="cellIs" dxfId="17825" priority="7091" stopIfTrue="1" operator="equal">
      <formula>"Towel"</formula>
    </cfRule>
    <cfRule type="cellIs" dxfId="17824" priority="7092" stopIfTrue="1" operator="equal">
      <formula>"Napkin Hs"</formula>
    </cfRule>
  </conditionalFormatting>
  <conditionalFormatting sqref="B109:C109">
    <cfRule type="cellIs" dxfId="17823" priority="7089" stopIfTrue="1" operator="equal">
      <formula>"Towel"</formula>
    </cfRule>
    <cfRule type="cellIs" dxfId="17822" priority="7090" stopIfTrue="1" operator="equal">
      <formula>"Napkin Hs"</formula>
    </cfRule>
  </conditionalFormatting>
  <conditionalFormatting sqref="B110:C110">
    <cfRule type="cellIs" dxfId="17821" priority="7087" stopIfTrue="1" operator="equal">
      <formula>"Towel"</formula>
    </cfRule>
    <cfRule type="cellIs" dxfId="17820" priority="7088" stopIfTrue="1" operator="equal">
      <formula>"Napkin Hs"</formula>
    </cfRule>
  </conditionalFormatting>
  <conditionalFormatting sqref="C110">
    <cfRule type="cellIs" dxfId="17819" priority="7085" stopIfTrue="1" operator="equal">
      <formula>"Towel"</formula>
    </cfRule>
    <cfRule type="cellIs" dxfId="17818" priority="7086" stopIfTrue="1" operator="equal">
      <formula>"Napkin Hs"</formula>
    </cfRule>
  </conditionalFormatting>
  <conditionalFormatting sqref="C110">
    <cfRule type="cellIs" dxfId="17817" priority="7083" stopIfTrue="1" operator="equal">
      <formula>"Towel"</formula>
    </cfRule>
    <cfRule type="cellIs" dxfId="17816" priority="7084" stopIfTrue="1" operator="equal">
      <formula>"Napkin Hs"</formula>
    </cfRule>
  </conditionalFormatting>
  <conditionalFormatting sqref="C110">
    <cfRule type="cellIs" dxfId="17815" priority="7075" stopIfTrue="1" operator="equal">
      <formula>"Towel"</formula>
    </cfRule>
    <cfRule type="cellIs" dxfId="17814" priority="7076" stopIfTrue="1" operator="equal">
      <formula>"Napkin Hs"</formula>
    </cfRule>
  </conditionalFormatting>
  <conditionalFormatting sqref="B110:C110">
    <cfRule type="cellIs" dxfId="17813" priority="7077" stopIfTrue="1" operator="equal">
      <formula>"Towel"</formula>
    </cfRule>
    <cfRule type="cellIs" dxfId="17812" priority="7078" stopIfTrue="1" operator="equal">
      <formula>"Napkin Hs"</formula>
    </cfRule>
  </conditionalFormatting>
  <conditionalFormatting sqref="C110">
    <cfRule type="cellIs" dxfId="17811" priority="7073" stopIfTrue="1" operator="equal">
      <formula>"Towel"</formula>
    </cfRule>
    <cfRule type="cellIs" dxfId="17810" priority="7074" stopIfTrue="1" operator="equal">
      <formula>"Napkin Hs"</formula>
    </cfRule>
  </conditionalFormatting>
  <conditionalFormatting sqref="B110:C110">
    <cfRule type="cellIs" dxfId="17809" priority="7071" stopIfTrue="1" operator="equal">
      <formula>"Towel"</formula>
    </cfRule>
    <cfRule type="cellIs" dxfId="17808" priority="7072" stopIfTrue="1" operator="equal">
      <formula>"Napkin Hs"</formula>
    </cfRule>
  </conditionalFormatting>
  <conditionalFormatting sqref="C110">
    <cfRule type="cellIs" dxfId="17807" priority="7079" stopIfTrue="1" operator="equal">
      <formula>"Towel"</formula>
    </cfRule>
    <cfRule type="cellIs" dxfId="17806" priority="7080" stopIfTrue="1" operator="equal">
      <formula>"Napkin Hs"</formula>
    </cfRule>
  </conditionalFormatting>
  <conditionalFormatting sqref="C110">
    <cfRule type="cellIs" dxfId="17805" priority="7081" stopIfTrue="1" operator="equal">
      <formula>"Towel"</formula>
    </cfRule>
    <cfRule type="cellIs" dxfId="17804" priority="7082" stopIfTrue="1" operator="equal">
      <formula>"Napkin Hs"</formula>
    </cfRule>
  </conditionalFormatting>
  <conditionalFormatting sqref="C110">
    <cfRule type="cellIs" dxfId="17803" priority="7067" stopIfTrue="1" operator="equal">
      <formula>"Towel"</formula>
    </cfRule>
    <cfRule type="cellIs" dxfId="17802" priority="7068" stopIfTrue="1" operator="equal">
      <formula>"Napkin Hs"</formula>
    </cfRule>
  </conditionalFormatting>
  <conditionalFormatting sqref="C110">
    <cfRule type="cellIs" dxfId="17801" priority="7069" stopIfTrue="1" operator="equal">
      <formula>"Towel"</formula>
    </cfRule>
    <cfRule type="cellIs" dxfId="17800" priority="7070" stopIfTrue="1" operator="equal">
      <formula>"Napkin Hs"</formula>
    </cfRule>
  </conditionalFormatting>
  <conditionalFormatting sqref="B110:C110">
    <cfRule type="cellIs" dxfId="17799" priority="7065" stopIfTrue="1" operator="equal">
      <formula>"Towel"</formula>
    </cfRule>
    <cfRule type="cellIs" dxfId="17798" priority="7066" stopIfTrue="1" operator="equal">
      <formula>"Napkin Hs"</formula>
    </cfRule>
  </conditionalFormatting>
  <conditionalFormatting sqref="B110:C110">
    <cfRule type="cellIs" dxfId="17797" priority="7059" stopIfTrue="1" operator="equal">
      <formula>"Towel"</formula>
    </cfRule>
    <cfRule type="cellIs" dxfId="17796" priority="7060" stopIfTrue="1" operator="equal">
      <formula>"Napkin Hs"</formula>
    </cfRule>
  </conditionalFormatting>
  <conditionalFormatting sqref="C110">
    <cfRule type="cellIs" dxfId="17795" priority="7061" stopIfTrue="1" operator="equal">
      <formula>"Towel"</formula>
    </cfRule>
    <cfRule type="cellIs" dxfId="17794" priority="7062" stopIfTrue="1" operator="equal">
      <formula>"Napkin Hs"</formula>
    </cfRule>
  </conditionalFormatting>
  <conditionalFormatting sqref="C110">
    <cfRule type="cellIs" dxfId="17793" priority="7063" stopIfTrue="1" operator="equal">
      <formula>"Towel"</formula>
    </cfRule>
    <cfRule type="cellIs" dxfId="17792" priority="7064" stopIfTrue="1" operator="equal">
      <formula>"Napkin Hs"</formula>
    </cfRule>
  </conditionalFormatting>
  <conditionalFormatting sqref="C110">
    <cfRule type="cellIs" dxfId="17791" priority="7031" stopIfTrue="1" operator="equal">
      <formula>"Towel"</formula>
    </cfRule>
    <cfRule type="cellIs" dxfId="17790" priority="7032" stopIfTrue="1" operator="equal">
      <formula>"Napkin Hs"</formula>
    </cfRule>
  </conditionalFormatting>
  <conditionalFormatting sqref="C110">
    <cfRule type="cellIs" dxfId="17789" priority="7033" stopIfTrue="1" operator="equal">
      <formula>"Towel"</formula>
    </cfRule>
    <cfRule type="cellIs" dxfId="17788" priority="7034" stopIfTrue="1" operator="equal">
      <formula>"Napkin Hs"</formula>
    </cfRule>
  </conditionalFormatting>
  <conditionalFormatting sqref="C110">
    <cfRule type="cellIs" dxfId="17787" priority="7029" stopIfTrue="1" operator="equal">
      <formula>"Towel"</formula>
    </cfRule>
    <cfRule type="cellIs" dxfId="17786" priority="7030" stopIfTrue="1" operator="equal">
      <formula>"Napkin Hs"</formula>
    </cfRule>
  </conditionalFormatting>
  <conditionalFormatting sqref="B110">
    <cfRule type="cellIs" dxfId="17785" priority="7023" stopIfTrue="1" operator="equal">
      <formula>"Towel"</formula>
    </cfRule>
    <cfRule type="cellIs" dxfId="17784" priority="7024" stopIfTrue="1" operator="equal">
      <formula>"Napkin Hs"</formula>
    </cfRule>
  </conditionalFormatting>
  <conditionalFormatting sqref="C110">
    <cfRule type="cellIs" dxfId="17783" priority="7025" stopIfTrue="1" operator="equal">
      <formula>"Towel"</formula>
    </cfRule>
    <cfRule type="cellIs" dxfId="17782" priority="7026" stopIfTrue="1" operator="equal">
      <formula>"Napkin Hs"</formula>
    </cfRule>
  </conditionalFormatting>
  <conditionalFormatting sqref="C110">
    <cfRule type="cellIs" dxfId="17781" priority="7027" stopIfTrue="1" operator="equal">
      <formula>"Towel"</formula>
    </cfRule>
    <cfRule type="cellIs" dxfId="17780" priority="7028" stopIfTrue="1" operator="equal">
      <formula>"Napkin Hs"</formula>
    </cfRule>
  </conditionalFormatting>
  <conditionalFormatting sqref="B110:C110">
    <cfRule type="cellIs" dxfId="17779" priority="6977" stopIfTrue="1" operator="equal">
      <formula>"Towel"</formula>
    </cfRule>
    <cfRule type="cellIs" dxfId="17778" priority="6978" stopIfTrue="1" operator="equal">
      <formula>"Napkin Hs"</formula>
    </cfRule>
  </conditionalFormatting>
  <conditionalFormatting sqref="C110">
    <cfRule type="cellIs" dxfId="17777" priority="6979" stopIfTrue="1" operator="equal">
      <formula>"Towel"</formula>
    </cfRule>
    <cfRule type="cellIs" dxfId="17776" priority="6980" stopIfTrue="1" operator="equal">
      <formula>"Napkin Hs"</formula>
    </cfRule>
  </conditionalFormatting>
  <conditionalFormatting sqref="C110">
    <cfRule type="cellIs" dxfId="17775" priority="6975" stopIfTrue="1" operator="equal">
      <formula>"Towel"</formula>
    </cfRule>
    <cfRule type="cellIs" dxfId="17774" priority="6976" stopIfTrue="1" operator="equal">
      <formula>"Napkin Hs"</formula>
    </cfRule>
  </conditionalFormatting>
  <conditionalFormatting sqref="C110">
    <cfRule type="cellIs" dxfId="17773" priority="6973" stopIfTrue="1" operator="equal">
      <formula>"Towel"</formula>
    </cfRule>
    <cfRule type="cellIs" dxfId="17772" priority="6974" stopIfTrue="1" operator="equal">
      <formula>"Napkin Hs"</formula>
    </cfRule>
  </conditionalFormatting>
  <conditionalFormatting sqref="B110">
    <cfRule type="cellIs" dxfId="17771" priority="7021" stopIfTrue="1" operator="equal">
      <formula>"Towel"</formula>
    </cfRule>
    <cfRule type="cellIs" dxfId="17770" priority="7022" stopIfTrue="1" operator="equal">
      <formula>"Napkin Hs"</formula>
    </cfRule>
  </conditionalFormatting>
  <conditionalFormatting sqref="C110">
    <cfRule type="cellIs" dxfId="17769" priority="7017" stopIfTrue="1" operator="equal">
      <formula>"Towel"</formula>
    </cfRule>
    <cfRule type="cellIs" dxfId="17768" priority="7018" stopIfTrue="1" operator="equal">
      <formula>"Napkin Hs"</formula>
    </cfRule>
  </conditionalFormatting>
  <conditionalFormatting sqref="C110">
    <cfRule type="cellIs" dxfId="17767" priority="7011" stopIfTrue="1" operator="equal">
      <formula>"Towel"</formula>
    </cfRule>
    <cfRule type="cellIs" dxfId="17766" priority="7012" stopIfTrue="1" operator="equal">
      <formula>"Napkin Hs"</formula>
    </cfRule>
  </conditionalFormatting>
  <conditionalFormatting sqref="C110">
    <cfRule type="cellIs" dxfId="17765" priority="7015" stopIfTrue="1" operator="equal">
      <formula>"Towel"</formula>
    </cfRule>
    <cfRule type="cellIs" dxfId="17764" priority="7016" stopIfTrue="1" operator="equal">
      <formula>"Napkin Hs"</formula>
    </cfRule>
  </conditionalFormatting>
  <conditionalFormatting sqref="B110:C110">
    <cfRule type="cellIs" dxfId="17763" priority="7013" stopIfTrue="1" operator="equal">
      <formula>"Towel"</formula>
    </cfRule>
    <cfRule type="cellIs" dxfId="17762" priority="7014" stopIfTrue="1" operator="equal">
      <formula>"Napkin Hs"</formula>
    </cfRule>
  </conditionalFormatting>
  <conditionalFormatting sqref="C110">
    <cfRule type="cellIs" dxfId="17761" priority="7005" stopIfTrue="1" operator="equal">
      <formula>"Towel"</formula>
    </cfRule>
    <cfRule type="cellIs" dxfId="17760" priority="7006" stopIfTrue="1" operator="equal">
      <formula>"Napkin Hs"</formula>
    </cfRule>
  </conditionalFormatting>
  <conditionalFormatting sqref="C110">
    <cfRule type="cellIs" dxfId="17759" priority="7007" stopIfTrue="1" operator="equal">
      <formula>"Towel"</formula>
    </cfRule>
    <cfRule type="cellIs" dxfId="17758" priority="7008" stopIfTrue="1" operator="equal">
      <formula>"Napkin Hs"</formula>
    </cfRule>
  </conditionalFormatting>
  <conditionalFormatting sqref="C110">
    <cfRule type="cellIs" dxfId="17757" priority="7009" stopIfTrue="1" operator="equal">
      <formula>"Towel"</formula>
    </cfRule>
    <cfRule type="cellIs" dxfId="17756" priority="7010" stopIfTrue="1" operator="equal">
      <formula>"Napkin Hs"</formula>
    </cfRule>
  </conditionalFormatting>
  <conditionalFormatting sqref="C110">
    <cfRule type="cellIs" dxfId="17755" priority="6999" stopIfTrue="1" operator="equal">
      <formula>"Towel"</formula>
    </cfRule>
    <cfRule type="cellIs" dxfId="17754" priority="7000" stopIfTrue="1" operator="equal">
      <formula>"Napkin Hs"</formula>
    </cfRule>
  </conditionalFormatting>
  <conditionalFormatting sqref="B110:C110">
    <cfRule type="cellIs" dxfId="17753" priority="7003" stopIfTrue="1" operator="equal">
      <formula>"Towel"</formula>
    </cfRule>
    <cfRule type="cellIs" dxfId="17752" priority="7004" stopIfTrue="1" operator="equal">
      <formula>"Napkin Hs"</formula>
    </cfRule>
  </conditionalFormatting>
  <conditionalFormatting sqref="C110">
    <cfRule type="cellIs" dxfId="17751" priority="7001" stopIfTrue="1" operator="equal">
      <formula>"Towel"</formula>
    </cfRule>
    <cfRule type="cellIs" dxfId="17750" priority="7002" stopIfTrue="1" operator="equal">
      <formula>"Napkin Hs"</formula>
    </cfRule>
  </conditionalFormatting>
  <conditionalFormatting sqref="B110:C110">
    <cfRule type="cellIs" dxfId="17749" priority="6993" stopIfTrue="1" operator="equal">
      <formula>"Towel"</formula>
    </cfRule>
    <cfRule type="cellIs" dxfId="17748" priority="6994" stopIfTrue="1" operator="equal">
      <formula>"Napkin Hs"</formula>
    </cfRule>
  </conditionalFormatting>
  <conditionalFormatting sqref="C110">
    <cfRule type="cellIs" dxfId="17747" priority="6995" stopIfTrue="1" operator="equal">
      <formula>"Towel"</formula>
    </cfRule>
    <cfRule type="cellIs" dxfId="17746" priority="6996" stopIfTrue="1" operator="equal">
      <formula>"Napkin Hs"</formula>
    </cfRule>
  </conditionalFormatting>
  <conditionalFormatting sqref="B110:C110">
    <cfRule type="cellIs" dxfId="17745" priority="6997" stopIfTrue="1" operator="equal">
      <formula>"Towel"</formula>
    </cfRule>
    <cfRule type="cellIs" dxfId="17744" priority="6998" stopIfTrue="1" operator="equal">
      <formula>"Napkin Hs"</formula>
    </cfRule>
  </conditionalFormatting>
  <conditionalFormatting sqref="C110">
    <cfRule type="cellIs" dxfId="17743" priority="6991" stopIfTrue="1" operator="equal">
      <formula>"Towel"</formula>
    </cfRule>
    <cfRule type="cellIs" dxfId="17742" priority="6992" stopIfTrue="1" operator="equal">
      <formula>"Napkin Hs"</formula>
    </cfRule>
  </conditionalFormatting>
  <conditionalFormatting sqref="C110">
    <cfRule type="cellIs" dxfId="17741" priority="6987" stopIfTrue="1" operator="equal">
      <formula>"Towel"</formula>
    </cfRule>
    <cfRule type="cellIs" dxfId="17740" priority="6988" stopIfTrue="1" operator="equal">
      <formula>"Napkin Hs"</formula>
    </cfRule>
  </conditionalFormatting>
  <conditionalFormatting sqref="B110:C110">
    <cfRule type="cellIs" dxfId="17739" priority="6989" stopIfTrue="1" operator="equal">
      <formula>"Towel"</formula>
    </cfRule>
    <cfRule type="cellIs" dxfId="17738" priority="6990" stopIfTrue="1" operator="equal">
      <formula>"Napkin Hs"</formula>
    </cfRule>
  </conditionalFormatting>
  <conditionalFormatting sqref="C110">
    <cfRule type="cellIs" dxfId="17737" priority="6985" stopIfTrue="1" operator="equal">
      <formula>"Towel"</formula>
    </cfRule>
    <cfRule type="cellIs" dxfId="17736" priority="6986" stopIfTrue="1" operator="equal">
      <formula>"Napkin Hs"</formula>
    </cfRule>
  </conditionalFormatting>
  <conditionalFormatting sqref="C110">
    <cfRule type="cellIs" dxfId="17735" priority="6983" stopIfTrue="1" operator="equal">
      <formula>"Towel"</formula>
    </cfRule>
    <cfRule type="cellIs" dxfId="17734" priority="6984" stopIfTrue="1" operator="equal">
      <formula>"Napkin Hs"</formula>
    </cfRule>
  </conditionalFormatting>
  <conditionalFormatting sqref="B110:C110">
    <cfRule type="cellIs" dxfId="17733" priority="6981" stopIfTrue="1" operator="equal">
      <formula>"Towel"</formula>
    </cfRule>
    <cfRule type="cellIs" dxfId="17732" priority="6982" stopIfTrue="1" operator="equal">
      <formula>"Napkin Hs"</formula>
    </cfRule>
  </conditionalFormatting>
  <conditionalFormatting sqref="B110:C110">
    <cfRule type="cellIs" dxfId="17731" priority="7057" stopIfTrue="1" operator="equal">
      <formula>"Towel"</formula>
    </cfRule>
    <cfRule type="cellIs" dxfId="17730" priority="7058" stopIfTrue="1" operator="equal">
      <formula>"Napkin Hs"</formula>
    </cfRule>
  </conditionalFormatting>
  <conditionalFormatting sqref="C110">
    <cfRule type="cellIs" dxfId="17729" priority="7053" stopIfTrue="1" operator="equal">
      <formula>"Towel"</formula>
    </cfRule>
    <cfRule type="cellIs" dxfId="17728" priority="7054" stopIfTrue="1" operator="equal">
      <formula>"Napkin Hs"</formula>
    </cfRule>
  </conditionalFormatting>
  <conditionalFormatting sqref="C110">
    <cfRule type="cellIs" dxfId="17727" priority="7056" stopIfTrue="1" operator="equal">
      <formula>"Napkin Hs"</formula>
    </cfRule>
  </conditionalFormatting>
  <conditionalFormatting sqref="C110">
    <cfRule type="cellIs" dxfId="17726" priority="7055" stopIfTrue="1" operator="equal">
      <formula>"Towel"</formula>
    </cfRule>
  </conditionalFormatting>
  <conditionalFormatting sqref="C110">
    <cfRule type="cellIs" dxfId="17725" priority="7047" stopIfTrue="1" operator="equal">
      <formula>"Towel"</formula>
    </cfRule>
    <cfRule type="cellIs" dxfId="17724" priority="7048" stopIfTrue="1" operator="equal">
      <formula>"Napkin Hs"</formula>
    </cfRule>
  </conditionalFormatting>
  <conditionalFormatting sqref="C110">
    <cfRule type="cellIs" dxfId="17723" priority="7051" stopIfTrue="1" operator="equal">
      <formula>"Towel"</formula>
    </cfRule>
    <cfRule type="cellIs" dxfId="17722" priority="7052" stopIfTrue="1" operator="equal">
      <formula>"Napkin Hs"</formula>
    </cfRule>
  </conditionalFormatting>
  <conditionalFormatting sqref="B110">
    <cfRule type="cellIs" dxfId="17721" priority="7037" stopIfTrue="1" operator="equal">
      <formula>"Towel"</formula>
    </cfRule>
    <cfRule type="cellIs" dxfId="17720" priority="7038" stopIfTrue="1" operator="equal">
      <formula>"Napkin Hs"</formula>
    </cfRule>
  </conditionalFormatting>
  <conditionalFormatting sqref="C110">
    <cfRule type="cellIs" dxfId="17719" priority="7049" stopIfTrue="1" operator="equal">
      <formula>"Towel"</formula>
    </cfRule>
    <cfRule type="cellIs" dxfId="17718" priority="7050" stopIfTrue="1" operator="equal">
      <formula>"Napkin Hs"</formula>
    </cfRule>
  </conditionalFormatting>
  <conditionalFormatting sqref="C110">
    <cfRule type="cellIs" dxfId="17717" priority="7041" stopIfTrue="1" operator="equal">
      <formula>"Towel"</formula>
    </cfRule>
    <cfRule type="cellIs" dxfId="17716" priority="7042" stopIfTrue="1" operator="equal">
      <formula>"Napkin Hs"</formula>
    </cfRule>
  </conditionalFormatting>
  <conditionalFormatting sqref="C110">
    <cfRule type="cellIs" dxfId="17715" priority="7043" stopIfTrue="1" operator="equal">
      <formula>"Towel"</formula>
    </cfRule>
    <cfRule type="cellIs" dxfId="17714" priority="7044" stopIfTrue="1" operator="equal">
      <formula>"Napkin Hs"</formula>
    </cfRule>
  </conditionalFormatting>
  <conditionalFormatting sqref="C110">
    <cfRule type="cellIs" dxfId="17713" priority="7045" stopIfTrue="1" operator="equal">
      <formula>"Towel"</formula>
    </cfRule>
    <cfRule type="cellIs" dxfId="17712" priority="7046" stopIfTrue="1" operator="equal">
      <formula>"Napkin Hs"</formula>
    </cfRule>
  </conditionalFormatting>
  <conditionalFormatting sqref="B110">
    <cfRule type="cellIs" dxfId="17711" priority="7039" stopIfTrue="1" operator="equal">
      <formula>"Towel"</formula>
    </cfRule>
    <cfRule type="cellIs" dxfId="17710" priority="7040" stopIfTrue="1" operator="equal">
      <formula>"Napkin Hs"</formula>
    </cfRule>
  </conditionalFormatting>
  <conditionalFormatting sqref="C110">
    <cfRule type="cellIs" dxfId="17709" priority="7035" stopIfTrue="1" operator="equal">
      <formula>"Towel"</formula>
    </cfRule>
    <cfRule type="cellIs" dxfId="17708" priority="7036" stopIfTrue="1" operator="equal">
      <formula>"Napkin Hs"</formula>
    </cfRule>
  </conditionalFormatting>
  <conditionalFormatting sqref="B110:C110">
    <cfRule type="cellIs" dxfId="17707" priority="7019" stopIfTrue="1" operator="equal">
      <formula>"Towel"</formula>
    </cfRule>
    <cfRule type="cellIs" dxfId="17706" priority="7020" stopIfTrue="1" operator="equal">
      <formula>"Napkin Hs"</formula>
    </cfRule>
  </conditionalFormatting>
  <conditionalFormatting sqref="C109">
    <cfRule type="cellIs" dxfId="17705" priority="6969" stopIfTrue="1" operator="equal">
      <formula>"Towel"</formula>
    </cfRule>
    <cfRule type="cellIs" dxfId="17704" priority="6970" stopIfTrue="1" operator="equal">
      <formula>"Napkin Hs"</formula>
    </cfRule>
  </conditionalFormatting>
  <conditionalFormatting sqref="C109">
    <cfRule type="cellIs" dxfId="17703" priority="6971" stopIfTrue="1" operator="equal">
      <formula>"Towel"</formula>
    </cfRule>
    <cfRule type="cellIs" dxfId="17702" priority="6972" stopIfTrue="1" operator="equal">
      <formula>"Napkin Hs"</formula>
    </cfRule>
  </conditionalFormatting>
  <conditionalFormatting sqref="C109">
    <cfRule type="cellIs" dxfId="17701" priority="6965" stopIfTrue="1" operator="equal">
      <formula>"Towel"</formula>
    </cfRule>
    <cfRule type="cellIs" dxfId="17700" priority="6966" stopIfTrue="1" operator="equal">
      <formula>"Napkin Hs"</formula>
    </cfRule>
  </conditionalFormatting>
  <conditionalFormatting sqref="B109:C109">
    <cfRule type="cellIs" dxfId="17699" priority="6967" stopIfTrue="1" operator="equal">
      <formula>"Towel"</formula>
    </cfRule>
    <cfRule type="cellIs" dxfId="17698" priority="6968" stopIfTrue="1" operator="equal">
      <formula>"Napkin Hs"</formula>
    </cfRule>
  </conditionalFormatting>
  <conditionalFormatting sqref="C109">
    <cfRule type="cellIs" dxfId="17697" priority="6963" stopIfTrue="1" operator="equal">
      <formula>"Towel"</formula>
    </cfRule>
    <cfRule type="cellIs" dxfId="17696" priority="6964" stopIfTrue="1" operator="equal">
      <formula>"Napkin Hs"</formula>
    </cfRule>
  </conditionalFormatting>
  <conditionalFormatting sqref="B109:C109">
    <cfRule type="cellIs" dxfId="17695" priority="6961" stopIfTrue="1" operator="equal">
      <formula>"Towel"</formula>
    </cfRule>
    <cfRule type="cellIs" dxfId="17694" priority="6962" stopIfTrue="1" operator="equal">
      <formula>"Napkin Hs"</formula>
    </cfRule>
  </conditionalFormatting>
  <conditionalFormatting sqref="B109:C109">
    <cfRule type="cellIs" dxfId="17693" priority="6959" stopIfTrue="1" operator="equal">
      <formula>"Towel"</formula>
    </cfRule>
    <cfRule type="cellIs" dxfId="17692" priority="6960" stopIfTrue="1" operator="equal">
      <formula>"Napkin Hs"</formula>
    </cfRule>
  </conditionalFormatting>
  <conditionalFormatting sqref="C109">
    <cfRule type="cellIs" dxfId="17691" priority="6953" stopIfTrue="1" operator="equal">
      <formula>"Towel"</formula>
    </cfRule>
    <cfRule type="cellIs" dxfId="17690" priority="6954" stopIfTrue="1" operator="equal">
      <formula>"Napkin Hs"</formula>
    </cfRule>
  </conditionalFormatting>
  <conditionalFormatting sqref="C109">
    <cfRule type="cellIs" dxfId="17689" priority="6955" stopIfTrue="1" operator="equal">
      <formula>"Towel"</formula>
    </cfRule>
    <cfRule type="cellIs" dxfId="17688" priority="6956" stopIfTrue="1" operator="equal">
      <formula>"Napkin Hs"</formula>
    </cfRule>
  </conditionalFormatting>
  <conditionalFormatting sqref="C109">
    <cfRule type="cellIs" dxfId="17687" priority="6951" stopIfTrue="1" operator="equal">
      <formula>"Towel"</formula>
    </cfRule>
    <cfRule type="cellIs" dxfId="17686" priority="6952" stopIfTrue="1" operator="equal">
      <formula>"Napkin Hs"</formula>
    </cfRule>
  </conditionalFormatting>
  <conditionalFormatting sqref="C109">
    <cfRule type="cellIs" dxfId="17685" priority="6949" stopIfTrue="1" operator="equal">
      <formula>"Towel"</formula>
    </cfRule>
    <cfRule type="cellIs" dxfId="17684" priority="6950" stopIfTrue="1" operator="equal">
      <formula>"Napkin Hs"</formula>
    </cfRule>
  </conditionalFormatting>
  <conditionalFormatting sqref="C109">
    <cfRule type="cellIs" dxfId="17683" priority="6945" stopIfTrue="1" operator="equal">
      <formula>"Towel"</formula>
    </cfRule>
    <cfRule type="cellIs" dxfId="17682" priority="6946" stopIfTrue="1" operator="equal">
      <formula>"Napkin Hs"</formula>
    </cfRule>
  </conditionalFormatting>
  <conditionalFormatting sqref="C109">
    <cfRule type="cellIs" dxfId="17681" priority="6947" stopIfTrue="1" operator="equal">
      <formula>"Towel"</formula>
    </cfRule>
    <cfRule type="cellIs" dxfId="17680" priority="6948" stopIfTrue="1" operator="equal">
      <formula>"Napkin Hs"</formula>
    </cfRule>
  </conditionalFormatting>
  <conditionalFormatting sqref="C109">
    <cfRule type="cellIs" dxfId="17679" priority="6943" stopIfTrue="1" operator="equal">
      <formula>"Towel"</formula>
    </cfRule>
    <cfRule type="cellIs" dxfId="17678" priority="6944" stopIfTrue="1" operator="equal">
      <formula>"Napkin Hs"</formula>
    </cfRule>
  </conditionalFormatting>
  <conditionalFormatting sqref="C109">
    <cfRule type="cellIs" dxfId="17677" priority="6927" stopIfTrue="1" operator="equal">
      <formula>"Towel"</formula>
    </cfRule>
    <cfRule type="cellIs" dxfId="17676" priority="6928" stopIfTrue="1" operator="equal">
      <formula>"Napkin Hs"</formula>
    </cfRule>
  </conditionalFormatting>
  <conditionalFormatting sqref="B109">
    <cfRule type="cellIs" dxfId="17675" priority="6925" stopIfTrue="1" operator="equal">
      <formula>"Towel"</formula>
    </cfRule>
    <cfRule type="cellIs" dxfId="17674" priority="6926" stopIfTrue="1" operator="equal">
      <formula>"Napkin Hs"</formula>
    </cfRule>
  </conditionalFormatting>
  <conditionalFormatting sqref="B109">
    <cfRule type="cellIs" dxfId="17673" priority="6941" stopIfTrue="1" operator="equal">
      <formula>"Towel"</formula>
    </cfRule>
    <cfRule type="cellIs" dxfId="17672" priority="6942" stopIfTrue="1" operator="equal">
      <formula>"Napkin Hs"</formula>
    </cfRule>
  </conditionalFormatting>
  <conditionalFormatting sqref="C109">
    <cfRule type="cellIs" dxfId="17671" priority="6937" stopIfTrue="1" operator="equal">
      <formula>"Towel"</formula>
    </cfRule>
    <cfRule type="cellIs" dxfId="17670" priority="6938" stopIfTrue="1" operator="equal">
      <formula>"Napkin Hs"</formula>
    </cfRule>
  </conditionalFormatting>
  <conditionalFormatting sqref="B109">
    <cfRule type="cellIs" dxfId="17669" priority="6939" stopIfTrue="1" operator="equal">
      <formula>"Towel"</formula>
    </cfRule>
    <cfRule type="cellIs" dxfId="17668" priority="6940" stopIfTrue="1" operator="equal">
      <formula>"Napkin Hs"</formula>
    </cfRule>
  </conditionalFormatting>
  <conditionalFormatting sqref="C109">
    <cfRule type="cellIs" dxfId="17667" priority="6933" stopIfTrue="1" operator="equal">
      <formula>"Towel"</formula>
    </cfRule>
    <cfRule type="cellIs" dxfId="17666" priority="6934" stopIfTrue="1" operator="equal">
      <formula>"Napkin Hs"</formula>
    </cfRule>
  </conditionalFormatting>
  <conditionalFormatting sqref="C109">
    <cfRule type="cellIs" dxfId="17665" priority="6935" stopIfTrue="1" operator="equal">
      <formula>"Towel"</formula>
    </cfRule>
    <cfRule type="cellIs" dxfId="17664" priority="6936" stopIfTrue="1" operator="equal">
      <formula>"Napkin Hs"</formula>
    </cfRule>
  </conditionalFormatting>
  <conditionalFormatting sqref="C109">
    <cfRule type="cellIs" dxfId="17663" priority="6931" stopIfTrue="1" operator="equal">
      <formula>"Towel"</formula>
    </cfRule>
    <cfRule type="cellIs" dxfId="17662" priority="6932" stopIfTrue="1" operator="equal">
      <formula>"Napkin Hs"</formula>
    </cfRule>
  </conditionalFormatting>
  <conditionalFormatting sqref="C109">
    <cfRule type="cellIs" dxfId="17661" priority="6929" stopIfTrue="1" operator="equal">
      <formula>"Towel"</formula>
    </cfRule>
    <cfRule type="cellIs" dxfId="17660" priority="6930" stopIfTrue="1" operator="equal">
      <formula>"Napkin Hs"</formula>
    </cfRule>
  </conditionalFormatting>
  <conditionalFormatting sqref="B109">
    <cfRule type="cellIs" dxfId="17659" priority="6923" stopIfTrue="1" operator="equal">
      <formula>"Towel"</formula>
    </cfRule>
    <cfRule type="cellIs" dxfId="17658" priority="6924" stopIfTrue="1" operator="equal">
      <formula>"Napkin Hs"</formula>
    </cfRule>
  </conditionalFormatting>
  <conditionalFormatting sqref="B109:C109">
    <cfRule type="cellIs" dxfId="17657" priority="6921" stopIfTrue="1" operator="equal">
      <formula>"Towel"</formula>
    </cfRule>
    <cfRule type="cellIs" dxfId="17656" priority="6922" stopIfTrue="1" operator="equal">
      <formula>"Napkin Hs"</formula>
    </cfRule>
  </conditionalFormatting>
  <conditionalFormatting sqref="C109">
    <cfRule type="cellIs" dxfId="17655" priority="6919" stopIfTrue="1" operator="equal">
      <formula>"Towel"</formula>
    </cfRule>
    <cfRule type="cellIs" dxfId="17654" priority="6920" stopIfTrue="1" operator="equal">
      <formula>"Napkin Hs"</formula>
    </cfRule>
  </conditionalFormatting>
  <conditionalFormatting sqref="C109">
    <cfRule type="cellIs" dxfId="17653" priority="6917" stopIfTrue="1" operator="equal">
      <formula>"Towel"</formula>
    </cfRule>
    <cfRule type="cellIs" dxfId="17652" priority="6918" stopIfTrue="1" operator="equal">
      <formula>"Napkin Hs"</formula>
    </cfRule>
  </conditionalFormatting>
  <conditionalFormatting sqref="C109">
    <cfRule type="cellIs" dxfId="17651" priority="6907" stopIfTrue="1" operator="equal">
      <formula>"Towel"</formula>
    </cfRule>
    <cfRule type="cellIs" dxfId="17650" priority="6908" stopIfTrue="1" operator="equal">
      <formula>"Napkin Hs"</formula>
    </cfRule>
  </conditionalFormatting>
  <conditionalFormatting sqref="C109">
    <cfRule type="cellIs" dxfId="17649" priority="6909" stopIfTrue="1" operator="equal">
      <formula>"Towel"</formula>
    </cfRule>
    <cfRule type="cellIs" dxfId="17648" priority="6910" stopIfTrue="1" operator="equal">
      <formula>"Napkin Hs"</formula>
    </cfRule>
  </conditionalFormatting>
  <conditionalFormatting sqref="B109:C109">
    <cfRule type="cellIs" dxfId="17647" priority="6905" stopIfTrue="1" operator="equal">
      <formula>"Towel"</formula>
    </cfRule>
    <cfRule type="cellIs" dxfId="17646" priority="6906" stopIfTrue="1" operator="equal">
      <formula>"Napkin Hs"</formula>
    </cfRule>
  </conditionalFormatting>
  <conditionalFormatting sqref="C109">
    <cfRule type="cellIs" dxfId="17645" priority="6903" stopIfTrue="1" operator="equal">
      <formula>"Towel"</formula>
    </cfRule>
    <cfRule type="cellIs" dxfId="17644" priority="6904" stopIfTrue="1" operator="equal">
      <formula>"Napkin Hs"</formula>
    </cfRule>
  </conditionalFormatting>
  <conditionalFormatting sqref="B109:C109">
    <cfRule type="cellIs" dxfId="17643" priority="6899" stopIfTrue="1" operator="equal">
      <formula>"Towel"</formula>
    </cfRule>
    <cfRule type="cellIs" dxfId="17642" priority="6900" stopIfTrue="1" operator="equal">
      <formula>"Napkin Hs"</formula>
    </cfRule>
  </conditionalFormatting>
  <conditionalFormatting sqref="C109">
    <cfRule type="cellIs" dxfId="17641" priority="6901" stopIfTrue="1" operator="equal">
      <formula>"Towel"</formula>
    </cfRule>
    <cfRule type="cellIs" dxfId="17640" priority="6902" stopIfTrue="1" operator="equal">
      <formula>"Napkin Hs"</formula>
    </cfRule>
  </conditionalFormatting>
  <conditionalFormatting sqref="C109">
    <cfRule type="cellIs" dxfId="17639" priority="6958" stopIfTrue="1" operator="equal">
      <formula>"Napkin Hs"</formula>
    </cfRule>
  </conditionalFormatting>
  <conditionalFormatting sqref="C109">
    <cfRule type="cellIs" dxfId="17638" priority="6957" stopIfTrue="1" operator="equal">
      <formula>"Towel"</formula>
    </cfRule>
  </conditionalFormatting>
  <conditionalFormatting sqref="B109:C109">
    <cfRule type="cellIs" dxfId="17637" priority="6915" stopIfTrue="1" operator="equal">
      <formula>"Towel"</formula>
    </cfRule>
    <cfRule type="cellIs" dxfId="17636" priority="6916" stopIfTrue="1" operator="equal">
      <formula>"Napkin Hs"</formula>
    </cfRule>
  </conditionalFormatting>
  <conditionalFormatting sqref="C109">
    <cfRule type="cellIs" dxfId="17635" priority="6913" stopIfTrue="1" operator="equal">
      <formula>"Towel"</formula>
    </cfRule>
    <cfRule type="cellIs" dxfId="17634" priority="6914" stopIfTrue="1" operator="equal">
      <formula>"Napkin Hs"</formula>
    </cfRule>
  </conditionalFormatting>
  <conditionalFormatting sqref="C109">
    <cfRule type="cellIs" dxfId="17633" priority="6911" stopIfTrue="1" operator="equal">
      <formula>"Towel"</formula>
    </cfRule>
    <cfRule type="cellIs" dxfId="17632" priority="6912" stopIfTrue="1" operator="equal">
      <formula>"Napkin Hs"</formula>
    </cfRule>
  </conditionalFormatting>
  <conditionalFormatting sqref="B109:C109">
    <cfRule type="cellIs" dxfId="17631" priority="6895" stopIfTrue="1" operator="equal">
      <formula>"Towel"</formula>
    </cfRule>
    <cfRule type="cellIs" dxfId="17630" priority="6896" stopIfTrue="1" operator="equal">
      <formula>"Napkin Hs"</formula>
    </cfRule>
  </conditionalFormatting>
  <conditionalFormatting sqref="C109">
    <cfRule type="cellIs" dxfId="17629" priority="6897" stopIfTrue="1" operator="equal">
      <formula>"Towel"</formula>
    </cfRule>
    <cfRule type="cellIs" dxfId="17628" priority="6898" stopIfTrue="1" operator="equal">
      <formula>"Napkin Hs"</formula>
    </cfRule>
  </conditionalFormatting>
  <conditionalFormatting sqref="C109">
    <cfRule type="cellIs" dxfId="17627" priority="6893" stopIfTrue="1" operator="equal">
      <formula>"Towel"</formula>
    </cfRule>
    <cfRule type="cellIs" dxfId="17626" priority="6894" stopIfTrue="1" operator="equal">
      <formula>"Napkin Hs"</formula>
    </cfRule>
  </conditionalFormatting>
  <conditionalFormatting sqref="B109:C109">
    <cfRule type="cellIs" dxfId="17625" priority="6891" stopIfTrue="1" operator="equal">
      <formula>"Towel"</formula>
    </cfRule>
    <cfRule type="cellIs" dxfId="17624" priority="6892" stopIfTrue="1" operator="equal">
      <formula>"Napkin Hs"</formula>
    </cfRule>
  </conditionalFormatting>
  <conditionalFormatting sqref="C109">
    <cfRule type="cellIs" dxfId="17623" priority="6887" stopIfTrue="1" operator="equal">
      <formula>"Towel"</formula>
    </cfRule>
    <cfRule type="cellIs" dxfId="17622" priority="6888" stopIfTrue="1" operator="equal">
      <formula>"Napkin Hs"</formula>
    </cfRule>
  </conditionalFormatting>
  <conditionalFormatting sqref="C109">
    <cfRule type="cellIs" dxfId="17621" priority="6889" stopIfTrue="1" operator="equal">
      <formula>"Towel"</formula>
    </cfRule>
    <cfRule type="cellIs" dxfId="17620" priority="6890" stopIfTrue="1" operator="equal">
      <formula>"Napkin Hs"</formula>
    </cfRule>
  </conditionalFormatting>
  <conditionalFormatting sqref="B109:C109">
    <cfRule type="cellIs" dxfId="17619" priority="6883" stopIfTrue="1" operator="equal">
      <formula>"Towel"</formula>
    </cfRule>
    <cfRule type="cellIs" dxfId="17618" priority="6884" stopIfTrue="1" operator="equal">
      <formula>"Napkin Hs"</formula>
    </cfRule>
  </conditionalFormatting>
  <conditionalFormatting sqref="C109">
    <cfRule type="cellIs" dxfId="17617" priority="6885" stopIfTrue="1" operator="equal">
      <formula>"Towel"</formula>
    </cfRule>
    <cfRule type="cellIs" dxfId="17616" priority="6886" stopIfTrue="1" operator="equal">
      <formula>"Napkin Hs"</formula>
    </cfRule>
  </conditionalFormatting>
  <conditionalFormatting sqref="C109">
    <cfRule type="cellIs" dxfId="17615" priority="6881" stopIfTrue="1" operator="equal">
      <formula>"Towel"</formula>
    </cfRule>
    <cfRule type="cellIs" dxfId="17614" priority="6882" stopIfTrue="1" operator="equal">
      <formula>"Napkin Hs"</formula>
    </cfRule>
  </conditionalFormatting>
  <conditionalFormatting sqref="B109:C109">
    <cfRule type="cellIs" dxfId="17613" priority="6879" stopIfTrue="1" operator="equal">
      <formula>"Towel"</formula>
    </cfRule>
    <cfRule type="cellIs" dxfId="17612" priority="6880" stopIfTrue="1" operator="equal">
      <formula>"Napkin Hs"</formula>
    </cfRule>
  </conditionalFormatting>
  <conditionalFormatting sqref="C109">
    <cfRule type="cellIs" dxfId="17611" priority="6875" stopIfTrue="1" operator="equal">
      <formula>"Towel"</formula>
    </cfRule>
    <cfRule type="cellIs" dxfId="17610" priority="6876" stopIfTrue="1" operator="equal">
      <formula>"Napkin Hs"</formula>
    </cfRule>
  </conditionalFormatting>
  <conditionalFormatting sqref="C109">
    <cfRule type="cellIs" dxfId="17609" priority="6877" stopIfTrue="1" operator="equal">
      <formula>"Towel"</formula>
    </cfRule>
    <cfRule type="cellIs" dxfId="17608" priority="6878" stopIfTrue="1" operator="equal">
      <formula>"Napkin Hs"</formula>
    </cfRule>
  </conditionalFormatting>
  <conditionalFormatting sqref="C108:C110">
    <cfRule type="cellIs" dxfId="17607" priority="6871" stopIfTrue="1" operator="equal">
      <formula>"Towel"</formula>
    </cfRule>
    <cfRule type="cellIs" dxfId="17606" priority="6872" stopIfTrue="1" operator="equal">
      <formula>"Napkin Hs"</formula>
    </cfRule>
  </conditionalFormatting>
  <conditionalFormatting sqref="C108:C110">
    <cfRule type="cellIs" dxfId="17605" priority="6873" stopIfTrue="1" operator="equal">
      <formula>"Towel"</formula>
    </cfRule>
    <cfRule type="cellIs" dxfId="17604" priority="6874" stopIfTrue="1" operator="equal">
      <formula>"Napkin Hs"</formula>
    </cfRule>
  </conditionalFormatting>
  <conditionalFormatting sqref="C108:C110">
    <cfRule type="cellIs" dxfId="17603" priority="6867" stopIfTrue="1" operator="equal">
      <formula>"Towel"</formula>
    </cfRule>
    <cfRule type="cellIs" dxfId="17602" priority="6868" stopIfTrue="1" operator="equal">
      <formula>"Napkin Hs"</formula>
    </cfRule>
  </conditionalFormatting>
  <conditionalFormatting sqref="B108:C110">
    <cfRule type="cellIs" dxfId="17601" priority="6869" stopIfTrue="1" operator="equal">
      <formula>"Towel"</formula>
    </cfRule>
    <cfRule type="cellIs" dxfId="17600" priority="6870" stopIfTrue="1" operator="equal">
      <formula>"Napkin Hs"</formula>
    </cfRule>
  </conditionalFormatting>
  <conditionalFormatting sqref="C108:C110">
    <cfRule type="cellIs" dxfId="17599" priority="6865" stopIfTrue="1" operator="equal">
      <formula>"Towel"</formula>
    </cfRule>
    <cfRule type="cellIs" dxfId="17598" priority="6866" stopIfTrue="1" operator="equal">
      <formula>"Napkin Hs"</formula>
    </cfRule>
  </conditionalFormatting>
  <conditionalFormatting sqref="B108:C110">
    <cfRule type="cellIs" dxfId="17597" priority="6863" stopIfTrue="1" operator="equal">
      <formula>"Towel"</formula>
    </cfRule>
    <cfRule type="cellIs" dxfId="17596" priority="6864" stopIfTrue="1" operator="equal">
      <formula>"Napkin Hs"</formula>
    </cfRule>
  </conditionalFormatting>
  <conditionalFormatting sqref="B108:C110">
    <cfRule type="cellIs" dxfId="17595" priority="6861" stopIfTrue="1" operator="equal">
      <formula>"Towel"</formula>
    </cfRule>
    <cfRule type="cellIs" dxfId="17594" priority="6862" stopIfTrue="1" operator="equal">
      <formula>"Napkin Hs"</formula>
    </cfRule>
  </conditionalFormatting>
  <conditionalFormatting sqref="C108:C110">
    <cfRule type="cellIs" dxfId="17593" priority="6855" stopIfTrue="1" operator="equal">
      <formula>"Towel"</formula>
    </cfRule>
    <cfRule type="cellIs" dxfId="17592" priority="6856" stopIfTrue="1" operator="equal">
      <formula>"Napkin Hs"</formula>
    </cfRule>
  </conditionalFormatting>
  <conditionalFormatting sqref="C108:C110">
    <cfRule type="cellIs" dxfId="17591" priority="6857" stopIfTrue="1" operator="equal">
      <formula>"Towel"</formula>
    </cfRule>
    <cfRule type="cellIs" dxfId="17590" priority="6858" stopIfTrue="1" operator="equal">
      <formula>"Napkin Hs"</formula>
    </cfRule>
  </conditionalFormatting>
  <conditionalFormatting sqref="C108:C110">
    <cfRule type="cellIs" dxfId="17589" priority="6853" stopIfTrue="1" operator="equal">
      <formula>"Towel"</formula>
    </cfRule>
    <cfRule type="cellIs" dxfId="17588" priority="6854" stopIfTrue="1" operator="equal">
      <formula>"Napkin Hs"</formula>
    </cfRule>
  </conditionalFormatting>
  <conditionalFormatting sqref="C108:C110">
    <cfRule type="cellIs" dxfId="17587" priority="6851" stopIfTrue="1" operator="equal">
      <formula>"Towel"</formula>
    </cfRule>
    <cfRule type="cellIs" dxfId="17586" priority="6852" stopIfTrue="1" operator="equal">
      <formula>"Napkin Hs"</formula>
    </cfRule>
  </conditionalFormatting>
  <conditionalFormatting sqref="C108:C110">
    <cfRule type="cellIs" dxfId="17585" priority="6847" stopIfTrue="1" operator="equal">
      <formula>"Towel"</formula>
    </cfRule>
    <cfRule type="cellIs" dxfId="17584" priority="6848" stopIfTrue="1" operator="equal">
      <formula>"Napkin Hs"</formula>
    </cfRule>
  </conditionalFormatting>
  <conditionalFormatting sqref="C108:C110">
    <cfRule type="cellIs" dxfId="17583" priority="6849" stopIfTrue="1" operator="equal">
      <formula>"Towel"</formula>
    </cfRule>
    <cfRule type="cellIs" dxfId="17582" priority="6850" stopIfTrue="1" operator="equal">
      <formula>"Napkin Hs"</formula>
    </cfRule>
  </conditionalFormatting>
  <conditionalFormatting sqref="C108:C110">
    <cfRule type="cellIs" dxfId="17581" priority="6845" stopIfTrue="1" operator="equal">
      <formula>"Towel"</formula>
    </cfRule>
    <cfRule type="cellIs" dxfId="17580" priority="6846" stopIfTrue="1" operator="equal">
      <formula>"Napkin Hs"</formula>
    </cfRule>
  </conditionalFormatting>
  <conditionalFormatting sqref="C108:C110">
    <cfRule type="cellIs" dxfId="17579" priority="6829" stopIfTrue="1" operator="equal">
      <formula>"Towel"</formula>
    </cfRule>
    <cfRule type="cellIs" dxfId="17578" priority="6830" stopIfTrue="1" operator="equal">
      <formula>"Napkin Hs"</formula>
    </cfRule>
  </conditionalFormatting>
  <conditionalFormatting sqref="B108:B110">
    <cfRule type="cellIs" dxfId="17577" priority="6827" stopIfTrue="1" operator="equal">
      <formula>"Towel"</formula>
    </cfRule>
    <cfRule type="cellIs" dxfId="17576" priority="6828" stopIfTrue="1" operator="equal">
      <formula>"Napkin Hs"</formula>
    </cfRule>
  </conditionalFormatting>
  <conditionalFormatting sqref="B108:B110">
    <cfRule type="cellIs" dxfId="17575" priority="6843" stopIfTrue="1" operator="equal">
      <formula>"Towel"</formula>
    </cfRule>
    <cfRule type="cellIs" dxfId="17574" priority="6844" stopIfTrue="1" operator="equal">
      <formula>"Napkin Hs"</formula>
    </cfRule>
  </conditionalFormatting>
  <conditionalFormatting sqref="C108:C110">
    <cfRule type="cellIs" dxfId="17573" priority="6839" stopIfTrue="1" operator="equal">
      <formula>"Towel"</formula>
    </cfRule>
    <cfRule type="cellIs" dxfId="17572" priority="6840" stopIfTrue="1" operator="equal">
      <formula>"Napkin Hs"</formula>
    </cfRule>
  </conditionalFormatting>
  <conditionalFormatting sqref="B108:B110">
    <cfRule type="cellIs" dxfId="17571" priority="6841" stopIfTrue="1" operator="equal">
      <formula>"Towel"</formula>
    </cfRule>
    <cfRule type="cellIs" dxfId="17570" priority="6842" stopIfTrue="1" operator="equal">
      <formula>"Napkin Hs"</formula>
    </cfRule>
  </conditionalFormatting>
  <conditionalFormatting sqref="C108:C110">
    <cfRule type="cellIs" dxfId="17569" priority="6835" stopIfTrue="1" operator="equal">
      <formula>"Towel"</formula>
    </cfRule>
    <cfRule type="cellIs" dxfId="17568" priority="6836" stopIfTrue="1" operator="equal">
      <formula>"Napkin Hs"</formula>
    </cfRule>
  </conditionalFormatting>
  <conditionalFormatting sqref="C108:C110">
    <cfRule type="cellIs" dxfId="17567" priority="6837" stopIfTrue="1" operator="equal">
      <formula>"Towel"</formula>
    </cfRule>
    <cfRule type="cellIs" dxfId="17566" priority="6838" stopIfTrue="1" operator="equal">
      <formula>"Napkin Hs"</formula>
    </cfRule>
  </conditionalFormatting>
  <conditionalFormatting sqref="C108:C110">
    <cfRule type="cellIs" dxfId="17565" priority="6833" stopIfTrue="1" operator="equal">
      <formula>"Towel"</formula>
    </cfRule>
    <cfRule type="cellIs" dxfId="17564" priority="6834" stopIfTrue="1" operator="equal">
      <formula>"Napkin Hs"</formula>
    </cfRule>
  </conditionalFormatting>
  <conditionalFormatting sqref="C108:C110">
    <cfRule type="cellIs" dxfId="17563" priority="6831" stopIfTrue="1" operator="equal">
      <formula>"Towel"</formula>
    </cfRule>
    <cfRule type="cellIs" dxfId="17562" priority="6832" stopIfTrue="1" operator="equal">
      <formula>"Napkin Hs"</formula>
    </cfRule>
  </conditionalFormatting>
  <conditionalFormatting sqref="B108:B110">
    <cfRule type="cellIs" dxfId="17561" priority="6825" stopIfTrue="1" operator="equal">
      <formula>"Towel"</formula>
    </cfRule>
    <cfRule type="cellIs" dxfId="17560" priority="6826" stopIfTrue="1" operator="equal">
      <formula>"Napkin Hs"</formula>
    </cfRule>
  </conditionalFormatting>
  <conditionalFormatting sqref="B108:C110">
    <cfRule type="cellIs" dxfId="17559" priority="6823" stopIfTrue="1" operator="equal">
      <formula>"Towel"</formula>
    </cfRule>
    <cfRule type="cellIs" dxfId="17558" priority="6824" stopIfTrue="1" operator="equal">
      <formula>"Napkin Hs"</formula>
    </cfRule>
  </conditionalFormatting>
  <conditionalFormatting sqref="C108:C110">
    <cfRule type="cellIs" dxfId="17557" priority="6821" stopIfTrue="1" operator="equal">
      <formula>"Towel"</formula>
    </cfRule>
    <cfRule type="cellIs" dxfId="17556" priority="6822" stopIfTrue="1" operator="equal">
      <formula>"Napkin Hs"</formula>
    </cfRule>
  </conditionalFormatting>
  <conditionalFormatting sqref="C108:C110">
    <cfRule type="cellIs" dxfId="17555" priority="6819" stopIfTrue="1" operator="equal">
      <formula>"Towel"</formula>
    </cfRule>
    <cfRule type="cellIs" dxfId="17554" priority="6820" stopIfTrue="1" operator="equal">
      <formula>"Napkin Hs"</formula>
    </cfRule>
  </conditionalFormatting>
  <conditionalFormatting sqref="C108:C110">
    <cfRule type="cellIs" dxfId="17553" priority="6809" stopIfTrue="1" operator="equal">
      <formula>"Towel"</formula>
    </cfRule>
    <cfRule type="cellIs" dxfId="17552" priority="6810" stopIfTrue="1" operator="equal">
      <formula>"Napkin Hs"</formula>
    </cfRule>
  </conditionalFormatting>
  <conditionalFormatting sqref="C108:C110">
    <cfRule type="cellIs" dxfId="17551" priority="6811" stopIfTrue="1" operator="equal">
      <formula>"Towel"</formula>
    </cfRule>
    <cfRule type="cellIs" dxfId="17550" priority="6812" stopIfTrue="1" operator="equal">
      <formula>"Napkin Hs"</formula>
    </cfRule>
  </conditionalFormatting>
  <conditionalFormatting sqref="B108:C110">
    <cfRule type="cellIs" dxfId="17549" priority="6807" stopIfTrue="1" operator="equal">
      <formula>"Towel"</formula>
    </cfRule>
    <cfRule type="cellIs" dxfId="17548" priority="6808" stopIfTrue="1" operator="equal">
      <formula>"Napkin Hs"</formula>
    </cfRule>
  </conditionalFormatting>
  <conditionalFormatting sqref="C108:C110">
    <cfRule type="cellIs" dxfId="17547" priority="6805" stopIfTrue="1" operator="equal">
      <formula>"Towel"</formula>
    </cfRule>
    <cfRule type="cellIs" dxfId="17546" priority="6806" stopIfTrue="1" operator="equal">
      <formula>"Napkin Hs"</formula>
    </cfRule>
  </conditionalFormatting>
  <conditionalFormatting sqref="B108:C110">
    <cfRule type="cellIs" dxfId="17545" priority="6801" stopIfTrue="1" operator="equal">
      <formula>"Towel"</formula>
    </cfRule>
    <cfRule type="cellIs" dxfId="17544" priority="6802" stopIfTrue="1" operator="equal">
      <formula>"Napkin Hs"</formula>
    </cfRule>
  </conditionalFormatting>
  <conditionalFormatting sqref="C108:C110">
    <cfRule type="cellIs" dxfId="17543" priority="6803" stopIfTrue="1" operator="equal">
      <formula>"Towel"</formula>
    </cfRule>
    <cfRule type="cellIs" dxfId="17542" priority="6804" stopIfTrue="1" operator="equal">
      <formula>"Napkin Hs"</formula>
    </cfRule>
  </conditionalFormatting>
  <conditionalFormatting sqref="C108:C110">
    <cfRule type="cellIs" dxfId="17541" priority="6860" stopIfTrue="1" operator="equal">
      <formula>"Napkin Hs"</formula>
    </cfRule>
  </conditionalFormatting>
  <conditionalFormatting sqref="C108:C110">
    <cfRule type="cellIs" dxfId="17540" priority="6859" stopIfTrue="1" operator="equal">
      <formula>"Towel"</formula>
    </cfRule>
  </conditionalFormatting>
  <conditionalFormatting sqref="B108:C110">
    <cfRule type="cellIs" dxfId="17539" priority="6817" stopIfTrue="1" operator="equal">
      <formula>"Towel"</formula>
    </cfRule>
    <cfRule type="cellIs" dxfId="17538" priority="6818" stopIfTrue="1" operator="equal">
      <formula>"Napkin Hs"</formula>
    </cfRule>
  </conditionalFormatting>
  <conditionalFormatting sqref="C108:C110">
    <cfRule type="cellIs" dxfId="17537" priority="6815" stopIfTrue="1" operator="equal">
      <formula>"Towel"</formula>
    </cfRule>
    <cfRule type="cellIs" dxfId="17536" priority="6816" stopIfTrue="1" operator="equal">
      <formula>"Napkin Hs"</formula>
    </cfRule>
  </conditionalFormatting>
  <conditionalFormatting sqref="C108:C110">
    <cfRule type="cellIs" dxfId="17535" priority="6813" stopIfTrue="1" operator="equal">
      <formula>"Towel"</formula>
    </cfRule>
    <cfRule type="cellIs" dxfId="17534" priority="6814" stopIfTrue="1" operator="equal">
      <formula>"Napkin Hs"</formula>
    </cfRule>
  </conditionalFormatting>
  <conditionalFormatting sqref="B108:C110">
    <cfRule type="cellIs" dxfId="17533" priority="6797" stopIfTrue="1" operator="equal">
      <formula>"Towel"</formula>
    </cfRule>
    <cfRule type="cellIs" dxfId="17532" priority="6798" stopIfTrue="1" operator="equal">
      <formula>"Napkin Hs"</formula>
    </cfRule>
  </conditionalFormatting>
  <conditionalFormatting sqref="C108:C110">
    <cfRule type="cellIs" dxfId="17531" priority="6799" stopIfTrue="1" operator="equal">
      <formula>"Towel"</formula>
    </cfRule>
    <cfRule type="cellIs" dxfId="17530" priority="6800" stopIfTrue="1" operator="equal">
      <formula>"Napkin Hs"</formula>
    </cfRule>
  </conditionalFormatting>
  <conditionalFormatting sqref="C108:C110">
    <cfRule type="cellIs" dxfId="17529" priority="6795" stopIfTrue="1" operator="equal">
      <formula>"Towel"</formula>
    </cfRule>
    <cfRule type="cellIs" dxfId="17528" priority="6796" stopIfTrue="1" operator="equal">
      <formula>"Napkin Hs"</formula>
    </cfRule>
  </conditionalFormatting>
  <conditionalFormatting sqref="B108:C110">
    <cfRule type="cellIs" dxfId="17527" priority="6793" stopIfTrue="1" operator="equal">
      <formula>"Towel"</formula>
    </cfRule>
    <cfRule type="cellIs" dxfId="17526" priority="6794" stopIfTrue="1" operator="equal">
      <formula>"Napkin Hs"</formula>
    </cfRule>
  </conditionalFormatting>
  <conditionalFormatting sqref="C108:C110">
    <cfRule type="cellIs" dxfId="17525" priority="6789" stopIfTrue="1" operator="equal">
      <formula>"Towel"</formula>
    </cfRule>
    <cfRule type="cellIs" dxfId="17524" priority="6790" stopIfTrue="1" operator="equal">
      <formula>"Napkin Hs"</formula>
    </cfRule>
  </conditionalFormatting>
  <conditionalFormatting sqref="C108:C110">
    <cfRule type="cellIs" dxfId="17523" priority="6791" stopIfTrue="1" operator="equal">
      <formula>"Towel"</formula>
    </cfRule>
    <cfRule type="cellIs" dxfId="17522" priority="6792" stopIfTrue="1" operator="equal">
      <formula>"Napkin Hs"</formula>
    </cfRule>
  </conditionalFormatting>
  <conditionalFormatting sqref="B108:C110">
    <cfRule type="cellIs" dxfId="17521" priority="6785" stopIfTrue="1" operator="equal">
      <formula>"Towel"</formula>
    </cfRule>
    <cfRule type="cellIs" dxfId="17520" priority="6786" stopIfTrue="1" operator="equal">
      <formula>"Napkin Hs"</formula>
    </cfRule>
  </conditionalFormatting>
  <conditionalFormatting sqref="C108:C110">
    <cfRule type="cellIs" dxfId="17519" priority="6787" stopIfTrue="1" operator="equal">
      <formula>"Towel"</formula>
    </cfRule>
    <cfRule type="cellIs" dxfId="17518" priority="6788" stopIfTrue="1" operator="equal">
      <formula>"Napkin Hs"</formula>
    </cfRule>
  </conditionalFormatting>
  <conditionalFormatting sqref="C108:C110">
    <cfRule type="cellIs" dxfId="17517" priority="6783" stopIfTrue="1" operator="equal">
      <formula>"Towel"</formula>
    </cfRule>
    <cfRule type="cellIs" dxfId="17516" priority="6784" stopIfTrue="1" operator="equal">
      <formula>"Napkin Hs"</formula>
    </cfRule>
  </conditionalFormatting>
  <conditionalFormatting sqref="B108:C110">
    <cfRule type="cellIs" dxfId="17515" priority="6781" stopIfTrue="1" operator="equal">
      <formula>"Towel"</formula>
    </cfRule>
    <cfRule type="cellIs" dxfId="17514" priority="6782" stopIfTrue="1" operator="equal">
      <formula>"Napkin Hs"</formula>
    </cfRule>
  </conditionalFormatting>
  <conditionalFormatting sqref="C108:C110">
    <cfRule type="cellIs" dxfId="17513" priority="6777" stopIfTrue="1" operator="equal">
      <formula>"Towel"</formula>
    </cfRule>
    <cfRule type="cellIs" dxfId="17512" priority="6778" stopIfTrue="1" operator="equal">
      <formula>"Napkin Hs"</formula>
    </cfRule>
  </conditionalFormatting>
  <conditionalFormatting sqref="C108:C110">
    <cfRule type="cellIs" dxfId="17511" priority="6779" stopIfTrue="1" operator="equal">
      <formula>"Towel"</formula>
    </cfRule>
    <cfRule type="cellIs" dxfId="17510" priority="6780" stopIfTrue="1" operator="equal">
      <formula>"Napkin Hs"</formula>
    </cfRule>
  </conditionalFormatting>
  <conditionalFormatting sqref="B116:C116">
    <cfRule type="cellIs" dxfId="17509" priority="6775" stopIfTrue="1" operator="equal">
      <formula>"Towel"</formula>
    </cfRule>
    <cfRule type="cellIs" dxfId="17508" priority="6776" stopIfTrue="1" operator="equal">
      <formula>"Napkin Hs"</formula>
    </cfRule>
  </conditionalFormatting>
  <conditionalFormatting sqref="C116">
    <cfRule type="cellIs" dxfId="17507" priority="6771" stopIfTrue="1" operator="equal">
      <formula>"Towel"</formula>
    </cfRule>
    <cfRule type="cellIs" dxfId="17506" priority="6772" stopIfTrue="1" operator="equal">
      <formula>"Napkin Hs"</formula>
    </cfRule>
  </conditionalFormatting>
  <conditionalFormatting sqref="C116">
    <cfRule type="cellIs" dxfId="17505" priority="6773" stopIfTrue="1" operator="equal">
      <formula>"Towel"</formula>
    </cfRule>
    <cfRule type="cellIs" dxfId="17504" priority="6774" stopIfTrue="1" operator="equal">
      <formula>"Napkin Hs"</formula>
    </cfRule>
  </conditionalFormatting>
  <conditionalFormatting sqref="B116:C116">
    <cfRule type="cellIs" dxfId="17503" priority="6769" stopIfTrue="1" operator="equal">
      <formula>"Towel"</formula>
    </cfRule>
    <cfRule type="cellIs" dxfId="17502" priority="6770" stopIfTrue="1" operator="equal">
      <formula>"Napkin Hs"</formula>
    </cfRule>
  </conditionalFormatting>
  <conditionalFormatting sqref="C116">
    <cfRule type="cellIs" dxfId="17501" priority="6767" stopIfTrue="1" operator="equal">
      <formula>"Towel"</formula>
    </cfRule>
    <cfRule type="cellIs" dxfId="17500" priority="6768" stopIfTrue="1" operator="equal">
      <formula>"Napkin Hs"</formula>
    </cfRule>
  </conditionalFormatting>
  <conditionalFormatting sqref="C116">
    <cfRule type="cellIs" dxfId="17499" priority="6765" stopIfTrue="1" operator="equal">
      <formula>"Towel"</formula>
    </cfRule>
    <cfRule type="cellIs" dxfId="17498" priority="6766" stopIfTrue="1" operator="equal">
      <formula>"Napkin Hs"</formula>
    </cfRule>
  </conditionalFormatting>
  <conditionalFormatting sqref="C116">
    <cfRule type="cellIs" dxfId="17497" priority="6757" stopIfTrue="1" operator="equal">
      <formula>"Towel"</formula>
    </cfRule>
    <cfRule type="cellIs" dxfId="17496" priority="6758" stopIfTrue="1" operator="equal">
      <formula>"Napkin Hs"</formula>
    </cfRule>
  </conditionalFormatting>
  <conditionalFormatting sqref="B116:C116">
    <cfRule type="cellIs" dxfId="17495" priority="6759" stopIfTrue="1" operator="equal">
      <formula>"Towel"</formula>
    </cfRule>
    <cfRule type="cellIs" dxfId="17494" priority="6760" stopIfTrue="1" operator="equal">
      <formula>"Napkin Hs"</formula>
    </cfRule>
  </conditionalFormatting>
  <conditionalFormatting sqref="C116">
    <cfRule type="cellIs" dxfId="17493" priority="6755" stopIfTrue="1" operator="equal">
      <formula>"Towel"</formula>
    </cfRule>
    <cfRule type="cellIs" dxfId="17492" priority="6756" stopIfTrue="1" operator="equal">
      <formula>"Napkin Hs"</formula>
    </cfRule>
  </conditionalFormatting>
  <conditionalFormatting sqref="B116:C116">
    <cfRule type="cellIs" dxfId="17491" priority="6753" stopIfTrue="1" operator="equal">
      <formula>"Towel"</formula>
    </cfRule>
    <cfRule type="cellIs" dxfId="17490" priority="6754" stopIfTrue="1" operator="equal">
      <formula>"Napkin Hs"</formula>
    </cfRule>
  </conditionalFormatting>
  <conditionalFormatting sqref="C116">
    <cfRule type="cellIs" dxfId="17489" priority="6761" stopIfTrue="1" operator="equal">
      <formula>"Towel"</formula>
    </cfRule>
    <cfRule type="cellIs" dxfId="17488" priority="6762" stopIfTrue="1" operator="equal">
      <formula>"Napkin Hs"</formula>
    </cfRule>
  </conditionalFormatting>
  <conditionalFormatting sqref="C116">
    <cfRule type="cellIs" dxfId="17487" priority="6763" stopIfTrue="1" operator="equal">
      <formula>"Towel"</formula>
    </cfRule>
    <cfRule type="cellIs" dxfId="17486" priority="6764" stopIfTrue="1" operator="equal">
      <formula>"Napkin Hs"</formula>
    </cfRule>
  </conditionalFormatting>
  <conditionalFormatting sqref="C114:C115">
    <cfRule type="cellIs" dxfId="17485" priority="6745" stopIfTrue="1" operator="equal">
      <formula>"Towel"</formula>
    </cfRule>
    <cfRule type="cellIs" dxfId="17484" priority="6746" stopIfTrue="1" operator="equal">
      <formula>"Napkin Hs"</formula>
    </cfRule>
  </conditionalFormatting>
  <conditionalFormatting sqref="C114:C115">
    <cfRule type="cellIs" dxfId="17483" priority="6743" stopIfTrue="1" operator="equal">
      <formula>"Towel"</formula>
    </cfRule>
    <cfRule type="cellIs" dxfId="17482" priority="6744" stopIfTrue="1" operator="equal">
      <formula>"Napkin Hs"</formula>
    </cfRule>
  </conditionalFormatting>
  <conditionalFormatting sqref="B114:C115">
    <cfRule type="cellIs" dxfId="17481" priority="6741" stopIfTrue="1" operator="equal">
      <formula>"Towel"</formula>
    </cfRule>
    <cfRule type="cellIs" dxfId="17480" priority="6742" stopIfTrue="1" operator="equal">
      <formula>"Napkin Hs"</formula>
    </cfRule>
  </conditionalFormatting>
  <conditionalFormatting sqref="B114:C115">
    <cfRule type="cellIs" dxfId="17479" priority="6751" stopIfTrue="1" operator="equal">
      <formula>"Towel"</formula>
    </cfRule>
    <cfRule type="cellIs" dxfId="17478" priority="6752" stopIfTrue="1" operator="equal">
      <formula>"Napkin Hs"</formula>
    </cfRule>
  </conditionalFormatting>
  <conditionalFormatting sqref="C114:C115">
    <cfRule type="cellIs" dxfId="17477" priority="6749" stopIfTrue="1" operator="equal">
      <formula>"Towel"</formula>
    </cfRule>
    <cfRule type="cellIs" dxfId="17476" priority="6750" stopIfTrue="1" operator="equal">
      <formula>"Napkin Hs"</formula>
    </cfRule>
  </conditionalFormatting>
  <conditionalFormatting sqref="C114:C115">
    <cfRule type="cellIs" dxfId="17475" priority="6747" stopIfTrue="1" operator="equal">
      <formula>"Towel"</formula>
    </cfRule>
    <cfRule type="cellIs" dxfId="17474" priority="6748" stopIfTrue="1" operator="equal">
      <formula>"Napkin Hs"</formula>
    </cfRule>
  </conditionalFormatting>
  <conditionalFormatting sqref="C114:C115">
    <cfRule type="cellIs" dxfId="17473" priority="6739" stopIfTrue="1" operator="equal">
      <formula>"Towel"</formula>
    </cfRule>
    <cfRule type="cellIs" dxfId="17472" priority="6740" stopIfTrue="1" operator="equal">
      <formula>"Napkin Hs"</formula>
    </cfRule>
  </conditionalFormatting>
  <conditionalFormatting sqref="C114:C115">
    <cfRule type="cellIs" dxfId="17471" priority="6737" stopIfTrue="1" operator="equal">
      <formula>"Towel"</formula>
    </cfRule>
    <cfRule type="cellIs" dxfId="17470" priority="6738" stopIfTrue="1" operator="equal">
      <formula>"Napkin Hs"</formula>
    </cfRule>
  </conditionalFormatting>
  <conditionalFormatting sqref="B114:C115">
    <cfRule type="cellIs" dxfId="17469" priority="6735" stopIfTrue="1" operator="equal">
      <formula>"Towel"</formula>
    </cfRule>
    <cfRule type="cellIs" dxfId="17468" priority="6736" stopIfTrue="1" operator="equal">
      <formula>"Napkin Hs"</formula>
    </cfRule>
  </conditionalFormatting>
  <conditionalFormatting sqref="B114:C114 B115">
    <cfRule type="cellIs" dxfId="17467" priority="6733" stopIfTrue="1" operator="equal">
      <formula>"Towel"</formula>
    </cfRule>
    <cfRule type="cellIs" dxfId="17466" priority="6734" stopIfTrue="1" operator="equal">
      <formula>"Napkin Hs"</formula>
    </cfRule>
  </conditionalFormatting>
  <conditionalFormatting sqref="C114">
    <cfRule type="cellIs" dxfId="17465" priority="6731" stopIfTrue="1" operator="equal">
      <formula>"Towel"</formula>
    </cfRule>
    <cfRule type="cellIs" dxfId="17464" priority="6732" stopIfTrue="1" operator="equal">
      <formula>"Napkin Hs"</formula>
    </cfRule>
  </conditionalFormatting>
  <conditionalFormatting sqref="C114">
    <cfRule type="cellIs" dxfId="17463" priority="6729" stopIfTrue="1" operator="equal">
      <formula>"Towel"</formula>
    </cfRule>
    <cfRule type="cellIs" dxfId="17462" priority="6730" stopIfTrue="1" operator="equal">
      <formula>"Napkin Hs"</formula>
    </cfRule>
  </conditionalFormatting>
  <conditionalFormatting sqref="C114">
    <cfRule type="cellIs" dxfId="17461" priority="6721" stopIfTrue="1" operator="equal">
      <formula>"Towel"</formula>
    </cfRule>
    <cfRule type="cellIs" dxfId="17460" priority="6722" stopIfTrue="1" operator="equal">
      <formula>"Napkin Hs"</formula>
    </cfRule>
  </conditionalFormatting>
  <conditionalFormatting sqref="B114:C114 B115">
    <cfRule type="cellIs" dxfId="17459" priority="6723" stopIfTrue="1" operator="equal">
      <formula>"Towel"</formula>
    </cfRule>
    <cfRule type="cellIs" dxfId="17458" priority="6724" stopIfTrue="1" operator="equal">
      <formula>"Napkin Hs"</formula>
    </cfRule>
  </conditionalFormatting>
  <conditionalFormatting sqref="C114">
    <cfRule type="cellIs" dxfId="17457" priority="6719" stopIfTrue="1" operator="equal">
      <formula>"Towel"</formula>
    </cfRule>
    <cfRule type="cellIs" dxfId="17456" priority="6720" stopIfTrue="1" operator="equal">
      <formula>"Napkin Hs"</formula>
    </cfRule>
  </conditionalFormatting>
  <conditionalFormatting sqref="B114:C114 B115">
    <cfRule type="cellIs" dxfId="17455" priority="6717" stopIfTrue="1" operator="equal">
      <formula>"Towel"</formula>
    </cfRule>
    <cfRule type="cellIs" dxfId="17454" priority="6718" stopIfTrue="1" operator="equal">
      <formula>"Napkin Hs"</formula>
    </cfRule>
  </conditionalFormatting>
  <conditionalFormatting sqref="C114">
    <cfRule type="cellIs" dxfId="17453" priority="6725" stopIfTrue="1" operator="equal">
      <formula>"Towel"</formula>
    </cfRule>
    <cfRule type="cellIs" dxfId="17452" priority="6726" stopIfTrue="1" operator="equal">
      <formula>"Napkin Hs"</formula>
    </cfRule>
  </conditionalFormatting>
  <conditionalFormatting sqref="C114">
    <cfRule type="cellIs" dxfId="17451" priority="6727" stopIfTrue="1" operator="equal">
      <formula>"Towel"</formula>
    </cfRule>
    <cfRule type="cellIs" dxfId="17450" priority="6728" stopIfTrue="1" operator="equal">
      <formula>"Napkin Hs"</formula>
    </cfRule>
  </conditionalFormatting>
  <conditionalFormatting sqref="B115:C115">
    <cfRule type="cellIs" dxfId="17449" priority="6715" stopIfTrue="1" operator="equal">
      <formula>"Towel"</formula>
    </cfRule>
    <cfRule type="cellIs" dxfId="17448" priority="6716" stopIfTrue="1" operator="equal">
      <formula>"Napkin Hs"</formula>
    </cfRule>
  </conditionalFormatting>
  <conditionalFormatting sqref="C115">
    <cfRule type="cellIs" dxfId="17447" priority="6713" stopIfTrue="1" operator="equal">
      <formula>"Towel"</formula>
    </cfRule>
    <cfRule type="cellIs" dxfId="17446" priority="6714" stopIfTrue="1" operator="equal">
      <formula>"Napkin Hs"</formula>
    </cfRule>
  </conditionalFormatting>
  <conditionalFormatting sqref="C115">
    <cfRule type="cellIs" dxfId="17445" priority="6711" stopIfTrue="1" operator="equal">
      <formula>"Towel"</formula>
    </cfRule>
    <cfRule type="cellIs" dxfId="17444" priority="6712" stopIfTrue="1" operator="equal">
      <formula>"Napkin Hs"</formula>
    </cfRule>
  </conditionalFormatting>
  <conditionalFormatting sqref="C115">
    <cfRule type="cellIs" dxfId="17443" priority="6703" stopIfTrue="1" operator="equal">
      <formula>"Towel"</formula>
    </cfRule>
    <cfRule type="cellIs" dxfId="17442" priority="6704" stopIfTrue="1" operator="equal">
      <formula>"Napkin Hs"</formula>
    </cfRule>
  </conditionalFormatting>
  <conditionalFormatting sqref="B115:C115">
    <cfRule type="cellIs" dxfId="17441" priority="6705" stopIfTrue="1" operator="equal">
      <formula>"Towel"</formula>
    </cfRule>
    <cfRule type="cellIs" dxfId="17440" priority="6706" stopIfTrue="1" operator="equal">
      <formula>"Napkin Hs"</formula>
    </cfRule>
  </conditionalFormatting>
  <conditionalFormatting sqref="C115">
    <cfRule type="cellIs" dxfId="17439" priority="6701" stopIfTrue="1" operator="equal">
      <formula>"Towel"</formula>
    </cfRule>
    <cfRule type="cellIs" dxfId="17438" priority="6702" stopIfTrue="1" operator="equal">
      <formula>"Napkin Hs"</formula>
    </cfRule>
  </conditionalFormatting>
  <conditionalFormatting sqref="B115:C115">
    <cfRule type="cellIs" dxfId="17437" priority="6699" stopIfTrue="1" operator="equal">
      <formula>"Towel"</formula>
    </cfRule>
    <cfRule type="cellIs" dxfId="17436" priority="6700" stopIfTrue="1" operator="equal">
      <formula>"Napkin Hs"</formula>
    </cfRule>
  </conditionalFormatting>
  <conditionalFormatting sqref="C115">
    <cfRule type="cellIs" dxfId="17435" priority="6707" stopIfTrue="1" operator="equal">
      <formula>"Towel"</formula>
    </cfRule>
    <cfRule type="cellIs" dxfId="17434" priority="6708" stopIfTrue="1" operator="equal">
      <formula>"Napkin Hs"</formula>
    </cfRule>
  </conditionalFormatting>
  <conditionalFormatting sqref="C115">
    <cfRule type="cellIs" dxfId="17433" priority="6709" stopIfTrue="1" operator="equal">
      <formula>"Towel"</formula>
    </cfRule>
    <cfRule type="cellIs" dxfId="17432" priority="6710" stopIfTrue="1" operator="equal">
      <formula>"Napkin Hs"</formula>
    </cfRule>
  </conditionalFormatting>
  <conditionalFormatting sqref="B114:C115">
    <cfRule type="cellIs" dxfId="17431" priority="6695" stopIfTrue="1" operator="equal">
      <formula>"Towel"</formula>
    </cfRule>
    <cfRule type="cellIs" dxfId="17430" priority="6696" stopIfTrue="1" operator="equal">
      <formula>"Napkin Hs"</formula>
    </cfRule>
  </conditionalFormatting>
  <conditionalFormatting sqref="C114:C115">
    <cfRule type="cellIs" dxfId="17429" priority="6697" stopIfTrue="1" operator="equal">
      <formula>"Towel"</formula>
    </cfRule>
    <cfRule type="cellIs" dxfId="17428" priority="6698" stopIfTrue="1" operator="equal">
      <formula>"Napkin Hs"</formula>
    </cfRule>
  </conditionalFormatting>
  <conditionalFormatting sqref="C114:C115">
    <cfRule type="cellIs" dxfId="17427" priority="6693" stopIfTrue="1" operator="equal">
      <formula>"Towel"</formula>
    </cfRule>
    <cfRule type="cellIs" dxfId="17426" priority="6694" stopIfTrue="1" operator="equal">
      <formula>"Napkin Hs"</formula>
    </cfRule>
  </conditionalFormatting>
  <conditionalFormatting sqref="C114">
    <cfRule type="cellIs" dxfId="17425" priority="6685" stopIfTrue="1" operator="equal">
      <formula>"Towel"</formula>
    </cfRule>
    <cfRule type="cellIs" dxfId="17424" priority="6686" stopIfTrue="1" operator="equal">
      <formula>"Napkin Hs"</formula>
    </cfRule>
  </conditionalFormatting>
  <conditionalFormatting sqref="C114">
    <cfRule type="cellIs" dxfId="17423" priority="6683" stopIfTrue="1" operator="equal">
      <formula>"Towel"</formula>
    </cfRule>
    <cfRule type="cellIs" dxfId="17422" priority="6684" stopIfTrue="1" operator="equal">
      <formula>"Napkin Hs"</formula>
    </cfRule>
  </conditionalFormatting>
  <conditionalFormatting sqref="B114:C114 B115">
    <cfRule type="cellIs" dxfId="17421" priority="6681" stopIfTrue="1" operator="equal">
      <formula>"Towel"</formula>
    </cfRule>
    <cfRule type="cellIs" dxfId="17420" priority="6682" stopIfTrue="1" operator="equal">
      <formula>"Napkin Hs"</formula>
    </cfRule>
  </conditionalFormatting>
  <conditionalFormatting sqref="B114:C114 B115">
    <cfRule type="cellIs" dxfId="17419" priority="6691" stopIfTrue="1" operator="equal">
      <formula>"Towel"</formula>
    </cfRule>
    <cfRule type="cellIs" dxfId="17418" priority="6692" stopIfTrue="1" operator="equal">
      <formula>"Napkin Hs"</formula>
    </cfRule>
  </conditionalFormatting>
  <conditionalFormatting sqref="C114">
    <cfRule type="cellIs" dxfId="17417" priority="6689" stopIfTrue="1" operator="equal">
      <formula>"Towel"</formula>
    </cfRule>
    <cfRule type="cellIs" dxfId="17416" priority="6690" stopIfTrue="1" operator="equal">
      <formula>"Napkin Hs"</formula>
    </cfRule>
  </conditionalFormatting>
  <conditionalFormatting sqref="C114">
    <cfRule type="cellIs" dxfId="17415" priority="6687" stopIfTrue="1" operator="equal">
      <formula>"Towel"</formula>
    </cfRule>
    <cfRule type="cellIs" dxfId="17414" priority="6688" stopIfTrue="1" operator="equal">
      <formula>"Napkin Hs"</formula>
    </cfRule>
  </conditionalFormatting>
  <conditionalFormatting sqref="C114">
    <cfRule type="cellIs" dxfId="17413" priority="6679" stopIfTrue="1" operator="equal">
      <formula>"Towel"</formula>
    </cfRule>
    <cfRule type="cellIs" dxfId="17412" priority="6680" stopIfTrue="1" operator="equal">
      <formula>"Napkin Hs"</formula>
    </cfRule>
  </conditionalFormatting>
  <conditionalFormatting sqref="C114">
    <cfRule type="cellIs" dxfId="17411" priority="6677" stopIfTrue="1" operator="equal">
      <formula>"Towel"</formula>
    </cfRule>
    <cfRule type="cellIs" dxfId="17410" priority="6678" stopIfTrue="1" operator="equal">
      <formula>"Napkin Hs"</formula>
    </cfRule>
  </conditionalFormatting>
  <conditionalFormatting sqref="B114:C114 B115">
    <cfRule type="cellIs" dxfId="17409" priority="6675" stopIfTrue="1" operator="equal">
      <formula>"Towel"</formula>
    </cfRule>
    <cfRule type="cellIs" dxfId="17408" priority="6676" stopIfTrue="1" operator="equal">
      <formula>"Napkin Hs"</formula>
    </cfRule>
  </conditionalFormatting>
  <conditionalFormatting sqref="B115:C115">
    <cfRule type="cellIs" dxfId="17407" priority="6673" stopIfTrue="1" operator="equal">
      <formula>"Towel"</formula>
    </cfRule>
    <cfRule type="cellIs" dxfId="17406" priority="6674" stopIfTrue="1" operator="equal">
      <formula>"Napkin Hs"</formula>
    </cfRule>
  </conditionalFormatting>
  <conditionalFormatting sqref="C115">
    <cfRule type="cellIs" dxfId="17405" priority="6671" stopIfTrue="1" operator="equal">
      <formula>"Towel"</formula>
    </cfRule>
    <cfRule type="cellIs" dxfId="17404" priority="6672" stopIfTrue="1" operator="equal">
      <formula>"Napkin Hs"</formula>
    </cfRule>
  </conditionalFormatting>
  <conditionalFormatting sqref="C115">
    <cfRule type="cellIs" dxfId="17403" priority="6669" stopIfTrue="1" operator="equal">
      <formula>"Towel"</formula>
    </cfRule>
    <cfRule type="cellIs" dxfId="17402" priority="6670" stopIfTrue="1" operator="equal">
      <formula>"Napkin Hs"</formula>
    </cfRule>
  </conditionalFormatting>
  <conditionalFormatting sqref="C115">
    <cfRule type="cellIs" dxfId="17401" priority="6661" stopIfTrue="1" operator="equal">
      <formula>"Towel"</formula>
    </cfRule>
    <cfRule type="cellIs" dxfId="17400" priority="6662" stopIfTrue="1" operator="equal">
      <formula>"Napkin Hs"</formula>
    </cfRule>
  </conditionalFormatting>
  <conditionalFormatting sqref="B115:C115">
    <cfRule type="cellIs" dxfId="17399" priority="6663" stopIfTrue="1" operator="equal">
      <formula>"Towel"</formula>
    </cfRule>
    <cfRule type="cellIs" dxfId="17398" priority="6664" stopIfTrue="1" operator="equal">
      <formula>"Napkin Hs"</formula>
    </cfRule>
  </conditionalFormatting>
  <conditionalFormatting sqref="C115">
    <cfRule type="cellIs" dxfId="17397" priority="6659" stopIfTrue="1" operator="equal">
      <formula>"Towel"</formula>
    </cfRule>
    <cfRule type="cellIs" dxfId="17396" priority="6660" stopIfTrue="1" operator="equal">
      <formula>"Napkin Hs"</formula>
    </cfRule>
  </conditionalFormatting>
  <conditionalFormatting sqref="B115:C115">
    <cfRule type="cellIs" dxfId="17395" priority="6657" stopIfTrue="1" operator="equal">
      <formula>"Towel"</formula>
    </cfRule>
    <cfRule type="cellIs" dxfId="17394" priority="6658" stopIfTrue="1" operator="equal">
      <formula>"Napkin Hs"</formula>
    </cfRule>
  </conditionalFormatting>
  <conditionalFormatting sqref="C115">
    <cfRule type="cellIs" dxfId="17393" priority="6665" stopIfTrue="1" operator="equal">
      <formula>"Towel"</formula>
    </cfRule>
    <cfRule type="cellIs" dxfId="17392" priority="6666" stopIfTrue="1" operator="equal">
      <formula>"Napkin Hs"</formula>
    </cfRule>
  </conditionalFormatting>
  <conditionalFormatting sqref="C115">
    <cfRule type="cellIs" dxfId="17391" priority="6667" stopIfTrue="1" operator="equal">
      <formula>"Towel"</formula>
    </cfRule>
    <cfRule type="cellIs" dxfId="17390" priority="6668" stopIfTrue="1" operator="equal">
      <formula>"Napkin Hs"</formula>
    </cfRule>
  </conditionalFormatting>
  <conditionalFormatting sqref="C115">
    <cfRule type="cellIs" dxfId="17389" priority="6653" stopIfTrue="1" operator="equal">
      <formula>"Towel"</formula>
    </cfRule>
    <cfRule type="cellIs" dxfId="17388" priority="6654" stopIfTrue="1" operator="equal">
      <formula>"Napkin Hs"</formula>
    </cfRule>
  </conditionalFormatting>
  <conditionalFormatting sqref="C115">
    <cfRule type="cellIs" dxfId="17387" priority="6655" stopIfTrue="1" operator="equal">
      <formula>"Towel"</formula>
    </cfRule>
    <cfRule type="cellIs" dxfId="17386" priority="6656" stopIfTrue="1" operator="equal">
      <formula>"Napkin Hs"</formula>
    </cfRule>
  </conditionalFormatting>
  <conditionalFormatting sqref="B115:C115">
    <cfRule type="cellIs" dxfId="17385" priority="6651" stopIfTrue="1" operator="equal">
      <formula>"Towel"</formula>
    </cfRule>
    <cfRule type="cellIs" dxfId="17384" priority="6652" stopIfTrue="1" operator="equal">
      <formula>"Napkin Hs"</formula>
    </cfRule>
  </conditionalFormatting>
  <conditionalFormatting sqref="B115:C115">
    <cfRule type="cellIs" dxfId="17383" priority="6645" stopIfTrue="1" operator="equal">
      <formula>"Towel"</formula>
    </cfRule>
    <cfRule type="cellIs" dxfId="17382" priority="6646" stopIfTrue="1" operator="equal">
      <formula>"Napkin Hs"</formula>
    </cfRule>
  </conditionalFormatting>
  <conditionalFormatting sqref="C115">
    <cfRule type="cellIs" dxfId="17381" priority="6647" stopIfTrue="1" operator="equal">
      <formula>"Towel"</formula>
    </cfRule>
    <cfRule type="cellIs" dxfId="17380" priority="6648" stopIfTrue="1" operator="equal">
      <formula>"Napkin Hs"</formula>
    </cfRule>
  </conditionalFormatting>
  <conditionalFormatting sqref="C115">
    <cfRule type="cellIs" dxfId="17379" priority="6649" stopIfTrue="1" operator="equal">
      <formula>"Towel"</formula>
    </cfRule>
    <cfRule type="cellIs" dxfId="17378" priority="6650" stopIfTrue="1" operator="equal">
      <formula>"Napkin Hs"</formula>
    </cfRule>
  </conditionalFormatting>
  <conditionalFormatting sqref="C115">
    <cfRule type="cellIs" dxfId="17377" priority="6617" stopIfTrue="1" operator="equal">
      <formula>"Towel"</formula>
    </cfRule>
    <cfRule type="cellIs" dxfId="17376" priority="6618" stopIfTrue="1" operator="equal">
      <formula>"Napkin Hs"</formula>
    </cfRule>
  </conditionalFormatting>
  <conditionalFormatting sqref="C115">
    <cfRule type="cellIs" dxfId="17375" priority="6619" stopIfTrue="1" operator="equal">
      <formula>"Towel"</formula>
    </cfRule>
    <cfRule type="cellIs" dxfId="17374" priority="6620" stopIfTrue="1" operator="equal">
      <formula>"Napkin Hs"</formula>
    </cfRule>
  </conditionalFormatting>
  <conditionalFormatting sqref="C115">
    <cfRule type="cellIs" dxfId="17373" priority="6615" stopIfTrue="1" operator="equal">
      <formula>"Towel"</formula>
    </cfRule>
    <cfRule type="cellIs" dxfId="17372" priority="6616" stopIfTrue="1" operator="equal">
      <formula>"Napkin Hs"</formula>
    </cfRule>
  </conditionalFormatting>
  <conditionalFormatting sqref="B115">
    <cfRule type="cellIs" dxfId="17371" priority="6609" stopIfTrue="1" operator="equal">
      <formula>"Towel"</formula>
    </cfRule>
    <cfRule type="cellIs" dxfId="17370" priority="6610" stopIfTrue="1" operator="equal">
      <formula>"Napkin Hs"</formula>
    </cfRule>
  </conditionalFormatting>
  <conditionalFormatting sqref="C115">
    <cfRule type="cellIs" dxfId="17369" priority="6611" stopIfTrue="1" operator="equal">
      <formula>"Towel"</formula>
    </cfRule>
    <cfRule type="cellIs" dxfId="17368" priority="6612" stopIfTrue="1" operator="equal">
      <formula>"Napkin Hs"</formula>
    </cfRule>
  </conditionalFormatting>
  <conditionalFormatting sqref="C115">
    <cfRule type="cellIs" dxfId="17367" priority="6613" stopIfTrue="1" operator="equal">
      <formula>"Towel"</formula>
    </cfRule>
    <cfRule type="cellIs" dxfId="17366" priority="6614" stopIfTrue="1" operator="equal">
      <formula>"Napkin Hs"</formula>
    </cfRule>
  </conditionalFormatting>
  <conditionalFormatting sqref="B115:C115">
    <cfRule type="cellIs" dxfId="17365" priority="6563" stopIfTrue="1" operator="equal">
      <formula>"Towel"</formula>
    </cfRule>
    <cfRule type="cellIs" dxfId="17364" priority="6564" stopIfTrue="1" operator="equal">
      <formula>"Napkin Hs"</formula>
    </cfRule>
  </conditionalFormatting>
  <conditionalFormatting sqref="C115">
    <cfRule type="cellIs" dxfId="17363" priority="6565" stopIfTrue="1" operator="equal">
      <formula>"Towel"</formula>
    </cfRule>
    <cfRule type="cellIs" dxfId="17362" priority="6566" stopIfTrue="1" operator="equal">
      <formula>"Napkin Hs"</formula>
    </cfRule>
  </conditionalFormatting>
  <conditionalFormatting sqref="C115">
    <cfRule type="cellIs" dxfId="17361" priority="6561" stopIfTrue="1" operator="equal">
      <formula>"Towel"</formula>
    </cfRule>
    <cfRule type="cellIs" dxfId="17360" priority="6562" stopIfTrue="1" operator="equal">
      <formula>"Napkin Hs"</formula>
    </cfRule>
  </conditionalFormatting>
  <conditionalFormatting sqref="C115">
    <cfRule type="cellIs" dxfId="17359" priority="6559" stopIfTrue="1" operator="equal">
      <formula>"Towel"</formula>
    </cfRule>
    <cfRule type="cellIs" dxfId="17358" priority="6560" stopIfTrue="1" operator="equal">
      <formula>"Napkin Hs"</formula>
    </cfRule>
  </conditionalFormatting>
  <conditionalFormatting sqref="B115">
    <cfRule type="cellIs" dxfId="17357" priority="6607" stopIfTrue="1" operator="equal">
      <formula>"Towel"</formula>
    </cfRule>
    <cfRule type="cellIs" dxfId="17356" priority="6608" stopIfTrue="1" operator="equal">
      <formula>"Napkin Hs"</formula>
    </cfRule>
  </conditionalFormatting>
  <conditionalFormatting sqref="C115">
    <cfRule type="cellIs" dxfId="17355" priority="6603" stopIfTrue="1" operator="equal">
      <formula>"Towel"</formula>
    </cfRule>
    <cfRule type="cellIs" dxfId="17354" priority="6604" stopIfTrue="1" operator="equal">
      <formula>"Napkin Hs"</formula>
    </cfRule>
  </conditionalFormatting>
  <conditionalFormatting sqref="C115">
    <cfRule type="cellIs" dxfId="17353" priority="6597" stopIfTrue="1" operator="equal">
      <formula>"Towel"</formula>
    </cfRule>
    <cfRule type="cellIs" dxfId="17352" priority="6598" stopIfTrue="1" operator="equal">
      <formula>"Napkin Hs"</formula>
    </cfRule>
  </conditionalFormatting>
  <conditionalFormatting sqref="C115">
    <cfRule type="cellIs" dxfId="17351" priority="6601" stopIfTrue="1" operator="equal">
      <formula>"Towel"</formula>
    </cfRule>
    <cfRule type="cellIs" dxfId="17350" priority="6602" stopIfTrue="1" operator="equal">
      <formula>"Napkin Hs"</formula>
    </cfRule>
  </conditionalFormatting>
  <conditionalFormatting sqref="B115:C115">
    <cfRule type="cellIs" dxfId="17349" priority="6599" stopIfTrue="1" operator="equal">
      <formula>"Towel"</formula>
    </cfRule>
    <cfRule type="cellIs" dxfId="17348" priority="6600" stopIfTrue="1" operator="equal">
      <formula>"Napkin Hs"</formula>
    </cfRule>
  </conditionalFormatting>
  <conditionalFormatting sqref="C115">
    <cfRule type="cellIs" dxfId="17347" priority="6591" stopIfTrue="1" operator="equal">
      <formula>"Towel"</formula>
    </cfRule>
    <cfRule type="cellIs" dxfId="17346" priority="6592" stopIfTrue="1" operator="equal">
      <formula>"Napkin Hs"</formula>
    </cfRule>
  </conditionalFormatting>
  <conditionalFormatting sqref="C115">
    <cfRule type="cellIs" dxfId="17345" priority="6593" stopIfTrue="1" operator="equal">
      <formula>"Towel"</formula>
    </cfRule>
    <cfRule type="cellIs" dxfId="17344" priority="6594" stopIfTrue="1" operator="equal">
      <formula>"Napkin Hs"</formula>
    </cfRule>
  </conditionalFormatting>
  <conditionalFormatting sqref="C115">
    <cfRule type="cellIs" dxfId="17343" priority="6595" stopIfTrue="1" operator="equal">
      <formula>"Towel"</formula>
    </cfRule>
    <cfRule type="cellIs" dxfId="17342" priority="6596" stopIfTrue="1" operator="equal">
      <formula>"Napkin Hs"</formula>
    </cfRule>
  </conditionalFormatting>
  <conditionalFormatting sqref="C115">
    <cfRule type="cellIs" dxfId="17341" priority="6585" stopIfTrue="1" operator="equal">
      <formula>"Towel"</formula>
    </cfRule>
    <cfRule type="cellIs" dxfId="17340" priority="6586" stopIfTrue="1" operator="equal">
      <formula>"Napkin Hs"</formula>
    </cfRule>
  </conditionalFormatting>
  <conditionalFormatting sqref="B115:C115">
    <cfRule type="cellIs" dxfId="17339" priority="6589" stopIfTrue="1" operator="equal">
      <formula>"Towel"</formula>
    </cfRule>
    <cfRule type="cellIs" dxfId="17338" priority="6590" stopIfTrue="1" operator="equal">
      <formula>"Napkin Hs"</formula>
    </cfRule>
  </conditionalFormatting>
  <conditionalFormatting sqref="C115">
    <cfRule type="cellIs" dxfId="17337" priority="6587" stopIfTrue="1" operator="equal">
      <formula>"Towel"</formula>
    </cfRule>
    <cfRule type="cellIs" dxfId="17336" priority="6588" stopIfTrue="1" operator="equal">
      <formula>"Napkin Hs"</formula>
    </cfRule>
  </conditionalFormatting>
  <conditionalFormatting sqref="B115:C115">
    <cfRule type="cellIs" dxfId="17335" priority="6579" stopIfTrue="1" operator="equal">
      <formula>"Towel"</formula>
    </cfRule>
    <cfRule type="cellIs" dxfId="17334" priority="6580" stopIfTrue="1" operator="equal">
      <formula>"Napkin Hs"</formula>
    </cfRule>
  </conditionalFormatting>
  <conditionalFormatting sqref="C115">
    <cfRule type="cellIs" dxfId="17333" priority="6581" stopIfTrue="1" operator="equal">
      <formula>"Towel"</formula>
    </cfRule>
    <cfRule type="cellIs" dxfId="17332" priority="6582" stopIfTrue="1" operator="equal">
      <formula>"Napkin Hs"</formula>
    </cfRule>
  </conditionalFormatting>
  <conditionalFormatting sqref="B115:C115">
    <cfRule type="cellIs" dxfId="17331" priority="6583" stopIfTrue="1" operator="equal">
      <formula>"Towel"</formula>
    </cfRule>
    <cfRule type="cellIs" dxfId="17330" priority="6584" stopIfTrue="1" operator="equal">
      <formula>"Napkin Hs"</formula>
    </cfRule>
  </conditionalFormatting>
  <conditionalFormatting sqref="C115">
    <cfRule type="cellIs" dxfId="17329" priority="6577" stopIfTrue="1" operator="equal">
      <formula>"Towel"</formula>
    </cfRule>
    <cfRule type="cellIs" dxfId="17328" priority="6578" stopIfTrue="1" operator="equal">
      <formula>"Napkin Hs"</formula>
    </cfRule>
  </conditionalFormatting>
  <conditionalFormatting sqref="C115">
    <cfRule type="cellIs" dxfId="17327" priority="6573" stopIfTrue="1" operator="equal">
      <formula>"Towel"</formula>
    </cfRule>
    <cfRule type="cellIs" dxfId="17326" priority="6574" stopIfTrue="1" operator="equal">
      <formula>"Napkin Hs"</formula>
    </cfRule>
  </conditionalFormatting>
  <conditionalFormatting sqref="B115:C115">
    <cfRule type="cellIs" dxfId="17325" priority="6575" stopIfTrue="1" operator="equal">
      <formula>"Towel"</formula>
    </cfRule>
    <cfRule type="cellIs" dxfId="17324" priority="6576" stopIfTrue="1" operator="equal">
      <formula>"Napkin Hs"</formula>
    </cfRule>
  </conditionalFormatting>
  <conditionalFormatting sqref="C115">
    <cfRule type="cellIs" dxfId="17323" priority="6571" stopIfTrue="1" operator="equal">
      <formula>"Towel"</formula>
    </cfRule>
    <cfRule type="cellIs" dxfId="17322" priority="6572" stopIfTrue="1" operator="equal">
      <formula>"Napkin Hs"</formula>
    </cfRule>
  </conditionalFormatting>
  <conditionalFormatting sqref="C115">
    <cfRule type="cellIs" dxfId="17321" priority="6569" stopIfTrue="1" operator="equal">
      <formula>"Towel"</formula>
    </cfRule>
    <cfRule type="cellIs" dxfId="17320" priority="6570" stopIfTrue="1" operator="equal">
      <formula>"Napkin Hs"</formula>
    </cfRule>
  </conditionalFormatting>
  <conditionalFormatting sqref="B115:C115">
    <cfRule type="cellIs" dxfId="17319" priority="6567" stopIfTrue="1" operator="equal">
      <formula>"Towel"</formula>
    </cfRule>
    <cfRule type="cellIs" dxfId="17318" priority="6568" stopIfTrue="1" operator="equal">
      <formula>"Napkin Hs"</formula>
    </cfRule>
  </conditionalFormatting>
  <conditionalFormatting sqref="B115:C115">
    <cfRule type="cellIs" dxfId="17317" priority="6643" stopIfTrue="1" operator="equal">
      <formula>"Towel"</formula>
    </cfRule>
    <cfRule type="cellIs" dxfId="17316" priority="6644" stopIfTrue="1" operator="equal">
      <formula>"Napkin Hs"</formula>
    </cfRule>
  </conditionalFormatting>
  <conditionalFormatting sqref="C115">
    <cfRule type="cellIs" dxfId="17315" priority="6639" stopIfTrue="1" operator="equal">
      <formula>"Towel"</formula>
    </cfRule>
    <cfRule type="cellIs" dxfId="17314" priority="6640" stopIfTrue="1" operator="equal">
      <formula>"Napkin Hs"</formula>
    </cfRule>
  </conditionalFormatting>
  <conditionalFormatting sqref="C115">
    <cfRule type="cellIs" dxfId="17313" priority="6642" stopIfTrue="1" operator="equal">
      <formula>"Napkin Hs"</formula>
    </cfRule>
  </conditionalFormatting>
  <conditionalFormatting sqref="C115">
    <cfRule type="cellIs" dxfId="17312" priority="6641" stopIfTrue="1" operator="equal">
      <formula>"Towel"</formula>
    </cfRule>
  </conditionalFormatting>
  <conditionalFormatting sqref="C115">
    <cfRule type="cellIs" dxfId="17311" priority="6633" stopIfTrue="1" operator="equal">
      <formula>"Towel"</formula>
    </cfRule>
    <cfRule type="cellIs" dxfId="17310" priority="6634" stopIfTrue="1" operator="equal">
      <formula>"Napkin Hs"</formula>
    </cfRule>
  </conditionalFormatting>
  <conditionalFormatting sqref="C115">
    <cfRule type="cellIs" dxfId="17309" priority="6637" stopIfTrue="1" operator="equal">
      <formula>"Towel"</formula>
    </cfRule>
    <cfRule type="cellIs" dxfId="17308" priority="6638" stopIfTrue="1" operator="equal">
      <formula>"Napkin Hs"</formula>
    </cfRule>
  </conditionalFormatting>
  <conditionalFormatting sqref="B115">
    <cfRule type="cellIs" dxfId="17307" priority="6623" stopIfTrue="1" operator="equal">
      <formula>"Towel"</formula>
    </cfRule>
    <cfRule type="cellIs" dxfId="17306" priority="6624" stopIfTrue="1" operator="equal">
      <formula>"Napkin Hs"</formula>
    </cfRule>
  </conditionalFormatting>
  <conditionalFormatting sqref="C115">
    <cfRule type="cellIs" dxfId="17305" priority="6635" stopIfTrue="1" operator="equal">
      <formula>"Towel"</formula>
    </cfRule>
    <cfRule type="cellIs" dxfId="17304" priority="6636" stopIfTrue="1" operator="equal">
      <formula>"Napkin Hs"</formula>
    </cfRule>
  </conditionalFormatting>
  <conditionalFormatting sqref="C115">
    <cfRule type="cellIs" dxfId="17303" priority="6627" stopIfTrue="1" operator="equal">
      <formula>"Towel"</formula>
    </cfRule>
    <cfRule type="cellIs" dxfId="17302" priority="6628" stopIfTrue="1" operator="equal">
      <formula>"Napkin Hs"</formula>
    </cfRule>
  </conditionalFormatting>
  <conditionalFormatting sqref="C115">
    <cfRule type="cellIs" dxfId="17301" priority="6629" stopIfTrue="1" operator="equal">
      <formula>"Towel"</formula>
    </cfRule>
    <cfRule type="cellIs" dxfId="17300" priority="6630" stopIfTrue="1" operator="equal">
      <formula>"Napkin Hs"</formula>
    </cfRule>
  </conditionalFormatting>
  <conditionalFormatting sqref="C115">
    <cfRule type="cellIs" dxfId="17299" priority="6631" stopIfTrue="1" operator="equal">
      <formula>"Towel"</formula>
    </cfRule>
    <cfRule type="cellIs" dxfId="17298" priority="6632" stopIfTrue="1" operator="equal">
      <formula>"Napkin Hs"</formula>
    </cfRule>
  </conditionalFormatting>
  <conditionalFormatting sqref="B115">
    <cfRule type="cellIs" dxfId="17297" priority="6625" stopIfTrue="1" operator="equal">
      <formula>"Towel"</formula>
    </cfRule>
    <cfRule type="cellIs" dxfId="17296" priority="6626" stopIfTrue="1" operator="equal">
      <formula>"Napkin Hs"</formula>
    </cfRule>
  </conditionalFormatting>
  <conditionalFormatting sqref="C115">
    <cfRule type="cellIs" dxfId="17295" priority="6621" stopIfTrue="1" operator="equal">
      <formula>"Towel"</formula>
    </cfRule>
    <cfRule type="cellIs" dxfId="17294" priority="6622" stopIfTrue="1" operator="equal">
      <formula>"Napkin Hs"</formula>
    </cfRule>
  </conditionalFormatting>
  <conditionalFormatting sqref="B115:C115">
    <cfRule type="cellIs" dxfId="17293" priority="6605" stopIfTrue="1" operator="equal">
      <formula>"Towel"</formula>
    </cfRule>
    <cfRule type="cellIs" dxfId="17292" priority="6606" stopIfTrue="1" operator="equal">
      <formula>"Napkin Hs"</formula>
    </cfRule>
  </conditionalFormatting>
  <conditionalFormatting sqref="C114">
    <cfRule type="cellIs" dxfId="17291" priority="6555" stopIfTrue="1" operator="equal">
      <formula>"Towel"</formula>
    </cfRule>
    <cfRule type="cellIs" dxfId="17290" priority="6556" stopIfTrue="1" operator="equal">
      <formula>"Napkin Hs"</formula>
    </cfRule>
  </conditionalFormatting>
  <conditionalFormatting sqref="C114">
    <cfRule type="cellIs" dxfId="17289" priority="6557" stopIfTrue="1" operator="equal">
      <formula>"Towel"</formula>
    </cfRule>
    <cfRule type="cellIs" dxfId="17288" priority="6558" stopIfTrue="1" operator="equal">
      <formula>"Napkin Hs"</formula>
    </cfRule>
  </conditionalFormatting>
  <conditionalFormatting sqref="C114">
    <cfRule type="cellIs" dxfId="17287" priority="6551" stopIfTrue="1" operator="equal">
      <formula>"Towel"</formula>
    </cfRule>
    <cfRule type="cellIs" dxfId="17286" priority="6552" stopIfTrue="1" operator="equal">
      <formula>"Napkin Hs"</formula>
    </cfRule>
  </conditionalFormatting>
  <conditionalFormatting sqref="B114:C114 B115">
    <cfRule type="cellIs" dxfId="17285" priority="6553" stopIfTrue="1" operator="equal">
      <formula>"Towel"</formula>
    </cfRule>
    <cfRule type="cellIs" dxfId="17284" priority="6554" stopIfTrue="1" operator="equal">
      <formula>"Napkin Hs"</formula>
    </cfRule>
  </conditionalFormatting>
  <conditionalFormatting sqref="C114">
    <cfRule type="cellIs" dxfId="17283" priority="6549" stopIfTrue="1" operator="equal">
      <formula>"Towel"</formula>
    </cfRule>
    <cfRule type="cellIs" dxfId="17282" priority="6550" stopIfTrue="1" operator="equal">
      <formula>"Napkin Hs"</formula>
    </cfRule>
  </conditionalFormatting>
  <conditionalFormatting sqref="B114:C114 B115">
    <cfRule type="cellIs" dxfId="17281" priority="6547" stopIfTrue="1" operator="equal">
      <formula>"Towel"</formula>
    </cfRule>
    <cfRule type="cellIs" dxfId="17280" priority="6548" stopIfTrue="1" operator="equal">
      <formula>"Napkin Hs"</formula>
    </cfRule>
  </conditionalFormatting>
  <conditionalFormatting sqref="B114:C114 B115">
    <cfRule type="cellIs" dxfId="17279" priority="6545" stopIfTrue="1" operator="equal">
      <formula>"Towel"</formula>
    </cfRule>
    <cfRule type="cellIs" dxfId="17278" priority="6546" stopIfTrue="1" operator="equal">
      <formula>"Napkin Hs"</formula>
    </cfRule>
  </conditionalFormatting>
  <conditionalFormatting sqref="C114">
    <cfRule type="cellIs" dxfId="17277" priority="6539" stopIfTrue="1" operator="equal">
      <formula>"Towel"</formula>
    </cfRule>
    <cfRule type="cellIs" dxfId="17276" priority="6540" stopIfTrue="1" operator="equal">
      <formula>"Napkin Hs"</formula>
    </cfRule>
  </conditionalFormatting>
  <conditionalFormatting sqref="C114">
    <cfRule type="cellIs" dxfId="17275" priority="6541" stopIfTrue="1" operator="equal">
      <formula>"Towel"</formula>
    </cfRule>
    <cfRule type="cellIs" dxfId="17274" priority="6542" stopIfTrue="1" operator="equal">
      <formula>"Napkin Hs"</formula>
    </cfRule>
  </conditionalFormatting>
  <conditionalFormatting sqref="C114">
    <cfRule type="cellIs" dxfId="17273" priority="6537" stopIfTrue="1" operator="equal">
      <formula>"Towel"</formula>
    </cfRule>
    <cfRule type="cellIs" dxfId="17272" priority="6538" stopIfTrue="1" operator="equal">
      <formula>"Napkin Hs"</formula>
    </cfRule>
  </conditionalFormatting>
  <conditionalFormatting sqref="C114">
    <cfRule type="cellIs" dxfId="17271" priority="6535" stopIfTrue="1" operator="equal">
      <formula>"Towel"</formula>
    </cfRule>
    <cfRule type="cellIs" dxfId="17270" priority="6536" stopIfTrue="1" operator="equal">
      <formula>"Napkin Hs"</formula>
    </cfRule>
  </conditionalFormatting>
  <conditionalFormatting sqref="C114">
    <cfRule type="cellIs" dxfId="17269" priority="6531" stopIfTrue="1" operator="equal">
      <formula>"Towel"</formula>
    </cfRule>
    <cfRule type="cellIs" dxfId="17268" priority="6532" stopIfTrue="1" operator="equal">
      <formula>"Napkin Hs"</formula>
    </cfRule>
  </conditionalFormatting>
  <conditionalFormatting sqref="C114">
    <cfRule type="cellIs" dxfId="17267" priority="6533" stopIfTrue="1" operator="equal">
      <formula>"Towel"</formula>
    </cfRule>
    <cfRule type="cellIs" dxfId="17266" priority="6534" stopIfTrue="1" operator="equal">
      <formula>"Napkin Hs"</formula>
    </cfRule>
  </conditionalFormatting>
  <conditionalFormatting sqref="C114">
    <cfRule type="cellIs" dxfId="17265" priority="6529" stopIfTrue="1" operator="equal">
      <formula>"Towel"</formula>
    </cfRule>
    <cfRule type="cellIs" dxfId="17264" priority="6530" stopIfTrue="1" operator="equal">
      <formula>"Napkin Hs"</formula>
    </cfRule>
  </conditionalFormatting>
  <conditionalFormatting sqref="C114">
    <cfRule type="cellIs" dxfId="17263" priority="6513" stopIfTrue="1" operator="equal">
      <formula>"Towel"</formula>
    </cfRule>
    <cfRule type="cellIs" dxfId="17262" priority="6514" stopIfTrue="1" operator="equal">
      <formula>"Napkin Hs"</formula>
    </cfRule>
  </conditionalFormatting>
  <conditionalFormatting sqref="B114:B115">
    <cfRule type="cellIs" dxfId="17261" priority="6511" stopIfTrue="1" operator="equal">
      <formula>"Towel"</formula>
    </cfRule>
    <cfRule type="cellIs" dxfId="17260" priority="6512" stopIfTrue="1" operator="equal">
      <formula>"Napkin Hs"</formula>
    </cfRule>
  </conditionalFormatting>
  <conditionalFormatting sqref="B114:B115">
    <cfRule type="cellIs" dxfId="17259" priority="6527" stopIfTrue="1" operator="equal">
      <formula>"Towel"</formula>
    </cfRule>
    <cfRule type="cellIs" dxfId="17258" priority="6528" stopIfTrue="1" operator="equal">
      <formula>"Napkin Hs"</formula>
    </cfRule>
  </conditionalFormatting>
  <conditionalFormatting sqref="C114">
    <cfRule type="cellIs" dxfId="17257" priority="6523" stopIfTrue="1" operator="equal">
      <formula>"Towel"</formula>
    </cfRule>
    <cfRule type="cellIs" dxfId="17256" priority="6524" stopIfTrue="1" operator="equal">
      <formula>"Napkin Hs"</formula>
    </cfRule>
  </conditionalFormatting>
  <conditionalFormatting sqref="B114:B115">
    <cfRule type="cellIs" dxfId="17255" priority="6525" stopIfTrue="1" operator="equal">
      <formula>"Towel"</formula>
    </cfRule>
    <cfRule type="cellIs" dxfId="17254" priority="6526" stopIfTrue="1" operator="equal">
      <formula>"Napkin Hs"</formula>
    </cfRule>
  </conditionalFormatting>
  <conditionalFormatting sqref="C114">
    <cfRule type="cellIs" dxfId="17253" priority="6519" stopIfTrue="1" operator="equal">
      <formula>"Towel"</formula>
    </cfRule>
    <cfRule type="cellIs" dxfId="17252" priority="6520" stopIfTrue="1" operator="equal">
      <formula>"Napkin Hs"</formula>
    </cfRule>
  </conditionalFormatting>
  <conditionalFormatting sqref="C114">
    <cfRule type="cellIs" dxfId="17251" priority="6521" stopIfTrue="1" operator="equal">
      <formula>"Towel"</formula>
    </cfRule>
    <cfRule type="cellIs" dxfId="17250" priority="6522" stopIfTrue="1" operator="equal">
      <formula>"Napkin Hs"</formula>
    </cfRule>
  </conditionalFormatting>
  <conditionalFormatting sqref="C114">
    <cfRule type="cellIs" dxfId="17249" priority="6517" stopIfTrue="1" operator="equal">
      <formula>"Towel"</formula>
    </cfRule>
    <cfRule type="cellIs" dxfId="17248" priority="6518" stopIfTrue="1" operator="equal">
      <formula>"Napkin Hs"</formula>
    </cfRule>
  </conditionalFormatting>
  <conditionalFormatting sqref="C114">
    <cfRule type="cellIs" dxfId="17247" priority="6515" stopIfTrue="1" operator="equal">
      <formula>"Towel"</formula>
    </cfRule>
    <cfRule type="cellIs" dxfId="17246" priority="6516" stopIfTrue="1" operator="equal">
      <formula>"Napkin Hs"</formula>
    </cfRule>
  </conditionalFormatting>
  <conditionalFormatting sqref="B114:B115">
    <cfRule type="cellIs" dxfId="17245" priority="6509" stopIfTrue="1" operator="equal">
      <formula>"Towel"</formula>
    </cfRule>
    <cfRule type="cellIs" dxfId="17244" priority="6510" stopIfTrue="1" operator="equal">
      <formula>"Napkin Hs"</formula>
    </cfRule>
  </conditionalFormatting>
  <conditionalFormatting sqref="B114:C114 B115">
    <cfRule type="cellIs" dxfId="17243" priority="6507" stopIfTrue="1" operator="equal">
      <formula>"Towel"</formula>
    </cfRule>
    <cfRule type="cellIs" dxfId="17242" priority="6508" stopIfTrue="1" operator="equal">
      <formula>"Napkin Hs"</formula>
    </cfRule>
  </conditionalFormatting>
  <conditionalFormatting sqref="C114">
    <cfRule type="cellIs" dxfId="17241" priority="6505" stopIfTrue="1" operator="equal">
      <formula>"Towel"</formula>
    </cfRule>
    <cfRule type="cellIs" dxfId="17240" priority="6506" stopIfTrue="1" operator="equal">
      <formula>"Napkin Hs"</formula>
    </cfRule>
  </conditionalFormatting>
  <conditionalFormatting sqref="C114">
    <cfRule type="cellIs" dxfId="17239" priority="6503" stopIfTrue="1" operator="equal">
      <formula>"Towel"</formula>
    </cfRule>
    <cfRule type="cellIs" dxfId="17238" priority="6504" stopIfTrue="1" operator="equal">
      <formula>"Napkin Hs"</formula>
    </cfRule>
  </conditionalFormatting>
  <conditionalFormatting sqref="C114">
    <cfRule type="cellIs" dxfId="17237" priority="6493" stopIfTrue="1" operator="equal">
      <formula>"Towel"</formula>
    </cfRule>
    <cfRule type="cellIs" dxfId="17236" priority="6494" stopIfTrue="1" operator="equal">
      <formula>"Napkin Hs"</formula>
    </cfRule>
  </conditionalFormatting>
  <conditionalFormatting sqref="C114">
    <cfRule type="cellIs" dxfId="17235" priority="6495" stopIfTrue="1" operator="equal">
      <formula>"Towel"</formula>
    </cfRule>
    <cfRule type="cellIs" dxfId="17234" priority="6496" stopIfTrue="1" operator="equal">
      <formula>"Napkin Hs"</formula>
    </cfRule>
  </conditionalFormatting>
  <conditionalFormatting sqref="B114:C114 B115">
    <cfRule type="cellIs" dxfId="17233" priority="6491" stopIfTrue="1" operator="equal">
      <formula>"Towel"</formula>
    </cfRule>
    <cfRule type="cellIs" dxfId="17232" priority="6492" stopIfTrue="1" operator="equal">
      <formula>"Napkin Hs"</formula>
    </cfRule>
  </conditionalFormatting>
  <conditionalFormatting sqref="C114">
    <cfRule type="cellIs" dxfId="17231" priority="6489" stopIfTrue="1" operator="equal">
      <formula>"Towel"</formula>
    </cfRule>
    <cfRule type="cellIs" dxfId="17230" priority="6490" stopIfTrue="1" operator="equal">
      <formula>"Napkin Hs"</formula>
    </cfRule>
  </conditionalFormatting>
  <conditionalFormatting sqref="B114:C114 B115">
    <cfRule type="cellIs" dxfId="17229" priority="6485" stopIfTrue="1" operator="equal">
      <formula>"Towel"</formula>
    </cfRule>
    <cfRule type="cellIs" dxfId="17228" priority="6486" stopIfTrue="1" operator="equal">
      <formula>"Napkin Hs"</formula>
    </cfRule>
  </conditionalFormatting>
  <conditionalFormatting sqref="C114">
    <cfRule type="cellIs" dxfId="17227" priority="6487" stopIfTrue="1" operator="equal">
      <formula>"Towel"</formula>
    </cfRule>
    <cfRule type="cellIs" dxfId="17226" priority="6488" stopIfTrue="1" operator="equal">
      <formula>"Napkin Hs"</formula>
    </cfRule>
  </conditionalFormatting>
  <conditionalFormatting sqref="C114">
    <cfRule type="cellIs" dxfId="17225" priority="6544" stopIfTrue="1" operator="equal">
      <formula>"Napkin Hs"</formula>
    </cfRule>
  </conditionalFormatting>
  <conditionalFormatting sqref="C114">
    <cfRule type="cellIs" dxfId="17224" priority="6543" stopIfTrue="1" operator="equal">
      <formula>"Towel"</formula>
    </cfRule>
  </conditionalFormatting>
  <conditionalFormatting sqref="B114:C114 B115">
    <cfRule type="cellIs" dxfId="17223" priority="6501" stopIfTrue="1" operator="equal">
      <formula>"Towel"</formula>
    </cfRule>
    <cfRule type="cellIs" dxfId="17222" priority="6502" stopIfTrue="1" operator="equal">
      <formula>"Napkin Hs"</formula>
    </cfRule>
  </conditionalFormatting>
  <conditionalFormatting sqref="C114">
    <cfRule type="cellIs" dxfId="17221" priority="6499" stopIfTrue="1" operator="equal">
      <formula>"Towel"</formula>
    </cfRule>
    <cfRule type="cellIs" dxfId="17220" priority="6500" stopIfTrue="1" operator="equal">
      <formula>"Napkin Hs"</formula>
    </cfRule>
  </conditionalFormatting>
  <conditionalFormatting sqref="C114">
    <cfRule type="cellIs" dxfId="17219" priority="6497" stopIfTrue="1" operator="equal">
      <formula>"Towel"</formula>
    </cfRule>
    <cfRule type="cellIs" dxfId="17218" priority="6498" stopIfTrue="1" operator="equal">
      <formula>"Napkin Hs"</formula>
    </cfRule>
  </conditionalFormatting>
  <conditionalFormatting sqref="B114:C114 B115">
    <cfRule type="cellIs" dxfId="17217" priority="6481" stopIfTrue="1" operator="equal">
      <formula>"Towel"</formula>
    </cfRule>
    <cfRule type="cellIs" dxfId="17216" priority="6482" stopIfTrue="1" operator="equal">
      <formula>"Napkin Hs"</formula>
    </cfRule>
  </conditionalFormatting>
  <conditionalFormatting sqref="C114">
    <cfRule type="cellIs" dxfId="17215" priority="6483" stopIfTrue="1" operator="equal">
      <formula>"Towel"</formula>
    </cfRule>
    <cfRule type="cellIs" dxfId="17214" priority="6484" stopIfTrue="1" operator="equal">
      <formula>"Napkin Hs"</formula>
    </cfRule>
  </conditionalFormatting>
  <conditionalFormatting sqref="C114">
    <cfRule type="cellIs" dxfId="17213" priority="6479" stopIfTrue="1" operator="equal">
      <formula>"Towel"</formula>
    </cfRule>
    <cfRule type="cellIs" dxfId="17212" priority="6480" stopIfTrue="1" operator="equal">
      <formula>"Napkin Hs"</formula>
    </cfRule>
  </conditionalFormatting>
  <conditionalFormatting sqref="B114:C114 B115">
    <cfRule type="cellIs" dxfId="17211" priority="6477" stopIfTrue="1" operator="equal">
      <formula>"Towel"</formula>
    </cfRule>
    <cfRule type="cellIs" dxfId="17210" priority="6478" stopIfTrue="1" operator="equal">
      <formula>"Napkin Hs"</formula>
    </cfRule>
  </conditionalFormatting>
  <conditionalFormatting sqref="C114">
    <cfRule type="cellIs" dxfId="17209" priority="6473" stopIfTrue="1" operator="equal">
      <formula>"Towel"</formula>
    </cfRule>
    <cfRule type="cellIs" dxfId="17208" priority="6474" stopIfTrue="1" operator="equal">
      <formula>"Napkin Hs"</formula>
    </cfRule>
  </conditionalFormatting>
  <conditionalFormatting sqref="C114">
    <cfRule type="cellIs" dxfId="17207" priority="6475" stopIfTrue="1" operator="equal">
      <formula>"Towel"</formula>
    </cfRule>
    <cfRule type="cellIs" dxfId="17206" priority="6476" stopIfTrue="1" operator="equal">
      <formula>"Napkin Hs"</formula>
    </cfRule>
  </conditionalFormatting>
  <conditionalFormatting sqref="B114:C114 B115">
    <cfRule type="cellIs" dxfId="17205" priority="6469" stopIfTrue="1" operator="equal">
      <formula>"Towel"</formula>
    </cfRule>
    <cfRule type="cellIs" dxfId="17204" priority="6470" stopIfTrue="1" operator="equal">
      <formula>"Napkin Hs"</formula>
    </cfRule>
  </conditionalFormatting>
  <conditionalFormatting sqref="C114">
    <cfRule type="cellIs" dxfId="17203" priority="6471" stopIfTrue="1" operator="equal">
      <formula>"Towel"</formula>
    </cfRule>
    <cfRule type="cellIs" dxfId="17202" priority="6472" stopIfTrue="1" operator="equal">
      <formula>"Napkin Hs"</formula>
    </cfRule>
  </conditionalFormatting>
  <conditionalFormatting sqref="C114">
    <cfRule type="cellIs" dxfId="17201" priority="6467" stopIfTrue="1" operator="equal">
      <formula>"Towel"</formula>
    </cfRule>
    <cfRule type="cellIs" dxfId="17200" priority="6468" stopIfTrue="1" operator="equal">
      <formula>"Napkin Hs"</formula>
    </cfRule>
  </conditionalFormatting>
  <conditionalFormatting sqref="B114:C114 B115">
    <cfRule type="cellIs" dxfId="17199" priority="6465" stopIfTrue="1" operator="equal">
      <formula>"Towel"</formula>
    </cfRule>
    <cfRule type="cellIs" dxfId="17198" priority="6466" stopIfTrue="1" operator="equal">
      <formula>"Napkin Hs"</formula>
    </cfRule>
  </conditionalFormatting>
  <conditionalFormatting sqref="C114">
    <cfRule type="cellIs" dxfId="17197" priority="6461" stopIfTrue="1" operator="equal">
      <formula>"Towel"</formula>
    </cfRule>
    <cfRule type="cellIs" dxfId="17196" priority="6462" stopIfTrue="1" operator="equal">
      <formula>"Napkin Hs"</formula>
    </cfRule>
  </conditionalFormatting>
  <conditionalFormatting sqref="C114">
    <cfRule type="cellIs" dxfId="17195" priority="6463" stopIfTrue="1" operator="equal">
      <formula>"Towel"</formula>
    </cfRule>
    <cfRule type="cellIs" dxfId="17194" priority="6464" stopIfTrue="1" operator="equal">
      <formula>"Napkin Hs"</formula>
    </cfRule>
  </conditionalFormatting>
  <conditionalFormatting sqref="C114:C115">
    <cfRule type="cellIs" dxfId="17193" priority="6457" stopIfTrue="1" operator="equal">
      <formula>"Towel"</formula>
    </cfRule>
    <cfRule type="cellIs" dxfId="17192" priority="6458" stopIfTrue="1" operator="equal">
      <formula>"Napkin Hs"</formula>
    </cfRule>
  </conditionalFormatting>
  <conditionalFormatting sqref="C114:C115">
    <cfRule type="cellIs" dxfId="17191" priority="6459" stopIfTrue="1" operator="equal">
      <formula>"Towel"</formula>
    </cfRule>
    <cfRule type="cellIs" dxfId="17190" priority="6460" stopIfTrue="1" operator="equal">
      <formula>"Napkin Hs"</formula>
    </cfRule>
  </conditionalFormatting>
  <conditionalFormatting sqref="C114:C115">
    <cfRule type="cellIs" dxfId="17189" priority="6453" stopIfTrue="1" operator="equal">
      <formula>"Towel"</formula>
    </cfRule>
    <cfRule type="cellIs" dxfId="17188" priority="6454" stopIfTrue="1" operator="equal">
      <formula>"Napkin Hs"</formula>
    </cfRule>
  </conditionalFormatting>
  <conditionalFormatting sqref="B114:C115">
    <cfRule type="cellIs" dxfId="17187" priority="6455" stopIfTrue="1" operator="equal">
      <formula>"Towel"</formula>
    </cfRule>
    <cfRule type="cellIs" dxfId="17186" priority="6456" stopIfTrue="1" operator="equal">
      <formula>"Napkin Hs"</formula>
    </cfRule>
  </conditionalFormatting>
  <conditionalFormatting sqref="C114:C115">
    <cfRule type="cellIs" dxfId="17185" priority="6451" stopIfTrue="1" operator="equal">
      <formula>"Towel"</formula>
    </cfRule>
    <cfRule type="cellIs" dxfId="17184" priority="6452" stopIfTrue="1" operator="equal">
      <formula>"Napkin Hs"</formula>
    </cfRule>
  </conditionalFormatting>
  <conditionalFormatting sqref="B114:C115">
    <cfRule type="cellIs" dxfId="17183" priority="6449" stopIfTrue="1" operator="equal">
      <formula>"Towel"</formula>
    </cfRule>
    <cfRule type="cellIs" dxfId="17182" priority="6450" stopIfTrue="1" operator="equal">
      <formula>"Napkin Hs"</formula>
    </cfRule>
  </conditionalFormatting>
  <conditionalFormatting sqref="B114:C115">
    <cfRule type="cellIs" dxfId="17181" priority="6447" stopIfTrue="1" operator="equal">
      <formula>"Towel"</formula>
    </cfRule>
    <cfRule type="cellIs" dxfId="17180" priority="6448" stopIfTrue="1" operator="equal">
      <formula>"Napkin Hs"</formula>
    </cfRule>
  </conditionalFormatting>
  <conditionalFormatting sqref="C114:C115">
    <cfRule type="cellIs" dxfId="17179" priority="6441" stopIfTrue="1" operator="equal">
      <formula>"Towel"</formula>
    </cfRule>
    <cfRule type="cellIs" dxfId="17178" priority="6442" stopIfTrue="1" operator="equal">
      <formula>"Napkin Hs"</formula>
    </cfRule>
  </conditionalFormatting>
  <conditionalFormatting sqref="C114:C115">
    <cfRule type="cellIs" dxfId="17177" priority="6443" stopIfTrue="1" operator="equal">
      <formula>"Towel"</formula>
    </cfRule>
    <cfRule type="cellIs" dxfId="17176" priority="6444" stopIfTrue="1" operator="equal">
      <formula>"Napkin Hs"</formula>
    </cfRule>
  </conditionalFormatting>
  <conditionalFormatting sqref="C114:C115">
    <cfRule type="cellIs" dxfId="17175" priority="6439" stopIfTrue="1" operator="equal">
      <formula>"Towel"</formula>
    </cfRule>
    <cfRule type="cellIs" dxfId="17174" priority="6440" stopIfTrue="1" operator="equal">
      <formula>"Napkin Hs"</formula>
    </cfRule>
  </conditionalFormatting>
  <conditionalFormatting sqref="C114:C115">
    <cfRule type="cellIs" dxfId="17173" priority="6437" stopIfTrue="1" operator="equal">
      <formula>"Towel"</formula>
    </cfRule>
    <cfRule type="cellIs" dxfId="17172" priority="6438" stopIfTrue="1" operator="equal">
      <formula>"Napkin Hs"</formula>
    </cfRule>
  </conditionalFormatting>
  <conditionalFormatting sqref="C114:C115">
    <cfRule type="cellIs" dxfId="17171" priority="6433" stopIfTrue="1" operator="equal">
      <formula>"Towel"</formula>
    </cfRule>
    <cfRule type="cellIs" dxfId="17170" priority="6434" stopIfTrue="1" operator="equal">
      <formula>"Napkin Hs"</formula>
    </cfRule>
  </conditionalFormatting>
  <conditionalFormatting sqref="C114:C115">
    <cfRule type="cellIs" dxfId="17169" priority="6435" stopIfTrue="1" operator="equal">
      <formula>"Towel"</formula>
    </cfRule>
    <cfRule type="cellIs" dxfId="17168" priority="6436" stopIfTrue="1" operator="equal">
      <formula>"Napkin Hs"</formula>
    </cfRule>
  </conditionalFormatting>
  <conditionalFormatting sqref="C114:C115">
    <cfRule type="cellIs" dxfId="17167" priority="6431" stopIfTrue="1" operator="equal">
      <formula>"Towel"</formula>
    </cfRule>
    <cfRule type="cellIs" dxfId="17166" priority="6432" stopIfTrue="1" operator="equal">
      <formula>"Napkin Hs"</formula>
    </cfRule>
  </conditionalFormatting>
  <conditionalFormatting sqref="C114:C115">
    <cfRule type="cellIs" dxfId="17165" priority="6415" stopIfTrue="1" operator="equal">
      <formula>"Towel"</formula>
    </cfRule>
    <cfRule type="cellIs" dxfId="17164" priority="6416" stopIfTrue="1" operator="equal">
      <formula>"Napkin Hs"</formula>
    </cfRule>
  </conditionalFormatting>
  <conditionalFormatting sqref="B114:B115">
    <cfRule type="cellIs" dxfId="17163" priority="6413" stopIfTrue="1" operator="equal">
      <formula>"Towel"</formula>
    </cfRule>
    <cfRule type="cellIs" dxfId="17162" priority="6414" stopIfTrue="1" operator="equal">
      <formula>"Napkin Hs"</formula>
    </cfRule>
  </conditionalFormatting>
  <conditionalFormatting sqref="B114:B115">
    <cfRule type="cellIs" dxfId="17161" priority="6429" stopIfTrue="1" operator="equal">
      <formula>"Towel"</formula>
    </cfRule>
    <cfRule type="cellIs" dxfId="17160" priority="6430" stopIfTrue="1" operator="equal">
      <formula>"Napkin Hs"</formula>
    </cfRule>
  </conditionalFormatting>
  <conditionalFormatting sqref="C114:C115">
    <cfRule type="cellIs" dxfId="17159" priority="6425" stopIfTrue="1" operator="equal">
      <formula>"Towel"</formula>
    </cfRule>
    <cfRule type="cellIs" dxfId="17158" priority="6426" stopIfTrue="1" operator="equal">
      <formula>"Napkin Hs"</formula>
    </cfRule>
  </conditionalFormatting>
  <conditionalFormatting sqref="B114:B115">
    <cfRule type="cellIs" dxfId="17157" priority="6427" stopIfTrue="1" operator="equal">
      <formula>"Towel"</formula>
    </cfRule>
    <cfRule type="cellIs" dxfId="17156" priority="6428" stopIfTrue="1" operator="equal">
      <formula>"Napkin Hs"</formula>
    </cfRule>
  </conditionalFormatting>
  <conditionalFormatting sqref="C114:C115">
    <cfRule type="cellIs" dxfId="17155" priority="6421" stopIfTrue="1" operator="equal">
      <formula>"Towel"</formula>
    </cfRule>
    <cfRule type="cellIs" dxfId="17154" priority="6422" stopIfTrue="1" operator="equal">
      <formula>"Napkin Hs"</formula>
    </cfRule>
  </conditionalFormatting>
  <conditionalFormatting sqref="C114:C115">
    <cfRule type="cellIs" dxfId="17153" priority="6423" stopIfTrue="1" operator="equal">
      <formula>"Towel"</formula>
    </cfRule>
    <cfRule type="cellIs" dxfId="17152" priority="6424" stopIfTrue="1" operator="equal">
      <formula>"Napkin Hs"</formula>
    </cfRule>
  </conditionalFormatting>
  <conditionalFormatting sqref="C114:C115">
    <cfRule type="cellIs" dxfId="17151" priority="6419" stopIfTrue="1" operator="equal">
      <formula>"Towel"</formula>
    </cfRule>
    <cfRule type="cellIs" dxfId="17150" priority="6420" stopIfTrue="1" operator="equal">
      <formula>"Napkin Hs"</formula>
    </cfRule>
  </conditionalFormatting>
  <conditionalFormatting sqref="C114:C115">
    <cfRule type="cellIs" dxfId="17149" priority="6417" stopIfTrue="1" operator="equal">
      <formula>"Towel"</formula>
    </cfRule>
    <cfRule type="cellIs" dxfId="17148" priority="6418" stopIfTrue="1" operator="equal">
      <formula>"Napkin Hs"</formula>
    </cfRule>
  </conditionalFormatting>
  <conditionalFormatting sqref="B114:B115">
    <cfRule type="cellIs" dxfId="17147" priority="6411" stopIfTrue="1" operator="equal">
      <formula>"Towel"</formula>
    </cfRule>
    <cfRule type="cellIs" dxfId="17146" priority="6412" stopIfTrue="1" operator="equal">
      <formula>"Napkin Hs"</formula>
    </cfRule>
  </conditionalFormatting>
  <conditionalFormatting sqref="B114:C115">
    <cfRule type="cellIs" dxfId="17145" priority="6409" stopIfTrue="1" operator="equal">
      <formula>"Towel"</formula>
    </cfRule>
    <cfRule type="cellIs" dxfId="17144" priority="6410" stopIfTrue="1" operator="equal">
      <formula>"Napkin Hs"</formula>
    </cfRule>
  </conditionalFormatting>
  <conditionalFormatting sqref="C114:C115">
    <cfRule type="cellIs" dxfId="17143" priority="6407" stopIfTrue="1" operator="equal">
      <formula>"Towel"</formula>
    </cfRule>
    <cfRule type="cellIs" dxfId="17142" priority="6408" stopIfTrue="1" operator="equal">
      <formula>"Napkin Hs"</formula>
    </cfRule>
  </conditionalFormatting>
  <conditionalFormatting sqref="C114:C115">
    <cfRule type="cellIs" dxfId="17141" priority="6405" stopIfTrue="1" operator="equal">
      <formula>"Towel"</formula>
    </cfRule>
    <cfRule type="cellIs" dxfId="17140" priority="6406" stopIfTrue="1" operator="equal">
      <formula>"Napkin Hs"</formula>
    </cfRule>
  </conditionalFormatting>
  <conditionalFormatting sqref="C114:C115">
    <cfRule type="cellIs" dxfId="17139" priority="6395" stopIfTrue="1" operator="equal">
      <formula>"Towel"</formula>
    </cfRule>
    <cfRule type="cellIs" dxfId="17138" priority="6396" stopIfTrue="1" operator="equal">
      <formula>"Napkin Hs"</formula>
    </cfRule>
  </conditionalFormatting>
  <conditionalFormatting sqref="C114:C115">
    <cfRule type="cellIs" dxfId="17137" priority="6397" stopIfTrue="1" operator="equal">
      <formula>"Towel"</formula>
    </cfRule>
    <cfRule type="cellIs" dxfId="17136" priority="6398" stopIfTrue="1" operator="equal">
      <formula>"Napkin Hs"</formula>
    </cfRule>
  </conditionalFormatting>
  <conditionalFormatting sqref="B114:C115">
    <cfRule type="cellIs" dxfId="17135" priority="6393" stopIfTrue="1" operator="equal">
      <formula>"Towel"</formula>
    </cfRule>
    <cfRule type="cellIs" dxfId="17134" priority="6394" stopIfTrue="1" operator="equal">
      <formula>"Napkin Hs"</formula>
    </cfRule>
  </conditionalFormatting>
  <conditionalFormatting sqref="C114:C115">
    <cfRule type="cellIs" dxfId="17133" priority="6391" stopIfTrue="1" operator="equal">
      <formula>"Towel"</formula>
    </cfRule>
    <cfRule type="cellIs" dxfId="17132" priority="6392" stopIfTrue="1" operator="equal">
      <formula>"Napkin Hs"</formula>
    </cfRule>
  </conditionalFormatting>
  <conditionalFormatting sqref="B114:C115">
    <cfRule type="cellIs" dxfId="17131" priority="6387" stopIfTrue="1" operator="equal">
      <formula>"Towel"</formula>
    </cfRule>
    <cfRule type="cellIs" dxfId="17130" priority="6388" stopIfTrue="1" operator="equal">
      <formula>"Napkin Hs"</formula>
    </cfRule>
  </conditionalFormatting>
  <conditionalFormatting sqref="C114:C115">
    <cfRule type="cellIs" dxfId="17129" priority="6389" stopIfTrue="1" operator="equal">
      <formula>"Towel"</formula>
    </cfRule>
    <cfRule type="cellIs" dxfId="17128" priority="6390" stopIfTrue="1" operator="equal">
      <formula>"Napkin Hs"</formula>
    </cfRule>
  </conditionalFormatting>
  <conditionalFormatting sqref="C114:C115">
    <cfRule type="cellIs" dxfId="17127" priority="6446" stopIfTrue="1" operator="equal">
      <formula>"Napkin Hs"</formula>
    </cfRule>
  </conditionalFormatting>
  <conditionalFormatting sqref="C114:C115">
    <cfRule type="cellIs" dxfId="17126" priority="6445" stopIfTrue="1" operator="equal">
      <formula>"Towel"</formula>
    </cfRule>
  </conditionalFormatting>
  <conditionalFormatting sqref="B114:C115">
    <cfRule type="cellIs" dxfId="17125" priority="6403" stopIfTrue="1" operator="equal">
      <formula>"Towel"</formula>
    </cfRule>
    <cfRule type="cellIs" dxfId="17124" priority="6404" stopIfTrue="1" operator="equal">
      <formula>"Napkin Hs"</formula>
    </cfRule>
  </conditionalFormatting>
  <conditionalFormatting sqref="C114:C115">
    <cfRule type="cellIs" dxfId="17123" priority="6401" stopIfTrue="1" operator="equal">
      <formula>"Towel"</formula>
    </cfRule>
    <cfRule type="cellIs" dxfId="17122" priority="6402" stopIfTrue="1" operator="equal">
      <formula>"Napkin Hs"</formula>
    </cfRule>
  </conditionalFormatting>
  <conditionalFormatting sqref="C114:C115">
    <cfRule type="cellIs" dxfId="17121" priority="6399" stopIfTrue="1" operator="equal">
      <formula>"Towel"</formula>
    </cfRule>
    <cfRule type="cellIs" dxfId="17120" priority="6400" stopIfTrue="1" operator="equal">
      <formula>"Napkin Hs"</formula>
    </cfRule>
  </conditionalFormatting>
  <conditionalFormatting sqref="B114:C115">
    <cfRule type="cellIs" dxfId="17119" priority="6383" stopIfTrue="1" operator="equal">
      <formula>"Towel"</formula>
    </cfRule>
    <cfRule type="cellIs" dxfId="17118" priority="6384" stopIfTrue="1" operator="equal">
      <formula>"Napkin Hs"</formula>
    </cfRule>
  </conditionalFormatting>
  <conditionalFormatting sqref="C114:C115">
    <cfRule type="cellIs" dxfId="17117" priority="6385" stopIfTrue="1" operator="equal">
      <formula>"Towel"</formula>
    </cfRule>
    <cfRule type="cellIs" dxfId="17116" priority="6386" stopIfTrue="1" operator="equal">
      <formula>"Napkin Hs"</formula>
    </cfRule>
  </conditionalFormatting>
  <conditionalFormatting sqref="C114:C115">
    <cfRule type="cellIs" dxfId="17115" priority="6381" stopIfTrue="1" operator="equal">
      <formula>"Towel"</formula>
    </cfRule>
    <cfRule type="cellIs" dxfId="17114" priority="6382" stopIfTrue="1" operator="equal">
      <formula>"Napkin Hs"</formula>
    </cfRule>
  </conditionalFormatting>
  <conditionalFormatting sqref="B114:C115">
    <cfRule type="cellIs" dxfId="17113" priority="6379" stopIfTrue="1" operator="equal">
      <formula>"Towel"</formula>
    </cfRule>
    <cfRule type="cellIs" dxfId="17112" priority="6380" stopIfTrue="1" operator="equal">
      <formula>"Napkin Hs"</formula>
    </cfRule>
  </conditionalFormatting>
  <conditionalFormatting sqref="C114:C115">
    <cfRule type="cellIs" dxfId="17111" priority="6375" stopIfTrue="1" operator="equal">
      <formula>"Towel"</formula>
    </cfRule>
    <cfRule type="cellIs" dxfId="17110" priority="6376" stopIfTrue="1" operator="equal">
      <formula>"Napkin Hs"</formula>
    </cfRule>
  </conditionalFormatting>
  <conditionalFormatting sqref="C114:C115">
    <cfRule type="cellIs" dxfId="17109" priority="6377" stopIfTrue="1" operator="equal">
      <formula>"Towel"</formula>
    </cfRule>
    <cfRule type="cellIs" dxfId="17108" priority="6378" stopIfTrue="1" operator="equal">
      <formula>"Napkin Hs"</formula>
    </cfRule>
  </conditionalFormatting>
  <conditionalFormatting sqref="B114:C115">
    <cfRule type="cellIs" dxfId="17107" priority="6371" stopIfTrue="1" operator="equal">
      <formula>"Towel"</formula>
    </cfRule>
    <cfRule type="cellIs" dxfId="17106" priority="6372" stopIfTrue="1" operator="equal">
      <formula>"Napkin Hs"</formula>
    </cfRule>
  </conditionalFormatting>
  <conditionalFormatting sqref="C114:C115">
    <cfRule type="cellIs" dxfId="17105" priority="6373" stopIfTrue="1" operator="equal">
      <formula>"Towel"</formula>
    </cfRule>
    <cfRule type="cellIs" dxfId="17104" priority="6374" stopIfTrue="1" operator="equal">
      <formula>"Napkin Hs"</formula>
    </cfRule>
  </conditionalFormatting>
  <conditionalFormatting sqref="C114:C115">
    <cfRule type="cellIs" dxfId="17103" priority="6369" stopIfTrue="1" operator="equal">
      <formula>"Towel"</formula>
    </cfRule>
    <cfRule type="cellIs" dxfId="17102" priority="6370" stopIfTrue="1" operator="equal">
      <formula>"Napkin Hs"</formula>
    </cfRule>
  </conditionalFormatting>
  <conditionalFormatting sqref="B114:C115">
    <cfRule type="cellIs" dxfId="17101" priority="6367" stopIfTrue="1" operator="equal">
      <formula>"Towel"</formula>
    </cfRule>
    <cfRule type="cellIs" dxfId="17100" priority="6368" stopIfTrue="1" operator="equal">
      <formula>"Napkin Hs"</formula>
    </cfRule>
  </conditionalFormatting>
  <conditionalFormatting sqref="C114:C115">
    <cfRule type="cellIs" dxfId="17099" priority="6363" stopIfTrue="1" operator="equal">
      <formula>"Towel"</formula>
    </cfRule>
    <cfRule type="cellIs" dxfId="17098" priority="6364" stopIfTrue="1" operator="equal">
      <formula>"Napkin Hs"</formula>
    </cfRule>
  </conditionalFormatting>
  <conditionalFormatting sqref="C114:C115">
    <cfRule type="cellIs" dxfId="17097" priority="6365" stopIfTrue="1" operator="equal">
      <formula>"Towel"</formula>
    </cfRule>
    <cfRule type="cellIs" dxfId="17096" priority="6366" stopIfTrue="1" operator="equal">
      <formula>"Napkin Hs"</formula>
    </cfRule>
  </conditionalFormatting>
  <conditionalFormatting sqref="C113">
    <cfRule type="cellIs" dxfId="17095" priority="6355" stopIfTrue="1" operator="equal">
      <formula>"Towel"</formula>
    </cfRule>
    <cfRule type="cellIs" dxfId="17094" priority="6356" stopIfTrue="1" operator="equal">
      <formula>"Napkin Hs"</formula>
    </cfRule>
  </conditionalFormatting>
  <conditionalFormatting sqref="C113">
    <cfRule type="cellIs" dxfId="17093" priority="6353" stopIfTrue="1" operator="equal">
      <formula>"Towel"</formula>
    </cfRule>
    <cfRule type="cellIs" dxfId="17092" priority="6354" stopIfTrue="1" operator="equal">
      <formula>"Napkin Hs"</formula>
    </cfRule>
  </conditionalFormatting>
  <conditionalFormatting sqref="B113:C113">
    <cfRule type="cellIs" dxfId="17091" priority="6351" stopIfTrue="1" operator="equal">
      <formula>"Towel"</formula>
    </cfRule>
    <cfRule type="cellIs" dxfId="17090" priority="6352" stopIfTrue="1" operator="equal">
      <formula>"Napkin Hs"</formula>
    </cfRule>
  </conditionalFormatting>
  <conditionalFormatting sqref="B113:C113">
    <cfRule type="cellIs" dxfId="17089" priority="6361" stopIfTrue="1" operator="equal">
      <formula>"Towel"</formula>
    </cfRule>
    <cfRule type="cellIs" dxfId="17088" priority="6362" stopIfTrue="1" operator="equal">
      <formula>"Napkin Hs"</formula>
    </cfRule>
  </conditionalFormatting>
  <conditionalFormatting sqref="C113">
    <cfRule type="cellIs" dxfId="17087" priority="6359" stopIfTrue="1" operator="equal">
      <formula>"Towel"</formula>
    </cfRule>
    <cfRule type="cellIs" dxfId="17086" priority="6360" stopIfTrue="1" operator="equal">
      <formula>"Napkin Hs"</formula>
    </cfRule>
  </conditionalFormatting>
  <conditionalFormatting sqref="C113">
    <cfRule type="cellIs" dxfId="17085" priority="6357" stopIfTrue="1" operator="equal">
      <formula>"Towel"</formula>
    </cfRule>
    <cfRule type="cellIs" dxfId="17084" priority="6358" stopIfTrue="1" operator="equal">
      <formula>"Napkin Hs"</formula>
    </cfRule>
  </conditionalFormatting>
  <conditionalFormatting sqref="C113">
    <cfRule type="cellIs" dxfId="17083" priority="6349" stopIfTrue="1" operator="equal">
      <formula>"Towel"</formula>
    </cfRule>
    <cfRule type="cellIs" dxfId="17082" priority="6350" stopIfTrue="1" operator="equal">
      <formula>"Napkin Hs"</formula>
    </cfRule>
  </conditionalFormatting>
  <conditionalFormatting sqref="C113">
    <cfRule type="cellIs" dxfId="17081" priority="6347" stopIfTrue="1" operator="equal">
      <formula>"Towel"</formula>
    </cfRule>
    <cfRule type="cellIs" dxfId="17080" priority="6348" stopIfTrue="1" operator="equal">
      <formula>"Napkin Hs"</formula>
    </cfRule>
  </conditionalFormatting>
  <conditionalFormatting sqref="B113:C113">
    <cfRule type="cellIs" dxfId="17079" priority="6345" stopIfTrue="1" operator="equal">
      <formula>"Towel"</formula>
    </cfRule>
    <cfRule type="cellIs" dxfId="17078" priority="6346" stopIfTrue="1" operator="equal">
      <formula>"Napkin Hs"</formula>
    </cfRule>
  </conditionalFormatting>
  <conditionalFormatting sqref="B113:C113">
    <cfRule type="cellIs" dxfId="17077" priority="6343" stopIfTrue="1" operator="equal">
      <formula>"Towel"</formula>
    </cfRule>
    <cfRule type="cellIs" dxfId="17076" priority="6344" stopIfTrue="1" operator="equal">
      <formula>"Napkin Hs"</formula>
    </cfRule>
  </conditionalFormatting>
  <conditionalFormatting sqref="C113">
    <cfRule type="cellIs" dxfId="17075" priority="6341" stopIfTrue="1" operator="equal">
      <formula>"Towel"</formula>
    </cfRule>
    <cfRule type="cellIs" dxfId="17074" priority="6342" stopIfTrue="1" operator="equal">
      <formula>"Napkin Hs"</formula>
    </cfRule>
  </conditionalFormatting>
  <conditionalFormatting sqref="C113">
    <cfRule type="cellIs" dxfId="17073" priority="6339" stopIfTrue="1" operator="equal">
      <formula>"Towel"</formula>
    </cfRule>
    <cfRule type="cellIs" dxfId="17072" priority="6340" stopIfTrue="1" operator="equal">
      <formula>"Napkin Hs"</formula>
    </cfRule>
  </conditionalFormatting>
  <conditionalFormatting sqref="C113">
    <cfRule type="cellIs" dxfId="17071" priority="6331" stopIfTrue="1" operator="equal">
      <formula>"Towel"</formula>
    </cfRule>
    <cfRule type="cellIs" dxfId="17070" priority="6332" stopIfTrue="1" operator="equal">
      <formula>"Napkin Hs"</formula>
    </cfRule>
  </conditionalFormatting>
  <conditionalFormatting sqref="B113:C113">
    <cfRule type="cellIs" dxfId="17069" priority="6333" stopIfTrue="1" operator="equal">
      <formula>"Towel"</formula>
    </cfRule>
    <cfRule type="cellIs" dxfId="17068" priority="6334" stopIfTrue="1" operator="equal">
      <formula>"Napkin Hs"</formula>
    </cfRule>
  </conditionalFormatting>
  <conditionalFormatting sqref="C113">
    <cfRule type="cellIs" dxfId="17067" priority="6329" stopIfTrue="1" operator="equal">
      <formula>"Towel"</formula>
    </cfRule>
    <cfRule type="cellIs" dxfId="17066" priority="6330" stopIfTrue="1" operator="equal">
      <formula>"Napkin Hs"</formula>
    </cfRule>
  </conditionalFormatting>
  <conditionalFormatting sqref="B113:C113">
    <cfRule type="cellIs" dxfId="17065" priority="6327" stopIfTrue="1" operator="equal">
      <formula>"Towel"</formula>
    </cfRule>
    <cfRule type="cellIs" dxfId="17064" priority="6328" stopIfTrue="1" operator="equal">
      <formula>"Napkin Hs"</formula>
    </cfRule>
  </conditionalFormatting>
  <conditionalFormatting sqref="C113">
    <cfRule type="cellIs" dxfId="17063" priority="6335" stopIfTrue="1" operator="equal">
      <formula>"Towel"</formula>
    </cfRule>
    <cfRule type="cellIs" dxfId="17062" priority="6336" stopIfTrue="1" operator="equal">
      <formula>"Napkin Hs"</formula>
    </cfRule>
  </conditionalFormatting>
  <conditionalFormatting sqref="C113">
    <cfRule type="cellIs" dxfId="17061" priority="6337" stopIfTrue="1" operator="equal">
      <formula>"Towel"</formula>
    </cfRule>
    <cfRule type="cellIs" dxfId="17060" priority="6338" stopIfTrue="1" operator="equal">
      <formula>"Napkin Hs"</formula>
    </cfRule>
  </conditionalFormatting>
  <conditionalFormatting sqref="B113:C113">
    <cfRule type="cellIs" dxfId="17059" priority="6323" stopIfTrue="1" operator="equal">
      <formula>"Towel"</formula>
    </cfRule>
    <cfRule type="cellIs" dxfId="17058" priority="6324" stopIfTrue="1" operator="equal">
      <formula>"Napkin Hs"</formula>
    </cfRule>
  </conditionalFormatting>
  <conditionalFormatting sqref="C113">
    <cfRule type="cellIs" dxfId="17057" priority="6325" stopIfTrue="1" operator="equal">
      <formula>"Towel"</formula>
    </cfRule>
    <cfRule type="cellIs" dxfId="17056" priority="6326" stopIfTrue="1" operator="equal">
      <formula>"Napkin Hs"</formula>
    </cfRule>
  </conditionalFormatting>
  <conditionalFormatting sqref="C113">
    <cfRule type="cellIs" dxfId="17055" priority="6321" stopIfTrue="1" operator="equal">
      <formula>"Towel"</formula>
    </cfRule>
    <cfRule type="cellIs" dxfId="17054" priority="6322" stopIfTrue="1" operator="equal">
      <formula>"Napkin Hs"</formula>
    </cfRule>
  </conditionalFormatting>
  <conditionalFormatting sqref="B113:C113">
    <cfRule type="cellIs" dxfId="17053" priority="6319" stopIfTrue="1" operator="equal">
      <formula>"Towel"</formula>
    </cfRule>
    <cfRule type="cellIs" dxfId="17052" priority="6320" stopIfTrue="1" operator="equal">
      <formula>"Napkin Hs"</formula>
    </cfRule>
  </conditionalFormatting>
  <conditionalFormatting sqref="C113">
    <cfRule type="cellIs" dxfId="17051" priority="6317" stopIfTrue="1" operator="equal">
      <formula>"Towel"</formula>
    </cfRule>
    <cfRule type="cellIs" dxfId="17050" priority="6318" stopIfTrue="1" operator="equal">
      <formula>"Napkin Hs"</formula>
    </cfRule>
  </conditionalFormatting>
  <conditionalFormatting sqref="C113">
    <cfRule type="cellIs" dxfId="17049" priority="6315" stopIfTrue="1" operator="equal">
      <formula>"Towel"</formula>
    </cfRule>
    <cfRule type="cellIs" dxfId="17048" priority="6316" stopIfTrue="1" operator="equal">
      <formula>"Napkin Hs"</formula>
    </cfRule>
  </conditionalFormatting>
  <conditionalFormatting sqref="C113">
    <cfRule type="cellIs" dxfId="17047" priority="6307" stopIfTrue="1" operator="equal">
      <formula>"Towel"</formula>
    </cfRule>
    <cfRule type="cellIs" dxfId="17046" priority="6308" stopIfTrue="1" operator="equal">
      <formula>"Napkin Hs"</formula>
    </cfRule>
  </conditionalFormatting>
  <conditionalFormatting sqref="B113:C113">
    <cfRule type="cellIs" dxfId="17045" priority="6309" stopIfTrue="1" operator="equal">
      <formula>"Towel"</formula>
    </cfRule>
    <cfRule type="cellIs" dxfId="17044" priority="6310" stopIfTrue="1" operator="equal">
      <formula>"Napkin Hs"</formula>
    </cfRule>
  </conditionalFormatting>
  <conditionalFormatting sqref="C113">
    <cfRule type="cellIs" dxfId="17043" priority="6305" stopIfTrue="1" operator="equal">
      <formula>"Towel"</formula>
    </cfRule>
    <cfRule type="cellIs" dxfId="17042" priority="6306" stopIfTrue="1" operator="equal">
      <formula>"Napkin Hs"</formula>
    </cfRule>
  </conditionalFormatting>
  <conditionalFormatting sqref="B113:C113">
    <cfRule type="cellIs" dxfId="17041" priority="6303" stopIfTrue="1" operator="equal">
      <formula>"Towel"</formula>
    </cfRule>
    <cfRule type="cellIs" dxfId="17040" priority="6304" stopIfTrue="1" operator="equal">
      <formula>"Napkin Hs"</formula>
    </cfRule>
  </conditionalFormatting>
  <conditionalFormatting sqref="C113">
    <cfRule type="cellIs" dxfId="17039" priority="6311" stopIfTrue="1" operator="equal">
      <formula>"Towel"</formula>
    </cfRule>
    <cfRule type="cellIs" dxfId="17038" priority="6312" stopIfTrue="1" operator="equal">
      <formula>"Napkin Hs"</formula>
    </cfRule>
  </conditionalFormatting>
  <conditionalFormatting sqref="C113">
    <cfRule type="cellIs" dxfId="17037" priority="6313" stopIfTrue="1" operator="equal">
      <formula>"Towel"</formula>
    </cfRule>
    <cfRule type="cellIs" dxfId="17036" priority="6314" stopIfTrue="1" operator="equal">
      <formula>"Napkin Hs"</formula>
    </cfRule>
  </conditionalFormatting>
  <conditionalFormatting sqref="C113">
    <cfRule type="cellIs" dxfId="17035" priority="6299" stopIfTrue="1" operator="equal">
      <formula>"Towel"</formula>
    </cfRule>
    <cfRule type="cellIs" dxfId="17034" priority="6300" stopIfTrue="1" operator="equal">
      <formula>"Napkin Hs"</formula>
    </cfRule>
  </conditionalFormatting>
  <conditionalFormatting sqref="C113">
    <cfRule type="cellIs" dxfId="17033" priority="6301" stopIfTrue="1" operator="equal">
      <formula>"Towel"</formula>
    </cfRule>
    <cfRule type="cellIs" dxfId="17032" priority="6302" stopIfTrue="1" operator="equal">
      <formula>"Napkin Hs"</formula>
    </cfRule>
  </conditionalFormatting>
  <conditionalFormatting sqref="B113:C113">
    <cfRule type="cellIs" dxfId="17031" priority="6297" stopIfTrue="1" operator="equal">
      <formula>"Towel"</formula>
    </cfRule>
    <cfRule type="cellIs" dxfId="17030" priority="6298" stopIfTrue="1" operator="equal">
      <formula>"Napkin Hs"</formula>
    </cfRule>
  </conditionalFormatting>
  <conditionalFormatting sqref="B113:C113">
    <cfRule type="cellIs" dxfId="17029" priority="6291" stopIfTrue="1" operator="equal">
      <formula>"Towel"</formula>
    </cfRule>
    <cfRule type="cellIs" dxfId="17028" priority="6292" stopIfTrue="1" operator="equal">
      <formula>"Napkin Hs"</formula>
    </cfRule>
  </conditionalFormatting>
  <conditionalFormatting sqref="C113">
    <cfRule type="cellIs" dxfId="17027" priority="6293" stopIfTrue="1" operator="equal">
      <formula>"Towel"</formula>
    </cfRule>
    <cfRule type="cellIs" dxfId="17026" priority="6294" stopIfTrue="1" operator="equal">
      <formula>"Napkin Hs"</formula>
    </cfRule>
  </conditionalFormatting>
  <conditionalFormatting sqref="C113">
    <cfRule type="cellIs" dxfId="17025" priority="6295" stopIfTrue="1" operator="equal">
      <formula>"Towel"</formula>
    </cfRule>
    <cfRule type="cellIs" dxfId="17024" priority="6296" stopIfTrue="1" operator="equal">
      <formula>"Napkin Hs"</formula>
    </cfRule>
  </conditionalFormatting>
  <conditionalFormatting sqref="C113">
    <cfRule type="cellIs" dxfId="17023" priority="6263" stopIfTrue="1" operator="equal">
      <formula>"Towel"</formula>
    </cfRule>
    <cfRule type="cellIs" dxfId="17022" priority="6264" stopIfTrue="1" operator="equal">
      <formula>"Napkin Hs"</formula>
    </cfRule>
  </conditionalFormatting>
  <conditionalFormatting sqref="C113">
    <cfRule type="cellIs" dxfId="17021" priority="6265" stopIfTrue="1" operator="equal">
      <formula>"Towel"</formula>
    </cfRule>
    <cfRule type="cellIs" dxfId="17020" priority="6266" stopIfTrue="1" operator="equal">
      <formula>"Napkin Hs"</formula>
    </cfRule>
  </conditionalFormatting>
  <conditionalFormatting sqref="C113">
    <cfRule type="cellIs" dxfId="17019" priority="6261" stopIfTrue="1" operator="equal">
      <formula>"Towel"</formula>
    </cfRule>
    <cfRule type="cellIs" dxfId="17018" priority="6262" stopIfTrue="1" operator="equal">
      <formula>"Napkin Hs"</formula>
    </cfRule>
  </conditionalFormatting>
  <conditionalFormatting sqref="B113">
    <cfRule type="cellIs" dxfId="17017" priority="6255" stopIfTrue="1" operator="equal">
      <formula>"Towel"</formula>
    </cfRule>
    <cfRule type="cellIs" dxfId="17016" priority="6256" stopIfTrue="1" operator="equal">
      <formula>"Napkin Hs"</formula>
    </cfRule>
  </conditionalFormatting>
  <conditionalFormatting sqref="C113">
    <cfRule type="cellIs" dxfId="17015" priority="6257" stopIfTrue="1" operator="equal">
      <formula>"Towel"</formula>
    </cfRule>
    <cfRule type="cellIs" dxfId="17014" priority="6258" stopIfTrue="1" operator="equal">
      <formula>"Napkin Hs"</formula>
    </cfRule>
  </conditionalFormatting>
  <conditionalFormatting sqref="C113">
    <cfRule type="cellIs" dxfId="17013" priority="6259" stopIfTrue="1" operator="equal">
      <formula>"Towel"</formula>
    </cfRule>
    <cfRule type="cellIs" dxfId="17012" priority="6260" stopIfTrue="1" operator="equal">
      <formula>"Napkin Hs"</formula>
    </cfRule>
  </conditionalFormatting>
  <conditionalFormatting sqref="B113:C113">
    <cfRule type="cellIs" dxfId="17011" priority="6209" stopIfTrue="1" operator="equal">
      <formula>"Towel"</formula>
    </cfRule>
    <cfRule type="cellIs" dxfId="17010" priority="6210" stopIfTrue="1" operator="equal">
      <formula>"Napkin Hs"</formula>
    </cfRule>
  </conditionalFormatting>
  <conditionalFormatting sqref="C113">
    <cfRule type="cellIs" dxfId="17009" priority="6211" stopIfTrue="1" operator="equal">
      <formula>"Towel"</formula>
    </cfRule>
    <cfRule type="cellIs" dxfId="17008" priority="6212" stopIfTrue="1" operator="equal">
      <formula>"Napkin Hs"</formula>
    </cfRule>
  </conditionalFormatting>
  <conditionalFormatting sqref="C113">
    <cfRule type="cellIs" dxfId="17007" priority="6207" stopIfTrue="1" operator="equal">
      <formula>"Towel"</formula>
    </cfRule>
    <cfRule type="cellIs" dxfId="17006" priority="6208" stopIfTrue="1" operator="equal">
      <formula>"Napkin Hs"</formula>
    </cfRule>
  </conditionalFormatting>
  <conditionalFormatting sqref="C113">
    <cfRule type="cellIs" dxfId="17005" priority="6205" stopIfTrue="1" operator="equal">
      <formula>"Towel"</formula>
    </cfRule>
    <cfRule type="cellIs" dxfId="17004" priority="6206" stopIfTrue="1" operator="equal">
      <formula>"Napkin Hs"</formula>
    </cfRule>
  </conditionalFormatting>
  <conditionalFormatting sqref="B113">
    <cfRule type="cellIs" dxfId="17003" priority="6253" stopIfTrue="1" operator="equal">
      <formula>"Towel"</formula>
    </cfRule>
    <cfRule type="cellIs" dxfId="17002" priority="6254" stopIfTrue="1" operator="equal">
      <formula>"Napkin Hs"</formula>
    </cfRule>
  </conditionalFormatting>
  <conditionalFormatting sqref="C113">
    <cfRule type="cellIs" dxfId="17001" priority="6249" stopIfTrue="1" operator="equal">
      <formula>"Towel"</formula>
    </cfRule>
    <cfRule type="cellIs" dxfId="17000" priority="6250" stopIfTrue="1" operator="equal">
      <formula>"Napkin Hs"</formula>
    </cfRule>
  </conditionalFormatting>
  <conditionalFormatting sqref="C113">
    <cfRule type="cellIs" dxfId="16999" priority="6243" stopIfTrue="1" operator="equal">
      <formula>"Towel"</formula>
    </cfRule>
    <cfRule type="cellIs" dxfId="16998" priority="6244" stopIfTrue="1" operator="equal">
      <formula>"Napkin Hs"</formula>
    </cfRule>
  </conditionalFormatting>
  <conditionalFormatting sqref="C113">
    <cfRule type="cellIs" dxfId="16997" priority="6247" stopIfTrue="1" operator="equal">
      <formula>"Towel"</formula>
    </cfRule>
    <cfRule type="cellIs" dxfId="16996" priority="6248" stopIfTrue="1" operator="equal">
      <formula>"Napkin Hs"</formula>
    </cfRule>
  </conditionalFormatting>
  <conditionalFormatting sqref="B113:C113">
    <cfRule type="cellIs" dxfId="16995" priority="6245" stopIfTrue="1" operator="equal">
      <formula>"Towel"</formula>
    </cfRule>
    <cfRule type="cellIs" dxfId="16994" priority="6246" stopIfTrue="1" operator="equal">
      <formula>"Napkin Hs"</formula>
    </cfRule>
  </conditionalFormatting>
  <conditionalFormatting sqref="C113">
    <cfRule type="cellIs" dxfId="16993" priority="6237" stopIfTrue="1" operator="equal">
      <formula>"Towel"</formula>
    </cfRule>
    <cfRule type="cellIs" dxfId="16992" priority="6238" stopIfTrue="1" operator="equal">
      <formula>"Napkin Hs"</formula>
    </cfRule>
  </conditionalFormatting>
  <conditionalFormatting sqref="C113">
    <cfRule type="cellIs" dxfId="16991" priority="6239" stopIfTrue="1" operator="equal">
      <formula>"Towel"</formula>
    </cfRule>
    <cfRule type="cellIs" dxfId="16990" priority="6240" stopIfTrue="1" operator="equal">
      <formula>"Napkin Hs"</formula>
    </cfRule>
  </conditionalFormatting>
  <conditionalFormatting sqref="C113">
    <cfRule type="cellIs" dxfId="16989" priority="6241" stopIfTrue="1" operator="equal">
      <formula>"Towel"</formula>
    </cfRule>
    <cfRule type="cellIs" dxfId="16988" priority="6242" stopIfTrue="1" operator="equal">
      <formula>"Napkin Hs"</formula>
    </cfRule>
  </conditionalFormatting>
  <conditionalFormatting sqref="C113">
    <cfRule type="cellIs" dxfId="16987" priority="6231" stopIfTrue="1" operator="equal">
      <formula>"Towel"</formula>
    </cfRule>
    <cfRule type="cellIs" dxfId="16986" priority="6232" stopIfTrue="1" operator="equal">
      <formula>"Napkin Hs"</formula>
    </cfRule>
  </conditionalFormatting>
  <conditionalFormatting sqref="B113:C113">
    <cfRule type="cellIs" dxfId="16985" priority="6235" stopIfTrue="1" operator="equal">
      <formula>"Towel"</formula>
    </cfRule>
    <cfRule type="cellIs" dxfId="16984" priority="6236" stopIfTrue="1" operator="equal">
      <formula>"Napkin Hs"</formula>
    </cfRule>
  </conditionalFormatting>
  <conditionalFormatting sqref="C113">
    <cfRule type="cellIs" dxfId="16983" priority="6233" stopIfTrue="1" operator="equal">
      <formula>"Towel"</formula>
    </cfRule>
    <cfRule type="cellIs" dxfId="16982" priority="6234" stopIfTrue="1" operator="equal">
      <formula>"Napkin Hs"</formula>
    </cfRule>
  </conditionalFormatting>
  <conditionalFormatting sqref="B113:C113">
    <cfRule type="cellIs" dxfId="16981" priority="6225" stopIfTrue="1" operator="equal">
      <formula>"Towel"</formula>
    </cfRule>
    <cfRule type="cellIs" dxfId="16980" priority="6226" stopIfTrue="1" operator="equal">
      <formula>"Napkin Hs"</formula>
    </cfRule>
  </conditionalFormatting>
  <conditionalFormatting sqref="C113">
    <cfRule type="cellIs" dxfId="16979" priority="6227" stopIfTrue="1" operator="equal">
      <formula>"Towel"</formula>
    </cfRule>
    <cfRule type="cellIs" dxfId="16978" priority="6228" stopIfTrue="1" operator="equal">
      <formula>"Napkin Hs"</formula>
    </cfRule>
  </conditionalFormatting>
  <conditionalFormatting sqref="B113:C113">
    <cfRule type="cellIs" dxfId="16977" priority="6229" stopIfTrue="1" operator="equal">
      <formula>"Towel"</formula>
    </cfRule>
    <cfRule type="cellIs" dxfId="16976" priority="6230" stopIfTrue="1" operator="equal">
      <formula>"Napkin Hs"</formula>
    </cfRule>
  </conditionalFormatting>
  <conditionalFormatting sqref="C113">
    <cfRule type="cellIs" dxfId="16975" priority="6223" stopIfTrue="1" operator="equal">
      <formula>"Towel"</formula>
    </cfRule>
    <cfRule type="cellIs" dxfId="16974" priority="6224" stopIfTrue="1" operator="equal">
      <formula>"Napkin Hs"</formula>
    </cfRule>
  </conditionalFormatting>
  <conditionalFormatting sqref="C113">
    <cfRule type="cellIs" dxfId="16973" priority="6219" stopIfTrue="1" operator="equal">
      <formula>"Towel"</formula>
    </cfRule>
    <cfRule type="cellIs" dxfId="16972" priority="6220" stopIfTrue="1" operator="equal">
      <formula>"Napkin Hs"</formula>
    </cfRule>
  </conditionalFormatting>
  <conditionalFormatting sqref="B113:C113">
    <cfRule type="cellIs" dxfId="16971" priority="6221" stopIfTrue="1" operator="equal">
      <formula>"Towel"</formula>
    </cfRule>
    <cfRule type="cellIs" dxfId="16970" priority="6222" stopIfTrue="1" operator="equal">
      <formula>"Napkin Hs"</formula>
    </cfRule>
  </conditionalFormatting>
  <conditionalFormatting sqref="C113">
    <cfRule type="cellIs" dxfId="16969" priority="6217" stopIfTrue="1" operator="equal">
      <formula>"Towel"</formula>
    </cfRule>
    <cfRule type="cellIs" dxfId="16968" priority="6218" stopIfTrue="1" operator="equal">
      <formula>"Napkin Hs"</formula>
    </cfRule>
  </conditionalFormatting>
  <conditionalFormatting sqref="C113">
    <cfRule type="cellIs" dxfId="16967" priority="6215" stopIfTrue="1" operator="equal">
      <formula>"Towel"</formula>
    </cfRule>
    <cfRule type="cellIs" dxfId="16966" priority="6216" stopIfTrue="1" operator="equal">
      <formula>"Napkin Hs"</formula>
    </cfRule>
  </conditionalFormatting>
  <conditionalFormatting sqref="B113:C113">
    <cfRule type="cellIs" dxfId="16965" priority="6213" stopIfTrue="1" operator="equal">
      <formula>"Towel"</formula>
    </cfRule>
    <cfRule type="cellIs" dxfId="16964" priority="6214" stopIfTrue="1" operator="equal">
      <formula>"Napkin Hs"</formula>
    </cfRule>
  </conditionalFormatting>
  <conditionalFormatting sqref="B113:C113">
    <cfRule type="cellIs" dxfId="16963" priority="6289" stopIfTrue="1" operator="equal">
      <formula>"Towel"</formula>
    </cfRule>
    <cfRule type="cellIs" dxfId="16962" priority="6290" stopIfTrue="1" operator="equal">
      <formula>"Napkin Hs"</formula>
    </cfRule>
  </conditionalFormatting>
  <conditionalFormatting sqref="C113">
    <cfRule type="cellIs" dxfId="16961" priority="6285" stopIfTrue="1" operator="equal">
      <formula>"Towel"</formula>
    </cfRule>
    <cfRule type="cellIs" dxfId="16960" priority="6286" stopIfTrue="1" operator="equal">
      <formula>"Napkin Hs"</formula>
    </cfRule>
  </conditionalFormatting>
  <conditionalFormatting sqref="C113">
    <cfRule type="cellIs" dxfId="16959" priority="6288" stopIfTrue="1" operator="equal">
      <formula>"Napkin Hs"</formula>
    </cfRule>
  </conditionalFormatting>
  <conditionalFormatting sqref="C113">
    <cfRule type="cellIs" dxfId="16958" priority="6287" stopIfTrue="1" operator="equal">
      <formula>"Towel"</formula>
    </cfRule>
  </conditionalFormatting>
  <conditionalFormatting sqref="C113">
    <cfRule type="cellIs" dxfId="16957" priority="6279" stopIfTrue="1" operator="equal">
      <formula>"Towel"</formula>
    </cfRule>
    <cfRule type="cellIs" dxfId="16956" priority="6280" stopIfTrue="1" operator="equal">
      <formula>"Napkin Hs"</formula>
    </cfRule>
  </conditionalFormatting>
  <conditionalFormatting sqref="C113">
    <cfRule type="cellIs" dxfId="16955" priority="6283" stopIfTrue="1" operator="equal">
      <formula>"Towel"</formula>
    </cfRule>
    <cfRule type="cellIs" dxfId="16954" priority="6284" stopIfTrue="1" operator="equal">
      <formula>"Napkin Hs"</formula>
    </cfRule>
  </conditionalFormatting>
  <conditionalFormatting sqref="B113">
    <cfRule type="cellIs" dxfId="16953" priority="6269" stopIfTrue="1" operator="equal">
      <formula>"Towel"</formula>
    </cfRule>
    <cfRule type="cellIs" dxfId="16952" priority="6270" stopIfTrue="1" operator="equal">
      <formula>"Napkin Hs"</formula>
    </cfRule>
  </conditionalFormatting>
  <conditionalFormatting sqref="C113">
    <cfRule type="cellIs" dxfId="16951" priority="6281" stopIfTrue="1" operator="equal">
      <formula>"Towel"</formula>
    </cfRule>
    <cfRule type="cellIs" dxfId="16950" priority="6282" stopIfTrue="1" operator="equal">
      <formula>"Napkin Hs"</formula>
    </cfRule>
  </conditionalFormatting>
  <conditionalFormatting sqref="C113">
    <cfRule type="cellIs" dxfId="16949" priority="6273" stopIfTrue="1" operator="equal">
      <formula>"Towel"</formula>
    </cfRule>
    <cfRule type="cellIs" dxfId="16948" priority="6274" stopIfTrue="1" operator="equal">
      <formula>"Napkin Hs"</formula>
    </cfRule>
  </conditionalFormatting>
  <conditionalFormatting sqref="C113">
    <cfRule type="cellIs" dxfId="16947" priority="6275" stopIfTrue="1" operator="equal">
      <formula>"Towel"</formula>
    </cfRule>
    <cfRule type="cellIs" dxfId="16946" priority="6276" stopIfTrue="1" operator="equal">
      <formula>"Napkin Hs"</formula>
    </cfRule>
  </conditionalFormatting>
  <conditionalFormatting sqref="C113">
    <cfRule type="cellIs" dxfId="16945" priority="6277" stopIfTrue="1" operator="equal">
      <formula>"Towel"</formula>
    </cfRule>
    <cfRule type="cellIs" dxfId="16944" priority="6278" stopIfTrue="1" operator="equal">
      <formula>"Napkin Hs"</formula>
    </cfRule>
  </conditionalFormatting>
  <conditionalFormatting sqref="B113">
    <cfRule type="cellIs" dxfId="16943" priority="6271" stopIfTrue="1" operator="equal">
      <formula>"Towel"</formula>
    </cfRule>
    <cfRule type="cellIs" dxfId="16942" priority="6272" stopIfTrue="1" operator="equal">
      <formula>"Napkin Hs"</formula>
    </cfRule>
  </conditionalFormatting>
  <conditionalFormatting sqref="C113">
    <cfRule type="cellIs" dxfId="16941" priority="6267" stopIfTrue="1" operator="equal">
      <formula>"Towel"</formula>
    </cfRule>
    <cfRule type="cellIs" dxfId="16940" priority="6268" stopIfTrue="1" operator="equal">
      <formula>"Napkin Hs"</formula>
    </cfRule>
  </conditionalFormatting>
  <conditionalFormatting sqref="B113:C113">
    <cfRule type="cellIs" dxfId="16939" priority="6251" stopIfTrue="1" operator="equal">
      <formula>"Towel"</formula>
    </cfRule>
    <cfRule type="cellIs" dxfId="16938" priority="6252" stopIfTrue="1" operator="equal">
      <formula>"Napkin Hs"</formula>
    </cfRule>
  </conditionalFormatting>
  <conditionalFormatting sqref="C113">
    <cfRule type="cellIs" dxfId="16937" priority="6201" stopIfTrue="1" operator="equal">
      <formula>"Towel"</formula>
    </cfRule>
    <cfRule type="cellIs" dxfId="16936" priority="6202" stopIfTrue="1" operator="equal">
      <formula>"Napkin Hs"</formula>
    </cfRule>
  </conditionalFormatting>
  <conditionalFormatting sqref="C113">
    <cfRule type="cellIs" dxfId="16935" priority="6203" stopIfTrue="1" operator="equal">
      <formula>"Towel"</formula>
    </cfRule>
    <cfRule type="cellIs" dxfId="16934" priority="6204" stopIfTrue="1" operator="equal">
      <formula>"Napkin Hs"</formula>
    </cfRule>
  </conditionalFormatting>
  <conditionalFormatting sqref="C113">
    <cfRule type="cellIs" dxfId="16933" priority="6197" stopIfTrue="1" operator="equal">
      <formula>"Towel"</formula>
    </cfRule>
    <cfRule type="cellIs" dxfId="16932" priority="6198" stopIfTrue="1" operator="equal">
      <formula>"Napkin Hs"</formula>
    </cfRule>
  </conditionalFormatting>
  <conditionalFormatting sqref="B113:C113">
    <cfRule type="cellIs" dxfId="16931" priority="6199" stopIfTrue="1" operator="equal">
      <formula>"Towel"</formula>
    </cfRule>
    <cfRule type="cellIs" dxfId="16930" priority="6200" stopIfTrue="1" operator="equal">
      <formula>"Napkin Hs"</formula>
    </cfRule>
  </conditionalFormatting>
  <conditionalFormatting sqref="C113">
    <cfRule type="cellIs" dxfId="16929" priority="6195" stopIfTrue="1" operator="equal">
      <formula>"Towel"</formula>
    </cfRule>
    <cfRule type="cellIs" dxfId="16928" priority="6196" stopIfTrue="1" operator="equal">
      <formula>"Napkin Hs"</formula>
    </cfRule>
  </conditionalFormatting>
  <conditionalFormatting sqref="B113:C113">
    <cfRule type="cellIs" dxfId="16927" priority="6193" stopIfTrue="1" operator="equal">
      <formula>"Towel"</formula>
    </cfRule>
    <cfRule type="cellIs" dxfId="16926" priority="6194" stopIfTrue="1" operator="equal">
      <formula>"Napkin Hs"</formula>
    </cfRule>
  </conditionalFormatting>
  <conditionalFormatting sqref="B113:C113">
    <cfRule type="cellIs" dxfId="16925" priority="6191" stopIfTrue="1" operator="equal">
      <formula>"Towel"</formula>
    </cfRule>
    <cfRule type="cellIs" dxfId="16924" priority="6192" stopIfTrue="1" operator="equal">
      <formula>"Napkin Hs"</formula>
    </cfRule>
  </conditionalFormatting>
  <conditionalFormatting sqref="C113">
    <cfRule type="cellIs" dxfId="16923" priority="6185" stopIfTrue="1" operator="equal">
      <formula>"Towel"</formula>
    </cfRule>
    <cfRule type="cellIs" dxfId="16922" priority="6186" stopIfTrue="1" operator="equal">
      <formula>"Napkin Hs"</formula>
    </cfRule>
  </conditionalFormatting>
  <conditionalFormatting sqref="C113">
    <cfRule type="cellIs" dxfId="16921" priority="6187" stopIfTrue="1" operator="equal">
      <formula>"Towel"</formula>
    </cfRule>
    <cfRule type="cellIs" dxfId="16920" priority="6188" stopIfTrue="1" operator="equal">
      <formula>"Napkin Hs"</formula>
    </cfRule>
  </conditionalFormatting>
  <conditionalFormatting sqref="C113">
    <cfRule type="cellIs" dxfId="16919" priority="6183" stopIfTrue="1" operator="equal">
      <formula>"Towel"</formula>
    </cfRule>
    <cfRule type="cellIs" dxfId="16918" priority="6184" stopIfTrue="1" operator="equal">
      <formula>"Napkin Hs"</formula>
    </cfRule>
  </conditionalFormatting>
  <conditionalFormatting sqref="C113">
    <cfRule type="cellIs" dxfId="16917" priority="6181" stopIfTrue="1" operator="equal">
      <formula>"Towel"</formula>
    </cfRule>
    <cfRule type="cellIs" dxfId="16916" priority="6182" stopIfTrue="1" operator="equal">
      <formula>"Napkin Hs"</formula>
    </cfRule>
  </conditionalFormatting>
  <conditionalFormatting sqref="C113">
    <cfRule type="cellIs" dxfId="16915" priority="6177" stopIfTrue="1" operator="equal">
      <formula>"Towel"</formula>
    </cfRule>
    <cfRule type="cellIs" dxfId="16914" priority="6178" stopIfTrue="1" operator="equal">
      <formula>"Napkin Hs"</formula>
    </cfRule>
  </conditionalFormatting>
  <conditionalFormatting sqref="C113">
    <cfRule type="cellIs" dxfId="16913" priority="6179" stopIfTrue="1" operator="equal">
      <formula>"Towel"</formula>
    </cfRule>
    <cfRule type="cellIs" dxfId="16912" priority="6180" stopIfTrue="1" operator="equal">
      <formula>"Napkin Hs"</formula>
    </cfRule>
  </conditionalFormatting>
  <conditionalFormatting sqref="C113">
    <cfRule type="cellIs" dxfId="16911" priority="6175" stopIfTrue="1" operator="equal">
      <formula>"Towel"</formula>
    </cfRule>
    <cfRule type="cellIs" dxfId="16910" priority="6176" stopIfTrue="1" operator="equal">
      <formula>"Napkin Hs"</formula>
    </cfRule>
  </conditionalFormatting>
  <conditionalFormatting sqref="C113">
    <cfRule type="cellIs" dxfId="16909" priority="6159" stopIfTrue="1" operator="equal">
      <formula>"Towel"</formula>
    </cfRule>
    <cfRule type="cellIs" dxfId="16908" priority="6160" stopIfTrue="1" operator="equal">
      <formula>"Napkin Hs"</formula>
    </cfRule>
  </conditionalFormatting>
  <conditionalFormatting sqref="B113">
    <cfRule type="cellIs" dxfId="16907" priority="6157" stopIfTrue="1" operator="equal">
      <formula>"Towel"</formula>
    </cfRule>
    <cfRule type="cellIs" dxfId="16906" priority="6158" stopIfTrue="1" operator="equal">
      <formula>"Napkin Hs"</formula>
    </cfRule>
  </conditionalFormatting>
  <conditionalFormatting sqref="B113">
    <cfRule type="cellIs" dxfId="16905" priority="6173" stopIfTrue="1" operator="equal">
      <formula>"Towel"</formula>
    </cfRule>
    <cfRule type="cellIs" dxfId="16904" priority="6174" stopIfTrue="1" operator="equal">
      <formula>"Napkin Hs"</formula>
    </cfRule>
  </conditionalFormatting>
  <conditionalFormatting sqref="C113">
    <cfRule type="cellIs" dxfId="16903" priority="6169" stopIfTrue="1" operator="equal">
      <formula>"Towel"</formula>
    </cfRule>
    <cfRule type="cellIs" dxfId="16902" priority="6170" stopIfTrue="1" operator="equal">
      <formula>"Napkin Hs"</formula>
    </cfRule>
  </conditionalFormatting>
  <conditionalFormatting sqref="B113">
    <cfRule type="cellIs" dxfId="16901" priority="6171" stopIfTrue="1" operator="equal">
      <formula>"Towel"</formula>
    </cfRule>
    <cfRule type="cellIs" dxfId="16900" priority="6172" stopIfTrue="1" operator="equal">
      <formula>"Napkin Hs"</formula>
    </cfRule>
  </conditionalFormatting>
  <conditionalFormatting sqref="C113">
    <cfRule type="cellIs" dxfId="16899" priority="6165" stopIfTrue="1" operator="equal">
      <formula>"Towel"</formula>
    </cfRule>
    <cfRule type="cellIs" dxfId="16898" priority="6166" stopIfTrue="1" operator="equal">
      <formula>"Napkin Hs"</formula>
    </cfRule>
  </conditionalFormatting>
  <conditionalFormatting sqref="C113">
    <cfRule type="cellIs" dxfId="16897" priority="6167" stopIfTrue="1" operator="equal">
      <formula>"Towel"</formula>
    </cfRule>
    <cfRule type="cellIs" dxfId="16896" priority="6168" stopIfTrue="1" operator="equal">
      <formula>"Napkin Hs"</formula>
    </cfRule>
  </conditionalFormatting>
  <conditionalFormatting sqref="C113">
    <cfRule type="cellIs" dxfId="16895" priority="6163" stopIfTrue="1" operator="equal">
      <formula>"Towel"</formula>
    </cfRule>
    <cfRule type="cellIs" dxfId="16894" priority="6164" stopIfTrue="1" operator="equal">
      <formula>"Napkin Hs"</formula>
    </cfRule>
  </conditionalFormatting>
  <conditionalFormatting sqref="C113">
    <cfRule type="cellIs" dxfId="16893" priority="6161" stopIfTrue="1" operator="equal">
      <formula>"Towel"</formula>
    </cfRule>
    <cfRule type="cellIs" dxfId="16892" priority="6162" stopIfTrue="1" operator="equal">
      <formula>"Napkin Hs"</formula>
    </cfRule>
  </conditionalFormatting>
  <conditionalFormatting sqref="B113">
    <cfRule type="cellIs" dxfId="16891" priority="6155" stopIfTrue="1" operator="equal">
      <formula>"Towel"</formula>
    </cfRule>
    <cfRule type="cellIs" dxfId="16890" priority="6156" stopIfTrue="1" operator="equal">
      <formula>"Napkin Hs"</formula>
    </cfRule>
  </conditionalFormatting>
  <conditionalFormatting sqref="B113:C113">
    <cfRule type="cellIs" dxfId="16889" priority="6153" stopIfTrue="1" operator="equal">
      <formula>"Towel"</formula>
    </cfRule>
    <cfRule type="cellIs" dxfId="16888" priority="6154" stopIfTrue="1" operator="equal">
      <formula>"Napkin Hs"</formula>
    </cfRule>
  </conditionalFormatting>
  <conditionalFormatting sqref="C113">
    <cfRule type="cellIs" dxfId="16887" priority="6151" stopIfTrue="1" operator="equal">
      <formula>"Towel"</formula>
    </cfRule>
    <cfRule type="cellIs" dxfId="16886" priority="6152" stopIfTrue="1" operator="equal">
      <formula>"Napkin Hs"</formula>
    </cfRule>
  </conditionalFormatting>
  <conditionalFormatting sqref="C113">
    <cfRule type="cellIs" dxfId="16885" priority="6149" stopIfTrue="1" operator="equal">
      <formula>"Towel"</formula>
    </cfRule>
    <cfRule type="cellIs" dxfId="16884" priority="6150" stopIfTrue="1" operator="equal">
      <formula>"Napkin Hs"</formula>
    </cfRule>
  </conditionalFormatting>
  <conditionalFormatting sqref="C113">
    <cfRule type="cellIs" dxfId="16883" priority="6139" stopIfTrue="1" operator="equal">
      <formula>"Towel"</formula>
    </cfRule>
    <cfRule type="cellIs" dxfId="16882" priority="6140" stopIfTrue="1" operator="equal">
      <formula>"Napkin Hs"</formula>
    </cfRule>
  </conditionalFormatting>
  <conditionalFormatting sqref="C113">
    <cfRule type="cellIs" dxfId="16881" priority="6141" stopIfTrue="1" operator="equal">
      <formula>"Towel"</formula>
    </cfRule>
    <cfRule type="cellIs" dxfId="16880" priority="6142" stopIfTrue="1" operator="equal">
      <formula>"Napkin Hs"</formula>
    </cfRule>
  </conditionalFormatting>
  <conditionalFormatting sqref="B113:C113">
    <cfRule type="cellIs" dxfId="16879" priority="6137" stopIfTrue="1" operator="equal">
      <formula>"Towel"</formula>
    </cfRule>
    <cfRule type="cellIs" dxfId="16878" priority="6138" stopIfTrue="1" operator="equal">
      <formula>"Napkin Hs"</formula>
    </cfRule>
  </conditionalFormatting>
  <conditionalFormatting sqref="C113">
    <cfRule type="cellIs" dxfId="16877" priority="6135" stopIfTrue="1" operator="equal">
      <formula>"Towel"</formula>
    </cfRule>
    <cfRule type="cellIs" dxfId="16876" priority="6136" stopIfTrue="1" operator="equal">
      <formula>"Napkin Hs"</formula>
    </cfRule>
  </conditionalFormatting>
  <conditionalFormatting sqref="B113:C113">
    <cfRule type="cellIs" dxfId="16875" priority="6131" stopIfTrue="1" operator="equal">
      <formula>"Towel"</formula>
    </cfRule>
    <cfRule type="cellIs" dxfId="16874" priority="6132" stopIfTrue="1" operator="equal">
      <formula>"Napkin Hs"</formula>
    </cfRule>
  </conditionalFormatting>
  <conditionalFormatting sqref="C113">
    <cfRule type="cellIs" dxfId="16873" priority="6133" stopIfTrue="1" operator="equal">
      <formula>"Towel"</formula>
    </cfRule>
    <cfRule type="cellIs" dxfId="16872" priority="6134" stopIfTrue="1" operator="equal">
      <formula>"Napkin Hs"</formula>
    </cfRule>
  </conditionalFormatting>
  <conditionalFormatting sqref="C113">
    <cfRule type="cellIs" dxfId="16871" priority="6190" stopIfTrue="1" operator="equal">
      <formula>"Napkin Hs"</formula>
    </cfRule>
  </conditionalFormatting>
  <conditionalFormatting sqref="C113">
    <cfRule type="cellIs" dxfId="16870" priority="6189" stopIfTrue="1" operator="equal">
      <formula>"Towel"</formula>
    </cfRule>
  </conditionalFormatting>
  <conditionalFormatting sqref="B113:C113">
    <cfRule type="cellIs" dxfId="16869" priority="6147" stopIfTrue="1" operator="equal">
      <formula>"Towel"</formula>
    </cfRule>
    <cfRule type="cellIs" dxfId="16868" priority="6148" stopIfTrue="1" operator="equal">
      <formula>"Napkin Hs"</formula>
    </cfRule>
  </conditionalFormatting>
  <conditionalFormatting sqref="C113">
    <cfRule type="cellIs" dxfId="16867" priority="6145" stopIfTrue="1" operator="equal">
      <formula>"Towel"</formula>
    </cfRule>
    <cfRule type="cellIs" dxfId="16866" priority="6146" stopIfTrue="1" operator="equal">
      <formula>"Napkin Hs"</formula>
    </cfRule>
  </conditionalFormatting>
  <conditionalFormatting sqref="C113">
    <cfRule type="cellIs" dxfId="16865" priority="6143" stopIfTrue="1" operator="equal">
      <formula>"Towel"</formula>
    </cfRule>
    <cfRule type="cellIs" dxfId="16864" priority="6144" stopIfTrue="1" operator="equal">
      <formula>"Napkin Hs"</formula>
    </cfRule>
  </conditionalFormatting>
  <conditionalFormatting sqref="B113:C113">
    <cfRule type="cellIs" dxfId="16863" priority="6127" stopIfTrue="1" operator="equal">
      <formula>"Towel"</formula>
    </cfRule>
    <cfRule type="cellIs" dxfId="16862" priority="6128" stopIfTrue="1" operator="equal">
      <formula>"Napkin Hs"</formula>
    </cfRule>
  </conditionalFormatting>
  <conditionalFormatting sqref="C113">
    <cfRule type="cellIs" dxfId="16861" priority="6129" stopIfTrue="1" operator="equal">
      <formula>"Towel"</formula>
    </cfRule>
    <cfRule type="cellIs" dxfId="16860" priority="6130" stopIfTrue="1" operator="equal">
      <formula>"Napkin Hs"</formula>
    </cfRule>
  </conditionalFormatting>
  <conditionalFormatting sqref="C113">
    <cfRule type="cellIs" dxfId="16859" priority="6125" stopIfTrue="1" operator="equal">
      <formula>"Towel"</formula>
    </cfRule>
    <cfRule type="cellIs" dxfId="16858" priority="6126" stopIfTrue="1" operator="equal">
      <formula>"Napkin Hs"</formula>
    </cfRule>
  </conditionalFormatting>
  <conditionalFormatting sqref="B113:C113">
    <cfRule type="cellIs" dxfId="16857" priority="6123" stopIfTrue="1" operator="equal">
      <formula>"Towel"</formula>
    </cfRule>
    <cfRule type="cellIs" dxfId="16856" priority="6124" stopIfTrue="1" operator="equal">
      <formula>"Napkin Hs"</formula>
    </cfRule>
  </conditionalFormatting>
  <conditionalFormatting sqref="C113">
    <cfRule type="cellIs" dxfId="16855" priority="6119" stopIfTrue="1" operator="equal">
      <formula>"Towel"</formula>
    </cfRule>
    <cfRule type="cellIs" dxfId="16854" priority="6120" stopIfTrue="1" operator="equal">
      <formula>"Napkin Hs"</formula>
    </cfRule>
  </conditionalFormatting>
  <conditionalFormatting sqref="C113">
    <cfRule type="cellIs" dxfId="16853" priority="6121" stopIfTrue="1" operator="equal">
      <formula>"Towel"</formula>
    </cfRule>
    <cfRule type="cellIs" dxfId="16852" priority="6122" stopIfTrue="1" operator="equal">
      <formula>"Napkin Hs"</formula>
    </cfRule>
  </conditionalFormatting>
  <conditionalFormatting sqref="B113:C113">
    <cfRule type="cellIs" dxfId="16851" priority="6115" stopIfTrue="1" operator="equal">
      <formula>"Towel"</formula>
    </cfRule>
    <cfRule type="cellIs" dxfId="16850" priority="6116" stopIfTrue="1" operator="equal">
      <formula>"Napkin Hs"</formula>
    </cfRule>
  </conditionalFormatting>
  <conditionalFormatting sqref="C113">
    <cfRule type="cellIs" dxfId="16849" priority="6117" stopIfTrue="1" operator="equal">
      <formula>"Towel"</formula>
    </cfRule>
    <cfRule type="cellIs" dxfId="16848" priority="6118" stopIfTrue="1" operator="equal">
      <formula>"Napkin Hs"</formula>
    </cfRule>
  </conditionalFormatting>
  <conditionalFormatting sqref="C113">
    <cfRule type="cellIs" dxfId="16847" priority="6113" stopIfTrue="1" operator="equal">
      <formula>"Towel"</formula>
    </cfRule>
    <cfRule type="cellIs" dxfId="16846" priority="6114" stopIfTrue="1" operator="equal">
      <formula>"Napkin Hs"</formula>
    </cfRule>
  </conditionalFormatting>
  <conditionalFormatting sqref="B113:C113">
    <cfRule type="cellIs" dxfId="16845" priority="6111" stopIfTrue="1" operator="equal">
      <formula>"Towel"</formula>
    </cfRule>
    <cfRule type="cellIs" dxfId="16844" priority="6112" stopIfTrue="1" operator="equal">
      <formula>"Napkin Hs"</formula>
    </cfRule>
  </conditionalFormatting>
  <conditionalFormatting sqref="C113">
    <cfRule type="cellIs" dxfId="16843" priority="6107" stopIfTrue="1" operator="equal">
      <formula>"Towel"</formula>
    </cfRule>
    <cfRule type="cellIs" dxfId="16842" priority="6108" stopIfTrue="1" operator="equal">
      <formula>"Napkin Hs"</formula>
    </cfRule>
  </conditionalFormatting>
  <conditionalFormatting sqref="C113">
    <cfRule type="cellIs" dxfId="16841" priority="6109" stopIfTrue="1" operator="equal">
      <formula>"Towel"</formula>
    </cfRule>
    <cfRule type="cellIs" dxfId="16840" priority="6110" stopIfTrue="1" operator="equal">
      <formula>"Napkin Hs"</formula>
    </cfRule>
  </conditionalFormatting>
  <conditionalFormatting sqref="B121:C121">
    <cfRule type="cellIs" dxfId="16839" priority="6105" stopIfTrue="1" operator="equal">
      <formula>"Towel"</formula>
    </cfRule>
    <cfRule type="cellIs" dxfId="16838" priority="6106" stopIfTrue="1" operator="equal">
      <formula>"Napkin Hs"</formula>
    </cfRule>
  </conditionalFormatting>
  <conditionalFormatting sqref="C121">
    <cfRule type="cellIs" dxfId="16837" priority="6101" stopIfTrue="1" operator="equal">
      <formula>"Towel"</formula>
    </cfRule>
    <cfRule type="cellIs" dxfId="16836" priority="6102" stopIfTrue="1" operator="equal">
      <formula>"Napkin Hs"</formula>
    </cfRule>
  </conditionalFormatting>
  <conditionalFormatting sqref="C121">
    <cfRule type="cellIs" dxfId="16835" priority="6103" stopIfTrue="1" operator="equal">
      <formula>"Towel"</formula>
    </cfRule>
    <cfRule type="cellIs" dxfId="16834" priority="6104" stopIfTrue="1" operator="equal">
      <formula>"Napkin Hs"</formula>
    </cfRule>
  </conditionalFormatting>
  <conditionalFormatting sqref="B121:C121">
    <cfRule type="cellIs" dxfId="16833" priority="6099" stopIfTrue="1" operator="equal">
      <formula>"Towel"</formula>
    </cfRule>
    <cfRule type="cellIs" dxfId="16832" priority="6100" stopIfTrue="1" operator="equal">
      <formula>"Napkin Hs"</formula>
    </cfRule>
  </conditionalFormatting>
  <conditionalFormatting sqref="C121">
    <cfRule type="cellIs" dxfId="16831" priority="6097" stopIfTrue="1" operator="equal">
      <formula>"Towel"</formula>
    </cfRule>
    <cfRule type="cellIs" dxfId="16830" priority="6098" stopIfTrue="1" operator="equal">
      <formula>"Napkin Hs"</formula>
    </cfRule>
  </conditionalFormatting>
  <conditionalFormatting sqref="C121">
    <cfRule type="cellIs" dxfId="16829" priority="6095" stopIfTrue="1" operator="equal">
      <formula>"Towel"</formula>
    </cfRule>
    <cfRule type="cellIs" dxfId="16828" priority="6096" stopIfTrue="1" operator="equal">
      <formula>"Napkin Hs"</formula>
    </cfRule>
  </conditionalFormatting>
  <conditionalFormatting sqref="C121">
    <cfRule type="cellIs" dxfId="16827" priority="6087" stopIfTrue="1" operator="equal">
      <formula>"Towel"</formula>
    </cfRule>
    <cfRule type="cellIs" dxfId="16826" priority="6088" stopIfTrue="1" operator="equal">
      <formula>"Napkin Hs"</formula>
    </cfRule>
  </conditionalFormatting>
  <conditionalFormatting sqref="B121:C121">
    <cfRule type="cellIs" dxfId="16825" priority="6089" stopIfTrue="1" operator="equal">
      <formula>"Towel"</formula>
    </cfRule>
    <cfRule type="cellIs" dxfId="16824" priority="6090" stopIfTrue="1" operator="equal">
      <formula>"Napkin Hs"</formula>
    </cfRule>
  </conditionalFormatting>
  <conditionalFormatting sqref="C121">
    <cfRule type="cellIs" dxfId="16823" priority="6085" stopIfTrue="1" operator="equal">
      <formula>"Towel"</formula>
    </cfRule>
    <cfRule type="cellIs" dxfId="16822" priority="6086" stopIfTrue="1" operator="equal">
      <formula>"Napkin Hs"</formula>
    </cfRule>
  </conditionalFormatting>
  <conditionalFormatting sqref="B121:C121">
    <cfRule type="cellIs" dxfId="16821" priority="6083" stopIfTrue="1" operator="equal">
      <formula>"Towel"</formula>
    </cfRule>
    <cfRule type="cellIs" dxfId="16820" priority="6084" stopIfTrue="1" operator="equal">
      <formula>"Napkin Hs"</formula>
    </cfRule>
  </conditionalFormatting>
  <conditionalFormatting sqref="C121">
    <cfRule type="cellIs" dxfId="16819" priority="6091" stopIfTrue="1" operator="equal">
      <formula>"Towel"</formula>
    </cfRule>
    <cfRule type="cellIs" dxfId="16818" priority="6092" stopIfTrue="1" operator="equal">
      <formula>"Napkin Hs"</formula>
    </cfRule>
  </conditionalFormatting>
  <conditionalFormatting sqref="C121">
    <cfRule type="cellIs" dxfId="16817" priority="6093" stopIfTrue="1" operator="equal">
      <formula>"Towel"</formula>
    </cfRule>
    <cfRule type="cellIs" dxfId="16816" priority="6094" stopIfTrue="1" operator="equal">
      <formula>"Napkin Hs"</formula>
    </cfRule>
  </conditionalFormatting>
  <conditionalFormatting sqref="C119:C120">
    <cfRule type="cellIs" dxfId="16815" priority="5123" stopIfTrue="1" operator="equal">
      <formula>"Towel"</formula>
    </cfRule>
    <cfRule type="cellIs" dxfId="16814" priority="5124" stopIfTrue="1" operator="equal">
      <formula>"Napkin Hs"</formula>
    </cfRule>
  </conditionalFormatting>
  <conditionalFormatting sqref="C119:C120">
    <cfRule type="cellIs" dxfId="16813" priority="5121" stopIfTrue="1" operator="equal">
      <formula>"Towel"</formula>
    </cfRule>
    <cfRule type="cellIs" dxfId="16812" priority="5122" stopIfTrue="1" operator="equal">
      <formula>"Napkin Hs"</formula>
    </cfRule>
  </conditionalFormatting>
  <conditionalFormatting sqref="B120:C120 C119">
    <cfRule type="cellIs" dxfId="16811" priority="5119" stopIfTrue="1" operator="equal">
      <formula>"Towel"</formula>
    </cfRule>
    <cfRule type="cellIs" dxfId="16810" priority="5120" stopIfTrue="1" operator="equal">
      <formula>"Napkin Hs"</formula>
    </cfRule>
  </conditionalFormatting>
  <conditionalFormatting sqref="B120:C120 C119">
    <cfRule type="cellIs" dxfId="16809" priority="5129" stopIfTrue="1" operator="equal">
      <formula>"Towel"</formula>
    </cfRule>
    <cfRule type="cellIs" dxfId="16808" priority="5130" stopIfTrue="1" operator="equal">
      <formula>"Napkin Hs"</formula>
    </cfRule>
  </conditionalFormatting>
  <conditionalFormatting sqref="C119:C120">
    <cfRule type="cellIs" dxfId="16807" priority="5127" stopIfTrue="1" operator="equal">
      <formula>"Towel"</formula>
    </cfRule>
    <cfRule type="cellIs" dxfId="16806" priority="5128" stopIfTrue="1" operator="equal">
      <formula>"Napkin Hs"</formula>
    </cfRule>
  </conditionalFormatting>
  <conditionalFormatting sqref="C119:C120">
    <cfRule type="cellIs" dxfId="16805" priority="5125" stopIfTrue="1" operator="equal">
      <formula>"Towel"</formula>
    </cfRule>
    <cfRule type="cellIs" dxfId="16804" priority="5126" stopIfTrue="1" operator="equal">
      <formula>"Napkin Hs"</formula>
    </cfRule>
  </conditionalFormatting>
  <conditionalFormatting sqref="C119:C120">
    <cfRule type="cellIs" dxfId="16803" priority="5117" stopIfTrue="1" operator="equal">
      <formula>"Towel"</formula>
    </cfRule>
    <cfRule type="cellIs" dxfId="16802" priority="5118" stopIfTrue="1" operator="equal">
      <formula>"Napkin Hs"</formula>
    </cfRule>
  </conditionalFormatting>
  <conditionalFormatting sqref="C119:C120">
    <cfRule type="cellIs" dxfId="16801" priority="5115" stopIfTrue="1" operator="equal">
      <formula>"Towel"</formula>
    </cfRule>
    <cfRule type="cellIs" dxfId="16800" priority="5116" stopIfTrue="1" operator="equal">
      <formula>"Napkin Hs"</formula>
    </cfRule>
  </conditionalFormatting>
  <conditionalFormatting sqref="B120:C120 C119">
    <cfRule type="cellIs" dxfId="16799" priority="5113" stopIfTrue="1" operator="equal">
      <formula>"Towel"</formula>
    </cfRule>
    <cfRule type="cellIs" dxfId="16798" priority="5114" stopIfTrue="1" operator="equal">
      <formula>"Napkin Hs"</formula>
    </cfRule>
  </conditionalFormatting>
  <conditionalFormatting sqref="C119 B120">
    <cfRule type="cellIs" dxfId="16797" priority="5111" stopIfTrue="1" operator="equal">
      <formula>"Towel"</formula>
    </cfRule>
    <cfRule type="cellIs" dxfId="16796" priority="5112" stopIfTrue="1" operator="equal">
      <formula>"Napkin Hs"</formula>
    </cfRule>
  </conditionalFormatting>
  <conditionalFormatting sqref="C119">
    <cfRule type="cellIs" dxfId="16795" priority="5109" stopIfTrue="1" operator="equal">
      <formula>"Towel"</formula>
    </cfRule>
    <cfRule type="cellIs" dxfId="16794" priority="5110" stopIfTrue="1" operator="equal">
      <formula>"Napkin Hs"</formula>
    </cfRule>
  </conditionalFormatting>
  <conditionalFormatting sqref="C119">
    <cfRule type="cellIs" dxfId="16793" priority="5107" stopIfTrue="1" operator="equal">
      <formula>"Towel"</formula>
    </cfRule>
    <cfRule type="cellIs" dxfId="16792" priority="5108" stopIfTrue="1" operator="equal">
      <formula>"Napkin Hs"</formula>
    </cfRule>
  </conditionalFormatting>
  <conditionalFormatting sqref="C119">
    <cfRule type="cellIs" dxfId="16791" priority="5099" stopIfTrue="1" operator="equal">
      <formula>"Towel"</formula>
    </cfRule>
    <cfRule type="cellIs" dxfId="16790" priority="5100" stopIfTrue="1" operator="equal">
      <formula>"Napkin Hs"</formula>
    </cfRule>
  </conditionalFormatting>
  <conditionalFormatting sqref="C119 B120">
    <cfRule type="cellIs" dxfId="16789" priority="5101" stopIfTrue="1" operator="equal">
      <formula>"Towel"</formula>
    </cfRule>
    <cfRule type="cellIs" dxfId="16788" priority="5102" stopIfTrue="1" operator="equal">
      <formula>"Napkin Hs"</formula>
    </cfRule>
  </conditionalFormatting>
  <conditionalFormatting sqref="C119">
    <cfRule type="cellIs" dxfId="16787" priority="5097" stopIfTrue="1" operator="equal">
      <formula>"Towel"</formula>
    </cfRule>
    <cfRule type="cellIs" dxfId="16786" priority="5098" stopIfTrue="1" operator="equal">
      <formula>"Napkin Hs"</formula>
    </cfRule>
  </conditionalFormatting>
  <conditionalFormatting sqref="C119 B120">
    <cfRule type="cellIs" dxfId="16785" priority="5095" stopIfTrue="1" operator="equal">
      <formula>"Towel"</formula>
    </cfRule>
    <cfRule type="cellIs" dxfId="16784" priority="5096" stopIfTrue="1" operator="equal">
      <formula>"Napkin Hs"</formula>
    </cfRule>
  </conditionalFormatting>
  <conditionalFormatting sqref="C119">
    <cfRule type="cellIs" dxfId="16783" priority="5103" stopIfTrue="1" operator="equal">
      <formula>"Towel"</formula>
    </cfRule>
    <cfRule type="cellIs" dxfId="16782" priority="5104" stopIfTrue="1" operator="equal">
      <formula>"Napkin Hs"</formula>
    </cfRule>
  </conditionalFormatting>
  <conditionalFormatting sqref="C119">
    <cfRule type="cellIs" dxfId="16781" priority="5105" stopIfTrue="1" operator="equal">
      <formula>"Towel"</formula>
    </cfRule>
    <cfRule type="cellIs" dxfId="16780" priority="5106" stopIfTrue="1" operator="equal">
      <formula>"Napkin Hs"</formula>
    </cfRule>
  </conditionalFormatting>
  <conditionalFormatting sqref="B120:C120">
    <cfRule type="cellIs" dxfId="16779" priority="5093" stopIfTrue="1" operator="equal">
      <formula>"Towel"</formula>
    </cfRule>
    <cfRule type="cellIs" dxfId="16778" priority="5094" stopIfTrue="1" operator="equal">
      <formula>"Napkin Hs"</formula>
    </cfRule>
  </conditionalFormatting>
  <conditionalFormatting sqref="C120">
    <cfRule type="cellIs" dxfId="16777" priority="5091" stopIfTrue="1" operator="equal">
      <formula>"Towel"</formula>
    </cfRule>
    <cfRule type="cellIs" dxfId="16776" priority="5092" stopIfTrue="1" operator="equal">
      <formula>"Napkin Hs"</formula>
    </cfRule>
  </conditionalFormatting>
  <conditionalFormatting sqref="C120">
    <cfRule type="cellIs" dxfId="16775" priority="5089" stopIfTrue="1" operator="equal">
      <formula>"Towel"</formula>
    </cfRule>
    <cfRule type="cellIs" dxfId="16774" priority="5090" stopIfTrue="1" operator="equal">
      <formula>"Napkin Hs"</formula>
    </cfRule>
  </conditionalFormatting>
  <conditionalFormatting sqref="C120">
    <cfRule type="cellIs" dxfId="16773" priority="5081" stopIfTrue="1" operator="equal">
      <formula>"Towel"</formula>
    </cfRule>
    <cfRule type="cellIs" dxfId="16772" priority="5082" stopIfTrue="1" operator="equal">
      <formula>"Napkin Hs"</formula>
    </cfRule>
  </conditionalFormatting>
  <conditionalFormatting sqref="B120:C120">
    <cfRule type="cellIs" dxfId="16771" priority="5083" stopIfTrue="1" operator="equal">
      <formula>"Towel"</formula>
    </cfRule>
    <cfRule type="cellIs" dxfId="16770" priority="5084" stopIfTrue="1" operator="equal">
      <formula>"Napkin Hs"</formula>
    </cfRule>
  </conditionalFormatting>
  <conditionalFormatting sqref="C120">
    <cfRule type="cellIs" dxfId="16769" priority="5079" stopIfTrue="1" operator="equal">
      <formula>"Towel"</formula>
    </cfRule>
    <cfRule type="cellIs" dxfId="16768" priority="5080" stopIfTrue="1" operator="equal">
      <formula>"Napkin Hs"</formula>
    </cfRule>
  </conditionalFormatting>
  <conditionalFormatting sqref="B120:C120">
    <cfRule type="cellIs" dxfId="16767" priority="5077" stopIfTrue="1" operator="equal">
      <formula>"Towel"</formula>
    </cfRule>
    <cfRule type="cellIs" dxfId="16766" priority="5078" stopIfTrue="1" operator="equal">
      <formula>"Napkin Hs"</formula>
    </cfRule>
  </conditionalFormatting>
  <conditionalFormatting sqref="C120">
    <cfRule type="cellIs" dxfId="16765" priority="5085" stopIfTrue="1" operator="equal">
      <formula>"Towel"</formula>
    </cfRule>
    <cfRule type="cellIs" dxfId="16764" priority="5086" stopIfTrue="1" operator="equal">
      <formula>"Napkin Hs"</formula>
    </cfRule>
  </conditionalFormatting>
  <conditionalFormatting sqref="C120">
    <cfRule type="cellIs" dxfId="16763" priority="5087" stopIfTrue="1" operator="equal">
      <formula>"Towel"</formula>
    </cfRule>
    <cfRule type="cellIs" dxfId="16762" priority="5088" stopIfTrue="1" operator="equal">
      <formula>"Napkin Hs"</formula>
    </cfRule>
  </conditionalFormatting>
  <conditionalFormatting sqref="B120:C120 C119">
    <cfRule type="cellIs" dxfId="16761" priority="5073" stopIfTrue="1" operator="equal">
      <formula>"Towel"</formula>
    </cfRule>
    <cfRule type="cellIs" dxfId="16760" priority="5074" stopIfTrue="1" operator="equal">
      <formula>"Napkin Hs"</formula>
    </cfRule>
  </conditionalFormatting>
  <conditionalFormatting sqref="C119:C120">
    <cfRule type="cellIs" dxfId="16759" priority="5075" stopIfTrue="1" operator="equal">
      <formula>"Towel"</formula>
    </cfRule>
    <cfRule type="cellIs" dxfId="16758" priority="5076" stopIfTrue="1" operator="equal">
      <formula>"Napkin Hs"</formula>
    </cfRule>
  </conditionalFormatting>
  <conditionalFormatting sqref="C119:C120">
    <cfRule type="cellIs" dxfId="16757" priority="5071" stopIfTrue="1" operator="equal">
      <formula>"Towel"</formula>
    </cfRule>
    <cfRule type="cellIs" dxfId="16756" priority="5072" stopIfTrue="1" operator="equal">
      <formula>"Napkin Hs"</formula>
    </cfRule>
  </conditionalFormatting>
  <conditionalFormatting sqref="C119">
    <cfRule type="cellIs" dxfId="16755" priority="5063" stopIfTrue="1" operator="equal">
      <formula>"Towel"</formula>
    </cfRule>
    <cfRule type="cellIs" dxfId="16754" priority="5064" stopIfTrue="1" operator="equal">
      <formula>"Napkin Hs"</formula>
    </cfRule>
  </conditionalFormatting>
  <conditionalFormatting sqref="C119">
    <cfRule type="cellIs" dxfId="16753" priority="5061" stopIfTrue="1" operator="equal">
      <formula>"Towel"</formula>
    </cfRule>
    <cfRule type="cellIs" dxfId="16752" priority="5062" stopIfTrue="1" operator="equal">
      <formula>"Napkin Hs"</formula>
    </cfRule>
  </conditionalFormatting>
  <conditionalFormatting sqref="C119 B120">
    <cfRule type="cellIs" dxfId="16751" priority="5059" stopIfTrue="1" operator="equal">
      <formula>"Towel"</formula>
    </cfRule>
    <cfRule type="cellIs" dxfId="16750" priority="5060" stopIfTrue="1" operator="equal">
      <formula>"Napkin Hs"</formula>
    </cfRule>
  </conditionalFormatting>
  <conditionalFormatting sqref="C119 B120">
    <cfRule type="cellIs" dxfId="16749" priority="5069" stopIfTrue="1" operator="equal">
      <formula>"Towel"</formula>
    </cfRule>
    <cfRule type="cellIs" dxfId="16748" priority="5070" stopIfTrue="1" operator="equal">
      <formula>"Napkin Hs"</formula>
    </cfRule>
  </conditionalFormatting>
  <conditionalFormatting sqref="C119">
    <cfRule type="cellIs" dxfId="16747" priority="5067" stopIfTrue="1" operator="equal">
      <formula>"Towel"</formula>
    </cfRule>
    <cfRule type="cellIs" dxfId="16746" priority="5068" stopIfTrue="1" operator="equal">
      <formula>"Napkin Hs"</formula>
    </cfRule>
  </conditionalFormatting>
  <conditionalFormatting sqref="C119">
    <cfRule type="cellIs" dxfId="16745" priority="5065" stopIfTrue="1" operator="equal">
      <formula>"Towel"</formula>
    </cfRule>
    <cfRule type="cellIs" dxfId="16744" priority="5066" stopIfTrue="1" operator="equal">
      <formula>"Napkin Hs"</formula>
    </cfRule>
  </conditionalFormatting>
  <conditionalFormatting sqref="C119">
    <cfRule type="cellIs" dxfId="16743" priority="5057" stopIfTrue="1" operator="equal">
      <formula>"Towel"</formula>
    </cfRule>
    <cfRule type="cellIs" dxfId="16742" priority="5058" stopIfTrue="1" operator="equal">
      <formula>"Napkin Hs"</formula>
    </cfRule>
  </conditionalFormatting>
  <conditionalFormatting sqref="C119">
    <cfRule type="cellIs" dxfId="16741" priority="5055" stopIfTrue="1" operator="equal">
      <formula>"Towel"</formula>
    </cfRule>
    <cfRule type="cellIs" dxfId="16740" priority="5056" stopIfTrue="1" operator="equal">
      <formula>"Napkin Hs"</formula>
    </cfRule>
  </conditionalFormatting>
  <conditionalFormatting sqref="C119 B120">
    <cfRule type="cellIs" dxfId="16739" priority="5053" stopIfTrue="1" operator="equal">
      <formula>"Towel"</formula>
    </cfRule>
    <cfRule type="cellIs" dxfId="16738" priority="5054" stopIfTrue="1" operator="equal">
      <formula>"Napkin Hs"</formula>
    </cfRule>
  </conditionalFormatting>
  <conditionalFormatting sqref="B120:C120">
    <cfRule type="cellIs" dxfId="16737" priority="5051" stopIfTrue="1" operator="equal">
      <formula>"Towel"</formula>
    </cfRule>
    <cfRule type="cellIs" dxfId="16736" priority="5052" stopIfTrue="1" operator="equal">
      <formula>"Napkin Hs"</formula>
    </cfRule>
  </conditionalFormatting>
  <conditionalFormatting sqref="C120">
    <cfRule type="cellIs" dxfId="16735" priority="5049" stopIfTrue="1" operator="equal">
      <formula>"Towel"</formula>
    </cfRule>
    <cfRule type="cellIs" dxfId="16734" priority="5050" stopIfTrue="1" operator="equal">
      <formula>"Napkin Hs"</formula>
    </cfRule>
  </conditionalFormatting>
  <conditionalFormatting sqref="C120">
    <cfRule type="cellIs" dxfId="16733" priority="5047" stopIfTrue="1" operator="equal">
      <formula>"Towel"</formula>
    </cfRule>
    <cfRule type="cellIs" dxfId="16732" priority="5048" stopIfTrue="1" operator="equal">
      <formula>"Napkin Hs"</formula>
    </cfRule>
  </conditionalFormatting>
  <conditionalFormatting sqref="C120">
    <cfRule type="cellIs" dxfId="16731" priority="5039" stopIfTrue="1" operator="equal">
      <formula>"Towel"</formula>
    </cfRule>
    <cfRule type="cellIs" dxfId="16730" priority="5040" stopIfTrue="1" operator="equal">
      <formula>"Napkin Hs"</formula>
    </cfRule>
  </conditionalFormatting>
  <conditionalFormatting sqref="B120:C120">
    <cfRule type="cellIs" dxfId="16729" priority="5041" stopIfTrue="1" operator="equal">
      <formula>"Towel"</formula>
    </cfRule>
    <cfRule type="cellIs" dxfId="16728" priority="5042" stopIfTrue="1" operator="equal">
      <formula>"Napkin Hs"</formula>
    </cfRule>
  </conditionalFormatting>
  <conditionalFormatting sqref="C120">
    <cfRule type="cellIs" dxfId="16727" priority="5037" stopIfTrue="1" operator="equal">
      <formula>"Towel"</formula>
    </cfRule>
    <cfRule type="cellIs" dxfId="16726" priority="5038" stopIfTrue="1" operator="equal">
      <formula>"Napkin Hs"</formula>
    </cfRule>
  </conditionalFormatting>
  <conditionalFormatting sqref="B120:C120">
    <cfRule type="cellIs" dxfId="16725" priority="5035" stopIfTrue="1" operator="equal">
      <formula>"Towel"</formula>
    </cfRule>
    <cfRule type="cellIs" dxfId="16724" priority="5036" stopIfTrue="1" operator="equal">
      <formula>"Napkin Hs"</formula>
    </cfRule>
  </conditionalFormatting>
  <conditionalFormatting sqref="C120">
    <cfRule type="cellIs" dxfId="16723" priority="5043" stopIfTrue="1" operator="equal">
      <formula>"Towel"</formula>
    </cfRule>
    <cfRule type="cellIs" dxfId="16722" priority="5044" stopIfTrue="1" operator="equal">
      <formula>"Napkin Hs"</formula>
    </cfRule>
  </conditionalFormatting>
  <conditionalFormatting sqref="C120">
    <cfRule type="cellIs" dxfId="16721" priority="5045" stopIfTrue="1" operator="equal">
      <formula>"Towel"</formula>
    </cfRule>
    <cfRule type="cellIs" dxfId="16720" priority="5046" stopIfTrue="1" operator="equal">
      <formula>"Napkin Hs"</formula>
    </cfRule>
  </conditionalFormatting>
  <conditionalFormatting sqref="C120">
    <cfRule type="cellIs" dxfId="16719" priority="5031" stopIfTrue="1" operator="equal">
      <formula>"Towel"</formula>
    </cfRule>
    <cfRule type="cellIs" dxfId="16718" priority="5032" stopIfTrue="1" operator="equal">
      <formula>"Napkin Hs"</formula>
    </cfRule>
  </conditionalFormatting>
  <conditionalFormatting sqref="C120">
    <cfRule type="cellIs" dxfId="16717" priority="5033" stopIfTrue="1" operator="equal">
      <formula>"Towel"</formula>
    </cfRule>
    <cfRule type="cellIs" dxfId="16716" priority="5034" stopIfTrue="1" operator="equal">
      <formula>"Napkin Hs"</formula>
    </cfRule>
  </conditionalFormatting>
  <conditionalFormatting sqref="B120:C120">
    <cfRule type="cellIs" dxfId="16715" priority="5029" stopIfTrue="1" operator="equal">
      <formula>"Towel"</formula>
    </cfRule>
    <cfRule type="cellIs" dxfId="16714" priority="5030" stopIfTrue="1" operator="equal">
      <formula>"Napkin Hs"</formula>
    </cfRule>
  </conditionalFormatting>
  <conditionalFormatting sqref="B120:C120">
    <cfRule type="cellIs" dxfId="16713" priority="5023" stopIfTrue="1" operator="equal">
      <formula>"Towel"</formula>
    </cfRule>
    <cfRule type="cellIs" dxfId="16712" priority="5024" stopIfTrue="1" operator="equal">
      <formula>"Napkin Hs"</formula>
    </cfRule>
  </conditionalFormatting>
  <conditionalFormatting sqref="C120">
    <cfRule type="cellIs" dxfId="16711" priority="5025" stopIfTrue="1" operator="equal">
      <formula>"Towel"</formula>
    </cfRule>
    <cfRule type="cellIs" dxfId="16710" priority="5026" stopIfTrue="1" operator="equal">
      <formula>"Napkin Hs"</formula>
    </cfRule>
  </conditionalFormatting>
  <conditionalFormatting sqref="C120">
    <cfRule type="cellIs" dxfId="16709" priority="5027" stopIfTrue="1" operator="equal">
      <formula>"Towel"</formula>
    </cfRule>
    <cfRule type="cellIs" dxfId="16708" priority="5028" stopIfTrue="1" operator="equal">
      <formula>"Napkin Hs"</formula>
    </cfRule>
  </conditionalFormatting>
  <conditionalFormatting sqref="C120">
    <cfRule type="cellIs" dxfId="16707" priority="4995" stopIfTrue="1" operator="equal">
      <formula>"Towel"</formula>
    </cfRule>
    <cfRule type="cellIs" dxfId="16706" priority="4996" stopIfTrue="1" operator="equal">
      <formula>"Napkin Hs"</formula>
    </cfRule>
  </conditionalFormatting>
  <conditionalFormatting sqref="C120">
    <cfRule type="cellIs" dxfId="16705" priority="4997" stopIfTrue="1" operator="equal">
      <formula>"Towel"</formula>
    </cfRule>
    <cfRule type="cellIs" dxfId="16704" priority="4998" stopIfTrue="1" operator="equal">
      <formula>"Napkin Hs"</formula>
    </cfRule>
  </conditionalFormatting>
  <conditionalFormatting sqref="C120">
    <cfRule type="cellIs" dxfId="16703" priority="4993" stopIfTrue="1" operator="equal">
      <formula>"Towel"</formula>
    </cfRule>
    <cfRule type="cellIs" dxfId="16702" priority="4994" stopIfTrue="1" operator="equal">
      <formula>"Napkin Hs"</formula>
    </cfRule>
  </conditionalFormatting>
  <conditionalFormatting sqref="B120">
    <cfRule type="cellIs" dxfId="16701" priority="4987" stopIfTrue="1" operator="equal">
      <formula>"Towel"</formula>
    </cfRule>
    <cfRule type="cellIs" dxfId="16700" priority="4988" stopIfTrue="1" operator="equal">
      <formula>"Napkin Hs"</formula>
    </cfRule>
  </conditionalFormatting>
  <conditionalFormatting sqref="C120">
    <cfRule type="cellIs" dxfId="16699" priority="4989" stopIfTrue="1" operator="equal">
      <formula>"Towel"</formula>
    </cfRule>
    <cfRule type="cellIs" dxfId="16698" priority="4990" stopIfTrue="1" operator="equal">
      <formula>"Napkin Hs"</formula>
    </cfRule>
  </conditionalFormatting>
  <conditionalFormatting sqref="C120">
    <cfRule type="cellIs" dxfId="16697" priority="4991" stopIfTrue="1" operator="equal">
      <formula>"Towel"</formula>
    </cfRule>
    <cfRule type="cellIs" dxfId="16696" priority="4992" stopIfTrue="1" operator="equal">
      <formula>"Napkin Hs"</formula>
    </cfRule>
  </conditionalFormatting>
  <conditionalFormatting sqref="B120:C120">
    <cfRule type="cellIs" dxfId="16695" priority="4941" stopIfTrue="1" operator="equal">
      <formula>"Towel"</formula>
    </cfRule>
    <cfRule type="cellIs" dxfId="16694" priority="4942" stopIfTrue="1" operator="equal">
      <formula>"Napkin Hs"</formula>
    </cfRule>
  </conditionalFormatting>
  <conditionalFormatting sqref="C120">
    <cfRule type="cellIs" dxfId="16693" priority="4943" stopIfTrue="1" operator="equal">
      <formula>"Towel"</formula>
    </cfRule>
    <cfRule type="cellIs" dxfId="16692" priority="4944" stopIfTrue="1" operator="equal">
      <formula>"Napkin Hs"</formula>
    </cfRule>
  </conditionalFormatting>
  <conditionalFormatting sqref="C120">
    <cfRule type="cellIs" dxfId="16691" priority="4939" stopIfTrue="1" operator="equal">
      <formula>"Towel"</formula>
    </cfRule>
    <cfRule type="cellIs" dxfId="16690" priority="4940" stopIfTrue="1" operator="equal">
      <formula>"Napkin Hs"</formula>
    </cfRule>
  </conditionalFormatting>
  <conditionalFormatting sqref="C120">
    <cfRule type="cellIs" dxfId="16689" priority="4937" stopIfTrue="1" operator="equal">
      <formula>"Towel"</formula>
    </cfRule>
    <cfRule type="cellIs" dxfId="16688" priority="4938" stopIfTrue="1" operator="equal">
      <formula>"Napkin Hs"</formula>
    </cfRule>
  </conditionalFormatting>
  <conditionalFormatting sqref="B120">
    <cfRule type="cellIs" dxfId="16687" priority="4985" stopIfTrue="1" operator="equal">
      <formula>"Towel"</formula>
    </cfRule>
    <cfRule type="cellIs" dxfId="16686" priority="4986" stopIfTrue="1" operator="equal">
      <formula>"Napkin Hs"</formula>
    </cfRule>
  </conditionalFormatting>
  <conditionalFormatting sqref="C120">
    <cfRule type="cellIs" dxfId="16685" priority="4981" stopIfTrue="1" operator="equal">
      <formula>"Towel"</formula>
    </cfRule>
    <cfRule type="cellIs" dxfId="16684" priority="4982" stopIfTrue="1" operator="equal">
      <formula>"Napkin Hs"</formula>
    </cfRule>
  </conditionalFormatting>
  <conditionalFormatting sqref="C120">
    <cfRule type="cellIs" dxfId="16683" priority="4975" stopIfTrue="1" operator="equal">
      <formula>"Towel"</formula>
    </cfRule>
    <cfRule type="cellIs" dxfId="16682" priority="4976" stopIfTrue="1" operator="equal">
      <formula>"Napkin Hs"</formula>
    </cfRule>
  </conditionalFormatting>
  <conditionalFormatting sqref="C120">
    <cfRule type="cellIs" dxfId="16681" priority="4979" stopIfTrue="1" operator="equal">
      <formula>"Towel"</formula>
    </cfRule>
    <cfRule type="cellIs" dxfId="16680" priority="4980" stopIfTrue="1" operator="equal">
      <formula>"Napkin Hs"</formula>
    </cfRule>
  </conditionalFormatting>
  <conditionalFormatting sqref="B120:C120">
    <cfRule type="cellIs" dxfId="16679" priority="4977" stopIfTrue="1" operator="equal">
      <formula>"Towel"</formula>
    </cfRule>
    <cfRule type="cellIs" dxfId="16678" priority="4978" stopIfTrue="1" operator="equal">
      <formula>"Napkin Hs"</formula>
    </cfRule>
  </conditionalFormatting>
  <conditionalFormatting sqref="C120">
    <cfRule type="cellIs" dxfId="16677" priority="4969" stopIfTrue="1" operator="equal">
      <formula>"Towel"</formula>
    </cfRule>
    <cfRule type="cellIs" dxfId="16676" priority="4970" stopIfTrue="1" operator="equal">
      <formula>"Napkin Hs"</formula>
    </cfRule>
  </conditionalFormatting>
  <conditionalFormatting sqref="C120">
    <cfRule type="cellIs" dxfId="16675" priority="4971" stopIfTrue="1" operator="equal">
      <formula>"Towel"</formula>
    </cfRule>
    <cfRule type="cellIs" dxfId="16674" priority="4972" stopIfTrue="1" operator="equal">
      <formula>"Napkin Hs"</formula>
    </cfRule>
  </conditionalFormatting>
  <conditionalFormatting sqref="C120">
    <cfRule type="cellIs" dxfId="16673" priority="4973" stopIfTrue="1" operator="equal">
      <formula>"Towel"</formula>
    </cfRule>
    <cfRule type="cellIs" dxfId="16672" priority="4974" stopIfTrue="1" operator="equal">
      <formula>"Napkin Hs"</formula>
    </cfRule>
  </conditionalFormatting>
  <conditionalFormatting sqref="C120">
    <cfRule type="cellIs" dxfId="16671" priority="4963" stopIfTrue="1" operator="equal">
      <formula>"Towel"</formula>
    </cfRule>
    <cfRule type="cellIs" dxfId="16670" priority="4964" stopIfTrue="1" operator="equal">
      <formula>"Napkin Hs"</formula>
    </cfRule>
  </conditionalFormatting>
  <conditionalFormatting sqref="B120:C120">
    <cfRule type="cellIs" dxfId="16669" priority="4967" stopIfTrue="1" operator="equal">
      <formula>"Towel"</formula>
    </cfRule>
    <cfRule type="cellIs" dxfId="16668" priority="4968" stopIfTrue="1" operator="equal">
      <formula>"Napkin Hs"</formula>
    </cfRule>
  </conditionalFormatting>
  <conditionalFormatting sqref="C120">
    <cfRule type="cellIs" dxfId="16667" priority="4965" stopIfTrue="1" operator="equal">
      <formula>"Towel"</formula>
    </cfRule>
    <cfRule type="cellIs" dxfId="16666" priority="4966" stopIfTrue="1" operator="equal">
      <formula>"Napkin Hs"</formula>
    </cfRule>
  </conditionalFormatting>
  <conditionalFormatting sqref="B120:C120">
    <cfRule type="cellIs" dxfId="16665" priority="4957" stopIfTrue="1" operator="equal">
      <formula>"Towel"</formula>
    </cfRule>
    <cfRule type="cellIs" dxfId="16664" priority="4958" stopIfTrue="1" operator="equal">
      <formula>"Napkin Hs"</formula>
    </cfRule>
  </conditionalFormatting>
  <conditionalFormatting sqref="C120">
    <cfRule type="cellIs" dxfId="16663" priority="4959" stopIfTrue="1" operator="equal">
      <formula>"Towel"</formula>
    </cfRule>
    <cfRule type="cellIs" dxfId="16662" priority="4960" stopIfTrue="1" operator="equal">
      <formula>"Napkin Hs"</formula>
    </cfRule>
  </conditionalFormatting>
  <conditionalFormatting sqref="B120:C120">
    <cfRule type="cellIs" dxfId="16661" priority="4961" stopIfTrue="1" operator="equal">
      <formula>"Towel"</formula>
    </cfRule>
    <cfRule type="cellIs" dxfId="16660" priority="4962" stopIfTrue="1" operator="equal">
      <formula>"Napkin Hs"</formula>
    </cfRule>
  </conditionalFormatting>
  <conditionalFormatting sqref="C120">
    <cfRule type="cellIs" dxfId="16659" priority="4955" stopIfTrue="1" operator="equal">
      <formula>"Towel"</formula>
    </cfRule>
    <cfRule type="cellIs" dxfId="16658" priority="4956" stopIfTrue="1" operator="equal">
      <formula>"Napkin Hs"</formula>
    </cfRule>
  </conditionalFormatting>
  <conditionalFormatting sqref="C120">
    <cfRule type="cellIs" dxfId="16657" priority="4951" stopIfTrue="1" operator="equal">
      <formula>"Towel"</formula>
    </cfRule>
    <cfRule type="cellIs" dxfId="16656" priority="4952" stopIfTrue="1" operator="equal">
      <formula>"Napkin Hs"</formula>
    </cfRule>
  </conditionalFormatting>
  <conditionalFormatting sqref="B120:C120">
    <cfRule type="cellIs" dxfId="16655" priority="4953" stopIfTrue="1" operator="equal">
      <formula>"Towel"</formula>
    </cfRule>
    <cfRule type="cellIs" dxfId="16654" priority="4954" stopIfTrue="1" operator="equal">
      <formula>"Napkin Hs"</formula>
    </cfRule>
  </conditionalFormatting>
  <conditionalFormatting sqref="C120">
    <cfRule type="cellIs" dxfId="16653" priority="4949" stopIfTrue="1" operator="equal">
      <formula>"Towel"</formula>
    </cfRule>
    <cfRule type="cellIs" dxfId="16652" priority="4950" stopIfTrue="1" operator="equal">
      <formula>"Napkin Hs"</formula>
    </cfRule>
  </conditionalFormatting>
  <conditionalFormatting sqref="C120">
    <cfRule type="cellIs" dxfId="16651" priority="4947" stopIfTrue="1" operator="equal">
      <formula>"Towel"</formula>
    </cfRule>
    <cfRule type="cellIs" dxfId="16650" priority="4948" stopIfTrue="1" operator="equal">
      <formula>"Napkin Hs"</formula>
    </cfRule>
  </conditionalFormatting>
  <conditionalFormatting sqref="B120:C120">
    <cfRule type="cellIs" dxfId="16649" priority="4945" stopIfTrue="1" operator="equal">
      <formula>"Towel"</formula>
    </cfRule>
    <cfRule type="cellIs" dxfId="16648" priority="4946" stopIfTrue="1" operator="equal">
      <formula>"Napkin Hs"</formula>
    </cfRule>
  </conditionalFormatting>
  <conditionalFormatting sqref="B120:C120">
    <cfRule type="cellIs" dxfId="16647" priority="5021" stopIfTrue="1" operator="equal">
      <formula>"Towel"</formula>
    </cfRule>
    <cfRule type="cellIs" dxfId="16646" priority="5022" stopIfTrue="1" operator="equal">
      <formula>"Napkin Hs"</formula>
    </cfRule>
  </conditionalFormatting>
  <conditionalFormatting sqref="C120">
    <cfRule type="cellIs" dxfId="16645" priority="5017" stopIfTrue="1" operator="equal">
      <formula>"Towel"</formula>
    </cfRule>
    <cfRule type="cellIs" dxfId="16644" priority="5018" stopIfTrue="1" operator="equal">
      <formula>"Napkin Hs"</formula>
    </cfRule>
  </conditionalFormatting>
  <conditionalFormatting sqref="C120">
    <cfRule type="cellIs" dxfId="16643" priority="5020" stopIfTrue="1" operator="equal">
      <formula>"Napkin Hs"</formula>
    </cfRule>
  </conditionalFormatting>
  <conditionalFormatting sqref="C120">
    <cfRule type="cellIs" dxfId="16642" priority="5019" stopIfTrue="1" operator="equal">
      <formula>"Towel"</formula>
    </cfRule>
  </conditionalFormatting>
  <conditionalFormatting sqref="C120">
    <cfRule type="cellIs" dxfId="16641" priority="5011" stopIfTrue="1" operator="equal">
      <formula>"Towel"</formula>
    </cfRule>
    <cfRule type="cellIs" dxfId="16640" priority="5012" stopIfTrue="1" operator="equal">
      <formula>"Napkin Hs"</formula>
    </cfRule>
  </conditionalFormatting>
  <conditionalFormatting sqref="C120">
    <cfRule type="cellIs" dxfId="16639" priority="5015" stopIfTrue="1" operator="equal">
      <formula>"Towel"</formula>
    </cfRule>
    <cfRule type="cellIs" dxfId="16638" priority="5016" stopIfTrue="1" operator="equal">
      <formula>"Napkin Hs"</formula>
    </cfRule>
  </conditionalFormatting>
  <conditionalFormatting sqref="B120">
    <cfRule type="cellIs" dxfId="16637" priority="5001" stopIfTrue="1" operator="equal">
      <formula>"Towel"</formula>
    </cfRule>
    <cfRule type="cellIs" dxfId="16636" priority="5002" stopIfTrue="1" operator="equal">
      <formula>"Napkin Hs"</formula>
    </cfRule>
  </conditionalFormatting>
  <conditionalFormatting sqref="C120">
    <cfRule type="cellIs" dxfId="16635" priority="5013" stopIfTrue="1" operator="equal">
      <formula>"Towel"</formula>
    </cfRule>
    <cfRule type="cellIs" dxfId="16634" priority="5014" stopIfTrue="1" operator="equal">
      <formula>"Napkin Hs"</formula>
    </cfRule>
  </conditionalFormatting>
  <conditionalFormatting sqref="C120">
    <cfRule type="cellIs" dxfId="16633" priority="5005" stopIfTrue="1" operator="equal">
      <formula>"Towel"</formula>
    </cfRule>
    <cfRule type="cellIs" dxfId="16632" priority="5006" stopIfTrue="1" operator="equal">
      <formula>"Napkin Hs"</formula>
    </cfRule>
  </conditionalFormatting>
  <conditionalFormatting sqref="C120">
    <cfRule type="cellIs" dxfId="16631" priority="5007" stopIfTrue="1" operator="equal">
      <formula>"Towel"</formula>
    </cfRule>
    <cfRule type="cellIs" dxfId="16630" priority="5008" stopIfTrue="1" operator="equal">
      <formula>"Napkin Hs"</formula>
    </cfRule>
  </conditionalFormatting>
  <conditionalFormatting sqref="C120">
    <cfRule type="cellIs" dxfId="16629" priority="5009" stopIfTrue="1" operator="equal">
      <formula>"Towel"</formula>
    </cfRule>
    <cfRule type="cellIs" dxfId="16628" priority="5010" stopIfTrue="1" operator="equal">
      <formula>"Napkin Hs"</formula>
    </cfRule>
  </conditionalFormatting>
  <conditionalFormatting sqref="B120">
    <cfRule type="cellIs" dxfId="16627" priority="5003" stopIfTrue="1" operator="equal">
      <formula>"Towel"</formula>
    </cfRule>
    <cfRule type="cellIs" dxfId="16626" priority="5004" stopIfTrue="1" operator="equal">
      <formula>"Napkin Hs"</formula>
    </cfRule>
  </conditionalFormatting>
  <conditionalFormatting sqref="C120">
    <cfRule type="cellIs" dxfId="16625" priority="4999" stopIfTrue="1" operator="equal">
      <formula>"Towel"</formula>
    </cfRule>
    <cfRule type="cellIs" dxfId="16624" priority="5000" stopIfTrue="1" operator="equal">
      <formula>"Napkin Hs"</formula>
    </cfRule>
  </conditionalFormatting>
  <conditionalFormatting sqref="B120:C120">
    <cfRule type="cellIs" dxfId="16623" priority="4983" stopIfTrue="1" operator="equal">
      <formula>"Towel"</formula>
    </cfRule>
    <cfRule type="cellIs" dxfId="16622" priority="4984" stopIfTrue="1" operator="equal">
      <formula>"Napkin Hs"</formula>
    </cfRule>
  </conditionalFormatting>
  <conditionalFormatting sqref="C119">
    <cfRule type="cellIs" dxfId="16621" priority="4933" stopIfTrue="1" operator="equal">
      <formula>"Towel"</formula>
    </cfRule>
    <cfRule type="cellIs" dxfId="16620" priority="4934" stopIfTrue="1" operator="equal">
      <formula>"Napkin Hs"</formula>
    </cfRule>
  </conditionalFormatting>
  <conditionalFormatting sqref="C119">
    <cfRule type="cellIs" dxfId="16619" priority="4935" stopIfTrue="1" operator="equal">
      <formula>"Towel"</formula>
    </cfRule>
    <cfRule type="cellIs" dxfId="16618" priority="4936" stopIfTrue="1" operator="equal">
      <formula>"Napkin Hs"</formula>
    </cfRule>
  </conditionalFormatting>
  <conditionalFormatting sqref="C119">
    <cfRule type="cellIs" dxfId="16617" priority="4929" stopIfTrue="1" operator="equal">
      <formula>"Towel"</formula>
    </cfRule>
    <cfRule type="cellIs" dxfId="16616" priority="4930" stopIfTrue="1" operator="equal">
      <formula>"Napkin Hs"</formula>
    </cfRule>
  </conditionalFormatting>
  <conditionalFormatting sqref="C119 B120">
    <cfRule type="cellIs" dxfId="16615" priority="4931" stopIfTrue="1" operator="equal">
      <formula>"Towel"</formula>
    </cfRule>
    <cfRule type="cellIs" dxfId="16614" priority="4932" stopIfTrue="1" operator="equal">
      <formula>"Napkin Hs"</formula>
    </cfRule>
  </conditionalFormatting>
  <conditionalFormatting sqref="C119">
    <cfRule type="cellIs" dxfId="16613" priority="4927" stopIfTrue="1" operator="equal">
      <formula>"Towel"</formula>
    </cfRule>
    <cfRule type="cellIs" dxfId="16612" priority="4928" stopIfTrue="1" operator="equal">
      <formula>"Napkin Hs"</formula>
    </cfRule>
  </conditionalFormatting>
  <conditionalFormatting sqref="C119 B120">
    <cfRule type="cellIs" dxfId="16611" priority="4925" stopIfTrue="1" operator="equal">
      <formula>"Towel"</formula>
    </cfRule>
    <cfRule type="cellIs" dxfId="16610" priority="4926" stopIfTrue="1" operator="equal">
      <formula>"Napkin Hs"</formula>
    </cfRule>
  </conditionalFormatting>
  <conditionalFormatting sqref="C119 B120">
    <cfRule type="cellIs" dxfId="16609" priority="4923" stopIfTrue="1" operator="equal">
      <formula>"Towel"</formula>
    </cfRule>
    <cfRule type="cellIs" dxfId="16608" priority="4924" stopIfTrue="1" operator="equal">
      <formula>"Napkin Hs"</formula>
    </cfRule>
  </conditionalFormatting>
  <conditionalFormatting sqref="C119">
    <cfRule type="cellIs" dxfId="16607" priority="4917" stopIfTrue="1" operator="equal">
      <formula>"Towel"</formula>
    </cfRule>
    <cfRule type="cellIs" dxfId="16606" priority="4918" stopIfTrue="1" operator="equal">
      <formula>"Napkin Hs"</formula>
    </cfRule>
  </conditionalFormatting>
  <conditionalFormatting sqref="C119">
    <cfRule type="cellIs" dxfId="16605" priority="4919" stopIfTrue="1" operator="equal">
      <formula>"Towel"</formula>
    </cfRule>
    <cfRule type="cellIs" dxfId="16604" priority="4920" stopIfTrue="1" operator="equal">
      <formula>"Napkin Hs"</formula>
    </cfRule>
  </conditionalFormatting>
  <conditionalFormatting sqref="C119">
    <cfRule type="cellIs" dxfId="16603" priority="4915" stopIfTrue="1" operator="equal">
      <formula>"Towel"</formula>
    </cfRule>
    <cfRule type="cellIs" dxfId="16602" priority="4916" stopIfTrue="1" operator="equal">
      <formula>"Napkin Hs"</formula>
    </cfRule>
  </conditionalFormatting>
  <conditionalFormatting sqref="C119">
    <cfRule type="cellIs" dxfId="16601" priority="4913" stopIfTrue="1" operator="equal">
      <formula>"Towel"</formula>
    </cfRule>
    <cfRule type="cellIs" dxfId="16600" priority="4914" stopIfTrue="1" operator="equal">
      <formula>"Napkin Hs"</formula>
    </cfRule>
  </conditionalFormatting>
  <conditionalFormatting sqref="C119">
    <cfRule type="cellIs" dxfId="16599" priority="4909" stopIfTrue="1" operator="equal">
      <formula>"Towel"</formula>
    </cfRule>
    <cfRule type="cellIs" dxfId="16598" priority="4910" stopIfTrue="1" operator="equal">
      <formula>"Napkin Hs"</formula>
    </cfRule>
  </conditionalFormatting>
  <conditionalFormatting sqref="C119">
    <cfRule type="cellIs" dxfId="16597" priority="4911" stopIfTrue="1" operator="equal">
      <formula>"Towel"</formula>
    </cfRule>
    <cfRule type="cellIs" dxfId="16596" priority="4912" stopIfTrue="1" operator="equal">
      <formula>"Napkin Hs"</formula>
    </cfRule>
  </conditionalFormatting>
  <conditionalFormatting sqref="C119">
    <cfRule type="cellIs" dxfId="16595" priority="4907" stopIfTrue="1" operator="equal">
      <formula>"Towel"</formula>
    </cfRule>
    <cfRule type="cellIs" dxfId="16594" priority="4908" stopIfTrue="1" operator="equal">
      <formula>"Napkin Hs"</formula>
    </cfRule>
  </conditionalFormatting>
  <conditionalFormatting sqref="C119">
    <cfRule type="cellIs" dxfId="16593" priority="4891" stopIfTrue="1" operator="equal">
      <formula>"Towel"</formula>
    </cfRule>
    <cfRule type="cellIs" dxfId="16592" priority="4892" stopIfTrue="1" operator="equal">
      <formula>"Napkin Hs"</formula>
    </cfRule>
  </conditionalFormatting>
  <conditionalFormatting sqref="B120">
    <cfRule type="cellIs" dxfId="16591" priority="4889" stopIfTrue="1" operator="equal">
      <formula>"Towel"</formula>
    </cfRule>
    <cfRule type="cellIs" dxfId="16590" priority="4890" stopIfTrue="1" operator="equal">
      <formula>"Napkin Hs"</formula>
    </cfRule>
  </conditionalFormatting>
  <conditionalFormatting sqref="B120">
    <cfRule type="cellIs" dxfId="16589" priority="4905" stopIfTrue="1" operator="equal">
      <formula>"Towel"</formula>
    </cfRule>
    <cfRule type="cellIs" dxfId="16588" priority="4906" stopIfTrue="1" operator="equal">
      <formula>"Napkin Hs"</formula>
    </cfRule>
  </conditionalFormatting>
  <conditionalFormatting sqref="C119">
    <cfRule type="cellIs" dxfId="16587" priority="4901" stopIfTrue="1" operator="equal">
      <formula>"Towel"</formula>
    </cfRule>
    <cfRule type="cellIs" dxfId="16586" priority="4902" stopIfTrue="1" operator="equal">
      <formula>"Napkin Hs"</formula>
    </cfRule>
  </conditionalFormatting>
  <conditionalFormatting sqref="B120">
    <cfRule type="cellIs" dxfId="16585" priority="4903" stopIfTrue="1" operator="equal">
      <formula>"Towel"</formula>
    </cfRule>
    <cfRule type="cellIs" dxfId="16584" priority="4904" stopIfTrue="1" operator="equal">
      <formula>"Napkin Hs"</formula>
    </cfRule>
  </conditionalFormatting>
  <conditionalFormatting sqref="C119">
    <cfRule type="cellIs" dxfId="16583" priority="4897" stopIfTrue="1" operator="equal">
      <formula>"Towel"</formula>
    </cfRule>
    <cfRule type="cellIs" dxfId="16582" priority="4898" stopIfTrue="1" operator="equal">
      <formula>"Napkin Hs"</formula>
    </cfRule>
  </conditionalFormatting>
  <conditionalFormatting sqref="C119">
    <cfRule type="cellIs" dxfId="16581" priority="4899" stopIfTrue="1" operator="equal">
      <formula>"Towel"</formula>
    </cfRule>
    <cfRule type="cellIs" dxfId="16580" priority="4900" stopIfTrue="1" operator="equal">
      <formula>"Napkin Hs"</formula>
    </cfRule>
  </conditionalFormatting>
  <conditionalFormatting sqref="C119">
    <cfRule type="cellIs" dxfId="16579" priority="4895" stopIfTrue="1" operator="equal">
      <formula>"Towel"</formula>
    </cfRule>
    <cfRule type="cellIs" dxfId="16578" priority="4896" stopIfTrue="1" operator="equal">
      <formula>"Napkin Hs"</formula>
    </cfRule>
  </conditionalFormatting>
  <conditionalFormatting sqref="C119">
    <cfRule type="cellIs" dxfId="16577" priority="4893" stopIfTrue="1" operator="equal">
      <formula>"Towel"</formula>
    </cfRule>
    <cfRule type="cellIs" dxfId="16576" priority="4894" stopIfTrue="1" operator="equal">
      <formula>"Napkin Hs"</formula>
    </cfRule>
  </conditionalFormatting>
  <conditionalFormatting sqref="B120">
    <cfRule type="cellIs" dxfId="16575" priority="4887" stopIfTrue="1" operator="equal">
      <formula>"Towel"</formula>
    </cfRule>
    <cfRule type="cellIs" dxfId="16574" priority="4888" stopIfTrue="1" operator="equal">
      <formula>"Napkin Hs"</formula>
    </cfRule>
  </conditionalFormatting>
  <conditionalFormatting sqref="C119 B120">
    <cfRule type="cellIs" dxfId="16573" priority="4885" stopIfTrue="1" operator="equal">
      <formula>"Towel"</formula>
    </cfRule>
    <cfRule type="cellIs" dxfId="16572" priority="4886" stopIfTrue="1" operator="equal">
      <formula>"Napkin Hs"</formula>
    </cfRule>
  </conditionalFormatting>
  <conditionalFormatting sqref="C119">
    <cfRule type="cellIs" dxfId="16571" priority="4883" stopIfTrue="1" operator="equal">
      <formula>"Towel"</formula>
    </cfRule>
    <cfRule type="cellIs" dxfId="16570" priority="4884" stopIfTrue="1" operator="equal">
      <formula>"Napkin Hs"</formula>
    </cfRule>
  </conditionalFormatting>
  <conditionalFormatting sqref="C119">
    <cfRule type="cellIs" dxfId="16569" priority="4881" stopIfTrue="1" operator="equal">
      <formula>"Towel"</formula>
    </cfRule>
    <cfRule type="cellIs" dxfId="16568" priority="4882" stopIfTrue="1" operator="equal">
      <formula>"Napkin Hs"</formula>
    </cfRule>
  </conditionalFormatting>
  <conditionalFormatting sqref="C119">
    <cfRule type="cellIs" dxfId="16567" priority="4871" stopIfTrue="1" operator="equal">
      <formula>"Towel"</formula>
    </cfRule>
    <cfRule type="cellIs" dxfId="16566" priority="4872" stopIfTrue="1" operator="equal">
      <formula>"Napkin Hs"</formula>
    </cfRule>
  </conditionalFormatting>
  <conditionalFormatting sqref="C119">
    <cfRule type="cellIs" dxfId="16565" priority="4873" stopIfTrue="1" operator="equal">
      <formula>"Towel"</formula>
    </cfRule>
    <cfRule type="cellIs" dxfId="16564" priority="4874" stopIfTrue="1" operator="equal">
      <formula>"Napkin Hs"</formula>
    </cfRule>
  </conditionalFormatting>
  <conditionalFormatting sqref="C119 B120">
    <cfRule type="cellIs" dxfId="16563" priority="4869" stopIfTrue="1" operator="equal">
      <formula>"Towel"</formula>
    </cfRule>
    <cfRule type="cellIs" dxfId="16562" priority="4870" stopIfTrue="1" operator="equal">
      <formula>"Napkin Hs"</formula>
    </cfRule>
  </conditionalFormatting>
  <conditionalFormatting sqref="C119">
    <cfRule type="cellIs" dxfId="16561" priority="4867" stopIfTrue="1" operator="equal">
      <formula>"Towel"</formula>
    </cfRule>
    <cfRule type="cellIs" dxfId="16560" priority="4868" stopIfTrue="1" operator="equal">
      <formula>"Napkin Hs"</formula>
    </cfRule>
  </conditionalFormatting>
  <conditionalFormatting sqref="C119 B120">
    <cfRule type="cellIs" dxfId="16559" priority="4863" stopIfTrue="1" operator="equal">
      <formula>"Towel"</formula>
    </cfRule>
    <cfRule type="cellIs" dxfId="16558" priority="4864" stopIfTrue="1" operator="equal">
      <formula>"Napkin Hs"</formula>
    </cfRule>
  </conditionalFormatting>
  <conditionalFormatting sqref="C119">
    <cfRule type="cellIs" dxfId="16557" priority="4865" stopIfTrue="1" operator="equal">
      <formula>"Towel"</formula>
    </cfRule>
    <cfRule type="cellIs" dxfId="16556" priority="4866" stopIfTrue="1" operator="equal">
      <formula>"Napkin Hs"</formula>
    </cfRule>
  </conditionalFormatting>
  <conditionalFormatting sqref="C119">
    <cfRule type="cellIs" dxfId="16555" priority="4922" stopIfTrue="1" operator="equal">
      <formula>"Napkin Hs"</formula>
    </cfRule>
  </conditionalFormatting>
  <conditionalFormatting sqref="C119">
    <cfRule type="cellIs" dxfId="16554" priority="4921" stopIfTrue="1" operator="equal">
      <formula>"Towel"</formula>
    </cfRule>
  </conditionalFormatting>
  <conditionalFormatting sqref="C119 B120">
    <cfRule type="cellIs" dxfId="16553" priority="4879" stopIfTrue="1" operator="equal">
      <formula>"Towel"</formula>
    </cfRule>
    <cfRule type="cellIs" dxfId="16552" priority="4880" stopIfTrue="1" operator="equal">
      <formula>"Napkin Hs"</formula>
    </cfRule>
  </conditionalFormatting>
  <conditionalFormatting sqref="C119">
    <cfRule type="cellIs" dxfId="16551" priority="4877" stopIfTrue="1" operator="equal">
      <formula>"Towel"</formula>
    </cfRule>
    <cfRule type="cellIs" dxfId="16550" priority="4878" stopIfTrue="1" operator="equal">
      <formula>"Napkin Hs"</formula>
    </cfRule>
  </conditionalFormatting>
  <conditionalFormatting sqref="C119">
    <cfRule type="cellIs" dxfId="16549" priority="4875" stopIfTrue="1" operator="equal">
      <formula>"Towel"</formula>
    </cfRule>
    <cfRule type="cellIs" dxfId="16548" priority="4876" stopIfTrue="1" operator="equal">
      <formula>"Napkin Hs"</formula>
    </cfRule>
  </conditionalFormatting>
  <conditionalFormatting sqref="C119 B120">
    <cfRule type="cellIs" dxfId="16547" priority="4859" stopIfTrue="1" operator="equal">
      <formula>"Towel"</formula>
    </cfRule>
    <cfRule type="cellIs" dxfId="16546" priority="4860" stopIfTrue="1" operator="equal">
      <formula>"Napkin Hs"</formula>
    </cfRule>
  </conditionalFormatting>
  <conditionalFormatting sqref="C119">
    <cfRule type="cellIs" dxfId="16545" priority="4861" stopIfTrue="1" operator="equal">
      <formula>"Towel"</formula>
    </cfRule>
    <cfRule type="cellIs" dxfId="16544" priority="4862" stopIfTrue="1" operator="equal">
      <formula>"Napkin Hs"</formula>
    </cfRule>
  </conditionalFormatting>
  <conditionalFormatting sqref="C119">
    <cfRule type="cellIs" dxfId="16543" priority="4857" stopIfTrue="1" operator="equal">
      <formula>"Towel"</formula>
    </cfRule>
    <cfRule type="cellIs" dxfId="16542" priority="4858" stopIfTrue="1" operator="equal">
      <formula>"Napkin Hs"</formula>
    </cfRule>
  </conditionalFormatting>
  <conditionalFormatting sqref="C119 B120">
    <cfRule type="cellIs" dxfId="16541" priority="4855" stopIfTrue="1" operator="equal">
      <formula>"Towel"</formula>
    </cfRule>
    <cfRule type="cellIs" dxfId="16540" priority="4856" stopIfTrue="1" operator="equal">
      <formula>"Napkin Hs"</formula>
    </cfRule>
  </conditionalFormatting>
  <conditionalFormatting sqref="C119">
    <cfRule type="cellIs" dxfId="16539" priority="4851" stopIfTrue="1" operator="equal">
      <formula>"Towel"</formula>
    </cfRule>
    <cfRule type="cellIs" dxfId="16538" priority="4852" stopIfTrue="1" operator="equal">
      <formula>"Napkin Hs"</formula>
    </cfRule>
  </conditionalFormatting>
  <conditionalFormatting sqref="C119">
    <cfRule type="cellIs" dxfId="16537" priority="4853" stopIfTrue="1" operator="equal">
      <formula>"Towel"</formula>
    </cfRule>
    <cfRule type="cellIs" dxfId="16536" priority="4854" stopIfTrue="1" operator="equal">
      <formula>"Napkin Hs"</formula>
    </cfRule>
  </conditionalFormatting>
  <conditionalFormatting sqref="C119 B120">
    <cfRule type="cellIs" dxfId="16535" priority="4847" stopIfTrue="1" operator="equal">
      <formula>"Towel"</formula>
    </cfRule>
    <cfRule type="cellIs" dxfId="16534" priority="4848" stopIfTrue="1" operator="equal">
      <formula>"Napkin Hs"</formula>
    </cfRule>
  </conditionalFormatting>
  <conditionalFormatting sqref="C119">
    <cfRule type="cellIs" dxfId="16533" priority="4849" stopIfTrue="1" operator="equal">
      <formula>"Towel"</formula>
    </cfRule>
    <cfRule type="cellIs" dxfId="16532" priority="4850" stopIfTrue="1" operator="equal">
      <formula>"Napkin Hs"</formula>
    </cfRule>
  </conditionalFormatting>
  <conditionalFormatting sqref="C119">
    <cfRule type="cellIs" dxfId="16531" priority="4845" stopIfTrue="1" operator="equal">
      <formula>"Towel"</formula>
    </cfRule>
    <cfRule type="cellIs" dxfId="16530" priority="4846" stopIfTrue="1" operator="equal">
      <formula>"Napkin Hs"</formula>
    </cfRule>
  </conditionalFormatting>
  <conditionalFormatting sqref="C119 B120">
    <cfRule type="cellIs" dxfId="16529" priority="4843" stopIfTrue="1" operator="equal">
      <formula>"Towel"</formula>
    </cfRule>
    <cfRule type="cellIs" dxfId="16528" priority="4844" stopIfTrue="1" operator="equal">
      <formula>"Napkin Hs"</formula>
    </cfRule>
  </conditionalFormatting>
  <conditionalFormatting sqref="C119">
    <cfRule type="cellIs" dxfId="16527" priority="4839" stopIfTrue="1" operator="equal">
      <formula>"Towel"</formula>
    </cfRule>
    <cfRule type="cellIs" dxfId="16526" priority="4840" stopIfTrue="1" operator="equal">
      <formula>"Napkin Hs"</formula>
    </cfRule>
  </conditionalFormatting>
  <conditionalFormatting sqref="C119">
    <cfRule type="cellIs" dxfId="16525" priority="4841" stopIfTrue="1" operator="equal">
      <formula>"Towel"</formula>
    </cfRule>
    <cfRule type="cellIs" dxfId="16524" priority="4842" stopIfTrue="1" operator="equal">
      <formula>"Napkin Hs"</formula>
    </cfRule>
  </conditionalFormatting>
  <conditionalFormatting sqref="C119:C120">
    <cfRule type="cellIs" dxfId="16523" priority="4835" stopIfTrue="1" operator="equal">
      <formula>"Towel"</formula>
    </cfRule>
    <cfRule type="cellIs" dxfId="16522" priority="4836" stopIfTrue="1" operator="equal">
      <formula>"Napkin Hs"</formula>
    </cfRule>
  </conditionalFormatting>
  <conditionalFormatting sqref="C119:C120">
    <cfRule type="cellIs" dxfId="16521" priority="4837" stopIfTrue="1" operator="equal">
      <formula>"Towel"</formula>
    </cfRule>
    <cfRule type="cellIs" dxfId="16520" priority="4838" stopIfTrue="1" operator="equal">
      <formula>"Napkin Hs"</formula>
    </cfRule>
  </conditionalFormatting>
  <conditionalFormatting sqref="C119:C120">
    <cfRule type="cellIs" dxfId="16519" priority="4831" stopIfTrue="1" operator="equal">
      <formula>"Towel"</formula>
    </cfRule>
    <cfRule type="cellIs" dxfId="16518" priority="4832" stopIfTrue="1" operator="equal">
      <formula>"Napkin Hs"</formula>
    </cfRule>
  </conditionalFormatting>
  <conditionalFormatting sqref="B120:C120 C119">
    <cfRule type="cellIs" dxfId="16517" priority="4833" stopIfTrue="1" operator="equal">
      <formula>"Towel"</formula>
    </cfRule>
    <cfRule type="cellIs" dxfId="16516" priority="4834" stopIfTrue="1" operator="equal">
      <formula>"Napkin Hs"</formula>
    </cfRule>
  </conditionalFormatting>
  <conditionalFormatting sqref="C119:C120">
    <cfRule type="cellIs" dxfId="16515" priority="4829" stopIfTrue="1" operator="equal">
      <formula>"Towel"</formula>
    </cfRule>
    <cfRule type="cellIs" dxfId="16514" priority="4830" stopIfTrue="1" operator="equal">
      <formula>"Napkin Hs"</formula>
    </cfRule>
  </conditionalFormatting>
  <conditionalFormatting sqref="B120:C120 C119">
    <cfRule type="cellIs" dxfId="16513" priority="4827" stopIfTrue="1" operator="equal">
      <formula>"Towel"</formula>
    </cfRule>
    <cfRule type="cellIs" dxfId="16512" priority="4828" stopIfTrue="1" operator="equal">
      <formula>"Napkin Hs"</formula>
    </cfRule>
  </conditionalFormatting>
  <conditionalFormatting sqref="B120:C120 C119">
    <cfRule type="cellIs" dxfId="16511" priority="4825" stopIfTrue="1" operator="equal">
      <formula>"Towel"</formula>
    </cfRule>
    <cfRule type="cellIs" dxfId="16510" priority="4826" stopIfTrue="1" operator="equal">
      <formula>"Napkin Hs"</formula>
    </cfRule>
  </conditionalFormatting>
  <conditionalFormatting sqref="C119:C120">
    <cfRule type="cellIs" dxfId="16509" priority="4819" stopIfTrue="1" operator="equal">
      <formula>"Towel"</formula>
    </cfRule>
    <cfRule type="cellIs" dxfId="16508" priority="4820" stopIfTrue="1" operator="equal">
      <formula>"Napkin Hs"</formula>
    </cfRule>
  </conditionalFormatting>
  <conditionalFormatting sqref="C119:C120">
    <cfRule type="cellIs" dxfId="16507" priority="4821" stopIfTrue="1" operator="equal">
      <formula>"Towel"</formula>
    </cfRule>
    <cfRule type="cellIs" dxfId="16506" priority="4822" stopIfTrue="1" operator="equal">
      <formula>"Napkin Hs"</formula>
    </cfRule>
  </conditionalFormatting>
  <conditionalFormatting sqref="C119:C120">
    <cfRule type="cellIs" dxfId="16505" priority="4817" stopIfTrue="1" operator="equal">
      <formula>"Towel"</formula>
    </cfRule>
    <cfRule type="cellIs" dxfId="16504" priority="4818" stopIfTrue="1" operator="equal">
      <formula>"Napkin Hs"</formula>
    </cfRule>
  </conditionalFormatting>
  <conditionalFormatting sqref="C119:C120">
    <cfRule type="cellIs" dxfId="16503" priority="4815" stopIfTrue="1" operator="equal">
      <formula>"Towel"</formula>
    </cfRule>
    <cfRule type="cellIs" dxfId="16502" priority="4816" stopIfTrue="1" operator="equal">
      <formula>"Napkin Hs"</formula>
    </cfRule>
  </conditionalFormatting>
  <conditionalFormatting sqref="C119:C120">
    <cfRule type="cellIs" dxfId="16501" priority="4811" stopIfTrue="1" operator="equal">
      <formula>"Towel"</formula>
    </cfRule>
    <cfRule type="cellIs" dxfId="16500" priority="4812" stopIfTrue="1" operator="equal">
      <formula>"Napkin Hs"</formula>
    </cfRule>
  </conditionalFormatting>
  <conditionalFormatting sqref="C119:C120">
    <cfRule type="cellIs" dxfId="16499" priority="4813" stopIfTrue="1" operator="equal">
      <formula>"Towel"</formula>
    </cfRule>
    <cfRule type="cellIs" dxfId="16498" priority="4814" stopIfTrue="1" operator="equal">
      <formula>"Napkin Hs"</formula>
    </cfRule>
  </conditionalFormatting>
  <conditionalFormatting sqref="C119:C120">
    <cfRule type="cellIs" dxfId="16497" priority="4809" stopIfTrue="1" operator="equal">
      <formula>"Towel"</formula>
    </cfRule>
    <cfRule type="cellIs" dxfId="16496" priority="4810" stopIfTrue="1" operator="equal">
      <formula>"Napkin Hs"</formula>
    </cfRule>
  </conditionalFormatting>
  <conditionalFormatting sqref="C119:C120">
    <cfRule type="cellIs" dxfId="16495" priority="4793" stopIfTrue="1" operator="equal">
      <formula>"Towel"</formula>
    </cfRule>
    <cfRule type="cellIs" dxfId="16494" priority="4794" stopIfTrue="1" operator="equal">
      <formula>"Napkin Hs"</formula>
    </cfRule>
  </conditionalFormatting>
  <conditionalFormatting sqref="B120">
    <cfRule type="cellIs" dxfId="16493" priority="4791" stopIfTrue="1" operator="equal">
      <formula>"Towel"</formula>
    </cfRule>
    <cfRule type="cellIs" dxfId="16492" priority="4792" stopIfTrue="1" operator="equal">
      <formula>"Napkin Hs"</formula>
    </cfRule>
  </conditionalFormatting>
  <conditionalFormatting sqref="B120">
    <cfRule type="cellIs" dxfId="16491" priority="4807" stopIfTrue="1" operator="equal">
      <formula>"Towel"</formula>
    </cfRule>
    <cfRule type="cellIs" dxfId="16490" priority="4808" stopIfTrue="1" operator="equal">
      <formula>"Napkin Hs"</formula>
    </cfRule>
  </conditionalFormatting>
  <conditionalFormatting sqref="C119:C120">
    <cfRule type="cellIs" dxfId="16489" priority="4803" stopIfTrue="1" operator="equal">
      <formula>"Towel"</formula>
    </cfRule>
    <cfRule type="cellIs" dxfId="16488" priority="4804" stopIfTrue="1" operator="equal">
      <formula>"Napkin Hs"</formula>
    </cfRule>
  </conditionalFormatting>
  <conditionalFormatting sqref="B120">
    <cfRule type="cellIs" dxfId="16487" priority="4805" stopIfTrue="1" operator="equal">
      <formula>"Towel"</formula>
    </cfRule>
    <cfRule type="cellIs" dxfId="16486" priority="4806" stopIfTrue="1" operator="equal">
      <formula>"Napkin Hs"</formula>
    </cfRule>
  </conditionalFormatting>
  <conditionalFormatting sqref="C119:C120">
    <cfRule type="cellIs" dxfId="16485" priority="4799" stopIfTrue="1" operator="equal">
      <formula>"Towel"</formula>
    </cfRule>
    <cfRule type="cellIs" dxfId="16484" priority="4800" stopIfTrue="1" operator="equal">
      <formula>"Napkin Hs"</formula>
    </cfRule>
  </conditionalFormatting>
  <conditionalFormatting sqref="C119:C120">
    <cfRule type="cellIs" dxfId="16483" priority="4801" stopIfTrue="1" operator="equal">
      <formula>"Towel"</formula>
    </cfRule>
    <cfRule type="cellIs" dxfId="16482" priority="4802" stopIfTrue="1" operator="equal">
      <formula>"Napkin Hs"</formula>
    </cfRule>
  </conditionalFormatting>
  <conditionalFormatting sqref="C119:C120">
    <cfRule type="cellIs" dxfId="16481" priority="4797" stopIfTrue="1" operator="equal">
      <formula>"Towel"</formula>
    </cfRule>
    <cfRule type="cellIs" dxfId="16480" priority="4798" stopIfTrue="1" operator="equal">
      <formula>"Napkin Hs"</formula>
    </cfRule>
  </conditionalFormatting>
  <conditionalFormatting sqref="C119:C120">
    <cfRule type="cellIs" dxfId="16479" priority="4795" stopIfTrue="1" operator="equal">
      <formula>"Towel"</formula>
    </cfRule>
    <cfRule type="cellIs" dxfId="16478" priority="4796" stopIfTrue="1" operator="equal">
      <formula>"Napkin Hs"</formula>
    </cfRule>
  </conditionalFormatting>
  <conditionalFormatting sqref="B120">
    <cfRule type="cellIs" dxfId="16477" priority="4789" stopIfTrue="1" operator="equal">
      <formula>"Towel"</formula>
    </cfRule>
    <cfRule type="cellIs" dxfId="16476" priority="4790" stopIfTrue="1" operator="equal">
      <formula>"Napkin Hs"</formula>
    </cfRule>
  </conditionalFormatting>
  <conditionalFormatting sqref="B120:C120 C119">
    <cfRule type="cellIs" dxfId="16475" priority="4787" stopIfTrue="1" operator="equal">
      <formula>"Towel"</formula>
    </cfRule>
    <cfRule type="cellIs" dxfId="16474" priority="4788" stopIfTrue="1" operator="equal">
      <formula>"Napkin Hs"</formula>
    </cfRule>
  </conditionalFormatting>
  <conditionalFormatting sqref="C119:C120">
    <cfRule type="cellIs" dxfId="16473" priority="4785" stopIfTrue="1" operator="equal">
      <formula>"Towel"</formula>
    </cfRule>
    <cfRule type="cellIs" dxfId="16472" priority="4786" stopIfTrue="1" operator="equal">
      <formula>"Napkin Hs"</formula>
    </cfRule>
  </conditionalFormatting>
  <conditionalFormatting sqref="C119:C120">
    <cfRule type="cellIs" dxfId="16471" priority="4783" stopIfTrue="1" operator="equal">
      <formula>"Towel"</formula>
    </cfRule>
    <cfRule type="cellIs" dxfId="16470" priority="4784" stopIfTrue="1" operator="equal">
      <formula>"Napkin Hs"</formula>
    </cfRule>
  </conditionalFormatting>
  <conditionalFormatting sqref="C119:C120">
    <cfRule type="cellIs" dxfId="16469" priority="4773" stopIfTrue="1" operator="equal">
      <formula>"Towel"</formula>
    </cfRule>
    <cfRule type="cellIs" dxfId="16468" priority="4774" stopIfTrue="1" operator="equal">
      <formula>"Napkin Hs"</formula>
    </cfRule>
  </conditionalFormatting>
  <conditionalFormatting sqref="C119:C120">
    <cfRule type="cellIs" dxfId="16467" priority="4775" stopIfTrue="1" operator="equal">
      <formula>"Towel"</formula>
    </cfRule>
    <cfRule type="cellIs" dxfId="16466" priority="4776" stopIfTrue="1" operator="equal">
      <formula>"Napkin Hs"</formula>
    </cfRule>
  </conditionalFormatting>
  <conditionalFormatting sqref="B120:C120 C119">
    <cfRule type="cellIs" dxfId="16465" priority="4771" stopIfTrue="1" operator="equal">
      <formula>"Towel"</formula>
    </cfRule>
    <cfRule type="cellIs" dxfId="16464" priority="4772" stopIfTrue="1" operator="equal">
      <formula>"Napkin Hs"</formula>
    </cfRule>
  </conditionalFormatting>
  <conditionalFormatting sqref="C119:C120">
    <cfRule type="cellIs" dxfId="16463" priority="4769" stopIfTrue="1" operator="equal">
      <formula>"Towel"</formula>
    </cfRule>
    <cfRule type="cellIs" dxfId="16462" priority="4770" stopIfTrue="1" operator="equal">
      <formula>"Napkin Hs"</formula>
    </cfRule>
  </conditionalFormatting>
  <conditionalFormatting sqref="B120:C120 C119">
    <cfRule type="cellIs" dxfId="16461" priority="4765" stopIfTrue="1" operator="equal">
      <formula>"Towel"</formula>
    </cfRule>
    <cfRule type="cellIs" dxfId="16460" priority="4766" stopIfTrue="1" operator="equal">
      <formula>"Napkin Hs"</formula>
    </cfRule>
  </conditionalFormatting>
  <conditionalFormatting sqref="C119:C120">
    <cfRule type="cellIs" dxfId="16459" priority="4767" stopIfTrue="1" operator="equal">
      <formula>"Towel"</formula>
    </cfRule>
    <cfRule type="cellIs" dxfId="16458" priority="4768" stopIfTrue="1" operator="equal">
      <formula>"Napkin Hs"</formula>
    </cfRule>
  </conditionalFormatting>
  <conditionalFormatting sqref="C119:C120">
    <cfRule type="cellIs" dxfId="16457" priority="4824" stopIfTrue="1" operator="equal">
      <formula>"Napkin Hs"</formula>
    </cfRule>
  </conditionalFormatting>
  <conditionalFormatting sqref="C119:C120">
    <cfRule type="cellIs" dxfId="16456" priority="4823" stopIfTrue="1" operator="equal">
      <formula>"Towel"</formula>
    </cfRule>
  </conditionalFormatting>
  <conditionalFormatting sqref="B120:C120 C119">
    <cfRule type="cellIs" dxfId="16455" priority="4781" stopIfTrue="1" operator="equal">
      <formula>"Towel"</formula>
    </cfRule>
    <cfRule type="cellIs" dxfId="16454" priority="4782" stopIfTrue="1" operator="equal">
      <formula>"Napkin Hs"</formula>
    </cfRule>
  </conditionalFormatting>
  <conditionalFormatting sqref="C119:C120">
    <cfRule type="cellIs" dxfId="16453" priority="4779" stopIfTrue="1" operator="equal">
      <formula>"Towel"</formula>
    </cfRule>
    <cfRule type="cellIs" dxfId="16452" priority="4780" stopIfTrue="1" operator="equal">
      <formula>"Napkin Hs"</formula>
    </cfRule>
  </conditionalFormatting>
  <conditionalFormatting sqref="C119:C120">
    <cfRule type="cellIs" dxfId="16451" priority="4777" stopIfTrue="1" operator="equal">
      <formula>"Towel"</formula>
    </cfRule>
    <cfRule type="cellIs" dxfId="16450" priority="4778" stopIfTrue="1" operator="equal">
      <formula>"Napkin Hs"</formula>
    </cfRule>
  </conditionalFormatting>
  <conditionalFormatting sqref="B120:C120 C119">
    <cfRule type="cellIs" dxfId="16449" priority="4761" stopIfTrue="1" operator="equal">
      <formula>"Towel"</formula>
    </cfRule>
    <cfRule type="cellIs" dxfId="16448" priority="4762" stopIfTrue="1" operator="equal">
      <formula>"Napkin Hs"</formula>
    </cfRule>
  </conditionalFormatting>
  <conditionalFormatting sqref="C119:C120">
    <cfRule type="cellIs" dxfId="16447" priority="4763" stopIfTrue="1" operator="equal">
      <formula>"Towel"</formula>
    </cfRule>
    <cfRule type="cellIs" dxfId="16446" priority="4764" stopIfTrue="1" operator="equal">
      <formula>"Napkin Hs"</formula>
    </cfRule>
  </conditionalFormatting>
  <conditionalFormatting sqref="C119:C120">
    <cfRule type="cellIs" dxfId="16445" priority="4759" stopIfTrue="1" operator="equal">
      <formula>"Towel"</formula>
    </cfRule>
    <cfRule type="cellIs" dxfId="16444" priority="4760" stopIfTrue="1" operator="equal">
      <formula>"Napkin Hs"</formula>
    </cfRule>
  </conditionalFormatting>
  <conditionalFormatting sqref="B120:C120 C119">
    <cfRule type="cellIs" dxfId="16443" priority="4757" stopIfTrue="1" operator="equal">
      <formula>"Towel"</formula>
    </cfRule>
    <cfRule type="cellIs" dxfId="16442" priority="4758" stopIfTrue="1" operator="equal">
      <formula>"Napkin Hs"</formula>
    </cfRule>
  </conditionalFormatting>
  <conditionalFormatting sqref="C119:C120">
    <cfRule type="cellIs" dxfId="16441" priority="4753" stopIfTrue="1" operator="equal">
      <formula>"Towel"</formula>
    </cfRule>
    <cfRule type="cellIs" dxfId="16440" priority="4754" stopIfTrue="1" operator="equal">
      <formula>"Napkin Hs"</formula>
    </cfRule>
  </conditionalFormatting>
  <conditionalFormatting sqref="C119:C120">
    <cfRule type="cellIs" dxfId="16439" priority="4755" stopIfTrue="1" operator="equal">
      <formula>"Towel"</formula>
    </cfRule>
    <cfRule type="cellIs" dxfId="16438" priority="4756" stopIfTrue="1" operator="equal">
      <formula>"Napkin Hs"</formula>
    </cfRule>
  </conditionalFormatting>
  <conditionalFormatting sqref="B120:C120 C119">
    <cfRule type="cellIs" dxfId="16437" priority="4749" stopIfTrue="1" operator="equal">
      <formula>"Towel"</formula>
    </cfRule>
    <cfRule type="cellIs" dxfId="16436" priority="4750" stopIfTrue="1" operator="equal">
      <formula>"Napkin Hs"</formula>
    </cfRule>
  </conditionalFormatting>
  <conditionalFormatting sqref="C119:C120">
    <cfRule type="cellIs" dxfId="16435" priority="4751" stopIfTrue="1" operator="equal">
      <formula>"Towel"</formula>
    </cfRule>
    <cfRule type="cellIs" dxfId="16434" priority="4752" stopIfTrue="1" operator="equal">
      <formula>"Napkin Hs"</formula>
    </cfRule>
  </conditionalFormatting>
  <conditionalFormatting sqref="C119:C120">
    <cfRule type="cellIs" dxfId="16433" priority="4747" stopIfTrue="1" operator="equal">
      <formula>"Towel"</formula>
    </cfRule>
    <cfRule type="cellIs" dxfId="16432" priority="4748" stopIfTrue="1" operator="equal">
      <formula>"Napkin Hs"</formula>
    </cfRule>
  </conditionalFormatting>
  <conditionalFormatting sqref="B120:C120 C119">
    <cfRule type="cellIs" dxfId="16431" priority="4745" stopIfTrue="1" operator="equal">
      <formula>"Towel"</formula>
    </cfRule>
    <cfRule type="cellIs" dxfId="16430" priority="4746" stopIfTrue="1" operator="equal">
      <formula>"Napkin Hs"</formula>
    </cfRule>
  </conditionalFormatting>
  <conditionalFormatting sqref="C119:C120">
    <cfRule type="cellIs" dxfId="16429" priority="4741" stopIfTrue="1" operator="equal">
      <formula>"Towel"</formula>
    </cfRule>
    <cfRule type="cellIs" dxfId="16428" priority="4742" stopIfTrue="1" operator="equal">
      <formula>"Napkin Hs"</formula>
    </cfRule>
  </conditionalFormatting>
  <conditionalFormatting sqref="C119:C120">
    <cfRule type="cellIs" dxfId="16427" priority="4743" stopIfTrue="1" operator="equal">
      <formula>"Towel"</formula>
    </cfRule>
    <cfRule type="cellIs" dxfId="16426" priority="4744" stopIfTrue="1" operator="equal">
      <formula>"Napkin Hs"</formula>
    </cfRule>
  </conditionalFormatting>
  <conditionalFormatting sqref="C118">
    <cfRule type="cellIs" dxfId="16425" priority="4733" stopIfTrue="1" operator="equal">
      <formula>"Towel"</formula>
    </cfRule>
    <cfRule type="cellIs" dxfId="16424" priority="4734" stopIfTrue="1" operator="equal">
      <formula>"Napkin Hs"</formula>
    </cfRule>
  </conditionalFormatting>
  <conditionalFormatting sqref="C118">
    <cfRule type="cellIs" dxfId="16423" priority="4731" stopIfTrue="1" operator="equal">
      <formula>"Towel"</formula>
    </cfRule>
    <cfRule type="cellIs" dxfId="16422" priority="4732" stopIfTrue="1" operator="equal">
      <formula>"Napkin Hs"</formula>
    </cfRule>
  </conditionalFormatting>
  <conditionalFormatting sqref="B118:C118">
    <cfRule type="cellIs" dxfId="16421" priority="4729" stopIfTrue="1" operator="equal">
      <formula>"Towel"</formula>
    </cfRule>
    <cfRule type="cellIs" dxfId="16420" priority="4730" stopIfTrue="1" operator="equal">
      <formula>"Napkin Hs"</formula>
    </cfRule>
  </conditionalFormatting>
  <conditionalFormatting sqref="B118:C118">
    <cfRule type="cellIs" dxfId="16419" priority="4739" stopIfTrue="1" operator="equal">
      <formula>"Towel"</formula>
    </cfRule>
    <cfRule type="cellIs" dxfId="16418" priority="4740" stopIfTrue="1" operator="equal">
      <formula>"Napkin Hs"</formula>
    </cfRule>
  </conditionalFormatting>
  <conditionalFormatting sqref="C118">
    <cfRule type="cellIs" dxfId="16417" priority="4737" stopIfTrue="1" operator="equal">
      <formula>"Towel"</formula>
    </cfRule>
    <cfRule type="cellIs" dxfId="16416" priority="4738" stopIfTrue="1" operator="equal">
      <formula>"Napkin Hs"</formula>
    </cfRule>
  </conditionalFormatting>
  <conditionalFormatting sqref="C118">
    <cfRule type="cellIs" dxfId="16415" priority="4735" stopIfTrue="1" operator="equal">
      <formula>"Towel"</formula>
    </cfRule>
    <cfRule type="cellIs" dxfId="16414" priority="4736" stopIfTrue="1" operator="equal">
      <formula>"Napkin Hs"</formula>
    </cfRule>
  </conditionalFormatting>
  <conditionalFormatting sqref="C118">
    <cfRule type="cellIs" dxfId="16413" priority="4727" stopIfTrue="1" operator="equal">
      <formula>"Towel"</formula>
    </cfRule>
    <cfRule type="cellIs" dxfId="16412" priority="4728" stopIfTrue="1" operator="equal">
      <formula>"Napkin Hs"</formula>
    </cfRule>
  </conditionalFormatting>
  <conditionalFormatting sqref="C118">
    <cfRule type="cellIs" dxfId="16411" priority="4725" stopIfTrue="1" operator="equal">
      <formula>"Towel"</formula>
    </cfRule>
    <cfRule type="cellIs" dxfId="16410" priority="4726" stopIfTrue="1" operator="equal">
      <formula>"Napkin Hs"</formula>
    </cfRule>
  </conditionalFormatting>
  <conditionalFormatting sqref="B118:C118">
    <cfRule type="cellIs" dxfId="16409" priority="4723" stopIfTrue="1" operator="equal">
      <formula>"Towel"</formula>
    </cfRule>
    <cfRule type="cellIs" dxfId="16408" priority="4724" stopIfTrue="1" operator="equal">
      <formula>"Napkin Hs"</formula>
    </cfRule>
  </conditionalFormatting>
  <conditionalFormatting sqref="B118">
    <cfRule type="cellIs" dxfId="16407" priority="4721" stopIfTrue="1" operator="equal">
      <formula>"Towel"</formula>
    </cfRule>
    <cfRule type="cellIs" dxfId="16406" priority="4722" stopIfTrue="1" operator="equal">
      <formula>"Napkin Hs"</formula>
    </cfRule>
  </conditionalFormatting>
  <conditionalFormatting sqref="B118">
    <cfRule type="cellIs" dxfId="16405" priority="4719" stopIfTrue="1" operator="equal">
      <formula>"Towel"</formula>
    </cfRule>
    <cfRule type="cellIs" dxfId="16404" priority="4720" stopIfTrue="1" operator="equal">
      <formula>"Napkin Hs"</formula>
    </cfRule>
  </conditionalFormatting>
  <conditionalFormatting sqref="B118">
    <cfRule type="cellIs" dxfId="16403" priority="4717" stopIfTrue="1" operator="equal">
      <formula>"Towel"</formula>
    </cfRule>
    <cfRule type="cellIs" dxfId="16402" priority="4718" stopIfTrue="1" operator="equal">
      <formula>"Napkin Hs"</formula>
    </cfRule>
  </conditionalFormatting>
  <conditionalFormatting sqref="B118:C118">
    <cfRule type="cellIs" dxfId="16401" priority="4715" stopIfTrue="1" operator="equal">
      <formula>"Towel"</formula>
    </cfRule>
    <cfRule type="cellIs" dxfId="16400" priority="4716" stopIfTrue="1" operator="equal">
      <formula>"Napkin Hs"</formula>
    </cfRule>
  </conditionalFormatting>
  <conditionalFormatting sqref="C118">
    <cfRule type="cellIs" dxfId="16399" priority="4713" stopIfTrue="1" operator="equal">
      <formula>"Towel"</formula>
    </cfRule>
    <cfRule type="cellIs" dxfId="16398" priority="4714" stopIfTrue="1" operator="equal">
      <formula>"Napkin Hs"</formula>
    </cfRule>
  </conditionalFormatting>
  <conditionalFormatting sqref="C118">
    <cfRule type="cellIs" dxfId="16397" priority="4711" stopIfTrue="1" operator="equal">
      <formula>"Towel"</formula>
    </cfRule>
    <cfRule type="cellIs" dxfId="16396" priority="4712" stopIfTrue="1" operator="equal">
      <formula>"Napkin Hs"</formula>
    </cfRule>
  </conditionalFormatting>
  <conditionalFormatting sqref="C118">
    <cfRule type="cellIs" dxfId="16395" priority="4703" stopIfTrue="1" operator="equal">
      <formula>"Towel"</formula>
    </cfRule>
    <cfRule type="cellIs" dxfId="16394" priority="4704" stopIfTrue="1" operator="equal">
      <formula>"Napkin Hs"</formula>
    </cfRule>
  </conditionalFormatting>
  <conditionalFormatting sqref="B118:C118">
    <cfRule type="cellIs" dxfId="16393" priority="4705" stopIfTrue="1" operator="equal">
      <formula>"Towel"</formula>
    </cfRule>
    <cfRule type="cellIs" dxfId="16392" priority="4706" stopIfTrue="1" operator="equal">
      <formula>"Napkin Hs"</formula>
    </cfRule>
  </conditionalFormatting>
  <conditionalFormatting sqref="C118">
    <cfRule type="cellIs" dxfId="16391" priority="4701" stopIfTrue="1" operator="equal">
      <formula>"Towel"</formula>
    </cfRule>
    <cfRule type="cellIs" dxfId="16390" priority="4702" stopIfTrue="1" operator="equal">
      <formula>"Napkin Hs"</formula>
    </cfRule>
  </conditionalFormatting>
  <conditionalFormatting sqref="B118:C118">
    <cfRule type="cellIs" dxfId="16389" priority="4699" stopIfTrue="1" operator="equal">
      <formula>"Towel"</formula>
    </cfRule>
    <cfRule type="cellIs" dxfId="16388" priority="4700" stopIfTrue="1" operator="equal">
      <formula>"Napkin Hs"</formula>
    </cfRule>
  </conditionalFormatting>
  <conditionalFormatting sqref="C118">
    <cfRule type="cellIs" dxfId="16387" priority="4707" stopIfTrue="1" operator="equal">
      <formula>"Towel"</formula>
    </cfRule>
    <cfRule type="cellIs" dxfId="16386" priority="4708" stopIfTrue="1" operator="equal">
      <formula>"Napkin Hs"</formula>
    </cfRule>
  </conditionalFormatting>
  <conditionalFormatting sqref="C118">
    <cfRule type="cellIs" dxfId="16385" priority="4709" stopIfTrue="1" operator="equal">
      <formula>"Towel"</formula>
    </cfRule>
    <cfRule type="cellIs" dxfId="16384" priority="4710" stopIfTrue="1" operator="equal">
      <formula>"Napkin Hs"</formula>
    </cfRule>
  </conditionalFormatting>
  <conditionalFormatting sqref="B118:C118">
    <cfRule type="cellIs" dxfId="16383" priority="4695" stopIfTrue="1" operator="equal">
      <formula>"Towel"</formula>
    </cfRule>
    <cfRule type="cellIs" dxfId="16382" priority="4696" stopIfTrue="1" operator="equal">
      <formula>"Napkin Hs"</formula>
    </cfRule>
  </conditionalFormatting>
  <conditionalFormatting sqref="C118">
    <cfRule type="cellIs" dxfId="16381" priority="4697" stopIfTrue="1" operator="equal">
      <formula>"Towel"</formula>
    </cfRule>
    <cfRule type="cellIs" dxfId="16380" priority="4698" stopIfTrue="1" operator="equal">
      <formula>"Napkin Hs"</formula>
    </cfRule>
  </conditionalFormatting>
  <conditionalFormatting sqref="C118">
    <cfRule type="cellIs" dxfId="16379" priority="4693" stopIfTrue="1" operator="equal">
      <formula>"Towel"</formula>
    </cfRule>
    <cfRule type="cellIs" dxfId="16378" priority="4694" stopIfTrue="1" operator="equal">
      <formula>"Napkin Hs"</formula>
    </cfRule>
  </conditionalFormatting>
  <conditionalFormatting sqref="B118">
    <cfRule type="cellIs" dxfId="16377" priority="4689" stopIfTrue="1" operator="equal">
      <formula>"Towel"</formula>
    </cfRule>
    <cfRule type="cellIs" dxfId="16376" priority="4690" stopIfTrue="1" operator="equal">
      <formula>"Napkin Hs"</formula>
    </cfRule>
  </conditionalFormatting>
  <conditionalFormatting sqref="B118">
    <cfRule type="cellIs" dxfId="16375" priority="4691" stopIfTrue="1" operator="equal">
      <formula>"Towel"</formula>
    </cfRule>
    <cfRule type="cellIs" dxfId="16374" priority="4692" stopIfTrue="1" operator="equal">
      <formula>"Napkin Hs"</formula>
    </cfRule>
  </conditionalFormatting>
  <conditionalFormatting sqref="B118">
    <cfRule type="cellIs" dxfId="16373" priority="4687" stopIfTrue="1" operator="equal">
      <formula>"Towel"</formula>
    </cfRule>
    <cfRule type="cellIs" dxfId="16372" priority="4688" stopIfTrue="1" operator="equal">
      <formula>"Napkin Hs"</formula>
    </cfRule>
  </conditionalFormatting>
  <conditionalFormatting sqref="B118:C118">
    <cfRule type="cellIs" dxfId="16371" priority="4685" stopIfTrue="1" operator="equal">
      <formula>"Towel"</formula>
    </cfRule>
    <cfRule type="cellIs" dxfId="16370" priority="4686" stopIfTrue="1" operator="equal">
      <formula>"Napkin Hs"</formula>
    </cfRule>
  </conditionalFormatting>
  <conditionalFormatting sqref="C118">
    <cfRule type="cellIs" dxfId="16369" priority="4683" stopIfTrue="1" operator="equal">
      <formula>"Towel"</formula>
    </cfRule>
    <cfRule type="cellIs" dxfId="16368" priority="4684" stopIfTrue="1" operator="equal">
      <formula>"Napkin Hs"</formula>
    </cfRule>
  </conditionalFormatting>
  <conditionalFormatting sqref="C118">
    <cfRule type="cellIs" dxfId="16367" priority="4681" stopIfTrue="1" operator="equal">
      <formula>"Towel"</formula>
    </cfRule>
    <cfRule type="cellIs" dxfId="16366" priority="4682" stopIfTrue="1" operator="equal">
      <formula>"Napkin Hs"</formula>
    </cfRule>
  </conditionalFormatting>
  <conditionalFormatting sqref="C118">
    <cfRule type="cellIs" dxfId="16365" priority="4673" stopIfTrue="1" operator="equal">
      <formula>"Towel"</formula>
    </cfRule>
    <cfRule type="cellIs" dxfId="16364" priority="4674" stopIfTrue="1" operator="equal">
      <formula>"Napkin Hs"</formula>
    </cfRule>
  </conditionalFormatting>
  <conditionalFormatting sqref="B118:C118">
    <cfRule type="cellIs" dxfId="16363" priority="4675" stopIfTrue="1" operator="equal">
      <formula>"Towel"</formula>
    </cfRule>
    <cfRule type="cellIs" dxfId="16362" priority="4676" stopIfTrue="1" operator="equal">
      <formula>"Napkin Hs"</formula>
    </cfRule>
  </conditionalFormatting>
  <conditionalFormatting sqref="C118">
    <cfRule type="cellIs" dxfId="16361" priority="4671" stopIfTrue="1" operator="equal">
      <formula>"Towel"</formula>
    </cfRule>
    <cfRule type="cellIs" dxfId="16360" priority="4672" stopIfTrue="1" operator="equal">
      <formula>"Napkin Hs"</formula>
    </cfRule>
  </conditionalFormatting>
  <conditionalFormatting sqref="B118:C118">
    <cfRule type="cellIs" dxfId="16359" priority="4669" stopIfTrue="1" operator="equal">
      <formula>"Towel"</formula>
    </cfRule>
    <cfRule type="cellIs" dxfId="16358" priority="4670" stopIfTrue="1" operator="equal">
      <formula>"Napkin Hs"</formula>
    </cfRule>
  </conditionalFormatting>
  <conditionalFormatting sqref="C118">
    <cfRule type="cellIs" dxfId="16357" priority="4677" stopIfTrue="1" operator="equal">
      <formula>"Towel"</formula>
    </cfRule>
    <cfRule type="cellIs" dxfId="16356" priority="4678" stopIfTrue="1" operator="equal">
      <formula>"Napkin Hs"</formula>
    </cfRule>
  </conditionalFormatting>
  <conditionalFormatting sqref="C118">
    <cfRule type="cellIs" dxfId="16355" priority="4679" stopIfTrue="1" operator="equal">
      <formula>"Towel"</formula>
    </cfRule>
    <cfRule type="cellIs" dxfId="16354" priority="4680" stopIfTrue="1" operator="equal">
      <formula>"Napkin Hs"</formula>
    </cfRule>
  </conditionalFormatting>
  <conditionalFormatting sqref="C118">
    <cfRule type="cellIs" dxfId="16353" priority="4665" stopIfTrue="1" operator="equal">
      <formula>"Towel"</formula>
    </cfRule>
    <cfRule type="cellIs" dxfId="16352" priority="4666" stopIfTrue="1" operator="equal">
      <formula>"Napkin Hs"</formula>
    </cfRule>
  </conditionalFormatting>
  <conditionalFormatting sqref="C118">
    <cfRule type="cellIs" dxfId="16351" priority="4667" stopIfTrue="1" operator="equal">
      <formula>"Towel"</formula>
    </cfRule>
    <cfRule type="cellIs" dxfId="16350" priority="4668" stopIfTrue="1" operator="equal">
      <formula>"Napkin Hs"</formula>
    </cfRule>
  </conditionalFormatting>
  <conditionalFormatting sqref="B118:C118">
    <cfRule type="cellIs" dxfId="16349" priority="4663" stopIfTrue="1" operator="equal">
      <formula>"Towel"</formula>
    </cfRule>
    <cfRule type="cellIs" dxfId="16348" priority="4664" stopIfTrue="1" operator="equal">
      <formula>"Napkin Hs"</formula>
    </cfRule>
  </conditionalFormatting>
  <conditionalFormatting sqref="B118:C118">
    <cfRule type="cellIs" dxfId="16347" priority="4657" stopIfTrue="1" operator="equal">
      <formula>"Towel"</formula>
    </cfRule>
    <cfRule type="cellIs" dxfId="16346" priority="4658" stopIfTrue="1" operator="equal">
      <formula>"Napkin Hs"</formula>
    </cfRule>
  </conditionalFormatting>
  <conditionalFormatting sqref="C118">
    <cfRule type="cellIs" dxfId="16345" priority="4659" stopIfTrue="1" operator="equal">
      <formula>"Towel"</formula>
    </cfRule>
    <cfRule type="cellIs" dxfId="16344" priority="4660" stopIfTrue="1" operator="equal">
      <formula>"Napkin Hs"</formula>
    </cfRule>
  </conditionalFormatting>
  <conditionalFormatting sqref="C118">
    <cfRule type="cellIs" dxfId="16343" priority="4661" stopIfTrue="1" operator="equal">
      <formula>"Towel"</formula>
    </cfRule>
    <cfRule type="cellIs" dxfId="16342" priority="4662" stopIfTrue="1" operator="equal">
      <formula>"Napkin Hs"</formula>
    </cfRule>
  </conditionalFormatting>
  <conditionalFormatting sqref="C118">
    <cfRule type="cellIs" dxfId="16341" priority="4629" stopIfTrue="1" operator="equal">
      <formula>"Towel"</formula>
    </cfRule>
    <cfRule type="cellIs" dxfId="16340" priority="4630" stopIfTrue="1" operator="equal">
      <formula>"Napkin Hs"</formula>
    </cfRule>
  </conditionalFormatting>
  <conditionalFormatting sqref="C118">
    <cfRule type="cellIs" dxfId="16339" priority="4631" stopIfTrue="1" operator="equal">
      <formula>"Towel"</formula>
    </cfRule>
    <cfRule type="cellIs" dxfId="16338" priority="4632" stopIfTrue="1" operator="equal">
      <formula>"Napkin Hs"</formula>
    </cfRule>
  </conditionalFormatting>
  <conditionalFormatting sqref="C118">
    <cfRule type="cellIs" dxfId="16337" priority="4627" stopIfTrue="1" operator="equal">
      <formula>"Towel"</formula>
    </cfRule>
    <cfRule type="cellIs" dxfId="16336" priority="4628" stopIfTrue="1" operator="equal">
      <formula>"Napkin Hs"</formula>
    </cfRule>
  </conditionalFormatting>
  <conditionalFormatting sqref="B118">
    <cfRule type="cellIs" dxfId="16335" priority="4621" stopIfTrue="1" operator="equal">
      <formula>"Towel"</formula>
    </cfRule>
    <cfRule type="cellIs" dxfId="16334" priority="4622" stopIfTrue="1" operator="equal">
      <formula>"Napkin Hs"</formula>
    </cfRule>
  </conditionalFormatting>
  <conditionalFormatting sqref="C118">
    <cfRule type="cellIs" dxfId="16333" priority="4623" stopIfTrue="1" operator="equal">
      <formula>"Towel"</formula>
    </cfRule>
    <cfRule type="cellIs" dxfId="16332" priority="4624" stopIfTrue="1" operator="equal">
      <formula>"Napkin Hs"</formula>
    </cfRule>
  </conditionalFormatting>
  <conditionalFormatting sqref="C118">
    <cfRule type="cellIs" dxfId="16331" priority="4625" stopIfTrue="1" operator="equal">
      <formula>"Towel"</formula>
    </cfRule>
    <cfRule type="cellIs" dxfId="16330" priority="4626" stopIfTrue="1" operator="equal">
      <formula>"Napkin Hs"</formula>
    </cfRule>
  </conditionalFormatting>
  <conditionalFormatting sqref="B118:C118">
    <cfRule type="cellIs" dxfId="16329" priority="4575" stopIfTrue="1" operator="equal">
      <formula>"Towel"</formula>
    </cfRule>
    <cfRule type="cellIs" dxfId="16328" priority="4576" stopIfTrue="1" operator="equal">
      <formula>"Napkin Hs"</formula>
    </cfRule>
  </conditionalFormatting>
  <conditionalFormatting sqref="C118">
    <cfRule type="cellIs" dxfId="16327" priority="4577" stopIfTrue="1" operator="equal">
      <formula>"Towel"</formula>
    </cfRule>
    <cfRule type="cellIs" dxfId="16326" priority="4578" stopIfTrue="1" operator="equal">
      <formula>"Napkin Hs"</formula>
    </cfRule>
  </conditionalFormatting>
  <conditionalFormatting sqref="C118">
    <cfRule type="cellIs" dxfId="16325" priority="4573" stopIfTrue="1" operator="equal">
      <formula>"Towel"</formula>
    </cfRule>
    <cfRule type="cellIs" dxfId="16324" priority="4574" stopIfTrue="1" operator="equal">
      <formula>"Napkin Hs"</formula>
    </cfRule>
  </conditionalFormatting>
  <conditionalFormatting sqref="C118">
    <cfRule type="cellIs" dxfId="16323" priority="4571" stopIfTrue="1" operator="equal">
      <formula>"Towel"</formula>
    </cfRule>
    <cfRule type="cellIs" dxfId="16322" priority="4572" stopIfTrue="1" operator="equal">
      <formula>"Napkin Hs"</formula>
    </cfRule>
  </conditionalFormatting>
  <conditionalFormatting sqref="B118">
    <cfRule type="cellIs" dxfId="16321" priority="4619" stopIfTrue="1" operator="equal">
      <formula>"Towel"</formula>
    </cfRule>
    <cfRule type="cellIs" dxfId="16320" priority="4620" stopIfTrue="1" operator="equal">
      <formula>"Napkin Hs"</formula>
    </cfRule>
  </conditionalFormatting>
  <conditionalFormatting sqref="C118">
    <cfRule type="cellIs" dxfId="16319" priority="4615" stopIfTrue="1" operator="equal">
      <formula>"Towel"</formula>
    </cfRule>
    <cfRule type="cellIs" dxfId="16318" priority="4616" stopIfTrue="1" operator="equal">
      <formula>"Napkin Hs"</formula>
    </cfRule>
  </conditionalFormatting>
  <conditionalFormatting sqref="C118">
    <cfRule type="cellIs" dxfId="16317" priority="4609" stopIfTrue="1" operator="equal">
      <formula>"Towel"</formula>
    </cfRule>
    <cfRule type="cellIs" dxfId="16316" priority="4610" stopIfTrue="1" operator="equal">
      <formula>"Napkin Hs"</formula>
    </cfRule>
  </conditionalFormatting>
  <conditionalFormatting sqref="C118">
    <cfRule type="cellIs" dxfId="16315" priority="4613" stopIfTrue="1" operator="equal">
      <formula>"Towel"</formula>
    </cfRule>
    <cfRule type="cellIs" dxfId="16314" priority="4614" stopIfTrue="1" operator="equal">
      <formula>"Napkin Hs"</formula>
    </cfRule>
  </conditionalFormatting>
  <conditionalFormatting sqref="B118:C118">
    <cfRule type="cellIs" dxfId="16313" priority="4611" stopIfTrue="1" operator="equal">
      <formula>"Towel"</formula>
    </cfRule>
    <cfRule type="cellIs" dxfId="16312" priority="4612" stopIfTrue="1" operator="equal">
      <formula>"Napkin Hs"</formula>
    </cfRule>
  </conditionalFormatting>
  <conditionalFormatting sqref="C118">
    <cfRule type="cellIs" dxfId="16311" priority="4603" stopIfTrue="1" operator="equal">
      <formula>"Towel"</formula>
    </cfRule>
    <cfRule type="cellIs" dxfId="16310" priority="4604" stopIfTrue="1" operator="equal">
      <formula>"Napkin Hs"</formula>
    </cfRule>
  </conditionalFormatting>
  <conditionalFormatting sqref="C118">
    <cfRule type="cellIs" dxfId="16309" priority="4605" stopIfTrue="1" operator="equal">
      <formula>"Towel"</formula>
    </cfRule>
    <cfRule type="cellIs" dxfId="16308" priority="4606" stopIfTrue="1" operator="equal">
      <formula>"Napkin Hs"</formula>
    </cfRule>
  </conditionalFormatting>
  <conditionalFormatting sqref="C118">
    <cfRule type="cellIs" dxfId="16307" priority="4607" stopIfTrue="1" operator="equal">
      <formula>"Towel"</formula>
    </cfRule>
    <cfRule type="cellIs" dxfId="16306" priority="4608" stopIfTrue="1" operator="equal">
      <formula>"Napkin Hs"</formula>
    </cfRule>
  </conditionalFormatting>
  <conditionalFormatting sqref="C118">
    <cfRule type="cellIs" dxfId="16305" priority="4597" stopIfTrue="1" operator="equal">
      <formula>"Towel"</formula>
    </cfRule>
    <cfRule type="cellIs" dxfId="16304" priority="4598" stopIfTrue="1" operator="equal">
      <formula>"Napkin Hs"</formula>
    </cfRule>
  </conditionalFormatting>
  <conditionalFormatting sqref="B118:C118">
    <cfRule type="cellIs" dxfId="16303" priority="4601" stopIfTrue="1" operator="equal">
      <formula>"Towel"</formula>
    </cfRule>
    <cfRule type="cellIs" dxfId="16302" priority="4602" stopIfTrue="1" operator="equal">
      <formula>"Napkin Hs"</formula>
    </cfRule>
  </conditionalFormatting>
  <conditionalFormatting sqref="C118">
    <cfRule type="cellIs" dxfId="16301" priority="4599" stopIfTrue="1" operator="equal">
      <formula>"Towel"</formula>
    </cfRule>
    <cfRule type="cellIs" dxfId="16300" priority="4600" stopIfTrue="1" operator="equal">
      <formula>"Napkin Hs"</formula>
    </cfRule>
  </conditionalFormatting>
  <conditionalFormatting sqref="B118:C118">
    <cfRule type="cellIs" dxfId="16299" priority="4591" stopIfTrue="1" operator="equal">
      <formula>"Towel"</formula>
    </cfRule>
    <cfRule type="cellIs" dxfId="16298" priority="4592" stopIfTrue="1" operator="equal">
      <formula>"Napkin Hs"</formula>
    </cfRule>
  </conditionalFormatting>
  <conditionalFormatting sqref="C118">
    <cfRule type="cellIs" dxfId="16297" priority="4593" stopIfTrue="1" operator="equal">
      <formula>"Towel"</formula>
    </cfRule>
    <cfRule type="cellIs" dxfId="16296" priority="4594" stopIfTrue="1" operator="equal">
      <formula>"Napkin Hs"</formula>
    </cfRule>
  </conditionalFormatting>
  <conditionalFormatting sqref="B118:C118">
    <cfRule type="cellIs" dxfId="16295" priority="4595" stopIfTrue="1" operator="equal">
      <formula>"Towel"</formula>
    </cfRule>
    <cfRule type="cellIs" dxfId="16294" priority="4596" stopIfTrue="1" operator="equal">
      <formula>"Napkin Hs"</formula>
    </cfRule>
  </conditionalFormatting>
  <conditionalFormatting sqref="C118">
    <cfRule type="cellIs" dxfId="16293" priority="4589" stopIfTrue="1" operator="equal">
      <formula>"Towel"</formula>
    </cfRule>
    <cfRule type="cellIs" dxfId="16292" priority="4590" stopIfTrue="1" operator="equal">
      <formula>"Napkin Hs"</formula>
    </cfRule>
  </conditionalFormatting>
  <conditionalFormatting sqref="C118">
    <cfRule type="cellIs" dxfId="16291" priority="4585" stopIfTrue="1" operator="equal">
      <formula>"Towel"</formula>
    </cfRule>
    <cfRule type="cellIs" dxfId="16290" priority="4586" stopIfTrue="1" operator="equal">
      <formula>"Napkin Hs"</formula>
    </cfRule>
  </conditionalFormatting>
  <conditionalFormatting sqref="B118:C118">
    <cfRule type="cellIs" dxfId="16289" priority="4587" stopIfTrue="1" operator="equal">
      <formula>"Towel"</formula>
    </cfRule>
    <cfRule type="cellIs" dxfId="16288" priority="4588" stopIfTrue="1" operator="equal">
      <formula>"Napkin Hs"</formula>
    </cfRule>
  </conditionalFormatting>
  <conditionalFormatting sqref="C118">
    <cfRule type="cellIs" dxfId="16287" priority="4583" stopIfTrue="1" operator="equal">
      <formula>"Towel"</formula>
    </cfRule>
    <cfRule type="cellIs" dxfId="16286" priority="4584" stopIfTrue="1" operator="equal">
      <formula>"Napkin Hs"</formula>
    </cfRule>
  </conditionalFormatting>
  <conditionalFormatting sqref="C118">
    <cfRule type="cellIs" dxfId="16285" priority="4581" stopIfTrue="1" operator="equal">
      <formula>"Towel"</formula>
    </cfRule>
    <cfRule type="cellIs" dxfId="16284" priority="4582" stopIfTrue="1" operator="equal">
      <formula>"Napkin Hs"</formula>
    </cfRule>
  </conditionalFormatting>
  <conditionalFormatting sqref="B118:C118">
    <cfRule type="cellIs" dxfId="16283" priority="4579" stopIfTrue="1" operator="equal">
      <formula>"Towel"</formula>
    </cfRule>
    <cfRule type="cellIs" dxfId="16282" priority="4580" stopIfTrue="1" operator="equal">
      <formula>"Napkin Hs"</formula>
    </cfRule>
  </conditionalFormatting>
  <conditionalFormatting sqref="B118:C118">
    <cfRule type="cellIs" dxfId="16281" priority="4655" stopIfTrue="1" operator="equal">
      <formula>"Towel"</formula>
    </cfRule>
    <cfRule type="cellIs" dxfId="16280" priority="4656" stopIfTrue="1" operator="equal">
      <formula>"Napkin Hs"</formula>
    </cfRule>
  </conditionalFormatting>
  <conditionalFormatting sqref="C118">
    <cfRule type="cellIs" dxfId="16279" priority="4651" stopIfTrue="1" operator="equal">
      <formula>"Towel"</formula>
    </cfRule>
    <cfRule type="cellIs" dxfId="16278" priority="4652" stopIfTrue="1" operator="equal">
      <formula>"Napkin Hs"</formula>
    </cfRule>
  </conditionalFormatting>
  <conditionalFormatting sqref="C118">
    <cfRule type="cellIs" dxfId="16277" priority="4654" stopIfTrue="1" operator="equal">
      <formula>"Napkin Hs"</formula>
    </cfRule>
  </conditionalFormatting>
  <conditionalFormatting sqref="C118">
    <cfRule type="cellIs" dxfId="16276" priority="4653" stopIfTrue="1" operator="equal">
      <formula>"Towel"</formula>
    </cfRule>
  </conditionalFormatting>
  <conditionalFormatting sqref="C118">
    <cfRule type="cellIs" dxfId="16275" priority="4645" stopIfTrue="1" operator="equal">
      <formula>"Towel"</formula>
    </cfRule>
    <cfRule type="cellIs" dxfId="16274" priority="4646" stopIfTrue="1" operator="equal">
      <formula>"Napkin Hs"</formula>
    </cfRule>
  </conditionalFormatting>
  <conditionalFormatting sqref="C118">
    <cfRule type="cellIs" dxfId="16273" priority="4649" stopIfTrue="1" operator="equal">
      <formula>"Towel"</formula>
    </cfRule>
    <cfRule type="cellIs" dxfId="16272" priority="4650" stopIfTrue="1" operator="equal">
      <formula>"Napkin Hs"</formula>
    </cfRule>
  </conditionalFormatting>
  <conditionalFormatting sqref="B118">
    <cfRule type="cellIs" dxfId="16271" priority="4635" stopIfTrue="1" operator="equal">
      <formula>"Towel"</formula>
    </cfRule>
    <cfRule type="cellIs" dxfId="16270" priority="4636" stopIfTrue="1" operator="equal">
      <formula>"Napkin Hs"</formula>
    </cfRule>
  </conditionalFormatting>
  <conditionalFormatting sqref="C118">
    <cfRule type="cellIs" dxfId="16269" priority="4647" stopIfTrue="1" operator="equal">
      <formula>"Towel"</formula>
    </cfRule>
    <cfRule type="cellIs" dxfId="16268" priority="4648" stopIfTrue="1" operator="equal">
      <formula>"Napkin Hs"</formula>
    </cfRule>
  </conditionalFormatting>
  <conditionalFormatting sqref="C118">
    <cfRule type="cellIs" dxfId="16267" priority="4639" stopIfTrue="1" operator="equal">
      <formula>"Towel"</formula>
    </cfRule>
    <cfRule type="cellIs" dxfId="16266" priority="4640" stopIfTrue="1" operator="equal">
      <formula>"Napkin Hs"</formula>
    </cfRule>
  </conditionalFormatting>
  <conditionalFormatting sqref="C118">
    <cfRule type="cellIs" dxfId="16265" priority="4641" stopIfTrue="1" operator="equal">
      <formula>"Towel"</formula>
    </cfRule>
    <cfRule type="cellIs" dxfId="16264" priority="4642" stopIfTrue="1" operator="equal">
      <formula>"Napkin Hs"</formula>
    </cfRule>
  </conditionalFormatting>
  <conditionalFormatting sqref="C118">
    <cfRule type="cellIs" dxfId="16263" priority="4643" stopIfTrue="1" operator="equal">
      <formula>"Towel"</formula>
    </cfRule>
    <cfRule type="cellIs" dxfId="16262" priority="4644" stopIfTrue="1" operator="equal">
      <formula>"Napkin Hs"</formula>
    </cfRule>
  </conditionalFormatting>
  <conditionalFormatting sqref="B118">
    <cfRule type="cellIs" dxfId="16261" priority="4637" stopIfTrue="1" operator="equal">
      <formula>"Towel"</formula>
    </cfRule>
    <cfRule type="cellIs" dxfId="16260" priority="4638" stopIfTrue="1" operator="equal">
      <formula>"Napkin Hs"</formula>
    </cfRule>
  </conditionalFormatting>
  <conditionalFormatting sqref="C118">
    <cfRule type="cellIs" dxfId="16259" priority="4633" stopIfTrue="1" operator="equal">
      <formula>"Towel"</formula>
    </cfRule>
    <cfRule type="cellIs" dxfId="16258" priority="4634" stopIfTrue="1" operator="equal">
      <formula>"Napkin Hs"</formula>
    </cfRule>
  </conditionalFormatting>
  <conditionalFormatting sqref="B118:C118">
    <cfRule type="cellIs" dxfId="16257" priority="4617" stopIfTrue="1" operator="equal">
      <formula>"Towel"</formula>
    </cfRule>
    <cfRule type="cellIs" dxfId="16256" priority="4618" stopIfTrue="1" operator="equal">
      <formula>"Napkin Hs"</formula>
    </cfRule>
  </conditionalFormatting>
  <conditionalFormatting sqref="B118">
    <cfRule type="cellIs" dxfId="16255" priority="4569" stopIfTrue="1" operator="equal">
      <formula>"Towel"</formula>
    </cfRule>
    <cfRule type="cellIs" dxfId="16254" priority="4570" stopIfTrue="1" operator="equal">
      <formula>"Napkin Hs"</formula>
    </cfRule>
  </conditionalFormatting>
  <conditionalFormatting sqref="B118">
    <cfRule type="cellIs" dxfId="16253" priority="4567" stopIfTrue="1" operator="equal">
      <formula>"Towel"</formula>
    </cfRule>
    <cfRule type="cellIs" dxfId="16252" priority="4568" stopIfTrue="1" operator="equal">
      <formula>"Napkin Hs"</formula>
    </cfRule>
  </conditionalFormatting>
  <conditionalFormatting sqref="B118">
    <cfRule type="cellIs" dxfId="16251" priority="4565" stopIfTrue="1" operator="equal">
      <formula>"Towel"</formula>
    </cfRule>
    <cfRule type="cellIs" dxfId="16250" priority="4566" stopIfTrue="1" operator="equal">
      <formula>"Napkin Hs"</formula>
    </cfRule>
  </conditionalFormatting>
  <conditionalFormatting sqref="B118">
    <cfRule type="cellIs" dxfId="16249" priority="4559" stopIfTrue="1" operator="equal">
      <formula>"Towel"</formula>
    </cfRule>
    <cfRule type="cellIs" dxfId="16248" priority="4560" stopIfTrue="1" operator="equal">
      <formula>"Napkin Hs"</formula>
    </cfRule>
  </conditionalFormatting>
  <conditionalFormatting sqref="B118">
    <cfRule type="cellIs" dxfId="16247" priority="4563" stopIfTrue="1" operator="equal">
      <formula>"Towel"</formula>
    </cfRule>
    <cfRule type="cellIs" dxfId="16246" priority="4564" stopIfTrue="1" operator="equal">
      <formula>"Napkin Hs"</formula>
    </cfRule>
  </conditionalFormatting>
  <conditionalFormatting sqref="B118">
    <cfRule type="cellIs" dxfId="16245" priority="4561" stopIfTrue="1" operator="equal">
      <formula>"Towel"</formula>
    </cfRule>
    <cfRule type="cellIs" dxfId="16244" priority="4562" stopIfTrue="1" operator="equal">
      <formula>"Napkin Hs"</formula>
    </cfRule>
  </conditionalFormatting>
  <conditionalFormatting sqref="B118">
    <cfRule type="cellIs" dxfId="16243" priority="4557" stopIfTrue="1" operator="equal">
      <formula>"Towel"</formula>
    </cfRule>
    <cfRule type="cellIs" dxfId="16242" priority="4558" stopIfTrue="1" operator="equal">
      <formula>"Napkin Hs"</formula>
    </cfRule>
  </conditionalFormatting>
  <conditionalFormatting sqref="B118">
    <cfRule type="cellIs" dxfId="16241" priority="4555" stopIfTrue="1" operator="equal">
      <formula>"Towel"</formula>
    </cfRule>
    <cfRule type="cellIs" dxfId="16240" priority="4556" stopIfTrue="1" operator="equal">
      <formula>"Napkin Hs"</formula>
    </cfRule>
  </conditionalFormatting>
  <conditionalFormatting sqref="B118">
    <cfRule type="cellIs" dxfId="16239" priority="4551" stopIfTrue="1" operator="equal">
      <formula>"Towel"</formula>
    </cfRule>
    <cfRule type="cellIs" dxfId="16238" priority="4552" stopIfTrue="1" operator="equal">
      <formula>"Napkin Hs"</formula>
    </cfRule>
  </conditionalFormatting>
  <conditionalFormatting sqref="B118">
    <cfRule type="cellIs" dxfId="16237" priority="4549" stopIfTrue="1" operator="equal">
      <formula>"Towel"</formula>
    </cfRule>
    <cfRule type="cellIs" dxfId="16236" priority="4550" stopIfTrue="1" operator="equal">
      <formula>"Napkin Hs"</formula>
    </cfRule>
  </conditionalFormatting>
  <conditionalFormatting sqref="B118">
    <cfRule type="cellIs" dxfId="16235" priority="4553" stopIfTrue="1" operator="equal">
      <formula>"Towel"</formula>
    </cfRule>
    <cfRule type="cellIs" dxfId="16234" priority="4554" stopIfTrue="1" operator="equal">
      <formula>"Napkin Hs"</formula>
    </cfRule>
  </conditionalFormatting>
  <conditionalFormatting sqref="B118">
    <cfRule type="cellIs" dxfId="16233" priority="4547" stopIfTrue="1" operator="equal">
      <formula>"Towel"</formula>
    </cfRule>
    <cfRule type="cellIs" dxfId="16232" priority="4548" stopIfTrue="1" operator="equal">
      <formula>"Napkin Hs"</formula>
    </cfRule>
  </conditionalFormatting>
  <conditionalFormatting sqref="B118">
    <cfRule type="cellIs" dxfId="16231" priority="4545" stopIfTrue="1" operator="equal">
      <formula>"Towel"</formula>
    </cfRule>
    <cfRule type="cellIs" dxfId="16230" priority="4546" stopIfTrue="1" operator="equal">
      <formula>"Napkin Hs"</formula>
    </cfRule>
  </conditionalFormatting>
  <conditionalFormatting sqref="B118">
    <cfRule type="cellIs" dxfId="16229" priority="4543" stopIfTrue="1" operator="equal">
      <formula>"Towel"</formula>
    </cfRule>
    <cfRule type="cellIs" dxfId="16228" priority="4544" stopIfTrue="1" operator="equal">
      <formula>"Napkin Hs"</formula>
    </cfRule>
  </conditionalFormatting>
  <conditionalFormatting sqref="B118">
    <cfRule type="cellIs" dxfId="16227" priority="4541" stopIfTrue="1" operator="equal">
      <formula>"Towel"</formula>
    </cfRule>
    <cfRule type="cellIs" dxfId="16226" priority="4542" stopIfTrue="1" operator="equal">
      <formula>"Napkin Hs"</formula>
    </cfRule>
  </conditionalFormatting>
  <conditionalFormatting sqref="C118">
    <cfRule type="cellIs" dxfId="16225" priority="4537" stopIfTrue="1" operator="equal">
      <formula>"Towel"</formula>
    </cfRule>
    <cfRule type="cellIs" dxfId="16224" priority="4538" stopIfTrue="1" operator="equal">
      <formula>"Napkin Hs"</formula>
    </cfRule>
  </conditionalFormatting>
  <conditionalFormatting sqref="C118">
    <cfRule type="cellIs" dxfId="16223" priority="4539" stopIfTrue="1" operator="equal">
      <formula>"Towel"</formula>
    </cfRule>
    <cfRule type="cellIs" dxfId="16222" priority="4540" stopIfTrue="1" operator="equal">
      <formula>"Napkin Hs"</formula>
    </cfRule>
  </conditionalFormatting>
  <conditionalFormatting sqref="C118">
    <cfRule type="cellIs" dxfId="16221" priority="4533" stopIfTrue="1" operator="equal">
      <formula>"Towel"</formula>
    </cfRule>
    <cfRule type="cellIs" dxfId="16220" priority="4534" stopIfTrue="1" operator="equal">
      <formula>"Napkin Hs"</formula>
    </cfRule>
  </conditionalFormatting>
  <conditionalFormatting sqref="B118:C118">
    <cfRule type="cellIs" dxfId="16219" priority="4535" stopIfTrue="1" operator="equal">
      <formula>"Towel"</formula>
    </cfRule>
    <cfRule type="cellIs" dxfId="16218" priority="4536" stopIfTrue="1" operator="equal">
      <formula>"Napkin Hs"</formula>
    </cfRule>
  </conditionalFormatting>
  <conditionalFormatting sqref="C118">
    <cfRule type="cellIs" dxfId="16217" priority="4531" stopIfTrue="1" operator="equal">
      <formula>"Towel"</formula>
    </cfRule>
    <cfRule type="cellIs" dxfId="16216" priority="4532" stopIfTrue="1" operator="equal">
      <formula>"Napkin Hs"</formula>
    </cfRule>
  </conditionalFormatting>
  <conditionalFormatting sqref="B118:C118">
    <cfRule type="cellIs" dxfId="16215" priority="4529" stopIfTrue="1" operator="equal">
      <formula>"Towel"</formula>
    </cfRule>
    <cfRule type="cellIs" dxfId="16214" priority="4530" stopIfTrue="1" operator="equal">
      <formula>"Napkin Hs"</formula>
    </cfRule>
  </conditionalFormatting>
  <conditionalFormatting sqref="B118:C118">
    <cfRule type="cellIs" dxfId="16213" priority="4527" stopIfTrue="1" operator="equal">
      <formula>"Towel"</formula>
    </cfRule>
    <cfRule type="cellIs" dxfId="16212" priority="4528" stopIfTrue="1" operator="equal">
      <formula>"Napkin Hs"</formula>
    </cfRule>
  </conditionalFormatting>
  <conditionalFormatting sqref="C118">
    <cfRule type="cellIs" dxfId="16211" priority="4521" stopIfTrue="1" operator="equal">
      <formula>"Towel"</formula>
    </cfRule>
    <cfRule type="cellIs" dxfId="16210" priority="4522" stopIfTrue="1" operator="equal">
      <formula>"Napkin Hs"</formula>
    </cfRule>
  </conditionalFormatting>
  <conditionalFormatting sqref="C118">
    <cfRule type="cellIs" dxfId="16209" priority="4523" stopIfTrue="1" operator="equal">
      <formula>"Towel"</formula>
    </cfRule>
    <cfRule type="cellIs" dxfId="16208" priority="4524" stopIfTrue="1" operator="equal">
      <formula>"Napkin Hs"</formula>
    </cfRule>
  </conditionalFormatting>
  <conditionalFormatting sqref="C118">
    <cfRule type="cellIs" dxfId="16207" priority="4519" stopIfTrue="1" operator="equal">
      <formula>"Towel"</formula>
    </cfRule>
    <cfRule type="cellIs" dxfId="16206" priority="4520" stopIfTrue="1" operator="equal">
      <formula>"Napkin Hs"</formula>
    </cfRule>
  </conditionalFormatting>
  <conditionalFormatting sqref="C118">
    <cfRule type="cellIs" dxfId="16205" priority="4517" stopIfTrue="1" operator="equal">
      <formula>"Towel"</formula>
    </cfRule>
    <cfRule type="cellIs" dxfId="16204" priority="4518" stopIfTrue="1" operator="equal">
      <formula>"Napkin Hs"</formula>
    </cfRule>
  </conditionalFormatting>
  <conditionalFormatting sqref="C118">
    <cfRule type="cellIs" dxfId="16203" priority="4513" stopIfTrue="1" operator="equal">
      <formula>"Towel"</formula>
    </cfRule>
    <cfRule type="cellIs" dxfId="16202" priority="4514" stopIfTrue="1" operator="equal">
      <formula>"Napkin Hs"</formula>
    </cfRule>
  </conditionalFormatting>
  <conditionalFormatting sqref="C118">
    <cfRule type="cellIs" dxfId="16201" priority="4515" stopIfTrue="1" operator="equal">
      <formula>"Towel"</formula>
    </cfRule>
    <cfRule type="cellIs" dxfId="16200" priority="4516" stopIfTrue="1" operator="equal">
      <formula>"Napkin Hs"</formula>
    </cfRule>
  </conditionalFormatting>
  <conditionalFormatting sqref="C118">
    <cfRule type="cellIs" dxfId="16199" priority="4511" stopIfTrue="1" operator="equal">
      <formula>"Towel"</formula>
    </cfRule>
    <cfRule type="cellIs" dxfId="16198" priority="4512" stopIfTrue="1" operator="equal">
      <formula>"Napkin Hs"</formula>
    </cfRule>
  </conditionalFormatting>
  <conditionalFormatting sqref="C118">
    <cfRule type="cellIs" dxfId="16197" priority="4495" stopIfTrue="1" operator="equal">
      <formula>"Towel"</formula>
    </cfRule>
    <cfRule type="cellIs" dxfId="16196" priority="4496" stopIfTrue="1" operator="equal">
      <formula>"Napkin Hs"</formula>
    </cfRule>
  </conditionalFormatting>
  <conditionalFormatting sqref="B118">
    <cfRule type="cellIs" dxfId="16195" priority="4493" stopIfTrue="1" operator="equal">
      <formula>"Towel"</formula>
    </cfRule>
    <cfRule type="cellIs" dxfId="16194" priority="4494" stopIfTrue="1" operator="equal">
      <formula>"Napkin Hs"</formula>
    </cfRule>
  </conditionalFormatting>
  <conditionalFormatting sqref="B118">
    <cfRule type="cellIs" dxfId="16193" priority="4509" stopIfTrue="1" operator="equal">
      <formula>"Towel"</formula>
    </cfRule>
    <cfRule type="cellIs" dxfId="16192" priority="4510" stopIfTrue="1" operator="equal">
      <formula>"Napkin Hs"</formula>
    </cfRule>
  </conditionalFormatting>
  <conditionalFormatting sqref="C118">
    <cfRule type="cellIs" dxfId="16191" priority="4505" stopIfTrue="1" operator="equal">
      <formula>"Towel"</formula>
    </cfRule>
    <cfRule type="cellIs" dxfId="16190" priority="4506" stopIfTrue="1" operator="equal">
      <formula>"Napkin Hs"</formula>
    </cfRule>
  </conditionalFormatting>
  <conditionalFormatting sqref="B118">
    <cfRule type="cellIs" dxfId="16189" priority="4507" stopIfTrue="1" operator="equal">
      <formula>"Towel"</formula>
    </cfRule>
    <cfRule type="cellIs" dxfId="16188" priority="4508" stopIfTrue="1" operator="equal">
      <formula>"Napkin Hs"</formula>
    </cfRule>
  </conditionalFormatting>
  <conditionalFormatting sqref="C118">
    <cfRule type="cellIs" dxfId="16187" priority="4501" stopIfTrue="1" operator="equal">
      <formula>"Towel"</formula>
    </cfRule>
    <cfRule type="cellIs" dxfId="16186" priority="4502" stopIfTrue="1" operator="equal">
      <formula>"Napkin Hs"</formula>
    </cfRule>
  </conditionalFormatting>
  <conditionalFormatting sqref="C118">
    <cfRule type="cellIs" dxfId="16185" priority="4503" stopIfTrue="1" operator="equal">
      <formula>"Towel"</formula>
    </cfRule>
    <cfRule type="cellIs" dxfId="16184" priority="4504" stopIfTrue="1" operator="equal">
      <formula>"Napkin Hs"</formula>
    </cfRule>
  </conditionalFormatting>
  <conditionalFormatting sqref="C118">
    <cfRule type="cellIs" dxfId="16183" priority="4499" stopIfTrue="1" operator="equal">
      <formula>"Towel"</formula>
    </cfRule>
    <cfRule type="cellIs" dxfId="16182" priority="4500" stopIfTrue="1" operator="equal">
      <formula>"Napkin Hs"</formula>
    </cfRule>
  </conditionalFormatting>
  <conditionalFormatting sqref="C118">
    <cfRule type="cellIs" dxfId="16181" priority="4497" stopIfTrue="1" operator="equal">
      <formula>"Towel"</formula>
    </cfRule>
    <cfRule type="cellIs" dxfId="16180" priority="4498" stopIfTrue="1" operator="equal">
      <formula>"Napkin Hs"</formula>
    </cfRule>
  </conditionalFormatting>
  <conditionalFormatting sqref="B118">
    <cfRule type="cellIs" dxfId="16179" priority="4491" stopIfTrue="1" operator="equal">
      <formula>"Towel"</formula>
    </cfRule>
    <cfRule type="cellIs" dxfId="16178" priority="4492" stopIfTrue="1" operator="equal">
      <formula>"Napkin Hs"</formula>
    </cfRule>
  </conditionalFormatting>
  <conditionalFormatting sqref="B118:C118">
    <cfRule type="cellIs" dxfId="16177" priority="4489" stopIfTrue="1" operator="equal">
      <formula>"Towel"</formula>
    </cfRule>
    <cfRule type="cellIs" dxfId="16176" priority="4490" stopIfTrue="1" operator="equal">
      <formula>"Napkin Hs"</formula>
    </cfRule>
  </conditionalFormatting>
  <conditionalFormatting sqref="C118">
    <cfRule type="cellIs" dxfId="16175" priority="4487" stopIfTrue="1" operator="equal">
      <formula>"Towel"</formula>
    </cfRule>
    <cfRule type="cellIs" dxfId="16174" priority="4488" stopIfTrue="1" operator="equal">
      <formula>"Napkin Hs"</formula>
    </cfRule>
  </conditionalFormatting>
  <conditionalFormatting sqref="C118">
    <cfRule type="cellIs" dxfId="16173" priority="4485" stopIfTrue="1" operator="equal">
      <formula>"Towel"</formula>
    </cfRule>
    <cfRule type="cellIs" dxfId="16172" priority="4486" stopIfTrue="1" operator="equal">
      <formula>"Napkin Hs"</formula>
    </cfRule>
  </conditionalFormatting>
  <conditionalFormatting sqref="C118">
    <cfRule type="cellIs" dxfId="16171" priority="4475" stopIfTrue="1" operator="equal">
      <formula>"Towel"</formula>
    </cfRule>
    <cfRule type="cellIs" dxfId="16170" priority="4476" stopIfTrue="1" operator="equal">
      <formula>"Napkin Hs"</formula>
    </cfRule>
  </conditionalFormatting>
  <conditionalFormatting sqref="C118">
    <cfRule type="cellIs" dxfId="16169" priority="4477" stopIfTrue="1" operator="equal">
      <formula>"Towel"</formula>
    </cfRule>
    <cfRule type="cellIs" dxfId="16168" priority="4478" stopIfTrue="1" operator="equal">
      <formula>"Napkin Hs"</formula>
    </cfRule>
  </conditionalFormatting>
  <conditionalFormatting sqref="B118:C118">
    <cfRule type="cellIs" dxfId="16167" priority="4473" stopIfTrue="1" operator="equal">
      <formula>"Towel"</formula>
    </cfRule>
    <cfRule type="cellIs" dxfId="16166" priority="4474" stopIfTrue="1" operator="equal">
      <formula>"Napkin Hs"</formula>
    </cfRule>
  </conditionalFormatting>
  <conditionalFormatting sqref="C118">
    <cfRule type="cellIs" dxfId="16165" priority="4471" stopIfTrue="1" operator="equal">
      <formula>"Towel"</formula>
    </cfRule>
    <cfRule type="cellIs" dxfId="16164" priority="4472" stopIfTrue="1" operator="equal">
      <formula>"Napkin Hs"</formula>
    </cfRule>
  </conditionalFormatting>
  <conditionalFormatting sqref="B118:C118">
    <cfRule type="cellIs" dxfId="16163" priority="4467" stopIfTrue="1" operator="equal">
      <formula>"Towel"</formula>
    </cfRule>
    <cfRule type="cellIs" dxfId="16162" priority="4468" stopIfTrue="1" operator="equal">
      <formula>"Napkin Hs"</formula>
    </cfRule>
  </conditionalFormatting>
  <conditionalFormatting sqref="C118">
    <cfRule type="cellIs" dxfId="16161" priority="4469" stopIfTrue="1" operator="equal">
      <formula>"Towel"</formula>
    </cfRule>
    <cfRule type="cellIs" dxfId="16160" priority="4470" stopIfTrue="1" operator="equal">
      <formula>"Napkin Hs"</formula>
    </cfRule>
  </conditionalFormatting>
  <conditionalFormatting sqref="C118">
    <cfRule type="cellIs" dxfId="16159" priority="4526" stopIfTrue="1" operator="equal">
      <formula>"Napkin Hs"</formula>
    </cfRule>
  </conditionalFormatting>
  <conditionalFormatting sqref="C118">
    <cfRule type="cellIs" dxfId="16158" priority="4525" stopIfTrue="1" operator="equal">
      <formula>"Towel"</formula>
    </cfRule>
  </conditionalFormatting>
  <conditionalFormatting sqref="B118:C118">
    <cfRule type="cellIs" dxfId="16157" priority="4483" stopIfTrue="1" operator="equal">
      <formula>"Towel"</formula>
    </cfRule>
    <cfRule type="cellIs" dxfId="16156" priority="4484" stopIfTrue="1" operator="equal">
      <formula>"Napkin Hs"</formula>
    </cfRule>
  </conditionalFormatting>
  <conditionalFormatting sqref="C118">
    <cfRule type="cellIs" dxfId="16155" priority="4481" stopIfTrue="1" operator="equal">
      <formula>"Towel"</formula>
    </cfRule>
    <cfRule type="cellIs" dxfId="16154" priority="4482" stopIfTrue="1" operator="equal">
      <formula>"Napkin Hs"</formula>
    </cfRule>
  </conditionalFormatting>
  <conditionalFormatting sqref="C118">
    <cfRule type="cellIs" dxfId="16153" priority="4479" stopIfTrue="1" operator="equal">
      <formula>"Towel"</formula>
    </cfRule>
    <cfRule type="cellIs" dxfId="16152" priority="4480" stopIfTrue="1" operator="equal">
      <formula>"Napkin Hs"</formula>
    </cfRule>
  </conditionalFormatting>
  <conditionalFormatting sqref="B118:C118">
    <cfRule type="cellIs" dxfId="16151" priority="4463" stopIfTrue="1" operator="equal">
      <formula>"Towel"</formula>
    </cfRule>
    <cfRule type="cellIs" dxfId="16150" priority="4464" stopIfTrue="1" operator="equal">
      <formula>"Napkin Hs"</formula>
    </cfRule>
  </conditionalFormatting>
  <conditionalFormatting sqref="C118">
    <cfRule type="cellIs" dxfId="16149" priority="4465" stopIfTrue="1" operator="equal">
      <formula>"Towel"</formula>
    </cfRule>
    <cfRule type="cellIs" dxfId="16148" priority="4466" stopIfTrue="1" operator="equal">
      <formula>"Napkin Hs"</formula>
    </cfRule>
  </conditionalFormatting>
  <conditionalFormatting sqref="C118">
    <cfRule type="cellIs" dxfId="16147" priority="4461" stopIfTrue="1" operator="equal">
      <formula>"Towel"</formula>
    </cfRule>
    <cfRule type="cellIs" dxfId="16146" priority="4462" stopIfTrue="1" operator="equal">
      <formula>"Napkin Hs"</formula>
    </cfRule>
  </conditionalFormatting>
  <conditionalFormatting sqref="B118:C118">
    <cfRule type="cellIs" dxfId="16145" priority="4459" stopIfTrue="1" operator="equal">
      <formula>"Towel"</formula>
    </cfRule>
    <cfRule type="cellIs" dxfId="16144" priority="4460" stopIfTrue="1" operator="equal">
      <formula>"Napkin Hs"</formula>
    </cfRule>
  </conditionalFormatting>
  <conditionalFormatting sqref="C118">
    <cfRule type="cellIs" dxfId="16143" priority="4455" stopIfTrue="1" operator="equal">
      <formula>"Towel"</formula>
    </cfRule>
    <cfRule type="cellIs" dxfId="16142" priority="4456" stopIfTrue="1" operator="equal">
      <formula>"Napkin Hs"</formula>
    </cfRule>
  </conditionalFormatting>
  <conditionalFormatting sqref="C118">
    <cfRule type="cellIs" dxfId="16141" priority="4457" stopIfTrue="1" operator="equal">
      <formula>"Towel"</formula>
    </cfRule>
    <cfRule type="cellIs" dxfId="16140" priority="4458" stopIfTrue="1" operator="equal">
      <formula>"Napkin Hs"</formula>
    </cfRule>
  </conditionalFormatting>
  <conditionalFormatting sqref="B118:C118">
    <cfRule type="cellIs" dxfId="16139" priority="4451" stopIfTrue="1" operator="equal">
      <formula>"Towel"</formula>
    </cfRule>
    <cfRule type="cellIs" dxfId="16138" priority="4452" stopIfTrue="1" operator="equal">
      <formula>"Napkin Hs"</formula>
    </cfRule>
  </conditionalFormatting>
  <conditionalFormatting sqref="C118">
    <cfRule type="cellIs" dxfId="16137" priority="4453" stopIfTrue="1" operator="equal">
      <formula>"Towel"</formula>
    </cfRule>
    <cfRule type="cellIs" dxfId="16136" priority="4454" stopIfTrue="1" operator="equal">
      <formula>"Napkin Hs"</formula>
    </cfRule>
  </conditionalFormatting>
  <conditionalFormatting sqref="C118">
    <cfRule type="cellIs" dxfId="16135" priority="4449" stopIfTrue="1" operator="equal">
      <formula>"Towel"</formula>
    </cfRule>
    <cfRule type="cellIs" dxfId="16134" priority="4450" stopIfTrue="1" operator="equal">
      <formula>"Napkin Hs"</formula>
    </cfRule>
  </conditionalFormatting>
  <conditionalFormatting sqref="B118:C118">
    <cfRule type="cellIs" dxfId="16133" priority="4447" stopIfTrue="1" operator="equal">
      <formula>"Towel"</formula>
    </cfRule>
    <cfRule type="cellIs" dxfId="16132" priority="4448" stopIfTrue="1" operator="equal">
      <formula>"Napkin Hs"</formula>
    </cfRule>
  </conditionalFormatting>
  <conditionalFormatting sqref="C118">
    <cfRule type="cellIs" dxfId="16131" priority="4443" stopIfTrue="1" operator="equal">
      <formula>"Towel"</formula>
    </cfRule>
    <cfRule type="cellIs" dxfId="16130" priority="4444" stopIfTrue="1" operator="equal">
      <formula>"Napkin Hs"</formula>
    </cfRule>
  </conditionalFormatting>
  <conditionalFormatting sqref="C118">
    <cfRule type="cellIs" dxfId="16129" priority="4445" stopIfTrue="1" operator="equal">
      <formula>"Towel"</formula>
    </cfRule>
    <cfRule type="cellIs" dxfId="16128" priority="4446" stopIfTrue="1" operator="equal">
      <formula>"Napkin Hs"</formula>
    </cfRule>
  </conditionalFormatting>
  <conditionalFormatting sqref="B119">
    <cfRule type="cellIs" dxfId="16127" priority="4441" stopIfTrue="1" operator="equal">
      <formula>"Towel"</formula>
    </cfRule>
    <cfRule type="cellIs" dxfId="16126" priority="4442" stopIfTrue="1" operator="equal">
      <formula>"Napkin Hs"</formula>
    </cfRule>
  </conditionalFormatting>
  <conditionalFormatting sqref="B119">
    <cfRule type="cellIs" dxfId="16125" priority="4439" stopIfTrue="1" operator="equal">
      <formula>"Towel"</formula>
    </cfRule>
    <cfRule type="cellIs" dxfId="16124" priority="4440" stopIfTrue="1" operator="equal">
      <formula>"Napkin Hs"</formula>
    </cfRule>
  </conditionalFormatting>
  <conditionalFormatting sqref="B119">
    <cfRule type="cellIs" dxfId="16123" priority="4437" stopIfTrue="1" operator="equal">
      <formula>"Towel"</formula>
    </cfRule>
    <cfRule type="cellIs" dxfId="16122" priority="4438" stopIfTrue="1" operator="equal">
      <formula>"Napkin Hs"</formula>
    </cfRule>
  </conditionalFormatting>
  <conditionalFormatting sqref="B119">
    <cfRule type="cellIs" dxfId="16121" priority="4435" stopIfTrue="1" operator="equal">
      <formula>"Towel"</formula>
    </cfRule>
    <cfRule type="cellIs" dxfId="16120" priority="4436" stopIfTrue="1" operator="equal">
      <formula>"Napkin Hs"</formula>
    </cfRule>
  </conditionalFormatting>
  <conditionalFormatting sqref="C124">
    <cfRule type="cellIs" dxfId="16119" priority="4427" stopIfTrue="1" operator="equal">
      <formula>"Towel"</formula>
    </cfRule>
    <cfRule type="cellIs" dxfId="16118" priority="4428" stopIfTrue="1" operator="equal">
      <formula>"Napkin Hs"</formula>
    </cfRule>
  </conditionalFormatting>
  <conditionalFormatting sqref="C124">
    <cfRule type="cellIs" dxfId="16117" priority="4425" stopIfTrue="1" operator="equal">
      <formula>"Towel"</formula>
    </cfRule>
    <cfRule type="cellIs" dxfId="16116" priority="4426" stopIfTrue="1" operator="equal">
      <formula>"Napkin Hs"</formula>
    </cfRule>
  </conditionalFormatting>
  <conditionalFormatting sqref="B124:C124">
    <cfRule type="cellIs" dxfId="16115" priority="4423" stopIfTrue="1" operator="equal">
      <formula>"Towel"</formula>
    </cfRule>
    <cfRule type="cellIs" dxfId="16114" priority="4424" stopIfTrue="1" operator="equal">
      <formula>"Napkin Hs"</formula>
    </cfRule>
  </conditionalFormatting>
  <conditionalFormatting sqref="B124:C124">
    <cfRule type="cellIs" dxfId="16113" priority="4433" stopIfTrue="1" operator="equal">
      <formula>"Towel"</formula>
    </cfRule>
    <cfRule type="cellIs" dxfId="16112" priority="4434" stopIfTrue="1" operator="equal">
      <formula>"Napkin Hs"</formula>
    </cfRule>
  </conditionalFormatting>
  <conditionalFormatting sqref="C124">
    <cfRule type="cellIs" dxfId="16111" priority="4431" stopIfTrue="1" operator="equal">
      <formula>"Towel"</formula>
    </cfRule>
    <cfRule type="cellIs" dxfId="16110" priority="4432" stopIfTrue="1" operator="equal">
      <formula>"Napkin Hs"</formula>
    </cfRule>
  </conditionalFormatting>
  <conditionalFormatting sqref="C124">
    <cfRule type="cellIs" dxfId="16109" priority="4429" stopIfTrue="1" operator="equal">
      <formula>"Towel"</formula>
    </cfRule>
    <cfRule type="cellIs" dxfId="16108" priority="4430" stopIfTrue="1" operator="equal">
      <formula>"Napkin Hs"</formula>
    </cfRule>
  </conditionalFormatting>
  <conditionalFormatting sqref="C124">
    <cfRule type="cellIs" dxfId="16107" priority="4421" stopIfTrue="1" operator="equal">
      <formula>"Towel"</formula>
    </cfRule>
    <cfRule type="cellIs" dxfId="16106" priority="4422" stopIfTrue="1" operator="equal">
      <formula>"Napkin Hs"</formula>
    </cfRule>
  </conditionalFormatting>
  <conditionalFormatting sqref="C124">
    <cfRule type="cellIs" dxfId="16105" priority="4419" stopIfTrue="1" operator="equal">
      <formula>"Towel"</formula>
    </cfRule>
    <cfRule type="cellIs" dxfId="16104" priority="4420" stopIfTrue="1" operator="equal">
      <formula>"Napkin Hs"</formula>
    </cfRule>
  </conditionalFormatting>
  <conditionalFormatting sqref="B124:C124">
    <cfRule type="cellIs" dxfId="16103" priority="4417" stopIfTrue="1" operator="equal">
      <formula>"Towel"</formula>
    </cfRule>
    <cfRule type="cellIs" dxfId="16102" priority="4418" stopIfTrue="1" operator="equal">
      <formula>"Napkin Hs"</formula>
    </cfRule>
  </conditionalFormatting>
  <conditionalFormatting sqref="B124">
    <cfRule type="cellIs" dxfId="16101" priority="4415" stopIfTrue="1" operator="equal">
      <formula>"Towel"</formula>
    </cfRule>
    <cfRule type="cellIs" dxfId="16100" priority="4416" stopIfTrue="1" operator="equal">
      <formula>"Napkin Hs"</formula>
    </cfRule>
  </conditionalFormatting>
  <conditionalFormatting sqref="B124">
    <cfRule type="cellIs" dxfId="16099" priority="4405" stopIfTrue="1" operator="equal">
      <formula>"Towel"</formula>
    </cfRule>
    <cfRule type="cellIs" dxfId="16098" priority="4406" stopIfTrue="1" operator="equal">
      <formula>"Napkin Hs"</formula>
    </cfRule>
  </conditionalFormatting>
  <conditionalFormatting sqref="B124">
    <cfRule type="cellIs" dxfId="16097" priority="4399" stopIfTrue="1" operator="equal">
      <formula>"Towel"</formula>
    </cfRule>
    <cfRule type="cellIs" dxfId="16096" priority="4400" stopIfTrue="1" operator="equal">
      <formula>"Napkin Hs"</formula>
    </cfRule>
  </conditionalFormatting>
  <conditionalFormatting sqref="B124:C124">
    <cfRule type="cellIs" dxfId="16095" priority="4397" stopIfTrue="1" operator="equal">
      <formula>"Towel"</formula>
    </cfRule>
    <cfRule type="cellIs" dxfId="16094" priority="4398" stopIfTrue="1" operator="equal">
      <formula>"Napkin Hs"</formula>
    </cfRule>
  </conditionalFormatting>
  <conditionalFormatting sqref="C124">
    <cfRule type="cellIs" dxfId="16093" priority="4395" stopIfTrue="1" operator="equal">
      <formula>"Towel"</formula>
    </cfRule>
    <cfRule type="cellIs" dxfId="16092" priority="4396" stopIfTrue="1" operator="equal">
      <formula>"Napkin Hs"</formula>
    </cfRule>
  </conditionalFormatting>
  <conditionalFormatting sqref="C124">
    <cfRule type="cellIs" dxfId="16091" priority="4393" stopIfTrue="1" operator="equal">
      <formula>"Towel"</formula>
    </cfRule>
    <cfRule type="cellIs" dxfId="16090" priority="4394" stopIfTrue="1" operator="equal">
      <formula>"Napkin Hs"</formula>
    </cfRule>
  </conditionalFormatting>
  <conditionalFormatting sqref="C124">
    <cfRule type="cellIs" dxfId="16089" priority="4385" stopIfTrue="1" operator="equal">
      <formula>"Towel"</formula>
    </cfRule>
    <cfRule type="cellIs" dxfId="16088" priority="4386" stopIfTrue="1" operator="equal">
      <formula>"Napkin Hs"</formula>
    </cfRule>
  </conditionalFormatting>
  <conditionalFormatting sqref="B124:C124">
    <cfRule type="cellIs" dxfId="16087" priority="4387" stopIfTrue="1" operator="equal">
      <formula>"Towel"</formula>
    </cfRule>
    <cfRule type="cellIs" dxfId="16086" priority="4388" stopIfTrue="1" operator="equal">
      <formula>"Napkin Hs"</formula>
    </cfRule>
  </conditionalFormatting>
  <conditionalFormatting sqref="C124">
    <cfRule type="cellIs" dxfId="16085" priority="4383" stopIfTrue="1" operator="equal">
      <formula>"Towel"</formula>
    </cfRule>
    <cfRule type="cellIs" dxfId="16084" priority="4384" stopIfTrue="1" operator="equal">
      <formula>"Napkin Hs"</formula>
    </cfRule>
  </conditionalFormatting>
  <conditionalFormatting sqref="B124:C124">
    <cfRule type="cellIs" dxfId="16083" priority="4381" stopIfTrue="1" operator="equal">
      <formula>"Towel"</formula>
    </cfRule>
    <cfRule type="cellIs" dxfId="16082" priority="4382" stopIfTrue="1" operator="equal">
      <formula>"Napkin Hs"</formula>
    </cfRule>
  </conditionalFormatting>
  <conditionalFormatting sqref="C124">
    <cfRule type="cellIs" dxfId="16081" priority="4389" stopIfTrue="1" operator="equal">
      <formula>"Towel"</formula>
    </cfRule>
    <cfRule type="cellIs" dxfId="16080" priority="4390" stopIfTrue="1" operator="equal">
      <formula>"Napkin Hs"</formula>
    </cfRule>
  </conditionalFormatting>
  <conditionalFormatting sqref="C124">
    <cfRule type="cellIs" dxfId="16079" priority="4391" stopIfTrue="1" operator="equal">
      <formula>"Towel"</formula>
    </cfRule>
    <cfRule type="cellIs" dxfId="16078" priority="4392" stopIfTrue="1" operator="equal">
      <formula>"Napkin Hs"</formula>
    </cfRule>
  </conditionalFormatting>
  <conditionalFormatting sqref="B124:C124">
    <cfRule type="cellIs" dxfId="16077" priority="4377" stopIfTrue="1" operator="equal">
      <formula>"Towel"</formula>
    </cfRule>
    <cfRule type="cellIs" dxfId="16076" priority="4378" stopIfTrue="1" operator="equal">
      <formula>"Napkin Hs"</formula>
    </cfRule>
  </conditionalFormatting>
  <conditionalFormatting sqref="C124">
    <cfRule type="cellIs" dxfId="16075" priority="4379" stopIfTrue="1" operator="equal">
      <formula>"Towel"</formula>
    </cfRule>
    <cfRule type="cellIs" dxfId="16074" priority="4380" stopIfTrue="1" operator="equal">
      <formula>"Napkin Hs"</formula>
    </cfRule>
  </conditionalFormatting>
  <conditionalFormatting sqref="C124">
    <cfRule type="cellIs" dxfId="16073" priority="4375" stopIfTrue="1" operator="equal">
      <formula>"Towel"</formula>
    </cfRule>
    <cfRule type="cellIs" dxfId="16072" priority="4376" stopIfTrue="1" operator="equal">
      <formula>"Napkin Hs"</formula>
    </cfRule>
  </conditionalFormatting>
  <conditionalFormatting sqref="B124">
    <cfRule type="cellIs" dxfId="16071" priority="4363" stopIfTrue="1" operator="equal">
      <formula>"Towel"</formula>
    </cfRule>
    <cfRule type="cellIs" dxfId="16070" priority="4364" stopIfTrue="1" operator="equal">
      <formula>"Napkin Hs"</formula>
    </cfRule>
  </conditionalFormatting>
  <conditionalFormatting sqref="B124">
    <cfRule type="cellIs" dxfId="16069" priority="4373" stopIfTrue="1" operator="equal">
      <formula>"Towel"</formula>
    </cfRule>
    <cfRule type="cellIs" dxfId="16068" priority="4374" stopIfTrue="1" operator="equal">
      <formula>"Napkin Hs"</formula>
    </cfRule>
  </conditionalFormatting>
  <conditionalFormatting sqref="B124">
    <cfRule type="cellIs" dxfId="16067" priority="4357" stopIfTrue="1" operator="equal">
      <formula>"Towel"</formula>
    </cfRule>
    <cfRule type="cellIs" dxfId="16066" priority="4358" stopIfTrue="1" operator="equal">
      <formula>"Napkin Hs"</formula>
    </cfRule>
  </conditionalFormatting>
  <conditionalFormatting sqref="B124:C124">
    <cfRule type="cellIs" dxfId="16065" priority="4355" stopIfTrue="1" operator="equal">
      <formula>"Towel"</formula>
    </cfRule>
    <cfRule type="cellIs" dxfId="16064" priority="4356" stopIfTrue="1" operator="equal">
      <formula>"Napkin Hs"</formula>
    </cfRule>
  </conditionalFormatting>
  <conditionalFormatting sqref="C124">
    <cfRule type="cellIs" dxfId="16063" priority="4353" stopIfTrue="1" operator="equal">
      <formula>"Towel"</formula>
    </cfRule>
    <cfRule type="cellIs" dxfId="16062" priority="4354" stopIfTrue="1" operator="equal">
      <formula>"Napkin Hs"</formula>
    </cfRule>
  </conditionalFormatting>
  <conditionalFormatting sqref="C124">
    <cfRule type="cellIs" dxfId="16061" priority="4351" stopIfTrue="1" operator="equal">
      <formula>"Towel"</formula>
    </cfRule>
    <cfRule type="cellIs" dxfId="16060" priority="4352" stopIfTrue="1" operator="equal">
      <formula>"Napkin Hs"</formula>
    </cfRule>
  </conditionalFormatting>
  <conditionalFormatting sqref="C124">
    <cfRule type="cellIs" dxfId="16059" priority="4343" stopIfTrue="1" operator="equal">
      <formula>"Towel"</formula>
    </cfRule>
    <cfRule type="cellIs" dxfId="16058" priority="4344" stopIfTrue="1" operator="equal">
      <formula>"Napkin Hs"</formula>
    </cfRule>
  </conditionalFormatting>
  <conditionalFormatting sqref="B124:C124">
    <cfRule type="cellIs" dxfId="16057" priority="4345" stopIfTrue="1" operator="equal">
      <formula>"Towel"</formula>
    </cfRule>
    <cfRule type="cellIs" dxfId="16056" priority="4346" stopIfTrue="1" operator="equal">
      <formula>"Napkin Hs"</formula>
    </cfRule>
  </conditionalFormatting>
  <conditionalFormatting sqref="C124">
    <cfRule type="cellIs" dxfId="16055" priority="4341" stopIfTrue="1" operator="equal">
      <formula>"Towel"</formula>
    </cfRule>
    <cfRule type="cellIs" dxfId="16054" priority="4342" stopIfTrue="1" operator="equal">
      <formula>"Napkin Hs"</formula>
    </cfRule>
  </conditionalFormatting>
  <conditionalFormatting sqref="B124:C124">
    <cfRule type="cellIs" dxfId="16053" priority="4339" stopIfTrue="1" operator="equal">
      <formula>"Towel"</formula>
    </cfRule>
    <cfRule type="cellIs" dxfId="16052" priority="4340" stopIfTrue="1" operator="equal">
      <formula>"Napkin Hs"</formula>
    </cfRule>
  </conditionalFormatting>
  <conditionalFormatting sqref="C124">
    <cfRule type="cellIs" dxfId="16051" priority="4347" stopIfTrue="1" operator="equal">
      <formula>"Towel"</formula>
    </cfRule>
    <cfRule type="cellIs" dxfId="16050" priority="4348" stopIfTrue="1" operator="equal">
      <formula>"Napkin Hs"</formula>
    </cfRule>
  </conditionalFormatting>
  <conditionalFormatting sqref="C124">
    <cfRule type="cellIs" dxfId="16049" priority="4349" stopIfTrue="1" operator="equal">
      <formula>"Towel"</formula>
    </cfRule>
    <cfRule type="cellIs" dxfId="16048" priority="4350" stopIfTrue="1" operator="equal">
      <formula>"Napkin Hs"</formula>
    </cfRule>
  </conditionalFormatting>
  <conditionalFormatting sqref="C124">
    <cfRule type="cellIs" dxfId="16047" priority="4335" stopIfTrue="1" operator="equal">
      <formula>"Towel"</formula>
    </cfRule>
    <cfRule type="cellIs" dxfId="16046" priority="4336" stopIfTrue="1" operator="equal">
      <formula>"Napkin Hs"</formula>
    </cfRule>
  </conditionalFormatting>
  <conditionalFormatting sqref="C124">
    <cfRule type="cellIs" dxfId="16045" priority="4337" stopIfTrue="1" operator="equal">
      <formula>"Towel"</formula>
    </cfRule>
    <cfRule type="cellIs" dxfId="16044" priority="4338" stopIfTrue="1" operator="equal">
      <formula>"Napkin Hs"</formula>
    </cfRule>
  </conditionalFormatting>
  <conditionalFormatting sqref="B124:C124">
    <cfRule type="cellIs" dxfId="16043" priority="4333" stopIfTrue="1" operator="equal">
      <formula>"Towel"</formula>
    </cfRule>
    <cfRule type="cellIs" dxfId="16042" priority="4334" stopIfTrue="1" operator="equal">
      <formula>"Napkin Hs"</formula>
    </cfRule>
  </conditionalFormatting>
  <conditionalFormatting sqref="B124:C124">
    <cfRule type="cellIs" dxfId="16041" priority="4327" stopIfTrue="1" operator="equal">
      <formula>"Towel"</formula>
    </cfRule>
    <cfRule type="cellIs" dxfId="16040" priority="4328" stopIfTrue="1" operator="equal">
      <formula>"Napkin Hs"</formula>
    </cfRule>
  </conditionalFormatting>
  <conditionalFormatting sqref="C124">
    <cfRule type="cellIs" dxfId="16039" priority="4329" stopIfTrue="1" operator="equal">
      <formula>"Towel"</formula>
    </cfRule>
    <cfRule type="cellIs" dxfId="16038" priority="4330" stopIfTrue="1" operator="equal">
      <formula>"Napkin Hs"</formula>
    </cfRule>
  </conditionalFormatting>
  <conditionalFormatting sqref="C124">
    <cfRule type="cellIs" dxfId="16037" priority="4331" stopIfTrue="1" operator="equal">
      <formula>"Towel"</formula>
    </cfRule>
    <cfRule type="cellIs" dxfId="16036" priority="4332" stopIfTrue="1" operator="equal">
      <formula>"Napkin Hs"</formula>
    </cfRule>
  </conditionalFormatting>
  <conditionalFormatting sqref="C124">
    <cfRule type="cellIs" dxfId="16035" priority="4299" stopIfTrue="1" operator="equal">
      <formula>"Towel"</formula>
    </cfRule>
    <cfRule type="cellIs" dxfId="16034" priority="4300" stopIfTrue="1" operator="equal">
      <formula>"Napkin Hs"</formula>
    </cfRule>
  </conditionalFormatting>
  <conditionalFormatting sqref="C124">
    <cfRule type="cellIs" dxfId="16033" priority="4301" stopIfTrue="1" operator="equal">
      <formula>"Towel"</formula>
    </cfRule>
    <cfRule type="cellIs" dxfId="16032" priority="4302" stopIfTrue="1" operator="equal">
      <formula>"Napkin Hs"</formula>
    </cfRule>
  </conditionalFormatting>
  <conditionalFormatting sqref="C124">
    <cfRule type="cellIs" dxfId="16031" priority="4297" stopIfTrue="1" operator="equal">
      <formula>"Towel"</formula>
    </cfRule>
    <cfRule type="cellIs" dxfId="16030" priority="4298" stopIfTrue="1" operator="equal">
      <formula>"Napkin Hs"</formula>
    </cfRule>
  </conditionalFormatting>
  <conditionalFormatting sqref="B124">
    <cfRule type="cellIs" dxfId="16029" priority="4291" stopIfTrue="1" operator="equal">
      <formula>"Towel"</formula>
    </cfRule>
    <cfRule type="cellIs" dxfId="16028" priority="4292" stopIfTrue="1" operator="equal">
      <formula>"Napkin Hs"</formula>
    </cfRule>
  </conditionalFormatting>
  <conditionalFormatting sqref="C124">
    <cfRule type="cellIs" dxfId="16027" priority="4293" stopIfTrue="1" operator="equal">
      <formula>"Towel"</formula>
    </cfRule>
    <cfRule type="cellIs" dxfId="16026" priority="4294" stopIfTrue="1" operator="equal">
      <formula>"Napkin Hs"</formula>
    </cfRule>
  </conditionalFormatting>
  <conditionalFormatting sqref="C124">
    <cfRule type="cellIs" dxfId="16025" priority="4295" stopIfTrue="1" operator="equal">
      <formula>"Towel"</formula>
    </cfRule>
    <cfRule type="cellIs" dxfId="16024" priority="4296" stopIfTrue="1" operator="equal">
      <formula>"Napkin Hs"</formula>
    </cfRule>
  </conditionalFormatting>
  <conditionalFormatting sqref="B124:C124">
    <cfRule type="cellIs" dxfId="16023" priority="4245" stopIfTrue="1" operator="equal">
      <formula>"Towel"</formula>
    </cfRule>
    <cfRule type="cellIs" dxfId="16022" priority="4246" stopIfTrue="1" operator="equal">
      <formula>"Napkin Hs"</formula>
    </cfRule>
  </conditionalFormatting>
  <conditionalFormatting sqref="C124">
    <cfRule type="cellIs" dxfId="16021" priority="4247" stopIfTrue="1" operator="equal">
      <formula>"Towel"</formula>
    </cfRule>
    <cfRule type="cellIs" dxfId="16020" priority="4248" stopIfTrue="1" operator="equal">
      <formula>"Napkin Hs"</formula>
    </cfRule>
  </conditionalFormatting>
  <conditionalFormatting sqref="C124">
    <cfRule type="cellIs" dxfId="16019" priority="4243" stopIfTrue="1" operator="equal">
      <formula>"Towel"</formula>
    </cfRule>
    <cfRule type="cellIs" dxfId="16018" priority="4244" stopIfTrue="1" operator="equal">
      <formula>"Napkin Hs"</formula>
    </cfRule>
  </conditionalFormatting>
  <conditionalFormatting sqref="C124">
    <cfRule type="cellIs" dxfId="16017" priority="4241" stopIfTrue="1" operator="equal">
      <formula>"Towel"</formula>
    </cfRule>
    <cfRule type="cellIs" dxfId="16016" priority="4242" stopIfTrue="1" operator="equal">
      <formula>"Napkin Hs"</formula>
    </cfRule>
  </conditionalFormatting>
  <conditionalFormatting sqref="B124">
    <cfRule type="cellIs" dxfId="16015" priority="4289" stopIfTrue="1" operator="equal">
      <formula>"Towel"</formula>
    </cfRule>
    <cfRule type="cellIs" dxfId="16014" priority="4290" stopIfTrue="1" operator="equal">
      <formula>"Napkin Hs"</formula>
    </cfRule>
  </conditionalFormatting>
  <conditionalFormatting sqref="C124">
    <cfRule type="cellIs" dxfId="16013" priority="4285" stopIfTrue="1" operator="equal">
      <formula>"Towel"</formula>
    </cfRule>
    <cfRule type="cellIs" dxfId="16012" priority="4286" stopIfTrue="1" operator="equal">
      <formula>"Napkin Hs"</formula>
    </cfRule>
  </conditionalFormatting>
  <conditionalFormatting sqref="C124">
    <cfRule type="cellIs" dxfId="16011" priority="4279" stopIfTrue="1" operator="equal">
      <formula>"Towel"</formula>
    </cfRule>
    <cfRule type="cellIs" dxfId="16010" priority="4280" stopIfTrue="1" operator="equal">
      <formula>"Napkin Hs"</formula>
    </cfRule>
  </conditionalFormatting>
  <conditionalFormatting sqref="C124">
    <cfRule type="cellIs" dxfId="16009" priority="4283" stopIfTrue="1" operator="equal">
      <formula>"Towel"</formula>
    </cfRule>
    <cfRule type="cellIs" dxfId="16008" priority="4284" stopIfTrue="1" operator="equal">
      <formula>"Napkin Hs"</formula>
    </cfRule>
  </conditionalFormatting>
  <conditionalFormatting sqref="B124:C124">
    <cfRule type="cellIs" dxfId="16007" priority="4281" stopIfTrue="1" operator="equal">
      <formula>"Towel"</formula>
    </cfRule>
    <cfRule type="cellIs" dxfId="16006" priority="4282" stopIfTrue="1" operator="equal">
      <formula>"Napkin Hs"</formula>
    </cfRule>
  </conditionalFormatting>
  <conditionalFormatting sqref="C124">
    <cfRule type="cellIs" dxfId="16005" priority="4273" stopIfTrue="1" operator="equal">
      <formula>"Towel"</formula>
    </cfRule>
    <cfRule type="cellIs" dxfId="16004" priority="4274" stopIfTrue="1" operator="equal">
      <formula>"Napkin Hs"</formula>
    </cfRule>
  </conditionalFormatting>
  <conditionalFormatting sqref="C124">
    <cfRule type="cellIs" dxfId="16003" priority="4275" stopIfTrue="1" operator="equal">
      <formula>"Towel"</formula>
    </cfRule>
    <cfRule type="cellIs" dxfId="16002" priority="4276" stopIfTrue="1" operator="equal">
      <formula>"Napkin Hs"</formula>
    </cfRule>
  </conditionalFormatting>
  <conditionalFormatting sqref="C124">
    <cfRule type="cellIs" dxfId="16001" priority="4277" stopIfTrue="1" operator="equal">
      <formula>"Towel"</formula>
    </cfRule>
    <cfRule type="cellIs" dxfId="16000" priority="4278" stopIfTrue="1" operator="equal">
      <formula>"Napkin Hs"</formula>
    </cfRule>
  </conditionalFormatting>
  <conditionalFormatting sqref="C124">
    <cfRule type="cellIs" dxfId="15999" priority="4267" stopIfTrue="1" operator="equal">
      <formula>"Towel"</formula>
    </cfRule>
    <cfRule type="cellIs" dxfId="15998" priority="4268" stopIfTrue="1" operator="equal">
      <formula>"Napkin Hs"</formula>
    </cfRule>
  </conditionalFormatting>
  <conditionalFormatting sqref="B124:C124">
    <cfRule type="cellIs" dxfId="15997" priority="4271" stopIfTrue="1" operator="equal">
      <formula>"Towel"</formula>
    </cfRule>
    <cfRule type="cellIs" dxfId="15996" priority="4272" stopIfTrue="1" operator="equal">
      <formula>"Napkin Hs"</formula>
    </cfRule>
  </conditionalFormatting>
  <conditionalFormatting sqref="C124">
    <cfRule type="cellIs" dxfId="15995" priority="4269" stopIfTrue="1" operator="equal">
      <formula>"Towel"</formula>
    </cfRule>
    <cfRule type="cellIs" dxfId="15994" priority="4270" stopIfTrue="1" operator="equal">
      <formula>"Napkin Hs"</formula>
    </cfRule>
  </conditionalFormatting>
  <conditionalFormatting sqref="B124:C124">
    <cfRule type="cellIs" dxfId="15993" priority="4261" stopIfTrue="1" operator="equal">
      <formula>"Towel"</formula>
    </cfRule>
    <cfRule type="cellIs" dxfId="15992" priority="4262" stopIfTrue="1" operator="equal">
      <formula>"Napkin Hs"</formula>
    </cfRule>
  </conditionalFormatting>
  <conditionalFormatting sqref="C124">
    <cfRule type="cellIs" dxfId="15991" priority="4263" stopIfTrue="1" operator="equal">
      <formula>"Towel"</formula>
    </cfRule>
    <cfRule type="cellIs" dxfId="15990" priority="4264" stopIfTrue="1" operator="equal">
      <formula>"Napkin Hs"</formula>
    </cfRule>
  </conditionalFormatting>
  <conditionalFormatting sqref="B124:C124">
    <cfRule type="cellIs" dxfId="15989" priority="4265" stopIfTrue="1" operator="equal">
      <formula>"Towel"</formula>
    </cfRule>
    <cfRule type="cellIs" dxfId="15988" priority="4266" stopIfTrue="1" operator="equal">
      <formula>"Napkin Hs"</formula>
    </cfRule>
  </conditionalFormatting>
  <conditionalFormatting sqref="C124">
    <cfRule type="cellIs" dxfId="15987" priority="4259" stopIfTrue="1" operator="equal">
      <formula>"Towel"</formula>
    </cfRule>
    <cfRule type="cellIs" dxfId="15986" priority="4260" stopIfTrue="1" operator="equal">
      <formula>"Napkin Hs"</formula>
    </cfRule>
  </conditionalFormatting>
  <conditionalFormatting sqref="C124">
    <cfRule type="cellIs" dxfId="15985" priority="4255" stopIfTrue="1" operator="equal">
      <formula>"Towel"</formula>
    </cfRule>
    <cfRule type="cellIs" dxfId="15984" priority="4256" stopIfTrue="1" operator="equal">
      <formula>"Napkin Hs"</formula>
    </cfRule>
  </conditionalFormatting>
  <conditionalFormatting sqref="B124:C124">
    <cfRule type="cellIs" dxfId="15983" priority="4257" stopIfTrue="1" operator="equal">
      <formula>"Towel"</formula>
    </cfRule>
    <cfRule type="cellIs" dxfId="15982" priority="4258" stopIfTrue="1" operator="equal">
      <formula>"Napkin Hs"</formula>
    </cfRule>
  </conditionalFormatting>
  <conditionalFormatting sqref="C124">
    <cfRule type="cellIs" dxfId="15981" priority="4253" stopIfTrue="1" operator="equal">
      <formula>"Towel"</formula>
    </cfRule>
    <cfRule type="cellIs" dxfId="15980" priority="4254" stopIfTrue="1" operator="equal">
      <formula>"Napkin Hs"</formula>
    </cfRule>
  </conditionalFormatting>
  <conditionalFormatting sqref="C124">
    <cfRule type="cellIs" dxfId="15979" priority="4251" stopIfTrue="1" operator="equal">
      <formula>"Towel"</formula>
    </cfRule>
    <cfRule type="cellIs" dxfId="15978" priority="4252" stopIfTrue="1" operator="equal">
      <formula>"Napkin Hs"</formula>
    </cfRule>
  </conditionalFormatting>
  <conditionalFormatting sqref="B124:C124">
    <cfRule type="cellIs" dxfId="15977" priority="4249" stopIfTrue="1" operator="equal">
      <formula>"Towel"</formula>
    </cfRule>
    <cfRule type="cellIs" dxfId="15976" priority="4250" stopIfTrue="1" operator="equal">
      <formula>"Napkin Hs"</formula>
    </cfRule>
  </conditionalFormatting>
  <conditionalFormatting sqref="B124:C124">
    <cfRule type="cellIs" dxfId="15975" priority="4325" stopIfTrue="1" operator="equal">
      <formula>"Towel"</formula>
    </cfRule>
    <cfRule type="cellIs" dxfId="15974" priority="4326" stopIfTrue="1" operator="equal">
      <formula>"Napkin Hs"</formula>
    </cfRule>
  </conditionalFormatting>
  <conditionalFormatting sqref="C124">
    <cfRule type="cellIs" dxfId="15973" priority="4321" stopIfTrue="1" operator="equal">
      <formula>"Towel"</formula>
    </cfRule>
    <cfRule type="cellIs" dxfId="15972" priority="4322" stopIfTrue="1" operator="equal">
      <formula>"Napkin Hs"</formula>
    </cfRule>
  </conditionalFormatting>
  <conditionalFormatting sqref="C124">
    <cfRule type="cellIs" dxfId="15971" priority="4324" stopIfTrue="1" operator="equal">
      <formula>"Napkin Hs"</formula>
    </cfRule>
  </conditionalFormatting>
  <conditionalFormatting sqref="C124">
    <cfRule type="cellIs" dxfId="15970" priority="4323" stopIfTrue="1" operator="equal">
      <formula>"Towel"</formula>
    </cfRule>
  </conditionalFormatting>
  <conditionalFormatting sqref="C124">
    <cfRule type="cellIs" dxfId="15969" priority="4315" stopIfTrue="1" operator="equal">
      <formula>"Towel"</formula>
    </cfRule>
    <cfRule type="cellIs" dxfId="15968" priority="4316" stopIfTrue="1" operator="equal">
      <formula>"Napkin Hs"</formula>
    </cfRule>
  </conditionalFormatting>
  <conditionalFormatting sqref="C124">
    <cfRule type="cellIs" dxfId="15967" priority="4319" stopIfTrue="1" operator="equal">
      <formula>"Towel"</formula>
    </cfRule>
    <cfRule type="cellIs" dxfId="15966" priority="4320" stopIfTrue="1" operator="equal">
      <formula>"Napkin Hs"</formula>
    </cfRule>
  </conditionalFormatting>
  <conditionalFormatting sqref="B124">
    <cfRule type="cellIs" dxfId="15965" priority="4305" stopIfTrue="1" operator="equal">
      <formula>"Towel"</formula>
    </cfRule>
    <cfRule type="cellIs" dxfId="15964" priority="4306" stopIfTrue="1" operator="equal">
      <formula>"Napkin Hs"</formula>
    </cfRule>
  </conditionalFormatting>
  <conditionalFormatting sqref="C124">
    <cfRule type="cellIs" dxfId="15963" priority="4317" stopIfTrue="1" operator="equal">
      <formula>"Towel"</formula>
    </cfRule>
    <cfRule type="cellIs" dxfId="15962" priority="4318" stopIfTrue="1" operator="equal">
      <formula>"Napkin Hs"</formula>
    </cfRule>
  </conditionalFormatting>
  <conditionalFormatting sqref="C124">
    <cfRule type="cellIs" dxfId="15961" priority="4309" stopIfTrue="1" operator="equal">
      <formula>"Towel"</formula>
    </cfRule>
    <cfRule type="cellIs" dxfId="15960" priority="4310" stopIfTrue="1" operator="equal">
      <formula>"Napkin Hs"</formula>
    </cfRule>
  </conditionalFormatting>
  <conditionalFormatting sqref="C124">
    <cfRule type="cellIs" dxfId="15959" priority="4311" stopIfTrue="1" operator="equal">
      <formula>"Towel"</formula>
    </cfRule>
    <cfRule type="cellIs" dxfId="15958" priority="4312" stopIfTrue="1" operator="equal">
      <formula>"Napkin Hs"</formula>
    </cfRule>
  </conditionalFormatting>
  <conditionalFormatting sqref="C124">
    <cfRule type="cellIs" dxfId="15957" priority="4313" stopIfTrue="1" operator="equal">
      <formula>"Towel"</formula>
    </cfRule>
    <cfRule type="cellIs" dxfId="15956" priority="4314" stopIfTrue="1" operator="equal">
      <formula>"Napkin Hs"</formula>
    </cfRule>
  </conditionalFormatting>
  <conditionalFormatting sqref="B124">
    <cfRule type="cellIs" dxfId="15955" priority="4307" stopIfTrue="1" operator="equal">
      <formula>"Towel"</formula>
    </cfRule>
    <cfRule type="cellIs" dxfId="15954" priority="4308" stopIfTrue="1" operator="equal">
      <formula>"Napkin Hs"</formula>
    </cfRule>
  </conditionalFormatting>
  <conditionalFormatting sqref="C124">
    <cfRule type="cellIs" dxfId="15953" priority="4303" stopIfTrue="1" operator="equal">
      <formula>"Towel"</formula>
    </cfRule>
    <cfRule type="cellIs" dxfId="15952" priority="4304" stopIfTrue="1" operator="equal">
      <formula>"Napkin Hs"</formula>
    </cfRule>
  </conditionalFormatting>
  <conditionalFormatting sqref="B124:C124">
    <cfRule type="cellIs" dxfId="15951" priority="4287" stopIfTrue="1" operator="equal">
      <formula>"Towel"</formula>
    </cfRule>
    <cfRule type="cellIs" dxfId="15950" priority="4288" stopIfTrue="1" operator="equal">
      <formula>"Napkin Hs"</formula>
    </cfRule>
  </conditionalFormatting>
  <conditionalFormatting sqref="B124">
    <cfRule type="cellIs" dxfId="15949" priority="4235" stopIfTrue="1" operator="equal">
      <formula>"Towel"</formula>
    </cfRule>
    <cfRule type="cellIs" dxfId="15948" priority="4236" stopIfTrue="1" operator="equal">
      <formula>"Napkin Hs"</formula>
    </cfRule>
  </conditionalFormatting>
  <conditionalFormatting sqref="B124">
    <cfRule type="cellIs" dxfId="15947" priority="4229" stopIfTrue="1" operator="equal">
      <formula>"Towel"</formula>
    </cfRule>
    <cfRule type="cellIs" dxfId="15946" priority="4230" stopIfTrue="1" operator="equal">
      <formula>"Napkin Hs"</formula>
    </cfRule>
  </conditionalFormatting>
  <conditionalFormatting sqref="B124">
    <cfRule type="cellIs" dxfId="15945" priority="4227" stopIfTrue="1" operator="equal">
      <formula>"Towel"</formula>
    </cfRule>
    <cfRule type="cellIs" dxfId="15944" priority="4228" stopIfTrue="1" operator="equal">
      <formula>"Napkin Hs"</formula>
    </cfRule>
  </conditionalFormatting>
  <conditionalFormatting sqref="B124">
    <cfRule type="cellIs" dxfId="15943" priority="4193" stopIfTrue="1" operator="equal">
      <formula>"Towel"</formula>
    </cfRule>
    <cfRule type="cellIs" dxfId="15942" priority="4194" stopIfTrue="1" operator="equal">
      <formula>"Napkin Hs"</formula>
    </cfRule>
  </conditionalFormatting>
  <conditionalFormatting sqref="B124">
    <cfRule type="cellIs" dxfId="15941" priority="4209" stopIfTrue="1" operator="equal">
      <formula>"Towel"</formula>
    </cfRule>
    <cfRule type="cellIs" dxfId="15940" priority="4210" stopIfTrue="1" operator="equal">
      <formula>"Napkin Hs"</formula>
    </cfRule>
  </conditionalFormatting>
  <conditionalFormatting sqref="B124">
    <cfRule type="cellIs" dxfId="15939" priority="4207" stopIfTrue="1" operator="equal">
      <formula>"Towel"</formula>
    </cfRule>
    <cfRule type="cellIs" dxfId="15938" priority="4208" stopIfTrue="1" operator="equal">
      <formula>"Napkin Hs"</formula>
    </cfRule>
  </conditionalFormatting>
  <conditionalFormatting sqref="B124">
    <cfRule type="cellIs" dxfId="15937" priority="4191" stopIfTrue="1" operator="equal">
      <formula>"Towel"</formula>
    </cfRule>
    <cfRule type="cellIs" dxfId="15936" priority="4192" stopIfTrue="1" operator="equal">
      <formula>"Napkin Hs"</formula>
    </cfRule>
  </conditionalFormatting>
  <conditionalFormatting sqref="B124">
    <cfRule type="cellIs" dxfId="15935" priority="4189" stopIfTrue="1" operator="equal">
      <formula>"Towel"</formula>
    </cfRule>
    <cfRule type="cellIs" dxfId="15934" priority="4190" stopIfTrue="1" operator="equal">
      <formula>"Napkin Hs"</formula>
    </cfRule>
  </conditionalFormatting>
  <conditionalFormatting sqref="B124">
    <cfRule type="cellIs" dxfId="15933" priority="4173" stopIfTrue="1" operator="equal">
      <formula>"Towel"</formula>
    </cfRule>
    <cfRule type="cellIs" dxfId="15932" priority="4174" stopIfTrue="1" operator="equal">
      <formula>"Napkin Hs"</formula>
    </cfRule>
  </conditionalFormatting>
  <conditionalFormatting sqref="B124">
    <cfRule type="cellIs" dxfId="15931" priority="4167" stopIfTrue="1" operator="equal">
      <formula>"Towel"</formula>
    </cfRule>
    <cfRule type="cellIs" dxfId="15930" priority="4168" stopIfTrue="1" operator="equal">
      <formula>"Napkin Hs"</formula>
    </cfRule>
  </conditionalFormatting>
  <conditionalFormatting sqref="B124">
    <cfRule type="cellIs" dxfId="15929" priority="4183" stopIfTrue="1" operator="equal">
      <formula>"Towel"</formula>
    </cfRule>
    <cfRule type="cellIs" dxfId="15928" priority="4184" stopIfTrue="1" operator="equal">
      <formula>"Napkin Hs"</formula>
    </cfRule>
  </conditionalFormatting>
  <conditionalFormatting sqref="B124">
    <cfRule type="cellIs" dxfId="15927" priority="4163" stopIfTrue="1" operator="equal">
      <formula>"Towel"</formula>
    </cfRule>
    <cfRule type="cellIs" dxfId="15926" priority="4164" stopIfTrue="1" operator="equal">
      <formula>"Napkin Hs"</formula>
    </cfRule>
  </conditionalFormatting>
  <conditionalFormatting sqref="B124">
    <cfRule type="cellIs" dxfId="15925" priority="4159" stopIfTrue="1" operator="equal">
      <formula>"Towel"</formula>
    </cfRule>
    <cfRule type="cellIs" dxfId="15924" priority="4160" stopIfTrue="1" operator="equal">
      <formula>"Napkin Hs"</formula>
    </cfRule>
  </conditionalFormatting>
  <conditionalFormatting sqref="B124">
    <cfRule type="cellIs" dxfId="15923" priority="4151" stopIfTrue="1" operator="equal">
      <formula>"Towel"</formula>
    </cfRule>
    <cfRule type="cellIs" dxfId="15922" priority="4152" stopIfTrue="1" operator="equal">
      <formula>"Napkin Hs"</formula>
    </cfRule>
  </conditionalFormatting>
  <conditionalFormatting sqref="B124">
    <cfRule type="cellIs" dxfId="15921" priority="4147" stopIfTrue="1" operator="equal">
      <formula>"Towel"</formula>
    </cfRule>
    <cfRule type="cellIs" dxfId="15920" priority="4148" stopIfTrue="1" operator="equal">
      <formula>"Napkin Hs"</formula>
    </cfRule>
  </conditionalFormatting>
  <conditionalFormatting sqref="C124">
    <cfRule type="cellIs" dxfId="15919" priority="4139" stopIfTrue="1" operator="equal">
      <formula>"Towel"</formula>
    </cfRule>
    <cfRule type="cellIs" dxfId="15918" priority="4140" stopIfTrue="1" operator="equal">
      <formula>"Napkin Hs"</formula>
    </cfRule>
  </conditionalFormatting>
  <conditionalFormatting sqref="C124">
    <cfRule type="cellIs" dxfId="15917" priority="4141" stopIfTrue="1" operator="equal">
      <formula>"Towel"</formula>
    </cfRule>
    <cfRule type="cellIs" dxfId="15916" priority="4142" stopIfTrue="1" operator="equal">
      <formula>"Napkin Hs"</formula>
    </cfRule>
  </conditionalFormatting>
  <conditionalFormatting sqref="C124">
    <cfRule type="cellIs" dxfId="15915" priority="4135" stopIfTrue="1" operator="equal">
      <formula>"Towel"</formula>
    </cfRule>
    <cfRule type="cellIs" dxfId="15914" priority="4136" stopIfTrue="1" operator="equal">
      <formula>"Napkin Hs"</formula>
    </cfRule>
  </conditionalFormatting>
  <conditionalFormatting sqref="B124:C124">
    <cfRule type="cellIs" dxfId="15913" priority="4137" stopIfTrue="1" operator="equal">
      <formula>"Towel"</formula>
    </cfRule>
    <cfRule type="cellIs" dxfId="15912" priority="4138" stopIfTrue="1" operator="equal">
      <formula>"Napkin Hs"</formula>
    </cfRule>
  </conditionalFormatting>
  <conditionalFormatting sqref="C124">
    <cfRule type="cellIs" dxfId="15911" priority="4133" stopIfTrue="1" operator="equal">
      <formula>"Towel"</formula>
    </cfRule>
    <cfRule type="cellIs" dxfId="15910" priority="4134" stopIfTrue="1" operator="equal">
      <formula>"Napkin Hs"</formula>
    </cfRule>
  </conditionalFormatting>
  <conditionalFormatting sqref="B124:C124">
    <cfRule type="cellIs" dxfId="15909" priority="4131" stopIfTrue="1" operator="equal">
      <formula>"Towel"</formula>
    </cfRule>
    <cfRule type="cellIs" dxfId="15908" priority="4132" stopIfTrue="1" operator="equal">
      <formula>"Napkin Hs"</formula>
    </cfRule>
  </conditionalFormatting>
  <conditionalFormatting sqref="B124:C124">
    <cfRule type="cellIs" dxfId="15907" priority="4129" stopIfTrue="1" operator="equal">
      <formula>"Towel"</formula>
    </cfRule>
    <cfRule type="cellIs" dxfId="15906" priority="4130" stopIfTrue="1" operator="equal">
      <formula>"Napkin Hs"</formula>
    </cfRule>
  </conditionalFormatting>
  <conditionalFormatting sqref="C124">
    <cfRule type="cellIs" dxfId="15905" priority="4123" stopIfTrue="1" operator="equal">
      <formula>"Towel"</formula>
    </cfRule>
    <cfRule type="cellIs" dxfId="15904" priority="4124" stopIfTrue="1" operator="equal">
      <formula>"Napkin Hs"</formula>
    </cfRule>
  </conditionalFormatting>
  <conditionalFormatting sqref="C124">
    <cfRule type="cellIs" dxfId="15903" priority="4125" stopIfTrue="1" operator="equal">
      <formula>"Towel"</formula>
    </cfRule>
    <cfRule type="cellIs" dxfId="15902" priority="4126" stopIfTrue="1" operator="equal">
      <formula>"Napkin Hs"</formula>
    </cfRule>
  </conditionalFormatting>
  <conditionalFormatting sqref="C124">
    <cfRule type="cellIs" dxfId="15901" priority="4121" stopIfTrue="1" operator="equal">
      <formula>"Towel"</formula>
    </cfRule>
    <cfRule type="cellIs" dxfId="15900" priority="4122" stopIfTrue="1" operator="equal">
      <formula>"Napkin Hs"</formula>
    </cfRule>
  </conditionalFormatting>
  <conditionalFormatting sqref="C124">
    <cfRule type="cellIs" dxfId="15899" priority="4119" stopIfTrue="1" operator="equal">
      <formula>"Towel"</formula>
    </cfRule>
    <cfRule type="cellIs" dxfId="15898" priority="4120" stopIfTrue="1" operator="equal">
      <formula>"Napkin Hs"</formula>
    </cfRule>
  </conditionalFormatting>
  <conditionalFormatting sqref="C124">
    <cfRule type="cellIs" dxfId="15897" priority="4115" stopIfTrue="1" operator="equal">
      <formula>"Towel"</formula>
    </cfRule>
    <cfRule type="cellIs" dxfId="15896" priority="4116" stopIfTrue="1" operator="equal">
      <formula>"Napkin Hs"</formula>
    </cfRule>
  </conditionalFormatting>
  <conditionalFormatting sqref="C124">
    <cfRule type="cellIs" dxfId="15895" priority="4117" stopIfTrue="1" operator="equal">
      <formula>"Towel"</formula>
    </cfRule>
    <cfRule type="cellIs" dxfId="15894" priority="4118" stopIfTrue="1" operator="equal">
      <formula>"Napkin Hs"</formula>
    </cfRule>
  </conditionalFormatting>
  <conditionalFormatting sqref="C124">
    <cfRule type="cellIs" dxfId="15893" priority="4113" stopIfTrue="1" operator="equal">
      <formula>"Towel"</formula>
    </cfRule>
    <cfRule type="cellIs" dxfId="15892" priority="4114" stopIfTrue="1" operator="equal">
      <formula>"Napkin Hs"</formula>
    </cfRule>
  </conditionalFormatting>
  <conditionalFormatting sqref="C124">
    <cfRule type="cellIs" dxfId="15891" priority="4097" stopIfTrue="1" operator="equal">
      <formula>"Towel"</formula>
    </cfRule>
    <cfRule type="cellIs" dxfId="15890" priority="4098" stopIfTrue="1" operator="equal">
      <formula>"Napkin Hs"</formula>
    </cfRule>
  </conditionalFormatting>
  <conditionalFormatting sqref="B124">
    <cfRule type="cellIs" dxfId="15889" priority="4095" stopIfTrue="1" operator="equal">
      <formula>"Towel"</formula>
    </cfRule>
    <cfRule type="cellIs" dxfId="15888" priority="4096" stopIfTrue="1" operator="equal">
      <formula>"Napkin Hs"</formula>
    </cfRule>
  </conditionalFormatting>
  <conditionalFormatting sqref="B124">
    <cfRule type="cellIs" dxfId="15887" priority="4111" stopIfTrue="1" operator="equal">
      <formula>"Towel"</formula>
    </cfRule>
    <cfRule type="cellIs" dxfId="15886" priority="4112" stopIfTrue="1" operator="equal">
      <formula>"Napkin Hs"</formula>
    </cfRule>
  </conditionalFormatting>
  <conditionalFormatting sqref="C124">
    <cfRule type="cellIs" dxfId="15885" priority="4107" stopIfTrue="1" operator="equal">
      <formula>"Towel"</formula>
    </cfRule>
    <cfRule type="cellIs" dxfId="15884" priority="4108" stopIfTrue="1" operator="equal">
      <formula>"Napkin Hs"</formula>
    </cfRule>
  </conditionalFormatting>
  <conditionalFormatting sqref="B124">
    <cfRule type="cellIs" dxfId="15883" priority="4109" stopIfTrue="1" operator="equal">
      <formula>"Towel"</formula>
    </cfRule>
    <cfRule type="cellIs" dxfId="15882" priority="4110" stopIfTrue="1" operator="equal">
      <formula>"Napkin Hs"</formula>
    </cfRule>
  </conditionalFormatting>
  <conditionalFormatting sqref="C124">
    <cfRule type="cellIs" dxfId="15881" priority="4103" stopIfTrue="1" operator="equal">
      <formula>"Towel"</formula>
    </cfRule>
    <cfRule type="cellIs" dxfId="15880" priority="4104" stopIfTrue="1" operator="equal">
      <formula>"Napkin Hs"</formula>
    </cfRule>
  </conditionalFormatting>
  <conditionalFormatting sqref="C124">
    <cfRule type="cellIs" dxfId="15879" priority="4105" stopIfTrue="1" operator="equal">
      <formula>"Towel"</formula>
    </cfRule>
    <cfRule type="cellIs" dxfId="15878" priority="4106" stopIfTrue="1" operator="equal">
      <formula>"Napkin Hs"</formula>
    </cfRule>
  </conditionalFormatting>
  <conditionalFormatting sqref="C124">
    <cfRule type="cellIs" dxfId="15877" priority="4101" stopIfTrue="1" operator="equal">
      <formula>"Towel"</formula>
    </cfRule>
    <cfRule type="cellIs" dxfId="15876" priority="4102" stopIfTrue="1" operator="equal">
      <formula>"Napkin Hs"</formula>
    </cfRule>
  </conditionalFormatting>
  <conditionalFormatting sqref="C124">
    <cfRule type="cellIs" dxfId="15875" priority="4099" stopIfTrue="1" operator="equal">
      <formula>"Towel"</formula>
    </cfRule>
    <cfRule type="cellIs" dxfId="15874" priority="4100" stopIfTrue="1" operator="equal">
      <formula>"Napkin Hs"</formula>
    </cfRule>
  </conditionalFormatting>
  <conditionalFormatting sqref="B124">
    <cfRule type="cellIs" dxfId="15873" priority="4093" stopIfTrue="1" operator="equal">
      <formula>"Towel"</formula>
    </cfRule>
    <cfRule type="cellIs" dxfId="15872" priority="4094" stopIfTrue="1" operator="equal">
      <formula>"Napkin Hs"</formula>
    </cfRule>
  </conditionalFormatting>
  <conditionalFormatting sqref="B124:C124">
    <cfRule type="cellIs" dxfId="15871" priority="4091" stopIfTrue="1" operator="equal">
      <formula>"Towel"</formula>
    </cfRule>
    <cfRule type="cellIs" dxfId="15870" priority="4092" stopIfTrue="1" operator="equal">
      <formula>"Napkin Hs"</formula>
    </cfRule>
  </conditionalFormatting>
  <conditionalFormatting sqref="C124">
    <cfRule type="cellIs" dxfId="15869" priority="4089" stopIfTrue="1" operator="equal">
      <formula>"Towel"</formula>
    </cfRule>
    <cfRule type="cellIs" dxfId="15868" priority="4090" stopIfTrue="1" operator="equal">
      <formula>"Napkin Hs"</formula>
    </cfRule>
  </conditionalFormatting>
  <conditionalFormatting sqref="C124">
    <cfRule type="cellIs" dxfId="15867" priority="4087" stopIfTrue="1" operator="equal">
      <formula>"Towel"</formula>
    </cfRule>
    <cfRule type="cellIs" dxfId="15866" priority="4088" stopIfTrue="1" operator="equal">
      <formula>"Napkin Hs"</formula>
    </cfRule>
  </conditionalFormatting>
  <conditionalFormatting sqref="C124">
    <cfRule type="cellIs" dxfId="15865" priority="4077" stopIfTrue="1" operator="equal">
      <formula>"Towel"</formula>
    </cfRule>
    <cfRule type="cellIs" dxfId="15864" priority="4078" stopIfTrue="1" operator="equal">
      <formula>"Napkin Hs"</formula>
    </cfRule>
  </conditionalFormatting>
  <conditionalFormatting sqref="C124">
    <cfRule type="cellIs" dxfId="15863" priority="4079" stopIfTrue="1" operator="equal">
      <formula>"Towel"</formula>
    </cfRule>
    <cfRule type="cellIs" dxfId="15862" priority="4080" stopIfTrue="1" operator="equal">
      <formula>"Napkin Hs"</formula>
    </cfRule>
  </conditionalFormatting>
  <conditionalFormatting sqref="B124:C124">
    <cfRule type="cellIs" dxfId="15861" priority="4075" stopIfTrue="1" operator="equal">
      <formula>"Towel"</formula>
    </cfRule>
    <cfRule type="cellIs" dxfId="15860" priority="4076" stopIfTrue="1" operator="equal">
      <formula>"Napkin Hs"</formula>
    </cfRule>
  </conditionalFormatting>
  <conditionalFormatting sqref="C124">
    <cfRule type="cellIs" dxfId="15859" priority="4073" stopIfTrue="1" operator="equal">
      <formula>"Towel"</formula>
    </cfRule>
    <cfRule type="cellIs" dxfId="15858" priority="4074" stopIfTrue="1" operator="equal">
      <formula>"Napkin Hs"</formula>
    </cfRule>
  </conditionalFormatting>
  <conditionalFormatting sqref="B124:C124">
    <cfRule type="cellIs" dxfId="15857" priority="4069" stopIfTrue="1" operator="equal">
      <formula>"Towel"</formula>
    </cfRule>
    <cfRule type="cellIs" dxfId="15856" priority="4070" stopIfTrue="1" operator="equal">
      <formula>"Napkin Hs"</formula>
    </cfRule>
  </conditionalFormatting>
  <conditionalFormatting sqref="C124">
    <cfRule type="cellIs" dxfId="15855" priority="4071" stopIfTrue="1" operator="equal">
      <formula>"Towel"</formula>
    </cfRule>
    <cfRule type="cellIs" dxfId="15854" priority="4072" stopIfTrue="1" operator="equal">
      <formula>"Napkin Hs"</formula>
    </cfRule>
  </conditionalFormatting>
  <conditionalFormatting sqref="C124">
    <cfRule type="cellIs" dxfId="15853" priority="4128" stopIfTrue="1" operator="equal">
      <formula>"Napkin Hs"</formula>
    </cfRule>
  </conditionalFormatting>
  <conditionalFormatting sqref="C124">
    <cfRule type="cellIs" dxfId="15852" priority="4127" stopIfTrue="1" operator="equal">
      <formula>"Towel"</formula>
    </cfRule>
  </conditionalFormatting>
  <conditionalFormatting sqref="B124:C124">
    <cfRule type="cellIs" dxfId="15851" priority="4085" stopIfTrue="1" operator="equal">
      <formula>"Towel"</formula>
    </cfRule>
    <cfRule type="cellIs" dxfId="15850" priority="4086" stopIfTrue="1" operator="equal">
      <formula>"Napkin Hs"</formula>
    </cfRule>
  </conditionalFormatting>
  <conditionalFormatting sqref="C124">
    <cfRule type="cellIs" dxfId="15849" priority="4083" stopIfTrue="1" operator="equal">
      <formula>"Towel"</formula>
    </cfRule>
    <cfRule type="cellIs" dxfId="15848" priority="4084" stopIfTrue="1" operator="equal">
      <formula>"Napkin Hs"</formula>
    </cfRule>
  </conditionalFormatting>
  <conditionalFormatting sqref="C124">
    <cfRule type="cellIs" dxfId="15847" priority="4081" stopIfTrue="1" operator="equal">
      <formula>"Towel"</formula>
    </cfRule>
    <cfRule type="cellIs" dxfId="15846" priority="4082" stopIfTrue="1" operator="equal">
      <formula>"Napkin Hs"</formula>
    </cfRule>
  </conditionalFormatting>
  <conditionalFormatting sqref="B124:C124">
    <cfRule type="cellIs" dxfId="15845" priority="4065" stopIfTrue="1" operator="equal">
      <formula>"Towel"</formula>
    </cfRule>
    <cfRule type="cellIs" dxfId="15844" priority="4066" stopIfTrue="1" operator="equal">
      <formula>"Napkin Hs"</formula>
    </cfRule>
  </conditionalFormatting>
  <conditionalFormatting sqref="C124">
    <cfRule type="cellIs" dxfId="15843" priority="4067" stopIfTrue="1" operator="equal">
      <formula>"Towel"</formula>
    </cfRule>
    <cfRule type="cellIs" dxfId="15842" priority="4068" stopIfTrue="1" operator="equal">
      <formula>"Napkin Hs"</formula>
    </cfRule>
  </conditionalFormatting>
  <conditionalFormatting sqref="C124">
    <cfRule type="cellIs" dxfId="15841" priority="4063" stopIfTrue="1" operator="equal">
      <formula>"Towel"</formula>
    </cfRule>
    <cfRule type="cellIs" dxfId="15840" priority="4064" stopIfTrue="1" operator="equal">
      <formula>"Napkin Hs"</formula>
    </cfRule>
  </conditionalFormatting>
  <conditionalFormatting sqref="B124:C124">
    <cfRule type="cellIs" dxfId="15839" priority="4061" stopIfTrue="1" operator="equal">
      <formula>"Towel"</formula>
    </cfRule>
    <cfRule type="cellIs" dxfId="15838" priority="4062" stopIfTrue="1" operator="equal">
      <formula>"Napkin Hs"</formula>
    </cfRule>
  </conditionalFormatting>
  <conditionalFormatting sqref="C124">
    <cfRule type="cellIs" dxfId="15837" priority="4057" stopIfTrue="1" operator="equal">
      <formula>"Towel"</formula>
    </cfRule>
    <cfRule type="cellIs" dxfId="15836" priority="4058" stopIfTrue="1" operator="equal">
      <formula>"Napkin Hs"</formula>
    </cfRule>
  </conditionalFormatting>
  <conditionalFormatting sqref="C124">
    <cfRule type="cellIs" dxfId="15835" priority="4059" stopIfTrue="1" operator="equal">
      <formula>"Towel"</formula>
    </cfRule>
    <cfRule type="cellIs" dxfId="15834" priority="4060" stopIfTrue="1" operator="equal">
      <formula>"Napkin Hs"</formula>
    </cfRule>
  </conditionalFormatting>
  <conditionalFormatting sqref="B124:C124">
    <cfRule type="cellIs" dxfId="15833" priority="4053" stopIfTrue="1" operator="equal">
      <formula>"Towel"</formula>
    </cfRule>
    <cfRule type="cellIs" dxfId="15832" priority="4054" stopIfTrue="1" operator="equal">
      <formula>"Napkin Hs"</formula>
    </cfRule>
  </conditionalFormatting>
  <conditionalFormatting sqref="C124">
    <cfRule type="cellIs" dxfId="15831" priority="4055" stopIfTrue="1" operator="equal">
      <formula>"Towel"</formula>
    </cfRule>
    <cfRule type="cellIs" dxfId="15830" priority="4056" stopIfTrue="1" operator="equal">
      <formula>"Napkin Hs"</formula>
    </cfRule>
  </conditionalFormatting>
  <conditionalFormatting sqref="C124">
    <cfRule type="cellIs" dxfId="15829" priority="4051" stopIfTrue="1" operator="equal">
      <formula>"Towel"</formula>
    </cfRule>
    <cfRule type="cellIs" dxfId="15828" priority="4052" stopIfTrue="1" operator="equal">
      <formula>"Napkin Hs"</formula>
    </cfRule>
  </conditionalFormatting>
  <conditionalFormatting sqref="B124:C124">
    <cfRule type="cellIs" dxfId="15827" priority="4049" stopIfTrue="1" operator="equal">
      <formula>"Towel"</formula>
    </cfRule>
    <cfRule type="cellIs" dxfId="15826" priority="4050" stopIfTrue="1" operator="equal">
      <formula>"Napkin Hs"</formula>
    </cfRule>
  </conditionalFormatting>
  <conditionalFormatting sqref="C124">
    <cfRule type="cellIs" dxfId="15825" priority="4045" stopIfTrue="1" operator="equal">
      <formula>"Towel"</formula>
    </cfRule>
    <cfRule type="cellIs" dxfId="15824" priority="4046" stopIfTrue="1" operator="equal">
      <formula>"Napkin Hs"</formula>
    </cfRule>
  </conditionalFormatting>
  <conditionalFormatting sqref="C124">
    <cfRule type="cellIs" dxfId="15823" priority="4047" stopIfTrue="1" operator="equal">
      <formula>"Towel"</formula>
    </cfRule>
    <cfRule type="cellIs" dxfId="15822" priority="4048" stopIfTrue="1" operator="equal">
      <formula>"Napkin Hs"</formula>
    </cfRule>
  </conditionalFormatting>
  <conditionalFormatting sqref="C122">
    <cfRule type="cellIs" dxfId="15821" priority="4037" stopIfTrue="1" operator="equal">
      <formula>"Towel"</formula>
    </cfRule>
    <cfRule type="cellIs" dxfId="15820" priority="4038" stopIfTrue="1" operator="equal">
      <formula>"Napkin Hs"</formula>
    </cfRule>
  </conditionalFormatting>
  <conditionalFormatting sqref="C122">
    <cfRule type="cellIs" dxfId="15819" priority="4035" stopIfTrue="1" operator="equal">
      <formula>"Towel"</formula>
    </cfRule>
    <cfRule type="cellIs" dxfId="15818" priority="4036" stopIfTrue="1" operator="equal">
      <formula>"Napkin Hs"</formula>
    </cfRule>
  </conditionalFormatting>
  <conditionalFormatting sqref="B122:C122">
    <cfRule type="cellIs" dxfId="15817" priority="4033" stopIfTrue="1" operator="equal">
      <formula>"Towel"</formula>
    </cfRule>
    <cfRule type="cellIs" dxfId="15816" priority="4034" stopIfTrue="1" operator="equal">
      <formula>"Napkin Hs"</formula>
    </cfRule>
  </conditionalFormatting>
  <conditionalFormatting sqref="B122:C122">
    <cfRule type="cellIs" dxfId="15815" priority="4043" stopIfTrue="1" operator="equal">
      <formula>"Towel"</formula>
    </cfRule>
    <cfRule type="cellIs" dxfId="15814" priority="4044" stopIfTrue="1" operator="equal">
      <formula>"Napkin Hs"</formula>
    </cfRule>
  </conditionalFormatting>
  <conditionalFormatting sqref="C122">
    <cfRule type="cellIs" dxfId="15813" priority="4041" stopIfTrue="1" operator="equal">
      <formula>"Towel"</formula>
    </cfRule>
    <cfRule type="cellIs" dxfId="15812" priority="4042" stopIfTrue="1" operator="equal">
      <formula>"Napkin Hs"</formula>
    </cfRule>
  </conditionalFormatting>
  <conditionalFormatting sqref="C122">
    <cfRule type="cellIs" dxfId="15811" priority="4039" stopIfTrue="1" operator="equal">
      <formula>"Towel"</formula>
    </cfRule>
    <cfRule type="cellIs" dxfId="15810" priority="4040" stopIfTrue="1" operator="equal">
      <formula>"Napkin Hs"</formula>
    </cfRule>
  </conditionalFormatting>
  <conditionalFormatting sqref="C122">
    <cfRule type="cellIs" dxfId="15809" priority="4031" stopIfTrue="1" operator="equal">
      <formula>"Towel"</formula>
    </cfRule>
    <cfRule type="cellIs" dxfId="15808" priority="4032" stopIfTrue="1" operator="equal">
      <formula>"Napkin Hs"</formula>
    </cfRule>
  </conditionalFormatting>
  <conditionalFormatting sqref="C122">
    <cfRule type="cellIs" dxfId="15807" priority="4029" stopIfTrue="1" operator="equal">
      <formula>"Towel"</formula>
    </cfRule>
    <cfRule type="cellIs" dxfId="15806" priority="4030" stopIfTrue="1" operator="equal">
      <formula>"Napkin Hs"</formula>
    </cfRule>
  </conditionalFormatting>
  <conditionalFormatting sqref="B122:C122">
    <cfRule type="cellIs" dxfId="15805" priority="4027" stopIfTrue="1" operator="equal">
      <formula>"Towel"</formula>
    </cfRule>
    <cfRule type="cellIs" dxfId="15804" priority="4028" stopIfTrue="1" operator="equal">
      <formula>"Napkin Hs"</formula>
    </cfRule>
  </conditionalFormatting>
  <conditionalFormatting sqref="B122">
    <cfRule type="cellIs" dxfId="15803" priority="4025" stopIfTrue="1" operator="equal">
      <formula>"Towel"</formula>
    </cfRule>
    <cfRule type="cellIs" dxfId="15802" priority="4026" stopIfTrue="1" operator="equal">
      <formula>"Napkin Hs"</formula>
    </cfRule>
  </conditionalFormatting>
  <conditionalFormatting sqref="B122">
    <cfRule type="cellIs" dxfId="15801" priority="4023" stopIfTrue="1" operator="equal">
      <formula>"Towel"</formula>
    </cfRule>
    <cfRule type="cellIs" dxfId="15800" priority="4024" stopIfTrue="1" operator="equal">
      <formula>"Napkin Hs"</formula>
    </cfRule>
  </conditionalFormatting>
  <conditionalFormatting sqref="B122">
    <cfRule type="cellIs" dxfId="15799" priority="4021" stopIfTrue="1" operator="equal">
      <formula>"Towel"</formula>
    </cfRule>
    <cfRule type="cellIs" dxfId="15798" priority="4022" stopIfTrue="1" operator="equal">
      <formula>"Napkin Hs"</formula>
    </cfRule>
  </conditionalFormatting>
  <conditionalFormatting sqref="B122:C122">
    <cfRule type="cellIs" dxfId="15797" priority="4019" stopIfTrue="1" operator="equal">
      <formula>"Towel"</formula>
    </cfRule>
    <cfRule type="cellIs" dxfId="15796" priority="4020" stopIfTrue="1" operator="equal">
      <formula>"Napkin Hs"</formula>
    </cfRule>
  </conditionalFormatting>
  <conditionalFormatting sqref="C122">
    <cfRule type="cellIs" dxfId="15795" priority="4017" stopIfTrue="1" operator="equal">
      <formula>"Towel"</formula>
    </cfRule>
    <cfRule type="cellIs" dxfId="15794" priority="4018" stopIfTrue="1" operator="equal">
      <formula>"Napkin Hs"</formula>
    </cfRule>
  </conditionalFormatting>
  <conditionalFormatting sqref="C122">
    <cfRule type="cellIs" dxfId="15793" priority="4015" stopIfTrue="1" operator="equal">
      <formula>"Towel"</formula>
    </cfRule>
    <cfRule type="cellIs" dxfId="15792" priority="4016" stopIfTrue="1" operator="equal">
      <formula>"Napkin Hs"</formula>
    </cfRule>
  </conditionalFormatting>
  <conditionalFormatting sqref="C122">
    <cfRule type="cellIs" dxfId="15791" priority="4007" stopIfTrue="1" operator="equal">
      <formula>"Towel"</formula>
    </cfRule>
    <cfRule type="cellIs" dxfId="15790" priority="4008" stopIfTrue="1" operator="equal">
      <formula>"Napkin Hs"</formula>
    </cfRule>
  </conditionalFormatting>
  <conditionalFormatting sqref="B122:C122">
    <cfRule type="cellIs" dxfId="15789" priority="4009" stopIfTrue="1" operator="equal">
      <formula>"Towel"</formula>
    </cfRule>
    <cfRule type="cellIs" dxfId="15788" priority="4010" stopIfTrue="1" operator="equal">
      <formula>"Napkin Hs"</formula>
    </cfRule>
  </conditionalFormatting>
  <conditionalFormatting sqref="C122">
    <cfRule type="cellIs" dxfId="15787" priority="4005" stopIfTrue="1" operator="equal">
      <formula>"Towel"</formula>
    </cfRule>
    <cfRule type="cellIs" dxfId="15786" priority="4006" stopIfTrue="1" operator="equal">
      <formula>"Napkin Hs"</formula>
    </cfRule>
  </conditionalFormatting>
  <conditionalFormatting sqref="B122:C122">
    <cfRule type="cellIs" dxfId="15785" priority="4003" stopIfTrue="1" operator="equal">
      <formula>"Towel"</formula>
    </cfRule>
    <cfRule type="cellIs" dxfId="15784" priority="4004" stopIfTrue="1" operator="equal">
      <formula>"Napkin Hs"</formula>
    </cfRule>
  </conditionalFormatting>
  <conditionalFormatting sqref="C122">
    <cfRule type="cellIs" dxfId="15783" priority="4011" stopIfTrue="1" operator="equal">
      <formula>"Towel"</formula>
    </cfRule>
    <cfRule type="cellIs" dxfId="15782" priority="4012" stopIfTrue="1" operator="equal">
      <formula>"Napkin Hs"</formula>
    </cfRule>
  </conditionalFormatting>
  <conditionalFormatting sqref="C122">
    <cfRule type="cellIs" dxfId="15781" priority="4013" stopIfTrue="1" operator="equal">
      <formula>"Towel"</formula>
    </cfRule>
    <cfRule type="cellIs" dxfId="15780" priority="4014" stopIfTrue="1" operator="equal">
      <formula>"Napkin Hs"</formula>
    </cfRule>
  </conditionalFormatting>
  <conditionalFormatting sqref="B122:C122">
    <cfRule type="cellIs" dxfId="15779" priority="3999" stopIfTrue="1" operator="equal">
      <formula>"Towel"</formula>
    </cfRule>
    <cfRule type="cellIs" dxfId="15778" priority="4000" stopIfTrue="1" operator="equal">
      <formula>"Napkin Hs"</formula>
    </cfRule>
  </conditionalFormatting>
  <conditionalFormatting sqref="C122">
    <cfRule type="cellIs" dxfId="15777" priority="4001" stopIfTrue="1" operator="equal">
      <formula>"Towel"</formula>
    </cfRule>
    <cfRule type="cellIs" dxfId="15776" priority="4002" stopIfTrue="1" operator="equal">
      <formula>"Napkin Hs"</formula>
    </cfRule>
  </conditionalFormatting>
  <conditionalFormatting sqref="C122">
    <cfRule type="cellIs" dxfId="15775" priority="3997" stopIfTrue="1" operator="equal">
      <formula>"Towel"</formula>
    </cfRule>
    <cfRule type="cellIs" dxfId="15774" priority="3998" stopIfTrue="1" operator="equal">
      <formula>"Napkin Hs"</formula>
    </cfRule>
  </conditionalFormatting>
  <conditionalFormatting sqref="B122">
    <cfRule type="cellIs" dxfId="15773" priority="3993" stopIfTrue="1" operator="equal">
      <formula>"Towel"</formula>
    </cfRule>
    <cfRule type="cellIs" dxfId="15772" priority="3994" stopIfTrue="1" operator="equal">
      <formula>"Napkin Hs"</formula>
    </cfRule>
  </conditionalFormatting>
  <conditionalFormatting sqref="B122">
    <cfRule type="cellIs" dxfId="15771" priority="3995" stopIfTrue="1" operator="equal">
      <formula>"Towel"</formula>
    </cfRule>
    <cfRule type="cellIs" dxfId="15770" priority="3996" stopIfTrue="1" operator="equal">
      <formula>"Napkin Hs"</formula>
    </cfRule>
  </conditionalFormatting>
  <conditionalFormatting sqref="B122">
    <cfRule type="cellIs" dxfId="15769" priority="3991" stopIfTrue="1" operator="equal">
      <formula>"Towel"</formula>
    </cfRule>
    <cfRule type="cellIs" dxfId="15768" priority="3992" stopIfTrue="1" operator="equal">
      <formula>"Napkin Hs"</formula>
    </cfRule>
  </conditionalFormatting>
  <conditionalFormatting sqref="B122:C122">
    <cfRule type="cellIs" dxfId="15767" priority="3989" stopIfTrue="1" operator="equal">
      <formula>"Towel"</formula>
    </cfRule>
    <cfRule type="cellIs" dxfId="15766" priority="3990" stopIfTrue="1" operator="equal">
      <formula>"Napkin Hs"</formula>
    </cfRule>
  </conditionalFormatting>
  <conditionalFormatting sqref="C122">
    <cfRule type="cellIs" dxfId="15765" priority="3987" stopIfTrue="1" operator="equal">
      <formula>"Towel"</formula>
    </cfRule>
    <cfRule type="cellIs" dxfId="15764" priority="3988" stopIfTrue="1" operator="equal">
      <formula>"Napkin Hs"</formula>
    </cfRule>
  </conditionalFormatting>
  <conditionalFormatting sqref="C122">
    <cfRule type="cellIs" dxfId="15763" priority="3985" stopIfTrue="1" operator="equal">
      <formula>"Towel"</formula>
    </cfRule>
    <cfRule type="cellIs" dxfId="15762" priority="3986" stopIfTrue="1" operator="equal">
      <formula>"Napkin Hs"</formula>
    </cfRule>
  </conditionalFormatting>
  <conditionalFormatting sqref="C122">
    <cfRule type="cellIs" dxfId="15761" priority="3977" stopIfTrue="1" operator="equal">
      <formula>"Towel"</formula>
    </cfRule>
    <cfRule type="cellIs" dxfId="15760" priority="3978" stopIfTrue="1" operator="equal">
      <formula>"Napkin Hs"</formula>
    </cfRule>
  </conditionalFormatting>
  <conditionalFormatting sqref="B122:C122">
    <cfRule type="cellIs" dxfId="15759" priority="3979" stopIfTrue="1" operator="equal">
      <formula>"Towel"</formula>
    </cfRule>
    <cfRule type="cellIs" dxfId="15758" priority="3980" stopIfTrue="1" operator="equal">
      <formula>"Napkin Hs"</formula>
    </cfRule>
  </conditionalFormatting>
  <conditionalFormatting sqref="C122">
    <cfRule type="cellIs" dxfId="15757" priority="3975" stopIfTrue="1" operator="equal">
      <formula>"Towel"</formula>
    </cfRule>
    <cfRule type="cellIs" dxfId="15756" priority="3976" stopIfTrue="1" operator="equal">
      <formula>"Napkin Hs"</formula>
    </cfRule>
  </conditionalFormatting>
  <conditionalFormatting sqref="B122:C122">
    <cfRule type="cellIs" dxfId="15755" priority="3973" stopIfTrue="1" operator="equal">
      <formula>"Towel"</formula>
    </cfRule>
    <cfRule type="cellIs" dxfId="15754" priority="3974" stopIfTrue="1" operator="equal">
      <formula>"Napkin Hs"</formula>
    </cfRule>
  </conditionalFormatting>
  <conditionalFormatting sqref="C122">
    <cfRule type="cellIs" dxfId="15753" priority="3981" stopIfTrue="1" operator="equal">
      <formula>"Towel"</formula>
    </cfRule>
    <cfRule type="cellIs" dxfId="15752" priority="3982" stopIfTrue="1" operator="equal">
      <formula>"Napkin Hs"</formula>
    </cfRule>
  </conditionalFormatting>
  <conditionalFormatting sqref="C122">
    <cfRule type="cellIs" dxfId="15751" priority="3983" stopIfTrue="1" operator="equal">
      <formula>"Towel"</formula>
    </cfRule>
    <cfRule type="cellIs" dxfId="15750" priority="3984" stopIfTrue="1" operator="equal">
      <formula>"Napkin Hs"</formula>
    </cfRule>
  </conditionalFormatting>
  <conditionalFormatting sqref="C122">
    <cfRule type="cellIs" dxfId="15749" priority="3969" stopIfTrue="1" operator="equal">
      <formula>"Towel"</formula>
    </cfRule>
    <cfRule type="cellIs" dxfId="15748" priority="3970" stopIfTrue="1" operator="equal">
      <formula>"Napkin Hs"</formula>
    </cfRule>
  </conditionalFormatting>
  <conditionalFormatting sqref="C122">
    <cfRule type="cellIs" dxfId="15747" priority="3971" stopIfTrue="1" operator="equal">
      <formula>"Towel"</formula>
    </cfRule>
    <cfRule type="cellIs" dxfId="15746" priority="3972" stopIfTrue="1" operator="equal">
      <formula>"Napkin Hs"</formula>
    </cfRule>
  </conditionalFormatting>
  <conditionalFormatting sqref="B122:C122">
    <cfRule type="cellIs" dxfId="15745" priority="3967" stopIfTrue="1" operator="equal">
      <formula>"Towel"</formula>
    </cfRule>
    <cfRule type="cellIs" dxfId="15744" priority="3968" stopIfTrue="1" operator="equal">
      <formula>"Napkin Hs"</formula>
    </cfRule>
  </conditionalFormatting>
  <conditionalFormatting sqref="B122:C122">
    <cfRule type="cellIs" dxfId="15743" priority="3961" stopIfTrue="1" operator="equal">
      <formula>"Towel"</formula>
    </cfRule>
    <cfRule type="cellIs" dxfId="15742" priority="3962" stopIfTrue="1" operator="equal">
      <formula>"Napkin Hs"</formula>
    </cfRule>
  </conditionalFormatting>
  <conditionalFormatting sqref="C122">
    <cfRule type="cellIs" dxfId="15741" priority="3963" stopIfTrue="1" operator="equal">
      <formula>"Towel"</formula>
    </cfRule>
    <cfRule type="cellIs" dxfId="15740" priority="3964" stopIfTrue="1" operator="equal">
      <formula>"Napkin Hs"</formula>
    </cfRule>
  </conditionalFormatting>
  <conditionalFormatting sqref="C122">
    <cfRule type="cellIs" dxfId="15739" priority="3965" stopIfTrue="1" operator="equal">
      <formula>"Towel"</formula>
    </cfRule>
    <cfRule type="cellIs" dxfId="15738" priority="3966" stopIfTrue="1" operator="equal">
      <formula>"Napkin Hs"</formula>
    </cfRule>
  </conditionalFormatting>
  <conditionalFormatting sqref="C122">
    <cfRule type="cellIs" dxfId="15737" priority="3933" stopIfTrue="1" operator="equal">
      <formula>"Towel"</formula>
    </cfRule>
    <cfRule type="cellIs" dxfId="15736" priority="3934" stopIfTrue="1" operator="equal">
      <formula>"Napkin Hs"</formula>
    </cfRule>
  </conditionalFormatting>
  <conditionalFormatting sqref="C122">
    <cfRule type="cellIs" dxfId="15735" priority="3935" stopIfTrue="1" operator="equal">
      <formula>"Towel"</formula>
    </cfRule>
    <cfRule type="cellIs" dxfId="15734" priority="3936" stopIfTrue="1" operator="equal">
      <formula>"Napkin Hs"</formula>
    </cfRule>
  </conditionalFormatting>
  <conditionalFormatting sqref="C122">
    <cfRule type="cellIs" dxfId="15733" priority="3931" stopIfTrue="1" operator="equal">
      <formula>"Towel"</formula>
    </cfRule>
    <cfRule type="cellIs" dxfId="15732" priority="3932" stopIfTrue="1" operator="equal">
      <formula>"Napkin Hs"</formula>
    </cfRule>
  </conditionalFormatting>
  <conditionalFormatting sqref="B122">
    <cfRule type="cellIs" dxfId="15731" priority="3925" stopIfTrue="1" operator="equal">
      <formula>"Towel"</formula>
    </cfRule>
    <cfRule type="cellIs" dxfId="15730" priority="3926" stopIfTrue="1" operator="equal">
      <formula>"Napkin Hs"</formula>
    </cfRule>
  </conditionalFormatting>
  <conditionalFormatting sqref="C122">
    <cfRule type="cellIs" dxfId="15729" priority="3927" stopIfTrue="1" operator="equal">
      <formula>"Towel"</formula>
    </cfRule>
    <cfRule type="cellIs" dxfId="15728" priority="3928" stopIfTrue="1" operator="equal">
      <formula>"Napkin Hs"</formula>
    </cfRule>
  </conditionalFormatting>
  <conditionalFormatting sqref="C122">
    <cfRule type="cellIs" dxfId="15727" priority="3929" stopIfTrue="1" operator="equal">
      <formula>"Towel"</formula>
    </cfRule>
    <cfRule type="cellIs" dxfId="15726" priority="3930" stopIfTrue="1" operator="equal">
      <formula>"Napkin Hs"</formula>
    </cfRule>
  </conditionalFormatting>
  <conditionalFormatting sqref="B122:C122">
    <cfRule type="cellIs" dxfId="15725" priority="3879" stopIfTrue="1" operator="equal">
      <formula>"Towel"</formula>
    </cfRule>
    <cfRule type="cellIs" dxfId="15724" priority="3880" stopIfTrue="1" operator="equal">
      <formula>"Napkin Hs"</formula>
    </cfRule>
  </conditionalFormatting>
  <conditionalFormatting sqref="C122">
    <cfRule type="cellIs" dxfId="15723" priority="3881" stopIfTrue="1" operator="equal">
      <formula>"Towel"</formula>
    </cfRule>
    <cfRule type="cellIs" dxfId="15722" priority="3882" stopIfTrue="1" operator="equal">
      <formula>"Napkin Hs"</formula>
    </cfRule>
  </conditionalFormatting>
  <conditionalFormatting sqref="C122">
    <cfRule type="cellIs" dxfId="15721" priority="3877" stopIfTrue="1" operator="equal">
      <formula>"Towel"</formula>
    </cfRule>
    <cfRule type="cellIs" dxfId="15720" priority="3878" stopIfTrue="1" operator="equal">
      <formula>"Napkin Hs"</formula>
    </cfRule>
  </conditionalFormatting>
  <conditionalFormatting sqref="C122">
    <cfRule type="cellIs" dxfId="15719" priority="3875" stopIfTrue="1" operator="equal">
      <formula>"Towel"</formula>
    </cfRule>
    <cfRule type="cellIs" dxfId="15718" priority="3876" stopIfTrue="1" operator="equal">
      <formula>"Napkin Hs"</formula>
    </cfRule>
  </conditionalFormatting>
  <conditionalFormatting sqref="B122">
    <cfRule type="cellIs" dxfId="15717" priority="3923" stopIfTrue="1" operator="equal">
      <formula>"Towel"</formula>
    </cfRule>
    <cfRule type="cellIs" dxfId="15716" priority="3924" stopIfTrue="1" operator="equal">
      <formula>"Napkin Hs"</formula>
    </cfRule>
  </conditionalFormatting>
  <conditionalFormatting sqref="C122">
    <cfRule type="cellIs" dxfId="15715" priority="3919" stopIfTrue="1" operator="equal">
      <formula>"Towel"</formula>
    </cfRule>
    <cfRule type="cellIs" dxfId="15714" priority="3920" stopIfTrue="1" operator="equal">
      <formula>"Napkin Hs"</formula>
    </cfRule>
  </conditionalFormatting>
  <conditionalFormatting sqref="C122">
    <cfRule type="cellIs" dxfId="15713" priority="3913" stopIfTrue="1" operator="equal">
      <formula>"Towel"</formula>
    </cfRule>
    <cfRule type="cellIs" dxfId="15712" priority="3914" stopIfTrue="1" operator="equal">
      <formula>"Napkin Hs"</formula>
    </cfRule>
  </conditionalFormatting>
  <conditionalFormatting sqref="C122">
    <cfRule type="cellIs" dxfId="15711" priority="3917" stopIfTrue="1" operator="equal">
      <formula>"Towel"</formula>
    </cfRule>
    <cfRule type="cellIs" dxfId="15710" priority="3918" stopIfTrue="1" operator="equal">
      <formula>"Napkin Hs"</formula>
    </cfRule>
  </conditionalFormatting>
  <conditionalFormatting sqref="B122:C122">
    <cfRule type="cellIs" dxfId="15709" priority="3915" stopIfTrue="1" operator="equal">
      <formula>"Towel"</formula>
    </cfRule>
    <cfRule type="cellIs" dxfId="15708" priority="3916" stopIfTrue="1" operator="equal">
      <formula>"Napkin Hs"</formula>
    </cfRule>
  </conditionalFormatting>
  <conditionalFormatting sqref="C122">
    <cfRule type="cellIs" dxfId="15707" priority="3907" stopIfTrue="1" operator="equal">
      <formula>"Towel"</formula>
    </cfRule>
    <cfRule type="cellIs" dxfId="15706" priority="3908" stopIfTrue="1" operator="equal">
      <formula>"Napkin Hs"</formula>
    </cfRule>
  </conditionalFormatting>
  <conditionalFormatting sqref="C122">
    <cfRule type="cellIs" dxfId="15705" priority="3909" stopIfTrue="1" operator="equal">
      <formula>"Towel"</formula>
    </cfRule>
    <cfRule type="cellIs" dxfId="15704" priority="3910" stopIfTrue="1" operator="equal">
      <formula>"Napkin Hs"</formula>
    </cfRule>
  </conditionalFormatting>
  <conditionalFormatting sqref="C122">
    <cfRule type="cellIs" dxfId="15703" priority="3911" stopIfTrue="1" operator="equal">
      <formula>"Towel"</formula>
    </cfRule>
    <cfRule type="cellIs" dxfId="15702" priority="3912" stopIfTrue="1" operator="equal">
      <formula>"Napkin Hs"</formula>
    </cfRule>
  </conditionalFormatting>
  <conditionalFormatting sqref="C122">
    <cfRule type="cellIs" dxfId="15701" priority="3901" stopIfTrue="1" operator="equal">
      <formula>"Towel"</formula>
    </cfRule>
    <cfRule type="cellIs" dxfId="15700" priority="3902" stopIfTrue="1" operator="equal">
      <formula>"Napkin Hs"</formula>
    </cfRule>
  </conditionalFormatting>
  <conditionalFormatting sqref="B122:C122">
    <cfRule type="cellIs" dxfId="15699" priority="3905" stopIfTrue="1" operator="equal">
      <formula>"Towel"</formula>
    </cfRule>
    <cfRule type="cellIs" dxfId="15698" priority="3906" stopIfTrue="1" operator="equal">
      <formula>"Napkin Hs"</formula>
    </cfRule>
  </conditionalFormatting>
  <conditionalFormatting sqref="C122">
    <cfRule type="cellIs" dxfId="15697" priority="3903" stopIfTrue="1" operator="equal">
      <formula>"Towel"</formula>
    </cfRule>
    <cfRule type="cellIs" dxfId="15696" priority="3904" stopIfTrue="1" operator="equal">
      <formula>"Napkin Hs"</formula>
    </cfRule>
  </conditionalFormatting>
  <conditionalFormatting sqref="B122:C122">
    <cfRule type="cellIs" dxfId="15695" priority="3895" stopIfTrue="1" operator="equal">
      <formula>"Towel"</formula>
    </cfRule>
    <cfRule type="cellIs" dxfId="15694" priority="3896" stopIfTrue="1" operator="equal">
      <formula>"Napkin Hs"</formula>
    </cfRule>
  </conditionalFormatting>
  <conditionalFormatting sqref="C122">
    <cfRule type="cellIs" dxfId="15693" priority="3897" stopIfTrue="1" operator="equal">
      <formula>"Towel"</formula>
    </cfRule>
    <cfRule type="cellIs" dxfId="15692" priority="3898" stopIfTrue="1" operator="equal">
      <formula>"Napkin Hs"</formula>
    </cfRule>
  </conditionalFormatting>
  <conditionalFormatting sqref="B122:C122">
    <cfRule type="cellIs" dxfId="15691" priority="3899" stopIfTrue="1" operator="equal">
      <formula>"Towel"</formula>
    </cfRule>
    <cfRule type="cellIs" dxfId="15690" priority="3900" stopIfTrue="1" operator="equal">
      <formula>"Napkin Hs"</formula>
    </cfRule>
  </conditionalFormatting>
  <conditionalFormatting sqref="C122">
    <cfRule type="cellIs" dxfId="15689" priority="3893" stopIfTrue="1" operator="equal">
      <formula>"Towel"</formula>
    </cfRule>
    <cfRule type="cellIs" dxfId="15688" priority="3894" stopIfTrue="1" operator="equal">
      <formula>"Napkin Hs"</formula>
    </cfRule>
  </conditionalFormatting>
  <conditionalFormatting sqref="C122">
    <cfRule type="cellIs" dxfId="15687" priority="3889" stopIfTrue="1" operator="equal">
      <formula>"Towel"</formula>
    </cfRule>
    <cfRule type="cellIs" dxfId="15686" priority="3890" stopIfTrue="1" operator="equal">
      <formula>"Napkin Hs"</formula>
    </cfRule>
  </conditionalFormatting>
  <conditionalFormatting sqref="B122:C122">
    <cfRule type="cellIs" dxfId="15685" priority="3891" stopIfTrue="1" operator="equal">
      <formula>"Towel"</formula>
    </cfRule>
    <cfRule type="cellIs" dxfId="15684" priority="3892" stopIfTrue="1" operator="equal">
      <formula>"Napkin Hs"</formula>
    </cfRule>
  </conditionalFormatting>
  <conditionalFormatting sqref="C122">
    <cfRule type="cellIs" dxfId="15683" priority="3887" stopIfTrue="1" operator="equal">
      <formula>"Towel"</formula>
    </cfRule>
    <cfRule type="cellIs" dxfId="15682" priority="3888" stopIfTrue="1" operator="equal">
      <formula>"Napkin Hs"</formula>
    </cfRule>
  </conditionalFormatting>
  <conditionalFormatting sqref="C122">
    <cfRule type="cellIs" dxfId="15681" priority="3885" stopIfTrue="1" operator="equal">
      <formula>"Towel"</formula>
    </cfRule>
    <cfRule type="cellIs" dxfId="15680" priority="3886" stopIfTrue="1" operator="equal">
      <formula>"Napkin Hs"</formula>
    </cfRule>
  </conditionalFormatting>
  <conditionalFormatting sqref="B122:C122">
    <cfRule type="cellIs" dxfId="15679" priority="3883" stopIfTrue="1" operator="equal">
      <formula>"Towel"</formula>
    </cfRule>
    <cfRule type="cellIs" dxfId="15678" priority="3884" stopIfTrue="1" operator="equal">
      <formula>"Napkin Hs"</formula>
    </cfRule>
  </conditionalFormatting>
  <conditionalFormatting sqref="B122:C122">
    <cfRule type="cellIs" dxfId="15677" priority="3959" stopIfTrue="1" operator="equal">
      <formula>"Towel"</formula>
    </cfRule>
    <cfRule type="cellIs" dxfId="15676" priority="3960" stopIfTrue="1" operator="equal">
      <formula>"Napkin Hs"</formula>
    </cfRule>
  </conditionalFormatting>
  <conditionalFormatting sqref="C122">
    <cfRule type="cellIs" dxfId="15675" priority="3955" stopIfTrue="1" operator="equal">
      <formula>"Towel"</formula>
    </cfRule>
    <cfRule type="cellIs" dxfId="15674" priority="3956" stopIfTrue="1" operator="equal">
      <formula>"Napkin Hs"</formula>
    </cfRule>
  </conditionalFormatting>
  <conditionalFormatting sqref="C122">
    <cfRule type="cellIs" dxfId="15673" priority="3958" stopIfTrue="1" operator="equal">
      <formula>"Napkin Hs"</formula>
    </cfRule>
  </conditionalFormatting>
  <conditionalFormatting sqref="C122">
    <cfRule type="cellIs" dxfId="15672" priority="3957" stopIfTrue="1" operator="equal">
      <formula>"Towel"</formula>
    </cfRule>
  </conditionalFormatting>
  <conditionalFormatting sqref="C122">
    <cfRule type="cellIs" dxfId="15671" priority="3949" stopIfTrue="1" operator="equal">
      <formula>"Towel"</formula>
    </cfRule>
    <cfRule type="cellIs" dxfId="15670" priority="3950" stopIfTrue="1" operator="equal">
      <formula>"Napkin Hs"</formula>
    </cfRule>
  </conditionalFormatting>
  <conditionalFormatting sqref="C122">
    <cfRule type="cellIs" dxfId="15669" priority="3953" stopIfTrue="1" operator="equal">
      <formula>"Towel"</formula>
    </cfRule>
    <cfRule type="cellIs" dxfId="15668" priority="3954" stopIfTrue="1" operator="equal">
      <formula>"Napkin Hs"</formula>
    </cfRule>
  </conditionalFormatting>
  <conditionalFormatting sqref="B122">
    <cfRule type="cellIs" dxfId="15667" priority="3939" stopIfTrue="1" operator="equal">
      <formula>"Towel"</formula>
    </cfRule>
    <cfRule type="cellIs" dxfId="15666" priority="3940" stopIfTrue="1" operator="equal">
      <formula>"Napkin Hs"</formula>
    </cfRule>
  </conditionalFormatting>
  <conditionalFormatting sqref="C122">
    <cfRule type="cellIs" dxfId="15665" priority="3951" stopIfTrue="1" operator="equal">
      <formula>"Towel"</formula>
    </cfRule>
    <cfRule type="cellIs" dxfId="15664" priority="3952" stopIfTrue="1" operator="equal">
      <formula>"Napkin Hs"</formula>
    </cfRule>
  </conditionalFormatting>
  <conditionalFormatting sqref="C122">
    <cfRule type="cellIs" dxfId="15663" priority="3943" stopIfTrue="1" operator="equal">
      <formula>"Towel"</formula>
    </cfRule>
    <cfRule type="cellIs" dxfId="15662" priority="3944" stopIfTrue="1" operator="equal">
      <formula>"Napkin Hs"</formula>
    </cfRule>
  </conditionalFormatting>
  <conditionalFormatting sqref="C122">
    <cfRule type="cellIs" dxfId="15661" priority="3945" stopIfTrue="1" operator="equal">
      <formula>"Towel"</formula>
    </cfRule>
    <cfRule type="cellIs" dxfId="15660" priority="3946" stopIfTrue="1" operator="equal">
      <formula>"Napkin Hs"</formula>
    </cfRule>
  </conditionalFormatting>
  <conditionalFormatting sqref="C122">
    <cfRule type="cellIs" dxfId="15659" priority="3947" stopIfTrue="1" operator="equal">
      <formula>"Towel"</formula>
    </cfRule>
    <cfRule type="cellIs" dxfId="15658" priority="3948" stopIfTrue="1" operator="equal">
      <formula>"Napkin Hs"</formula>
    </cfRule>
  </conditionalFormatting>
  <conditionalFormatting sqref="B122">
    <cfRule type="cellIs" dxfId="15657" priority="3941" stopIfTrue="1" operator="equal">
      <formula>"Towel"</formula>
    </cfRule>
    <cfRule type="cellIs" dxfId="15656" priority="3942" stopIfTrue="1" operator="equal">
      <formula>"Napkin Hs"</formula>
    </cfRule>
  </conditionalFormatting>
  <conditionalFormatting sqref="C122">
    <cfRule type="cellIs" dxfId="15655" priority="3937" stopIfTrue="1" operator="equal">
      <formula>"Towel"</formula>
    </cfRule>
    <cfRule type="cellIs" dxfId="15654" priority="3938" stopIfTrue="1" operator="equal">
      <formula>"Napkin Hs"</formula>
    </cfRule>
  </conditionalFormatting>
  <conditionalFormatting sqref="B122:C122">
    <cfRule type="cellIs" dxfId="15653" priority="3921" stopIfTrue="1" operator="equal">
      <formula>"Towel"</formula>
    </cfRule>
    <cfRule type="cellIs" dxfId="15652" priority="3922" stopIfTrue="1" operator="equal">
      <formula>"Napkin Hs"</formula>
    </cfRule>
  </conditionalFormatting>
  <conditionalFormatting sqref="B122">
    <cfRule type="cellIs" dxfId="15651" priority="3873" stopIfTrue="1" operator="equal">
      <formula>"Towel"</formula>
    </cfRule>
    <cfRule type="cellIs" dxfId="15650" priority="3874" stopIfTrue="1" operator="equal">
      <formula>"Napkin Hs"</formula>
    </cfRule>
  </conditionalFormatting>
  <conditionalFormatting sqref="B122">
    <cfRule type="cellIs" dxfId="15649" priority="3871" stopIfTrue="1" operator="equal">
      <formula>"Towel"</formula>
    </cfRule>
    <cfRule type="cellIs" dxfId="15648" priority="3872" stopIfTrue="1" operator="equal">
      <formula>"Napkin Hs"</formula>
    </cfRule>
  </conditionalFormatting>
  <conditionalFormatting sqref="B122">
    <cfRule type="cellIs" dxfId="15647" priority="3869" stopIfTrue="1" operator="equal">
      <formula>"Towel"</formula>
    </cfRule>
    <cfRule type="cellIs" dxfId="15646" priority="3870" stopIfTrue="1" operator="equal">
      <formula>"Napkin Hs"</formula>
    </cfRule>
  </conditionalFormatting>
  <conditionalFormatting sqref="B122">
    <cfRule type="cellIs" dxfId="15645" priority="3863" stopIfTrue="1" operator="equal">
      <formula>"Towel"</formula>
    </cfRule>
    <cfRule type="cellIs" dxfId="15644" priority="3864" stopIfTrue="1" operator="equal">
      <formula>"Napkin Hs"</formula>
    </cfRule>
  </conditionalFormatting>
  <conditionalFormatting sqref="B122">
    <cfRule type="cellIs" dxfId="15643" priority="3867" stopIfTrue="1" operator="equal">
      <formula>"Towel"</formula>
    </cfRule>
    <cfRule type="cellIs" dxfId="15642" priority="3868" stopIfTrue="1" operator="equal">
      <formula>"Napkin Hs"</formula>
    </cfRule>
  </conditionalFormatting>
  <conditionalFormatting sqref="B122">
    <cfRule type="cellIs" dxfId="15641" priority="3865" stopIfTrue="1" operator="equal">
      <formula>"Towel"</formula>
    </cfRule>
    <cfRule type="cellIs" dxfId="15640" priority="3866" stopIfTrue="1" operator="equal">
      <formula>"Napkin Hs"</formula>
    </cfRule>
  </conditionalFormatting>
  <conditionalFormatting sqref="B122">
    <cfRule type="cellIs" dxfId="15639" priority="3861" stopIfTrue="1" operator="equal">
      <formula>"Towel"</formula>
    </cfRule>
    <cfRule type="cellIs" dxfId="15638" priority="3862" stopIfTrue="1" operator="equal">
      <formula>"Napkin Hs"</formula>
    </cfRule>
  </conditionalFormatting>
  <conditionalFormatting sqref="B122">
    <cfRule type="cellIs" dxfId="15637" priority="3859" stopIfTrue="1" operator="equal">
      <formula>"Towel"</formula>
    </cfRule>
    <cfRule type="cellIs" dxfId="15636" priority="3860" stopIfTrue="1" operator="equal">
      <formula>"Napkin Hs"</formula>
    </cfRule>
  </conditionalFormatting>
  <conditionalFormatting sqref="B122">
    <cfRule type="cellIs" dxfId="15635" priority="3855" stopIfTrue="1" operator="equal">
      <formula>"Towel"</formula>
    </cfRule>
    <cfRule type="cellIs" dxfId="15634" priority="3856" stopIfTrue="1" operator="equal">
      <formula>"Napkin Hs"</formula>
    </cfRule>
  </conditionalFormatting>
  <conditionalFormatting sqref="B122">
    <cfRule type="cellIs" dxfId="15633" priority="3853" stopIfTrue="1" operator="equal">
      <formula>"Towel"</formula>
    </cfRule>
    <cfRule type="cellIs" dxfId="15632" priority="3854" stopIfTrue="1" operator="equal">
      <formula>"Napkin Hs"</formula>
    </cfRule>
  </conditionalFormatting>
  <conditionalFormatting sqref="B122">
    <cfRule type="cellIs" dxfId="15631" priority="3857" stopIfTrue="1" operator="equal">
      <formula>"Towel"</formula>
    </cfRule>
    <cfRule type="cellIs" dxfId="15630" priority="3858" stopIfTrue="1" operator="equal">
      <formula>"Napkin Hs"</formula>
    </cfRule>
  </conditionalFormatting>
  <conditionalFormatting sqref="B122">
    <cfRule type="cellIs" dxfId="15629" priority="3851" stopIfTrue="1" operator="equal">
      <formula>"Towel"</formula>
    </cfRule>
    <cfRule type="cellIs" dxfId="15628" priority="3852" stopIfTrue="1" operator="equal">
      <formula>"Napkin Hs"</formula>
    </cfRule>
  </conditionalFormatting>
  <conditionalFormatting sqref="B122">
    <cfRule type="cellIs" dxfId="15627" priority="3849" stopIfTrue="1" operator="equal">
      <formula>"Towel"</formula>
    </cfRule>
    <cfRule type="cellIs" dxfId="15626" priority="3850" stopIfTrue="1" operator="equal">
      <formula>"Napkin Hs"</formula>
    </cfRule>
  </conditionalFormatting>
  <conditionalFormatting sqref="B122">
    <cfRule type="cellIs" dxfId="15625" priority="3847" stopIfTrue="1" operator="equal">
      <formula>"Towel"</formula>
    </cfRule>
    <cfRule type="cellIs" dxfId="15624" priority="3848" stopIfTrue="1" operator="equal">
      <formula>"Napkin Hs"</formula>
    </cfRule>
  </conditionalFormatting>
  <conditionalFormatting sqref="B122">
    <cfRule type="cellIs" dxfId="15623" priority="3845" stopIfTrue="1" operator="equal">
      <formula>"Towel"</formula>
    </cfRule>
    <cfRule type="cellIs" dxfId="15622" priority="3846" stopIfTrue="1" operator="equal">
      <formula>"Napkin Hs"</formula>
    </cfRule>
  </conditionalFormatting>
  <conditionalFormatting sqref="C122">
    <cfRule type="cellIs" dxfId="15621" priority="3841" stopIfTrue="1" operator="equal">
      <formula>"Towel"</formula>
    </cfRule>
    <cfRule type="cellIs" dxfId="15620" priority="3842" stopIfTrue="1" operator="equal">
      <formula>"Napkin Hs"</formula>
    </cfRule>
  </conditionalFormatting>
  <conditionalFormatting sqref="C122">
    <cfRule type="cellIs" dxfId="15619" priority="3843" stopIfTrue="1" operator="equal">
      <formula>"Towel"</formula>
    </cfRule>
    <cfRule type="cellIs" dxfId="15618" priority="3844" stopIfTrue="1" operator="equal">
      <formula>"Napkin Hs"</formula>
    </cfRule>
  </conditionalFormatting>
  <conditionalFormatting sqref="C122">
    <cfRule type="cellIs" dxfId="15617" priority="3837" stopIfTrue="1" operator="equal">
      <formula>"Towel"</formula>
    </cfRule>
    <cfRule type="cellIs" dxfId="15616" priority="3838" stopIfTrue="1" operator="equal">
      <formula>"Napkin Hs"</formula>
    </cfRule>
  </conditionalFormatting>
  <conditionalFormatting sqref="B122:C122">
    <cfRule type="cellIs" dxfId="15615" priority="3839" stopIfTrue="1" operator="equal">
      <formula>"Towel"</formula>
    </cfRule>
    <cfRule type="cellIs" dxfId="15614" priority="3840" stopIfTrue="1" operator="equal">
      <formula>"Napkin Hs"</formula>
    </cfRule>
  </conditionalFormatting>
  <conditionalFormatting sqref="C122">
    <cfRule type="cellIs" dxfId="15613" priority="3835" stopIfTrue="1" operator="equal">
      <formula>"Towel"</formula>
    </cfRule>
    <cfRule type="cellIs" dxfId="15612" priority="3836" stopIfTrue="1" operator="equal">
      <formula>"Napkin Hs"</formula>
    </cfRule>
  </conditionalFormatting>
  <conditionalFormatting sqref="B122:C122">
    <cfRule type="cellIs" dxfId="15611" priority="3833" stopIfTrue="1" operator="equal">
      <formula>"Towel"</formula>
    </cfRule>
    <cfRule type="cellIs" dxfId="15610" priority="3834" stopIfTrue="1" operator="equal">
      <formula>"Napkin Hs"</formula>
    </cfRule>
  </conditionalFormatting>
  <conditionalFormatting sqref="B122:C122">
    <cfRule type="cellIs" dxfId="15609" priority="3831" stopIfTrue="1" operator="equal">
      <formula>"Towel"</formula>
    </cfRule>
    <cfRule type="cellIs" dxfId="15608" priority="3832" stopIfTrue="1" operator="equal">
      <formula>"Napkin Hs"</formula>
    </cfRule>
  </conditionalFormatting>
  <conditionalFormatting sqref="C122">
    <cfRule type="cellIs" dxfId="15607" priority="3825" stopIfTrue="1" operator="equal">
      <formula>"Towel"</formula>
    </cfRule>
    <cfRule type="cellIs" dxfId="15606" priority="3826" stopIfTrue="1" operator="equal">
      <formula>"Napkin Hs"</formula>
    </cfRule>
  </conditionalFormatting>
  <conditionalFormatting sqref="C122">
    <cfRule type="cellIs" dxfId="15605" priority="3827" stopIfTrue="1" operator="equal">
      <formula>"Towel"</formula>
    </cfRule>
    <cfRule type="cellIs" dxfId="15604" priority="3828" stopIfTrue="1" operator="equal">
      <formula>"Napkin Hs"</formula>
    </cfRule>
  </conditionalFormatting>
  <conditionalFormatting sqref="C122">
    <cfRule type="cellIs" dxfId="15603" priority="3823" stopIfTrue="1" operator="equal">
      <formula>"Towel"</formula>
    </cfRule>
    <cfRule type="cellIs" dxfId="15602" priority="3824" stopIfTrue="1" operator="equal">
      <formula>"Napkin Hs"</formula>
    </cfRule>
  </conditionalFormatting>
  <conditionalFormatting sqref="C122">
    <cfRule type="cellIs" dxfId="15601" priority="3821" stopIfTrue="1" operator="equal">
      <formula>"Towel"</formula>
    </cfRule>
    <cfRule type="cellIs" dxfId="15600" priority="3822" stopIfTrue="1" operator="equal">
      <formula>"Napkin Hs"</formula>
    </cfRule>
  </conditionalFormatting>
  <conditionalFormatting sqref="C122">
    <cfRule type="cellIs" dxfId="15599" priority="3817" stopIfTrue="1" operator="equal">
      <formula>"Towel"</formula>
    </cfRule>
    <cfRule type="cellIs" dxfId="15598" priority="3818" stopIfTrue="1" operator="equal">
      <formula>"Napkin Hs"</formula>
    </cfRule>
  </conditionalFormatting>
  <conditionalFormatting sqref="C122">
    <cfRule type="cellIs" dxfId="15597" priority="3819" stopIfTrue="1" operator="equal">
      <formula>"Towel"</formula>
    </cfRule>
    <cfRule type="cellIs" dxfId="15596" priority="3820" stopIfTrue="1" operator="equal">
      <formula>"Napkin Hs"</formula>
    </cfRule>
  </conditionalFormatting>
  <conditionalFormatting sqref="C122">
    <cfRule type="cellIs" dxfId="15595" priority="3815" stopIfTrue="1" operator="equal">
      <formula>"Towel"</formula>
    </cfRule>
    <cfRule type="cellIs" dxfId="15594" priority="3816" stopIfTrue="1" operator="equal">
      <formula>"Napkin Hs"</formula>
    </cfRule>
  </conditionalFormatting>
  <conditionalFormatting sqref="C122">
    <cfRule type="cellIs" dxfId="15593" priority="3799" stopIfTrue="1" operator="equal">
      <formula>"Towel"</formula>
    </cfRule>
    <cfRule type="cellIs" dxfId="15592" priority="3800" stopIfTrue="1" operator="equal">
      <formula>"Napkin Hs"</formula>
    </cfRule>
  </conditionalFormatting>
  <conditionalFormatting sqref="B122">
    <cfRule type="cellIs" dxfId="15591" priority="3797" stopIfTrue="1" operator="equal">
      <formula>"Towel"</formula>
    </cfRule>
    <cfRule type="cellIs" dxfId="15590" priority="3798" stopIfTrue="1" operator="equal">
      <formula>"Napkin Hs"</formula>
    </cfRule>
  </conditionalFormatting>
  <conditionalFormatting sqref="B122">
    <cfRule type="cellIs" dxfId="15589" priority="3813" stopIfTrue="1" operator="equal">
      <formula>"Towel"</formula>
    </cfRule>
    <cfRule type="cellIs" dxfId="15588" priority="3814" stopIfTrue="1" operator="equal">
      <formula>"Napkin Hs"</formula>
    </cfRule>
  </conditionalFormatting>
  <conditionalFormatting sqref="C122">
    <cfRule type="cellIs" dxfId="15587" priority="3809" stopIfTrue="1" operator="equal">
      <formula>"Towel"</formula>
    </cfRule>
    <cfRule type="cellIs" dxfId="15586" priority="3810" stopIfTrue="1" operator="equal">
      <formula>"Napkin Hs"</formula>
    </cfRule>
  </conditionalFormatting>
  <conditionalFormatting sqref="B122">
    <cfRule type="cellIs" dxfId="15585" priority="3811" stopIfTrue="1" operator="equal">
      <formula>"Towel"</formula>
    </cfRule>
    <cfRule type="cellIs" dxfId="15584" priority="3812" stopIfTrue="1" operator="equal">
      <formula>"Napkin Hs"</formula>
    </cfRule>
  </conditionalFormatting>
  <conditionalFormatting sqref="C122">
    <cfRule type="cellIs" dxfId="15583" priority="3805" stopIfTrue="1" operator="equal">
      <formula>"Towel"</formula>
    </cfRule>
    <cfRule type="cellIs" dxfId="15582" priority="3806" stopIfTrue="1" operator="equal">
      <formula>"Napkin Hs"</formula>
    </cfRule>
  </conditionalFormatting>
  <conditionalFormatting sqref="C122">
    <cfRule type="cellIs" dxfId="15581" priority="3807" stopIfTrue="1" operator="equal">
      <formula>"Towel"</formula>
    </cfRule>
    <cfRule type="cellIs" dxfId="15580" priority="3808" stopIfTrue="1" operator="equal">
      <formula>"Napkin Hs"</formula>
    </cfRule>
  </conditionalFormatting>
  <conditionalFormatting sqref="C122">
    <cfRule type="cellIs" dxfId="15579" priority="3803" stopIfTrue="1" operator="equal">
      <formula>"Towel"</formula>
    </cfRule>
    <cfRule type="cellIs" dxfId="15578" priority="3804" stopIfTrue="1" operator="equal">
      <formula>"Napkin Hs"</formula>
    </cfRule>
  </conditionalFormatting>
  <conditionalFormatting sqref="C122">
    <cfRule type="cellIs" dxfId="15577" priority="3801" stopIfTrue="1" operator="equal">
      <formula>"Towel"</formula>
    </cfRule>
    <cfRule type="cellIs" dxfId="15576" priority="3802" stopIfTrue="1" operator="equal">
      <formula>"Napkin Hs"</formula>
    </cfRule>
  </conditionalFormatting>
  <conditionalFormatting sqref="B122">
    <cfRule type="cellIs" dxfId="15575" priority="3795" stopIfTrue="1" operator="equal">
      <formula>"Towel"</formula>
    </cfRule>
    <cfRule type="cellIs" dxfId="15574" priority="3796" stopIfTrue="1" operator="equal">
      <formula>"Napkin Hs"</formula>
    </cfRule>
  </conditionalFormatting>
  <conditionalFormatting sqref="B122:C122">
    <cfRule type="cellIs" dxfId="15573" priority="3793" stopIfTrue="1" operator="equal">
      <formula>"Towel"</formula>
    </cfRule>
    <cfRule type="cellIs" dxfId="15572" priority="3794" stopIfTrue="1" operator="equal">
      <formula>"Napkin Hs"</formula>
    </cfRule>
  </conditionalFormatting>
  <conditionalFormatting sqref="C122">
    <cfRule type="cellIs" dxfId="15571" priority="3791" stopIfTrue="1" operator="equal">
      <formula>"Towel"</formula>
    </cfRule>
    <cfRule type="cellIs" dxfId="15570" priority="3792" stopIfTrue="1" operator="equal">
      <formula>"Napkin Hs"</formula>
    </cfRule>
  </conditionalFormatting>
  <conditionalFormatting sqref="C122">
    <cfRule type="cellIs" dxfId="15569" priority="3789" stopIfTrue="1" operator="equal">
      <formula>"Towel"</formula>
    </cfRule>
    <cfRule type="cellIs" dxfId="15568" priority="3790" stopIfTrue="1" operator="equal">
      <formula>"Napkin Hs"</formula>
    </cfRule>
  </conditionalFormatting>
  <conditionalFormatting sqref="C122">
    <cfRule type="cellIs" dxfId="15567" priority="3779" stopIfTrue="1" operator="equal">
      <formula>"Towel"</formula>
    </cfRule>
    <cfRule type="cellIs" dxfId="15566" priority="3780" stopIfTrue="1" operator="equal">
      <formula>"Napkin Hs"</formula>
    </cfRule>
  </conditionalFormatting>
  <conditionalFormatting sqref="C122">
    <cfRule type="cellIs" dxfId="15565" priority="3781" stopIfTrue="1" operator="equal">
      <formula>"Towel"</formula>
    </cfRule>
    <cfRule type="cellIs" dxfId="15564" priority="3782" stopIfTrue="1" operator="equal">
      <formula>"Napkin Hs"</formula>
    </cfRule>
  </conditionalFormatting>
  <conditionalFormatting sqref="B122:C122">
    <cfRule type="cellIs" dxfId="15563" priority="3777" stopIfTrue="1" operator="equal">
      <formula>"Towel"</formula>
    </cfRule>
    <cfRule type="cellIs" dxfId="15562" priority="3778" stopIfTrue="1" operator="equal">
      <formula>"Napkin Hs"</formula>
    </cfRule>
  </conditionalFormatting>
  <conditionalFormatting sqref="C122">
    <cfRule type="cellIs" dxfId="15561" priority="3775" stopIfTrue="1" operator="equal">
      <formula>"Towel"</formula>
    </cfRule>
    <cfRule type="cellIs" dxfId="15560" priority="3776" stopIfTrue="1" operator="equal">
      <formula>"Napkin Hs"</formula>
    </cfRule>
  </conditionalFormatting>
  <conditionalFormatting sqref="B122:C122">
    <cfRule type="cellIs" dxfId="15559" priority="3771" stopIfTrue="1" operator="equal">
      <formula>"Towel"</formula>
    </cfRule>
    <cfRule type="cellIs" dxfId="15558" priority="3772" stopIfTrue="1" operator="equal">
      <formula>"Napkin Hs"</formula>
    </cfRule>
  </conditionalFormatting>
  <conditionalFormatting sqref="C122">
    <cfRule type="cellIs" dxfId="15557" priority="3773" stopIfTrue="1" operator="equal">
      <formula>"Towel"</formula>
    </cfRule>
    <cfRule type="cellIs" dxfId="15556" priority="3774" stopIfTrue="1" operator="equal">
      <formula>"Napkin Hs"</formula>
    </cfRule>
  </conditionalFormatting>
  <conditionalFormatting sqref="C122">
    <cfRule type="cellIs" dxfId="15555" priority="3830" stopIfTrue="1" operator="equal">
      <formula>"Napkin Hs"</formula>
    </cfRule>
  </conditionalFormatting>
  <conditionalFormatting sqref="C122">
    <cfRule type="cellIs" dxfId="15554" priority="3829" stopIfTrue="1" operator="equal">
      <formula>"Towel"</formula>
    </cfRule>
  </conditionalFormatting>
  <conditionalFormatting sqref="B122:C122">
    <cfRule type="cellIs" dxfId="15553" priority="3787" stopIfTrue="1" operator="equal">
      <formula>"Towel"</formula>
    </cfRule>
    <cfRule type="cellIs" dxfId="15552" priority="3788" stopIfTrue="1" operator="equal">
      <formula>"Napkin Hs"</formula>
    </cfRule>
  </conditionalFormatting>
  <conditionalFormatting sqref="C122">
    <cfRule type="cellIs" dxfId="15551" priority="3785" stopIfTrue="1" operator="equal">
      <formula>"Towel"</formula>
    </cfRule>
    <cfRule type="cellIs" dxfId="15550" priority="3786" stopIfTrue="1" operator="equal">
      <formula>"Napkin Hs"</formula>
    </cfRule>
  </conditionalFormatting>
  <conditionalFormatting sqref="C122">
    <cfRule type="cellIs" dxfId="15549" priority="3783" stopIfTrue="1" operator="equal">
      <formula>"Towel"</formula>
    </cfRule>
    <cfRule type="cellIs" dxfId="15548" priority="3784" stopIfTrue="1" operator="equal">
      <formula>"Napkin Hs"</formula>
    </cfRule>
  </conditionalFormatting>
  <conditionalFormatting sqref="B122:C122">
    <cfRule type="cellIs" dxfId="15547" priority="3767" stopIfTrue="1" operator="equal">
      <formula>"Towel"</formula>
    </cfRule>
    <cfRule type="cellIs" dxfId="15546" priority="3768" stopIfTrue="1" operator="equal">
      <formula>"Napkin Hs"</formula>
    </cfRule>
  </conditionalFormatting>
  <conditionalFormatting sqref="C122">
    <cfRule type="cellIs" dxfId="15545" priority="3769" stopIfTrue="1" operator="equal">
      <formula>"Towel"</formula>
    </cfRule>
    <cfRule type="cellIs" dxfId="15544" priority="3770" stopIfTrue="1" operator="equal">
      <formula>"Napkin Hs"</formula>
    </cfRule>
  </conditionalFormatting>
  <conditionalFormatting sqref="C122">
    <cfRule type="cellIs" dxfId="15543" priority="3765" stopIfTrue="1" operator="equal">
      <formula>"Towel"</formula>
    </cfRule>
    <cfRule type="cellIs" dxfId="15542" priority="3766" stopIfTrue="1" operator="equal">
      <formula>"Napkin Hs"</formula>
    </cfRule>
  </conditionalFormatting>
  <conditionalFormatting sqref="B122:C122">
    <cfRule type="cellIs" dxfId="15541" priority="3763" stopIfTrue="1" operator="equal">
      <formula>"Towel"</formula>
    </cfRule>
    <cfRule type="cellIs" dxfId="15540" priority="3764" stopIfTrue="1" operator="equal">
      <formula>"Napkin Hs"</formula>
    </cfRule>
  </conditionalFormatting>
  <conditionalFormatting sqref="C122">
    <cfRule type="cellIs" dxfId="15539" priority="3759" stopIfTrue="1" operator="equal">
      <formula>"Towel"</formula>
    </cfRule>
    <cfRule type="cellIs" dxfId="15538" priority="3760" stopIfTrue="1" operator="equal">
      <formula>"Napkin Hs"</formula>
    </cfRule>
  </conditionalFormatting>
  <conditionalFormatting sqref="C122">
    <cfRule type="cellIs" dxfId="15537" priority="3761" stopIfTrue="1" operator="equal">
      <formula>"Towel"</formula>
    </cfRule>
    <cfRule type="cellIs" dxfId="15536" priority="3762" stopIfTrue="1" operator="equal">
      <formula>"Napkin Hs"</formula>
    </cfRule>
  </conditionalFormatting>
  <conditionalFormatting sqref="B122:C122">
    <cfRule type="cellIs" dxfId="15535" priority="3755" stopIfTrue="1" operator="equal">
      <formula>"Towel"</formula>
    </cfRule>
    <cfRule type="cellIs" dxfId="15534" priority="3756" stopIfTrue="1" operator="equal">
      <formula>"Napkin Hs"</formula>
    </cfRule>
  </conditionalFormatting>
  <conditionalFormatting sqref="C122">
    <cfRule type="cellIs" dxfId="15533" priority="3757" stopIfTrue="1" operator="equal">
      <formula>"Towel"</formula>
    </cfRule>
    <cfRule type="cellIs" dxfId="15532" priority="3758" stopIfTrue="1" operator="equal">
      <formula>"Napkin Hs"</formula>
    </cfRule>
  </conditionalFormatting>
  <conditionalFormatting sqref="C122">
    <cfRule type="cellIs" dxfId="15531" priority="3753" stopIfTrue="1" operator="equal">
      <formula>"Towel"</formula>
    </cfRule>
    <cfRule type="cellIs" dxfId="15530" priority="3754" stopIfTrue="1" operator="equal">
      <formula>"Napkin Hs"</formula>
    </cfRule>
  </conditionalFormatting>
  <conditionalFormatting sqref="B122:C122">
    <cfRule type="cellIs" dxfId="15529" priority="3751" stopIfTrue="1" operator="equal">
      <formula>"Towel"</formula>
    </cfRule>
    <cfRule type="cellIs" dxfId="15528" priority="3752" stopIfTrue="1" operator="equal">
      <formula>"Napkin Hs"</formula>
    </cfRule>
  </conditionalFormatting>
  <conditionalFormatting sqref="C122">
    <cfRule type="cellIs" dxfId="15527" priority="3747" stopIfTrue="1" operator="equal">
      <formula>"Towel"</formula>
    </cfRule>
    <cfRule type="cellIs" dxfId="15526" priority="3748" stopIfTrue="1" operator="equal">
      <formula>"Napkin Hs"</formula>
    </cfRule>
  </conditionalFormatting>
  <conditionalFormatting sqref="C122">
    <cfRule type="cellIs" dxfId="15525" priority="3749" stopIfTrue="1" operator="equal">
      <formula>"Towel"</formula>
    </cfRule>
    <cfRule type="cellIs" dxfId="15524" priority="3750" stopIfTrue="1" operator="equal">
      <formula>"Napkin Hs"</formula>
    </cfRule>
  </conditionalFormatting>
  <conditionalFormatting sqref="C123">
    <cfRule type="cellIs" dxfId="15523" priority="3731" stopIfTrue="1" operator="equal">
      <formula>"Towel"</formula>
    </cfRule>
    <cfRule type="cellIs" dxfId="15522" priority="3732" stopIfTrue="1" operator="equal">
      <formula>"Napkin Hs"</formula>
    </cfRule>
  </conditionalFormatting>
  <conditionalFormatting sqref="C123">
    <cfRule type="cellIs" dxfId="15521" priority="3729" stopIfTrue="1" operator="equal">
      <formula>"Towel"</formula>
    </cfRule>
    <cfRule type="cellIs" dxfId="15520" priority="3730" stopIfTrue="1" operator="equal">
      <formula>"Napkin Hs"</formula>
    </cfRule>
  </conditionalFormatting>
  <conditionalFormatting sqref="B123:C123">
    <cfRule type="cellIs" dxfId="15519" priority="3727" stopIfTrue="1" operator="equal">
      <formula>"Towel"</formula>
    </cfRule>
    <cfRule type="cellIs" dxfId="15518" priority="3728" stopIfTrue="1" operator="equal">
      <formula>"Napkin Hs"</formula>
    </cfRule>
  </conditionalFormatting>
  <conditionalFormatting sqref="B123:C123">
    <cfRule type="cellIs" dxfId="15517" priority="3737" stopIfTrue="1" operator="equal">
      <formula>"Towel"</formula>
    </cfRule>
    <cfRule type="cellIs" dxfId="15516" priority="3738" stopIfTrue="1" operator="equal">
      <formula>"Napkin Hs"</formula>
    </cfRule>
  </conditionalFormatting>
  <conditionalFormatting sqref="C123">
    <cfRule type="cellIs" dxfId="15515" priority="3735" stopIfTrue="1" operator="equal">
      <formula>"Towel"</formula>
    </cfRule>
    <cfRule type="cellIs" dxfId="15514" priority="3736" stopIfTrue="1" operator="equal">
      <formula>"Napkin Hs"</formula>
    </cfRule>
  </conditionalFormatting>
  <conditionalFormatting sqref="C123">
    <cfRule type="cellIs" dxfId="15513" priority="3733" stopIfTrue="1" operator="equal">
      <formula>"Towel"</formula>
    </cfRule>
    <cfRule type="cellIs" dxfId="15512" priority="3734" stopIfTrue="1" operator="equal">
      <formula>"Napkin Hs"</formula>
    </cfRule>
  </conditionalFormatting>
  <conditionalFormatting sqref="C123">
    <cfRule type="cellIs" dxfId="15511" priority="3725" stopIfTrue="1" operator="equal">
      <formula>"Towel"</formula>
    </cfRule>
    <cfRule type="cellIs" dxfId="15510" priority="3726" stopIfTrue="1" operator="equal">
      <formula>"Napkin Hs"</formula>
    </cfRule>
  </conditionalFormatting>
  <conditionalFormatting sqref="C123">
    <cfRule type="cellIs" dxfId="15509" priority="3723" stopIfTrue="1" operator="equal">
      <formula>"Towel"</formula>
    </cfRule>
    <cfRule type="cellIs" dxfId="15508" priority="3724" stopIfTrue="1" operator="equal">
      <formula>"Napkin Hs"</formula>
    </cfRule>
  </conditionalFormatting>
  <conditionalFormatting sqref="B123:C123">
    <cfRule type="cellIs" dxfId="15507" priority="3721" stopIfTrue="1" operator="equal">
      <formula>"Towel"</formula>
    </cfRule>
    <cfRule type="cellIs" dxfId="15506" priority="3722" stopIfTrue="1" operator="equal">
      <formula>"Napkin Hs"</formula>
    </cfRule>
  </conditionalFormatting>
  <conditionalFormatting sqref="B123">
    <cfRule type="cellIs" dxfId="15505" priority="3719" stopIfTrue="1" operator="equal">
      <formula>"Towel"</formula>
    </cfRule>
    <cfRule type="cellIs" dxfId="15504" priority="3720" stopIfTrue="1" operator="equal">
      <formula>"Napkin Hs"</formula>
    </cfRule>
  </conditionalFormatting>
  <conditionalFormatting sqref="B123">
    <cfRule type="cellIs" dxfId="15503" priority="3717" stopIfTrue="1" operator="equal">
      <formula>"Towel"</formula>
    </cfRule>
    <cfRule type="cellIs" dxfId="15502" priority="3718" stopIfTrue="1" operator="equal">
      <formula>"Napkin Hs"</formula>
    </cfRule>
  </conditionalFormatting>
  <conditionalFormatting sqref="B123">
    <cfRule type="cellIs" dxfId="15501" priority="3715" stopIfTrue="1" operator="equal">
      <formula>"Towel"</formula>
    </cfRule>
    <cfRule type="cellIs" dxfId="15500" priority="3716" stopIfTrue="1" operator="equal">
      <formula>"Napkin Hs"</formula>
    </cfRule>
  </conditionalFormatting>
  <conditionalFormatting sqref="B123:C123">
    <cfRule type="cellIs" dxfId="15499" priority="3713" stopIfTrue="1" operator="equal">
      <formula>"Towel"</formula>
    </cfRule>
    <cfRule type="cellIs" dxfId="15498" priority="3714" stopIfTrue="1" operator="equal">
      <formula>"Napkin Hs"</formula>
    </cfRule>
  </conditionalFormatting>
  <conditionalFormatting sqref="C123">
    <cfRule type="cellIs" dxfId="15497" priority="3711" stopIfTrue="1" operator="equal">
      <formula>"Towel"</formula>
    </cfRule>
    <cfRule type="cellIs" dxfId="15496" priority="3712" stopIfTrue="1" operator="equal">
      <formula>"Napkin Hs"</formula>
    </cfRule>
  </conditionalFormatting>
  <conditionalFormatting sqref="C123">
    <cfRule type="cellIs" dxfId="15495" priority="3709" stopIfTrue="1" operator="equal">
      <formula>"Towel"</formula>
    </cfRule>
    <cfRule type="cellIs" dxfId="15494" priority="3710" stopIfTrue="1" operator="equal">
      <formula>"Napkin Hs"</formula>
    </cfRule>
  </conditionalFormatting>
  <conditionalFormatting sqref="C123">
    <cfRule type="cellIs" dxfId="15493" priority="3701" stopIfTrue="1" operator="equal">
      <formula>"Towel"</formula>
    </cfRule>
    <cfRule type="cellIs" dxfId="15492" priority="3702" stopIfTrue="1" operator="equal">
      <formula>"Napkin Hs"</formula>
    </cfRule>
  </conditionalFormatting>
  <conditionalFormatting sqref="B123:C123">
    <cfRule type="cellIs" dxfId="15491" priority="3703" stopIfTrue="1" operator="equal">
      <formula>"Towel"</formula>
    </cfRule>
    <cfRule type="cellIs" dxfId="15490" priority="3704" stopIfTrue="1" operator="equal">
      <formula>"Napkin Hs"</formula>
    </cfRule>
  </conditionalFormatting>
  <conditionalFormatting sqref="C123">
    <cfRule type="cellIs" dxfId="15489" priority="3699" stopIfTrue="1" operator="equal">
      <formula>"Towel"</formula>
    </cfRule>
    <cfRule type="cellIs" dxfId="15488" priority="3700" stopIfTrue="1" operator="equal">
      <formula>"Napkin Hs"</formula>
    </cfRule>
  </conditionalFormatting>
  <conditionalFormatting sqref="B123:C123">
    <cfRule type="cellIs" dxfId="15487" priority="3697" stopIfTrue="1" operator="equal">
      <formula>"Towel"</formula>
    </cfRule>
    <cfRule type="cellIs" dxfId="15486" priority="3698" stopIfTrue="1" operator="equal">
      <formula>"Napkin Hs"</formula>
    </cfRule>
  </conditionalFormatting>
  <conditionalFormatting sqref="C123">
    <cfRule type="cellIs" dxfId="15485" priority="3705" stopIfTrue="1" operator="equal">
      <formula>"Towel"</formula>
    </cfRule>
    <cfRule type="cellIs" dxfId="15484" priority="3706" stopIfTrue="1" operator="equal">
      <formula>"Napkin Hs"</formula>
    </cfRule>
  </conditionalFormatting>
  <conditionalFormatting sqref="C123">
    <cfRule type="cellIs" dxfId="15483" priority="3707" stopIfTrue="1" operator="equal">
      <formula>"Towel"</formula>
    </cfRule>
    <cfRule type="cellIs" dxfId="15482" priority="3708" stopIfTrue="1" operator="equal">
      <formula>"Napkin Hs"</formula>
    </cfRule>
  </conditionalFormatting>
  <conditionalFormatting sqref="B123:C123">
    <cfRule type="cellIs" dxfId="15481" priority="3693" stopIfTrue="1" operator="equal">
      <formula>"Towel"</formula>
    </cfRule>
    <cfRule type="cellIs" dxfId="15480" priority="3694" stopIfTrue="1" operator="equal">
      <formula>"Napkin Hs"</formula>
    </cfRule>
  </conditionalFormatting>
  <conditionalFormatting sqref="C123">
    <cfRule type="cellIs" dxfId="15479" priority="3695" stopIfTrue="1" operator="equal">
      <formula>"Towel"</formula>
    </cfRule>
    <cfRule type="cellIs" dxfId="15478" priority="3696" stopIfTrue="1" operator="equal">
      <formula>"Napkin Hs"</formula>
    </cfRule>
  </conditionalFormatting>
  <conditionalFormatting sqref="C123">
    <cfRule type="cellIs" dxfId="15477" priority="3691" stopIfTrue="1" operator="equal">
      <formula>"Towel"</formula>
    </cfRule>
    <cfRule type="cellIs" dxfId="15476" priority="3692" stopIfTrue="1" operator="equal">
      <formula>"Napkin Hs"</formula>
    </cfRule>
  </conditionalFormatting>
  <conditionalFormatting sqref="B123">
    <cfRule type="cellIs" dxfId="15475" priority="3687" stopIfTrue="1" operator="equal">
      <formula>"Towel"</formula>
    </cfRule>
    <cfRule type="cellIs" dxfId="15474" priority="3688" stopIfTrue="1" operator="equal">
      <formula>"Napkin Hs"</formula>
    </cfRule>
  </conditionalFormatting>
  <conditionalFormatting sqref="B123">
    <cfRule type="cellIs" dxfId="15473" priority="3689" stopIfTrue="1" operator="equal">
      <formula>"Towel"</formula>
    </cfRule>
    <cfRule type="cellIs" dxfId="15472" priority="3690" stopIfTrue="1" operator="equal">
      <formula>"Napkin Hs"</formula>
    </cfRule>
  </conditionalFormatting>
  <conditionalFormatting sqref="B123">
    <cfRule type="cellIs" dxfId="15471" priority="3685" stopIfTrue="1" operator="equal">
      <formula>"Towel"</formula>
    </cfRule>
    <cfRule type="cellIs" dxfId="15470" priority="3686" stopIfTrue="1" operator="equal">
      <formula>"Napkin Hs"</formula>
    </cfRule>
  </conditionalFormatting>
  <conditionalFormatting sqref="B123:C123">
    <cfRule type="cellIs" dxfId="15469" priority="3683" stopIfTrue="1" operator="equal">
      <formula>"Towel"</formula>
    </cfRule>
    <cfRule type="cellIs" dxfId="15468" priority="3684" stopIfTrue="1" operator="equal">
      <formula>"Napkin Hs"</formula>
    </cfRule>
  </conditionalFormatting>
  <conditionalFormatting sqref="C123">
    <cfRule type="cellIs" dxfId="15467" priority="3681" stopIfTrue="1" operator="equal">
      <formula>"Towel"</formula>
    </cfRule>
    <cfRule type="cellIs" dxfId="15466" priority="3682" stopIfTrue="1" operator="equal">
      <formula>"Napkin Hs"</formula>
    </cfRule>
  </conditionalFormatting>
  <conditionalFormatting sqref="C123">
    <cfRule type="cellIs" dxfId="15465" priority="3679" stopIfTrue="1" operator="equal">
      <formula>"Towel"</formula>
    </cfRule>
    <cfRule type="cellIs" dxfId="15464" priority="3680" stopIfTrue="1" operator="equal">
      <formula>"Napkin Hs"</formula>
    </cfRule>
  </conditionalFormatting>
  <conditionalFormatting sqref="C123">
    <cfRule type="cellIs" dxfId="15463" priority="3671" stopIfTrue="1" operator="equal">
      <formula>"Towel"</formula>
    </cfRule>
    <cfRule type="cellIs" dxfId="15462" priority="3672" stopIfTrue="1" operator="equal">
      <formula>"Napkin Hs"</formula>
    </cfRule>
  </conditionalFormatting>
  <conditionalFormatting sqref="B123:C123">
    <cfRule type="cellIs" dxfId="15461" priority="3673" stopIfTrue="1" operator="equal">
      <formula>"Towel"</formula>
    </cfRule>
    <cfRule type="cellIs" dxfId="15460" priority="3674" stopIfTrue="1" operator="equal">
      <formula>"Napkin Hs"</formula>
    </cfRule>
  </conditionalFormatting>
  <conditionalFormatting sqref="C123">
    <cfRule type="cellIs" dxfId="15459" priority="3669" stopIfTrue="1" operator="equal">
      <formula>"Towel"</formula>
    </cfRule>
    <cfRule type="cellIs" dxfId="15458" priority="3670" stopIfTrue="1" operator="equal">
      <formula>"Napkin Hs"</formula>
    </cfRule>
  </conditionalFormatting>
  <conditionalFormatting sqref="B123:C123">
    <cfRule type="cellIs" dxfId="15457" priority="3667" stopIfTrue="1" operator="equal">
      <formula>"Towel"</formula>
    </cfRule>
    <cfRule type="cellIs" dxfId="15456" priority="3668" stopIfTrue="1" operator="equal">
      <formula>"Napkin Hs"</formula>
    </cfRule>
  </conditionalFormatting>
  <conditionalFormatting sqref="C123">
    <cfRule type="cellIs" dxfId="15455" priority="3675" stopIfTrue="1" operator="equal">
      <formula>"Towel"</formula>
    </cfRule>
    <cfRule type="cellIs" dxfId="15454" priority="3676" stopIfTrue="1" operator="equal">
      <formula>"Napkin Hs"</formula>
    </cfRule>
  </conditionalFormatting>
  <conditionalFormatting sqref="C123">
    <cfRule type="cellIs" dxfId="15453" priority="3677" stopIfTrue="1" operator="equal">
      <formula>"Towel"</formula>
    </cfRule>
    <cfRule type="cellIs" dxfId="15452" priority="3678" stopIfTrue="1" operator="equal">
      <formula>"Napkin Hs"</formula>
    </cfRule>
  </conditionalFormatting>
  <conditionalFormatting sqref="C123">
    <cfRule type="cellIs" dxfId="15451" priority="3663" stopIfTrue="1" operator="equal">
      <formula>"Towel"</formula>
    </cfRule>
    <cfRule type="cellIs" dxfId="15450" priority="3664" stopIfTrue="1" operator="equal">
      <formula>"Napkin Hs"</formula>
    </cfRule>
  </conditionalFormatting>
  <conditionalFormatting sqref="C123">
    <cfRule type="cellIs" dxfId="15449" priority="3665" stopIfTrue="1" operator="equal">
      <formula>"Towel"</formula>
    </cfRule>
    <cfRule type="cellIs" dxfId="15448" priority="3666" stopIfTrue="1" operator="equal">
      <formula>"Napkin Hs"</formula>
    </cfRule>
  </conditionalFormatting>
  <conditionalFormatting sqref="B123:C123">
    <cfRule type="cellIs" dxfId="15447" priority="3661" stopIfTrue="1" operator="equal">
      <formula>"Towel"</formula>
    </cfRule>
    <cfRule type="cellIs" dxfId="15446" priority="3662" stopIfTrue="1" operator="equal">
      <formula>"Napkin Hs"</formula>
    </cfRule>
  </conditionalFormatting>
  <conditionalFormatting sqref="B123:C123">
    <cfRule type="cellIs" dxfId="15445" priority="3655" stopIfTrue="1" operator="equal">
      <formula>"Towel"</formula>
    </cfRule>
    <cfRule type="cellIs" dxfId="15444" priority="3656" stopIfTrue="1" operator="equal">
      <formula>"Napkin Hs"</formula>
    </cfRule>
  </conditionalFormatting>
  <conditionalFormatting sqref="C123">
    <cfRule type="cellIs" dxfId="15443" priority="3657" stopIfTrue="1" operator="equal">
      <formula>"Towel"</formula>
    </cfRule>
    <cfRule type="cellIs" dxfId="15442" priority="3658" stopIfTrue="1" operator="equal">
      <formula>"Napkin Hs"</formula>
    </cfRule>
  </conditionalFormatting>
  <conditionalFormatting sqref="C123">
    <cfRule type="cellIs" dxfId="15441" priority="3659" stopIfTrue="1" operator="equal">
      <formula>"Towel"</formula>
    </cfRule>
    <cfRule type="cellIs" dxfId="15440" priority="3660" stopIfTrue="1" operator="equal">
      <formula>"Napkin Hs"</formula>
    </cfRule>
  </conditionalFormatting>
  <conditionalFormatting sqref="C123">
    <cfRule type="cellIs" dxfId="15439" priority="3627" stopIfTrue="1" operator="equal">
      <formula>"Towel"</formula>
    </cfRule>
    <cfRule type="cellIs" dxfId="15438" priority="3628" stopIfTrue="1" operator="equal">
      <formula>"Napkin Hs"</formula>
    </cfRule>
  </conditionalFormatting>
  <conditionalFormatting sqref="C123">
    <cfRule type="cellIs" dxfId="15437" priority="3629" stopIfTrue="1" operator="equal">
      <formula>"Towel"</formula>
    </cfRule>
    <cfRule type="cellIs" dxfId="15436" priority="3630" stopIfTrue="1" operator="equal">
      <formula>"Napkin Hs"</formula>
    </cfRule>
  </conditionalFormatting>
  <conditionalFormatting sqref="C123">
    <cfRule type="cellIs" dxfId="15435" priority="3625" stopIfTrue="1" operator="equal">
      <formula>"Towel"</formula>
    </cfRule>
    <cfRule type="cellIs" dxfId="15434" priority="3626" stopIfTrue="1" operator="equal">
      <formula>"Napkin Hs"</formula>
    </cfRule>
  </conditionalFormatting>
  <conditionalFormatting sqref="B123">
    <cfRule type="cellIs" dxfId="15433" priority="3619" stopIfTrue="1" operator="equal">
      <formula>"Towel"</formula>
    </cfRule>
    <cfRule type="cellIs" dxfId="15432" priority="3620" stopIfTrue="1" operator="equal">
      <formula>"Napkin Hs"</formula>
    </cfRule>
  </conditionalFormatting>
  <conditionalFormatting sqref="C123">
    <cfRule type="cellIs" dxfId="15431" priority="3621" stopIfTrue="1" operator="equal">
      <formula>"Towel"</formula>
    </cfRule>
    <cfRule type="cellIs" dxfId="15430" priority="3622" stopIfTrue="1" operator="equal">
      <formula>"Napkin Hs"</formula>
    </cfRule>
  </conditionalFormatting>
  <conditionalFormatting sqref="C123">
    <cfRule type="cellIs" dxfId="15429" priority="3623" stopIfTrue="1" operator="equal">
      <formula>"Towel"</formula>
    </cfRule>
    <cfRule type="cellIs" dxfId="15428" priority="3624" stopIfTrue="1" operator="equal">
      <formula>"Napkin Hs"</formula>
    </cfRule>
  </conditionalFormatting>
  <conditionalFormatting sqref="B123:C123">
    <cfRule type="cellIs" dxfId="15427" priority="3573" stopIfTrue="1" operator="equal">
      <formula>"Towel"</formula>
    </cfRule>
    <cfRule type="cellIs" dxfId="15426" priority="3574" stopIfTrue="1" operator="equal">
      <formula>"Napkin Hs"</formula>
    </cfRule>
  </conditionalFormatting>
  <conditionalFormatting sqref="C123">
    <cfRule type="cellIs" dxfId="15425" priority="3575" stopIfTrue="1" operator="equal">
      <formula>"Towel"</formula>
    </cfRule>
    <cfRule type="cellIs" dxfId="15424" priority="3576" stopIfTrue="1" operator="equal">
      <formula>"Napkin Hs"</formula>
    </cfRule>
  </conditionalFormatting>
  <conditionalFormatting sqref="C123">
    <cfRule type="cellIs" dxfId="15423" priority="3571" stopIfTrue="1" operator="equal">
      <formula>"Towel"</formula>
    </cfRule>
    <cfRule type="cellIs" dxfId="15422" priority="3572" stopIfTrue="1" operator="equal">
      <formula>"Napkin Hs"</formula>
    </cfRule>
  </conditionalFormatting>
  <conditionalFormatting sqref="C123">
    <cfRule type="cellIs" dxfId="15421" priority="3569" stopIfTrue="1" operator="equal">
      <formula>"Towel"</formula>
    </cfRule>
    <cfRule type="cellIs" dxfId="15420" priority="3570" stopIfTrue="1" operator="equal">
      <formula>"Napkin Hs"</formula>
    </cfRule>
  </conditionalFormatting>
  <conditionalFormatting sqref="B123">
    <cfRule type="cellIs" dxfId="15419" priority="3617" stopIfTrue="1" operator="equal">
      <formula>"Towel"</formula>
    </cfRule>
    <cfRule type="cellIs" dxfId="15418" priority="3618" stopIfTrue="1" operator="equal">
      <formula>"Napkin Hs"</formula>
    </cfRule>
  </conditionalFormatting>
  <conditionalFormatting sqref="C123">
    <cfRule type="cellIs" dxfId="15417" priority="3613" stopIfTrue="1" operator="equal">
      <formula>"Towel"</formula>
    </cfRule>
    <cfRule type="cellIs" dxfId="15416" priority="3614" stopIfTrue="1" operator="equal">
      <formula>"Napkin Hs"</formula>
    </cfRule>
  </conditionalFormatting>
  <conditionalFormatting sqref="C123">
    <cfRule type="cellIs" dxfId="15415" priority="3607" stopIfTrue="1" operator="equal">
      <formula>"Towel"</formula>
    </cfRule>
    <cfRule type="cellIs" dxfId="15414" priority="3608" stopIfTrue="1" operator="equal">
      <formula>"Napkin Hs"</formula>
    </cfRule>
  </conditionalFormatting>
  <conditionalFormatting sqref="C123">
    <cfRule type="cellIs" dxfId="15413" priority="3611" stopIfTrue="1" operator="equal">
      <formula>"Towel"</formula>
    </cfRule>
    <cfRule type="cellIs" dxfId="15412" priority="3612" stopIfTrue="1" operator="equal">
      <formula>"Napkin Hs"</formula>
    </cfRule>
  </conditionalFormatting>
  <conditionalFormatting sqref="B123:C123">
    <cfRule type="cellIs" dxfId="15411" priority="3609" stopIfTrue="1" operator="equal">
      <formula>"Towel"</formula>
    </cfRule>
    <cfRule type="cellIs" dxfId="15410" priority="3610" stopIfTrue="1" operator="equal">
      <formula>"Napkin Hs"</formula>
    </cfRule>
  </conditionalFormatting>
  <conditionalFormatting sqref="C123">
    <cfRule type="cellIs" dxfId="15409" priority="3601" stopIfTrue="1" operator="equal">
      <formula>"Towel"</formula>
    </cfRule>
    <cfRule type="cellIs" dxfId="15408" priority="3602" stopIfTrue="1" operator="equal">
      <formula>"Napkin Hs"</formula>
    </cfRule>
  </conditionalFormatting>
  <conditionalFormatting sqref="C123">
    <cfRule type="cellIs" dxfId="15407" priority="3603" stopIfTrue="1" operator="equal">
      <formula>"Towel"</formula>
    </cfRule>
    <cfRule type="cellIs" dxfId="15406" priority="3604" stopIfTrue="1" operator="equal">
      <formula>"Napkin Hs"</formula>
    </cfRule>
  </conditionalFormatting>
  <conditionalFormatting sqref="C123">
    <cfRule type="cellIs" dxfId="15405" priority="3605" stopIfTrue="1" operator="equal">
      <formula>"Towel"</formula>
    </cfRule>
    <cfRule type="cellIs" dxfId="15404" priority="3606" stopIfTrue="1" operator="equal">
      <formula>"Napkin Hs"</formula>
    </cfRule>
  </conditionalFormatting>
  <conditionalFormatting sqref="C123">
    <cfRule type="cellIs" dxfId="15403" priority="3595" stopIfTrue="1" operator="equal">
      <formula>"Towel"</formula>
    </cfRule>
    <cfRule type="cellIs" dxfId="15402" priority="3596" stopIfTrue="1" operator="equal">
      <formula>"Napkin Hs"</formula>
    </cfRule>
  </conditionalFormatting>
  <conditionalFormatting sqref="B123:C123">
    <cfRule type="cellIs" dxfId="15401" priority="3599" stopIfTrue="1" operator="equal">
      <formula>"Towel"</formula>
    </cfRule>
    <cfRule type="cellIs" dxfId="15400" priority="3600" stopIfTrue="1" operator="equal">
      <formula>"Napkin Hs"</formula>
    </cfRule>
  </conditionalFormatting>
  <conditionalFormatting sqref="C123">
    <cfRule type="cellIs" dxfId="15399" priority="3597" stopIfTrue="1" operator="equal">
      <formula>"Towel"</formula>
    </cfRule>
    <cfRule type="cellIs" dxfId="15398" priority="3598" stopIfTrue="1" operator="equal">
      <formula>"Napkin Hs"</formula>
    </cfRule>
  </conditionalFormatting>
  <conditionalFormatting sqref="B123:C123">
    <cfRule type="cellIs" dxfId="15397" priority="3589" stopIfTrue="1" operator="equal">
      <formula>"Towel"</formula>
    </cfRule>
    <cfRule type="cellIs" dxfId="15396" priority="3590" stopIfTrue="1" operator="equal">
      <formula>"Napkin Hs"</formula>
    </cfRule>
  </conditionalFormatting>
  <conditionalFormatting sqref="C123">
    <cfRule type="cellIs" dxfId="15395" priority="3591" stopIfTrue="1" operator="equal">
      <formula>"Towel"</formula>
    </cfRule>
    <cfRule type="cellIs" dxfId="15394" priority="3592" stopIfTrue="1" operator="equal">
      <formula>"Napkin Hs"</formula>
    </cfRule>
  </conditionalFormatting>
  <conditionalFormatting sqref="B123:C123">
    <cfRule type="cellIs" dxfId="15393" priority="3593" stopIfTrue="1" operator="equal">
      <formula>"Towel"</formula>
    </cfRule>
    <cfRule type="cellIs" dxfId="15392" priority="3594" stopIfTrue="1" operator="equal">
      <formula>"Napkin Hs"</formula>
    </cfRule>
  </conditionalFormatting>
  <conditionalFormatting sqref="C123">
    <cfRule type="cellIs" dxfId="15391" priority="3587" stopIfTrue="1" operator="equal">
      <formula>"Towel"</formula>
    </cfRule>
    <cfRule type="cellIs" dxfId="15390" priority="3588" stopIfTrue="1" operator="equal">
      <formula>"Napkin Hs"</formula>
    </cfRule>
  </conditionalFormatting>
  <conditionalFormatting sqref="C123">
    <cfRule type="cellIs" dxfId="15389" priority="3583" stopIfTrue="1" operator="equal">
      <formula>"Towel"</formula>
    </cfRule>
    <cfRule type="cellIs" dxfId="15388" priority="3584" stopIfTrue="1" operator="equal">
      <formula>"Napkin Hs"</formula>
    </cfRule>
  </conditionalFormatting>
  <conditionalFormatting sqref="B123:C123">
    <cfRule type="cellIs" dxfId="15387" priority="3585" stopIfTrue="1" operator="equal">
      <formula>"Towel"</formula>
    </cfRule>
    <cfRule type="cellIs" dxfId="15386" priority="3586" stopIfTrue="1" operator="equal">
      <formula>"Napkin Hs"</formula>
    </cfRule>
  </conditionalFormatting>
  <conditionalFormatting sqref="C123">
    <cfRule type="cellIs" dxfId="15385" priority="3581" stopIfTrue="1" operator="equal">
      <formula>"Towel"</formula>
    </cfRule>
    <cfRule type="cellIs" dxfId="15384" priority="3582" stopIfTrue="1" operator="equal">
      <formula>"Napkin Hs"</formula>
    </cfRule>
  </conditionalFormatting>
  <conditionalFormatting sqref="C123">
    <cfRule type="cellIs" dxfId="15383" priority="3579" stopIfTrue="1" operator="equal">
      <formula>"Towel"</formula>
    </cfRule>
    <cfRule type="cellIs" dxfId="15382" priority="3580" stopIfTrue="1" operator="equal">
      <formula>"Napkin Hs"</formula>
    </cfRule>
  </conditionalFormatting>
  <conditionalFormatting sqref="B123:C123">
    <cfRule type="cellIs" dxfId="15381" priority="3577" stopIfTrue="1" operator="equal">
      <formula>"Towel"</formula>
    </cfRule>
    <cfRule type="cellIs" dxfId="15380" priority="3578" stopIfTrue="1" operator="equal">
      <formula>"Napkin Hs"</formula>
    </cfRule>
  </conditionalFormatting>
  <conditionalFormatting sqref="B123:C123">
    <cfRule type="cellIs" dxfId="15379" priority="3653" stopIfTrue="1" operator="equal">
      <formula>"Towel"</formula>
    </cfRule>
    <cfRule type="cellIs" dxfId="15378" priority="3654" stopIfTrue="1" operator="equal">
      <formula>"Napkin Hs"</formula>
    </cfRule>
  </conditionalFormatting>
  <conditionalFormatting sqref="C123">
    <cfRule type="cellIs" dxfId="15377" priority="3649" stopIfTrue="1" operator="equal">
      <formula>"Towel"</formula>
    </cfRule>
    <cfRule type="cellIs" dxfId="15376" priority="3650" stopIfTrue="1" operator="equal">
      <formula>"Napkin Hs"</formula>
    </cfRule>
  </conditionalFormatting>
  <conditionalFormatting sqref="C123">
    <cfRule type="cellIs" dxfId="15375" priority="3652" stopIfTrue="1" operator="equal">
      <formula>"Napkin Hs"</formula>
    </cfRule>
  </conditionalFormatting>
  <conditionalFormatting sqref="C123">
    <cfRule type="cellIs" dxfId="15374" priority="3651" stopIfTrue="1" operator="equal">
      <formula>"Towel"</formula>
    </cfRule>
  </conditionalFormatting>
  <conditionalFormatting sqref="C123">
    <cfRule type="cellIs" dxfId="15373" priority="3643" stopIfTrue="1" operator="equal">
      <formula>"Towel"</formula>
    </cfRule>
    <cfRule type="cellIs" dxfId="15372" priority="3644" stopIfTrue="1" operator="equal">
      <formula>"Napkin Hs"</formula>
    </cfRule>
  </conditionalFormatting>
  <conditionalFormatting sqref="C123">
    <cfRule type="cellIs" dxfId="15371" priority="3647" stopIfTrue="1" operator="equal">
      <formula>"Towel"</formula>
    </cfRule>
    <cfRule type="cellIs" dxfId="15370" priority="3648" stopIfTrue="1" operator="equal">
      <formula>"Napkin Hs"</formula>
    </cfRule>
  </conditionalFormatting>
  <conditionalFormatting sqref="B123">
    <cfRule type="cellIs" dxfId="15369" priority="3633" stopIfTrue="1" operator="equal">
      <formula>"Towel"</formula>
    </cfRule>
    <cfRule type="cellIs" dxfId="15368" priority="3634" stopIfTrue="1" operator="equal">
      <formula>"Napkin Hs"</formula>
    </cfRule>
  </conditionalFormatting>
  <conditionalFormatting sqref="C123">
    <cfRule type="cellIs" dxfId="15367" priority="3645" stopIfTrue="1" operator="equal">
      <formula>"Towel"</formula>
    </cfRule>
    <cfRule type="cellIs" dxfId="15366" priority="3646" stopIfTrue="1" operator="equal">
      <formula>"Napkin Hs"</formula>
    </cfRule>
  </conditionalFormatting>
  <conditionalFormatting sqref="C123">
    <cfRule type="cellIs" dxfId="15365" priority="3637" stopIfTrue="1" operator="equal">
      <formula>"Towel"</formula>
    </cfRule>
    <cfRule type="cellIs" dxfId="15364" priority="3638" stopIfTrue="1" operator="equal">
      <formula>"Napkin Hs"</formula>
    </cfRule>
  </conditionalFormatting>
  <conditionalFormatting sqref="C123">
    <cfRule type="cellIs" dxfId="15363" priority="3639" stopIfTrue="1" operator="equal">
      <formula>"Towel"</formula>
    </cfRule>
    <cfRule type="cellIs" dxfId="15362" priority="3640" stopIfTrue="1" operator="equal">
      <formula>"Napkin Hs"</formula>
    </cfRule>
  </conditionalFormatting>
  <conditionalFormatting sqref="C123">
    <cfRule type="cellIs" dxfId="15361" priority="3641" stopIfTrue="1" operator="equal">
      <formula>"Towel"</formula>
    </cfRule>
    <cfRule type="cellIs" dxfId="15360" priority="3642" stopIfTrue="1" operator="equal">
      <formula>"Napkin Hs"</formula>
    </cfRule>
  </conditionalFormatting>
  <conditionalFormatting sqref="B123">
    <cfRule type="cellIs" dxfId="15359" priority="3635" stopIfTrue="1" operator="equal">
      <formula>"Towel"</formula>
    </cfRule>
    <cfRule type="cellIs" dxfId="15358" priority="3636" stopIfTrue="1" operator="equal">
      <formula>"Napkin Hs"</formula>
    </cfRule>
  </conditionalFormatting>
  <conditionalFormatting sqref="C123">
    <cfRule type="cellIs" dxfId="15357" priority="3631" stopIfTrue="1" operator="equal">
      <formula>"Towel"</formula>
    </cfRule>
    <cfRule type="cellIs" dxfId="15356" priority="3632" stopIfTrue="1" operator="equal">
      <formula>"Napkin Hs"</formula>
    </cfRule>
  </conditionalFormatting>
  <conditionalFormatting sqref="B123:C123">
    <cfRule type="cellIs" dxfId="15355" priority="3615" stopIfTrue="1" operator="equal">
      <formula>"Towel"</formula>
    </cfRule>
    <cfRule type="cellIs" dxfId="15354" priority="3616" stopIfTrue="1" operator="equal">
      <formula>"Napkin Hs"</formula>
    </cfRule>
  </conditionalFormatting>
  <conditionalFormatting sqref="B123">
    <cfRule type="cellIs" dxfId="15353" priority="3567" stopIfTrue="1" operator="equal">
      <formula>"Towel"</formula>
    </cfRule>
    <cfRule type="cellIs" dxfId="15352" priority="3568" stopIfTrue="1" operator="equal">
      <formula>"Napkin Hs"</formula>
    </cfRule>
  </conditionalFormatting>
  <conditionalFormatting sqref="B123">
    <cfRule type="cellIs" dxfId="15351" priority="3565" stopIfTrue="1" operator="equal">
      <formula>"Towel"</formula>
    </cfRule>
    <cfRule type="cellIs" dxfId="15350" priority="3566" stopIfTrue="1" operator="equal">
      <formula>"Napkin Hs"</formula>
    </cfRule>
  </conditionalFormatting>
  <conditionalFormatting sqref="B123">
    <cfRule type="cellIs" dxfId="15349" priority="3563" stopIfTrue="1" operator="equal">
      <formula>"Towel"</formula>
    </cfRule>
    <cfRule type="cellIs" dxfId="15348" priority="3564" stopIfTrue="1" operator="equal">
      <formula>"Napkin Hs"</formula>
    </cfRule>
  </conditionalFormatting>
  <conditionalFormatting sqref="B123">
    <cfRule type="cellIs" dxfId="15347" priority="3557" stopIfTrue="1" operator="equal">
      <formula>"Towel"</formula>
    </cfRule>
    <cfRule type="cellIs" dxfId="15346" priority="3558" stopIfTrue="1" operator="equal">
      <formula>"Napkin Hs"</formula>
    </cfRule>
  </conditionalFormatting>
  <conditionalFormatting sqref="B123">
    <cfRule type="cellIs" dxfId="15345" priority="3561" stopIfTrue="1" operator="equal">
      <formula>"Towel"</formula>
    </cfRule>
    <cfRule type="cellIs" dxfId="15344" priority="3562" stopIfTrue="1" operator="equal">
      <formula>"Napkin Hs"</formula>
    </cfRule>
  </conditionalFormatting>
  <conditionalFormatting sqref="B123">
    <cfRule type="cellIs" dxfId="15343" priority="3559" stopIfTrue="1" operator="equal">
      <formula>"Towel"</formula>
    </cfRule>
    <cfRule type="cellIs" dxfId="15342" priority="3560" stopIfTrue="1" operator="equal">
      <formula>"Napkin Hs"</formula>
    </cfRule>
  </conditionalFormatting>
  <conditionalFormatting sqref="B123">
    <cfRule type="cellIs" dxfId="15341" priority="3555" stopIfTrue="1" operator="equal">
      <formula>"Towel"</formula>
    </cfRule>
    <cfRule type="cellIs" dxfId="15340" priority="3556" stopIfTrue="1" operator="equal">
      <formula>"Napkin Hs"</formula>
    </cfRule>
  </conditionalFormatting>
  <conditionalFormatting sqref="B123">
    <cfRule type="cellIs" dxfId="15339" priority="3553" stopIfTrue="1" operator="equal">
      <formula>"Towel"</formula>
    </cfRule>
    <cfRule type="cellIs" dxfId="15338" priority="3554" stopIfTrue="1" operator="equal">
      <formula>"Napkin Hs"</formula>
    </cfRule>
  </conditionalFormatting>
  <conditionalFormatting sqref="B123">
    <cfRule type="cellIs" dxfId="15337" priority="3549" stopIfTrue="1" operator="equal">
      <formula>"Towel"</formula>
    </cfRule>
    <cfRule type="cellIs" dxfId="15336" priority="3550" stopIfTrue="1" operator="equal">
      <formula>"Napkin Hs"</formula>
    </cfRule>
  </conditionalFormatting>
  <conditionalFormatting sqref="B123">
    <cfRule type="cellIs" dxfId="15335" priority="3547" stopIfTrue="1" operator="equal">
      <formula>"Towel"</formula>
    </cfRule>
    <cfRule type="cellIs" dxfId="15334" priority="3548" stopIfTrue="1" operator="equal">
      <formula>"Napkin Hs"</formula>
    </cfRule>
  </conditionalFormatting>
  <conditionalFormatting sqref="B123">
    <cfRule type="cellIs" dxfId="15333" priority="3551" stopIfTrue="1" operator="equal">
      <formula>"Towel"</formula>
    </cfRule>
    <cfRule type="cellIs" dxfId="15332" priority="3552" stopIfTrue="1" operator="equal">
      <formula>"Napkin Hs"</formula>
    </cfRule>
  </conditionalFormatting>
  <conditionalFormatting sqref="B123">
    <cfRule type="cellIs" dxfId="15331" priority="3545" stopIfTrue="1" operator="equal">
      <formula>"Towel"</formula>
    </cfRule>
    <cfRule type="cellIs" dxfId="15330" priority="3546" stopIfTrue="1" operator="equal">
      <formula>"Napkin Hs"</formula>
    </cfRule>
  </conditionalFormatting>
  <conditionalFormatting sqref="B123">
    <cfRule type="cellIs" dxfId="15329" priority="3543" stopIfTrue="1" operator="equal">
      <formula>"Towel"</formula>
    </cfRule>
    <cfRule type="cellIs" dxfId="15328" priority="3544" stopIfTrue="1" operator="equal">
      <formula>"Napkin Hs"</formula>
    </cfRule>
  </conditionalFormatting>
  <conditionalFormatting sqref="B123">
    <cfRule type="cellIs" dxfId="15327" priority="3541" stopIfTrue="1" operator="equal">
      <formula>"Towel"</formula>
    </cfRule>
    <cfRule type="cellIs" dxfId="15326" priority="3542" stopIfTrue="1" operator="equal">
      <formula>"Napkin Hs"</formula>
    </cfRule>
  </conditionalFormatting>
  <conditionalFormatting sqref="B123">
    <cfRule type="cellIs" dxfId="15325" priority="3539" stopIfTrue="1" operator="equal">
      <formula>"Towel"</formula>
    </cfRule>
    <cfRule type="cellIs" dxfId="15324" priority="3540" stopIfTrue="1" operator="equal">
      <formula>"Napkin Hs"</formula>
    </cfRule>
  </conditionalFormatting>
  <conditionalFormatting sqref="C123">
    <cfRule type="cellIs" dxfId="15323" priority="3535" stopIfTrue="1" operator="equal">
      <formula>"Towel"</formula>
    </cfRule>
    <cfRule type="cellIs" dxfId="15322" priority="3536" stopIfTrue="1" operator="equal">
      <formula>"Napkin Hs"</formula>
    </cfRule>
  </conditionalFormatting>
  <conditionalFormatting sqref="C123">
    <cfRule type="cellIs" dxfId="15321" priority="3537" stopIfTrue="1" operator="equal">
      <formula>"Towel"</formula>
    </cfRule>
    <cfRule type="cellIs" dxfId="15320" priority="3538" stopIfTrue="1" operator="equal">
      <formula>"Napkin Hs"</formula>
    </cfRule>
  </conditionalFormatting>
  <conditionalFormatting sqref="C123">
    <cfRule type="cellIs" dxfId="15319" priority="3531" stopIfTrue="1" operator="equal">
      <formula>"Towel"</formula>
    </cfRule>
    <cfRule type="cellIs" dxfId="15318" priority="3532" stopIfTrue="1" operator="equal">
      <formula>"Napkin Hs"</formula>
    </cfRule>
  </conditionalFormatting>
  <conditionalFormatting sqref="B123:C123">
    <cfRule type="cellIs" dxfId="15317" priority="3533" stopIfTrue="1" operator="equal">
      <formula>"Towel"</formula>
    </cfRule>
    <cfRule type="cellIs" dxfId="15316" priority="3534" stopIfTrue="1" operator="equal">
      <formula>"Napkin Hs"</formula>
    </cfRule>
  </conditionalFormatting>
  <conditionalFormatting sqref="C123">
    <cfRule type="cellIs" dxfId="15315" priority="3529" stopIfTrue="1" operator="equal">
      <formula>"Towel"</formula>
    </cfRule>
    <cfRule type="cellIs" dxfId="15314" priority="3530" stopIfTrue="1" operator="equal">
      <formula>"Napkin Hs"</formula>
    </cfRule>
  </conditionalFormatting>
  <conditionalFormatting sqref="B123:C123">
    <cfRule type="cellIs" dxfId="15313" priority="3527" stopIfTrue="1" operator="equal">
      <formula>"Towel"</formula>
    </cfRule>
    <cfRule type="cellIs" dxfId="15312" priority="3528" stopIfTrue="1" operator="equal">
      <formula>"Napkin Hs"</formula>
    </cfRule>
  </conditionalFormatting>
  <conditionalFormatting sqref="B123:C123">
    <cfRule type="cellIs" dxfId="15311" priority="3525" stopIfTrue="1" operator="equal">
      <formula>"Towel"</formula>
    </cfRule>
    <cfRule type="cellIs" dxfId="15310" priority="3526" stopIfTrue="1" operator="equal">
      <formula>"Napkin Hs"</formula>
    </cfRule>
  </conditionalFormatting>
  <conditionalFormatting sqref="C123">
    <cfRule type="cellIs" dxfId="15309" priority="3519" stopIfTrue="1" operator="equal">
      <formula>"Towel"</formula>
    </cfRule>
    <cfRule type="cellIs" dxfId="15308" priority="3520" stopIfTrue="1" operator="equal">
      <formula>"Napkin Hs"</formula>
    </cfRule>
  </conditionalFormatting>
  <conditionalFormatting sqref="C123">
    <cfRule type="cellIs" dxfId="15307" priority="3521" stopIfTrue="1" operator="equal">
      <formula>"Towel"</formula>
    </cfRule>
    <cfRule type="cellIs" dxfId="15306" priority="3522" stopIfTrue="1" operator="equal">
      <formula>"Napkin Hs"</formula>
    </cfRule>
  </conditionalFormatting>
  <conditionalFormatting sqref="C123">
    <cfRule type="cellIs" dxfId="15305" priority="3517" stopIfTrue="1" operator="equal">
      <formula>"Towel"</formula>
    </cfRule>
    <cfRule type="cellIs" dxfId="15304" priority="3518" stopIfTrue="1" operator="equal">
      <formula>"Napkin Hs"</formula>
    </cfRule>
  </conditionalFormatting>
  <conditionalFormatting sqref="C123">
    <cfRule type="cellIs" dxfId="15303" priority="3515" stopIfTrue="1" operator="equal">
      <formula>"Towel"</formula>
    </cfRule>
    <cfRule type="cellIs" dxfId="15302" priority="3516" stopIfTrue="1" operator="equal">
      <formula>"Napkin Hs"</formula>
    </cfRule>
  </conditionalFormatting>
  <conditionalFormatting sqref="C123">
    <cfRule type="cellIs" dxfId="15301" priority="3511" stopIfTrue="1" operator="equal">
      <formula>"Towel"</formula>
    </cfRule>
    <cfRule type="cellIs" dxfId="15300" priority="3512" stopIfTrue="1" operator="equal">
      <formula>"Napkin Hs"</formula>
    </cfRule>
  </conditionalFormatting>
  <conditionalFormatting sqref="C123">
    <cfRule type="cellIs" dxfId="15299" priority="3513" stopIfTrue="1" operator="equal">
      <formula>"Towel"</formula>
    </cfRule>
    <cfRule type="cellIs" dxfId="15298" priority="3514" stopIfTrue="1" operator="equal">
      <formula>"Napkin Hs"</formula>
    </cfRule>
  </conditionalFormatting>
  <conditionalFormatting sqref="C123">
    <cfRule type="cellIs" dxfId="15297" priority="3509" stopIfTrue="1" operator="equal">
      <formula>"Towel"</formula>
    </cfRule>
    <cfRule type="cellIs" dxfId="15296" priority="3510" stopIfTrue="1" operator="equal">
      <formula>"Napkin Hs"</formula>
    </cfRule>
  </conditionalFormatting>
  <conditionalFormatting sqref="C123">
    <cfRule type="cellIs" dxfId="15295" priority="3493" stopIfTrue="1" operator="equal">
      <formula>"Towel"</formula>
    </cfRule>
    <cfRule type="cellIs" dxfId="15294" priority="3494" stopIfTrue="1" operator="equal">
      <formula>"Napkin Hs"</formula>
    </cfRule>
  </conditionalFormatting>
  <conditionalFormatting sqref="B123">
    <cfRule type="cellIs" dxfId="15293" priority="3491" stopIfTrue="1" operator="equal">
      <formula>"Towel"</formula>
    </cfRule>
    <cfRule type="cellIs" dxfId="15292" priority="3492" stopIfTrue="1" operator="equal">
      <formula>"Napkin Hs"</formula>
    </cfRule>
  </conditionalFormatting>
  <conditionalFormatting sqref="B123">
    <cfRule type="cellIs" dxfId="15291" priority="3507" stopIfTrue="1" operator="equal">
      <formula>"Towel"</formula>
    </cfRule>
    <cfRule type="cellIs" dxfId="15290" priority="3508" stopIfTrue="1" operator="equal">
      <formula>"Napkin Hs"</formula>
    </cfRule>
  </conditionalFormatting>
  <conditionalFormatting sqref="C123">
    <cfRule type="cellIs" dxfId="15289" priority="3503" stopIfTrue="1" operator="equal">
      <formula>"Towel"</formula>
    </cfRule>
    <cfRule type="cellIs" dxfId="15288" priority="3504" stopIfTrue="1" operator="equal">
      <formula>"Napkin Hs"</formula>
    </cfRule>
  </conditionalFormatting>
  <conditionalFormatting sqref="B123">
    <cfRule type="cellIs" dxfId="15287" priority="3505" stopIfTrue="1" operator="equal">
      <formula>"Towel"</formula>
    </cfRule>
    <cfRule type="cellIs" dxfId="15286" priority="3506" stopIfTrue="1" operator="equal">
      <formula>"Napkin Hs"</formula>
    </cfRule>
  </conditionalFormatting>
  <conditionalFormatting sqref="C123">
    <cfRule type="cellIs" dxfId="15285" priority="3499" stopIfTrue="1" operator="equal">
      <formula>"Towel"</formula>
    </cfRule>
    <cfRule type="cellIs" dxfId="15284" priority="3500" stopIfTrue="1" operator="equal">
      <formula>"Napkin Hs"</formula>
    </cfRule>
  </conditionalFormatting>
  <conditionalFormatting sqref="C123">
    <cfRule type="cellIs" dxfId="15283" priority="3501" stopIfTrue="1" operator="equal">
      <formula>"Towel"</formula>
    </cfRule>
    <cfRule type="cellIs" dxfId="15282" priority="3502" stopIfTrue="1" operator="equal">
      <formula>"Napkin Hs"</formula>
    </cfRule>
  </conditionalFormatting>
  <conditionalFormatting sqref="C123">
    <cfRule type="cellIs" dxfId="15281" priority="3497" stopIfTrue="1" operator="equal">
      <formula>"Towel"</formula>
    </cfRule>
    <cfRule type="cellIs" dxfId="15280" priority="3498" stopIfTrue="1" operator="equal">
      <formula>"Napkin Hs"</formula>
    </cfRule>
  </conditionalFormatting>
  <conditionalFormatting sqref="C123">
    <cfRule type="cellIs" dxfId="15279" priority="3495" stopIfTrue="1" operator="equal">
      <formula>"Towel"</formula>
    </cfRule>
    <cfRule type="cellIs" dxfId="15278" priority="3496" stopIfTrue="1" operator="equal">
      <formula>"Napkin Hs"</formula>
    </cfRule>
  </conditionalFormatting>
  <conditionalFormatting sqref="B123">
    <cfRule type="cellIs" dxfId="15277" priority="3489" stopIfTrue="1" operator="equal">
      <formula>"Towel"</formula>
    </cfRule>
    <cfRule type="cellIs" dxfId="15276" priority="3490" stopIfTrue="1" operator="equal">
      <formula>"Napkin Hs"</formula>
    </cfRule>
  </conditionalFormatting>
  <conditionalFormatting sqref="B123:C123">
    <cfRule type="cellIs" dxfId="15275" priority="3487" stopIfTrue="1" operator="equal">
      <formula>"Towel"</formula>
    </cfRule>
    <cfRule type="cellIs" dxfId="15274" priority="3488" stopIfTrue="1" operator="equal">
      <formula>"Napkin Hs"</formula>
    </cfRule>
  </conditionalFormatting>
  <conditionalFormatting sqref="C123">
    <cfRule type="cellIs" dxfId="15273" priority="3485" stopIfTrue="1" operator="equal">
      <formula>"Towel"</formula>
    </cfRule>
    <cfRule type="cellIs" dxfId="15272" priority="3486" stopIfTrue="1" operator="equal">
      <formula>"Napkin Hs"</formula>
    </cfRule>
  </conditionalFormatting>
  <conditionalFormatting sqref="C123">
    <cfRule type="cellIs" dxfId="15271" priority="3483" stopIfTrue="1" operator="equal">
      <formula>"Towel"</formula>
    </cfRule>
    <cfRule type="cellIs" dxfId="15270" priority="3484" stopIfTrue="1" operator="equal">
      <formula>"Napkin Hs"</formula>
    </cfRule>
  </conditionalFormatting>
  <conditionalFormatting sqref="C123">
    <cfRule type="cellIs" dxfId="15269" priority="3473" stopIfTrue="1" operator="equal">
      <formula>"Towel"</formula>
    </cfRule>
    <cfRule type="cellIs" dxfId="15268" priority="3474" stopIfTrue="1" operator="equal">
      <formula>"Napkin Hs"</formula>
    </cfRule>
  </conditionalFormatting>
  <conditionalFormatting sqref="C123">
    <cfRule type="cellIs" dxfId="15267" priority="3475" stopIfTrue="1" operator="equal">
      <formula>"Towel"</formula>
    </cfRule>
    <cfRule type="cellIs" dxfId="15266" priority="3476" stopIfTrue="1" operator="equal">
      <formula>"Napkin Hs"</formula>
    </cfRule>
  </conditionalFormatting>
  <conditionalFormatting sqref="B123:C123">
    <cfRule type="cellIs" dxfId="15265" priority="3471" stopIfTrue="1" operator="equal">
      <formula>"Towel"</formula>
    </cfRule>
    <cfRule type="cellIs" dxfId="15264" priority="3472" stopIfTrue="1" operator="equal">
      <formula>"Napkin Hs"</formula>
    </cfRule>
  </conditionalFormatting>
  <conditionalFormatting sqref="C123">
    <cfRule type="cellIs" dxfId="15263" priority="3469" stopIfTrue="1" operator="equal">
      <formula>"Towel"</formula>
    </cfRule>
    <cfRule type="cellIs" dxfId="15262" priority="3470" stopIfTrue="1" operator="equal">
      <formula>"Napkin Hs"</formula>
    </cfRule>
  </conditionalFormatting>
  <conditionalFormatting sqref="B123:C123">
    <cfRule type="cellIs" dxfId="15261" priority="3465" stopIfTrue="1" operator="equal">
      <formula>"Towel"</formula>
    </cfRule>
    <cfRule type="cellIs" dxfId="15260" priority="3466" stopIfTrue="1" operator="equal">
      <formula>"Napkin Hs"</formula>
    </cfRule>
  </conditionalFormatting>
  <conditionalFormatting sqref="C123">
    <cfRule type="cellIs" dxfId="15259" priority="3467" stopIfTrue="1" operator="equal">
      <formula>"Towel"</formula>
    </cfRule>
    <cfRule type="cellIs" dxfId="15258" priority="3468" stopIfTrue="1" operator="equal">
      <formula>"Napkin Hs"</formula>
    </cfRule>
  </conditionalFormatting>
  <conditionalFormatting sqref="C123">
    <cfRule type="cellIs" dxfId="15257" priority="3524" stopIfTrue="1" operator="equal">
      <formula>"Napkin Hs"</formula>
    </cfRule>
  </conditionalFormatting>
  <conditionalFormatting sqref="C123">
    <cfRule type="cellIs" dxfId="15256" priority="3523" stopIfTrue="1" operator="equal">
      <formula>"Towel"</formula>
    </cfRule>
  </conditionalFormatting>
  <conditionalFormatting sqref="B123:C123">
    <cfRule type="cellIs" dxfId="15255" priority="3481" stopIfTrue="1" operator="equal">
      <formula>"Towel"</formula>
    </cfRule>
    <cfRule type="cellIs" dxfId="15254" priority="3482" stopIfTrue="1" operator="equal">
      <formula>"Napkin Hs"</formula>
    </cfRule>
  </conditionalFormatting>
  <conditionalFormatting sqref="C123">
    <cfRule type="cellIs" dxfId="15253" priority="3479" stopIfTrue="1" operator="equal">
      <formula>"Towel"</formula>
    </cfRule>
    <cfRule type="cellIs" dxfId="15252" priority="3480" stopIfTrue="1" operator="equal">
      <formula>"Napkin Hs"</formula>
    </cfRule>
  </conditionalFormatting>
  <conditionalFormatting sqref="C123">
    <cfRule type="cellIs" dxfId="15251" priority="3477" stopIfTrue="1" operator="equal">
      <formula>"Towel"</formula>
    </cfRule>
    <cfRule type="cellIs" dxfId="15250" priority="3478" stopIfTrue="1" operator="equal">
      <formula>"Napkin Hs"</formula>
    </cfRule>
  </conditionalFormatting>
  <conditionalFormatting sqref="B123:C123">
    <cfRule type="cellIs" dxfId="15249" priority="3461" stopIfTrue="1" operator="equal">
      <formula>"Towel"</formula>
    </cfRule>
    <cfRule type="cellIs" dxfId="15248" priority="3462" stopIfTrue="1" operator="equal">
      <formula>"Napkin Hs"</formula>
    </cfRule>
  </conditionalFormatting>
  <conditionalFormatting sqref="C123">
    <cfRule type="cellIs" dxfId="15247" priority="3463" stopIfTrue="1" operator="equal">
      <formula>"Towel"</formula>
    </cfRule>
    <cfRule type="cellIs" dxfId="15246" priority="3464" stopIfTrue="1" operator="equal">
      <formula>"Napkin Hs"</formula>
    </cfRule>
  </conditionalFormatting>
  <conditionalFormatting sqref="C123">
    <cfRule type="cellIs" dxfId="15245" priority="3459" stopIfTrue="1" operator="equal">
      <formula>"Towel"</formula>
    </cfRule>
    <cfRule type="cellIs" dxfId="15244" priority="3460" stopIfTrue="1" operator="equal">
      <formula>"Napkin Hs"</formula>
    </cfRule>
  </conditionalFormatting>
  <conditionalFormatting sqref="B123:C123">
    <cfRule type="cellIs" dxfId="15243" priority="3457" stopIfTrue="1" operator="equal">
      <formula>"Towel"</formula>
    </cfRule>
    <cfRule type="cellIs" dxfId="15242" priority="3458" stopIfTrue="1" operator="equal">
      <formula>"Napkin Hs"</formula>
    </cfRule>
  </conditionalFormatting>
  <conditionalFormatting sqref="C123">
    <cfRule type="cellIs" dxfId="15241" priority="3453" stopIfTrue="1" operator="equal">
      <formula>"Towel"</formula>
    </cfRule>
    <cfRule type="cellIs" dxfId="15240" priority="3454" stopIfTrue="1" operator="equal">
      <formula>"Napkin Hs"</formula>
    </cfRule>
  </conditionalFormatting>
  <conditionalFormatting sqref="C123">
    <cfRule type="cellIs" dxfId="15239" priority="3455" stopIfTrue="1" operator="equal">
      <formula>"Towel"</formula>
    </cfRule>
    <cfRule type="cellIs" dxfId="15238" priority="3456" stopIfTrue="1" operator="equal">
      <formula>"Napkin Hs"</formula>
    </cfRule>
  </conditionalFormatting>
  <conditionalFormatting sqref="B123:C123">
    <cfRule type="cellIs" dxfId="15237" priority="3449" stopIfTrue="1" operator="equal">
      <formula>"Towel"</formula>
    </cfRule>
    <cfRule type="cellIs" dxfId="15236" priority="3450" stopIfTrue="1" operator="equal">
      <formula>"Napkin Hs"</formula>
    </cfRule>
  </conditionalFormatting>
  <conditionalFormatting sqref="C123">
    <cfRule type="cellIs" dxfId="15235" priority="3451" stopIfTrue="1" operator="equal">
      <formula>"Towel"</formula>
    </cfRule>
    <cfRule type="cellIs" dxfId="15234" priority="3452" stopIfTrue="1" operator="equal">
      <formula>"Napkin Hs"</formula>
    </cfRule>
  </conditionalFormatting>
  <conditionalFormatting sqref="C123">
    <cfRule type="cellIs" dxfId="15233" priority="3447" stopIfTrue="1" operator="equal">
      <formula>"Towel"</formula>
    </cfRule>
    <cfRule type="cellIs" dxfId="15232" priority="3448" stopIfTrue="1" operator="equal">
      <formula>"Napkin Hs"</formula>
    </cfRule>
  </conditionalFormatting>
  <conditionalFormatting sqref="B123:C123">
    <cfRule type="cellIs" dxfId="15231" priority="3445" stopIfTrue="1" operator="equal">
      <formula>"Towel"</formula>
    </cfRule>
    <cfRule type="cellIs" dxfId="15230" priority="3446" stopIfTrue="1" operator="equal">
      <formula>"Napkin Hs"</formula>
    </cfRule>
  </conditionalFormatting>
  <conditionalFormatting sqref="C123">
    <cfRule type="cellIs" dxfId="15229" priority="3441" stopIfTrue="1" operator="equal">
      <formula>"Towel"</formula>
    </cfRule>
    <cfRule type="cellIs" dxfId="15228" priority="3442" stopIfTrue="1" operator="equal">
      <formula>"Napkin Hs"</formula>
    </cfRule>
  </conditionalFormatting>
  <conditionalFormatting sqref="C123">
    <cfRule type="cellIs" dxfId="15227" priority="3443" stopIfTrue="1" operator="equal">
      <formula>"Towel"</formula>
    </cfRule>
    <cfRule type="cellIs" dxfId="15226" priority="3444" stopIfTrue="1" operator="equal">
      <formula>"Napkin Hs"</formula>
    </cfRule>
  </conditionalFormatting>
  <conditionalFormatting sqref="B130:C130">
    <cfRule type="cellIs" dxfId="15225" priority="3439" stopIfTrue="1" operator="equal">
      <formula>"Towel"</formula>
    </cfRule>
    <cfRule type="cellIs" dxfId="15224" priority="3440" stopIfTrue="1" operator="equal">
      <formula>"Napkin Hs"</formula>
    </cfRule>
  </conditionalFormatting>
  <conditionalFormatting sqref="C130">
    <cfRule type="cellIs" dxfId="15223" priority="3435" stopIfTrue="1" operator="equal">
      <formula>"Towel"</formula>
    </cfRule>
    <cfRule type="cellIs" dxfId="15222" priority="3436" stopIfTrue="1" operator="equal">
      <formula>"Napkin Hs"</formula>
    </cfRule>
  </conditionalFormatting>
  <conditionalFormatting sqref="C130">
    <cfRule type="cellIs" dxfId="15221" priority="3437" stopIfTrue="1" operator="equal">
      <formula>"Towel"</formula>
    </cfRule>
    <cfRule type="cellIs" dxfId="15220" priority="3438" stopIfTrue="1" operator="equal">
      <formula>"Napkin Hs"</formula>
    </cfRule>
  </conditionalFormatting>
  <conditionalFormatting sqref="C129">
    <cfRule type="cellIs" dxfId="15219" priority="3403" stopIfTrue="1" operator="equal">
      <formula>"Towel"</formula>
    </cfRule>
    <cfRule type="cellIs" dxfId="15218" priority="3404" stopIfTrue="1" operator="equal">
      <formula>"Napkin Hs"</formula>
    </cfRule>
  </conditionalFormatting>
  <conditionalFormatting sqref="C129">
    <cfRule type="cellIs" dxfId="15217" priority="3401" stopIfTrue="1" operator="equal">
      <formula>"Towel"</formula>
    </cfRule>
    <cfRule type="cellIs" dxfId="15216" priority="3402" stopIfTrue="1" operator="equal">
      <formula>"Napkin Hs"</formula>
    </cfRule>
  </conditionalFormatting>
  <conditionalFormatting sqref="B129:C129">
    <cfRule type="cellIs" dxfId="15215" priority="3399" stopIfTrue="1" operator="equal">
      <formula>"Towel"</formula>
    </cfRule>
    <cfRule type="cellIs" dxfId="15214" priority="3400" stopIfTrue="1" operator="equal">
      <formula>"Napkin Hs"</formula>
    </cfRule>
  </conditionalFormatting>
  <conditionalFormatting sqref="B129:C129">
    <cfRule type="cellIs" dxfId="15213" priority="3409" stopIfTrue="1" operator="equal">
      <formula>"Towel"</formula>
    </cfRule>
    <cfRule type="cellIs" dxfId="15212" priority="3410" stopIfTrue="1" operator="equal">
      <formula>"Napkin Hs"</formula>
    </cfRule>
  </conditionalFormatting>
  <conditionalFormatting sqref="C129">
    <cfRule type="cellIs" dxfId="15211" priority="3407" stopIfTrue="1" operator="equal">
      <formula>"Towel"</formula>
    </cfRule>
    <cfRule type="cellIs" dxfId="15210" priority="3408" stopIfTrue="1" operator="equal">
      <formula>"Napkin Hs"</formula>
    </cfRule>
  </conditionalFormatting>
  <conditionalFormatting sqref="C129">
    <cfRule type="cellIs" dxfId="15209" priority="3405" stopIfTrue="1" operator="equal">
      <formula>"Towel"</formula>
    </cfRule>
    <cfRule type="cellIs" dxfId="15208" priority="3406" stopIfTrue="1" operator="equal">
      <formula>"Napkin Hs"</formula>
    </cfRule>
  </conditionalFormatting>
  <conditionalFormatting sqref="C129">
    <cfRule type="cellIs" dxfId="15207" priority="3397" stopIfTrue="1" operator="equal">
      <formula>"Towel"</formula>
    </cfRule>
    <cfRule type="cellIs" dxfId="15206" priority="3398" stopIfTrue="1" operator="equal">
      <formula>"Napkin Hs"</formula>
    </cfRule>
  </conditionalFormatting>
  <conditionalFormatting sqref="C129">
    <cfRule type="cellIs" dxfId="15205" priority="3395" stopIfTrue="1" operator="equal">
      <formula>"Towel"</formula>
    </cfRule>
    <cfRule type="cellIs" dxfId="15204" priority="3396" stopIfTrue="1" operator="equal">
      <formula>"Napkin Hs"</formula>
    </cfRule>
  </conditionalFormatting>
  <conditionalFormatting sqref="B129:C129">
    <cfRule type="cellIs" dxfId="15203" priority="3393" stopIfTrue="1" operator="equal">
      <formula>"Towel"</formula>
    </cfRule>
    <cfRule type="cellIs" dxfId="15202" priority="3394" stopIfTrue="1" operator="equal">
      <formula>"Napkin Hs"</formula>
    </cfRule>
  </conditionalFormatting>
  <conditionalFormatting sqref="B129">
    <cfRule type="cellIs" dxfId="15201" priority="3391" stopIfTrue="1" operator="equal">
      <formula>"Towel"</formula>
    </cfRule>
    <cfRule type="cellIs" dxfId="15200" priority="3392" stopIfTrue="1" operator="equal">
      <formula>"Napkin Hs"</formula>
    </cfRule>
  </conditionalFormatting>
  <conditionalFormatting sqref="B129">
    <cfRule type="cellIs" dxfId="15199" priority="3389" stopIfTrue="1" operator="equal">
      <formula>"Towel"</formula>
    </cfRule>
    <cfRule type="cellIs" dxfId="15198" priority="3390" stopIfTrue="1" operator="equal">
      <formula>"Napkin Hs"</formula>
    </cfRule>
  </conditionalFormatting>
  <conditionalFormatting sqref="B129">
    <cfRule type="cellIs" dxfId="15197" priority="3387" stopIfTrue="1" operator="equal">
      <formula>"Towel"</formula>
    </cfRule>
    <cfRule type="cellIs" dxfId="15196" priority="3388" stopIfTrue="1" operator="equal">
      <formula>"Napkin Hs"</formula>
    </cfRule>
  </conditionalFormatting>
  <conditionalFormatting sqref="B129:C129">
    <cfRule type="cellIs" dxfId="15195" priority="3385" stopIfTrue="1" operator="equal">
      <formula>"Towel"</formula>
    </cfRule>
    <cfRule type="cellIs" dxfId="15194" priority="3386" stopIfTrue="1" operator="equal">
      <formula>"Napkin Hs"</formula>
    </cfRule>
  </conditionalFormatting>
  <conditionalFormatting sqref="C129">
    <cfRule type="cellIs" dxfId="15193" priority="3383" stopIfTrue="1" operator="equal">
      <formula>"Towel"</formula>
    </cfRule>
    <cfRule type="cellIs" dxfId="15192" priority="3384" stopIfTrue="1" operator="equal">
      <formula>"Napkin Hs"</formula>
    </cfRule>
  </conditionalFormatting>
  <conditionalFormatting sqref="C129">
    <cfRule type="cellIs" dxfId="15191" priority="3381" stopIfTrue="1" operator="equal">
      <formula>"Towel"</formula>
    </cfRule>
    <cfRule type="cellIs" dxfId="15190" priority="3382" stopIfTrue="1" operator="equal">
      <formula>"Napkin Hs"</formula>
    </cfRule>
  </conditionalFormatting>
  <conditionalFormatting sqref="C129">
    <cfRule type="cellIs" dxfId="15189" priority="3373" stopIfTrue="1" operator="equal">
      <formula>"Towel"</formula>
    </cfRule>
    <cfRule type="cellIs" dxfId="15188" priority="3374" stopIfTrue="1" operator="equal">
      <formula>"Napkin Hs"</formula>
    </cfRule>
  </conditionalFormatting>
  <conditionalFormatting sqref="B129:C129">
    <cfRule type="cellIs" dxfId="15187" priority="3375" stopIfTrue="1" operator="equal">
      <formula>"Towel"</formula>
    </cfRule>
    <cfRule type="cellIs" dxfId="15186" priority="3376" stopIfTrue="1" operator="equal">
      <formula>"Napkin Hs"</formula>
    </cfRule>
  </conditionalFormatting>
  <conditionalFormatting sqref="C129">
    <cfRule type="cellIs" dxfId="15185" priority="3371" stopIfTrue="1" operator="equal">
      <formula>"Towel"</formula>
    </cfRule>
    <cfRule type="cellIs" dxfId="15184" priority="3372" stopIfTrue="1" operator="equal">
      <formula>"Napkin Hs"</formula>
    </cfRule>
  </conditionalFormatting>
  <conditionalFormatting sqref="B129:C129">
    <cfRule type="cellIs" dxfId="15183" priority="3369" stopIfTrue="1" operator="equal">
      <formula>"Towel"</formula>
    </cfRule>
    <cfRule type="cellIs" dxfId="15182" priority="3370" stopIfTrue="1" operator="equal">
      <formula>"Napkin Hs"</formula>
    </cfRule>
  </conditionalFormatting>
  <conditionalFormatting sqref="C129">
    <cfRule type="cellIs" dxfId="15181" priority="3377" stopIfTrue="1" operator="equal">
      <formula>"Towel"</formula>
    </cfRule>
    <cfRule type="cellIs" dxfId="15180" priority="3378" stopIfTrue="1" operator="equal">
      <formula>"Napkin Hs"</formula>
    </cfRule>
  </conditionalFormatting>
  <conditionalFormatting sqref="C129">
    <cfRule type="cellIs" dxfId="15179" priority="3379" stopIfTrue="1" operator="equal">
      <formula>"Towel"</formula>
    </cfRule>
    <cfRule type="cellIs" dxfId="15178" priority="3380" stopIfTrue="1" operator="equal">
      <formula>"Napkin Hs"</formula>
    </cfRule>
  </conditionalFormatting>
  <conditionalFormatting sqref="B129:C129">
    <cfRule type="cellIs" dxfId="15177" priority="3365" stopIfTrue="1" operator="equal">
      <formula>"Towel"</formula>
    </cfRule>
    <cfRule type="cellIs" dxfId="15176" priority="3366" stopIfTrue="1" operator="equal">
      <formula>"Napkin Hs"</formula>
    </cfRule>
  </conditionalFormatting>
  <conditionalFormatting sqref="C129">
    <cfRule type="cellIs" dxfId="15175" priority="3367" stopIfTrue="1" operator="equal">
      <formula>"Towel"</formula>
    </cfRule>
    <cfRule type="cellIs" dxfId="15174" priority="3368" stopIfTrue="1" operator="equal">
      <formula>"Napkin Hs"</formula>
    </cfRule>
  </conditionalFormatting>
  <conditionalFormatting sqref="C129">
    <cfRule type="cellIs" dxfId="15173" priority="3363" stopIfTrue="1" operator="equal">
      <formula>"Towel"</formula>
    </cfRule>
    <cfRule type="cellIs" dxfId="15172" priority="3364" stopIfTrue="1" operator="equal">
      <formula>"Napkin Hs"</formula>
    </cfRule>
  </conditionalFormatting>
  <conditionalFormatting sqref="B129">
    <cfRule type="cellIs" dxfId="15171" priority="3359" stopIfTrue="1" operator="equal">
      <formula>"Towel"</formula>
    </cfRule>
    <cfRule type="cellIs" dxfId="15170" priority="3360" stopIfTrue="1" operator="equal">
      <formula>"Napkin Hs"</formula>
    </cfRule>
  </conditionalFormatting>
  <conditionalFormatting sqref="B129">
    <cfRule type="cellIs" dxfId="15169" priority="3361" stopIfTrue="1" operator="equal">
      <formula>"Towel"</formula>
    </cfRule>
    <cfRule type="cellIs" dxfId="15168" priority="3362" stopIfTrue="1" operator="equal">
      <formula>"Napkin Hs"</formula>
    </cfRule>
  </conditionalFormatting>
  <conditionalFormatting sqref="B129">
    <cfRule type="cellIs" dxfId="15167" priority="3357" stopIfTrue="1" operator="equal">
      <formula>"Towel"</formula>
    </cfRule>
    <cfRule type="cellIs" dxfId="15166" priority="3358" stopIfTrue="1" operator="equal">
      <formula>"Napkin Hs"</formula>
    </cfRule>
  </conditionalFormatting>
  <conditionalFormatting sqref="B129:C129">
    <cfRule type="cellIs" dxfId="15165" priority="3355" stopIfTrue="1" operator="equal">
      <formula>"Towel"</formula>
    </cfRule>
    <cfRule type="cellIs" dxfId="15164" priority="3356" stopIfTrue="1" operator="equal">
      <formula>"Napkin Hs"</formula>
    </cfRule>
  </conditionalFormatting>
  <conditionalFormatting sqref="C129">
    <cfRule type="cellIs" dxfId="15163" priority="3353" stopIfTrue="1" operator="equal">
      <formula>"Towel"</formula>
    </cfRule>
    <cfRule type="cellIs" dxfId="15162" priority="3354" stopIfTrue="1" operator="equal">
      <formula>"Napkin Hs"</formula>
    </cfRule>
  </conditionalFormatting>
  <conditionalFormatting sqref="C129">
    <cfRule type="cellIs" dxfId="15161" priority="3351" stopIfTrue="1" operator="equal">
      <formula>"Towel"</formula>
    </cfRule>
    <cfRule type="cellIs" dxfId="15160" priority="3352" stopIfTrue="1" operator="equal">
      <formula>"Napkin Hs"</formula>
    </cfRule>
  </conditionalFormatting>
  <conditionalFormatting sqref="C129">
    <cfRule type="cellIs" dxfId="15159" priority="3343" stopIfTrue="1" operator="equal">
      <formula>"Towel"</formula>
    </cfRule>
    <cfRule type="cellIs" dxfId="15158" priority="3344" stopIfTrue="1" operator="equal">
      <formula>"Napkin Hs"</formula>
    </cfRule>
  </conditionalFormatting>
  <conditionalFormatting sqref="B129:C129">
    <cfRule type="cellIs" dxfId="15157" priority="3345" stopIfTrue="1" operator="equal">
      <formula>"Towel"</formula>
    </cfRule>
    <cfRule type="cellIs" dxfId="15156" priority="3346" stopIfTrue="1" operator="equal">
      <formula>"Napkin Hs"</formula>
    </cfRule>
  </conditionalFormatting>
  <conditionalFormatting sqref="C129">
    <cfRule type="cellIs" dxfId="15155" priority="3341" stopIfTrue="1" operator="equal">
      <formula>"Towel"</formula>
    </cfRule>
    <cfRule type="cellIs" dxfId="15154" priority="3342" stopIfTrue="1" operator="equal">
      <formula>"Napkin Hs"</formula>
    </cfRule>
  </conditionalFormatting>
  <conditionalFormatting sqref="B129:C129">
    <cfRule type="cellIs" dxfId="15153" priority="3339" stopIfTrue="1" operator="equal">
      <formula>"Towel"</formula>
    </cfRule>
    <cfRule type="cellIs" dxfId="15152" priority="3340" stopIfTrue="1" operator="equal">
      <formula>"Napkin Hs"</formula>
    </cfRule>
  </conditionalFormatting>
  <conditionalFormatting sqref="C129">
    <cfRule type="cellIs" dxfId="15151" priority="3347" stopIfTrue="1" operator="equal">
      <formula>"Towel"</formula>
    </cfRule>
    <cfRule type="cellIs" dxfId="15150" priority="3348" stopIfTrue="1" operator="equal">
      <formula>"Napkin Hs"</formula>
    </cfRule>
  </conditionalFormatting>
  <conditionalFormatting sqref="C129">
    <cfRule type="cellIs" dxfId="15149" priority="3349" stopIfTrue="1" operator="equal">
      <formula>"Towel"</formula>
    </cfRule>
    <cfRule type="cellIs" dxfId="15148" priority="3350" stopIfTrue="1" operator="equal">
      <formula>"Napkin Hs"</formula>
    </cfRule>
  </conditionalFormatting>
  <conditionalFormatting sqref="C129">
    <cfRule type="cellIs" dxfId="15147" priority="3335" stopIfTrue="1" operator="equal">
      <formula>"Towel"</formula>
    </cfRule>
    <cfRule type="cellIs" dxfId="15146" priority="3336" stopIfTrue="1" operator="equal">
      <formula>"Napkin Hs"</formula>
    </cfRule>
  </conditionalFormatting>
  <conditionalFormatting sqref="C129">
    <cfRule type="cellIs" dxfId="15145" priority="3337" stopIfTrue="1" operator="equal">
      <formula>"Towel"</formula>
    </cfRule>
    <cfRule type="cellIs" dxfId="15144" priority="3338" stopIfTrue="1" operator="equal">
      <formula>"Napkin Hs"</formula>
    </cfRule>
  </conditionalFormatting>
  <conditionalFormatting sqref="B129:C129">
    <cfRule type="cellIs" dxfId="15143" priority="3333" stopIfTrue="1" operator="equal">
      <formula>"Towel"</formula>
    </cfRule>
    <cfRule type="cellIs" dxfId="15142" priority="3334" stopIfTrue="1" operator="equal">
      <formula>"Napkin Hs"</formula>
    </cfRule>
  </conditionalFormatting>
  <conditionalFormatting sqref="B129:C129">
    <cfRule type="cellIs" dxfId="15141" priority="3327" stopIfTrue="1" operator="equal">
      <formula>"Towel"</formula>
    </cfRule>
    <cfRule type="cellIs" dxfId="15140" priority="3328" stopIfTrue="1" operator="equal">
      <formula>"Napkin Hs"</formula>
    </cfRule>
  </conditionalFormatting>
  <conditionalFormatting sqref="C129">
    <cfRule type="cellIs" dxfId="15139" priority="3329" stopIfTrue="1" operator="equal">
      <formula>"Towel"</formula>
    </cfRule>
    <cfRule type="cellIs" dxfId="15138" priority="3330" stopIfTrue="1" operator="equal">
      <formula>"Napkin Hs"</formula>
    </cfRule>
  </conditionalFormatting>
  <conditionalFormatting sqref="C129">
    <cfRule type="cellIs" dxfId="15137" priority="3331" stopIfTrue="1" operator="equal">
      <formula>"Towel"</formula>
    </cfRule>
    <cfRule type="cellIs" dxfId="15136" priority="3332" stopIfTrue="1" operator="equal">
      <formula>"Napkin Hs"</formula>
    </cfRule>
  </conditionalFormatting>
  <conditionalFormatting sqref="C129">
    <cfRule type="cellIs" dxfId="15135" priority="3299" stopIfTrue="1" operator="equal">
      <formula>"Towel"</formula>
    </cfRule>
    <cfRule type="cellIs" dxfId="15134" priority="3300" stopIfTrue="1" operator="equal">
      <formula>"Napkin Hs"</formula>
    </cfRule>
  </conditionalFormatting>
  <conditionalFormatting sqref="C129">
    <cfRule type="cellIs" dxfId="15133" priority="3301" stopIfTrue="1" operator="equal">
      <formula>"Towel"</formula>
    </cfRule>
    <cfRule type="cellIs" dxfId="15132" priority="3302" stopIfTrue="1" operator="equal">
      <formula>"Napkin Hs"</formula>
    </cfRule>
  </conditionalFormatting>
  <conditionalFormatting sqref="C129">
    <cfRule type="cellIs" dxfId="15131" priority="3297" stopIfTrue="1" operator="equal">
      <formula>"Towel"</formula>
    </cfRule>
    <cfRule type="cellIs" dxfId="15130" priority="3298" stopIfTrue="1" operator="equal">
      <formula>"Napkin Hs"</formula>
    </cfRule>
  </conditionalFormatting>
  <conditionalFormatting sqref="B129">
    <cfRule type="cellIs" dxfId="15129" priority="3291" stopIfTrue="1" operator="equal">
      <formula>"Towel"</formula>
    </cfRule>
    <cfRule type="cellIs" dxfId="15128" priority="3292" stopIfTrue="1" operator="equal">
      <formula>"Napkin Hs"</formula>
    </cfRule>
  </conditionalFormatting>
  <conditionalFormatting sqref="C129">
    <cfRule type="cellIs" dxfId="15127" priority="3293" stopIfTrue="1" operator="equal">
      <formula>"Towel"</formula>
    </cfRule>
    <cfRule type="cellIs" dxfId="15126" priority="3294" stopIfTrue="1" operator="equal">
      <formula>"Napkin Hs"</formula>
    </cfRule>
  </conditionalFormatting>
  <conditionalFormatting sqref="C129">
    <cfRule type="cellIs" dxfId="15125" priority="3295" stopIfTrue="1" operator="equal">
      <formula>"Towel"</formula>
    </cfRule>
    <cfRule type="cellIs" dxfId="15124" priority="3296" stopIfTrue="1" operator="equal">
      <formula>"Napkin Hs"</formula>
    </cfRule>
  </conditionalFormatting>
  <conditionalFormatting sqref="B129:C129">
    <cfRule type="cellIs" dxfId="15123" priority="3245" stopIfTrue="1" operator="equal">
      <formula>"Towel"</formula>
    </cfRule>
    <cfRule type="cellIs" dxfId="15122" priority="3246" stopIfTrue="1" operator="equal">
      <formula>"Napkin Hs"</formula>
    </cfRule>
  </conditionalFormatting>
  <conditionalFormatting sqref="C129">
    <cfRule type="cellIs" dxfId="15121" priority="3247" stopIfTrue="1" operator="equal">
      <formula>"Towel"</formula>
    </cfRule>
    <cfRule type="cellIs" dxfId="15120" priority="3248" stopIfTrue="1" operator="equal">
      <formula>"Napkin Hs"</formula>
    </cfRule>
  </conditionalFormatting>
  <conditionalFormatting sqref="C129">
    <cfRule type="cellIs" dxfId="15119" priority="3243" stopIfTrue="1" operator="equal">
      <formula>"Towel"</formula>
    </cfRule>
    <cfRule type="cellIs" dxfId="15118" priority="3244" stopIfTrue="1" operator="equal">
      <formula>"Napkin Hs"</formula>
    </cfRule>
  </conditionalFormatting>
  <conditionalFormatting sqref="C129">
    <cfRule type="cellIs" dxfId="15117" priority="3241" stopIfTrue="1" operator="equal">
      <formula>"Towel"</formula>
    </cfRule>
    <cfRule type="cellIs" dxfId="15116" priority="3242" stopIfTrue="1" operator="equal">
      <formula>"Napkin Hs"</formula>
    </cfRule>
  </conditionalFormatting>
  <conditionalFormatting sqref="B129">
    <cfRule type="cellIs" dxfId="15115" priority="3289" stopIfTrue="1" operator="equal">
      <formula>"Towel"</formula>
    </cfRule>
    <cfRule type="cellIs" dxfId="15114" priority="3290" stopIfTrue="1" operator="equal">
      <formula>"Napkin Hs"</formula>
    </cfRule>
  </conditionalFormatting>
  <conditionalFormatting sqref="C129">
    <cfRule type="cellIs" dxfId="15113" priority="3285" stopIfTrue="1" operator="equal">
      <formula>"Towel"</formula>
    </cfRule>
    <cfRule type="cellIs" dxfId="15112" priority="3286" stopIfTrue="1" operator="equal">
      <formula>"Napkin Hs"</formula>
    </cfRule>
  </conditionalFormatting>
  <conditionalFormatting sqref="C129">
    <cfRule type="cellIs" dxfId="15111" priority="3279" stopIfTrue="1" operator="equal">
      <formula>"Towel"</formula>
    </cfRule>
    <cfRule type="cellIs" dxfId="15110" priority="3280" stopIfTrue="1" operator="equal">
      <formula>"Napkin Hs"</formula>
    </cfRule>
  </conditionalFormatting>
  <conditionalFormatting sqref="C129">
    <cfRule type="cellIs" dxfId="15109" priority="3283" stopIfTrue="1" operator="equal">
      <formula>"Towel"</formula>
    </cfRule>
    <cfRule type="cellIs" dxfId="15108" priority="3284" stopIfTrue="1" operator="equal">
      <formula>"Napkin Hs"</formula>
    </cfRule>
  </conditionalFormatting>
  <conditionalFormatting sqref="B129:C129">
    <cfRule type="cellIs" dxfId="15107" priority="3281" stopIfTrue="1" operator="equal">
      <formula>"Towel"</formula>
    </cfRule>
    <cfRule type="cellIs" dxfId="15106" priority="3282" stopIfTrue="1" operator="equal">
      <formula>"Napkin Hs"</formula>
    </cfRule>
  </conditionalFormatting>
  <conditionalFormatting sqref="C129">
    <cfRule type="cellIs" dxfId="15105" priority="3273" stopIfTrue="1" operator="equal">
      <formula>"Towel"</formula>
    </cfRule>
    <cfRule type="cellIs" dxfId="15104" priority="3274" stopIfTrue="1" operator="equal">
      <formula>"Napkin Hs"</formula>
    </cfRule>
  </conditionalFormatting>
  <conditionalFormatting sqref="C129">
    <cfRule type="cellIs" dxfId="15103" priority="3275" stopIfTrue="1" operator="equal">
      <formula>"Towel"</formula>
    </cfRule>
    <cfRule type="cellIs" dxfId="15102" priority="3276" stopIfTrue="1" operator="equal">
      <formula>"Napkin Hs"</formula>
    </cfRule>
  </conditionalFormatting>
  <conditionalFormatting sqref="C129">
    <cfRule type="cellIs" dxfId="15101" priority="3277" stopIfTrue="1" operator="equal">
      <formula>"Towel"</formula>
    </cfRule>
    <cfRule type="cellIs" dxfId="15100" priority="3278" stopIfTrue="1" operator="equal">
      <formula>"Napkin Hs"</formula>
    </cfRule>
  </conditionalFormatting>
  <conditionalFormatting sqref="C129">
    <cfRule type="cellIs" dxfId="15099" priority="3267" stopIfTrue="1" operator="equal">
      <formula>"Towel"</formula>
    </cfRule>
    <cfRule type="cellIs" dxfId="15098" priority="3268" stopIfTrue="1" operator="equal">
      <formula>"Napkin Hs"</formula>
    </cfRule>
  </conditionalFormatting>
  <conditionalFormatting sqref="B129:C129">
    <cfRule type="cellIs" dxfId="15097" priority="3271" stopIfTrue="1" operator="equal">
      <formula>"Towel"</formula>
    </cfRule>
    <cfRule type="cellIs" dxfId="15096" priority="3272" stopIfTrue="1" operator="equal">
      <formula>"Napkin Hs"</formula>
    </cfRule>
  </conditionalFormatting>
  <conditionalFormatting sqref="C129">
    <cfRule type="cellIs" dxfId="15095" priority="3269" stopIfTrue="1" operator="equal">
      <formula>"Towel"</formula>
    </cfRule>
    <cfRule type="cellIs" dxfId="15094" priority="3270" stopIfTrue="1" operator="equal">
      <formula>"Napkin Hs"</formula>
    </cfRule>
  </conditionalFormatting>
  <conditionalFormatting sqref="B129:C129">
    <cfRule type="cellIs" dxfId="15093" priority="3261" stopIfTrue="1" operator="equal">
      <formula>"Towel"</formula>
    </cfRule>
    <cfRule type="cellIs" dxfId="15092" priority="3262" stopIfTrue="1" operator="equal">
      <formula>"Napkin Hs"</formula>
    </cfRule>
  </conditionalFormatting>
  <conditionalFormatting sqref="C129">
    <cfRule type="cellIs" dxfId="15091" priority="3263" stopIfTrue="1" operator="equal">
      <formula>"Towel"</formula>
    </cfRule>
    <cfRule type="cellIs" dxfId="15090" priority="3264" stopIfTrue="1" operator="equal">
      <formula>"Napkin Hs"</formula>
    </cfRule>
  </conditionalFormatting>
  <conditionalFormatting sqref="B129:C129">
    <cfRule type="cellIs" dxfId="15089" priority="3265" stopIfTrue="1" operator="equal">
      <formula>"Towel"</formula>
    </cfRule>
    <cfRule type="cellIs" dxfId="15088" priority="3266" stopIfTrue="1" operator="equal">
      <formula>"Napkin Hs"</formula>
    </cfRule>
  </conditionalFormatting>
  <conditionalFormatting sqref="C129">
    <cfRule type="cellIs" dxfId="15087" priority="3259" stopIfTrue="1" operator="equal">
      <formula>"Towel"</formula>
    </cfRule>
    <cfRule type="cellIs" dxfId="15086" priority="3260" stopIfTrue="1" operator="equal">
      <formula>"Napkin Hs"</formula>
    </cfRule>
  </conditionalFormatting>
  <conditionalFormatting sqref="C129">
    <cfRule type="cellIs" dxfId="15085" priority="3255" stopIfTrue="1" operator="equal">
      <formula>"Towel"</formula>
    </cfRule>
    <cfRule type="cellIs" dxfId="15084" priority="3256" stopIfTrue="1" operator="equal">
      <formula>"Napkin Hs"</formula>
    </cfRule>
  </conditionalFormatting>
  <conditionalFormatting sqref="B129:C129">
    <cfRule type="cellIs" dxfId="15083" priority="3257" stopIfTrue="1" operator="equal">
      <formula>"Towel"</formula>
    </cfRule>
    <cfRule type="cellIs" dxfId="15082" priority="3258" stopIfTrue="1" operator="equal">
      <formula>"Napkin Hs"</formula>
    </cfRule>
  </conditionalFormatting>
  <conditionalFormatting sqref="C129">
    <cfRule type="cellIs" dxfId="15081" priority="3253" stopIfTrue="1" operator="equal">
      <formula>"Towel"</formula>
    </cfRule>
    <cfRule type="cellIs" dxfId="15080" priority="3254" stopIfTrue="1" operator="equal">
      <formula>"Napkin Hs"</formula>
    </cfRule>
  </conditionalFormatting>
  <conditionalFormatting sqref="C129">
    <cfRule type="cellIs" dxfId="15079" priority="3251" stopIfTrue="1" operator="equal">
      <formula>"Towel"</formula>
    </cfRule>
    <cfRule type="cellIs" dxfId="15078" priority="3252" stopIfTrue="1" operator="equal">
      <formula>"Napkin Hs"</formula>
    </cfRule>
  </conditionalFormatting>
  <conditionalFormatting sqref="B129:C129">
    <cfRule type="cellIs" dxfId="15077" priority="3249" stopIfTrue="1" operator="equal">
      <formula>"Towel"</formula>
    </cfRule>
    <cfRule type="cellIs" dxfId="15076" priority="3250" stopIfTrue="1" operator="equal">
      <formula>"Napkin Hs"</formula>
    </cfRule>
  </conditionalFormatting>
  <conditionalFormatting sqref="B129:C129">
    <cfRule type="cellIs" dxfId="15075" priority="3325" stopIfTrue="1" operator="equal">
      <formula>"Towel"</formula>
    </cfRule>
    <cfRule type="cellIs" dxfId="15074" priority="3326" stopIfTrue="1" operator="equal">
      <formula>"Napkin Hs"</formula>
    </cfRule>
  </conditionalFormatting>
  <conditionalFormatting sqref="C129">
    <cfRule type="cellIs" dxfId="15073" priority="3321" stopIfTrue="1" operator="equal">
      <formula>"Towel"</formula>
    </cfRule>
    <cfRule type="cellIs" dxfId="15072" priority="3322" stopIfTrue="1" operator="equal">
      <formula>"Napkin Hs"</formula>
    </cfRule>
  </conditionalFormatting>
  <conditionalFormatting sqref="C129">
    <cfRule type="cellIs" dxfId="15071" priority="3324" stopIfTrue="1" operator="equal">
      <formula>"Napkin Hs"</formula>
    </cfRule>
  </conditionalFormatting>
  <conditionalFormatting sqref="C129">
    <cfRule type="cellIs" dxfId="15070" priority="3323" stopIfTrue="1" operator="equal">
      <formula>"Towel"</formula>
    </cfRule>
  </conditionalFormatting>
  <conditionalFormatting sqref="C129">
    <cfRule type="cellIs" dxfId="15069" priority="3315" stopIfTrue="1" operator="equal">
      <formula>"Towel"</formula>
    </cfRule>
    <cfRule type="cellIs" dxfId="15068" priority="3316" stopIfTrue="1" operator="equal">
      <formula>"Napkin Hs"</formula>
    </cfRule>
  </conditionalFormatting>
  <conditionalFormatting sqref="C129">
    <cfRule type="cellIs" dxfId="15067" priority="3319" stopIfTrue="1" operator="equal">
      <formula>"Towel"</formula>
    </cfRule>
    <cfRule type="cellIs" dxfId="15066" priority="3320" stopIfTrue="1" operator="equal">
      <formula>"Napkin Hs"</formula>
    </cfRule>
  </conditionalFormatting>
  <conditionalFormatting sqref="B129">
    <cfRule type="cellIs" dxfId="15065" priority="3305" stopIfTrue="1" operator="equal">
      <formula>"Towel"</formula>
    </cfRule>
    <cfRule type="cellIs" dxfId="15064" priority="3306" stopIfTrue="1" operator="equal">
      <formula>"Napkin Hs"</formula>
    </cfRule>
  </conditionalFormatting>
  <conditionalFormatting sqref="C129">
    <cfRule type="cellIs" dxfId="15063" priority="3317" stopIfTrue="1" operator="equal">
      <formula>"Towel"</formula>
    </cfRule>
    <cfRule type="cellIs" dxfId="15062" priority="3318" stopIfTrue="1" operator="equal">
      <formula>"Napkin Hs"</formula>
    </cfRule>
  </conditionalFormatting>
  <conditionalFormatting sqref="C129">
    <cfRule type="cellIs" dxfId="15061" priority="3309" stopIfTrue="1" operator="equal">
      <formula>"Towel"</formula>
    </cfRule>
    <cfRule type="cellIs" dxfId="15060" priority="3310" stopIfTrue="1" operator="equal">
      <formula>"Napkin Hs"</formula>
    </cfRule>
  </conditionalFormatting>
  <conditionalFormatting sqref="C129">
    <cfRule type="cellIs" dxfId="15059" priority="3311" stopIfTrue="1" operator="equal">
      <formula>"Towel"</formula>
    </cfRule>
    <cfRule type="cellIs" dxfId="15058" priority="3312" stopIfTrue="1" operator="equal">
      <formula>"Napkin Hs"</formula>
    </cfRule>
  </conditionalFormatting>
  <conditionalFormatting sqref="C129">
    <cfRule type="cellIs" dxfId="15057" priority="3313" stopIfTrue="1" operator="equal">
      <formula>"Towel"</formula>
    </cfRule>
    <cfRule type="cellIs" dxfId="15056" priority="3314" stopIfTrue="1" operator="equal">
      <formula>"Napkin Hs"</formula>
    </cfRule>
  </conditionalFormatting>
  <conditionalFormatting sqref="B129">
    <cfRule type="cellIs" dxfId="15055" priority="3307" stopIfTrue="1" operator="equal">
      <formula>"Towel"</formula>
    </cfRule>
    <cfRule type="cellIs" dxfId="15054" priority="3308" stopIfTrue="1" operator="equal">
      <formula>"Napkin Hs"</formula>
    </cfRule>
  </conditionalFormatting>
  <conditionalFormatting sqref="C129">
    <cfRule type="cellIs" dxfId="15053" priority="3303" stopIfTrue="1" operator="equal">
      <formula>"Towel"</formula>
    </cfRule>
    <cfRule type="cellIs" dxfId="15052" priority="3304" stopIfTrue="1" operator="equal">
      <formula>"Napkin Hs"</formula>
    </cfRule>
  </conditionalFormatting>
  <conditionalFormatting sqref="B129:C129">
    <cfRule type="cellIs" dxfId="15051" priority="3287" stopIfTrue="1" operator="equal">
      <formula>"Towel"</formula>
    </cfRule>
    <cfRule type="cellIs" dxfId="15050" priority="3288" stopIfTrue="1" operator="equal">
      <formula>"Napkin Hs"</formula>
    </cfRule>
  </conditionalFormatting>
  <conditionalFormatting sqref="B129">
    <cfRule type="cellIs" dxfId="15049" priority="3239" stopIfTrue="1" operator="equal">
      <formula>"Towel"</formula>
    </cfRule>
    <cfRule type="cellIs" dxfId="15048" priority="3240" stopIfTrue="1" operator="equal">
      <formula>"Napkin Hs"</formula>
    </cfRule>
  </conditionalFormatting>
  <conditionalFormatting sqref="B129">
    <cfRule type="cellIs" dxfId="15047" priority="3237" stopIfTrue="1" operator="equal">
      <formula>"Towel"</formula>
    </cfRule>
    <cfRule type="cellIs" dxfId="15046" priority="3238" stopIfTrue="1" operator="equal">
      <formula>"Napkin Hs"</formula>
    </cfRule>
  </conditionalFormatting>
  <conditionalFormatting sqref="B129">
    <cfRule type="cellIs" dxfId="15045" priority="3235" stopIfTrue="1" operator="equal">
      <formula>"Towel"</formula>
    </cfRule>
    <cfRule type="cellIs" dxfId="15044" priority="3236" stopIfTrue="1" operator="equal">
      <formula>"Napkin Hs"</formula>
    </cfRule>
  </conditionalFormatting>
  <conditionalFormatting sqref="B129">
    <cfRule type="cellIs" dxfId="15043" priority="3229" stopIfTrue="1" operator="equal">
      <formula>"Towel"</formula>
    </cfRule>
    <cfRule type="cellIs" dxfId="15042" priority="3230" stopIfTrue="1" operator="equal">
      <formula>"Napkin Hs"</formula>
    </cfRule>
  </conditionalFormatting>
  <conditionalFormatting sqref="B129">
    <cfRule type="cellIs" dxfId="15041" priority="3233" stopIfTrue="1" operator="equal">
      <formula>"Towel"</formula>
    </cfRule>
    <cfRule type="cellIs" dxfId="15040" priority="3234" stopIfTrue="1" operator="equal">
      <formula>"Napkin Hs"</formula>
    </cfRule>
  </conditionalFormatting>
  <conditionalFormatting sqref="B129">
    <cfRule type="cellIs" dxfId="15039" priority="3231" stopIfTrue="1" operator="equal">
      <formula>"Towel"</formula>
    </cfRule>
    <cfRule type="cellIs" dxfId="15038" priority="3232" stopIfTrue="1" operator="equal">
      <formula>"Napkin Hs"</formula>
    </cfRule>
  </conditionalFormatting>
  <conditionalFormatting sqref="B129">
    <cfRule type="cellIs" dxfId="15037" priority="3227" stopIfTrue="1" operator="equal">
      <formula>"Towel"</formula>
    </cfRule>
    <cfRule type="cellIs" dxfId="15036" priority="3228" stopIfTrue="1" operator="equal">
      <formula>"Napkin Hs"</formula>
    </cfRule>
  </conditionalFormatting>
  <conditionalFormatting sqref="B129">
    <cfRule type="cellIs" dxfId="15035" priority="3225" stopIfTrue="1" operator="equal">
      <formula>"Towel"</formula>
    </cfRule>
    <cfRule type="cellIs" dxfId="15034" priority="3226" stopIfTrue="1" operator="equal">
      <formula>"Napkin Hs"</formula>
    </cfRule>
  </conditionalFormatting>
  <conditionalFormatting sqref="B129">
    <cfRule type="cellIs" dxfId="15033" priority="3221" stopIfTrue="1" operator="equal">
      <formula>"Towel"</formula>
    </cfRule>
    <cfRule type="cellIs" dxfId="15032" priority="3222" stopIfTrue="1" operator="equal">
      <formula>"Napkin Hs"</formula>
    </cfRule>
  </conditionalFormatting>
  <conditionalFormatting sqref="B129">
    <cfRule type="cellIs" dxfId="15031" priority="3219" stopIfTrue="1" operator="equal">
      <formula>"Towel"</formula>
    </cfRule>
    <cfRule type="cellIs" dxfId="15030" priority="3220" stopIfTrue="1" operator="equal">
      <formula>"Napkin Hs"</formula>
    </cfRule>
  </conditionalFormatting>
  <conditionalFormatting sqref="B129">
    <cfRule type="cellIs" dxfId="15029" priority="3223" stopIfTrue="1" operator="equal">
      <formula>"Towel"</formula>
    </cfRule>
    <cfRule type="cellIs" dxfId="15028" priority="3224" stopIfTrue="1" operator="equal">
      <formula>"Napkin Hs"</formula>
    </cfRule>
  </conditionalFormatting>
  <conditionalFormatting sqref="B129">
    <cfRule type="cellIs" dxfId="15027" priority="3217" stopIfTrue="1" operator="equal">
      <formula>"Towel"</formula>
    </cfRule>
    <cfRule type="cellIs" dxfId="15026" priority="3218" stopIfTrue="1" operator="equal">
      <formula>"Napkin Hs"</formula>
    </cfRule>
  </conditionalFormatting>
  <conditionalFormatting sqref="B129">
    <cfRule type="cellIs" dxfId="15025" priority="3215" stopIfTrue="1" operator="equal">
      <formula>"Towel"</formula>
    </cfRule>
    <cfRule type="cellIs" dxfId="15024" priority="3216" stopIfTrue="1" operator="equal">
      <formula>"Napkin Hs"</formula>
    </cfRule>
  </conditionalFormatting>
  <conditionalFormatting sqref="B129">
    <cfRule type="cellIs" dxfId="15023" priority="3213" stopIfTrue="1" operator="equal">
      <formula>"Towel"</formula>
    </cfRule>
    <cfRule type="cellIs" dxfId="15022" priority="3214" stopIfTrue="1" operator="equal">
      <formula>"Napkin Hs"</formula>
    </cfRule>
  </conditionalFormatting>
  <conditionalFormatting sqref="B129">
    <cfRule type="cellIs" dxfId="15021" priority="3211" stopIfTrue="1" operator="equal">
      <formula>"Towel"</formula>
    </cfRule>
    <cfRule type="cellIs" dxfId="15020" priority="3212" stopIfTrue="1" operator="equal">
      <formula>"Napkin Hs"</formula>
    </cfRule>
  </conditionalFormatting>
  <conditionalFormatting sqref="C129">
    <cfRule type="cellIs" dxfId="15019" priority="3207" stopIfTrue="1" operator="equal">
      <formula>"Towel"</formula>
    </cfRule>
    <cfRule type="cellIs" dxfId="15018" priority="3208" stopIfTrue="1" operator="equal">
      <formula>"Napkin Hs"</formula>
    </cfRule>
  </conditionalFormatting>
  <conditionalFormatting sqref="C129">
    <cfRule type="cellIs" dxfId="15017" priority="3209" stopIfTrue="1" operator="equal">
      <formula>"Towel"</formula>
    </cfRule>
    <cfRule type="cellIs" dxfId="15016" priority="3210" stopIfTrue="1" operator="equal">
      <formula>"Napkin Hs"</formula>
    </cfRule>
  </conditionalFormatting>
  <conditionalFormatting sqref="C129">
    <cfRule type="cellIs" dxfId="15015" priority="3203" stopIfTrue="1" operator="equal">
      <formula>"Towel"</formula>
    </cfRule>
    <cfRule type="cellIs" dxfId="15014" priority="3204" stopIfTrue="1" operator="equal">
      <formula>"Napkin Hs"</formula>
    </cfRule>
  </conditionalFormatting>
  <conditionalFormatting sqref="B129:C129">
    <cfRule type="cellIs" dxfId="15013" priority="3205" stopIfTrue="1" operator="equal">
      <formula>"Towel"</formula>
    </cfRule>
    <cfRule type="cellIs" dxfId="15012" priority="3206" stopIfTrue="1" operator="equal">
      <formula>"Napkin Hs"</formula>
    </cfRule>
  </conditionalFormatting>
  <conditionalFormatting sqref="C129">
    <cfRule type="cellIs" dxfId="15011" priority="3201" stopIfTrue="1" operator="equal">
      <formula>"Towel"</formula>
    </cfRule>
    <cfRule type="cellIs" dxfId="15010" priority="3202" stopIfTrue="1" operator="equal">
      <formula>"Napkin Hs"</formula>
    </cfRule>
  </conditionalFormatting>
  <conditionalFormatting sqref="B129:C129">
    <cfRule type="cellIs" dxfId="15009" priority="3199" stopIfTrue="1" operator="equal">
      <formula>"Towel"</formula>
    </cfRule>
    <cfRule type="cellIs" dxfId="15008" priority="3200" stopIfTrue="1" operator="equal">
      <formula>"Napkin Hs"</formula>
    </cfRule>
  </conditionalFormatting>
  <conditionalFormatting sqref="B129:C129">
    <cfRule type="cellIs" dxfId="15007" priority="3197" stopIfTrue="1" operator="equal">
      <formula>"Towel"</formula>
    </cfRule>
    <cfRule type="cellIs" dxfId="15006" priority="3198" stopIfTrue="1" operator="equal">
      <formula>"Napkin Hs"</formula>
    </cfRule>
  </conditionalFormatting>
  <conditionalFormatting sqref="C129">
    <cfRule type="cellIs" dxfId="15005" priority="3191" stopIfTrue="1" operator="equal">
      <formula>"Towel"</formula>
    </cfRule>
    <cfRule type="cellIs" dxfId="15004" priority="3192" stopIfTrue="1" operator="equal">
      <formula>"Napkin Hs"</formula>
    </cfRule>
  </conditionalFormatting>
  <conditionalFormatting sqref="C129">
    <cfRule type="cellIs" dxfId="15003" priority="3193" stopIfTrue="1" operator="equal">
      <formula>"Towel"</formula>
    </cfRule>
    <cfRule type="cellIs" dxfId="15002" priority="3194" stopIfTrue="1" operator="equal">
      <formula>"Napkin Hs"</formula>
    </cfRule>
  </conditionalFormatting>
  <conditionalFormatting sqref="C129">
    <cfRule type="cellIs" dxfId="15001" priority="3189" stopIfTrue="1" operator="equal">
      <formula>"Towel"</formula>
    </cfRule>
    <cfRule type="cellIs" dxfId="15000" priority="3190" stopIfTrue="1" operator="equal">
      <formula>"Napkin Hs"</formula>
    </cfRule>
  </conditionalFormatting>
  <conditionalFormatting sqref="C129">
    <cfRule type="cellIs" dxfId="14999" priority="3187" stopIfTrue="1" operator="equal">
      <formula>"Towel"</formula>
    </cfRule>
    <cfRule type="cellIs" dxfId="14998" priority="3188" stopIfTrue="1" operator="equal">
      <formula>"Napkin Hs"</formula>
    </cfRule>
  </conditionalFormatting>
  <conditionalFormatting sqref="C129">
    <cfRule type="cellIs" dxfId="14997" priority="3183" stopIfTrue="1" operator="equal">
      <formula>"Towel"</formula>
    </cfRule>
    <cfRule type="cellIs" dxfId="14996" priority="3184" stopIfTrue="1" operator="equal">
      <formula>"Napkin Hs"</formula>
    </cfRule>
  </conditionalFormatting>
  <conditionalFormatting sqref="C129">
    <cfRule type="cellIs" dxfId="14995" priority="3185" stopIfTrue="1" operator="equal">
      <formula>"Towel"</formula>
    </cfRule>
    <cfRule type="cellIs" dxfId="14994" priority="3186" stopIfTrue="1" operator="equal">
      <formula>"Napkin Hs"</formula>
    </cfRule>
  </conditionalFormatting>
  <conditionalFormatting sqref="C129">
    <cfRule type="cellIs" dxfId="14993" priority="3181" stopIfTrue="1" operator="equal">
      <formula>"Towel"</formula>
    </cfRule>
    <cfRule type="cellIs" dxfId="14992" priority="3182" stopIfTrue="1" operator="equal">
      <formula>"Napkin Hs"</formula>
    </cfRule>
  </conditionalFormatting>
  <conditionalFormatting sqref="C129">
    <cfRule type="cellIs" dxfId="14991" priority="3165" stopIfTrue="1" operator="equal">
      <formula>"Towel"</formula>
    </cfRule>
    <cfRule type="cellIs" dxfId="14990" priority="3166" stopIfTrue="1" operator="equal">
      <formula>"Napkin Hs"</formula>
    </cfRule>
  </conditionalFormatting>
  <conditionalFormatting sqref="B129">
    <cfRule type="cellIs" dxfId="14989" priority="3163" stopIfTrue="1" operator="equal">
      <formula>"Towel"</formula>
    </cfRule>
    <cfRule type="cellIs" dxfId="14988" priority="3164" stopIfTrue="1" operator="equal">
      <formula>"Napkin Hs"</formula>
    </cfRule>
  </conditionalFormatting>
  <conditionalFormatting sqref="B129">
    <cfRule type="cellIs" dxfId="14987" priority="3179" stopIfTrue="1" operator="equal">
      <formula>"Towel"</formula>
    </cfRule>
    <cfRule type="cellIs" dxfId="14986" priority="3180" stopIfTrue="1" operator="equal">
      <formula>"Napkin Hs"</formula>
    </cfRule>
  </conditionalFormatting>
  <conditionalFormatting sqref="C129">
    <cfRule type="cellIs" dxfId="14985" priority="3175" stopIfTrue="1" operator="equal">
      <formula>"Towel"</formula>
    </cfRule>
    <cfRule type="cellIs" dxfId="14984" priority="3176" stopIfTrue="1" operator="equal">
      <formula>"Napkin Hs"</formula>
    </cfRule>
  </conditionalFormatting>
  <conditionalFormatting sqref="B129">
    <cfRule type="cellIs" dxfId="14983" priority="3177" stopIfTrue="1" operator="equal">
      <formula>"Towel"</formula>
    </cfRule>
    <cfRule type="cellIs" dxfId="14982" priority="3178" stopIfTrue="1" operator="equal">
      <formula>"Napkin Hs"</formula>
    </cfRule>
  </conditionalFormatting>
  <conditionalFormatting sqref="C129">
    <cfRule type="cellIs" dxfId="14981" priority="3171" stopIfTrue="1" operator="equal">
      <formula>"Towel"</formula>
    </cfRule>
    <cfRule type="cellIs" dxfId="14980" priority="3172" stopIfTrue="1" operator="equal">
      <formula>"Napkin Hs"</formula>
    </cfRule>
  </conditionalFormatting>
  <conditionalFormatting sqref="C129">
    <cfRule type="cellIs" dxfId="14979" priority="3173" stopIfTrue="1" operator="equal">
      <formula>"Towel"</formula>
    </cfRule>
    <cfRule type="cellIs" dxfId="14978" priority="3174" stopIfTrue="1" operator="equal">
      <formula>"Napkin Hs"</formula>
    </cfRule>
  </conditionalFormatting>
  <conditionalFormatting sqref="C129">
    <cfRule type="cellIs" dxfId="14977" priority="3169" stopIfTrue="1" operator="equal">
      <formula>"Towel"</formula>
    </cfRule>
    <cfRule type="cellIs" dxfId="14976" priority="3170" stopIfTrue="1" operator="equal">
      <formula>"Napkin Hs"</formula>
    </cfRule>
  </conditionalFormatting>
  <conditionalFormatting sqref="C129">
    <cfRule type="cellIs" dxfId="14975" priority="3167" stopIfTrue="1" operator="equal">
      <formula>"Towel"</formula>
    </cfRule>
    <cfRule type="cellIs" dxfId="14974" priority="3168" stopIfTrue="1" operator="equal">
      <formula>"Napkin Hs"</formula>
    </cfRule>
  </conditionalFormatting>
  <conditionalFormatting sqref="B129">
    <cfRule type="cellIs" dxfId="14973" priority="3161" stopIfTrue="1" operator="equal">
      <formula>"Towel"</formula>
    </cfRule>
    <cfRule type="cellIs" dxfId="14972" priority="3162" stopIfTrue="1" operator="equal">
      <formula>"Napkin Hs"</formula>
    </cfRule>
  </conditionalFormatting>
  <conditionalFormatting sqref="B129:C129">
    <cfRule type="cellIs" dxfId="14971" priority="3159" stopIfTrue="1" operator="equal">
      <formula>"Towel"</formula>
    </cfRule>
    <cfRule type="cellIs" dxfId="14970" priority="3160" stopIfTrue="1" operator="equal">
      <formula>"Napkin Hs"</formula>
    </cfRule>
  </conditionalFormatting>
  <conditionalFormatting sqref="C129">
    <cfRule type="cellIs" dxfId="14969" priority="3157" stopIfTrue="1" operator="equal">
      <formula>"Towel"</formula>
    </cfRule>
    <cfRule type="cellIs" dxfId="14968" priority="3158" stopIfTrue="1" operator="equal">
      <formula>"Napkin Hs"</formula>
    </cfRule>
  </conditionalFormatting>
  <conditionalFormatting sqref="C129">
    <cfRule type="cellIs" dxfId="14967" priority="3155" stopIfTrue="1" operator="equal">
      <formula>"Towel"</formula>
    </cfRule>
    <cfRule type="cellIs" dxfId="14966" priority="3156" stopIfTrue="1" operator="equal">
      <formula>"Napkin Hs"</formula>
    </cfRule>
  </conditionalFormatting>
  <conditionalFormatting sqref="C129">
    <cfRule type="cellIs" dxfId="14965" priority="3145" stopIfTrue="1" operator="equal">
      <formula>"Towel"</formula>
    </cfRule>
    <cfRule type="cellIs" dxfId="14964" priority="3146" stopIfTrue="1" operator="equal">
      <formula>"Napkin Hs"</formula>
    </cfRule>
  </conditionalFormatting>
  <conditionalFormatting sqref="C129">
    <cfRule type="cellIs" dxfId="14963" priority="3147" stopIfTrue="1" operator="equal">
      <formula>"Towel"</formula>
    </cfRule>
    <cfRule type="cellIs" dxfId="14962" priority="3148" stopIfTrue="1" operator="equal">
      <formula>"Napkin Hs"</formula>
    </cfRule>
  </conditionalFormatting>
  <conditionalFormatting sqref="B129:C129">
    <cfRule type="cellIs" dxfId="14961" priority="3143" stopIfTrue="1" operator="equal">
      <formula>"Towel"</formula>
    </cfRule>
    <cfRule type="cellIs" dxfId="14960" priority="3144" stopIfTrue="1" operator="equal">
      <formula>"Napkin Hs"</formula>
    </cfRule>
  </conditionalFormatting>
  <conditionalFormatting sqref="C129">
    <cfRule type="cellIs" dxfId="14959" priority="3141" stopIfTrue="1" operator="equal">
      <formula>"Towel"</formula>
    </cfRule>
    <cfRule type="cellIs" dxfId="14958" priority="3142" stopIfTrue="1" operator="equal">
      <formula>"Napkin Hs"</formula>
    </cfRule>
  </conditionalFormatting>
  <conditionalFormatting sqref="B129:C129">
    <cfRule type="cellIs" dxfId="14957" priority="3137" stopIfTrue="1" operator="equal">
      <formula>"Towel"</formula>
    </cfRule>
    <cfRule type="cellIs" dxfId="14956" priority="3138" stopIfTrue="1" operator="equal">
      <formula>"Napkin Hs"</formula>
    </cfRule>
  </conditionalFormatting>
  <conditionalFormatting sqref="C129">
    <cfRule type="cellIs" dxfId="14955" priority="3139" stopIfTrue="1" operator="equal">
      <formula>"Towel"</formula>
    </cfRule>
    <cfRule type="cellIs" dxfId="14954" priority="3140" stopIfTrue="1" operator="equal">
      <formula>"Napkin Hs"</formula>
    </cfRule>
  </conditionalFormatting>
  <conditionalFormatting sqref="C129">
    <cfRule type="cellIs" dxfId="14953" priority="3196" stopIfTrue="1" operator="equal">
      <formula>"Napkin Hs"</formula>
    </cfRule>
  </conditionalFormatting>
  <conditionalFormatting sqref="C129">
    <cfRule type="cellIs" dxfId="14952" priority="3195" stopIfTrue="1" operator="equal">
      <formula>"Towel"</formula>
    </cfRule>
  </conditionalFormatting>
  <conditionalFormatting sqref="B129:C129">
    <cfRule type="cellIs" dxfId="14951" priority="3153" stopIfTrue="1" operator="equal">
      <formula>"Towel"</formula>
    </cfRule>
    <cfRule type="cellIs" dxfId="14950" priority="3154" stopIfTrue="1" operator="equal">
      <formula>"Napkin Hs"</formula>
    </cfRule>
  </conditionalFormatting>
  <conditionalFormatting sqref="C129">
    <cfRule type="cellIs" dxfId="14949" priority="3151" stopIfTrue="1" operator="equal">
      <formula>"Towel"</formula>
    </cfRule>
    <cfRule type="cellIs" dxfId="14948" priority="3152" stopIfTrue="1" operator="equal">
      <formula>"Napkin Hs"</formula>
    </cfRule>
  </conditionalFormatting>
  <conditionalFormatting sqref="C129">
    <cfRule type="cellIs" dxfId="14947" priority="3149" stopIfTrue="1" operator="equal">
      <formula>"Towel"</formula>
    </cfRule>
    <cfRule type="cellIs" dxfId="14946" priority="3150" stopIfTrue="1" operator="equal">
      <formula>"Napkin Hs"</formula>
    </cfRule>
  </conditionalFormatting>
  <conditionalFormatting sqref="B129:C129">
    <cfRule type="cellIs" dxfId="14945" priority="3133" stopIfTrue="1" operator="equal">
      <formula>"Towel"</formula>
    </cfRule>
    <cfRule type="cellIs" dxfId="14944" priority="3134" stopIfTrue="1" operator="equal">
      <formula>"Napkin Hs"</formula>
    </cfRule>
  </conditionalFormatting>
  <conditionalFormatting sqref="C129">
    <cfRule type="cellIs" dxfId="14943" priority="3135" stopIfTrue="1" operator="equal">
      <formula>"Towel"</formula>
    </cfRule>
    <cfRule type="cellIs" dxfId="14942" priority="3136" stopIfTrue="1" operator="equal">
      <formula>"Napkin Hs"</formula>
    </cfRule>
  </conditionalFormatting>
  <conditionalFormatting sqref="C129">
    <cfRule type="cellIs" dxfId="14941" priority="3131" stopIfTrue="1" operator="equal">
      <formula>"Towel"</formula>
    </cfRule>
    <cfRule type="cellIs" dxfId="14940" priority="3132" stopIfTrue="1" operator="equal">
      <formula>"Napkin Hs"</formula>
    </cfRule>
  </conditionalFormatting>
  <conditionalFormatting sqref="B129:C129">
    <cfRule type="cellIs" dxfId="14939" priority="3129" stopIfTrue="1" operator="equal">
      <formula>"Towel"</formula>
    </cfRule>
    <cfRule type="cellIs" dxfId="14938" priority="3130" stopIfTrue="1" operator="equal">
      <formula>"Napkin Hs"</formula>
    </cfRule>
  </conditionalFormatting>
  <conditionalFormatting sqref="C129">
    <cfRule type="cellIs" dxfId="14937" priority="3125" stopIfTrue="1" operator="equal">
      <formula>"Towel"</formula>
    </cfRule>
    <cfRule type="cellIs" dxfId="14936" priority="3126" stopIfTrue="1" operator="equal">
      <formula>"Napkin Hs"</formula>
    </cfRule>
  </conditionalFormatting>
  <conditionalFormatting sqref="C129">
    <cfRule type="cellIs" dxfId="14935" priority="3127" stopIfTrue="1" operator="equal">
      <formula>"Towel"</formula>
    </cfRule>
    <cfRule type="cellIs" dxfId="14934" priority="3128" stopIfTrue="1" operator="equal">
      <formula>"Napkin Hs"</formula>
    </cfRule>
  </conditionalFormatting>
  <conditionalFormatting sqref="B129:C129">
    <cfRule type="cellIs" dxfId="14933" priority="3121" stopIfTrue="1" operator="equal">
      <formula>"Towel"</formula>
    </cfRule>
    <cfRule type="cellIs" dxfId="14932" priority="3122" stopIfTrue="1" operator="equal">
      <formula>"Napkin Hs"</formula>
    </cfRule>
  </conditionalFormatting>
  <conditionalFormatting sqref="C129">
    <cfRule type="cellIs" dxfId="14931" priority="3123" stopIfTrue="1" operator="equal">
      <formula>"Towel"</formula>
    </cfRule>
    <cfRule type="cellIs" dxfId="14930" priority="3124" stopIfTrue="1" operator="equal">
      <formula>"Napkin Hs"</formula>
    </cfRule>
  </conditionalFormatting>
  <conditionalFormatting sqref="C129">
    <cfRule type="cellIs" dxfId="14929" priority="3119" stopIfTrue="1" operator="equal">
      <formula>"Towel"</formula>
    </cfRule>
    <cfRule type="cellIs" dxfId="14928" priority="3120" stopIfTrue="1" operator="equal">
      <formula>"Napkin Hs"</formula>
    </cfRule>
  </conditionalFormatting>
  <conditionalFormatting sqref="B129:C129">
    <cfRule type="cellIs" dxfId="14927" priority="3117" stopIfTrue="1" operator="equal">
      <formula>"Towel"</formula>
    </cfRule>
    <cfRule type="cellIs" dxfId="14926" priority="3118" stopIfTrue="1" operator="equal">
      <formula>"Napkin Hs"</formula>
    </cfRule>
  </conditionalFormatting>
  <conditionalFormatting sqref="C129">
    <cfRule type="cellIs" dxfId="14925" priority="3113" stopIfTrue="1" operator="equal">
      <formula>"Towel"</formula>
    </cfRule>
    <cfRule type="cellIs" dxfId="14924" priority="3114" stopIfTrue="1" operator="equal">
      <formula>"Napkin Hs"</formula>
    </cfRule>
  </conditionalFormatting>
  <conditionalFormatting sqref="C129">
    <cfRule type="cellIs" dxfId="14923" priority="3115" stopIfTrue="1" operator="equal">
      <formula>"Towel"</formula>
    </cfRule>
    <cfRule type="cellIs" dxfId="14922" priority="3116" stopIfTrue="1" operator="equal">
      <formula>"Napkin Hs"</formula>
    </cfRule>
  </conditionalFormatting>
  <conditionalFormatting sqref="C127">
    <cfRule type="cellIs" dxfId="14921" priority="3105" stopIfTrue="1" operator="equal">
      <formula>"Towel"</formula>
    </cfRule>
    <cfRule type="cellIs" dxfId="14920" priority="3106" stopIfTrue="1" operator="equal">
      <formula>"Napkin Hs"</formula>
    </cfRule>
  </conditionalFormatting>
  <conditionalFormatting sqref="C127">
    <cfRule type="cellIs" dxfId="14919" priority="3103" stopIfTrue="1" operator="equal">
      <formula>"Towel"</formula>
    </cfRule>
    <cfRule type="cellIs" dxfId="14918" priority="3104" stopIfTrue="1" operator="equal">
      <formula>"Napkin Hs"</formula>
    </cfRule>
  </conditionalFormatting>
  <conditionalFormatting sqref="B127:C127">
    <cfRule type="cellIs" dxfId="14917" priority="3101" stopIfTrue="1" operator="equal">
      <formula>"Towel"</formula>
    </cfRule>
    <cfRule type="cellIs" dxfId="14916" priority="3102" stopIfTrue="1" operator="equal">
      <formula>"Napkin Hs"</formula>
    </cfRule>
  </conditionalFormatting>
  <conditionalFormatting sqref="B127:C127">
    <cfRule type="cellIs" dxfId="14915" priority="3111" stopIfTrue="1" operator="equal">
      <formula>"Towel"</formula>
    </cfRule>
    <cfRule type="cellIs" dxfId="14914" priority="3112" stopIfTrue="1" operator="equal">
      <formula>"Napkin Hs"</formula>
    </cfRule>
  </conditionalFormatting>
  <conditionalFormatting sqref="C127">
    <cfRule type="cellIs" dxfId="14913" priority="3109" stopIfTrue="1" operator="equal">
      <formula>"Towel"</formula>
    </cfRule>
    <cfRule type="cellIs" dxfId="14912" priority="3110" stopIfTrue="1" operator="equal">
      <formula>"Napkin Hs"</formula>
    </cfRule>
  </conditionalFormatting>
  <conditionalFormatting sqref="C127">
    <cfRule type="cellIs" dxfId="14911" priority="3107" stopIfTrue="1" operator="equal">
      <formula>"Towel"</formula>
    </cfRule>
    <cfRule type="cellIs" dxfId="14910" priority="3108" stopIfTrue="1" operator="equal">
      <formula>"Napkin Hs"</formula>
    </cfRule>
  </conditionalFormatting>
  <conditionalFormatting sqref="C127">
    <cfRule type="cellIs" dxfId="14909" priority="3099" stopIfTrue="1" operator="equal">
      <formula>"Towel"</formula>
    </cfRule>
    <cfRule type="cellIs" dxfId="14908" priority="3100" stopIfTrue="1" operator="equal">
      <formula>"Napkin Hs"</formula>
    </cfRule>
  </conditionalFormatting>
  <conditionalFormatting sqref="C127">
    <cfRule type="cellIs" dxfId="14907" priority="3097" stopIfTrue="1" operator="equal">
      <formula>"Towel"</formula>
    </cfRule>
    <cfRule type="cellIs" dxfId="14906" priority="3098" stopIfTrue="1" operator="equal">
      <formula>"Napkin Hs"</formula>
    </cfRule>
  </conditionalFormatting>
  <conditionalFormatting sqref="B127:C127">
    <cfRule type="cellIs" dxfId="14905" priority="3095" stopIfTrue="1" operator="equal">
      <formula>"Towel"</formula>
    </cfRule>
    <cfRule type="cellIs" dxfId="14904" priority="3096" stopIfTrue="1" operator="equal">
      <formula>"Napkin Hs"</formula>
    </cfRule>
  </conditionalFormatting>
  <conditionalFormatting sqref="B127">
    <cfRule type="cellIs" dxfId="14903" priority="3093" stopIfTrue="1" operator="equal">
      <formula>"Towel"</formula>
    </cfRule>
    <cfRule type="cellIs" dxfId="14902" priority="3094" stopIfTrue="1" operator="equal">
      <formula>"Napkin Hs"</formula>
    </cfRule>
  </conditionalFormatting>
  <conditionalFormatting sqref="B127">
    <cfRule type="cellIs" dxfId="14901" priority="3091" stopIfTrue="1" operator="equal">
      <formula>"Towel"</formula>
    </cfRule>
    <cfRule type="cellIs" dxfId="14900" priority="3092" stopIfTrue="1" operator="equal">
      <formula>"Napkin Hs"</formula>
    </cfRule>
  </conditionalFormatting>
  <conditionalFormatting sqref="B127">
    <cfRule type="cellIs" dxfId="14899" priority="3089" stopIfTrue="1" operator="equal">
      <formula>"Towel"</formula>
    </cfRule>
    <cfRule type="cellIs" dxfId="14898" priority="3090" stopIfTrue="1" operator="equal">
      <formula>"Napkin Hs"</formula>
    </cfRule>
  </conditionalFormatting>
  <conditionalFormatting sqref="B127:C127">
    <cfRule type="cellIs" dxfId="14897" priority="3087" stopIfTrue="1" operator="equal">
      <formula>"Towel"</formula>
    </cfRule>
    <cfRule type="cellIs" dxfId="14896" priority="3088" stopIfTrue="1" operator="equal">
      <formula>"Napkin Hs"</formula>
    </cfRule>
  </conditionalFormatting>
  <conditionalFormatting sqref="C127">
    <cfRule type="cellIs" dxfId="14895" priority="3085" stopIfTrue="1" operator="equal">
      <formula>"Towel"</formula>
    </cfRule>
    <cfRule type="cellIs" dxfId="14894" priority="3086" stopIfTrue="1" operator="equal">
      <formula>"Napkin Hs"</formula>
    </cfRule>
  </conditionalFormatting>
  <conditionalFormatting sqref="C127">
    <cfRule type="cellIs" dxfId="14893" priority="3083" stopIfTrue="1" operator="equal">
      <formula>"Towel"</formula>
    </cfRule>
    <cfRule type="cellIs" dxfId="14892" priority="3084" stopIfTrue="1" operator="equal">
      <formula>"Napkin Hs"</formula>
    </cfRule>
  </conditionalFormatting>
  <conditionalFormatting sqref="C127">
    <cfRule type="cellIs" dxfId="14891" priority="3075" stopIfTrue="1" operator="equal">
      <formula>"Towel"</formula>
    </cfRule>
    <cfRule type="cellIs" dxfId="14890" priority="3076" stopIfTrue="1" operator="equal">
      <formula>"Napkin Hs"</formula>
    </cfRule>
  </conditionalFormatting>
  <conditionalFormatting sqref="B127:C127">
    <cfRule type="cellIs" dxfId="14889" priority="3077" stopIfTrue="1" operator="equal">
      <formula>"Towel"</formula>
    </cfRule>
    <cfRule type="cellIs" dxfId="14888" priority="3078" stopIfTrue="1" operator="equal">
      <formula>"Napkin Hs"</formula>
    </cfRule>
  </conditionalFormatting>
  <conditionalFormatting sqref="C127">
    <cfRule type="cellIs" dxfId="14887" priority="3073" stopIfTrue="1" operator="equal">
      <formula>"Towel"</formula>
    </cfRule>
    <cfRule type="cellIs" dxfId="14886" priority="3074" stopIfTrue="1" operator="equal">
      <formula>"Napkin Hs"</formula>
    </cfRule>
  </conditionalFormatting>
  <conditionalFormatting sqref="B127:C127">
    <cfRule type="cellIs" dxfId="14885" priority="3071" stopIfTrue="1" operator="equal">
      <formula>"Towel"</formula>
    </cfRule>
    <cfRule type="cellIs" dxfId="14884" priority="3072" stopIfTrue="1" operator="equal">
      <formula>"Napkin Hs"</formula>
    </cfRule>
  </conditionalFormatting>
  <conditionalFormatting sqref="C127">
    <cfRule type="cellIs" dxfId="14883" priority="3079" stopIfTrue="1" operator="equal">
      <formula>"Towel"</formula>
    </cfRule>
    <cfRule type="cellIs" dxfId="14882" priority="3080" stopIfTrue="1" operator="equal">
      <formula>"Napkin Hs"</formula>
    </cfRule>
  </conditionalFormatting>
  <conditionalFormatting sqref="C127">
    <cfRule type="cellIs" dxfId="14881" priority="3081" stopIfTrue="1" operator="equal">
      <formula>"Towel"</formula>
    </cfRule>
    <cfRule type="cellIs" dxfId="14880" priority="3082" stopIfTrue="1" operator="equal">
      <formula>"Napkin Hs"</formula>
    </cfRule>
  </conditionalFormatting>
  <conditionalFormatting sqref="B127:C127">
    <cfRule type="cellIs" dxfId="14879" priority="3067" stopIfTrue="1" operator="equal">
      <formula>"Towel"</formula>
    </cfRule>
    <cfRule type="cellIs" dxfId="14878" priority="3068" stopIfTrue="1" operator="equal">
      <formula>"Napkin Hs"</formula>
    </cfRule>
  </conditionalFormatting>
  <conditionalFormatting sqref="C127">
    <cfRule type="cellIs" dxfId="14877" priority="3069" stopIfTrue="1" operator="equal">
      <formula>"Towel"</formula>
    </cfRule>
    <cfRule type="cellIs" dxfId="14876" priority="3070" stopIfTrue="1" operator="equal">
      <formula>"Napkin Hs"</formula>
    </cfRule>
  </conditionalFormatting>
  <conditionalFormatting sqref="C127">
    <cfRule type="cellIs" dxfId="14875" priority="3065" stopIfTrue="1" operator="equal">
      <formula>"Towel"</formula>
    </cfRule>
    <cfRule type="cellIs" dxfId="14874" priority="3066" stopIfTrue="1" operator="equal">
      <formula>"Napkin Hs"</formula>
    </cfRule>
  </conditionalFormatting>
  <conditionalFormatting sqref="B127">
    <cfRule type="cellIs" dxfId="14873" priority="3061" stopIfTrue="1" operator="equal">
      <formula>"Towel"</formula>
    </cfRule>
    <cfRule type="cellIs" dxfId="14872" priority="3062" stopIfTrue="1" operator="equal">
      <formula>"Napkin Hs"</formula>
    </cfRule>
  </conditionalFormatting>
  <conditionalFormatting sqref="B127">
    <cfRule type="cellIs" dxfId="14871" priority="3063" stopIfTrue="1" operator="equal">
      <formula>"Towel"</formula>
    </cfRule>
    <cfRule type="cellIs" dxfId="14870" priority="3064" stopIfTrue="1" operator="equal">
      <formula>"Napkin Hs"</formula>
    </cfRule>
  </conditionalFormatting>
  <conditionalFormatting sqref="B127">
    <cfRule type="cellIs" dxfId="14869" priority="3059" stopIfTrue="1" operator="equal">
      <formula>"Towel"</formula>
    </cfRule>
    <cfRule type="cellIs" dxfId="14868" priority="3060" stopIfTrue="1" operator="equal">
      <formula>"Napkin Hs"</formula>
    </cfRule>
  </conditionalFormatting>
  <conditionalFormatting sqref="B127:C127">
    <cfRule type="cellIs" dxfId="14867" priority="3057" stopIfTrue="1" operator="equal">
      <formula>"Towel"</formula>
    </cfRule>
    <cfRule type="cellIs" dxfId="14866" priority="3058" stopIfTrue="1" operator="equal">
      <formula>"Napkin Hs"</formula>
    </cfRule>
  </conditionalFormatting>
  <conditionalFormatting sqref="C127">
    <cfRule type="cellIs" dxfId="14865" priority="3055" stopIfTrue="1" operator="equal">
      <formula>"Towel"</formula>
    </cfRule>
    <cfRule type="cellIs" dxfId="14864" priority="3056" stopIfTrue="1" operator="equal">
      <formula>"Napkin Hs"</formula>
    </cfRule>
  </conditionalFormatting>
  <conditionalFormatting sqref="C127">
    <cfRule type="cellIs" dxfId="14863" priority="3053" stopIfTrue="1" operator="equal">
      <formula>"Towel"</formula>
    </cfRule>
    <cfRule type="cellIs" dxfId="14862" priority="3054" stopIfTrue="1" operator="equal">
      <formula>"Napkin Hs"</formula>
    </cfRule>
  </conditionalFormatting>
  <conditionalFormatting sqref="C127">
    <cfRule type="cellIs" dxfId="14861" priority="3045" stopIfTrue="1" operator="equal">
      <formula>"Towel"</formula>
    </cfRule>
    <cfRule type="cellIs" dxfId="14860" priority="3046" stopIfTrue="1" operator="equal">
      <formula>"Napkin Hs"</formula>
    </cfRule>
  </conditionalFormatting>
  <conditionalFormatting sqref="B127:C127">
    <cfRule type="cellIs" dxfId="14859" priority="3047" stopIfTrue="1" operator="equal">
      <formula>"Towel"</formula>
    </cfRule>
    <cfRule type="cellIs" dxfId="14858" priority="3048" stopIfTrue="1" operator="equal">
      <formula>"Napkin Hs"</formula>
    </cfRule>
  </conditionalFormatting>
  <conditionalFormatting sqref="C127">
    <cfRule type="cellIs" dxfId="14857" priority="3043" stopIfTrue="1" operator="equal">
      <formula>"Towel"</formula>
    </cfRule>
    <cfRule type="cellIs" dxfId="14856" priority="3044" stopIfTrue="1" operator="equal">
      <formula>"Napkin Hs"</formula>
    </cfRule>
  </conditionalFormatting>
  <conditionalFormatting sqref="B127:C127">
    <cfRule type="cellIs" dxfId="14855" priority="3041" stopIfTrue="1" operator="equal">
      <formula>"Towel"</formula>
    </cfRule>
    <cfRule type="cellIs" dxfId="14854" priority="3042" stopIfTrue="1" operator="equal">
      <formula>"Napkin Hs"</formula>
    </cfRule>
  </conditionalFormatting>
  <conditionalFormatting sqref="C127">
    <cfRule type="cellIs" dxfId="14853" priority="3049" stopIfTrue="1" operator="equal">
      <formula>"Towel"</formula>
    </cfRule>
    <cfRule type="cellIs" dxfId="14852" priority="3050" stopIfTrue="1" operator="equal">
      <formula>"Napkin Hs"</formula>
    </cfRule>
  </conditionalFormatting>
  <conditionalFormatting sqref="C127">
    <cfRule type="cellIs" dxfId="14851" priority="3051" stopIfTrue="1" operator="equal">
      <formula>"Towel"</formula>
    </cfRule>
    <cfRule type="cellIs" dxfId="14850" priority="3052" stopIfTrue="1" operator="equal">
      <formula>"Napkin Hs"</formula>
    </cfRule>
  </conditionalFormatting>
  <conditionalFormatting sqref="C127">
    <cfRule type="cellIs" dxfId="14849" priority="3037" stopIfTrue="1" operator="equal">
      <formula>"Towel"</formula>
    </cfRule>
    <cfRule type="cellIs" dxfId="14848" priority="3038" stopIfTrue="1" operator="equal">
      <formula>"Napkin Hs"</formula>
    </cfRule>
  </conditionalFormatting>
  <conditionalFormatting sqref="C127">
    <cfRule type="cellIs" dxfId="14847" priority="3039" stopIfTrue="1" operator="equal">
      <formula>"Towel"</formula>
    </cfRule>
    <cfRule type="cellIs" dxfId="14846" priority="3040" stopIfTrue="1" operator="equal">
      <formula>"Napkin Hs"</formula>
    </cfRule>
  </conditionalFormatting>
  <conditionalFormatting sqref="B127:C127">
    <cfRule type="cellIs" dxfId="14845" priority="3035" stopIfTrue="1" operator="equal">
      <formula>"Towel"</formula>
    </cfRule>
    <cfRule type="cellIs" dxfId="14844" priority="3036" stopIfTrue="1" operator="equal">
      <formula>"Napkin Hs"</formula>
    </cfRule>
  </conditionalFormatting>
  <conditionalFormatting sqref="B127:C127">
    <cfRule type="cellIs" dxfId="14843" priority="3029" stopIfTrue="1" operator="equal">
      <formula>"Towel"</formula>
    </cfRule>
    <cfRule type="cellIs" dxfId="14842" priority="3030" stopIfTrue="1" operator="equal">
      <formula>"Napkin Hs"</formula>
    </cfRule>
  </conditionalFormatting>
  <conditionalFormatting sqref="C127">
    <cfRule type="cellIs" dxfId="14841" priority="3031" stopIfTrue="1" operator="equal">
      <formula>"Towel"</formula>
    </cfRule>
    <cfRule type="cellIs" dxfId="14840" priority="3032" stopIfTrue="1" operator="equal">
      <formula>"Napkin Hs"</formula>
    </cfRule>
  </conditionalFormatting>
  <conditionalFormatting sqref="C127">
    <cfRule type="cellIs" dxfId="14839" priority="3033" stopIfTrue="1" operator="equal">
      <formula>"Towel"</formula>
    </cfRule>
    <cfRule type="cellIs" dxfId="14838" priority="3034" stopIfTrue="1" operator="equal">
      <formula>"Napkin Hs"</formula>
    </cfRule>
  </conditionalFormatting>
  <conditionalFormatting sqref="C127">
    <cfRule type="cellIs" dxfId="14837" priority="3001" stopIfTrue="1" operator="equal">
      <formula>"Towel"</formula>
    </cfRule>
    <cfRule type="cellIs" dxfId="14836" priority="3002" stopIfTrue="1" operator="equal">
      <formula>"Napkin Hs"</formula>
    </cfRule>
  </conditionalFormatting>
  <conditionalFormatting sqref="C127">
    <cfRule type="cellIs" dxfId="14835" priority="3003" stopIfTrue="1" operator="equal">
      <formula>"Towel"</formula>
    </cfRule>
    <cfRule type="cellIs" dxfId="14834" priority="3004" stopIfTrue="1" operator="equal">
      <formula>"Napkin Hs"</formula>
    </cfRule>
  </conditionalFormatting>
  <conditionalFormatting sqref="C127">
    <cfRule type="cellIs" dxfId="14833" priority="2999" stopIfTrue="1" operator="equal">
      <formula>"Towel"</formula>
    </cfRule>
    <cfRule type="cellIs" dxfId="14832" priority="3000" stopIfTrue="1" operator="equal">
      <formula>"Napkin Hs"</formula>
    </cfRule>
  </conditionalFormatting>
  <conditionalFormatting sqref="B127">
    <cfRule type="cellIs" dxfId="14831" priority="2993" stopIfTrue="1" operator="equal">
      <formula>"Towel"</formula>
    </cfRule>
    <cfRule type="cellIs" dxfId="14830" priority="2994" stopIfTrue="1" operator="equal">
      <formula>"Napkin Hs"</formula>
    </cfRule>
  </conditionalFormatting>
  <conditionalFormatting sqref="C127">
    <cfRule type="cellIs" dxfId="14829" priority="2995" stopIfTrue="1" operator="equal">
      <formula>"Towel"</formula>
    </cfRule>
    <cfRule type="cellIs" dxfId="14828" priority="2996" stopIfTrue="1" operator="equal">
      <formula>"Napkin Hs"</formula>
    </cfRule>
  </conditionalFormatting>
  <conditionalFormatting sqref="C127">
    <cfRule type="cellIs" dxfId="14827" priority="2997" stopIfTrue="1" operator="equal">
      <formula>"Towel"</formula>
    </cfRule>
    <cfRule type="cellIs" dxfId="14826" priority="2998" stopIfTrue="1" operator="equal">
      <formula>"Napkin Hs"</formula>
    </cfRule>
  </conditionalFormatting>
  <conditionalFormatting sqref="B127:C127">
    <cfRule type="cellIs" dxfId="14825" priority="2947" stopIfTrue="1" operator="equal">
      <formula>"Towel"</formula>
    </cfRule>
    <cfRule type="cellIs" dxfId="14824" priority="2948" stopIfTrue="1" operator="equal">
      <formula>"Napkin Hs"</formula>
    </cfRule>
  </conditionalFormatting>
  <conditionalFormatting sqref="C127">
    <cfRule type="cellIs" dxfId="14823" priority="2949" stopIfTrue="1" operator="equal">
      <formula>"Towel"</formula>
    </cfRule>
    <cfRule type="cellIs" dxfId="14822" priority="2950" stopIfTrue="1" operator="equal">
      <formula>"Napkin Hs"</formula>
    </cfRule>
  </conditionalFormatting>
  <conditionalFormatting sqref="C127">
    <cfRule type="cellIs" dxfId="14821" priority="2945" stopIfTrue="1" operator="equal">
      <formula>"Towel"</formula>
    </cfRule>
    <cfRule type="cellIs" dxfId="14820" priority="2946" stopIfTrue="1" operator="equal">
      <formula>"Napkin Hs"</formula>
    </cfRule>
  </conditionalFormatting>
  <conditionalFormatting sqref="C127">
    <cfRule type="cellIs" dxfId="14819" priority="2943" stopIfTrue="1" operator="equal">
      <formula>"Towel"</formula>
    </cfRule>
    <cfRule type="cellIs" dxfId="14818" priority="2944" stopIfTrue="1" operator="equal">
      <formula>"Napkin Hs"</formula>
    </cfRule>
  </conditionalFormatting>
  <conditionalFormatting sqref="B127">
    <cfRule type="cellIs" dxfId="14817" priority="2991" stopIfTrue="1" operator="equal">
      <formula>"Towel"</formula>
    </cfRule>
    <cfRule type="cellIs" dxfId="14816" priority="2992" stopIfTrue="1" operator="equal">
      <formula>"Napkin Hs"</formula>
    </cfRule>
  </conditionalFormatting>
  <conditionalFormatting sqref="C127">
    <cfRule type="cellIs" dxfId="14815" priority="2987" stopIfTrue="1" operator="equal">
      <formula>"Towel"</formula>
    </cfRule>
    <cfRule type="cellIs" dxfId="14814" priority="2988" stopIfTrue="1" operator="equal">
      <formula>"Napkin Hs"</formula>
    </cfRule>
  </conditionalFormatting>
  <conditionalFormatting sqref="C127">
    <cfRule type="cellIs" dxfId="14813" priority="2981" stopIfTrue="1" operator="equal">
      <formula>"Towel"</formula>
    </cfRule>
    <cfRule type="cellIs" dxfId="14812" priority="2982" stopIfTrue="1" operator="equal">
      <formula>"Napkin Hs"</formula>
    </cfRule>
  </conditionalFormatting>
  <conditionalFormatting sqref="C127">
    <cfRule type="cellIs" dxfId="14811" priority="2985" stopIfTrue="1" operator="equal">
      <formula>"Towel"</formula>
    </cfRule>
    <cfRule type="cellIs" dxfId="14810" priority="2986" stopIfTrue="1" operator="equal">
      <formula>"Napkin Hs"</formula>
    </cfRule>
  </conditionalFormatting>
  <conditionalFormatting sqref="B127:C127">
    <cfRule type="cellIs" dxfId="14809" priority="2983" stopIfTrue="1" operator="equal">
      <formula>"Towel"</formula>
    </cfRule>
    <cfRule type="cellIs" dxfId="14808" priority="2984" stopIfTrue="1" operator="equal">
      <formula>"Napkin Hs"</formula>
    </cfRule>
  </conditionalFormatting>
  <conditionalFormatting sqref="C127">
    <cfRule type="cellIs" dxfId="14807" priority="2975" stopIfTrue="1" operator="equal">
      <formula>"Towel"</formula>
    </cfRule>
    <cfRule type="cellIs" dxfId="14806" priority="2976" stopIfTrue="1" operator="equal">
      <formula>"Napkin Hs"</formula>
    </cfRule>
  </conditionalFormatting>
  <conditionalFormatting sqref="C127">
    <cfRule type="cellIs" dxfId="14805" priority="2977" stopIfTrue="1" operator="equal">
      <formula>"Towel"</formula>
    </cfRule>
    <cfRule type="cellIs" dxfId="14804" priority="2978" stopIfTrue="1" operator="equal">
      <formula>"Napkin Hs"</formula>
    </cfRule>
  </conditionalFormatting>
  <conditionalFormatting sqref="C127">
    <cfRule type="cellIs" dxfId="14803" priority="2979" stopIfTrue="1" operator="equal">
      <formula>"Towel"</formula>
    </cfRule>
    <cfRule type="cellIs" dxfId="14802" priority="2980" stopIfTrue="1" operator="equal">
      <formula>"Napkin Hs"</formula>
    </cfRule>
  </conditionalFormatting>
  <conditionalFormatting sqref="C127">
    <cfRule type="cellIs" dxfId="14801" priority="2969" stopIfTrue="1" operator="equal">
      <formula>"Towel"</formula>
    </cfRule>
    <cfRule type="cellIs" dxfId="14800" priority="2970" stopIfTrue="1" operator="equal">
      <formula>"Napkin Hs"</formula>
    </cfRule>
  </conditionalFormatting>
  <conditionalFormatting sqref="B127:C127">
    <cfRule type="cellIs" dxfId="14799" priority="2973" stopIfTrue="1" operator="equal">
      <formula>"Towel"</formula>
    </cfRule>
    <cfRule type="cellIs" dxfId="14798" priority="2974" stopIfTrue="1" operator="equal">
      <formula>"Napkin Hs"</formula>
    </cfRule>
  </conditionalFormatting>
  <conditionalFormatting sqref="C127">
    <cfRule type="cellIs" dxfId="14797" priority="2971" stopIfTrue="1" operator="equal">
      <formula>"Towel"</formula>
    </cfRule>
    <cfRule type="cellIs" dxfId="14796" priority="2972" stopIfTrue="1" operator="equal">
      <formula>"Napkin Hs"</formula>
    </cfRule>
  </conditionalFormatting>
  <conditionalFormatting sqref="B127:C127">
    <cfRule type="cellIs" dxfId="14795" priority="2963" stopIfTrue="1" operator="equal">
      <formula>"Towel"</formula>
    </cfRule>
    <cfRule type="cellIs" dxfId="14794" priority="2964" stopIfTrue="1" operator="equal">
      <formula>"Napkin Hs"</formula>
    </cfRule>
  </conditionalFormatting>
  <conditionalFormatting sqref="C127">
    <cfRule type="cellIs" dxfId="14793" priority="2965" stopIfTrue="1" operator="equal">
      <formula>"Towel"</formula>
    </cfRule>
    <cfRule type="cellIs" dxfId="14792" priority="2966" stopIfTrue="1" operator="equal">
      <formula>"Napkin Hs"</formula>
    </cfRule>
  </conditionalFormatting>
  <conditionalFormatting sqref="B127:C127">
    <cfRule type="cellIs" dxfId="14791" priority="2967" stopIfTrue="1" operator="equal">
      <formula>"Towel"</formula>
    </cfRule>
    <cfRule type="cellIs" dxfId="14790" priority="2968" stopIfTrue="1" operator="equal">
      <formula>"Napkin Hs"</formula>
    </cfRule>
  </conditionalFormatting>
  <conditionalFormatting sqref="C127">
    <cfRule type="cellIs" dxfId="14789" priority="2961" stopIfTrue="1" operator="equal">
      <formula>"Towel"</formula>
    </cfRule>
    <cfRule type="cellIs" dxfId="14788" priority="2962" stopIfTrue="1" operator="equal">
      <formula>"Napkin Hs"</formula>
    </cfRule>
  </conditionalFormatting>
  <conditionalFormatting sqref="C127">
    <cfRule type="cellIs" dxfId="14787" priority="2957" stopIfTrue="1" operator="equal">
      <formula>"Towel"</formula>
    </cfRule>
    <cfRule type="cellIs" dxfId="14786" priority="2958" stopIfTrue="1" operator="equal">
      <formula>"Napkin Hs"</formula>
    </cfRule>
  </conditionalFormatting>
  <conditionalFormatting sqref="B127:C127">
    <cfRule type="cellIs" dxfId="14785" priority="2959" stopIfTrue="1" operator="equal">
      <formula>"Towel"</formula>
    </cfRule>
    <cfRule type="cellIs" dxfId="14784" priority="2960" stopIfTrue="1" operator="equal">
      <formula>"Napkin Hs"</formula>
    </cfRule>
  </conditionalFormatting>
  <conditionalFormatting sqref="C127">
    <cfRule type="cellIs" dxfId="14783" priority="2955" stopIfTrue="1" operator="equal">
      <formula>"Towel"</formula>
    </cfRule>
    <cfRule type="cellIs" dxfId="14782" priority="2956" stopIfTrue="1" operator="equal">
      <formula>"Napkin Hs"</formula>
    </cfRule>
  </conditionalFormatting>
  <conditionalFormatting sqref="C127">
    <cfRule type="cellIs" dxfId="14781" priority="2953" stopIfTrue="1" operator="equal">
      <formula>"Towel"</formula>
    </cfRule>
    <cfRule type="cellIs" dxfId="14780" priority="2954" stopIfTrue="1" operator="equal">
      <formula>"Napkin Hs"</formula>
    </cfRule>
  </conditionalFormatting>
  <conditionalFormatting sqref="B127:C127">
    <cfRule type="cellIs" dxfId="14779" priority="2951" stopIfTrue="1" operator="equal">
      <formula>"Towel"</formula>
    </cfRule>
    <cfRule type="cellIs" dxfId="14778" priority="2952" stopIfTrue="1" operator="equal">
      <formula>"Napkin Hs"</formula>
    </cfRule>
  </conditionalFormatting>
  <conditionalFormatting sqref="B127:C127">
    <cfRule type="cellIs" dxfId="14777" priority="3027" stopIfTrue="1" operator="equal">
      <formula>"Towel"</formula>
    </cfRule>
    <cfRule type="cellIs" dxfId="14776" priority="3028" stopIfTrue="1" operator="equal">
      <formula>"Napkin Hs"</formula>
    </cfRule>
  </conditionalFormatting>
  <conditionalFormatting sqref="C127">
    <cfRule type="cellIs" dxfId="14775" priority="3023" stopIfTrue="1" operator="equal">
      <formula>"Towel"</formula>
    </cfRule>
    <cfRule type="cellIs" dxfId="14774" priority="3024" stopIfTrue="1" operator="equal">
      <formula>"Napkin Hs"</formula>
    </cfRule>
  </conditionalFormatting>
  <conditionalFormatting sqref="C127">
    <cfRule type="cellIs" dxfId="14773" priority="3026" stopIfTrue="1" operator="equal">
      <formula>"Napkin Hs"</formula>
    </cfRule>
  </conditionalFormatting>
  <conditionalFormatting sqref="C127">
    <cfRule type="cellIs" dxfId="14772" priority="3025" stopIfTrue="1" operator="equal">
      <formula>"Towel"</formula>
    </cfRule>
  </conditionalFormatting>
  <conditionalFormatting sqref="C127">
    <cfRule type="cellIs" dxfId="14771" priority="3017" stopIfTrue="1" operator="equal">
      <formula>"Towel"</formula>
    </cfRule>
    <cfRule type="cellIs" dxfId="14770" priority="3018" stopIfTrue="1" operator="equal">
      <formula>"Napkin Hs"</formula>
    </cfRule>
  </conditionalFormatting>
  <conditionalFormatting sqref="C127">
    <cfRule type="cellIs" dxfId="14769" priority="3021" stopIfTrue="1" operator="equal">
      <formula>"Towel"</formula>
    </cfRule>
    <cfRule type="cellIs" dxfId="14768" priority="3022" stopIfTrue="1" operator="equal">
      <formula>"Napkin Hs"</formula>
    </cfRule>
  </conditionalFormatting>
  <conditionalFormatting sqref="B127">
    <cfRule type="cellIs" dxfId="14767" priority="3007" stopIfTrue="1" operator="equal">
      <formula>"Towel"</formula>
    </cfRule>
    <cfRule type="cellIs" dxfId="14766" priority="3008" stopIfTrue="1" operator="equal">
      <formula>"Napkin Hs"</formula>
    </cfRule>
  </conditionalFormatting>
  <conditionalFormatting sqref="C127">
    <cfRule type="cellIs" dxfId="14765" priority="3019" stopIfTrue="1" operator="equal">
      <formula>"Towel"</formula>
    </cfRule>
    <cfRule type="cellIs" dxfId="14764" priority="3020" stopIfTrue="1" operator="equal">
      <formula>"Napkin Hs"</formula>
    </cfRule>
  </conditionalFormatting>
  <conditionalFormatting sqref="C127">
    <cfRule type="cellIs" dxfId="14763" priority="3011" stopIfTrue="1" operator="equal">
      <formula>"Towel"</formula>
    </cfRule>
    <cfRule type="cellIs" dxfId="14762" priority="3012" stopIfTrue="1" operator="equal">
      <formula>"Napkin Hs"</formula>
    </cfRule>
  </conditionalFormatting>
  <conditionalFormatting sqref="C127">
    <cfRule type="cellIs" dxfId="14761" priority="3013" stopIfTrue="1" operator="equal">
      <formula>"Towel"</formula>
    </cfRule>
    <cfRule type="cellIs" dxfId="14760" priority="3014" stopIfTrue="1" operator="equal">
      <formula>"Napkin Hs"</formula>
    </cfRule>
  </conditionalFormatting>
  <conditionalFormatting sqref="C127">
    <cfRule type="cellIs" dxfId="14759" priority="3015" stopIfTrue="1" operator="equal">
      <formula>"Towel"</formula>
    </cfRule>
    <cfRule type="cellIs" dxfId="14758" priority="3016" stopIfTrue="1" operator="equal">
      <formula>"Napkin Hs"</formula>
    </cfRule>
  </conditionalFormatting>
  <conditionalFormatting sqref="B127">
    <cfRule type="cellIs" dxfId="14757" priority="3009" stopIfTrue="1" operator="equal">
      <formula>"Towel"</formula>
    </cfRule>
    <cfRule type="cellIs" dxfId="14756" priority="3010" stopIfTrue="1" operator="equal">
      <formula>"Napkin Hs"</formula>
    </cfRule>
  </conditionalFormatting>
  <conditionalFormatting sqref="C127">
    <cfRule type="cellIs" dxfId="14755" priority="3005" stopIfTrue="1" operator="equal">
      <formula>"Towel"</formula>
    </cfRule>
    <cfRule type="cellIs" dxfId="14754" priority="3006" stopIfTrue="1" operator="equal">
      <formula>"Napkin Hs"</formula>
    </cfRule>
  </conditionalFormatting>
  <conditionalFormatting sqref="B127:C127">
    <cfRule type="cellIs" dxfId="14753" priority="2989" stopIfTrue="1" operator="equal">
      <formula>"Towel"</formula>
    </cfRule>
    <cfRule type="cellIs" dxfId="14752" priority="2990" stopIfTrue="1" operator="equal">
      <formula>"Napkin Hs"</formula>
    </cfRule>
  </conditionalFormatting>
  <conditionalFormatting sqref="B127">
    <cfRule type="cellIs" dxfId="14751" priority="2941" stopIfTrue="1" operator="equal">
      <formula>"Towel"</formula>
    </cfRule>
    <cfRule type="cellIs" dxfId="14750" priority="2942" stopIfTrue="1" operator="equal">
      <formula>"Napkin Hs"</formula>
    </cfRule>
  </conditionalFormatting>
  <conditionalFormatting sqref="B127">
    <cfRule type="cellIs" dxfId="14749" priority="2939" stopIfTrue="1" operator="equal">
      <formula>"Towel"</formula>
    </cfRule>
    <cfRule type="cellIs" dxfId="14748" priority="2940" stopIfTrue="1" operator="equal">
      <formula>"Napkin Hs"</formula>
    </cfRule>
  </conditionalFormatting>
  <conditionalFormatting sqref="B127">
    <cfRule type="cellIs" dxfId="14747" priority="2937" stopIfTrue="1" operator="equal">
      <formula>"Towel"</formula>
    </cfRule>
    <cfRule type="cellIs" dxfId="14746" priority="2938" stopIfTrue="1" operator="equal">
      <formula>"Napkin Hs"</formula>
    </cfRule>
  </conditionalFormatting>
  <conditionalFormatting sqref="B127">
    <cfRule type="cellIs" dxfId="14745" priority="2931" stopIfTrue="1" operator="equal">
      <formula>"Towel"</formula>
    </cfRule>
    <cfRule type="cellIs" dxfId="14744" priority="2932" stopIfTrue="1" operator="equal">
      <formula>"Napkin Hs"</formula>
    </cfRule>
  </conditionalFormatting>
  <conditionalFormatting sqref="B127">
    <cfRule type="cellIs" dxfId="14743" priority="2935" stopIfTrue="1" operator="equal">
      <formula>"Towel"</formula>
    </cfRule>
    <cfRule type="cellIs" dxfId="14742" priority="2936" stopIfTrue="1" operator="equal">
      <formula>"Napkin Hs"</formula>
    </cfRule>
  </conditionalFormatting>
  <conditionalFormatting sqref="B127">
    <cfRule type="cellIs" dxfId="14741" priority="2933" stopIfTrue="1" operator="equal">
      <formula>"Towel"</formula>
    </cfRule>
    <cfRule type="cellIs" dxfId="14740" priority="2934" stopIfTrue="1" operator="equal">
      <formula>"Napkin Hs"</formula>
    </cfRule>
  </conditionalFormatting>
  <conditionalFormatting sqref="B127">
    <cfRule type="cellIs" dxfId="14739" priority="2929" stopIfTrue="1" operator="equal">
      <formula>"Towel"</formula>
    </cfRule>
    <cfRule type="cellIs" dxfId="14738" priority="2930" stopIfTrue="1" operator="equal">
      <formula>"Napkin Hs"</formula>
    </cfRule>
  </conditionalFormatting>
  <conditionalFormatting sqref="B127">
    <cfRule type="cellIs" dxfId="14737" priority="2927" stopIfTrue="1" operator="equal">
      <formula>"Towel"</formula>
    </cfRule>
    <cfRule type="cellIs" dxfId="14736" priority="2928" stopIfTrue="1" operator="equal">
      <formula>"Napkin Hs"</formula>
    </cfRule>
  </conditionalFormatting>
  <conditionalFormatting sqref="B127">
    <cfRule type="cellIs" dxfId="14735" priority="2923" stopIfTrue="1" operator="equal">
      <formula>"Towel"</formula>
    </cfRule>
    <cfRule type="cellIs" dxfId="14734" priority="2924" stopIfTrue="1" operator="equal">
      <formula>"Napkin Hs"</formula>
    </cfRule>
  </conditionalFormatting>
  <conditionalFormatting sqref="B127">
    <cfRule type="cellIs" dxfId="14733" priority="2921" stopIfTrue="1" operator="equal">
      <formula>"Towel"</formula>
    </cfRule>
    <cfRule type="cellIs" dxfId="14732" priority="2922" stopIfTrue="1" operator="equal">
      <formula>"Napkin Hs"</formula>
    </cfRule>
  </conditionalFormatting>
  <conditionalFormatting sqref="B127">
    <cfRule type="cellIs" dxfId="14731" priority="2925" stopIfTrue="1" operator="equal">
      <formula>"Towel"</formula>
    </cfRule>
    <cfRule type="cellIs" dxfId="14730" priority="2926" stopIfTrue="1" operator="equal">
      <formula>"Napkin Hs"</formula>
    </cfRule>
  </conditionalFormatting>
  <conditionalFormatting sqref="B127">
    <cfRule type="cellIs" dxfId="14729" priority="2919" stopIfTrue="1" operator="equal">
      <formula>"Towel"</formula>
    </cfRule>
    <cfRule type="cellIs" dxfId="14728" priority="2920" stopIfTrue="1" operator="equal">
      <formula>"Napkin Hs"</formula>
    </cfRule>
  </conditionalFormatting>
  <conditionalFormatting sqref="B127">
    <cfRule type="cellIs" dxfId="14727" priority="2917" stopIfTrue="1" operator="equal">
      <formula>"Towel"</formula>
    </cfRule>
    <cfRule type="cellIs" dxfId="14726" priority="2918" stopIfTrue="1" operator="equal">
      <formula>"Napkin Hs"</formula>
    </cfRule>
  </conditionalFormatting>
  <conditionalFormatting sqref="B127">
    <cfRule type="cellIs" dxfId="14725" priority="2915" stopIfTrue="1" operator="equal">
      <formula>"Towel"</formula>
    </cfRule>
    <cfRule type="cellIs" dxfId="14724" priority="2916" stopIfTrue="1" operator="equal">
      <formula>"Napkin Hs"</formula>
    </cfRule>
  </conditionalFormatting>
  <conditionalFormatting sqref="B127">
    <cfRule type="cellIs" dxfId="14723" priority="2913" stopIfTrue="1" operator="equal">
      <formula>"Towel"</formula>
    </cfRule>
    <cfRule type="cellIs" dxfId="14722" priority="2914" stopIfTrue="1" operator="equal">
      <formula>"Napkin Hs"</formula>
    </cfRule>
  </conditionalFormatting>
  <conditionalFormatting sqref="C127">
    <cfRule type="cellIs" dxfId="14721" priority="2909" stopIfTrue="1" operator="equal">
      <formula>"Towel"</formula>
    </cfRule>
    <cfRule type="cellIs" dxfId="14720" priority="2910" stopIfTrue="1" operator="equal">
      <formula>"Napkin Hs"</formula>
    </cfRule>
  </conditionalFormatting>
  <conditionalFormatting sqref="C127">
    <cfRule type="cellIs" dxfId="14719" priority="2911" stopIfTrue="1" operator="equal">
      <formula>"Towel"</formula>
    </cfRule>
    <cfRule type="cellIs" dxfId="14718" priority="2912" stopIfTrue="1" operator="equal">
      <formula>"Napkin Hs"</formula>
    </cfRule>
  </conditionalFormatting>
  <conditionalFormatting sqref="C127">
    <cfRule type="cellIs" dxfId="14717" priority="2905" stopIfTrue="1" operator="equal">
      <formula>"Towel"</formula>
    </cfRule>
    <cfRule type="cellIs" dxfId="14716" priority="2906" stopIfTrue="1" operator="equal">
      <formula>"Napkin Hs"</formula>
    </cfRule>
  </conditionalFormatting>
  <conditionalFormatting sqref="B127:C127">
    <cfRule type="cellIs" dxfId="14715" priority="2907" stopIfTrue="1" operator="equal">
      <formula>"Towel"</formula>
    </cfRule>
    <cfRule type="cellIs" dxfId="14714" priority="2908" stopIfTrue="1" operator="equal">
      <formula>"Napkin Hs"</formula>
    </cfRule>
  </conditionalFormatting>
  <conditionalFormatting sqref="C127">
    <cfRule type="cellIs" dxfId="14713" priority="2903" stopIfTrue="1" operator="equal">
      <formula>"Towel"</formula>
    </cfRule>
    <cfRule type="cellIs" dxfId="14712" priority="2904" stopIfTrue="1" operator="equal">
      <formula>"Napkin Hs"</formula>
    </cfRule>
  </conditionalFormatting>
  <conditionalFormatting sqref="B127:C127">
    <cfRule type="cellIs" dxfId="14711" priority="2901" stopIfTrue="1" operator="equal">
      <formula>"Towel"</formula>
    </cfRule>
    <cfRule type="cellIs" dxfId="14710" priority="2902" stopIfTrue="1" operator="equal">
      <formula>"Napkin Hs"</formula>
    </cfRule>
  </conditionalFormatting>
  <conditionalFormatting sqref="B127:C127">
    <cfRule type="cellIs" dxfId="14709" priority="2899" stopIfTrue="1" operator="equal">
      <formula>"Towel"</formula>
    </cfRule>
    <cfRule type="cellIs" dxfId="14708" priority="2900" stopIfTrue="1" operator="equal">
      <formula>"Napkin Hs"</formula>
    </cfRule>
  </conditionalFormatting>
  <conditionalFormatting sqref="C127">
    <cfRule type="cellIs" dxfId="14707" priority="2893" stopIfTrue="1" operator="equal">
      <formula>"Towel"</formula>
    </cfRule>
    <cfRule type="cellIs" dxfId="14706" priority="2894" stopIfTrue="1" operator="equal">
      <formula>"Napkin Hs"</formula>
    </cfRule>
  </conditionalFormatting>
  <conditionalFormatting sqref="C127">
    <cfRule type="cellIs" dxfId="14705" priority="2895" stopIfTrue="1" operator="equal">
      <formula>"Towel"</formula>
    </cfRule>
    <cfRule type="cellIs" dxfId="14704" priority="2896" stopIfTrue="1" operator="equal">
      <formula>"Napkin Hs"</formula>
    </cfRule>
  </conditionalFormatting>
  <conditionalFormatting sqref="C127">
    <cfRule type="cellIs" dxfId="14703" priority="2891" stopIfTrue="1" operator="equal">
      <formula>"Towel"</formula>
    </cfRule>
    <cfRule type="cellIs" dxfId="14702" priority="2892" stopIfTrue="1" operator="equal">
      <formula>"Napkin Hs"</formula>
    </cfRule>
  </conditionalFormatting>
  <conditionalFormatting sqref="C127">
    <cfRule type="cellIs" dxfId="14701" priority="2889" stopIfTrue="1" operator="equal">
      <formula>"Towel"</formula>
    </cfRule>
    <cfRule type="cellIs" dxfId="14700" priority="2890" stopIfTrue="1" operator="equal">
      <formula>"Napkin Hs"</formula>
    </cfRule>
  </conditionalFormatting>
  <conditionalFormatting sqref="C127">
    <cfRule type="cellIs" dxfId="14699" priority="2885" stopIfTrue="1" operator="equal">
      <formula>"Towel"</formula>
    </cfRule>
    <cfRule type="cellIs" dxfId="14698" priority="2886" stopIfTrue="1" operator="equal">
      <formula>"Napkin Hs"</formula>
    </cfRule>
  </conditionalFormatting>
  <conditionalFormatting sqref="C127">
    <cfRule type="cellIs" dxfId="14697" priority="2887" stopIfTrue="1" operator="equal">
      <formula>"Towel"</formula>
    </cfRule>
    <cfRule type="cellIs" dxfId="14696" priority="2888" stopIfTrue="1" operator="equal">
      <formula>"Napkin Hs"</formula>
    </cfRule>
  </conditionalFormatting>
  <conditionalFormatting sqref="C127">
    <cfRule type="cellIs" dxfId="14695" priority="2883" stopIfTrue="1" operator="equal">
      <formula>"Towel"</formula>
    </cfRule>
    <cfRule type="cellIs" dxfId="14694" priority="2884" stopIfTrue="1" operator="equal">
      <formula>"Napkin Hs"</formula>
    </cfRule>
  </conditionalFormatting>
  <conditionalFormatting sqref="C127">
    <cfRule type="cellIs" dxfId="14693" priority="2867" stopIfTrue="1" operator="equal">
      <formula>"Towel"</formula>
    </cfRule>
    <cfRule type="cellIs" dxfId="14692" priority="2868" stopIfTrue="1" operator="equal">
      <formula>"Napkin Hs"</formula>
    </cfRule>
  </conditionalFormatting>
  <conditionalFormatting sqref="B127">
    <cfRule type="cellIs" dxfId="14691" priority="2865" stopIfTrue="1" operator="equal">
      <formula>"Towel"</formula>
    </cfRule>
    <cfRule type="cellIs" dxfId="14690" priority="2866" stopIfTrue="1" operator="equal">
      <formula>"Napkin Hs"</formula>
    </cfRule>
  </conditionalFormatting>
  <conditionalFormatting sqref="B127">
    <cfRule type="cellIs" dxfId="14689" priority="2881" stopIfTrue="1" operator="equal">
      <formula>"Towel"</formula>
    </cfRule>
    <cfRule type="cellIs" dxfId="14688" priority="2882" stopIfTrue="1" operator="equal">
      <formula>"Napkin Hs"</formula>
    </cfRule>
  </conditionalFormatting>
  <conditionalFormatting sqref="C127">
    <cfRule type="cellIs" dxfId="14687" priority="2877" stopIfTrue="1" operator="equal">
      <formula>"Towel"</formula>
    </cfRule>
    <cfRule type="cellIs" dxfId="14686" priority="2878" stopIfTrue="1" operator="equal">
      <formula>"Napkin Hs"</formula>
    </cfRule>
  </conditionalFormatting>
  <conditionalFormatting sqref="B127">
    <cfRule type="cellIs" dxfId="14685" priority="2879" stopIfTrue="1" operator="equal">
      <formula>"Towel"</formula>
    </cfRule>
    <cfRule type="cellIs" dxfId="14684" priority="2880" stopIfTrue="1" operator="equal">
      <formula>"Napkin Hs"</formula>
    </cfRule>
  </conditionalFormatting>
  <conditionalFormatting sqref="C127">
    <cfRule type="cellIs" dxfId="14683" priority="2873" stopIfTrue="1" operator="equal">
      <formula>"Towel"</formula>
    </cfRule>
    <cfRule type="cellIs" dxfId="14682" priority="2874" stopIfTrue="1" operator="equal">
      <formula>"Napkin Hs"</formula>
    </cfRule>
  </conditionalFormatting>
  <conditionalFormatting sqref="C127">
    <cfRule type="cellIs" dxfId="14681" priority="2875" stopIfTrue="1" operator="equal">
      <formula>"Towel"</formula>
    </cfRule>
    <cfRule type="cellIs" dxfId="14680" priority="2876" stopIfTrue="1" operator="equal">
      <formula>"Napkin Hs"</formula>
    </cfRule>
  </conditionalFormatting>
  <conditionalFormatting sqref="C127">
    <cfRule type="cellIs" dxfId="14679" priority="2871" stopIfTrue="1" operator="equal">
      <formula>"Towel"</formula>
    </cfRule>
    <cfRule type="cellIs" dxfId="14678" priority="2872" stopIfTrue="1" operator="equal">
      <formula>"Napkin Hs"</formula>
    </cfRule>
  </conditionalFormatting>
  <conditionalFormatting sqref="C127">
    <cfRule type="cellIs" dxfId="14677" priority="2869" stopIfTrue="1" operator="equal">
      <formula>"Towel"</formula>
    </cfRule>
    <cfRule type="cellIs" dxfId="14676" priority="2870" stopIfTrue="1" operator="equal">
      <formula>"Napkin Hs"</formula>
    </cfRule>
  </conditionalFormatting>
  <conditionalFormatting sqref="B127">
    <cfRule type="cellIs" dxfId="14675" priority="2863" stopIfTrue="1" operator="equal">
      <formula>"Towel"</formula>
    </cfRule>
    <cfRule type="cellIs" dxfId="14674" priority="2864" stopIfTrue="1" operator="equal">
      <formula>"Napkin Hs"</formula>
    </cfRule>
  </conditionalFormatting>
  <conditionalFormatting sqref="B127:C127">
    <cfRule type="cellIs" dxfId="14673" priority="2861" stopIfTrue="1" operator="equal">
      <formula>"Towel"</formula>
    </cfRule>
    <cfRule type="cellIs" dxfId="14672" priority="2862" stopIfTrue="1" operator="equal">
      <formula>"Napkin Hs"</formula>
    </cfRule>
  </conditionalFormatting>
  <conditionalFormatting sqref="C127">
    <cfRule type="cellIs" dxfId="14671" priority="2859" stopIfTrue="1" operator="equal">
      <formula>"Towel"</formula>
    </cfRule>
    <cfRule type="cellIs" dxfId="14670" priority="2860" stopIfTrue="1" operator="equal">
      <formula>"Napkin Hs"</formula>
    </cfRule>
  </conditionalFormatting>
  <conditionalFormatting sqref="C127">
    <cfRule type="cellIs" dxfId="14669" priority="2857" stopIfTrue="1" operator="equal">
      <formula>"Towel"</formula>
    </cfRule>
    <cfRule type="cellIs" dxfId="14668" priority="2858" stopIfTrue="1" operator="equal">
      <formula>"Napkin Hs"</formula>
    </cfRule>
  </conditionalFormatting>
  <conditionalFormatting sqref="C127">
    <cfRule type="cellIs" dxfId="14667" priority="2847" stopIfTrue="1" operator="equal">
      <formula>"Towel"</formula>
    </cfRule>
    <cfRule type="cellIs" dxfId="14666" priority="2848" stopIfTrue="1" operator="equal">
      <formula>"Napkin Hs"</formula>
    </cfRule>
  </conditionalFormatting>
  <conditionalFormatting sqref="C127">
    <cfRule type="cellIs" dxfId="14665" priority="2849" stopIfTrue="1" operator="equal">
      <formula>"Towel"</formula>
    </cfRule>
    <cfRule type="cellIs" dxfId="14664" priority="2850" stopIfTrue="1" operator="equal">
      <formula>"Napkin Hs"</formula>
    </cfRule>
  </conditionalFormatting>
  <conditionalFormatting sqref="B127:C127">
    <cfRule type="cellIs" dxfId="14663" priority="2845" stopIfTrue="1" operator="equal">
      <formula>"Towel"</formula>
    </cfRule>
    <cfRule type="cellIs" dxfId="14662" priority="2846" stopIfTrue="1" operator="equal">
      <formula>"Napkin Hs"</formula>
    </cfRule>
  </conditionalFormatting>
  <conditionalFormatting sqref="C127">
    <cfRule type="cellIs" dxfId="14661" priority="2843" stopIfTrue="1" operator="equal">
      <formula>"Towel"</formula>
    </cfRule>
    <cfRule type="cellIs" dxfId="14660" priority="2844" stopIfTrue="1" operator="equal">
      <formula>"Napkin Hs"</formula>
    </cfRule>
  </conditionalFormatting>
  <conditionalFormatting sqref="B127:C127">
    <cfRule type="cellIs" dxfId="14659" priority="2839" stopIfTrue="1" operator="equal">
      <formula>"Towel"</formula>
    </cfRule>
    <cfRule type="cellIs" dxfId="14658" priority="2840" stopIfTrue="1" operator="equal">
      <formula>"Napkin Hs"</formula>
    </cfRule>
  </conditionalFormatting>
  <conditionalFormatting sqref="C127">
    <cfRule type="cellIs" dxfId="14657" priority="2841" stopIfTrue="1" operator="equal">
      <formula>"Towel"</formula>
    </cfRule>
    <cfRule type="cellIs" dxfId="14656" priority="2842" stopIfTrue="1" operator="equal">
      <formula>"Napkin Hs"</formula>
    </cfRule>
  </conditionalFormatting>
  <conditionalFormatting sqref="C127">
    <cfRule type="cellIs" dxfId="14655" priority="2898" stopIfTrue="1" operator="equal">
      <formula>"Napkin Hs"</formula>
    </cfRule>
  </conditionalFormatting>
  <conditionalFormatting sqref="C127">
    <cfRule type="cellIs" dxfId="14654" priority="2897" stopIfTrue="1" operator="equal">
      <formula>"Towel"</formula>
    </cfRule>
  </conditionalFormatting>
  <conditionalFormatting sqref="B127:C127">
    <cfRule type="cellIs" dxfId="14653" priority="2855" stopIfTrue="1" operator="equal">
      <formula>"Towel"</formula>
    </cfRule>
    <cfRule type="cellIs" dxfId="14652" priority="2856" stopIfTrue="1" operator="equal">
      <formula>"Napkin Hs"</formula>
    </cfRule>
  </conditionalFormatting>
  <conditionalFormatting sqref="C127">
    <cfRule type="cellIs" dxfId="14651" priority="2853" stopIfTrue="1" operator="equal">
      <formula>"Towel"</formula>
    </cfRule>
    <cfRule type="cellIs" dxfId="14650" priority="2854" stopIfTrue="1" operator="equal">
      <formula>"Napkin Hs"</formula>
    </cfRule>
  </conditionalFormatting>
  <conditionalFormatting sqref="C127">
    <cfRule type="cellIs" dxfId="14649" priority="2851" stopIfTrue="1" operator="equal">
      <formula>"Towel"</formula>
    </cfRule>
    <cfRule type="cellIs" dxfId="14648" priority="2852" stopIfTrue="1" operator="equal">
      <formula>"Napkin Hs"</formula>
    </cfRule>
  </conditionalFormatting>
  <conditionalFormatting sqref="B127:C127">
    <cfRule type="cellIs" dxfId="14647" priority="2835" stopIfTrue="1" operator="equal">
      <formula>"Towel"</formula>
    </cfRule>
    <cfRule type="cellIs" dxfId="14646" priority="2836" stopIfTrue="1" operator="equal">
      <formula>"Napkin Hs"</formula>
    </cfRule>
  </conditionalFormatting>
  <conditionalFormatting sqref="C127">
    <cfRule type="cellIs" dxfId="14645" priority="2837" stopIfTrue="1" operator="equal">
      <formula>"Towel"</formula>
    </cfRule>
    <cfRule type="cellIs" dxfId="14644" priority="2838" stopIfTrue="1" operator="equal">
      <formula>"Napkin Hs"</formula>
    </cfRule>
  </conditionalFormatting>
  <conditionalFormatting sqref="C127">
    <cfRule type="cellIs" dxfId="14643" priority="2833" stopIfTrue="1" operator="equal">
      <formula>"Towel"</formula>
    </cfRule>
    <cfRule type="cellIs" dxfId="14642" priority="2834" stopIfTrue="1" operator="equal">
      <formula>"Napkin Hs"</formula>
    </cfRule>
  </conditionalFormatting>
  <conditionalFormatting sqref="B127:C127">
    <cfRule type="cellIs" dxfId="14641" priority="2831" stopIfTrue="1" operator="equal">
      <formula>"Towel"</formula>
    </cfRule>
    <cfRule type="cellIs" dxfId="14640" priority="2832" stopIfTrue="1" operator="equal">
      <formula>"Napkin Hs"</formula>
    </cfRule>
  </conditionalFormatting>
  <conditionalFormatting sqref="C127">
    <cfRule type="cellIs" dxfId="14639" priority="2827" stopIfTrue="1" operator="equal">
      <formula>"Towel"</formula>
    </cfRule>
    <cfRule type="cellIs" dxfId="14638" priority="2828" stopIfTrue="1" operator="equal">
      <formula>"Napkin Hs"</formula>
    </cfRule>
  </conditionalFormatting>
  <conditionalFormatting sqref="C127">
    <cfRule type="cellIs" dxfId="14637" priority="2829" stopIfTrue="1" operator="equal">
      <formula>"Towel"</formula>
    </cfRule>
    <cfRule type="cellIs" dxfId="14636" priority="2830" stopIfTrue="1" operator="equal">
      <formula>"Napkin Hs"</formula>
    </cfRule>
  </conditionalFormatting>
  <conditionalFormatting sqref="B127:C127">
    <cfRule type="cellIs" dxfId="14635" priority="2823" stopIfTrue="1" operator="equal">
      <formula>"Towel"</formula>
    </cfRule>
    <cfRule type="cellIs" dxfId="14634" priority="2824" stopIfTrue="1" operator="equal">
      <formula>"Napkin Hs"</formula>
    </cfRule>
  </conditionalFormatting>
  <conditionalFormatting sqref="C127">
    <cfRule type="cellIs" dxfId="14633" priority="2825" stopIfTrue="1" operator="equal">
      <formula>"Towel"</formula>
    </cfRule>
    <cfRule type="cellIs" dxfId="14632" priority="2826" stopIfTrue="1" operator="equal">
      <formula>"Napkin Hs"</formula>
    </cfRule>
  </conditionalFormatting>
  <conditionalFormatting sqref="C127">
    <cfRule type="cellIs" dxfId="14631" priority="2821" stopIfTrue="1" operator="equal">
      <formula>"Towel"</formula>
    </cfRule>
    <cfRule type="cellIs" dxfId="14630" priority="2822" stopIfTrue="1" operator="equal">
      <formula>"Napkin Hs"</formula>
    </cfRule>
  </conditionalFormatting>
  <conditionalFormatting sqref="B127:C127">
    <cfRule type="cellIs" dxfId="14629" priority="2819" stopIfTrue="1" operator="equal">
      <formula>"Towel"</formula>
    </cfRule>
    <cfRule type="cellIs" dxfId="14628" priority="2820" stopIfTrue="1" operator="equal">
      <formula>"Napkin Hs"</formula>
    </cfRule>
  </conditionalFormatting>
  <conditionalFormatting sqref="C127">
    <cfRule type="cellIs" dxfId="14627" priority="2815" stopIfTrue="1" operator="equal">
      <formula>"Towel"</formula>
    </cfRule>
    <cfRule type="cellIs" dxfId="14626" priority="2816" stopIfTrue="1" operator="equal">
      <formula>"Napkin Hs"</formula>
    </cfRule>
  </conditionalFormatting>
  <conditionalFormatting sqref="C127">
    <cfRule type="cellIs" dxfId="14625" priority="2817" stopIfTrue="1" operator="equal">
      <formula>"Towel"</formula>
    </cfRule>
    <cfRule type="cellIs" dxfId="14624" priority="2818" stopIfTrue="1" operator="equal">
      <formula>"Napkin Hs"</formula>
    </cfRule>
  </conditionalFormatting>
  <conditionalFormatting sqref="C128">
    <cfRule type="cellIs" dxfId="14623" priority="2807" stopIfTrue="1" operator="equal">
      <formula>"Towel"</formula>
    </cfRule>
    <cfRule type="cellIs" dxfId="14622" priority="2808" stopIfTrue="1" operator="equal">
      <formula>"Napkin Hs"</formula>
    </cfRule>
  </conditionalFormatting>
  <conditionalFormatting sqref="C128">
    <cfRule type="cellIs" dxfId="14621" priority="2805" stopIfTrue="1" operator="equal">
      <formula>"Towel"</formula>
    </cfRule>
    <cfRule type="cellIs" dxfId="14620" priority="2806" stopIfTrue="1" operator="equal">
      <formula>"Napkin Hs"</formula>
    </cfRule>
  </conditionalFormatting>
  <conditionalFormatting sqref="B128:C128">
    <cfRule type="cellIs" dxfId="14619" priority="2803" stopIfTrue="1" operator="equal">
      <formula>"Towel"</formula>
    </cfRule>
    <cfRule type="cellIs" dxfId="14618" priority="2804" stopIfTrue="1" operator="equal">
      <formula>"Napkin Hs"</formula>
    </cfRule>
  </conditionalFormatting>
  <conditionalFormatting sqref="B128:C128">
    <cfRule type="cellIs" dxfId="14617" priority="2813" stopIfTrue="1" operator="equal">
      <formula>"Towel"</formula>
    </cfRule>
    <cfRule type="cellIs" dxfId="14616" priority="2814" stopIfTrue="1" operator="equal">
      <formula>"Napkin Hs"</formula>
    </cfRule>
  </conditionalFormatting>
  <conditionalFormatting sqref="C128">
    <cfRule type="cellIs" dxfId="14615" priority="2811" stopIfTrue="1" operator="equal">
      <formula>"Towel"</formula>
    </cfRule>
    <cfRule type="cellIs" dxfId="14614" priority="2812" stopIfTrue="1" operator="equal">
      <formula>"Napkin Hs"</formula>
    </cfRule>
  </conditionalFormatting>
  <conditionalFormatting sqref="C128">
    <cfRule type="cellIs" dxfId="14613" priority="2809" stopIfTrue="1" operator="equal">
      <formula>"Towel"</formula>
    </cfRule>
    <cfRule type="cellIs" dxfId="14612" priority="2810" stopIfTrue="1" operator="equal">
      <formula>"Napkin Hs"</formula>
    </cfRule>
  </conditionalFormatting>
  <conditionalFormatting sqref="C128">
    <cfRule type="cellIs" dxfId="14611" priority="2801" stopIfTrue="1" operator="equal">
      <formula>"Towel"</formula>
    </cfRule>
    <cfRule type="cellIs" dxfId="14610" priority="2802" stopIfTrue="1" operator="equal">
      <formula>"Napkin Hs"</formula>
    </cfRule>
  </conditionalFormatting>
  <conditionalFormatting sqref="C128">
    <cfRule type="cellIs" dxfId="14609" priority="2799" stopIfTrue="1" operator="equal">
      <formula>"Towel"</formula>
    </cfRule>
    <cfRule type="cellIs" dxfId="14608" priority="2800" stopIfTrue="1" operator="equal">
      <formula>"Napkin Hs"</formula>
    </cfRule>
  </conditionalFormatting>
  <conditionalFormatting sqref="B128:C128">
    <cfRule type="cellIs" dxfId="14607" priority="2797" stopIfTrue="1" operator="equal">
      <formula>"Towel"</formula>
    </cfRule>
    <cfRule type="cellIs" dxfId="14606" priority="2798" stopIfTrue="1" operator="equal">
      <formula>"Napkin Hs"</formula>
    </cfRule>
  </conditionalFormatting>
  <conditionalFormatting sqref="B128">
    <cfRule type="cellIs" dxfId="14605" priority="2795" stopIfTrue="1" operator="equal">
      <formula>"Towel"</formula>
    </cfRule>
    <cfRule type="cellIs" dxfId="14604" priority="2796" stopIfTrue="1" operator="equal">
      <formula>"Napkin Hs"</formula>
    </cfRule>
  </conditionalFormatting>
  <conditionalFormatting sqref="B128">
    <cfRule type="cellIs" dxfId="14603" priority="2793" stopIfTrue="1" operator="equal">
      <formula>"Towel"</formula>
    </cfRule>
    <cfRule type="cellIs" dxfId="14602" priority="2794" stopIfTrue="1" operator="equal">
      <formula>"Napkin Hs"</formula>
    </cfRule>
  </conditionalFormatting>
  <conditionalFormatting sqref="B128">
    <cfRule type="cellIs" dxfId="14601" priority="2791" stopIfTrue="1" operator="equal">
      <formula>"Towel"</formula>
    </cfRule>
    <cfRule type="cellIs" dxfId="14600" priority="2792" stopIfTrue="1" operator="equal">
      <formula>"Napkin Hs"</formula>
    </cfRule>
  </conditionalFormatting>
  <conditionalFormatting sqref="B128:C128">
    <cfRule type="cellIs" dxfId="14599" priority="2789" stopIfTrue="1" operator="equal">
      <formula>"Towel"</formula>
    </cfRule>
    <cfRule type="cellIs" dxfId="14598" priority="2790" stopIfTrue="1" operator="equal">
      <formula>"Napkin Hs"</formula>
    </cfRule>
  </conditionalFormatting>
  <conditionalFormatting sqref="C128">
    <cfRule type="cellIs" dxfId="14597" priority="2787" stopIfTrue="1" operator="equal">
      <formula>"Towel"</formula>
    </cfRule>
    <cfRule type="cellIs" dxfId="14596" priority="2788" stopIfTrue="1" operator="equal">
      <formula>"Napkin Hs"</formula>
    </cfRule>
  </conditionalFormatting>
  <conditionalFormatting sqref="C128">
    <cfRule type="cellIs" dxfId="14595" priority="2785" stopIfTrue="1" operator="equal">
      <formula>"Towel"</formula>
    </cfRule>
    <cfRule type="cellIs" dxfId="14594" priority="2786" stopIfTrue="1" operator="equal">
      <formula>"Napkin Hs"</formula>
    </cfRule>
  </conditionalFormatting>
  <conditionalFormatting sqref="C128">
    <cfRule type="cellIs" dxfId="14593" priority="2777" stopIfTrue="1" operator="equal">
      <formula>"Towel"</formula>
    </cfRule>
    <cfRule type="cellIs" dxfId="14592" priority="2778" stopIfTrue="1" operator="equal">
      <formula>"Napkin Hs"</formula>
    </cfRule>
  </conditionalFormatting>
  <conditionalFormatting sqref="B128:C128">
    <cfRule type="cellIs" dxfId="14591" priority="2779" stopIfTrue="1" operator="equal">
      <formula>"Towel"</formula>
    </cfRule>
    <cfRule type="cellIs" dxfId="14590" priority="2780" stopIfTrue="1" operator="equal">
      <formula>"Napkin Hs"</formula>
    </cfRule>
  </conditionalFormatting>
  <conditionalFormatting sqref="C128">
    <cfRule type="cellIs" dxfId="14589" priority="2775" stopIfTrue="1" operator="equal">
      <formula>"Towel"</formula>
    </cfRule>
    <cfRule type="cellIs" dxfId="14588" priority="2776" stopIfTrue="1" operator="equal">
      <formula>"Napkin Hs"</formula>
    </cfRule>
  </conditionalFormatting>
  <conditionalFormatting sqref="B128:C128">
    <cfRule type="cellIs" dxfId="14587" priority="2773" stopIfTrue="1" operator="equal">
      <formula>"Towel"</formula>
    </cfRule>
    <cfRule type="cellIs" dxfId="14586" priority="2774" stopIfTrue="1" operator="equal">
      <formula>"Napkin Hs"</formula>
    </cfRule>
  </conditionalFormatting>
  <conditionalFormatting sqref="C128">
    <cfRule type="cellIs" dxfId="14585" priority="2781" stopIfTrue="1" operator="equal">
      <formula>"Towel"</formula>
    </cfRule>
    <cfRule type="cellIs" dxfId="14584" priority="2782" stopIfTrue="1" operator="equal">
      <formula>"Napkin Hs"</formula>
    </cfRule>
  </conditionalFormatting>
  <conditionalFormatting sqref="C128">
    <cfRule type="cellIs" dxfId="14583" priority="2783" stopIfTrue="1" operator="equal">
      <formula>"Towel"</formula>
    </cfRule>
    <cfRule type="cellIs" dxfId="14582" priority="2784" stopIfTrue="1" operator="equal">
      <formula>"Napkin Hs"</formula>
    </cfRule>
  </conditionalFormatting>
  <conditionalFormatting sqref="B128:C128">
    <cfRule type="cellIs" dxfId="14581" priority="2769" stopIfTrue="1" operator="equal">
      <formula>"Towel"</formula>
    </cfRule>
    <cfRule type="cellIs" dxfId="14580" priority="2770" stopIfTrue="1" operator="equal">
      <formula>"Napkin Hs"</formula>
    </cfRule>
  </conditionalFormatting>
  <conditionalFormatting sqref="C128">
    <cfRule type="cellIs" dxfId="14579" priority="2771" stopIfTrue="1" operator="equal">
      <formula>"Towel"</formula>
    </cfRule>
    <cfRule type="cellIs" dxfId="14578" priority="2772" stopIfTrue="1" operator="equal">
      <formula>"Napkin Hs"</formula>
    </cfRule>
  </conditionalFormatting>
  <conditionalFormatting sqref="C128">
    <cfRule type="cellIs" dxfId="14577" priority="2767" stopIfTrue="1" operator="equal">
      <formula>"Towel"</formula>
    </cfRule>
    <cfRule type="cellIs" dxfId="14576" priority="2768" stopIfTrue="1" operator="equal">
      <formula>"Napkin Hs"</formula>
    </cfRule>
  </conditionalFormatting>
  <conditionalFormatting sqref="B128">
    <cfRule type="cellIs" dxfId="14575" priority="2763" stopIfTrue="1" operator="equal">
      <formula>"Towel"</formula>
    </cfRule>
    <cfRule type="cellIs" dxfId="14574" priority="2764" stopIfTrue="1" operator="equal">
      <formula>"Napkin Hs"</formula>
    </cfRule>
  </conditionalFormatting>
  <conditionalFormatting sqref="B128">
    <cfRule type="cellIs" dxfId="14573" priority="2765" stopIfTrue="1" operator="equal">
      <formula>"Towel"</formula>
    </cfRule>
    <cfRule type="cellIs" dxfId="14572" priority="2766" stopIfTrue="1" operator="equal">
      <formula>"Napkin Hs"</formula>
    </cfRule>
  </conditionalFormatting>
  <conditionalFormatting sqref="B128">
    <cfRule type="cellIs" dxfId="14571" priority="2761" stopIfTrue="1" operator="equal">
      <formula>"Towel"</formula>
    </cfRule>
    <cfRule type="cellIs" dxfId="14570" priority="2762" stopIfTrue="1" operator="equal">
      <formula>"Napkin Hs"</formula>
    </cfRule>
  </conditionalFormatting>
  <conditionalFormatting sqref="B128:C128">
    <cfRule type="cellIs" dxfId="14569" priority="2759" stopIfTrue="1" operator="equal">
      <formula>"Towel"</formula>
    </cfRule>
    <cfRule type="cellIs" dxfId="14568" priority="2760" stopIfTrue="1" operator="equal">
      <formula>"Napkin Hs"</formula>
    </cfRule>
  </conditionalFormatting>
  <conditionalFormatting sqref="C128">
    <cfRule type="cellIs" dxfId="14567" priority="2757" stopIfTrue="1" operator="equal">
      <formula>"Towel"</formula>
    </cfRule>
    <cfRule type="cellIs" dxfId="14566" priority="2758" stopIfTrue="1" operator="equal">
      <formula>"Napkin Hs"</formula>
    </cfRule>
  </conditionalFormatting>
  <conditionalFormatting sqref="C128">
    <cfRule type="cellIs" dxfId="14565" priority="2755" stopIfTrue="1" operator="equal">
      <formula>"Towel"</formula>
    </cfRule>
    <cfRule type="cellIs" dxfId="14564" priority="2756" stopIfTrue="1" operator="equal">
      <formula>"Napkin Hs"</formula>
    </cfRule>
  </conditionalFormatting>
  <conditionalFormatting sqref="C128">
    <cfRule type="cellIs" dxfId="14563" priority="2747" stopIfTrue="1" operator="equal">
      <formula>"Towel"</formula>
    </cfRule>
    <cfRule type="cellIs" dxfId="14562" priority="2748" stopIfTrue="1" operator="equal">
      <formula>"Napkin Hs"</formula>
    </cfRule>
  </conditionalFormatting>
  <conditionalFormatting sqref="B128:C128">
    <cfRule type="cellIs" dxfId="14561" priority="2749" stopIfTrue="1" operator="equal">
      <formula>"Towel"</formula>
    </cfRule>
    <cfRule type="cellIs" dxfId="14560" priority="2750" stopIfTrue="1" operator="equal">
      <formula>"Napkin Hs"</formula>
    </cfRule>
  </conditionalFormatting>
  <conditionalFormatting sqref="C128">
    <cfRule type="cellIs" dxfId="14559" priority="2745" stopIfTrue="1" operator="equal">
      <formula>"Towel"</formula>
    </cfRule>
    <cfRule type="cellIs" dxfId="14558" priority="2746" stopIfTrue="1" operator="equal">
      <formula>"Napkin Hs"</formula>
    </cfRule>
  </conditionalFormatting>
  <conditionalFormatting sqref="B128:C128">
    <cfRule type="cellIs" dxfId="14557" priority="2743" stopIfTrue="1" operator="equal">
      <formula>"Towel"</formula>
    </cfRule>
    <cfRule type="cellIs" dxfId="14556" priority="2744" stopIfTrue="1" operator="equal">
      <formula>"Napkin Hs"</formula>
    </cfRule>
  </conditionalFormatting>
  <conditionalFormatting sqref="C128">
    <cfRule type="cellIs" dxfId="14555" priority="2751" stopIfTrue="1" operator="equal">
      <formula>"Towel"</formula>
    </cfRule>
    <cfRule type="cellIs" dxfId="14554" priority="2752" stopIfTrue="1" operator="equal">
      <formula>"Napkin Hs"</formula>
    </cfRule>
  </conditionalFormatting>
  <conditionalFormatting sqref="C128">
    <cfRule type="cellIs" dxfId="14553" priority="2753" stopIfTrue="1" operator="equal">
      <formula>"Towel"</formula>
    </cfRule>
    <cfRule type="cellIs" dxfId="14552" priority="2754" stopIfTrue="1" operator="equal">
      <formula>"Napkin Hs"</formula>
    </cfRule>
  </conditionalFormatting>
  <conditionalFormatting sqref="C128">
    <cfRule type="cellIs" dxfId="14551" priority="2739" stopIfTrue="1" operator="equal">
      <formula>"Towel"</formula>
    </cfRule>
    <cfRule type="cellIs" dxfId="14550" priority="2740" stopIfTrue="1" operator="equal">
      <formula>"Napkin Hs"</formula>
    </cfRule>
  </conditionalFormatting>
  <conditionalFormatting sqref="C128">
    <cfRule type="cellIs" dxfId="14549" priority="2741" stopIfTrue="1" operator="equal">
      <formula>"Towel"</formula>
    </cfRule>
    <cfRule type="cellIs" dxfId="14548" priority="2742" stopIfTrue="1" operator="equal">
      <formula>"Napkin Hs"</formula>
    </cfRule>
  </conditionalFormatting>
  <conditionalFormatting sqref="B128:C128">
    <cfRule type="cellIs" dxfId="14547" priority="2737" stopIfTrue="1" operator="equal">
      <formula>"Towel"</formula>
    </cfRule>
    <cfRule type="cellIs" dxfId="14546" priority="2738" stopIfTrue="1" operator="equal">
      <formula>"Napkin Hs"</formula>
    </cfRule>
  </conditionalFormatting>
  <conditionalFormatting sqref="B128:C128">
    <cfRule type="cellIs" dxfId="14545" priority="2731" stopIfTrue="1" operator="equal">
      <formula>"Towel"</formula>
    </cfRule>
    <cfRule type="cellIs" dxfId="14544" priority="2732" stopIfTrue="1" operator="equal">
      <formula>"Napkin Hs"</formula>
    </cfRule>
  </conditionalFormatting>
  <conditionalFormatting sqref="C128">
    <cfRule type="cellIs" dxfId="14543" priority="2733" stopIfTrue="1" operator="equal">
      <formula>"Towel"</formula>
    </cfRule>
    <cfRule type="cellIs" dxfId="14542" priority="2734" stopIfTrue="1" operator="equal">
      <formula>"Napkin Hs"</formula>
    </cfRule>
  </conditionalFormatting>
  <conditionalFormatting sqref="C128">
    <cfRule type="cellIs" dxfId="14541" priority="2735" stopIfTrue="1" operator="equal">
      <formula>"Towel"</formula>
    </cfRule>
    <cfRule type="cellIs" dxfId="14540" priority="2736" stopIfTrue="1" operator="equal">
      <formula>"Napkin Hs"</formula>
    </cfRule>
  </conditionalFormatting>
  <conditionalFormatting sqref="C128">
    <cfRule type="cellIs" dxfId="14539" priority="2703" stopIfTrue="1" operator="equal">
      <formula>"Towel"</formula>
    </cfRule>
    <cfRule type="cellIs" dxfId="14538" priority="2704" stopIfTrue="1" operator="equal">
      <formula>"Napkin Hs"</formula>
    </cfRule>
  </conditionalFormatting>
  <conditionalFormatting sqref="C128">
    <cfRule type="cellIs" dxfId="14537" priority="2705" stopIfTrue="1" operator="equal">
      <formula>"Towel"</formula>
    </cfRule>
    <cfRule type="cellIs" dxfId="14536" priority="2706" stopIfTrue="1" operator="equal">
      <formula>"Napkin Hs"</formula>
    </cfRule>
  </conditionalFormatting>
  <conditionalFormatting sqref="C128">
    <cfRule type="cellIs" dxfId="14535" priority="2701" stopIfTrue="1" operator="equal">
      <formula>"Towel"</formula>
    </cfRule>
    <cfRule type="cellIs" dxfId="14534" priority="2702" stopIfTrue="1" operator="equal">
      <formula>"Napkin Hs"</formula>
    </cfRule>
  </conditionalFormatting>
  <conditionalFormatting sqref="B128">
    <cfRule type="cellIs" dxfId="14533" priority="2695" stopIfTrue="1" operator="equal">
      <formula>"Towel"</formula>
    </cfRule>
    <cfRule type="cellIs" dxfId="14532" priority="2696" stopIfTrue="1" operator="equal">
      <formula>"Napkin Hs"</formula>
    </cfRule>
  </conditionalFormatting>
  <conditionalFormatting sqref="C128">
    <cfRule type="cellIs" dxfId="14531" priority="2697" stopIfTrue="1" operator="equal">
      <formula>"Towel"</formula>
    </cfRule>
    <cfRule type="cellIs" dxfId="14530" priority="2698" stopIfTrue="1" operator="equal">
      <formula>"Napkin Hs"</formula>
    </cfRule>
  </conditionalFormatting>
  <conditionalFormatting sqref="C128">
    <cfRule type="cellIs" dxfId="14529" priority="2699" stopIfTrue="1" operator="equal">
      <formula>"Towel"</formula>
    </cfRule>
    <cfRule type="cellIs" dxfId="14528" priority="2700" stopIfTrue="1" operator="equal">
      <formula>"Napkin Hs"</formula>
    </cfRule>
  </conditionalFormatting>
  <conditionalFormatting sqref="B128:C128">
    <cfRule type="cellIs" dxfId="14527" priority="2649" stopIfTrue="1" operator="equal">
      <formula>"Towel"</formula>
    </cfRule>
    <cfRule type="cellIs" dxfId="14526" priority="2650" stopIfTrue="1" operator="equal">
      <formula>"Napkin Hs"</formula>
    </cfRule>
  </conditionalFormatting>
  <conditionalFormatting sqref="C128">
    <cfRule type="cellIs" dxfId="14525" priority="2651" stopIfTrue="1" operator="equal">
      <formula>"Towel"</formula>
    </cfRule>
    <cfRule type="cellIs" dxfId="14524" priority="2652" stopIfTrue="1" operator="equal">
      <formula>"Napkin Hs"</formula>
    </cfRule>
  </conditionalFormatting>
  <conditionalFormatting sqref="C128">
    <cfRule type="cellIs" dxfId="14523" priority="2647" stopIfTrue="1" operator="equal">
      <formula>"Towel"</formula>
    </cfRule>
    <cfRule type="cellIs" dxfId="14522" priority="2648" stopIfTrue="1" operator="equal">
      <formula>"Napkin Hs"</formula>
    </cfRule>
  </conditionalFormatting>
  <conditionalFormatting sqref="C128">
    <cfRule type="cellIs" dxfId="14521" priority="2645" stopIfTrue="1" operator="equal">
      <formula>"Towel"</formula>
    </cfRule>
    <cfRule type="cellIs" dxfId="14520" priority="2646" stopIfTrue="1" operator="equal">
      <formula>"Napkin Hs"</formula>
    </cfRule>
  </conditionalFormatting>
  <conditionalFormatting sqref="B128">
    <cfRule type="cellIs" dxfId="14519" priority="2693" stopIfTrue="1" operator="equal">
      <formula>"Towel"</formula>
    </cfRule>
    <cfRule type="cellIs" dxfId="14518" priority="2694" stopIfTrue="1" operator="equal">
      <formula>"Napkin Hs"</formula>
    </cfRule>
  </conditionalFormatting>
  <conditionalFormatting sqref="C128">
    <cfRule type="cellIs" dxfId="14517" priority="2689" stopIfTrue="1" operator="equal">
      <formula>"Towel"</formula>
    </cfRule>
    <cfRule type="cellIs" dxfId="14516" priority="2690" stopIfTrue="1" operator="equal">
      <formula>"Napkin Hs"</formula>
    </cfRule>
  </conditionalFormatting>
  <conditionalFormatting sqref="C128">
    <cfRule type="cellIs" dxfId="14515" priority="2683" stopIfTrue="1" operator="equal">
      <formula>"Towel"</formula>
    </cfRule>
    <cfRule type="cellIs" dxfId="14514" priority="2684" stopIfTrue="1" operator="equal">
      <formula>"Napkin Hs"</formula>
    </cfRule>
  </conditionalFormatting>
  <conditionalFormatting sqref="C128">
    <cfRule type="cellIs" dxfId="14513" priority="2687" stopIfTrue="1" operator="equal">
      <formula>"Towel"</formula>
    </cfRule>
    <cfRule type="cellIs" dxfId="14512" priority="2688" stopIfTrue="1" operator="equal">
      <formula>"Napkin Hs"</formula>
    </cfRule>
  </conditionalFormatting>
  <conditionalFormatting sqref="B128:C128">
    <cfRule type="cellIs" dxfId="14511" priority="2685" stopIfTrue="1" operator="equal">
      <formula>"Towel"</formula>
    </cfRule>
    <cfRule type="cellIs" dxfId="14510" priority="2686" stopIfTrue="1" operator="equal">
      <formula>"Napkin Hs"</formula>
    </cfRule>
  </conditionalFormatting>
  <conditionalFormatting sqref="C128">
    <cfRule type="cellIs" dxfId="14509" priority="2677" stopIfTrue="1" operator="equal">
      <formula>"Towel"</formula>
    </cfRule>
    <cfRule type="cellIs" dxfId="14508" priority="2678" stopIfTrue="1" operator="equal">
      <formula>"Napkin Hs"</formula>
    </cfRule>
  </conditionalFormatting>
  <conditionalFormatting sqref="C128">
    <cfRule type="cellIs" dxfId="14507" priority="2679" stopIfTrue="1" operator="equal">
      <formula>"Towel"</formula>
    </cfRule>
    <cfRule type="cellIs" dxfId="14506" priority="2680" stopIfTrue="1" operator="equal">
      <formula>"Napkin Hs"</formula>
    </cfRule>
  </conditionalFormatting>
  <conditionalFormatting sqref="C128">
    <cfRule type="cellIs" dxfId="14505" priority="2681" stopIfTrue="1" operator="equal">
      <formula>"Towel"</formula>
    </cfRule>
    <cfRule type="cellIs" dxfId="14504" priority="2682" stopIfTrue="1" operator="equal">
      <formula>"Napkin Hs"</formula>
    </cfRule>
  </conditionalFormatting>
  <conditionalFormatting sqref="C128">
    <cfRule type="cellIs" dxfId="14503" priority="2671" stopIfTrue="1" operator="equal">
      <formula>"Towel"</formula>
    </cfRule>
    <cfRule type="cellIs" dxfId="14502" priority="2672" stopIfTrue="1" operator="equal">
      <formula>"Napkin Hs"</formula>
    </cfRule>
  </conditionalFormatting>
  <conditionalFormatting sqref="B128:C128">
    <cfRule type="cellIs" dxfId="14501" priority="2675" stopIfTrue="1" operator="equal">
      <formula>"Towel"</formula>
    </cfRule>
    <cfRule type="cellIs" dxfId="14500" priority="2676" stopIfTrue="1" operator="equal">
      <formula>"Napkin Hs"</formula>
    </cfRule>
  </conditionalFormatting>
  <conditionalFormatting sqref="C128">
    <cfRule type="cellIs" dxfId="14499" priority="2673" stopIfTrue="1" operator="equal">
      <formula>"Towel"</formula>
    </cfRule>
    <cfRule type="cellIs" dxfId="14498" priority="2674" stopIfTrue="1" operator="equal">
      <formula>"Napkin Hs"</formula>
    </cfRule>
  </conditionalFormatting>
  <conditionalFormatting sqref="B128:C128">
    <cfRule type="cellIs" dxfId="14497" priority="2665" stopIfTrue="1" operator="equal">
      <formula>"Towel"</formula>
    </cfRule>
    <cfRule type="cellIs" dxfId="14496" priority="2666" stopIfTrue="1" operator="equal">
      <formula>"Napkin Hs"</formula>
    </cfRule>
  </conditionalFormatting>
  <conditionalFormatting sqref="C128">
    <cfRule type="cellIs" dxfId="14495" priority="2667" stopIfTrue="1" operator="equal">
      <formula>"Towel"</formula>
    </cfRule>
    <cfRule type="cellIs" dxfId="14494" priority="2668" stopIfTrue="1" operator="equal">
      <formula>"Napkin Hs"</formula>
    </cfRule>
  </conditionalFormatting>
  <conditionalFormatting sqref="B128:C128">
    <cfRule type="cellIs" dxfId="14493" priority="2669" stopIfTrue="1" operator="equal">
      <formula>"Towel"</formula>
    </cfRule>
    <cfRule type="cellIs" dxfId="14492" priority="2670" stopIfTrue="1" operator="equal">
      <formula>"Napkin Hs"</formula>
    </cfRule>
  </conditionalFormatting>
  <conditionalFormatting sqref="C128">
    <cfRule type="cellIs" dxfId="14491" priority="2663" stopIfTrue="1" operator="equal">
      <formula>"Towel"</formula>
    </cfRule>
    <cfRule type="cellIs" dxfId="14490" priority="2664" stopIfTrue="1" operator="equal">
      <formula>"Napkin Hs"</formula>
    </cfRule>
  </conditionalFormatting>
  <conditionalFormatting sqref="C128">
    <cfRule type="cellIs" dxfId="14489" priority="2659" stopIfTrue="1" operator="equal">
      <formula>"Towel"</formula>
    </cfRule>
    <cfRule type="cellIs" dxfId="14488" priority="2660" stopIfTrue="1" operator="equal">
      <formula>"Napkin Hs"</formula>
    </cfRule>
  </conditionalFormatting>
  <conditionalFormatting sqref="B128:C128">
    <cfRule type="cellIs" dxfId="14487" priority="2661" stopIfTrue="1" operator="equal">
      <formula>"Towel"</formula>
    </cfRule>
    <cfRule type="cellIs" dxfId="14486" priority="2662" stopIfTrue="1" operator="equal">
      <formula>"Napkin Hs"</formula>
    </cfRule>
  </conditionalFormatting>
  <conditionalFormatting sqref="C128">
    <cfRule type="cellIs" dxfId="14485" priority="2657" stopIfTrue="1" operator="equal">
      <formula>"Towel"</formula>
    </cfRule>
    <cfRule type="cellIs" dxfId="14484" priority="2658" stopIfTrue="1" operator="equal">
      <formula>"Napkin Hs"</formula>
    </cfRule>
  </conditionalFormatting>
  <conditionalFormatting sqref="C128">
    <cfRule type="cellIs" dxfId="14483" priority="2655" stopIfTrue="1" operator="equal">
      <formula>"Towel"</formula>
    </cfRule>
    <cfRule type="cellIs" dxfId="14482" priority="2656" stopIfTrue="1" operator="equal">
      <formula>"Napkin Hs"</formula>
    </cfRule>
  </conditionalFormatting>
  <conditionalFormatting sqref="B128:C128">
    <cfRule type="cellIs" dxfId="14481" priority="2653" stopIfTrue="1" operator="equal">
      <formula>"Towel"</formula>
    </cfRule>
    <cfRule type="cellIs" dxfId="14480" priority="2654" stopIfTrue="1" operator="equal">
      <formula>"Napkin Hs"</formula>
    </cfRule>
  </conditionalFormatting>
  <conditionalFormatting sqref="B128:C128">
    <cfRule type="cellIs" dxfId="14479" priority="2729" stopIfTrue="1" operator="equal">
      <formula>"Towel"</formula>
    </cfRule>
    <cfRule type="cellIs" dxfId="14478" priority="2730" stopIfTrue="1" operator="equal">
      <formula>"Napkin Hs"</formula>
    </cfRule>
  </conditionalFormatting>
  <conditionalFormatting sqref="C128">
    <cfRule type="cellIs" dxfId="14477" priority="2725" stopIfTrue="1" operator="equal">
      <formula>"Towel"</formula>
    </cfRule>
    <cfRule type="cellIs" dxfId="14476" priority="2726" stopIfTrue="1" operator="equal">
      <formula>"Napkin Hs"</formula>
    </cfRule>
  </conditionalFormatting>
  <conditionalFormatting sqref="C128">
    <cfRule type="cellIs" dxfId="14475" priority="2728" stopIfTrue="1" operator="equal">
      <formula>"Napkin Hs"</formula>
    </cfRule>
  </conditionalFormatting>
  <conditionalFormatting sqref="C128">
    <cfRule type="cellIs" dxfId="14474" priority="2727" stopIfTrue="1" operator="equal">
      <formula>"Towel"</formula>
    </cfRule>
  </conditionalFormatting>
  <conditionalFormatting sqref="C128">
    <cfRule type="cellIs" dxfId="14473" priority="2719" stopIfTrue="1" operator="equal">
      <formula>"Towel"</formula>
    </cfRule>
    <cfRule type="cellIs" dxfId="14472" priority="2720" stopIfTrue="1" operator="equal">
      <formula>"Napkin Hs"</formula>
    </cfRule>
  </conditionalFormatting>
  <conditionalFormatting sqref="C128">
    <cfRule type="cellIs" dxfId="14471" priority="2723" stopIfTrue="1" operator="equal">
      <formula>"Towel"</formula>
    </cfRule>
    <cfRule type="cellIs" dxfId="14470" priority="2724" stopIfTrue="1" operator="equal">
      <formula>"Napkin Hs"</formula>
    </cfRule>
  </conditionalFormatting>
  <conditionalFormatting sqref="B128">
    <cfRule type="cellIs" dxfId="14469" priority="2709" stopIfTrue="1" operator="equal">
      <formula>"Towel"</formula>
    </cfRule>
    <cfRule type="cellIs" dxfId="14468" priority="2710" stopIfTrue="1" operator="equal">
      <formula>"Napkin Hs"</formula>
    </cfRule>
  </conditionalFormatting>
  <conditionalFormatting sqref="C128">
    <cfRule type="cellIs" dxfId="14467" priority="2721" stopIfTrue="1" operator="equal">
      <formula>"Towel"</formula>
    </cfRule>
    <cfRule type="cellIs" dxfId="14466" priority="2722" stopIfTrue="1" operator="equal">
      <formula>"Napkin Hs"</formula>
    </cfRule>
  </conditionalFormatting>
  <conditionalFormatting sqref="C128">
    <cfRule type="cellIs" dxfId="14465" priority="2713" stopIfTrue="1" operator="equal">
      <formula>"Towel"</formula>
    </cfRule>
    <cfRule type="cellIs" dxfId="14464" priority="2714" stopIfTrue="1" operator="equal">
      <formula>"Napkin Hs"</formula>
    </cfRule>
  </conditionalFormatting>
  <conditionalFormatting sqref="C128">
    <cfRule type="cellIs" dxfId="14463" priority="2715" stopIfTrue="1" operator="equal">
      <formula>"Towel"</formula>
    </cfRule>
    <cfRule type="cellIs" dxfId="14462" priority="2716" stopIfTrue="1" operator="equal">
      <formula>"Napkin Hs"</formula>
    </cfRule>
  </conditionalFormatting>
  <conditionalFormatting sqref="C128">
    <cfRule type="cellIs" dxfId="14461" priority="2717" stopIfTrue="1" operator="equal">
      <formula>"Towel"</formula>
    </cfRule>
    <cfRule type="cellIs" dxfId="14460" priority="2718" stopIfTrue="1" operator="equal">
      <formula>"Napkin Hs"</formula>
    </cfRule>
  </conditionalFormatting>
  <conditionalFormatting sqref="B128">
    <cfRule type="cellIs" dxfId="14459" priority="2711" stopIfTrue="1" operator="equal">
      <formula>"Towel"</formula>
    </cfRule>
    <cfRule type="cellIs" dxfId="14458" priority="2712" stopIfTrue="1" operator="equal">
      <formula>"Napkin Hs"</formula>
    </cfRule>
  </conditionalFormatting>
  <conditionalFormatting sqref="C128">
    <cfRule type="cellIs" dxfId="14457" priority="2707" stopIfTrue="1" operator="equal">
      <formula>"Towel"</formula>
    </cfRule>
    <cfRule type="cellIs" dxfId="14456" priority="2708" stopIfTrue="1" operator="equal">
      <formula>"Napkin Hs"</formula>
    </cfRule>
  </conditionalFormatting>
  <conditionalFormatting sqref="B128:C128">
    <cfRule type="cellIs" dxfId="14455" priority="2691" stopIfTrue="1" operator="equal">
      <formula>"Towel"</formula>
    </cfRule>
    <cfRule type="cellIs" dxfId="14454" priority="2692" stopIfTrue="1" operator="equal">
      <formula>"Napkin Hs"</formula>
    </cfRule>
  </conditionalFormatting>
  <conditionalFormatting sqref="B128">
    <cfRule type="cellIs" dxfId="14453" priority="2643" stopIfTrue="1" operator="equal">
      <formula>"Towel"</formula>
    </cfRule>
    <cfRule type="cellIs" dxfId="14452" priority="2644" stopIfTrue="1" operator="equal">
      <formula>"Napkin Hs"</formula>
    </cfRule>
  </conditionalFormatting>
  <conditionalFormatting sqref="B128">
    <cfRule type="cellIs" dxfId="14451" priority="2641" stopIfTrue="1" operator="equal">
      <formula>"Towel"</formula>
    </cfRule>
    <cfRule type="cellIs" dxfId="14450" priority="2642" stopIfTrue="1" operator="equal">
      <formula>"Napkin Hs"</formula>
    </cfRule>
  </conditionalFormatting>
  <conditionalFormatting sqref="B128">
    <cfRule type="cellIs" dxfId="14449" priority="2639" stopIfTrue="1" operator="equal">
      <formula>"Towel"</formula>
    </cfRule>
    <cfRule type="cellIs" dxfId="14448" priority="2640" stopIfTrue="1" operator="equal">
      <formula>"Napkin Hs"</formula>
    </cfRule>
  </conditionalFormatting>
  <conditionalFormatting sqref="B128">
    <cfRule type="cellIs" dxfId="14447" priority="2633" stopIfTrue="1" operator="equal">
      <formula>"Towel"</formula>
    </cfRule>
    <cfRule type="cellIs" dxfId="14446" priority="2634" stopIfTrue="1" operator="equal">
      <formula>"Napkin Hs"</formula>
    </cfRule>
  </conditionalFormatting>
  <conditionalFormatting sqref="B128">
    <cfRule type="cellIs" dxfId="14445" priority="2637" stopIfTrue="1" operator="equal">
      <formula>"Towel"</formula>
    </cfRule>
    <cfRule type="cellIs" dxfId="14444" priority="2638" stopIfTrue="1" operator="equal">
      <formula>"Napkin Hs"</formula>
    </cfRule>
  </conditionalFormatting>
  <conditionalFormatting sqref="B128">
    <cfRule type="cellIs" dxfId="14443" priority="2635" stopIfTrue="1" operator="equal">
      <formula>"Towel"</formula>
    </cfRule>
    <cfRule type="cellIs" dxfId="14442" priority="2636" stopIfTrue="1" operator="equal">
      <formula>"Napkin Hs"</formula>
    </cfRule>
  </conditionalFormatting>
  <conditionalFormatting sqref="B128">
    <cfRule type="cellIs" dxfId="14441" priority="2631" stopIfTrue="1" operator="equal">
      <formula>"Towel"</formula>
    </cfRule>
    <cfRule type="cellIs" dxfId="14440" priority="2632" stopIfTrue="1" operator="equal">
      <formula>"Napkin Hs"</formula>
    </cfRule>
  </conditionalFormatting>
  <conditionalFormatting sqref="B128">
    <cfRule type="cellIs" dxfId="14439" priority="2629" stopIfTrue="1" operator="equal">
      <formula>"Towel"</formula>
    </cfRule>
    <cfRule type="cellIs" dxfId="14438" priority="2630" stopIfTrue="1" operator="equal">
      <formula>"Napkin Hs"</formula>
    </cfRule>
  </conditionalFormatting>
  <conditionalFormatting sqref="B128">
    <cfRule type="cellIs" dxfId="14437" priority="2625" stopIfTrue="1" operator="equal">
      <formula>"Towel"</formula>
    </cfRule>
    <cfRule type="cellIs" dxfId="14436" priority="2626" stopIfTrue="1" operator="equal">
      <formula>"Napkin Hs"</formula>
    </cfRule>
  </conditionalFormatting>
  <conditionalFormatting sqref="B128">
    <cfRule type="cellIs" dxfId="14435" priority="2623" stopIfTrue="1" operator="equal">
      <formula>"Towel"</formula>
    </cfRule>
    <cfRule type="cellIs" dxfId="14434" priority="2624" stopIfTrue="1" operator="equal">
      <formula>"Napkin Hs"</formula>
    </cfRule>
  </conditionalFormatting>
  <conditionalFormatting sqref="B128">
    <cfRule type="cellIs" dxfId="14433" priority="2627" stopIfTrue="1" operator="equal">
      <formula>"Towel"</formula>
    </cfRule>
    <cfRule type="cellIs" dxfId="14432" priority="2628" stopIfTrue="1" operator="equal">
      <formula>"Napkin Hs"</formula>
    </cfRule>
  </conditionalFormatting>
  <conditionalFormatting sqref="B128">
    <cfRule type="cellIs" dxfId="14431" priority="2621" stopIfTrue="1" operator="equal">
      <formula>"Towel"</formula>
    </cfRule>
    <cfRule type="cellIs" dxfId="14430" priority="2622" stopIfTrue="1" operator="equal">
      <formula>"Napkin Hs"</formula>
    </cfRule>
  </conditionalFormatting>
  <conditionalFormatting sqref="B128">
    <cfRule type="cellIs" dxfId="14429" priority="2619" stopIfTrue="1" operator="equal">
      <formula>"Towel"</formula>
    </cfRule>
    <cfRule type="cellIs" dxfId="14428" priority="2620" stopIfTrue="1" operator="equal">
      <formula>"Napkin Hs"</formula>
    </cfRule>
  </conditionalFormatting>
  <conditionalFormatting sqref="B128">
    <cfRule type="cellIs" dxfId="14427" priority="2617" stopIfTrue="1" operator="equal">
      <formula>"Towel"</formula>
    </cfRule>
    <cfRule type="cellIs" dxfId="14426" priority="2618" stopIfTrue="1" operator="equal">
      <formula>"Napkin Hs"</formula>
    </cfRule>
  </conditionalFormatting>
  <conditionalFormatting sqref="B128">
    <cfRule type="cellIs" dxfId="14425" priority="2615" stopIfTrue="1" operator="equal">
      <formula>"Towel"</formula>
    </cfRule>
    <cfRule type="cellIs" dxfId="14424" priority="2616" stopIfTrue="1" operator="equal">
      <formula>"Napkin Hs"</formula>
    </cfRule>
  </conditionalFormatting>
  <conditionalFormatting sqref="C128">
    <cfRule type="cellIs" dxfId="14423" priority="2611" stopIfTrue="1" operator="equal">
      <formula>"Towel"</formula>
    </cfRule>
    <cfRule type="cellIs" dxfId="14422" priority="2612" stopIfTrue="1" operator="equal">
      <formula>"Napkin Hs"</formula>
    </cfRule>
  </conditionalFormatting>
  <conditionalFormatting sqref="C128">
    <cfRule type="cellIs" dxfId="14421" priority="2613" stopIfTrue="1" operator="equal">
      <formula>"Towel"</formula>
    </cfRule>
    <cfRule type="cellIs" dxfId="14420" priority="2614" stopIfTrue="1" operator="equal">
      <formula>"Napkin Hs"</formula>
    </cfRule>
  </conditionalFormatting>
  <conditionalFormatting sqref="C128">
    <cfRule type="cellIs" dxfId="14419" priority="2607" stopIfTrue="1" operator="equal">
      <formula>"Towel"</formula>
    </cfRule>
    <cfRule type="cellIs" dxfId="14418" priority="2608" stopIfTrue="1" operator="equal">
      <formula>"Napkin Hs"</formula>
    </cfRule>
  </conditionalFormatting>
  <conditionalFormatting sqref="B128:C128">
    <cfRule type="cellIs" dxfId="14417" priority="2609" stopIfTrue="1" operator="equal">
      <formula>"Towel"</formula>
    </cfRule>
    <cfRule type="cellIs" dxfId="14416" priority="2610" stopIfTrue="1" operator="equal">
      <formula>"Napkin Hs"</formula>
    </cfRule>
  </conditionalFormatting>
  <conditionalFormatting sqref="C128">
    <cfRule type="cellIs" dxfId="14415" priority="2605" stopIfTrue="1" operator="equal">
      <formula>"Towel"</formula>
    </cfRule>
    <cfRule type="cellIs" dxfId="14414" priority="2606" stopIfTrue="1" operator="equal">
      <formula>"Napkin Hs"</formula>
    </cfRule>
  </conditionalFormatting>
  <conditionalFormatting sqref="B128:C128">
    <cfRule type="cellIs" dxfId="14413" priority="2603" stopIfTrue="1" operator="equal">
      <formula>"Towel"</formula>
    </cfRule>
    <cfRule type="cellIs" dxfId="14412" priority="2604" stopIfTrue="1" operator="equal">
      <formula>"Napkin Hs"</formula>
    </cfRule>
  </conditionalFormatting>
  <conditionalFormatting sqref="B128:C128">
    <cfRule type="cellIs" dxfId="14411" priority="2601" stopIfTrue="1" operator="equal">
      <formula>"Towel"</formula>
    </cfRule>
    <cfRule type="cellIs" dxfId="14410" priority="2602" stopIfTrue="1" operator="equal">
      <formula>"Napkin Hs"</formula>
    </cfRule>
  </conditionalFormatting>
  <conditionalFormatting sqref="C128">
    <cfRule type="cellIs" dxfId="14409" priority="2595" stopIfTrue="1" operator="equal">
      <formula>"Towel"</formula>
    </cfRule>
    <cfRule type="cellIs" dxfId="14408" priority="2596" stopIfTrue="1" operator="equal">
      <formula>"Napkin Hs"</formula>
    </cfRule>
  </conditionalFormatting>
  <conditionalFormatting sqref="C128">
    <cfRule type="cellIs" dxfId="14407" priority="2597" stopIfTrue="1" operator="equal">
      <formula>"Towel"</formula>
    </cfRule>
    <cfRule type="cellIs" dxfId="14406" priority="2598" stopIfTrue="1" operator="equal">
      <formula>"Napkin Hs"</formula>
    </cfRule>
  </conditionalFormatting>
  <conditionalFormatting sqref="C128">
    <cfRule type="cellIs" dxfId="14405" priority="2593" stopIfTrue="1" operator="equal">
      <formula>"Towel"</formula>
    </cfRule>
    <cfRule type="cellIs" dxfId="14404" priority="2594" stopIfTrue="1" operator="equal">
      <formula>"Napkin Hs"</formula>
    </cfRule>
  </conditionalFormatting>
  <conditionalFormatting sqref="C128">
    <cfRule type="cellIs" dxfId="14403" priority="2591" stopIfTrue="1" operator="equal">
      <formula>"Towel"</formula>
    </cfRule>
    <cfRule type="cellIs" dxfId="14402" priority="2592" stopIfTrue="1" operator="equal">
      <formula>"Napkin Hs"</formula>
    </cfRule>
  </conditionalFormatting>
  <conditionalFormatting sqref="C128">
    <cfRule type="cellIs" dxfId="14401" priority="2587" stopIfTrue="1" operator="equal">
      <formula>"Towel"</formula>
    </cfRule>
    <cfRule type="cellIs" dxfId="14400" priority="2588" stopIfTrue="1" operator="equal">
      <formula>"Napkin Hs"</formula>
    </cfRule>
  </conditionalFormatting>
  <conditionalFormatting sqref="C128">
    <cfRule type="cellIs" dxfId="14399" priority="2589" stopIfTrue="1" operator="equal">
      <formula>"Towel"</formula>
    </cfRule>
    <cfRule type="cellIs" dxfId="14398" priority="2590" stopIfTrue="1" operator="equal">
      <formula>"Napkin Hs"</formula>
    </cfRule>
  </conditionalFormatting>
  <conditionalFormatting sqref="C128">
    <cfRule type="cellIs" dxfId="14397" priority="2585" stopIfTrue="1" operator="equal">
      <formula>"Towel"</formula>
    </cfRule>
    <cfRule type="cellIs" dxfId="14396" priority="2586" stopIfTrue="1" operator="equal">
      <formula>"Napkin Hs"</formula>
    </cfRule>
  </conditionalFormatting>
  <conditionalFormatting sqref="C128">
    <cfRule type="cellIs" dxfId="14395" priority="2569" stopIfTrue="1" operator="equal">
      <formula>"Towel"</formula>
    </cfRule>
    <cfRule type="cellIs" dxfId="14394" priority="2570" stopIfTrue="1" operator="equal">
      <formula>"Napkin Hs"</formula>
    </cfRule>
  </conditionalFormatting>
  <conditionalFormatting sqref="B128">
    <cfRule type="cellIs" dxfId="14393" priority="2567" stopIfTrue="1" operator="equal">
      <formula>"Towel"</formula>
    </cfRule>
    <cfRule type="cellIs" dxfId="14392" priority="2568" stopIfTrue="1" operator="equal">
      <formula>"Napkin Hs"</formula>
    </cfRule>
  </conditionalFormatting>
  <conditionalFormatting sqref="B128">
    <cfRule type="cellIs" dxfId="14391" priority="2583" stopIfTrue="1" operator="equal">
      <formula>"Towel"</formula>
    </cfRule>
    <cfRule type="cellIs" dxfId="14390" priority="2584" stopIfTrue="1" operator="equal">
      <formula>"Napkin Hs"</formula>
    </cfRule>
  </conditionalFormatting>
  <conditionalFormatting sqref="C128">
    <cfRule type="cellIs" dxfId="14389" priority="2579" stopIfTrue="1" operator="equal">
      <formula>"Towel"</formula>
    </cfRule>
    <cfRule type="cellIs" dxfId="14388" priority="2580" stopIfTrue="1" operator="equal">
      <formula>"Napkin Hs"</formula>
    </cfRule>
  </conditionalFormatting>
  <conditionalFormatting sqref="B128">
    <cfRule type="cellIs" dxfId="14387" priority="2581" stopIfTrue="1" operator="equal">
      <formula>"Towel"</formula>
    </cfRule>
    <cfRule type="cellIs" dxfId="14386" priority="2582" stopIfTrue="1" operator="equal">
      <formula>"Napkin Hs"</formula>
    </cfRule>
  </conditionalFormatting>
  <conditionalFormatting sqref="C128">
    <cfRule type="cellIs" dxfId="14385" priority="2575" stopIfTrue="1" operator="equal">
      <formula>"Towel"</formula>
    </cfRule>
    <cfRule type="cellIs" dxfId="14384" priority="2576" stopIfTrue="1" operator="equal">
      <formula>"Napkin Hs"</formula>
    </cfRule>
  </conditionalFormatting>
  <conditionalFormatting sqref="C128">
    <cfRule type="cellIs" dxfId="14383" priority="2577" stopIfTrue="1" operator="equal">
      <formula>"Towel"</formula>
    </cfRule>
    <cfRule type="cellIs" dxfId="14382" priority="2578" stopIfTrue="1" operator="equal">
      <formula>"Napkin Hs"</formula>
    </cfRule>
  </conditionalFormatting>
  <conditionalFormatting sqref="C128">
    <cfRule type="cellIs" dxfId="14381" priority="2573" stopIfTrue="1" operator="equal">
      <formula>"Towel"</formula>
    </cfRule>
    <cfRule type="cellIs" dxfId="14380" priority="2574" stopIfTrue="1" operator="equal">
      <formula>"Napkin Hs"</formula>
    </cfRule>
  </conditionalFormatting>
  <conditionalFormatting sqref="C128">
    <cfRule type="cellIs" dxfId="14379" priority="2571" stopIfTrue="1" operator="equal">
      <formula>"Towel"</formula>
    </cfRule>
    <cfRule type="cellIs" dxfId="14378" priority="2572" stopIfTrue="1" operator="equal">
      <formula>"Napkin Hs"</formula>
    </cfRule>
  </conditionalFormatting>
  <conditionalFormatting sqref="B128">
    <cfRule type="cellIs" dxfId="14377" priority="2565" stopIfTrue="1" operator="equal">
      <formula>"Towel"</formula>
    </cfRule>
    <cfRule type="cellIs" dxfId="14376" priority="2566" stopIfTrue="1" operator="equal">
      <formula>"Napkin Hs"</formula>
    </cfRule>
  </conditionalFormatting>
  <conditionalFormatting sqref="B128:C128">
    <cfRule type="cellIs" dxfId="14375" priority="2563" stopIfTrue="1" operator="equal">
      <formula>"Towel"</formula>
    </cfRule>
    <cfRule type="cellIs" dxfId="14374" priority="2564" stopIfTrue="1" operator="equal">
      <formula>"Napkin Hs"</formula>
    </cfRule>
  </conditionalFormatting>
  <conditionalFormatting sqref="C128">
    <cfRule type="cellIs" dxfId="14373" priority="2561" stopIfTrue="1" operator="equal">
      <formula>"Towel"</formula>
    </cfRule>
    <cfRule type="cellIs" dxfId="14372" priority="2562" stopIfTrue="1" operator="equal">
      <formula>"Napkin Hs"</formula>
    </cfRule>
  </conditionalFormatting>
  <conditionalFormatting sqref="C128">
    <cfRule type="cellIs" dxfId="14371" priority="2559" stopIfTrue="1" operator="equal">
      <formula>"Towel"</formula>
    </cfRule>
    <cfRule type="cellIs" dxfId="14370" priority="2560" stopIfTrue="1" operator="equal">
      <formula>"Napkin Hs"</formula>
    </cfRule>
  </conditionalFormatting>
  <conditionalFormatting sqref="C128">
    <cfRule type="cellIs" dxfId="14369" priority="2549" stopIfTrue="1" operator="equal">
      <formula>"Towel"</formula>
    </cfRule>
    <cfRule type="cellIs" dxfId="14368" priority="2550" stopIfTrue="1" operator="equal">
      <formula>"Napkin Hs"</formula>
    </cfRule>
  </conditionalFormatting>
  <conditionalFormatting sqref="C128">
    <cfRule type="cellIs" dxfId="14367" priority="2551" stopIfTrue="1" operator="equal">
      <formula>"Towel"</formula>
    </cfRule>
    <cfRule type="cellIs" dxfId="14366" priority="2552" stopIfTrue="1" operator="equal">
      <formula>"Napkin Hs"</formula>
    </cfRule>
  </conditionalFormatting>
  <conditionalFormatting sqref="B128:C128">
    <cfRule type="cellIs" dxfId="14365" priority="2547" stopIfTrue="1" operator="equal">
      <formula>"Towel"</formula>
    </cfRule>
    <cfRule type="cellIs" dxfId="14364" priority="2548" stopIfTrue="1" operator="equal">
      <formula>"Napkin Hs"</formula>
    </cfRule>
  </conditionalFormatting>
  <conditionalFormatting sqref="C128">
    <cfRule type="cellIs" dxfId="14363" priority="2545" stopIfTrue="1" operator="equal">
      <formula>"Towel"</formula>
    </cfRule>
    <cfRule type="cellIs" dxfId="14362" priority="2546" stopIfTrue="1" operator="equal">
      <formula>"Napkin Hs"</formula>
    </cfRule>
  </conditionalFormatting>
  <conditionalFormatting sqref="B128:C128">
    <cfRule type="cellIs" dxfId="14361" priority="2541" stopIfTrue="1" operator="equal">
      <formula>"Towel"</formula>
    </cfRule>
    <cfRule type="cellIs" dxfId="14360" priority="2542" stopIfTrue="1" operator="equal">
      <formula>"Napkin Hs"</formula>
    </cfRule>
  </conditionalFormatting>
  <conditionalFormatting sqref="C128">
    <cfRule type="cellIs" dxfId="14359" priority="2543" stopIfTrue="1" operator="equal">
      <formula>"Towel"</formula>
    </cfRule>
    <cfRule type="cellIs" dxfId="14358" priority="2544" stopIfTrue="1" operator="equal">
      <formula>"Napkin Hs"</formula>
    </cfRule>
  </conditionalFormatting>
  <conditionalFormatting sqref="C128">
    <cfRule type="cellIs" dxfId="14357" priority="2600" stopIfTrue="1" operator="equal">
      <formula>"Napkin Hs"</formula>
    </cfRule>
  </conditionalFormatting>
  <conditionalFormatting sqref="C128">
    <cfRule type="cellIs" dxfId="14356" priority="2599" stopIfTrue="1" operator="equal">
      <formula>"Towel"</formula>
    </cfRule>
  </conditionalFormatting>
  <conditionalFormatting sqref="B128:C128">
    <cfRule type="cellIs" dxfId="14355" priority="2557" stopIfTrue="1" operator="equal">
      <formula>"Towel"</formula>
    </cfRule>
    <cfRule type="cellIs" dxfId="14354" priority="2558" stopIfTrue="1" operator="equal">
      <formula>"Napkin Hs"</formula>
    </cfRule>
  </conditionalFormatting>
  <conditionalFormatting sqref="C128">
    <cfRule type="cellIs" dxfId="14353" priority="2555" stopIfTrue="1" operator="equal">
      <formula>"Towel"</formula>
    </cfRule>
    <cfRule type="cellIs" dxfId="14352" priority="2556" stopIfTrue="1" operator="equal">
      <formula>"Napkin Hs"</formula>
    </cfRule>
  </conditionalFormatting>
  <conditionalFormatting sqref="C128">
    <cfRule type="cellIs" dxfId="14351" priority="2553" stopIfTrue="1" operator="equal">
      <formula>"Towel"</formula>
    </cfRule>
    <cfRule type="cellIs" dxfId="14350" priority="2554" stopIfTrue="1" operator="equal">
      <formula>"Napkin Hs"</formula>
    </cfRule>
  </conditionalFormatting>
  <conditionalFormatting sqref="B128:C128">
    <cfRule type="cellIs" dxfId="14349" priority="2537" stopIfTrue="1" operator="equal">
      <formula>"Towel"</formula>
    </cfRule>
    <cfRule type="cellIs" dxfId="14348" priority="2538" stopIfTrue="1" operator="equal">
      <formula>"Napkin Hs"</formula>
    </cfRule>
  </conditionalFormatting>
  <conditionalFormatting sqref="C128">
    <cfRule type="cellIs" dxfId="14347" priority="2539" stopIfTrue="1" operator="equal">
      <formula>"Towel"</formula>
    </cfRule>
    <cfRule type="cellIs" dxfId="14346" priority="2540" stopIfTrue="1" operator="equal">
      <formula>"Napkin Hs"</formula>
    </cfRule>
  </conditionalFormatting>
  <conditionalFormatting sqref="C128">
    <cfRule type="cellIs" dxfId="14345" priority="2535" stopIfTrue="1" operator="equal">
      <formula>"Towel"</formula>
    </cfRule>
    <cfRule type="cellIs" dxfId="14344" priority="2536" stopIfTrue="1" operator="equal">
      <formula>"Napkin Hs"</formula>
    </cfRule>
  </conditionalFormatting>
  <conditionalFormatting sqref="B128:C128">
    <cfRule type="cellIs" dxfId="14343" priority="2533" stopIfTrue="1" operator="equal">
      <formula>"Towel"</formula>
    </cfRule>
    <cfRule type="cellIs" dxfId="14342" priority="2534" stopIfTrue="1" operator="equal">
      <formula>"Napkin Hs"</formula>
    </cfRule>
  </conditionalFormatting>
  <conditionalFormatting sqref="C128">
    <cfRule type="cellIs" dxfId="14341" priority="2529" stopIfTrue="1" operator="equal">
      <formula>"Towel"</formula>
    </cfRule>
    <cfRule type="cellIs" dxfId="14340" priority="2530" stopIfTrue="1" operator="equal">
      <formula>"Napkin Hs"</formula>
    </cfRule>
  </conditionalFormatting>
  <conditionalFormatting sqref="C128">
    <cfRule type="cellIs" dxfId="14339" priority="2531" stopIfTrue="1" operator="equal">
      <formula>"Towel"</formula>
    </cfRule>
    <cfRule type="cellIs" dxfId="14338" priority="2532" stopIfTrue="1" operator="equal">
      <formula>"Napkin Hs"</formula>
    </cfRule>
  </conditionalFormatting>
  <conditionalFormatting sqref="B128:C128">
    <cfRule type="cellIs" dxfId="14337" priority="2525" stopIfTrue="1" operator="equal">
      <formula>"Towel"</formula>
    </cfRule>
    <cfRule type="cellIs" dxfId="14336" priority="2526" stopIfTrue="1" operator="equal">
      <formula>"Napkin Hs"</formula>
    </cfRule>
  </conditionalFormatting>
  <conditionalFormatting sqref="C128">
    <cfRule type="cellIs" dxfId="14335" priority="2527" stopIfTrue="1" operator="equal">
      <formula>"Towel"</formula>
    </cfRule>
    <cfRule type="cellIs" dxfId="14334" priority="2528" stopIfTrue="1" operator="equal">
      <formula>"Napkin Hs"</formula>
    </cfRule>
  </conditionalFormatting>
  <conditionalFormatting sqref="C128">
    <cfRule type="cellIs" dxfId="14333" priority="2523" stopIfTrue="1" operator="equal">
      <formula>"Towel"</formula>
    </cfRule>
    <cfRule type="cellIs" dxfId="14332" priority="2524" stopIfTrue="1" operator="equal">
      <formula>"Napkin Hs"</formula>
    </cfRule>
  </conditionalFormatting>
  <conditionalFormatting sqref="B128:C128">
    <cfRule type="cellIs" dxfId="14331" priority="2521" stopIfTrue="1" operator="equal">
      <formula>"Towel"</formula>
    </cfRule>
    <cfRule type="cellIs" dxfId="14330" priority="2522" stopIfTrue="1" operator="equal">
      <formula>"Napkin Hs"</formula>
    </cfRule>
  </conditionalFormatting>
  <conditionalFormatting sqref="C128">
    <cfRule type="cellIs" dxfId="14329" priority="2517" stopIfTrue="1" operator="equal">
      <formula>"Towel"</formula>
    </cfRule>
    <cfRule type="cellIs" dxfId="14328" priority="2518" stopIfTrue="1" operator="equal">
      <formula>"Napkin Hs"</formula>
    </cfRule>
  </conditionalFormatting>
  <conditionalFormatting sqref="C128">
    <cfRule type="cellIs" dxfId="14327" priority="2519" stopIfTrue="1" operator="equal">
      <formula>"Towel"</formula>
    </cfRule>
    <cfRule type="cellIs" dxfId="14326" priority="2520" stopIfTrue="1" operator="equal">
      <formula>"Napkin Hs"</formula>
    </cfRule>
  </conditionalFormatting>
  <conditionalFormatting sqref="B134:C134">
    <cfRule type="cellIs" dxfId="14325" priority="2515" stopIfTrue="1" operator="equal">
      <formula>"Towel"</formula>
    </cfRule>
    <cfRule type="cellIs" dxfId="14324" priority="2516" stopIfTrue="1" operator="equal">
      <formula>"Napkin Hs"</formula>
    </cfRule>
  </conditionalFormatting>
  <conditionalFormatting sqref="C134">
    <cfRule type="cellIs" dxfId="14323" priority="2511" stopIfTrue="1" operator="equal">
      <formula>"Towel"</formula>
    </cfRule>
    <cfRule type="cellIs" dxfId="14322" priority="2512" stopIfTrue="1" operator="equal">
      <formula>"Napkin Hs"</formula>
    </cfRule>
  </conditionalFormatting>
  <conditionalFormatting sqref="C134">
    <cfRule type="cellIs" dxfId="14321" priority="2513" stopIfTrue="1" operator="equal">
      <formula>"Towel"</formula>
    </cfRule>
    <cfRule type="cellIs" dxfId="14320" priority="2514" stopIfTrue="1" operator="equal">
      <formula>"Napkin Hs"</formula>
    </cfRule>
  </conditionalFormatting>
  <conditionalFormatting sqref="C133">
    <cfRule type="cellIs" dxfId="14319" priority="2503" stopIfTrue="1" operator="equal">
      <formula>"Towel"</formula>
    </cfRule>
    <cfRule type="cellIs" dxfId="14318" priority="2504" stopIfTrue="1" operator="equal">
      <formula>"Napkin Hs"</formula>
    </cfRule>
  </conditionalFormatting>
  <conditionalFormatting sqref="C133">
    <cfRule type="cellIs" dxfId="14317" priority="2501" stopIfTrue="1" operator="equal">
      <formula>"Towel"</formula>
    </cfRule>
    <cfRule type="cellIs" dxfId="14316" priority="2502" stopIfTrue="1" operator="equal">
      <formula>"Napkin Hs"</formula>
    </cfRule>
  </conditionalFormatting>
  <conditionalFormatting sqref="B133:C133">
    <cfRule type="cellIs" dxfId="14315" priority="2499" stopIfTrue="1" operator="equal">
      <formula>"Towel"</formula>
    </cfRule>
    <cfRule type="cellIs" dxfId="14314" priority="2500" stopIfTrue="1" operator="equal">
      <formula>"Napkin Hs"</formula>
    </cfRule>
  </conditionalFormatting>
  <conditionalFormatting sqref="B133:C133">
    <cfRule type="cellIs" dxfId="14313" priority="2509" stopIfTrue="1" operator="equal">
      <formula>"Towel"</formula>
    </cfRule>
    <cfRule type="cellIs" dxfId="14312" priority="2510" stopIfTrue="1" operator="equal">
      <formula>"Napkin Hs"</formula>
    </cfRule>
  </conditionalFormatting>
  <conditionalFormatting sqref="C133">
    <cfRule type="cellIs" dxfId="14311" priority="2507" stopIfTrue="1" operator="equal">
      <formula>"Towel"</formula>
    </cfRule>
    <cfRule type="cellIs" dxfId="14310" priority="2508" stopIfTrue="1" operator="equal">
      <formula>"Napkin Hs"</formula>
    </cfRule>
  </conditionalFormatting>
  <conditionalFormatting sqref="C133">
    <cfRule type="cellIs" dxfId="14309" priority="2505" stopIfTrue="1" operator="equal">
      <formula>"Towel"</formula>
    </cfRule>
    <cfRule type="cellIs" dxfId="14308" priority="2506" stopIfTrue="1" operator="equal">
      <formula>"Napkin Hs"</formula>
    </cfRule>
  </conditionalFormatting>
  <conditionalFormatting sqref="C133">
    <cfRule type="cellIs" dxfId="14307" priority="2497" stopIfTrue="1" operator="equal">
      <formula>"Towel"</formula>
    </cfRule>
    <cfRule type="cellIs" dxfId="14306" priority="2498" stopIfTrue="1" operator="equal">
      <formula>"Napkin Hs"</formula>
    </cfRule>
  </conditionalFormatting>
  <conditionalFormatting sqref="C133">
    <cfRule type="cellIs" dxfId="14305" priority="2495" stopIfTrue="1" operator="equal">
      <formula>"Towel"</formula>
    </cfRule>
    <cfRule type="cellIs" dxfId="14304" priority="2496" stopIfTrue="1" operator="equal">
      <formula>"Napkin Hs"</formula>
    </cfRule>
  </conditionalFormatting>
  <conditionalFormatting sqref="B133:C133">
    <cfRule type="cellIs" dxfId="14303" priority="2493" stopIfTrue="1" operator="equal">
      <formula>"Towel"</formula>
    </cfRule>
    <cfRule type="cellIs" dxfId="14302" priority="2494" stopIfTrue="1" operator="equal">
      <formula>"Napkin Hs"</formula>
    </cfRule>
  </conditionalFormatting>
  <conditionalFormatting sqref="B133">
    <cfRule type="cellIs" dxfId="14301" priority="2491" stopIfTrue="1" operator="equal">
      <formula>"Towel"</formula>
    </cfRule>
    <cfRule type="cellIs" dxfId="14300" priority="2492" stopIfTrue="1" operator="equal">
      <formula>"Napkin Hs"</formula>
    </cfRule>
  </conditionalFormatting>
  <conditionalFormatting sqref="B133">
    <cfRule type="cellIs" dxfId="14299" priority="2489" stopIfTrue="1" operator="equal">
      <formula>"Towel"</formula>
    </cfRule>
    <cfRule type="cellIs" dxfId="14298" priority="2490" stopIfTrue="1" operator="equal">
      <formula>"Napkin Hs"</formula>
    </cfRule>
  </conditionalFormatting>
  <conditionalFormatting sqref="B133">
    <cfRule type="cellIs" dxfId="14297" priority="2487" stopIfTrue="1" operator="equal">
      <formula>"Towel"</formula>
    </cfRule>
    <cfRule type="cellIs" dxfId="14296" priority="2488" stopIfTrue="1" operator="equal">
      <formula>"Napkin Hs"</formula>
    </cfRule>
  </conditionalFormatting>
  <conditionalFormatting sqref="B133:C133">
    <cfRule type="cellIs" dxfId="14295" priority="2485" stopIfTrue="1" operator="equal">
      <formula>"Towel"</formula>
    </cfRule>
    <cfRule type="cellIs" dxfId="14294" priority="2486" stopIfTrue="1" operator="equal">
      <formula>"Napkin Hs"</formula>
    </cfRule>
  </conditionalFormatting>
  <conditionalFormatting sqref="C133">
    <cfRule type="cellIs" dxfId="14293" priority="2483" stopIfTrue="1" operator="equal">
      <formula>"Towel"</formula>
    </cfRule>
    <cfRule type="cellIs" dxfId="14292" priority="2484" stopIfTrue="1" operator="equal">
      <formula>"Napkin Hs"</formula>
    </cfRule>
  </conditionalFormatting>
  <conditionalFormatting sqref="C133">
    <cfRule type="cellIs" dxfId="14291" priority="2481" stopIfTrue="1" operator="equal">
      <formula>"Towel"</formula>
    </cfRule>
    <cfRule type="cellIs" dxfId="14290" priority="2482" stopIfTrue="1" operator="equal">
      <formula>"Napkin Hs"</formula>
    </cfRule>
  </conditionalFormatting>
  <conditionalFormatting sqref="C133">
    <cfRule type="cellIs" dxfId="14289" priority="2473" stopIfTrue="1" operator="equal">
      <formula>"Towel"</formula>
    </cfRule>
    <cfRule type="cellIs" dxfId="14288" priority="2474" stopIfTrue="1" operator="equal">
      <formula>"Napkin Hs"</formula>
    </cfRule>
  </conditionalFormatting>
  <conditionalFormatting sqref="B133:C133">
    <cfRule type="cellIs" dxfId="14287" priority="2475" stopIfTrue="1" operator="equal">
      <formula>"Towel"</formula>
    </cfRule>
    <cfRule type="cellIs" dxfId="14286" priority="2476" stopIfTrue="1" operator="equal">
      <formula>"Napkin Hs"</formula>
    </cfRule>
  </conditionalFormatting>
  <conditionalFormatting sqref="C133">
    <cfRule type="cellIs" dxfId="14285" priority="2471" stopIfTrue="1" operator="equal">
      <formula>"Towel"</formula>
    </cfRule>
    <cfRule type="cellIs" dxfId="14284" priority="2472" stopIfTrue="1" operator="equal">
      <formula>"Napkin Hs"</formula>
    </cfRule>
  </conditionalFormatting>
  <conditionalFormatting sqref="B133:C133">
    <cfRule type="cellIs" dxfId="14283" priority="2469" stopIfTrue="1" operator="equal">
      <formula>"Towel"</formula>
    </cfRule>
    <cfRule type="cellIs" dxfId="14282" priority="2470" stopIfTrue="1" operator="equal">
      <formula>"Napkin Hs"</formula>
    </cfRule>
  </conditionalFormatting>
  <conditionalFormatting sqref="C133">
    <cfRule type="cellIs" dxfId="14281" priority="2477" stopIfTrue="1" operator="equal">
      <formula>"Towel"</formula>
    </cfRule>
    <cfRule type="cellIs" dxfId="14280" priority="2478" stopIfTrue="1" operator="equal">
      <formula>"Napkin Hs"</formula>
    </cfRule>
  </conditionalFormatting>
  <conditionalFormatting sqref="C133">
    <cfRule type="cellIs" dxfId="14279" priority="2479" stopIfTrue="1" operator="equal">
      <formula>"Towel"</formula>
    </cfRule>
    <cfRule type="cellIs" dxfId="14278" priority="2480" stopIfTrue="1" operator="equal">
      <formula>"Napkin Hs"</formula>
    </cfRule>
  </conditionalFormatting>
  <conditionalFormatting sqref="B133:C133">
    <cfRule type="cellIs" dxfId="14277" priority="2465" stopIfTrue="1" operator="equal">
      <formula>"Towel"</formula>
    </cfRule>
    <cfRule type="cellIs" dxfId="14276" priority="2466" stopIfTrue="1" operator="equal">
      <formula>"Napkin Hs"</formula>
    </cfRule>
  </conditionalFormatting>
  <conditionalFormatting sqref="C133">
    <cfRule type="cellIs" dxfId="14275" priority="2467" stopIfTrue="1" operator="equal">
      <formula>"Towel"</formula>
    </cfRule>
    <cfRule type="cellIs" dxfId="14274" priority="2468" stopIfTrue="1" operator="equal">
      <formula>"Napkin Hs"</formula>
    </cfRule>
  </conditionalFormatting>
  <conditionalFormatting sqref="C133">
    <cfRule type="cellIs" dxfId="14273" priority="2463" stopIfTrue="1" operator="equal">
      <formula>"Towel"</formula>
    </cfRule>
    <cfRule type="cellIs" dxfId="14272" priority="2464" stopIfTrue="1" operator="equal">
      <formula>"Napkin Hs"</formula>
    </cfRule>
  </conditionalFormatting>
  <conditionalFormatting sqref="B133">
    <cfRule type="cellIs" dxfId="14271" priority="2459" stopIfTrue="1" operator="equal">
      <formula>"Towel"</formula>
    </cfRule>
    <cfRule type="cellIs" dxfId="14270" priority="2460" stopIfTrue="1" operator="equal">
      <formula>"Napkin Hs"</formula>
    </cfRule>
  </conditionalFormatting>
  <conditionalFormatting sqref="B133">
    <cfRule type="cellIs" dxfId="14269" priority="2461" stopIfTrue="1" operator="equal">
      <formula>"Towel"</formula>
    </cfRule>
    <cfRule type="cellIs" dxfId="14268" priority="2462" stopIfTrue="1" operator="equal">
      <formula>"Napkin Hs"</formula>
    </cfRule>
  </conditionalFormatting>
  <conditionalFormatting sqref="B133">
    <cfRule type="cellIs" dxfId="14267" priority="2457" stopIfTrue="1" operator="equal">
      <formula>"Towel"</formula>
    </cfRule>
    <cfRule type="cellIs" dxfId="14266" priority="2458" stopIfTrue="1" operator="equal">
      <formula>"Napkin Hs"</formula>
    </cfRule>
  </conditionalFormatting>
  <conditionalFormatting sqref="B133:C133">
    <cfRule type="cellIs" dxfId="14265" priority="2455" stopIfTrue="1" operator="equal">
      <formula>"Towel"</formula>
    </cfRule>
    <cfRule type="cellIs" dxfId="14264" priority="2456" stopIfTrue="1" operator="equal">
      <formula>"Napkin Hs"</formula>
    </cfRule>
  </conditionalFormatting>
  <conditionalFormatting sqref="C133">
    <cfRule type="cellIs" dxfId="14263" priority="2453" stopIfTrue="1" operator="equal">
      <formula>"Towel"</formula>
    </cfRule>
    <cfRule type="cellIs" dxfId="14262" priority="2454" stopIfTrue="1" operator="equal">
      <formula>"Napkin Hs"</formula>
    </cfRule>
  </conditionalFormatting>
  <conditionalFormatting sqref="C133">
    <cfRule type="cellIs" dxfId="14261" priority="2451" stopIfTrue="1" operator="equal">
      <formula>"Towel"</formula>
    </cfRule>
    <cfRule type="cellIs" dxfId="14260" priority="2452" stopIfTrue="1" operator="equal">
      <formula>"Napkin Hs"</formula>
    </cfRule>
  </conditionalFormatting>
  <conditionalFormatting sqref="C133">
    <cfRule type="cellIs" dxfId="14259" priority="2443" stopIfTrue="1" operator="equal">
      <formula>"Towel"</formula>
    </cfRule>
    <cfRule type="cellIs" dxfId="14258" priority="2444" stopIfTrue="1" operator="equal">
      <formula>"Napkin Hs"</formula>
    </cfRule>
  </conditionalFormatting>
  <conditionalFormatting sqref="B133:C133">
    <cfRule type="cellIs" dxfId="14257" priority="2445" stopIfTrue="1" operator="equal">
      <formula>"Towel"</formula>
    </cfRule>
    <cfRule type="cellIs" dxfId="14256" priority="2446" stopIfTrue="1" operator="equal">
      <formula>"Napkin Hs"</formula>
    </cfRule>
  </conditionalFormatting>
  <conditionalFormatting sqref="C133">
    <cfRule type="cellIs" dxfId="14255" priority="2441" stopIfTrue="1" operator="equal">
      <formula>"Towel"</formula>
    </cfRule>
    <cfRule type="cellIs" dxfId="14254" priority="2442" stopIfTrue="1" operator="equal">
      <formula>"Napkin Hs"</formula>
    </cfRule>
  </conditionalFormatting>
  <conditionalFormatting sqref="B133:C133">
    <cfRule type="cellIs" dxfId="14253" priority="2439" stopIfTrue="1" operator="equal">
      <formula>"Towel"</formula>
    </cfRule>
    <cfRule type="cellIs" dxfId="14252" priority="2440" stopIfTrue="1" operator="equal">
      <formula>"Napkin Hs"</formula>
    </cfRule>
  </conditionalFormatting>
  <conditionalFormatting sqref="C133">
    <cfRule type="cellIs" dxfId="14251" priority="2447" stopIfTrue="1" operator="equal">
      <formula>"Towel"</formula>
    </cfRule>
    <cfRule type="cellIs" dxfId="14250" priority="2448" stopIfTrue="1" operator="equal">
      <formula>"Napkin Hs"</formula>
    </cfRule>
  </conditionalFormatting>
  <conditionalFormatting sqref="C133">
    <cfRule type="cellIs" dxfId="14249" priority="2449" stopIfTrue="1" operator="equal">
      <formula>"Towel"</formula>
    </cfRule>
    <cfRule type="cellIs" dxfId="14248" priority="2450" stopIfTrue="1" operator="equal">
      <formula>"Napkin Hs"</formula>
    </cfRule>
  </conditionalFormatting>
  <conditionalFormatting sqref="C133">
    <cfRule type="cellIs" dxfId="14247" priority="2435" stopIfTrue="1" operator="equal">
      <formula>"Towel"</formula>
    </cfRule>
    <cfRule type="cellIs" dxfId="14246" priority="2436" stopIfTrue="1" operator="equal">
      <formula>"Napkin Hs"</formula>
    </cfRule>
  </conditionalFormatting>
  <conditionalFormatting sqref="C133">
    <cfRule type="cellIs" dxfId="14245" priority="2437" stopIfTrue="1" operator="equal">
      <formula>"Towel"</formula>
    </cfRule>
    <cfRule type="cellIs" dxfId="14244" priority="2438" stopIfTrue="1" operator="equal">
      <formula>"Napkin Hs"</formula>
    </cfRule>
  </conditionalFormatting>
  <conditionalFormatting sqref="B133:C133">
    <cfRule type="cellIs" dxfId="14243" priority="2433" stopIfTrue="1" operator="equal">
      <formula>"Towel"</formula>
    </cfRule>
    <cfRule type="cellIs" dxfId="14242" priority="2434" stopIfTrue="1" operator="equal">
      <formula>"Napkin Hs"</formula>
    </cfRule>
  </conditionalFormatting>
  <conditionalFormatting sqref="B133:C133">
    <cfRule type="cellIs" dxfId="14241" priority="2427" stopIfTrue="1" operator="equal">
      <formula>"Towel"</formula>
    </cfRule>
    <cfRule type="cellIs" dxfId="14240" priority="2428" stopIfTrue="1" operator="equal">
      <formula>"Napkin Hs"</formula>
    </cfRule>
  </conditionalFormatting>
  <conditionalFormatting sqref="C133">
    <cfRule type="cellIs" dxfId="14239" priority="2429" stopIfTrue="1" operator="equal">
      <formula>"Towel"</formula>
    </cfRule>
    <cfRule type="cellIs" dxfId="14238" priority="2430" stopIfTrue="1" operator="equal">
      <formula>"Napkin Hs"</formula>
    </cfRule>
  </conditionalFormatting>
  <conditionalFormatting sqref="C133">
    <cfRule type="cellIs" dxfId="14237" priority="2431" stopIfTrue="1" operator="equal">
      <formula>"Towel"</formula>
    </cfRule>
    <cfRule type="cellIs" dxfId="14236" priority="2432" stopIfTrue="1" operator="equal">
      <formula>"Napkin Hs"</formula>
    </cfRule>
  </conditionalFormatting>
  <conditionalFormatting sqref="C133">
    <cfRule type="cellIs" dxfId="14235" priority="2399" stopIfTrue="1" operator="equal">
      <formula>"Towel"</formula>
    </cfRule>
    <cfRule type="cellIs" dxfId="14234" priority="2400" stopIfTrue="1" operator="equal">
      <formula>"Napkin Hs"</formula>
    </cfRule>
  </conditionalFormatting>
  <conditionalFormatting sqref="C133">
    <cfRule type="cellIs" dxfId="14233" priority="2401" stopIfTrue="1" operator="equal">
      <formula>"Towel"</formula>
    </cfRule>
    <cfRule type="cellIs" dxfId="14232" priority="2402" stopIfTrue="1" operator="equal">
      <formula>"Napkin Hs"</formula>
    </cfRule>
  </conditionalFormatting>
  <conditionalFormatting sqref="C133">
    <cfRule type="cellIs" dxfId="14231" priority="2397" stopIfTrue="1" operator="equal">
      <formula>"Towel"</formula>
    </cfRule>
    <cfRule type="cellIs" dxfId="14230" priority="2398" stopIfTrue="1" operator="equal">
      <formula>"Napkin Hs"</formula>
    </cfRule>
  </conditionalFormatting>
  <conditionalFormatting sqref="B133">
    <cfRule type="cellIs" dxfId="14229" priority="2391" stopIfTrue="1" operator="equal">
      <formula>"Towel"</formula>
    </cfRule>
    <cfRule type="cellIs" dxfId="14228" priority="2392" stopIfTrue="1" operator="equal">
      <formula>"Napkin Hs"</formula>
    </cfRule>
  </conditionalFormatting>
  <conditionalFormatting sqref="C133">
    <cfRule type="cellIs" dxfId="14227" priority="2393" stopIfTrue="1" operator="equal">
      <formula>"Towel"</formula>
    </cfRule>
    <cfRule type="cellIs" dxfId="14226" priority="2394" stopIfTrue="1" operator="equal">
      <formula>"Napkin Hs"</formula>
    </cfRule>
  </conditionalFormatting>
  <conditionalFormatting sqref="C133">
    <cfRule type="cellIs" dxfId="14225" priority="2395" stopIfTrue="1" operator="equal">
      <formula>"Towel"</formula>
    </cfRule>
    <cfRule type="cellIs" dxfId="14224" priority="2396" stopIfTrue="1" operator="equal">
      <formula>"Napkin Hs"</formula>
    </cfRule>
  </conditionalFormatting>
  <conditionalFormatting sqref="B133:C133">
    <cfRule type="cellIs" dxfId="14223" priority="2345" stopIfTrue="1" operator="equal">
      <formula>"Towel"</formula>
    </cfRule>
    <cfRule type="cellIs" dxfId="14222" priority="2346" stopIfTrue="1" operator="equal">
      <formula>"Napkin Hs"</formula>
    </cfRule>
  </conditionalFormatting>
  <conditionalFormatting sqref="C133">
    <cfRule type="cellIs" dxfId="14221" priority="2347" stopIfTrue="1" operator="equal">
      <formula>"Towel"</formula>
    </cfRule>
    <cfRule type="cellIs" dxfId="14220" priority="2348" stopIfTrue="1" operator="equal">
      <formula>"Napkin Hs"</formula>
    </cfRule>
  </conditionalFormatting>
  <conditionalFormatting sqref="C133">
    <cfRule type="cellIs" dxfId="14219" priority="2343" stopIfTrue="1" operator="equal">
      <formula>"Towel"</formula>
    </cfRule>
    <cfRule type="cellIs" dxfId="14218" priority="2344" stopIfTrue="1" operator="equal">
      <formula>"Napkin Hs"</formula>
    </cfRule>
  </conditionalFormatting>
  <conditionalFormatting sqref="C133">
    <cfRule type="cellIs" dxfId="14217" priority="2341" stopIfTrue="1" operator="equal">
      <formula>"Towel"</formula>
    </cfRule>
    <cfRule type="cellIs" dxfId="14216" priority="2342" stopIfTrue="1" operator="equal">
      <formula>"Napkin Hs"</formula>
    </cfRule>
  </conditionalFormatting>
  <conditionalFormatting sqref="B133">
    <cfRule type="cellIs" dxfId="14215" priority="2389" stopIfTrue="1" operator="equal">
      <formula>"Towel"</formula>
    </cfRule>
    <cfRule type="cellIs" dxfId="14214" priority="2390" stopIfTrue="1" operator="equal">
      <formula>"Napkin Hs"</formula>
    </cfRule>
  </conditionalFormatting>
  <conditionalFormatting sqref="C133">
    <cfRule type="cellIs" dxfId="14213" priority="2385" stopIfTrue="1" operator="equal">
      <formula>"Towel"</formula>
    </cfRule>
    <cfRule type="cellIs" dxfId="14212" priority="2386" stopIfTrue="1" operator="equal">
      <formula>"Napkin Hs"</formula>
    </cfRule>
  </conditionalFormatting>
  <conditionalFormatting sqref="C133">
    <cfRule type="cellIs" dxfId="14211" priority="2379" stopIfTrue="1" operator="equal">
      <formula>"Towel"</formula>
    </cfRule>
    <cfRule type="cellIs" dxfId="14210" priority="2380" stopIfTrue="1" operator="equal">
      <formula>"Napkin Hs"</formula>
    </cfRule>
  </conditionalFormatting>
  <conditionalFormatting sqref="C133">
    <cfRule type="cellIs" dxfId="14209" priority="2383" stopIfTrue="1" operator="equal">
      <formula>"Towel"</formula>
    </cfRule>
    <cfRule type="cellIs" dxfId="14208" priority="2384" stopIfTrue="1" operator="equal">
      <formula>"Napkin Hs"</formula>
    </cfRule>
  </conditionalFormatting>
  <conditionalFormatting sqref="B133:C133">
    <cfRule type="cellIs" dxfId="14207" priority="2381" stopIfTrue="1" operator="equal">
      <formula>"Towel"</formula>
    </cfRule>
    <cfRule type="cellIs" dxfId="14206" priority="2382" stopIfTrue="1" operator="equal">
      <formula>"Napkin Hs"</formula>
    </cfRule>
  </conditionalFormatting>
  <conditionalFormatting sqref="C133">
    <cfRule type="cellIs" dxfId="14205" priority="2373" stopIfTrue="1" operator="equal">
      <formula>"Towel"</formula>
    </cfRule>
    <cfRule type="cellIs" dxfId="14204" priority="2374" stopIfTrue="1" operator="equal">
      <formula>"Napkin Hs"</formula>
    </cfRule>
  </conditionalFormatting>
  <conditionalFormatting sqref="C133">
    <cfRule type="cellIs" dxfId="14203" priority="2375" stopIfTrue="1" operator="equal">
      <formula>"Towel"</formula>
    </cfRule>
    <cfRule type="cellIs" dxfId="14202" priority="2376" stopIfTrue="1" operator="equal">
      <formula>"Napkin Hs"</formula>
    </cfRule>
  </conditionalFormatting>
  <conditionalFormatting sqref="C133">
    <cfRule type="cellIs" dxfId="14201" priority="2377" stopIfTrue="1" operator="equal">
      <formula>"Towel"</formula>
    </cfRule>
    <cfRule type="cellIs" dxfId="14200" priority="2378" stopIfTrue="1" operator="equal">
      <formula>"Napkin Hs"</formula>
    </cfRule>
  </conditionalFormatting>
  <conditionalFormatting sqref="C133">
    <cfRule type="cellIs" dxfId="14199" priority="2367" stopIfTrue="1" operator="equal">
      <formula>"Towel"</formula>
    </cfRule>
    <cfRule type="cellIs" dxfId="14198" priority="2368" stopIfTrue="1" operator="equal">
      <formula>"Napkin Hs"</formula>
    </cfRule>
  </conditionalFormatting>
  <conditionalFormatting sqref="B133:C133">
    <cfRule type="cellIs" dxfId="14197" priority="2371" stopIfTrue="1" operator="equal">
      <formula>"Towel"</formula>
    </cfRule>
    <cfRule type="cellIs" dxfId="14196" priority="2372" stopIfTrue="1" operator="equal">
      <formula>"Napkin Hs"</formula>
    </cfRule>
  </conditionalFormatting>
  <conditionalFormatting sqref="C133">
    <cfRule type="cellIs" dxfId="14195" priority="2369" stopIfTrue="1" operator="equal">
      <formula>"Towel"</formula>
    </cfRule>
    <cfRule type="cellIs" dxfId="14194" priority="2370" stopIfTrue="1" operator="equal">
      <formula>"Napkin Hs"</formula>
    </cfRule>
  </conditionalFormatting>
  <conditionalFormatting sqref="B133:C133">
    <cfRule type="cellIs" dxfId="14193" priority="2361" stopIfTrue="1" operator="equal">
      <formula>"Towel"</formula>
    </cfRule>
    <cfRule type="cellIs" dxfId="14192" priority="2362" stopIfTrue="1" operator="equal">
      <formula>"Napkin Hs"</formula>
    </cfRule>
  </conditionalFormatting>
  <conditionalFormatting sqref="C133">
    <cfRule type="cellIs" dxfId="14191" priority="2363" stopIfTrue="1" operator="equal">
      <formula>"Towel"</formula>
    </cfRule>
    <cfRule type="cellIs" dxfId="14190" priority="2364" stopIfTrue="1" operator="equal">
      <formula>"Napkin Hs"</formula>
    </cfRule>
  </conditionalFormatting>
  <conditionalFormatting sqref="B133:C133">
    <cfRule type="cellIs" dxfId="14189" priority="2365" stopIfTrue="1" operator="equal">
      <formula>"Towel"</formula>
    </cfRule>
    <cfRule type="cellIs" dxfId="14188" priority="2366" stopIfTrue="1" operator="equal">
      <formula>"Napkin Hs"</formula>
    </cfRule>
  </conditionalFormatting>
  <conditionalFormatting sqref="C133">
    <cfRule type="cellIs" dxfId="14187" priority="2359" stopIfTrue="1" operator="equal">
      <formula>"Towel"</formula>
    </cfRule>
    <cfRule type="cellIs" dxfId="14186" priority="2360" stopIfTrue="1" operator="equal">
      <formula>"Napkin Hs"</formula>
    </cfRule>
  </conditionalFormatting>
  <conditionalFormatting sqref="C133">
    <cfRule type="cellIs" dxfId="14185" priority="2355" stopIfTrue="1" operator="equal">
      <formula>"Towel"</formula>
    </cfRule>
    <cfRule type="cellIs" dxfId="14184" priority="2356" stopIfTrue="1" operator="equal">
      <formula>"Napkin Hs"</formula>
    </cfRule>
  </conditionalFormatting>
  <conditionalFormatting sqref="B133:C133">
    <cfRule type="cellIs" dxfId="14183" priority="2357" stopIfTrue="1" operator="equal">
      <formula>"Towel"</formula>
    </cfRule>
    <cfRule type="cellIs" dxfId="14182" priority="2358" stopIfTrue="1" operator="equal">
      <formula>"Napkin Hs"</formula>
    </cfRule>
  </conditionalFormatting>
  <conditionalFormatting sqref="C133">
    <cfRule type="cellIs" dxfId="14181" priority="2353" stopIfTrue="1" operator="equal">
      <formula>"Towel"</formula>
    </cfRule>
    <cfRule type="cellIs" dxfId="14180" priority="2354" stopIfTrue="1" operator="equal">
      <formula>"Napkin Hs"</formula>
    </cfRule>
  </conditionalFormatting>
  <conditionalFormatting sqref="C133">
    <cfRule type="cellIs" dxfId="14179" priority="2351" stopIfTrue="1" operator="equal">
      <formula>"Towel"</formula>
    </cfRule>
    <cfRule type="cellIs" dxfId="14178" priority="2352" stopIfTrue="1" operator="equal">
      <formula>"Napkin Hs"</formula>
    </cfRule>
  </conditionalFormatting>
  <conditionalFormatting sqref="B133:C133">
    <cfRule type="cellIs" dxfId="14177" priority="2349" stopIfTrue="1" operator="equal">
      <formula>"Towel"</formula>
    </cfRule>
    <cfRule type="cellIs" dxfId="14176" priority="2350" stopIfTrue="1" operator="equal">
      <formula>"Napkin Hs"</formula>
    </cfRule>
  </conditionalFormatting>
  <conditionalFormatting sqref="B133:C133">
    <cfRule type="cellIs" dxfId="14175" priority="2425" stopIfTrue="1" operator="equal">
      <formula>"Towel"</formula>
    </cfRule>
    <cfRule type="cellIs" dxfId="14174" priority="2426" stopIfTrue="1" operator="equal">
      <formula>"Napkin Hs"</formula>
    </cfRule>
  </conditionalFormatting>
  <conditionalFormatting sqref="C133">
    <cfRule type="cellIs" dxfId="14173" priority="2421" stopIfTrue="1" operator="equal">
      <formula>"Towel"</formula>
    </cfRule>
    <cfRule type="cellIs" dxfId="14172" priority="2422" stopIfTrue="1" operator="equal">
      <formula>"Napkin Hs"</formula>
    </cfRule>
  </conditionalFormatting>
  <conditionalFormatting sqref="C133">
    <cfRule type="cellIs" dxfId="14171" priority="2424" stopIfTrue="1" operator="equal">
      <formula>"Napkin Hs"</formula>
    </cfRule>
  </conditionalFormatting>
  <conditionalFormatting sqref="C133">
    <cfRule type="cellIs" dxfId="14170" priority="2423" stopIfTrue="1" operator="equal">
      <formula>"Towel"</formula>
    </cfRule>
  </conditionalFormatting>
  <conditionalFormatting sqref="C133">
    <cfRule type="cellIs" dxfId="14169" priority="2415" stopIfTrue="1" operator="equal">
      <formula>"Towel"</formula>
    </cfRule>
    <cfRule type="cellIs" dxfId="14168" priority="2416" stopIfTrue="1" operator="equal">
      <formula>"Napkin Hs"</formula>
    </cfRule>
  </conditionalFormatting>
  <conditionalFormatting sqref="C133">
    <cfRule type="cellIs" dxfId="14167" priority="2419" stopIfTrue="1" operator="equal">
      <formula>"Towel"</formula>
    </cfRule>
    <cfRule type="cellIs" dxfId="14166" priority="2420" stopIfTrue="1" operator="equal">
      <formula>"Napkin Hs"</formula>
    </cfRule>
  </conditionalFormatting>
  <conditionalFormatting sqref="B133">
    <cfRule type="cellIs" dxfId="14165" priority="2405" stopIfTrue="1" operator="equal">
      <formula>"Towel"</formula>
    </cfRule>
    <cfRule type="cellIs" dxfId="14164" priority="2406" stopIfTrue="1" operator="equal">
      <formula>"Napkin Hs"</formula>
    </cfRule>
  </conditionalFormatting>
  <conditionalFormatting sqref="C133">
    <cfRule type="cellIs" dxfId="14163" priority="2417" stopIfTrue="1" operator="equal">
      <formula>"Towel"</formula>
    </cfRule>
    <cfRule type="cellIs" dxfId="14162" priority="2418" stopIfTrue="1" operator="equal">
      <formula>"Napkin Hs"</formula>
    </cfRule>
  </conditionalFormatting>
  <conditionalFormatting sqref="C133">
    <cfRule type="cellIs" dxfId="14161" priority="2409" stopIfTrue="1" operator="equal">
      <formula>"Towel"</formula>
    </cfRule>
    <cfRule type="cellIs" dxfId="14160" priority="2410" stopIfTrue="1" operator="equal">
      <formula>"Napkin Hs"</formula>
    </cfRule>
  </conditionalFormatting>
  <conditionalFormatting sqref="C133">
    <cfRule type="cellIs" dxfId="14159" priority="2411" stopIfTrue="1" operator="equal">
      <formula>"Towel"</formula>
    </cfRule>
    <cfRule type="cellIs" dxfId="14158" priority="2412" stopIfTrue="1" operator="equal">
      <formula>"Napkin Hs"</formula>
    </cfRule>
  </conditionalFormatting>
  <conditionalFormatting sqref="C133">
    <cfRule type="cellIs" dxfId="14157" priority="2413" stopIfTrue="1" operator="equal">
      <formula>"Towel"</formula>
    </cfRule>
    <cfRule type="cellIs" dxfId="14156" priority="2414" stopIfTrue="1" operator="equal">
      <formula>"Napkin Hs"</formula>
    </cfRule>
  </conditionalFormatting>
  <conditionalFormatting sqref="B133">
    <cfRule type="cellIs" dxfId="14155" priority="2407" stopIfTrue="1" operator="equal">
      <formula>"Towel"</formula>
    </cfRule>
    <cfRule type="cellIs" dxfId="14154" priority="2408" stopIfTrue="1" operator="equal">
      <formula>"Napkin Hs"</formula>
    </cfRule>
  </conditionalFormatting>
  <conditionalFormatting sqref="C133">
    <cfRule type="cellIs" dxfId="14153" priority="2403" stopIfTrue="1" operator="equal">
      <formula>"Towel"</formula>
    </cfRule>
    <cfRule type="cellIs" dxfId="14152" priority="2404" stopIfTrue="1" operator="equal">
      <formula>"Napkin Hs"</formula>
    </cfRule>
  </conditionalFormatting>
  <conditionalFormatting sqref="B133:C133">
    <cfRule type="cellIs" dxfId="14151" priority="2387" stopIfTrue="1" operator="equal">
      <formula>"Towel"</formula>
    </cfRule>
    <cfRule type="cellIs" dxfId="14150" priority="2388" stopIfTrue="1" operator="equal">
      <formula>"Napkin Hs"</formula>
    </cfRule>
  </conditionalFormatting>
  <conditionalFormatting sqref="B133">
    <cfRule type="cellIs" dxfId="14149" priority="2339" stopIfTrue="1" operator="equal">
      <formula>"Towel"</formula>
    </cfRule>
    <cfRule type="cellIs" dxfId="14148" priority="2340" stopIfTrue="1" operator="equal">
      <formula>"Napkin Hs"</formula>
    </cfRule>
  </conditionalFormatting>
  <conditionalFormatting sqref="B133">
    <cfRule type="cellIs" dxfId="14147" priority="2337" stopIfTrue="1" operator="equal">
      <formula>"Towel"</formula>
    </cfRule>
    <cfRule type="cellIs" dxfId="14146" priority="2338" stopIfTrue="1" operator="equal">
      <formula>"Napkin Hs"</formula>
    </cfRule>
  </conditionalFormatting>
  <conditionalFormatting sqref="B133">
    <cfRule type="cellIs" dxfId="14145" priority="2335" stopIfTrue="1" operator="equal">
      <formula>"Towel"</formula>
    </cfRule>
    <cfRule type="cellIs" dxfId="14144" priority="2336" stopIfTrue="1" operator="equal">
      <formula>"Napkin Hs"</formula>
    </cfRule>
  </conditionalFormatting>
  <conditionalFormatting sqref="B133">
    <cfRule type="cellIs" dxfId="14143" priority="2329" stopIfTrue="1" operator="equal">
      <formula>"Towel"</formula>
    </cfRule>
    <cfRule type="cellIs" dxfId="14142" priority="2330" stopIfTrue="1" operator="equal">
      <formula>"Napkin Hs"</formula>
    </cfRule>
  </conditionalFormatting>
  <conditionalFormatting sqref="B133">
    <cfRule type="cellIs" dxfId="14141" priority="2333" stopIfTrue="1" operator="equal">
      <formula>"Towel"</formula>
    </cfRule>
    <cfRule type="cellIs" dxfId="14140" priority="2334" stopIfTrue="1" operator="equal">
      <formula>"Napkin Hs"</formula>
    </cfRule>
  </conditionalFormatting>
  <conditionalFormatting sqref="B133">
    <cfRule type="cellIs" dxfId="14139" priority="2331" stopIfTrue="1" operator="equal">
      <formula>"Towel"</formula>
    </cfRule>
    <cfRule type="cellIs" dxfId="14138" priority="2332" stopIfTrue="1" operator="equal">
      <formula>"Napkin Hs"</formula>
    </cfRule>
  </conditionalFormatting>
  <conditionalFormatting sqref="B133">
    <cfRule type="cellIs" dxfId="14137" priority="2327" stopIfTrue="1" operator="equal">
      <formula>"Towel"</formula>
    </cfRule>
    <cfRule type="cellIs" dxfId="14136" priority="2328" stopIfTrue="1" operator="equal">
      <formula>"Napkin Hs"</formula>
    </cfRule>
  </conditionalFormatting>
  <conditionalFormatting sqref="B133">
    <cfRule type="cellIs" dxfId="14135" priority="2325" stopIfTrue="1" operator="equal">
      <formula>"Towel"</formula>
    </cfRule>
    <cfRule type="cellIs" dxfId="14134" priority="2326" stopIfTrue="1" operator="equal">
      <formula>"Napkin Hs"</formula>
    </cfRule>
  </conditionalFormatting>
  <conditionalFormatting sqref="B133">
    <cfRule type="cellIs" dxfId="14133" priority="2321" stopIfTrue="1" operator="equal">
      <formula>"Towel"</formula>
    </cfRule>
    <cfRule type="cellIs" dxfId="14132" priority="2322" stopIfTrue="1" operator="equal">
      <formula>"Napkin Hs"</formula>
    </cfRule>
  </conditionalFormatting>
  <conditionalFormatting sqref="B133">
    <cfRule type="cellIs" dxfId="14131" priority="2319" stopIfTrue="1" operator="equal">
      <formula>"Towel"</formula>
    </cfRule>
    <cfRule type="cellIs" dxfId="14130" priority="2320" stopIfTrue="1" operator="equal">
      <formula>"Napkin Hs"</formula>
    </cfRule>
  </conditionalFormatting>
  <conditionalFormatting sqref="B133">
    <cfRule type="cellIs" dxfId="14129" priority="2323" stopIfTrue="1" operator="equal">
      <formula>"Towel"</formula>
    </cfRule>
    <cfRule type="cellIs" dxfId="14128" priority="2324" stopIfTrue="1" operator="equal">
      <formula>"Napkin Hs"</formula>
    </cfRule>
  </conditionalFormatting>
  <conditionalFormatting sqref="B133">
    <cfRule type="cellIs" dxfId="14127" priority="2317" stopIfTrue="1" operator="equal">
      <formula>"Towel"</formula>
    </cfRule>
    <cfRule type="cellIs" dxfId="14126" priority="2318" stopIfTrue="1" operator="equal">
      <formula>"Napkin Hs"</formula>
    </cfRule>
  </conditionalFormatting>
  <conditionalFormatting sqref="B133">
    <cfRule type="cellIs" dxfId="14125" priority="2315" stopIfTrue="1" operator="equal">
      <formula>"Towel"</formula>
    </cfRule>
    <cfRule type="cellIs" dxfId="14124" priority="2316" stopIfTrue="1" operator="equal">
      <formula>"Napkin Hs"</formula>
    </cfRule>
  </conditionalFormatting>
  <conditionalFormatting sqref="B133">
    <cfRule type="cellIs" dxfId="14123" priority="2313" stopIfTrue="1" operator="equal">
      <formula>"Towel"</formula>
    </cfRule>
    <cfRule type="cellIs" dxfId="14122" priority="2314" stopIfTrue="1" operator="equal">
      <formula>"Napkin Hs"</formula>
    </cfRule>
  </conditionalFormatting>
  <conditionalFormatting sqref="B133">
    <cfRule type="cellIs" dxfId="14121" priority="2311" stopIfTrue="1" operator="equal">
      <formula>"Towel"</formula>
    </cfRule>
    <cfRule type="cellIs" dxfId="14120" priority="2312" stopIfTrue="1" operator="equal">
      <formula>"Napkin Hs"</formula>
    </cfRule>
  </conditionalFormatting>
  <conditionalFormatting sqref="C133">
    <cfRule type="cellIs" dxfId="14119" priority="2307" stopIfTrue="1" operator="equal">
      <formula>"Towel"</formula>
    </cfRule>
    <cfRule type="cellIs" dxfId="14118" priority="2308" stopIfTrue="1" operator="equal">
      <formula>"Napkin Hs"</formula>
    </cfRule>
  </conditionalFormatting>
  <conditionalFormatting sqref="C133">
    <cfRule type="cellIs" dxfId="14117" priority="2309" stopIfTrue="1" operator="equal">
      <formula>"Towel"</formula>
    </cfRule>
    <cfRule type="cellIs" dxfId="14116" priority="2310" stopIfTrue="1" operator="equal">
      <formula>"Napkin Hs"</formula>
    </cfRule>
  </conditionalFormatting>
  <conditionalFormatting sqref="C133">
    <cfRule type="cellIs" dxfId="14115" priority="2303" stopIfTrue="1" operator="equal">
      <formula>"Towel"</formula>
    </cfRule>
    <cfRule type="cellIs" dxfId="14114" priority="2304" stopIfTrue="1" operator="equal">
      <formula>"Napkin Hs"</formula>
    </cfRule>
  </conditionalFormatting>
  <conditionalFormatting sqref="B133:C133">
    <cfRule type="cellIs" dxfId="14113" priority="2305" stopIfTrue="1" operator="equal">
      <formula>"Towel"</formula>
    </cfRule>
    <cfRule type="cellIs" dxfId="14112" priority="2306" stopIfTrue="1" operator="equal">
      <formula>"Napkin Hs"</formula>
    </cfRule>
  </conditionalFormatting>
  <conditionalFormatting sqref="C133">
    <cfRule type="cellIs" dxfId="14111" priority="2301" stopIfTrue="1" operator="equal">
      <formula>"Towel"</formula>
    </cfRule>
    <cfRule type="cellIs" dxfId="14110" priority="2302" stopIfTrue="1" operator="equal">
      <formula>"Napkin Hs"</formula>
    </cfRule>
  </conditionalFormatting>
  <conditionalFormatting sqref="B133:C133">
    <cfRule type="cellIs" dxfId="14109" priority="2299" stopIfTrue="1" operator="equal">
      <formula>"Towel"</formula>
    </cfRule>
    <cfRule type="cellIs" dxfId="14108" priority="2300" stopIfTrue="1" operator="equal">
      <formula>"Napkin Hs"</formula>
    </cfRule>
  </conditionalFormatting>
  <conditionalFormatting sqref="B133:C133">
    <cfRule type="cellIs" dxfId="14107" priority="2297" stopIfTrue="1" operator="equal">
      <formula>"Towel"</formula>
    </cfRule>
    <cfRule type="cellIs" dxfId="14106" priority="2298" stopIfTrue="1" operator="equal">
      <formula>"Napkin Hs"</formula>
    </cfRule>
  </conditionalFormatting>
  <conditionalFormatting sqref="C133">
    <cfRule type="cellIs" dxfId="14105" priority="2291" stopIfTrue="1" operator="equal">
      <formula>"Towel"</formula>
    </cfRule>
    <cfRule type="cellIs" dxfId="14104" priority="2292" stopIfTrue="1" operator="equal">
      <formula>"Napkin Hs"</formula>
    </cfRule>
  </conditionalFormatting>
  <conditionalFormatting sqref="C133">
    <cfRule type="cellIs" dxfId="14103" priority="2293" stopIfTrue="1" operator="equal">
      <formula>"Towel"</formula>
    </cfRule>
    <cfRule type="cellIs" dxfId="14102" priority="2294" stopIfTrue="1" operator="equal">
      <formula>"Napkin Hs"</formula>
    </cfRule>
  </conditionalFormatting>
  <conditionalFormatting sqref="C133">
    <cfRule type="cellIs" dxfId="14101" priority="2289" stopIfTrue="1" operator="equal">
      <formula>"Towel"</formula>
    </cfRule>
    <cfRule type="cellIs" dxfId="14100" priority="2290" stopIfTrue="1" operator="equal">
      <formula>"Napkin Hs"</formula>
    </cfRule>
  </conditionalFormatting>
  <conditionalFormatting sqref="C133">
    <cfRule type="cellIs" dxfId="14099" priority="2287" stopIfTrue="1" operator="equal">
      <formula>"Towel"</formula>
    </cfRule>
    <cfRule type="cellIs" dxfId="14098" priority="2288" stopIfTrue="1" operator="equal">
      <formula>"Napkin Hs"</formula>
    </cfRule>
  </conditionalFormatting>
  <conditionalFormatting sqref="C133">
    <cfRule type="cellIs" dxfId="14097" priority="2283" stopIfTrue="1" operator="equal">
      <formula>"Towel"</formula>
    </cfRule>
    <cfRule type="cellIs" dxfId="14096" priority="2284" stopIfTrue="1" operator="equal">
      <formula>"Napkin Hs"</formula>
    </cfRule>
  </conditionalFormatting>
  <conditionalFormatting sqref="C133">
    <cfRule type="cellIs" dxfId="14095" priority="2285" stopIfTrue="1" operator="equal">
      <formula>"Towel"</formula>
    </cfRule>
    <cfRule type="cellIs" dxfId="14094" priority="2286" stopIfTrue="1" operator="equal">
      <formula>"Napkin Hs"</formula>
    </cfRule>
  </conditionalFormatting>
  <conditionalFormatting sqref="C133">
    <cfRule type="cellIs" dxfId="14093" priority="2281" stopIfTrue="1" operator="equal">
      <formula>"Towel"</formula>
    </cfRule>
    <cfRule type="cellIs" dxfId="14092" priority="2282" stopIfTrue="1" operator="equal">
      <formula>"Napkin Hs"</formula>
    </cfRule>
  </conditionalFormatting>
  <conditionalFormatting sqref="C133">
    <cfRule type="cellIs" dxfId="14091" priority="2265" stopIfTrue="1" operator="equal">
      <formula>"Towel"</formula>
    </cfRule>
    <cfRule type="cellIs" dxfId="14090" priority="2266" stopIfTrue="1" operator="equal">
      <formula>"Napkin Hs"</formula>
    </cfRule>
  </conditionalFormatting>
  <conditionalFormatting sqref="B133">
    <cfRule type="cellIs" dxfId="14089" priority="2263" stopIfTrue="1" operator="equal">
      <formula>"Towel"</formula>
    </cfRule>
    <cfRule type="cellIs" dxfId="14088" priority="2264" stopIfTrue="1" operator="equal">
      <formula>"Napkin Hs"</formula>
    </cfRule>
  </conditionalFormatting>
  <conditionalFormatting sqref="B133">
    <cfRule type="cellIs" dxfId="14087" priority="2279" stopIfTrue="1" operator="equal">
      <formula>"Towel"</formula>
    </cfRule>
    <cfRule type="cellIs" dxfId="14086" priority="2280" stopIfTrue="1" operator="equal">
      <formula>"Napkin Hs"</formula>
    </cfRule>
  </conditionalFormatting>
  <conditionalFormatting sqref="C133">
    <cfRule type="cellIs" dxfId="14085" priority="2275" stopIfTrue="1" operator="equal">
      <formula>"Towel"</formula>
    </cfRule>
    <cfRule type="cellIs" dxfId="14084" priority="2276" stopIfTrue="1" operator="equal">
      <formula>"Napkin Hs"</formula>
    </cfRule>
  </conditionalFormatting>
  <conditionalFormatting sqref="B133">
    <cfRule type="cellIs" dxfId="14083" priority="2277" stopIfTrue="1" operator="equal">
      <formula>"Towel"</formula>
    </cfRule>
    <cfRule type="cellIs" dxfId="14082" priority="2278" stopIfTrue="1" operator="equal">
      <formula>"Napkin Hs"</formula>
    </cfRule>
  </conditionalFormatting>
  <conditionalFormatting sqref="C133">
    <cfRule type="cellIs" dxfId="14081" priority="2271" stopIfTrue="1" operator="equal">
      <formula>"Towel"</formula>
    </cfRule>
    <cfRule type="cellIs" dxfId="14080" priority="2272" stopIfTrue="1" operator="equal">
      <formula>"Napkin Hs"</formula>
    </cfRule>
  </conditionalFormatting>
  <conditionalFormatting sqref="C133">
    <cfRule type="cellIs" dxfId="14079" priority="2273" stopIfTrue="1" operator="equal">
      <formula>"Towel"</formula>
    </cfRule>
    <cfRule type="cellIs" dxfId="14078" priority="2274" stopIfTrue="1" operator="equal">
      <formula>"Napkin Hs"</formula>
    </cfRule>
  </conditionalFormatting>
  <conditionalFormatting sqref="C133">
    <cfRule type="cellIs" dxfId="14077" priority="2269" stopIfTrue="1" operator="equal">
      <formula>"Towel"</formula>
    </cfRule>
    <cfRule type="cellIs" dxfId="14076" priority="2270" stopIfTrue="1" operator="equal">
      <formula>"Napkin Hs"</formula>
    </cfRule>
  </conditionalFormatting>
  <conditionalFormatting sqref="C133">
    <cfRule type="cellIs" dxfId="14075" priority="2267" stopIfTrue="1" operator="equal">
      <formula>"Towel"</formula>
    </cfRule>
    <cfRule type="cellIs" dxfId="14074" priority="2268" stopIfTrue="1" operator="equal">
      <formula>"Napkin Hs"</formula>
    </cfRule>
  </conditionalFormatting>
  <conditionalFormatting sqref="B133">
    <cfRule type="cellIs" dxfId="14073" priority="2261" stopIfTrue="1" operator="equal">
      <formula>"Towel"</formula>
    </cfRule>
    <cfRule type="cellIs" dxfId="14072" priority="2262" stopIfTrue="1" operator="equal">
      <formula>"Napkin Hs"</formula>
    </cfRule>
  </conditionalFormatting>
  <conditionalFormatting sqref="B133:C133">
    <cfRule type="cellIs" dxfId="14071" priority="2259" stopIfTrue="1" operator="equal">
      <formula>"Towel"</formula>
    </cfRule>
    <cfRule type="cellIs" dxfId="14070" priority="2260" stopIfTrue="1" operator="equal">
      <formula>"Napkin Hs"</formula>
    </cfRule>
  </conditionalFormatting>
  <conditionalFormatting sqref="C133">
    <cfRule type="cellIs" dxfId="14069" priority="2257" stopIfTrue="1" operator="equal">
      <formula>"Towel"</formula>
    </cfRule>
    <cfRule type="cellIs" dxfId="14068" priority="2258" stopIfTrue="1" operator="equal">
      <formula>"Napkin Hs"</formula>
    </cfRule>
  </conditionalFormatting>
  <conditionalFormatting sqref="C133">
    <cfRule type="cellIs" dxfId="14067" priority="2255" stopIfTrue="1" operator="equal">
      <formula>"Towel"</formula>
    </cfRule>
    <cfRule type="cellIs" dxfId="14066" priority="2256" stopIfTrue="1" operator="equal">
      <formula>"Napkin Hs"</formula>
    </cfRule>
  </conditionalFormatting>
  <conditionalFormatting sqref="C133">
    <cfRule type="cellIs" dxfId="14065" priority="2245" stopIfTrue="1" operator="equal">
      <formula>"Towel"</formula>
    </cfRule>
    <cfRule type="cellIs" dxfId="14064" priority="2246" stopIfTrue="1" operator="equal">
      <formula>"Napkin Hs"</formula>
    </cfRule>
  </conditionalFormatting>
  <conditionalFormatting sqref="C133">
    <cfRule type="cellIs" dxfId="14063" priority="2247" stopIfTrue="1" operator="equal">
      <formula>"Towel"</formula>
    </cfRule>
    <cfRule type="cellIs" dxfId="14062" priority="2248" stopIfTrue="1" operator="equal">
      <formula>"Napkin Hs"</formula>
    </cfRule>
  </conditionalFormatting>
  <conditionalFormatting sqref="B133:C133">
    <cfRule type="cellIs" dxfId="14061" priority="2243" stopIfTrue="1" operator="equal">
      <formula>"Towel"</formula>
    </cfRule>
    <cfRule type="cellIs" dxfId="14060" priority="2244" stopIfTrue="1" operator="equal">
      <formula>"Napkin Hs"</formula>
    </cfRule>
  </conditionalFormatting>
  <conditionalFormatting sqref="C133">
    <cfRule type="cellIs" dxfId="14059" priority="2241" stopIfTrue="1" operator="equal">
      <formula>"Towel"</formula>
    </cfRule>
    <cfRule type="cellIs" dxfId="14058" priority="2242" stopIfTrue="1" operator="equal">
      <formula>"Napkin Hs"</formula>
    </cfRule>
  </conditionalFormatting>
  <conditionalFormatting sqref="B133:C133">
    <cfRule type="cellIs" dxfId="14057" priority="2237" stopIfTrue="1" operator="equal">
      <formula>"Towel"</formula>
    </cfRule>
    <cfRule type="cellIs" dxfId="14056" priority="2238" stopIfTrue="1" operator="equal">
      <formula>"Napkin Hs"</formula>
    </cfRule>
  </conditionalFormatting>
  <conditionalFormatting sqref="C133">
    <cfRule type="cellIs" dxfId="14055" priority="2239" stopIfTrue="1" operator="equal">
      <formula>"Towel"</formula>
    </cfRule>
    <cfRule type="cellIs" dxfId="14054" priority="2240" stopIfTrue="1" operator="equal">
      <formula>"Napkin Hs"</formula>
    </cfRule>
  </conditionalFormatting>
  <conditionalFormatting sqref="C133">
    <cfRule type="cellIs" dxfId="14053" priority="2296" stopIfTrue="1" operator="equal">
      <formula>"Napkin Hs"</formula>
    </cfRule>
  </conditionalFormatting>
  <conditionalFormatting sqref="C133">
    <cfRule type="cellIs" dxfId="14052" priority="2295" stopIfTrue="1" operator="equal">
      <formula>"Towel"</formula>
    </cfRule>
  </conditionalFormatting>
  <conditionalFormatting sqref="B133:C133">
    <cfRule type="cellIs" dxfId="14051" priority="2253" stopIfTrue="1" operator="equal">
      <formula>"Towel"</formula>
    </cfRule>
    <cfRule type="cellIs" dxfId="14050" priority="2254" stopIfTrue="1" operator="equal">
      <formula>"Napkin Hs"</formula>
    </cfRule>
  </conditionalFormatting>
  <conditionalFormatting sqref="C133">
    <cfRule type="cellIs" dxfId="14049" priority="2251" stopIfTrue="1" operator="equal">
      <formula>"Towel"</formula>
    </cfRule>
    <cfRule type="cellIs" dxfId="14048" priority="2252" stopIfTrue="1" operator="equal">
      <formula>"Napkin Hs"</formula>
    </cfRule>
  </conditionalFormatting>
  <conditionalFormatting sqref="C133">
    <cfRule type="cellIs" dxfId="14047" priority="2249" stopIfTrue="1" operator="equal">
      <formula>"Towel"</formula>
    </cfRule>
    <cfRule type="cellIs" dxfId="14046" priority="2250" stopIfTrue="1" operator="equal">
      <formula>"Napkin Hs"</formula>
    </cfRule>
  </conditionalFormatting>
  <conditionalFormatting sqref="B133:C133">
    <cfRule type="cellIs" dxfId="14045" priority="2233" stopIfTrue="1" operator="equal">
      <formula>"Towel"</formula>
    </cfRule>
    <cfRule type="cellIs" dxfId="14044" priority="2234" stopIfTrue="1" operator="equal">
      <formula>"Napkin Hs"</formula>
    </cfRule>
  </conditionalFormatting>
  <conditionalFormatting sqref="C133">
    <cfRule type="cellIs" dxfId="14043" priority="2235" stopIfTrue="1" operator="equal">
      <formula>"Towel"</formula>
    </cfRule>
    <cfRule type="cellIs" dxfId="14042" priority="2236" stopIfTrue="1" operator="equal">
      <formula>"Napkin Hs"</formula>
    </cfRule>
  </conditionalFormatting>
  <conditionalFormatting sqref="C133">
    <cfRule type="cellIs" dxfId="14041" priority="2231" stopIfTrue="1" operator="equal">
      <formula>"Towel"</formula>
    </cfRule>
    <cfRule type="cellIs" dxfId="14040" priority="2232" stopIfTrue="1" operator="equal">
      <formula>"Napkin Hs"</formula>
    </cfRule>
  </conditionalFormatting>
  <conditionalFormatting sqref="B133:C133">
    <cfRule type="cellIs" dxfId="14039" priority="2229" stopIfTrue="1" operator="equal">
      <formula>"Towel"</formula>
    </cfRule>
    <cfRule type="cellIs" dxfId="14038" priority="2230" stopIfTrue="1" operator="equal">
      <formula>"Napkin Hs"</formula>
    </cfRule>
  </conditionalFormatting>
  <conditionalFormatting sqref="C133">
    <cfRule type="cellIs" dxfId="14037" priority="2225" stopIfTrue="1" operator="equal">
      <formula>"Towel"</formula>
    </cfRule>
    <cfRule type="cellIs" dxfId="14036" priority="2226" stopIfTrue="1" operator="equal">
      <formula>"Napkin Hs"</formula>
    </cfRule>
  </conditionalFormatting>
  <conditionalFormatting sqref="C133">
    <cfRule type="cellIs" dxfId="14035" priority="2227" stopIfTrue="1" operator="equal">
      <formula>"Towel"</formula>
    </cfRule>
    <cfRule type="cellIs" dxfId="14034" priority="2228" stopIfTrue="1" operator="equal">
      <formula>"Napkin Hs"</formula>
    </cfRule>
  </conditionalFormatting>
  <conditionalFormatting sqref="B133:C133">
    <cfRule type="cellIs" dxfId="14033" priority="2221" stopIfTrue="1" operator="equal">
      <formula>"Towel"</formula>
    </cfRule>
    <cfRule type="cellIs" dxfId="14032" priority="2222" stopIfTrue="1" operator="equal">
      <formula>"Napkin Hs"</formula>
    </cfRule>
  </conditionalFormatting>
  <conditionalFormatting sqref="C133">
    <cfRule type="cellIs" dxfId="14031" priority="2223" stopIfTrue="1" operator="equal">
      <formula>"Towel"</formula>
    </cfRule>
    <cfRule type="cellIs" dxfId="14030" priority="2224" stopIfTrue="1" operator="equal">
      <formula>"Napkin Hs"</formula>
    </cfRule>
  </conditionalFormatting>
  <conditionalFormatting sqref="C133">
    <cfRule type="cellIs" dxfId="14029" priority="2219" stopIfTrue="1" operator="equal">
      <formula>"Towel"</formula>
    </cfRule>
    <cfRule type="cellIs" dxfId="14028" priority="2220" stopIfTrue="1" operator="equal">
      <formula>"Napkin Hs"</formula>
    </cfRule>
  </conditionalFormatting>
  <conditionalFormatting sqref="B133:C133">
    <cfRule type="cellIs" dxfId="14027" priority="2217" stopIfTrue="1" operator="equal">
      <formula>"Towel"</formula>
    </cfRule>
    <cfRule type="cellIs" dxfId="14026" priority="2218" stopIfTrue="1" operator="equal">
      <formula>"Napkin Hs"</formula>
    </cfRule>
  </conditionalFormatting>
  <conditionalFormatting sqref="C133">
    <cfRule type="cellIs" dxfId="14025" priority="2213" stopIfTrue="1" operator="equal">
      <formula>"Towel"</formula>
    </cfRule>
    <cfRule type="cellIs" dxfId="14024" priority="2214" stopIfTrue="1" operator="equal">
      <formula>"Napkin Hs"</formula>
    </cfRule>
  </conditionalFormatting>
  <conditionalFormatting sqref="C133">
    <cfRule type="cellIs" dxfId="14023" priority="2215" stopIfTrue="1" operator="equal">
      <formula>"Towel"</formula>
    </cfRule>
    <cfRule type="cellIs" dxfId="14022" priority="2216" stopIfTrue="1" operator="equal">
      <formula>"Napkin Hs"</formula>
    </cfRule>
  </conditionalFormatting>
  <conditionalFormatting sqref="C131">
    <cfRule type="cellIs" dxfId="14021" priority="2205" stopIfTrue="1" operator="equal">
      <formula>"Towel"</formula>
    </cfRule>
    <cfRule type="cellIs" dxfId="14020" priority="2206" stopIfTrue="1" operator="equal">
      <formula>"Napkin Hs"</formula>
    </cfRule>
  </conditionalFormatting>
  <conditionalFormatting sqref="C131">
    <cfRule type="cellIs" dxfId="14019" priority="2203" stopIfTrue="1" operator="equal">
      <formula>"Towel"</formula>
    </cfRule>
    <cfRule type="cellIs" dxfId="14018" priority="2204" stopIfTrue="1" operator="equal">
      <formula>"Napkin Hs"</formula>
    </cfRule>
  </conditionalFormatting>
  <conditionalFormatting sqref="B131:C131">
    <cfRule type="cellIs" dxfId="14017" priority="2201" stopIfTrue="1" operator="equal">
      <formula>"Towel"</formula>
    </cfRule>
    <cfRule type="cellIs" dxfId="14016" priority="2202" stopIfTrue="1" operator="equal">
      <formula>"Napkin Hs"</formula>
    </cfRule>
  </conditionalFormatting>
  <conditionalFormatting sqref="B131:C131">
    <cfRule type="cellIs" dxfId="14015" priority="2211" stopIfTrue="1" operator="equal">
      <formula>"Towel"</formula>
    </cfRule>
    <cfRule type="cellIs" dxfId="14014" priority="2212" stopIfTrue="1" operator="equal">
      <formula>"Napkin Hs"</formula>
    </cfRule>
  </conditionalFormatting>
  <conditionalFormatting sqref="C131">
    <cfRule type="cellIs" dxfId="14013" priority="2209" stopIfTrue="1" operator="equal">
      <formula>"Towel"</formula>
    </cfRule>
    <cfRule type="cellIs" dxfId="14012" priority="2210" stopIfTrue="1" operator="equal">
      <formula>"Napkin Hs"</formula>
    </cfRule>
  </conditionalFormatting>
  <conditionalFormatting sqref="C131">
    <cfRule type="cellIs" dxfId="14011" priority="2207" stopIfTrue="1" operator="equal">
      <formula>"Towel"</formula>
    </cfRule>
    <cfRule type="cellIs" dxfId="14010" priority="2208" stopIfTrue="1" operator="equal">
      <formula>"Napkin Hs"</formula>
    </cfRule>
  </conditionalFormatting>
  <conditionalFormatting sqref="C131">
    <cfRule type="cellIs" dxfId="14009" priority="2199" stopIfTrue="1" operator="equal">
      <formula>"Towel"</formula>
    </cfRule>
    <cfRule type="cellIs" dxfId="14008" priority="2200" stopIfTrue="1" operator="equal">
      <formula>"Napkin Hs"</formula>
    </cfRule>
  </conditionalFormatting>
  <conditionalFormatting sqref="C131">
    <cfRule type="cellIs" dxfId="14007" priority="2197" stopIfTrue="1" operator="equal">
      <formula>"Towel"</formula>
    </cfRule>
    <cfRule type="cellIs" dxfId="14006" priority="2198" stopIfTrue="1" operator="equal">
      <formula>"Napkin Hs"</formula>
    </cfRule>
  </conditionalFormatting>
  <conditionalFormatting sqref="B131:C131">
    <cfRule type="cellIs" dxfId="14005" priority="2195" stopIfTrue="1" operator="equal">
      <formula>"Towel"</formula>
    </cfRule>
    <cfRule type="cellIs" dxfId="14004" priority="2196" stopIfTrue="1" operator="equal">
      <formula>"Napkin Hs"</formula>
    </cfRule>
  </conditionalFormatting>
  <conditionalFormatting sqref="B131">
    <cfRule type="cellIs" dxfId="14003" priority="2193" stopIfTrue="1" operator="equal">
      <formula>"Towel"</formula>
    </cfRule>
    <cfRule type="cellIs" dxfId="14002" priority="2194" stopIfTrue="1" operator="equal">
      <formula>"Napkin Hs"</formula>
    </cfRule>
  </conditionalFormatting>
  <conditionalFormatting sqref="B131">
    <cfRule type="cellIs" dxfId="14001" priority="2191" stopIfTrue="1" operator="equal">
      <formula>"Towel"</formula>
    </cfRule>
    <cfRule type="cellIs" dxfId="14000" priority="2192" stopIfTrue="1" operator="equal">
      <formula>"Napkin Hs"</formula>
    </cfRule>
  </conditionalFormatting>
  <conditionalFormatting sqref="B131">
    <cfRule type="cellIs" dxfId="13999" priority="2189" stopIfTrue="1" operator="equal">
      <formula>"Towel"</formula>
    </cfRule>
    <cfRule type="cellIs" dxfId="13998" priority="2190" stopIfTrue="1" operator="equal">
      <formula>"Napkin Hs"</formula>
    </cfRule>
  </conditionalFormatting>
  <conditionalFormatting sqref="B131:C131">
    <cfRule type="cellIs" dxfId="13997" priority="2187" stopIfTrue="1" operator="equal">
      <formula>"Towel"</formula>
    </cfRule>
    <cfRule type="cellIs" dxfId="13996" priority="2188" stopIfTrue="1" operator="equal">
      <formula>"Napkin Hs"</formula>
    </cfRule>
  </conditionalFormatting>
  <conditionalFormatting sqref="C131">
    <cfRule type="cellIs" dxfId="13995" priority="2185" stopIfTrue="1" operator="equal">
      <formula>"Towel"</formula>
    </cfRule>
    <cfRule type="cellIs" dxfId="13994" priority="2186" stopIfTrue="1" operator="equal">
      <formula>"Napkin Hs"</formula>
    </cfRule>
  </conditionalFormatting>
  <conditionalFormatting sqref="C131">
    <cfRule type="cellIs" dxfId="13993" priority="2183" stopIfTrue="1" operator="equal">
      <formula>"Towel"</formula>
    </cfRule>
    <cfRule type="cellIs" dxfId="13992" priority="2184" stopIfTrue="1" operator="equal">
      <formula>"Napkin Hs"</formula>
    </cfRule>
  </conditionalFormatting>
  <conditionalFormatting sqref="C131">
    <cfRule type="cellIs" dxfId="13991" priority="2175" stopIfTrue="1" operator="equal">
      <formula>"Towel"</formula>
    </cfRule>
    <cfRule type="cellIs" dxfId="13990" priority="2176" stopIfTrue="1" operator="equal">
      <formula>"Napkin Hs"</formula>
    </cfRule>
  </conditionalFormatting>
  <conditionalFormatting sqref="B131:C131">
    <cfRule type="cellIs" dxfId="13989" priority="2177" stopIfTrue="1" operator="equal">
      <formula>"Towel"</formula>
    </cfRule>
    <cfRule type="cellIs" dxfId="13988" priority="2178" stopIfTrue="1" operator="equal">
      <formula>"Napkin Hs"</formula>
    </cfRule>
  </conditionalFormatting>
  <conditionalFormatting sqref="C131">
    <cfRule type="cellIs" dxfId="13987" priority="2173" stopIfTrue="1" operator="equal">
      <formula>"Towel"</formula>
    </cfRule>
    <cfRule type="cellIs" dxfId="13986" priority="2174" stopIfTrue="1" operator="equal">
      <formula>"Napkin Hs"</formula>
    </cfRule>
  </conditionalFormatting>
  <conditionalFormatting sqref="B131:C131">
    <cfRule type="cellIs" dxfId="13985" priority="2171" stopIfTrue="1" operator="equal">
      <formula>"Towel"</formula>
    </cfRule>
    <cfRule type="cellIs" dxfId="13984" priority="2172" stopIfTrue="1" operator="equal">
      <formula>"Napkin Hs"</formula>
    </cfRule>
  </conditionalFormatting>
  <conditionalFormatting sqref="C131">
    <cfRule type="cellIs" dxfId="13983" priority="2179" stopIfTrue="1" operator="equal">
      <formula>"Towel"</formula>
    </cfRule>
    <cfRule type="cellIs" dxfId="13982" priority="2180" stopIfTrue="1" operator="equal">
      <formula>"Napkin Hs"</formula>
    </cfRule>
  </conditionalFormatting>
  <conditionalFormatting sqref="C131">
    <cfRule type="cellIs" dxfId="13981" priority="2181" stopIfTrue="1" operator="equal">
      <formula>"Towel"</formula>
    </cfRule>
    <cfRule type="cellIs" dxfId="13980" priority="2182" stopIfTrue="1" operator="equal">
      <formula>"Napkin Hs"</formula>
    </cfRule>
  </conditionalFormatting>
  <conditionalFormatting sqref="B131:C131">
    <cfRule type="cellIs" dxfId="13979" priority="2167" stopIfTrue="1" operator="equal">
      <formula>"Towel"</formula>
    </cfRule>
    <cfRule type="cellIs" dxfId="13978" priority="2168" stopIfTrue="1" operator="equal">
      <formula>"Napkin Hs"</formula>
    </cfRule>
  </conditionalFormatting>
  <conditionalFormatting sqref="C131">
    <cfRule type="cellIs" dxfId="13977" priority="2169" stopIfTrue="1" operator="equal">
      <formula>"Towel"</formula>
    </cfRule>
    <cfRule type="cellIs" dxfId="13976" priority="2170" stopIfTrue="1" operator="equal">
      <formula>"Napkin Hs"</formula>
    </cfRule>
  </conditionalFormatting>
  <conditionalFormatting sqref="C131">
    <cfRule type="cellIs" dxfId="13975" priority="2165" stopIfTrue="1" operator="equal">
      <formula>"Towel"</formula>
    </cfRule>
    <cfRule type="cellIs" dxfId="13974" priority="2166" stopIfTrue="1" operator="equal">
      <formula>"Napkin Hs"</formula>
    </cfRule>
  </conditionalFormatting>
  <conditionalFormatting sqref="B131">
    <cfRule type="cellIs" dxfId="13973" priority="2161" stopIfTrue="1" operator="equal">
      <formula>"Towel"</formula>
    </cfRule>
    <cfRule type="cellIs" dxfId="13972" priority="2162" stopIfTrue="1" operator="equal">
      <formula>"Napkin Hs"</formula>
    </cfRule>
  </conditionalFormatting>
  <conditionalFormatting sqref="B131">
    <cfRule type="cellIs" dxfId="13971" priority="2163" stopIfTrue="1" operator="equal">
      <formula>"Towel"</formula>
    </cfRule>
    <cfRule type="cellIs" dxfId="13970" priority="2164" stopIfTrue="1" operator="equal">
      <formula>"Napkin Hs"</formula>
    </cfRule>
  </conditionalFormatting>
  <conditionalFormatting sqref="B131">
    <cfRule type="cellIs" dxfId="13969" priority="2159" stopIfTrue="1" operator="equal">
      <formula>"Towel"</formula>
    </cfRule>
    <cfRule type="cellIs" dxfId="13968" priority="2160" stopIfTrue="1" operator="equal">
      <formula>"Napkin Hs"</formula>
    </cfRule>
  </conditionalFormatting>
  <conditionalFormatting sqref="B131:C131">
    <cfRule type="cellIs" dxfId="13967" priority="2157" stopIfTrue="1" operator="equal">
      <formula>"Towel"</formula>
    </cfRule>
    <cfRule type="cellIs" dxfId="13966" priority="2158" stopIfTrue="1" operator="equal">
      <formula>"Napkin Hs"</formula>
    </cfRule>
  </conditionalFormatting>
  <conditionalFormatting sqref="C131">
    <cfRule type="cellIs" dxfId="13965" priority="2155" stopIfTrue="1" operator="equal">
      <formula>"Towel"</formula>
    </cfRule>
    <cfRule type="cellIs" dxfId="13964" priority="2156" stopIfTrue="1" operator="equal">
      <formula>"Napkin Hs"</formula>
    </cfRule>
  </conditionalFormatting>
  <conditionalFormatting sqref="C131">
    <cfRule type="cellIs" dxfId="13963" priority="2153" stopIfTrue="1" operator="equal">
      <formula>"Towel"</formula>
    </cfRule>
    <cfRule type="cellIs" dxfId="13962" priority="2154" stopIfTrue="1" operator="equal">
      <formula>"Napkin Hs"</formula>
    </cfRule>
  </conditionalFormatting>
  <conditionalFormatting sqref="C131">
    <cfRule type="cellIs" dxfId="13961" priority="2145" stopIfTrue="1" operator="equal">
      <formula>"Towel"</formula>
    </cfRule>
    <cfRule type="cellIs" dxfId="13960" priority="2146" stopIfTrue="1" operator="equal">
      <formula>"Napkin Hs"</formula>
    </cfRule>
  </conditionalFormatting>
  <conditionalFormatting sqref="B131:C131">
    <cfRule type="cellIs" dxfId="13959" priority="2147" stopIfTrue="1" operator="equal">
      <formula>"Towel"</formula>
    </cfRule>
    <cfRule type="cellIs" dxfId="13958" priority="2148" stopIfTrue="1" operator="equal">
      <formula>"Napkin Hs"</formula>
    </cfRule>
  </conditionalFormatting>
  <conditionalFormatting sqref="C131">
    <cfRule type="cellIs" dxfId="13957" priority="2143" stopIfTrue="1" operator="equal">
      <formula>"Towel"</formula>
    </cfRule>
    <cfRule type="cellIs" dxfId="13956" priority="2144" stopIfTrue="1" operator="equal">
      <formula>"Napkin Hs"</formula>
    </cfRule>
  </conditionalFormatting>
  <conditionalFormatting sqref="B131:C131">
    <cfRule type="cellIs" dxfId="13955" priority="2141" stopIfTrue="1" operator="equal">
      <formula>"Towel"</formula>
    </cfRule>
    <cfRule type="cellIs" dxfId="13954" priority="2142" stopIfTrue="1" operator="equal">
      <formula>"Napkin Hs"</formula>
    </cfRule>
  </conditionalFormatting>
  <conditionalFormatting sqref="C131">
    <cfRule type="cellIs" dxfId="13953" priority="2149" stopIfTrue="1" operator="equal">
      <formula>"Towel"</formula>
    </cfRule>
    <cfRule type="cellIs" dxfId="13952" priority="2150" stopIfTrue="1" operator="equal">
      <formula>"Napkin Hs"</formula>
    </cfRule>
  </conditionalFormatting>
  <conditionalFormatting sqref="C131">
    <cfRule type="cellIs" dxfId="13951" priority="2151" stopIfTrue="1" operator="equal">
      <formula>"Towel"</formula>
    </cfRule>
    <cfRule type="cellIs" dxfId="13950" priority="2152" stopIfTrue="1" operator="equal">
      <formula>"Napkin Hs"</formula>
    </cfRule>
  </conditionalFormatting>
  <conditionalFormatting sqref="C131">
    <cfRule type="cellIs" dxfId="13949" priority="2137" stopIfTrue="1" operator="equal">
      <formula>"Towel"</formula>
    </cfRule>
    <cfRule type="cellIs" dxfId="13948" priority="2138" stopIfTrue="1" operator="equal">
      <formula>"Napkin Hs"</formula>
    </cfRule>
  </conditionalFormatting>
  <conditionalFormatting sqref="C131">
    <cfRule type="cellIs" dxfId="13947" priority="2139" stopIfTrue="1" operator="equal">
      <formula>"Towel"</formula>
    </cfRule>
    <cfRule type="cellIs" dxfId="13946" priority="2140" stopIfTrue="1" operator="equal">
      <formula>"Napkin Hs"</formula>
    </cfRule>
  </conditionalFormatting>
  <conditionalFormatting sqref="B131:C131">
    <cfRule type="cellIs" dxfId="13945" priority="2135" stopIfTrue="1" operator="equal">
      <formula>"Towel"</formula>
    </cfRule>
    <cfRule type="cellIs" dxfId="13944" priority="2136" stopIfTrue="1" operator="equal">
      <formula>"Napkin Hs"</formula>
    </cfRule>
  </conditionalFormatting>
  <conditionalFormatting sqref="B131:C131">
    <cfRule type="cellIs" dxfId="13943" priority="2129" stopIfTrue="1" operator="equal">
      <formula>"Towel"</formula>
    </cfRule>
    <cfRule type="cellIs" dxfId="13942" priority="2130" stopIfTrue="1" operator="equal">
      <formula>"Napkin Hs"</formula>
    </cfRule>
  </conditionalFormatting>
  <conditionalFormatting sqref="C131">
    <cfRule type="cellIs" dxfId="13941" priority="2131" stopIfTrue="1" operator="equal">
      <formula>"Towel"</formula>
    </cfRule>
    <cfRule type="cellIs" dxfId="13940" priority="2132" stopIfTrue="1" operator="equal">
      <formula>"Napkin Hs"</formula>
    </cfRule>
  </conditionalFormatting>
  <conditionalFormatting sqref="C131">
    <cfRule type="cellIs" dxfId="13939" priority="2133" stopIfTrue="1" operator="equal">
      <formula>"Towel"</formula>
    </cfRule>
    <cfRule type="cellIs" dxfId="13938" priority="2134" stopIfTrue="1" operator="equal">
      <formula>"Napkin Hs"</formula>
    </cfRule>
  </conditionalFormatting>
  <conditionalFormatting sqref="C131">
    <cfRule type="cellIs" dxfId="13937" priority="2101" stopIfTrue="1" operator="equal">
      <formula>"Towel"</formula>
    </cfRule>
    <cfRule type="cellIs" dxfId="13936" priority="2102" stopIfTrue="1" operator="equal">
      <formula>"Napkin Hs"</formula>
    </cfRule>
  </conditionalFormatting>
  <conditionalFormatting sqref="C131">
    <cfRule type="cellIs" dxfId="13935" priority="2103" stopIfTrue="1" operator="equal">
      <formula>"Towel"</formula>
    </cfRule>
    <cfRule type="cellIs" dxfId="13934" priority="2104" stopIfTrue="1" operator="equal">
      <formula>"Napkin Hs"</formula>
    </cfRule>
  </conditionalFormatting>
  <conditionalFormatting sqref="C131">
    <cfRule type="cellIs" dxfId="13933" priority="2099" stopIfTrue="1" operator="equal">
      <formula>"Towel"</formula>
    </cfRule>
    <cfRule type="cellIs" dxfId="13932" priority="2100" stopIfTrue="1" operator="equal">
      <formula>"Napkin Hs"</formula>
    </cfRule>
  </conditionalFormatting>
  <conditionalFormatting sqref="B131">
    <cfRule type="cellIs" dxfId="13931" priority="2093" stopIfTrue="1" operator="equal">
      <formula>"Towel"</formula>
    </cfRule>
    <cfRule type="cellIs" dxfId="13930" priority="2094" stopIfTrue="1" operator="equal">
      <formula>"Napkin Hs"</formula>
    </cfRule>
  </conditionalFormatting>
  <conditionalFormatting sqref="C131">
    <cfRule type="cellIs" dxfId="13929" priority="2095" stopIfTrue="1" operator="equal">
      <formula>"Towel"</formula>
    </cfRule>
    <cfRule type="cellIs" dxfId="13928" priority="2096" stopIfTrue="1" operator="equal">
      <formula>"Napkin Hs"</formula>
    </cfRule>
  </conditionalFormatting>
  <conditionalFormatting sqref="C131">
    <cfRule type="cellIs" dxfId="13927" priority="2097" stopIfTrue="1" operator="equal">
      <formula>"Towel"</formula>
    </cfRule>
    <cfRule type="cellIs" dxfId="13926" priority="2098" stopIfTrue="1" operator="equal">
      <formula>"Napkin Hs"</formula>
    </cfRule>
  </conditionalFormatting>
  <conditionalFormatting sqref="B131:C131">
    <cfRule type="cellIs" dxfId="13925" priority="2047" stopIfTrue="1" operator="equal">
      <formula>"Towel"</formula>
    </cfRule>
    <cfRule type="cellIs" dxfId="13924" priority="2048" stopIfTrue="1" operator="equal">
      <formula>"Napkin Hs"</formula>
    </cfRule>
  </conditionalFormatting>
  <conditionalFormatting sqref="C131">
    <cfRule type="cellIs" dxfId="13923" priority="2049" stopIfTrue="1" operator="equal">
      <formula>"Towel"</formula>
    </cfRule>
    <cfRule type="cellIs" dxfId="13922" priority="2050" stopIfTrue="1" operator="equal">
      <formula>"Napkin Hs"</formula>
    </cfRule>
  </conditionalFormatting>
  <conditionalFormatting sqref="C131">
    <cfRule type="cellIs" dxfId="13921" priority="2045" stopIfTrue="1" operator="equal">
      <formula>"Towel"</formula>
    </cfRule>
    <cfRule type="cellIs" dxfId="13920" priority="2046" stopIfTrue="1" operator="equal">
      <formula>"Napkin Hs"</formula>
    </cfRule>
  </conditionalFormatting>
  <conditionalFormatting sqref="C131">
    <cfRule type="cellIs" dxfId="13919" priority="2043" stopIfTrue="1" operator="equal">
      <formula>"Towel"</formula>
    </cfRule>
    <cfRule type="cellIs" dxfId="13918" priority="2044" stopIfTrue="1" operator="equal">
      <formula>"Napkin Hs"</formula>
    </cfRule>
  </conditionalFormatting>
  <conditionalFormatting sqref="B131">
    <cfRule type="cellIs" dxfId="13917" priority="2091" stopIfTrue="1" operator="equal">
      <formula>"Towel"</formula>
    </cfRule>
    <cfRule type="cellIs" dxfId="13916" priority="2092" stopIfTrue="1" operator="equal">
      <formula>"Napkin Hs"</formula>
    </cfRule>
  </conditionalFormatting>
  <conditionalFormatting sqref="C131">
    <cfRule type="cellIs" dxfId="13915" priority="2087" stopIfTrue="1" operator="equal">
      <formula>"Towel"</formula>
    </cfRule>
    <cfRule type="cellIs" dxfId="13914" priority="2088" stopIfTrue="1" operator="equal">
      <formula>"Napkin Hs"</formula>
    </cfRule>
  </conditionalFormatting>
  <conditionalFormatting sqref="C131">
    <cfRule type="cellIs" dxfId="13913" priority="2081" stopIfTrue="1" operator="equal">
      <formula>"Towel"</formula>
    </cfRule>
    <cfRule type="cellIs" dxfId="13912" priority="2082" stopIfTrue="1" operator="equal">
      <formula>"Napkin Hs"</formula>
    </cfRule>
  </conditionalFormatting>
  <conditionalFormatting sqref="C131">
    <cfRule type="cellIs" dxfId="13911" priority="2085" stopIfTrue="1" operator="equal">
      <formula>"Towel"</formula>
    </cfRule>
    <cfRule type="cellIs" dxfId="13910" priority="2086" stopIfTrue="1" operator="equal">
      <formula>"Napkin Hs"</formula>
    </cfRule>
  </conditionalFormatting>
  <conditionalFormatting sqref="B131:C131">
    <cfRule type="cellIs" dxfId="13909" priority="2083" stopIfTrue="1" operator="equal">
      <formula>"Towel"</formula>
    </cfRule>
    <cfRule type="cellIs" dxfId="13908" priority="2084" stopIfTrue="1" operator="equal">
      <formula>"Napkin Hs"</formula>
    </cfRule>
  </conditionalFormatting>
  <conditionalFormatting sqref="C131">
    <cfRule type="cellIs" dxfId="13907" priority="2075" stopIfTrue="1" operator="equal">
      <formula>"Towel"</formula>
    </cfRule>
    <cfRule type="cellIs" dxfId="13906" priority="2076" stopIfTrue="1" operator="equal">
      <formula>"Napkin Hs"</formula>
    </cfRule>
  </conditionalFormatting>
  <conditionalFormatting sqref="C131">
    <cfRule type="cellIs" dxfId="13905" priority="2077" stopIfTrue="1" operator="equal">
      <formula>"Towel"</formula>
    </cfRule>
    <cfRule type="cellIs" dxfId="13904" priority="2078" stopIfTrue="1" operator="equal">
      <formula>"Napkin Hs"</formula>
    </cfRule>
  </conditionalFormatting>
  <conditionalFormatting sqref="C131">
    <cfRule type="cellIs" dxfId="13903" priority="2079" stopIfTrue="1" operator="equal">
      <formula>"Towel"</formula>
    </cfRule>
    <cfRule type="cellIs" dxfId="13902" priority="2080" stopIfTrue="1" operator="equal">
      <formula>"Napkin Hs"</formula>
    </cfRule>
  </conditionalFormatting>
  <conditionalFormatting sqref="C131">
    <cfRule type="cellIs" dxfId="13901" priority="2069" stopIfTrue="1" operator="equal">
      <formula>"Towel"</formula>
    </cfRule>
    <cfRule type="cellIs" dxfId="13900" priority="2070" stopIfTrue="1" operator="equal">
      <formula>"Napkin Hs"</formula>
    </cfRule>
  </conditionalFormatting>
  <conditionalFormatting sqref="B131:C131">
    <cfRule type="cellIs" dxfId="13899" priority="2073" stopIfTrue="1" operator="equal">
      <formula>"Towel"</formula>
    </cfRule>
    <cfRule type="cellIs" dxfId="13898" priority="2074" stopIfTrue="1" operator="equal">
      <formula>"Napkin Hs"</formula>
    </cfRule>
  </conditionalFormatting>
  <conditionalFormatting sqref="C131">
    <cfRule type="cellIs" dxfId="13897" priority="2071" stopIfTrue="1" operator="equal">
      <formula>"Towel"</formula>
    </cfRule>
    <cfRule type="cellIs" dxfId="13896" priority="2072" stopIfTrue="1" operator="equal">
      <formula>"Napkin Hs"</formula>
    </cfRule>
  </conditionalFormatting>
  <conditionalFormatting sqref="B131:C131">
    <cfRule type="cellIs" dxfId="13895" priority="2063" stopIfTrue="1" operator="equal">
      <formula>"Towel"</formula>
    </cfRule>
    <cfRule type="cellIs" dxfId="13894" priority="2064" stopIfTrue="1" operator="equal">
      <formula>"Napkin Hs"</formula>
    </cfRule>
  </conditionalFormatting>
  <conditionalFormatting sqref="C131">
    <cfRule type="cellIs" dxfId="13893" priority="2065" stopIfTrue="1" operator="equal">
      <formula>"Towel"</formula>
    </cfRule>
    <cfRule type="cellIs" dxfId="13892" priority="2066" stopIfTrue="1" operator="equal">
      <formula>"Napkin Hs"</formula>
    </cfRule>
  </conditionalFormatting>
  <conditionalFormatting sqref="B131:C131">
    <cfRule type="cellIs" dxfId="13891" priority="2067" stopIfTrue="1" operator="equal">
      <formula>"Towel"</formula>
    </cfRule>
    <cfRule type="cellIs" dxfId="13890" priority="2068" stopIfTrue="1" operator="equal">
      <formula>"Napkin Hs"</formula>
    </cfRule>
  </conditionalFormatting>
  <conditionalFormatting sqref="C131">
    <cfRule type="cellIs" dxfId="13889" priority="2061" stopIfTrue="1" operator="equal">
      <formula>"Towel"</formula>
    </cfRule>
    <cfRule type="cellIs" dxfId="13888" priority="2062" stopIfTrue="1" operator="equal">
      <formula>"Napkin Hs"</formula>
    </cfRule>
  </conditionalFormatting>
  <conditionalFormatting sqref="C131">
    <cfRule type="cellIs" dxfId="13887" priority="2057" stopIfTrue="1" operator="equal">
      <formula>"Towel"</formula>
    </cfRule>
    <cfRule type="cellIs" dxfId="13886" priority="2058" stopIfTrue="1" operator="equal">
      <formula>"Napkin Hs"</formula>
    </cfRule>
  </conditionalFormatting>
  <conditionalFormatting sqref="B131:C131">
    <cfRule type="cellIs" dxfId="13885" priority="2059" stopIfTrue="1" operator="equal">
      <formula>"Towel"</formula>
    </cfRule>
    <cfRule type="cellIs" dxfId="13884" priority="2060" stopIfTrue="1" operator="equal">
      <formula>"Napkin Hs"</formula>
    </cfRule>
  </conditionalFormatting>
  <conditionalFormatting sqref="C131">
    <cfRule type="cellIs" dxfId="13883" priority="2055" stopIfTrue="1" operator="equal">
      <formula>"Towel"</formula>
    </cfRule>
    <cfRule type="cellIs" dxfId="13882" priority="2056" stopIfTrue="1" operator="equal">
      <formula>"Napkin Hs"</formula>
    </cfRule>
  </conditionalFormatting>
  <conditionalFormatting sqref="C131">
    <cfRule type="cellIs" dxfId="13881" priority="2053" stopIfTrue="1" operator="equal">
      <formula>"Towel"</formula>
    </cfRule>
    <cfRule type="cellIs" dxfId="13880" priority="2054" stopIfTrue="1" operator="equal">
      <formula>"Napkin Hs"</formula>
    </cfRule>
  </conditionalFormatting>
  <conditionalFormatting sqref="B131:C131">
    <cfRule type="cellIs" dxfId="13879" priority="2051" stopIfTrue="1" operator="equal">
      <formula>"Towel"</formula>
    </cfRule>
    <cfRule type="cellIs" dxfId="13878" priority="2052" stopIfTrue="1" operator="equal">
      <formula>"Napkin Hs"</formula>
    </cfRule>
  </conditionalFormatting>
  <conditionalFormatting sqref="B131:C131">
    <cfRule type="cellIs" dxfId="13877" priority="2127" stopIfTrue="1" operator="equal">
      <formula>"Towel"</formula>
    </cfRule>
    <cfRule type="cellIs" dxfId="13876" priority="2128" stopIfTrue="1" operator="equal">
      <formula>"Napkin Hs"</formula>
    </cfRule>
  </conditionalFormatting>
  <conditionalFormatting sqref="C131">
    <cfRule type="cellIs" dxfId="13875" priority="2123" stopIfTrue="1" operator="equal">
      <formula>"Towel"</formula>
    </cfRule>
    <cfRule type="cellIs" dxfId="13874" priority="2124" stopIfTrue="1" operator="equal">
      <formula>"Napkin Hs"</formula>
    </cfRule>
  </conditionalFormatting>
  <conditionalFormatting sqref="C131">
    <cfRule type="cellIs" dxfId="13873" priority="2126" stopIfTrue="1" operator="equal">
      <formula>"Napkin Hs"</formula>
    </cfRule>
  </conditionalFormatting>
  <conditionalFormatting sqref="C131">
    <cfRule type="cellIs" dxfId="13872" priority="2125" stopIfTrue="1" operator="equal">
      <formula>"Towel"</formula>
    </cfRule>
  </conditionalFormatting>
  <conditionalFormatting sqref="C131">
    <cfRule type="cellIs" dxfId="13871" priority="2117" stopIfTrue="1" operator="equal">
      <formula>"Towel"</formula>
    </cfRule>
    <cfRule type="cellIs" dxfId="13870" priority="2118" stopIfTrue="1" operator="equal">
      <formula>"Napkin Hs"</formula>
    </cfRule>
  </conditionalFormatting>
  <conditionalFormatting sqref="C131">
    <cfRule type="cellIs" dxfId="13869" priority="2121" stopIfTrue="1" operator="equal">
      <formula>"Towel"</formula>
    </cfRule>
    <cfRule type="cellIs" dxfId="13868" priority="2122" stopIfTrue="1" operator="equal">
      <formula>"Napkin Hs"</formula>
    </cfRule>
  </conditionalFormatting>
  <conditionalFormatting sqref="B131">
    <cfRule type="cellIs" dxfId="13867" priority="2107" stopIfTrue="1" operator="equal">
      <formula>"Towel"</formula>
    </cfRule>
    <cfRule type="cellIs" dxfId="13866" priority="2108" stopIfTrue="1" operator="equal">
      <formula>"Napkin Hs"</formula>
    </cfRule>
  </conditionalFormatting>
  <conditionalFormatting sqref="C131">
    <cfRule type="cellIs" dxfId="13865" priority="2119" stopIfTrue="1" operator="equal">
      <formula>"Towel"</formula>
    </cfRule>
    <cfRule type="cellIs" dxfId="13864" priority="2120" stopIfTrue="1" operator="equal">
      <formula>"Napkin Hs"</formula>
    </cfRule>
  </conditionalFormatting>
  <conditionalFormatting sqref="C131">
    <cfRule type="cellIs" dxfId="13863" priority="2111" stopIfTrue="1" operator="equal">
      <formula>"Towel"</formula>
    </cfRule>
    <cfRule type="cellIs" dxfId="13862" priority="2112" stopIfTrue="1" operator="equal">
      <formula>"Napkin Hs"</formula>
    </cfRule>
  </conditionalFormatting>
  <conditionalFormatting sqref="C131">
    <cfRule type="cellIs" dxfId="13861" priority="2113" stopIfTrue="1" operator="equal">
      <formula>"Towel"</formula>
    </cfRule>
    <cfRule type="cellIs" dxfId="13860" priority="2114" stopIfTrue="1" operator="equal">
      <formula>"Napkin Hs"</formula>
    </cfRule>
  </conditionalFormatting>
  <conditionalFormatting sqref="C131">
    <cfRule type="cellIs" dxfId="13859" priority="2115" stopIfTrue="1" operator="equal">
      <formula>"Towel"</formula>
    </cfRule>
    <cfRule type="cellIs" dxfId="13858" priority="2116" stopIfTrue="1" operator="equal">
      <formula>"Napkin Hs"</formula>
    </cfRule>
  </conditionalFormatting>
  <conditionalFormatting sqref="B131">
    <cfRule type="cellIs" dxfId="13857" priority="2109" stopIfTrue="1" operator="equal">
      <formula>"Towel"</formula>
    </cfRule>
    <cfRule type="cellIs" dxfId="13856" priority="2110" stopIfTrue="1" operator="equal">
      <formula>"Napkin Hs"</formula>
    </cfRule>
  </conditionalFormatting>
  <conditionalFormatting sqref="C131">
    <cfRule type="cellIs" dxfId="13855" priority="2105" stopIfTrue="1" operator="equal">
      <formula>"Towel"</formula>
    </cfRule>
    <cfRule type="cellIs" dxfId="13854" priority="2106" stopIfTrue="1" operator="equal">
      <formula>"Napkin Hs"</formula>
    </cfRule>
  </conditionalFormatting>
  <conditionalFormatting sqref="B131:C131">
    <cfRule type="cellIs" dxfId="13853" priority="2089" stopIfTrue="1" operator="equal">
      <formula>"Towel"</formula>
    </cfRule>
    <cfRule type="cellIs" dxfId="13852" priority="2090" stopIfTrue="1" operator="equal">
      <formula>"Napkin Hs"</formula>
    </cfRule>
  </conditionalFormatting>
  <conditionalFormatting sqref="B131">
    <cfRule type="cellIs" dxfId="13851" priority="2041" stopIfTrue="1" operator="equal">
      <formula>"Towel"</formula>
    </cfRule>
    <cfRule type="cellIs" dxfId="13850" priority="2042" stopIfTrue="1" operator="equal">
      <formula>"Napkin Hs"</formula>
    </cfRule>
  </conditionalFormatting>
  <conditionalFormatting sqref="B131">
    <cfRule type="cellIs" dxfId="13849" priority="2039" stopIfTrue="1" operator="equal">
      <formula>"Towel"</formula>
    </cfRule>
    <cfRule type="cellIs" dxfId="13848" priority="2040" stopIfTrue="1" operator="equal">
      <formula>"Napkin Hs"</formula>
    </cfRule>
  </conditionalFormatting>
  <conditionalFormatting sqref="B131">
    <cfRule type="cellIs" dxfId="13847" priority="2037" stopIfTrue="1" operator="equal">
      <formula>"Towel"</formula>
    </cfRule>
    <cfRule type="cellIs" dxfId="13846" priority="2038" stopIfTrue="1" operator="equal">
      <formula>"Napkin Hs"</formula>
    </cfRule>
  </conditionalFormatting>
  <conditionalFormatting sqref="B131">
    <cfRule type="cellIs" dxfId="13845" priority="2031" stopIfTrue="1" operator="equal">
      <formula>"Towel"</formula>
    </cfRule>
    <cfRule type="cellIs" dxfId="13844" priority="2032" stopIfTrue="1" operator="equal">
      <formula>"Napkin Hs"</formula>
    </cfRule>
  </conditionalFormatting>
  <conditionalFormatting sqref="B131">
    <cfRule type="cellIs" dxfId="13843" priority="2035" stopIfTrue="1" operator="equal">
      <formula>"Towel"</formula>
    </cfRule>
    <cfRule type="cellIs" dxfId="13842" priority="2036" stopIfTrue="1" operator="equal">
      <formula>"Napkin Hs"</formula>
    </cfRule>
  </conditionalFormatting>
  <conditionalFormatting sqref="B131">
    <cfRule type="cellIs" dxfId="13841" priority="2033" stopIfTrue="1" operator="equal">
      <formula>"Towel"</formula>
    </cfRule>
    <cfRule type="cellIs" dxfId="13840" priority="2034" stopIfTrue="1" operator="equal">
      <formula>"Napkin Hs"</formula>
    </cfRule>
  </conditionalFormatting>
  <conditionalFormatting sqref="B131">
    <cfRule type="cellIs" dxfId="13839" priority="2029" stopIfTrue="1" operator="equal">
      <formula>"Towel"</formula>
    </cfRule>
    <cfRule type="cellIs" dxfId="13838" priority="2030" stopIfTrue="1" operator="equal">
      <formula>"Napkin Hs"</formula>
    </cfRule>
  </conditionalFormatting>
  <conditionalFormatting sqref="B131">
    <cfRule type="cellIs" dxfId="13837" priority="2027" stopIfTrue="1" operator="equal">
      <formula>"Towel"</formula>
    </cfRule>
    <cfRule type="cellIs" dxfId="13836" priority="2028" stopIfTrue="1" operator="equal">
      <formula>"Napkin Hs"</formula>
    </cfRule>
  </conditionalFormatting>
  <conditionalFormatting sqref="B131">
    <cfRule type="cellIs" dxfId="13835" priority="2023" stopIfTrue="1" operator="equal">
      <formula>"Towel"</formula>
    </cfRule>
    <cfRule type="cellIs" dxfId="13834" priority="2024" stopIfTrue="1" operator="equal">
      <formula>"Napkin Hs"</formula>
    </cfRule>
  </conditionalFormatting>
  <conditionalFormatting sqref="B131">
    <cfRule type="cellIs" dxfId="13833" priority="2021" stopIfTrue="1" operator="equal">
      <formula>"Towel"</formula>
    </cfRule>
    <cfRule type="cellIs" dxfId="13832" priority="2022" stopIfTrue="1" operator="equal">
      <formula>"Napkin Hs"</formula>
    </cfRule>
  </conditionalFormatting>
  <conditionalFormatting sqref="B131">
    <cfRule type="cellIs" dxfId="13831" priority="2025" stopIfTrue="1" operator="equal">
      <formula>"Towel"</formula>
    </cfRule>
    <cfRule type="cellIs" dxfId="13830" priority="2026" stopIfTrue="1" operator="equal">
      <formula>"Napkin Hs"</formula>
    </cfRule>
  </conditionalFormatting>
  <conditionalFormatting sqref="B131">
    <cfRule type="cellIs" dxfId="13829" priority="2019" stopIfTrue="1" operator="equal">
      <formula>"Towel"</formula>
    </cfRule>
    <cfRule type="cellIs" dxfId="13828" priority="2020" stopIfTrue="1" operator="equal">
      <formula>"Napkin Hs"</formula>
    </cfRule>
  </conditionalFormatting>
  <conditionalFormatting sqref="B131">
    <cfRule type="cellIs" dxfId="13827" priority="2017" stopIfTrue="1" operator="equal">
      <formula>"Towel"</formula>
    </cfRule>
    <cfRule type="cellIs" dxfId="13826" priority="2018" stopIfTrue="1" operator="equal">
      <formula>"Napkin Hs"</formula>
    </cfRule>
  </conditionalFormatting>
  <conditionalFormatting sqref="B131">
    <cfRule type="cellIs" dxfId="13825" priority="2015" stopIfTrue="1" operator="equal">
      <formula>"Towel"</formula>
    </cfRule>
    <cfRule type="cellIs" dxfId="13824" priority="2016" stopIfTrue="1" operator="equal">
      <formula>"Napkin Hs"</formula>
    </cfRule>
  </conditionalFormatting>
  <conditionalFormatting sqref="B131">
    <cfRule type="cellIs" dxfId="13823" priority="2013" stopIfTrue="1" operator="equal">
      <formula>"Towel"</formula>
    </cfRule>
    <cfRule type="cellIs" dxfId="13822" priority="2014" stopIfTrue="1" operator="equal">
      <formula>"Napkin Hs"</formula>
    </cfRule>
  </conditionalFormatting>
  <conditionalFormatting sqref="C131">
    <cfRule type="cellIs" dxfId="13821" priority="2009" stopIfTrue="1" operator="equal">
      <formula>"Towel"</formula>
    </cfRule>
    <cfRule type="cellIs" dxfId="13820" priority="2010" stopIfTrue="1" operator="equal">
      <formula>"Napkin Hs"</formula>
    </cfRule>
  </conditionalFormatting>
  <conditionalFormatting sqref="C131">
    <cfRule type="cellIs" dxfId="13819" priority="2011" stopIfTrue="1" operator="equal">
      <formula>"Towel"</formula>
    </cfRule>
    <cfRule type="cellIs" dxfId="13818" priority="2012" stopIfTrue="1" operator="equal">
      <formula>"Napkin Hs"</formula>
    </cfRule>
  </conditionalFormatting>
  <conditionalFormatting sqref="C131">
    <cfRule type="cellIs" dxfId="13817" priority="2005" stopIfTrue="1" operator="equal">
      <formula>"Towel"</formula>
    </cfRule>
    <cfRule type="cellIs" dxfId="13816" priority="2006" stopIfTrue="1" operator="equal">
      <formula>"Napkin Hs"</formula>
    </cfRule>
  </conditionalFormatting>
  <conditionalFormatting sqref="B131:C131">
    <cfRule type="cellIs" dxfId="13815" priority="2007" stopIfTrue="1" operator="equal">
      <formula>"Towel"</formula>
    </cfRule>
    <cfRule type="cellIs" dxfId="13814" priority="2008" stopIfTrue="1" operator="equal">
      <formula>"Napkin Hs"</formula>
    </cfRule>
  </conditionalFormatting>
  <conditionalFormatting sqref="C131">
    <cfRule type="cellIs" dxfId="13813" priority="2003" stopIfTrue="1" operator="equal">
      <formula>"Towel"</formula>
    </cfRule>
    <cfRule type="cellIs" dxfId="13812" priority="2004" stopIfTrue="1" operator="equal">
      <formula>"Napkin Hs"</formula>
    </cfRule>
  </conditionalFormatting>
  <conditionalFormatting sqref="B131:C131">
    <cfRule type="cellIs" dxfId="13811" priority="2001" stopIfTrue="1" operator="equal">
      <formula>"Towel"</formula>
    </cfRule>
    <cfRule type="cellIs" dxfId="13810" priority="2002" stopIfTrue="1" operator="equal">
      <formula>"Napkin Hs"</formula>
    </cfRule>
  </conditionalFormatting>
  <conditionalFormatting sqref="B131:C131">
    <cfRule type="cellIs" dxfId="13809" priority="1999" stopIfTrue="1" operator="equal">
      <formula>"Towel"</formula>
    </cfRule>
    <cfRule type="cellIs" dxfId="13808" priority="2000" stopIfTrue="1" operator="equal">
      <formula>"Napkin Hs"</formula>
    </cfRule>
  </conditionalFormatting>
  <conditionalFormatting sqref="C131">
    <cfRule type="cellIs" dxfId="13807" priority="1993" stopIfTrue="1" operator="equal">
      <formula>"Towel"</formula>
    </cfRule>
    <cfRule type="cellIs" dxfId="13806" priority="1994" stopIfTrue="1" operator="equal">
      <formula>"Napkin Hs"</formula>
    </cfRule>
  </conditionalFormatting>
  <conditionalFormatting sqref="C131">
    <cfRule type="cellIs" dxfId="13805" priority="1995" stopIfTrue="1" operator="equal">
      <formula>"Towel"</formula>
    </cfRule>
    <cfRule type="cellIs" dxfId="13804" priority="1996" stopIfTrue="1" operator="equal">
      <formula>"Napkin Hs"</formula>
    </cfRule>
  </conditionalFormatting>
  <conditionalFormatting sqref="C131">
    <cfRule type="cellIs" dxfId="13803" priority="1991" stopIfTrue="1" operator="equal">
      <formula>"Towel"</formula>
    </cfRule>
    <cfRule type="cellIs" dxfId="13802" priority="1992" stopIfTrue="1" operator="equal">
      <formula>"Napkin Hs"</formula>
    </cfRule>
  </conditionalFormatting>
  <conditionalFormatting sqref="C131">
    <cfRule type="cellIs" dxfId="13801" priority="1989" stopIfTrue="1" operator="equal">
      <formula>"Towel"</formula>
    </cfRule>
    <cfRule type="cellIs" dxfId="13800" priority="1990" stopIfTrue="1" operator="equal">
      <formula>"Napkin Hs"</formula>
    </cfRule>
  </conditionalFormatting>
  <conditionalFormatting sqref="C131">
    <cfRule type="cellIs" dxfId="13799" priority="1985" stopIfTrue="1" operator="equal">
      <formula>"Towel"</formula>
    </cfRule>
    <cfRule type="cellIs" dxfId="13798" priority="1986" stopIfTrue="1" operator="equal">
      <formula>"Napkin Hs"</formula>
    </cfRule>
  </conditionalFormatting>
  <conditionalFormatting sqref="C131">
    <cfRule type="cellIs" dxfId="13797" priority="1987" stopIfTrue="1" operator="equal">
      <formula>"Towel"</formula>
    </cfRule>
    <cfRule type="cellIs" dxfId="13796" priority="1988" stopIfTrue="1" operator="equal">
      <formula>"Napkin Hs"</formula>
    </cfRule>
  </conditionalFormatting>
  <conditionalFormatting sqref="C131">
    <cfRule type="cellIs" dxfId="13795" priority="1983" stopIfTrue="1" operator="equal">
      <formula>"Towel"</formula>
    </cfRule>
    <cfRule type="cellIs" dxfId="13794" priority="1984" stopIfTrue="1" operator="equal">
      <formula>"Napkin Hs"</formula>
    </cfRule>
  </conditionalFormatting>
  <conditionalFormatting sqref="C131">
    <cfRule type="cellIs" dxfId="13793" priority="1967" stopIfTrue="1" operator="equal">
      <formula>"Towel"</formula>
    </cfRule>
    <cfRule type="cellIs" dxfId="13792" priority="1968" stopIfTrue="1" operator="equal">
      <formula>"Napkin Hs"</formula>
    </cfRule>
  </conditionalFormatting>
  <conditionalFormatting sqref="B131">
    <cfRule type="cellIs" dxfId="13791" priority="1965" stopIfTrue="1" operator="equal">
      <formula>"Towel"</formula>
    </cfRule>
    <cfRule type="cellIs" dxfId="13790" priority="1966" stopIfTrue="1" operator="equal">
      <formula>"Napkin Hs"</formula>
    </cfRule>
  </conditionalFormatting>
  <conditionalFormatting sqref="B131">
    <cfRule type="cellIs" dxfId="13789" priority="1981" stopIfTrue="1" operator="equal">
      <formula>"Towel"</formula>
    </cfRule>
    <cfRule type="cellIs" dxfId="13788" priority="1982" stopIfTrue="1" operator="equal">
      <formula>"Napkin Hs"</formula>
    </cfRule>
  </conditionalFormatting>
  <conditionalFormatting sqref="C131">
    <cfRule type="cellIs" dxfId="13787" priority="1977" stopIfTrue="1" operator="equal">
      <formula>"Towel"</formula>
    </cfRule>
    <cfRule type="cellIs" dxfId="13786" priority="1978" stopIfTrue="1" operator="equal">
      <formula>"Napkin Hs"</formula>
    </cfRule>
  </conditionalFormatting>
  <conditionalFormatting sqref="B131">
    <cfRule type="cellIs" dxfId="13785" priority="1979" stopIfTrue="1" operator="equal">
      <formula>"Towel"</formula>
    </cfRule>
    <cfRule type="cellIs" dxfId="13784" priority="1980" stopIfTrue="1" operator="equal">
      <formula>"Napkin Hs"</formula>
    </cfRule>
  </conditionalFormatting>
  <conditionalFormatting sqref="C131">
    <cfRule type="cellIs" dxfId="13783" priority="1973" stopIfTrue="1" operator="equal">
      <formula>"Towel"</formula>
    </cfRule>
    <cfRule type="cellIs" dxfId="13782" priority="1974" stopIfTrue="1" operator="equal">
      <formula>"Napkin Hs"</formula>
    </cfRule>
  </conditionalFormatting>
  <conditionalFormatting sqref="C131">
    <cfRule type="cellIs" dxfId="13781" priority="1975" stopIfTrue="1" operator="equal">
      <formula>"Towel"</formula>
    </cfRule>
    <cfRule type="cellIs" dxfId="13780" priority="1976" stopIfTrue="1" operator="equal">
      <formula>"Napkin Hs"</formula>
    </cfRule>
  </conditionalFormatting>
  <conditionalFormatting sqref="C131">
    <cfRule type="cellIs" dxfId="13779" priority="1971" stopIfTrue="1" operator="equal">
      <formula>"Towel"</formula>
    </cfRule>
    <cfRule type="cellIs" dxfId="13778" priority="1972" stopIfTrue="1" operator="equal">
      <formula>"Napkin Hs"</formula>
    </cfRule>
  </conditionalFormatting>
  <conditionalFormatting sqref="C131">
    <cfRule type="cellIs" dxfId="13777" priority="1969" stopIfTrue="1" operator="equal">
      <formula>"Towel"</formula>
    </cfRule>
    <cfRule type="cellIs" dxfId="13776" priority="1970" stopIfTrue="1" operator="equal">
      <formula>"Napkin Hs"</formula>
    </cfRule>
  </conditionalFormatting>
  <conditionalFormatting sqref="B131">
    <cfRule type="cellIs" dxfId="13775" priority="1963" stopIfTrue="1" operator="equal">
      <formula>"Towel"</formula>
    </cfRule>
    <cfRule type="cellIs" dxfId="13774" priority="1964" stopIfTrue="1" operator="equal">
      <formula>"Napkin Hs"</formula>
    </cfRule>
  </conditionalFormatting>
  <conditionalFormatting sqref="B131:C131">
    <cfRule type="cellIs" dxfId="13773" priority="1961" stopIfTrue="1" operator="equal">
      <formula>"Towel"</formula>
    </cfRule>
    <cfRule type="cellIs" dxfId="13772" priority="1962" stopIfTrue="1" operator="equal">
      <formula>"Napkin Hs"</formula>
    </cfRule>
  </conditionalFormatting>
  <conditionalFormatting sqref="C131">
    <cfRule type="cellIs" dxfId="13771" priority="1959" stopIfTrue="1" operator="equal">
      <formula>"Towel"</formula>
    </cfRule>
    <cfRule type="cellIs" dxfId="13770" priority="1960" stopIfTrue="1" operator="equal">
      <formula>"Napkin Hs"</formula>
    </cfRule>
  </conditionalFormatting>
  <conditionalFormatting sqref="C131">
    <cfRule type="cellIs" dxfId="13769" priority="1957" stopIfTrue="1" operator="equal">
      <formula>"Towel"</formula>
    </cfRule>
    <cfRule type="cellIs" dxfId="13768" priority="1958" stopIfTrue="1" operator="equal">
      <formula>"Napkin Hs"</formula>
    </cfRule>
  </conditionalFormatting>
  <conditionalFormatting sqref="C131">
    <cfRule type="cellIs" dxfId="13767" priority="1947" stopIfTrue="1" operator="equal">
      <formula>"Towel"</formula>
    </cfRule>
    <cfRule type="cellIs" dxfId="13766" priority="1948" stopIfTrue="1" operator="equal">
      <formula>"Napkin Hs"</formula>
    </cfRule>
  </conditionalFormatting>
  <conditionalFormatting sqref="C131">
    <cfRule type="cellIs" dxfId="13765" priority="1949" stopIfTrue="1" operator="equal">
      <formula>"Towel"</formula>
    </cfRule>
    <cfRule type="cellIs" dxfId="13764" priority="1950" stopIfTrue="1" operator="equal">
      <formula>"Napkin Hs"</formula>
    </cfRule>
  </conditionalFormatting>
  <conditionalFormatting sqref="B131:C131">
    <cfRule type="cellIs" dxfId="13763" priority="1945" stopIfTrue="1" operator="equal">
      <formula>"Towel"</formula>
    </cfRule>
    <cfRule type="cellIs" dxfId="13762" priority="1946" stopIfTrue="1" operator="equal">
      <formula>"Napkin Hs"</formula>
    </cfRule>
  </conditionalFormatting>
  <conditionalFormatting sqref="C131">
    <cfRule type="cellIs" dxfId="13761" priority="1943" stopIfTrue="1" operator="equal">
      <formula>"Towel"</formula>
    </cfRule>
    <cfRule type="cellIs" dxfId="13760" priority="1944" stopIfTrue="1" operator="equal">
      <formula>"Napkin Hs"</formula>
    </cfRule>
  </conditionalFormatting>
  <conditionalFormatting sqref="B131:C131">
    <cfRule type="cellIs" dxfId="13759" priority="1939" stopIfTrue="1" operator="equal">
      <formula>"Towel"</formula>
    </cfRule>
    <cfRule type="cellIs" dxfId="13758" priority="1940" stopIfTrue="1" operator="equal">
      <formula>"Napkin Hs"</formula>
    </cfRule>
  </conditionalFormatting>
  <conditionalFormatting sqref="C131">
    <cfRule type="cellIs" dxfId="13757" priority="1941" stopIfTrue="1" operator="equal">
      <formula>"Towel"</formula>
    </cfRule>
    <cfRule type="cellIs" dxfId="13756" priority="1942" stopIfTrue="1" operator="equal">
      <formula>"Napkin Hs"</formula>
    </cfRule>
  </conditionalFormatting>
  <conditionalFormatting sqref="C131">
    <cfRule type="cellIs" dxfId="13755" priority="1998" stopIfTrue="1" operator="equal">
      <formula>"Napkin Hs"</formula>
    </cfRule>
  </conditionalFormatting>
  <conditionalFormatting sqref="C131">
    <cfRule type="cellIs" dxfId="13754" priority="1997" stopIfTrue="1" operator="equal">
      <formula>"Towel"</formula>
    </cfRule>
  </conditionalFormatting>
  <conditionalFormatting sqref="B131:C131">
    <cfRule type="cellIs" dxfId="13753" priority="1955" stopIfTrue="1" operator="equal">
      <formula>"Towel"</formula>
    </cfRule>
    <cfRule type="cellIs" dxfId="13752" priority="1956" stopIfTrue="1" operator="equal">
      <formula>"Napkin Hs"</formula>
    </cfRule>
  </conditionalFormatting>
  <conditionalFormatting sqref="C131">
    <cfRule type="cellIs" dxfId="13751" priority="1953" stopIfTrue="1" operator="equal">
      <formula>"Towel"</formula>
    </cfRule>
    <cfRule type="cellIs" dxfId="13750" priority="1954" stopIfTrue="1" operator="equal">
      <formula>"Napkin Hs"</formula>
    </cfRule>
  </conditionalFormatting>
  <conditionalFormatting sqref="C131">
    <cfRule type="cellIs" dxfId="13749" priority="1951" stopIfTrue="1" operator="equal">
      <formula>"Towel"</formula>
    </cfRule>
    <cfRule type="cellIs" dxfId="13748" priority="1952" stopIfTrue="1" operator="equal">
      <formula>"Napkin Hs"</formula>
    </cfRule>
  </conditionalFormatting>
  <conditionalFormatting sqref="B131:C131">
    <cfRule type="cellIs" dxfId="13747" priority="1935" stopIfTrue="1" operator="equal">
      <formula>"Towel"</formula>
    </cfRule>
    <cfRule type="cellIs" dxfId="13746" priority="1936" stopIfTrue="1" operator="equal">
      <formula>"Napkin Hs"</formula>
    </cfRule>
  </conditionalFormatting>
  <conditionalFormatting sqref="C131">
    <cfRule type="cellIs" dxfId="13745" priority="1937" stopIfTrue="1" operator="equal">
      <formula>"Towel"</formula>
    </cfRule>
    <cfRule type="cellIs" dxfId="13744" priority="1938" stopIfTrue="1" operator="equal">
      <formula>"Napkin Hs"</formula>
    </cfRule>
  </conditionalFormatting>
  <conditionalFormatting sqref="C131">
    <cfRule type="cellIs" dxfId="13743" priority="1933" stopIfTrue="1" operator="equal">
      <formula>"Towel"</formula>
    </cfRule>
    <cfRule type="cellIs" dxfId="13742" priority="1934" stopIfTrue="1" operator="equal">
      <formula>"Napkin Hs"</formula>
    </cfRule>
  </conditionalFormatting>
  <conditionalFormatting sqref="B131:C131">
    <cfRule type="cellIs" dxfId="13741" priority="1931" stopIfTrue="1" operator="equal">
      <formula>"Towel"</formula>
    </cfRule>
    <cfRule type="cellIs" dxfId="13740" priority="1932" stopIfTrue="1" operator="equal">
      <formula>"Napkin Hs"</formula>
    </cfRule>
  </conditionalFormatting>
  <conditionalFormatting sqref="C131">
    <cfRule type="cellIs" dxfId="13739" priority="1927" stopIfTrue="1" operator="equal">
      <formula>"Towel"</formula>
    </cfRule>
    <cfRule type="cellIs" dxfId="13738" priority="1928" stopIfTrue="1" operator="equal">
      <formula>"Napkin Hs"</formula>
    </cfRule>
  </conditionalFormatting>
  <conditionalFormatting sqref="C131">
    <cfRule type="cellIs" dxfId="13737" priority="1929" stopIfTrue="1" operator="equal">
      <formula>"Towel"</formula>
    </cfRule>
    <cfRule type="cellIs" dxfId="13736" priority="1930" stopIfTrue="1" operator="equal">
      <formula>"Napkin Hs"</formula>
    </cfRule>
  </conditionalFormatting>
  <conditionalFormatting sqref="B131:C131">
    <cfRule type="cellIs" dxfId="13735" priority="1923" stopIfTrue="1" operator="equal">
      <formula>"Towel"</formula>
    </cfRule>
    <cfRule type="cellIs" dxfId="13734" priority="1924" stopIfTrue="1" operator="equal">
      <formula>"Napkin Hs"</formula>
    </cfRule>
  </conditionalFormatting>
  <conditionalFormatting sqref="C131">
    <cfRule type="cellIs" dxfId="13733" priority="1925" stopIfTrue="1" operator="equal">
      <formula>"Towel"</formula>
    </cfRule>
    <cfRule type="cellIs" dxfId="13732" priority="1926" stopIfTrue="1" operator="equal">
      <formula>"Napkin Hs"</formula>
    </cfRule>
  </conditionalFormatting>
  <conditionalFormatting sqref="C131">
    <cfRule type="cellIs" dxfId="13731" priority="1921" stopIfTrue="1" operator="equal">
      <formula>"Towel"</formula>
    </cfRule>
    <cfRule type="cellIs" dxfId="13730" priority="1922" stopIfTrue="1" operator="equal">
      <formula>"Napkin Hs"</formula>
    </cfRule>
  </conditionalFormatting>
  <conditionalFormatting sqref="B131:C131">
    <cfRule type="cellIs" dxfId="13729" priority="1919" stopIfTrue="1" operator="equal">
      <formula>"Towel"</formula>
    </cfRule>
    <cfRule type="cellIs" dxfId="13728" priority="1920" stopIfTrue="1" operator="equal">
      <formula>"Napkin Hs"</formula>
    </cfRule>
  </conditionalFormatting>
  <conditionalFormatting sqref="C131">
    <cfRule type="cellIs" dxfId="13727" priority="1915" stopIfTrue="1" operator="equal">
      <formula>"Towel"</formula>
    </cfRule>
    <cfRule type="cellIs" dxfId="13726" priority="1916" stopIfTrue="1" operator="equal">
      <formula>"Napkin Hs"</formula>
    </cfRule>
  </conditionalFormatting>
  <conditionalFormatting sqref="C131">
    <cfRule type="cellIs" dxfId="13725" priority="1917" stopIfTrue="1" operator="equal">
      <formula>"Towel"</formula>
    </cfRule>
    <cfRule type="cellIs" dxfId="13724" priority="1918" stopIfTrue="1" operator="equal">
      <formula>"Napkin Hs"</formula>
    </cfRule>
  </conditionalFormatting>
  <conditionalFormatting sqref="C132">
    <cfRule type="cellIs" dxfId="13723" priority="1609" stopIfTrue="1" operator="equal">
      <formula>"Towel"</formula>
    </cfRule>
    <cfRule type="cellIs" dxfId="13722" priority="1610" stopIfTrue="1" operator="equal">
      <formula>"Napkin Hs"</formula>
    </cfRule>
  </conditionalFormatting>
  <conditionalFormatting sqref="C132">
    <cfRule type="cellIs" dxfId="13721" priority="1607" stopIfTrue="1" operator="equal">
      <formula>"Towel"</formula>
    </cfRule>
    <cfRule type="cellIs" dxfId="13720" priority="1608" stopIfTrue="1" operator="equal">
      <formula>"Napkin Hs"</formula>
    </cfRule>
  </conditionalFormatting>
  <conditionalFormatting sqref="B132:C132">
    <cfRule type="cellIs" dxfId="13719" priority="1605" stopIfTrue="1" operator="equal">
      <formula>"Towel"</formula>
    </cfRule>
    <cfRule type="cellIs" dxfId="13718" priority="1606" stopIfTrue="1" operator="equal">
      <formula>"Napkin Hs"</formula>
    </cfRule>
  </conditionalFormatting>
  <conditionalFormatting sqref="B132:C132">
    <cfRule type="cellIs" dxfId="13717" priority="1615" stopIfTrue="1" operator="equal">
      <formula>"Towel"</formula>
    </cfRule>
    <cfRule type="cellIs" dxfId="13716" priority="1616" stopIfTrue="1" operator="equal">
      <formula>"Napkin Hs"</formula>
    </cfRule>
  </conditionalFormatting>
  <conditionalFormatting sqref="C132">
    <cfRule type="cellIs" dxfId="13715" priority="1613" stopIfTrue="1" operator="equal">
      <formula>"Towel"</formula>
    </cfRule>
    <cfRule type="cellIs" dxfId="13714" priority="1614" stopIfTrue="1" operator="equal">
      <formula>"Napkin Hs"</formula>
    </cfRule>
  </conditionalFormatting>
  <conditionalFormatting sqref="C132">
    <cfRule type="cellIs" dxfId="13713" priority="1611" stopIfTrue="1" operator="equal">
      <formula>"Towel"</formula>
    </cfRule>
    <cfRule type="cellIs" dxfId="13712" priority="1612" stopIfTrue="1" operator="equal">
      <formula>"Napkin Hs"</formula>
    </cfRule>
  </conditionalFormatting>
  <conditionalFormatting sqref="C132">
    <cfRule type="cellIs" dxfId="13711" priority="1603" stopIfTrue="1" operator="equal">
      <formula>"Towel"</formula>
    </cfRule>
    <cfRule type="cellIs" dxfId="13710" priority="1604" stopIfTrue="1" operator="equal">
      <formula>"Napkin Hs"</formula>
    </cfRule>
  </conditionalFormatting>
  <conditionalFormatting sqref="C132">
    <cfRule type="cellIs" dxfId="13709" priority="1601" stopIfTrue="1" operator="equal">
      <formula>"Towel"</formula>
    </cfRule>
    <cfRule type="cellIs" dxfId="13708" priority="1602" stopIfTrue="1" operator="equal">
      <formula>"Napkin Hs"</formula>
    </cfRule>
  </conditionalFormatting>
  <conditionalFormatting sqref="B132:C132">
    <cfRule type="cellIs" dxfId="13707" priority="1599" stopIfTrue="1" operator="equal">
      <formula>"Towel"</formula>
    </cfRule>
    <cfRule type="cellIs" dxfId="13706" priority="1600" stopIfTrue="1" operator="equal">
      <formula>"Napkin Hs"</formula>
    </cfRule>
  </conditionalFormatting>
  <conditionalFormatting sqref="B132">
    <cfRule type="cellIs" dxfId="13705" priority="1597" stopIfTrue="1" operator="equal">
      <formula>"Towel"</formula>
    </cfRule>
    <cfRule type="cellIs" dxfId="13704" priority="1598" stopIfTrue="1" operator="equal">
      <formula>"Napkin Hs"</formula>
    </cfRule>
  </conditionalFormatting>
  <conditionalFormatting sqref="B132">
    <cfRule type="cellIs" dxfId="13703" priority="1595" stopIfTrue="1" operator="equal">
      <formula>"Towel"</formula>
    </cfRule>
    <cfRule type="cellIs" dxfId="13702" priority="1596" stopIfTrue="1" operator="equal">
      <formula>"Napkin Hs"</formula>
    </cfRule>
  </conditionalFormatting>
  <conditionalFormatting sqref="B132">
    <cfRule type="cellIs" dxfId="13701" priority="1593" stopIfTrue="1" operator="equal">
      <formula>"Towel"</formula>
    </cfRule>
    <cfRule type="cellIs" dxfId="13700" priority="1594" stopIfTrue="1" operator="equal">
      <formula>"Napkin Hs"</formula>
    </cfRule>
  </conditionalFormatting>
  <conditionalFormatting sqref="B132:C132">
    <cfRule type="cellIs" dxfId="13699" priority="1591" stopIfTrue="1" operator="equal">
      <formula>"Towel"</formula>
    </cfRule>
    <cfRule type="cellIs" dxfId="13698" priority="1592" stopIfTrue="1" operator="equal">
      <formula>"Napkin Hs"</formula>
    </cfRule>
  </conditionalFormatting>
  <conditionalFormatting sqref="C132">
    <cfRule type="cellIs" dxfId="13697" priority="1589" stopIfTrue="1" operator="equal">
      <formula>"Towel"</formula>
    </cfRule>
    <cfRule type="cellIs" dxfId="13696" priority="1590" stopIfTrue="1" operator="equal">
      <formula>"Napkin Hs"</formula>
    </cfRule>
  </conditionalFormatting>
  <conditionalFormatting sqref="C132">
    <cfRule type="cellIs" dxfId="13695" priority="1587" stopIfTrue="1" operator="equal">
      <formula>"Towel"</formula>
    </cfRule>
    <cfRule type="cellIs" dxfId="13694" priority="1588" stopIfTrue="1" operator="equal">
      <formula>"Napkin Hs"</formula>
    </cfRule>
  </conditionalFormatting>
  <conditionalFormatting sqref="C132">
    <cfRule type="cellIs" dxfId="13693" priority="1579" stopIfTrue="1" operator="equal">
      <formula>"Towel"</formula>
    </cfRule>
    <cfRule type="cellIs" dxfId="13692" priority="1580" stopIfTrue="1" operator="equal">
      <formula>"Napkin Hs"</formula>
    </cfRule>
  </conditionalFormatting>
  <conditionalFormatting sqref="B132:C132">
    <cfRule type="cellIs" dxfId="13691" priority="1581" stopIfTrue="1" operator="equal">
      <formula>"Towel"</formula>
    </cfRule>
    <cfRule type="cellIs" dxfId="13690" priority="1582" stopIfTrue="1" operator="equal">
      <formula>"Napkin Hs"</formula>
    </cfRule>
  </conditionalFormatting>
  <conditionalFormatting sqref="C132">
    <cfRule type="cellIs" dxfId="13689" priority="1577" stopIfTrue="1" operator="equal">
      <formula>"Towel"</formula>
    </cfRule>
    <cfRule type="cellIs" dxfId="13688" priority="1578" stopIfTrue="1" operator="equal">
      <formula>"Napkin Hs"</formula>
    </cfRule>
  </conditionalFormatting>
  <conditionalFormatting sqref="B132:C132">
    <cfRule type="cellIs" dxfId="13687" priority="1575" stopIfTrue="1" operator="equal">
      <formula>"Towel"</formula>
    </cfRule>
    <cfRule type="cellIs" dxfId="13686" priority="1576" stopIfTrue="1" operator="equal">
      <formula>"Napkin Hs"</formula>
    </cfRule>
  </conditionalFormatting>
  <conditionalFormatting sqref="C132">
    <cfRule type="cellIs" dxfId="13685" priority="1583" stopIfTrue="1" operator="equal">
      <formula>"Towel"</formula>
    </cfRule>
    <cfRule type="cellIs" dxfId="13684" priority="1584" stopIfTrue="1" operator="equal">
      <formula>"Napkin Hs"</formula>
    </cfRule>
  </conditionalFormatting>
  <conditionalFormatting sqref="C132">
    <cfRule type="cellIs" dxfId="13683" priority="1585" stopIfTrue="1" operator="equal">
      <formula>"Towel"</formula>
    </cfRule>
    <cfRule type="cellIs" dxfId="13682" priority="1586" stopIfTrue="1" operator="equal">
      <formula>"Napkin Hs"</formula>
    </cfRule>
  </conditionalFormatting>
  <conditionalFormatting sqref="B132:C132">
    <cfRule type="cellIs" dxfId="13681" priority="1571" stopIfTrue="1" operator="equal">
      <formula>"Towel"</formula>
    </cfRule>
    <cfRule type="cellIs" dxfId="13680" priority="1572" stopIfTrue="1" operator="equal">
      <formula>"Napkin Hs"</formula>
    </cfRule>
  </conditionalFormatting>
  <conditionalFormatting sqref="C132">
    <cfRule type="cellIs" dxfId="13679" priority="1573" stopIfTrue="1" operator="equal">
      <formula>"Towel"</formula>
    </cfRule>
    <cfRule type="cellIs" dxfId="13678" priority="1574" stopIfTrue="1" operator="equal">
      <formula>"Napkin Hs"</formula>
    </cfRule>
  </conditionalFormatting>
  <conditionalFormatting sqref="C132">
    <cfRule type="cellIs" dxfId="13677" priority="1569" stopIfTrue="1" operator="equal">
      <formula>"Towel"</formula>
    </cfRule>
    <cfRule type="cellIs" dxfId="13676" priority="1570" stopIfTrue="1" operator="equal">
      <formula>"Napkin Hs"</formula>
    </cfRule>
  </conditionalFormatting>
  <conditionalFormatting sqref="B132">
    <cfRule type="cellIs" dxfId="13675" priority="1565" stopIfTrue="1" operator="equal">
      <formula>"Towel"</formula>
    </cfRule>
    <cfRule type="cellIs" dxfId="13674" priority="1566" stopIfTrue="1" operator="equal">
      <formula>"Napkin Hs"</formula>
    </cfRule>
  </conditionalFormatting>
  <conditionalFormatting sqref="B132">
    <cfRule type="cellIs" dxfId="13673" priority="1567" stopIfTrue="1" operator="equal">
      <formula>"Towel"</formula>
    </cfRule>
    <cfRule type="cellIs" dxfId="13672" priority="1568" stopIfTrue="1" operator="equal">
      <formula>"Napkin Hs"</formula>
    </cfRule>
  </conditionalFormatting>
  <conditionalFormatting sqref="B132">
    <cfRule type="cellIs" dxfId="13671" priority="1563" stopIfTrue="1" operator="equal">
      <formula>"Towel"</formula>
    </cfRule>
    <cfRule type="cellIs" dxfId="13670" priority="1564" stopIfTrue="1" operator="equal">
      <formula>"Napkin Hs"</formula>
    </cfRule>
  </conditionalFormatting>
  <conditionalFormatting sqref="B132:C132">
    <cfRule type="cellIs" dxfId="13669" priority="1561" stopIfTrue="1" operator="equal">
      <formula>"Towel"</formula>
    </cfRule>
    <cfRule type="cellIs" dxfId="13668" priority="1562" stopIfTrue="1" operator="equal">
      <formula>"Napkin Hs"</formula>
    </cfRule>
  </conditionalFormatting>
  <conditionalFormatting sqref="C132">
    <cfRule type="cellIs" dxfId="13667" priority="1559" stopIfTrue="1" operator="equal">
      <formula>"Towel"</formula>
    </cfRule>
    <cfRule type="cellIs" dxfId="13666" priority="1560" stopIfTrue="1" operator="equal">
      <formula>"Napkin Hs"</formula>
    </cfRule>
  </conditionalFormatting>
  <conditionalFormatting sqref="C132">
    <cfRule type="cellIs" dxfId="13665" priority="1557" stopIfTrue="1" operator="equal">
      <formula>"Towel"</formula>
    </cfRule>
    <cfRule type="cellIs" dxfId="13664" priority="1558" stopIfTrue="1" operator="equal">
      <formula>"Napkin Hs"</formula>
    </cfRule>
  </conditionalFormatting>
  <conditionalFormatting sqref="C132">
    <cfRule type="cellIs" dxfId="13663" priority="1549" stopIfTrue="1" operator="equal">
      <formula>"Towel"</formula>
    </cfRule>
    <cfRule type="cellIs" dxfId="13662" priority="1550" stopIfTrue="1" operator="equal">
      <formula>"Napkin Hs"</formula>
    </cfRule>
  </conditionalFormatting>
  <conditionalFormatting sqref="B132:C132">
    <cfRule type="cellIs" dxfId="13661" priority="1551" stopIfTrue="1" operator="equal">
      <formula>"Towel"</formula>
    </cfRule>
    <cfRule type="cellIs" dxfId="13660" priority="1552" stopIfTrue="1" operator="equal">
      <formula>"Napkin Hs"</formula>
    </cfRule>
  </conditionalFormatting>
  <conditionalFormatting sqref="C132">
    <cfRule type="cellIs" dxfId="13659" priority="1547" stopIfTrue="1" operator="equal">
      <formula>"Towel"</formula>
    </cfRule>
    <cfRule type="cellIs" dxfId="13658" priority="1548" stopIfTrue="1" operator="equal">
      <formula>"Napkin Hs"</formula>
    </cfRule>
  </conditionalFormatting>
  <conditionalFormatting sqref="B132:C132">
    <cfRule type="cellIs" dxfId="13657" priority="1545" stopIfTrue="1" operator="equal">
      <formula>"Towel"</formula>
    </cfRule>
    <cfRule type="cellIs" dxfId="13656" priority="1546" stopIfTrue="1" operator="equal">
      <formula>"Napkin Hs"</formula>
    </cfRule>
  </conditionalFormatting>
  <conditionalFormatting sqref="C132">
    <cfRule type="cellIs" dxfId="13655" priority="1553" stopIfTrue="1" operator="equal">
      <formula>"Towel"</formula>
    </cfRule>
    <cfRule type="cellIs" dxfId="13654" priority="1554" stopIfTrue="1" operator="equal">
      <formula>"Napkin Hs"</formula>
    </cfRule>
  </conditionalFormatting>
  <conditionalFormatting sqref="C132">
    <cfRule type="cellIs" dxfId="13653" priority="1555" stopIfTrue="1" operator="equal">
      <formula>"Towel"</formula>
    </cfRule>
    <cfRule type="cellIs" dxfId="13652" priority="1556" stopIfTrue="1" operator="equal">
      <formula>"Napkin Hs"</formula>
    </cfRule>
  </conditionalFormatting>
  <conditionalFormatting sqref="C132">
    <cfRule type="cellIs" dxfId="13651" priority="1541" stopIfTrue="1" operator="equal">
      <formula>"Towel"</formula>
    </cfRule>
    <cfRule type="cellIs" dxfId="13650" priority="1542" stopIfTrue="1" operator="equal">
      <formula>"Napkin Hs"</formula>
    </cfRule>
  </conditionalFormatting>
  <conditionalFormatting sqref="C132">
    <cfRule type="cellIs" dxfId="13649" priority="1543" stopIfTrue="1" operator="equal">
      <formula>"Towel"</formula>
    </cfRule>
    <cfRule type="cellIs" dxfId="13648" priority="1544" stopIfTrue="1" operator="equal">
      <formula>"Napkin Hs"</formula>
    </cfRule>
  </conditionalFormatting>
  <conditionalFormatting sqref="B132:C132">
    <cfRule type="cellIs" dxfId="13647" priority="1539" stopIfTrue="1" operator="equal">
      <formula>"Towel"</formula>
    </cfRule>
    <cfRule type="cellIs" dxfId="13646" priority="1540" stopIfTrue="1" operator="equal">
      <formula>"Napkin Hs"</formula>
    </cfRule>
  </conditionalFormatting>
  <conditionalFormatting sqref="B132:C132">
    <cfRule type="cellIs" dxfId="13645" priority="1533" stopIfTrue="1" operator="equal">
      <formula>"Towel"</formula>
    </cfRule>
    <cfRule type="cellIs" dxfId="13644" priority="1534" stopIfTrue="1" operator="equal">
      <formula>"Napkin Hs"</formula>
    </cfRule>
  </conditionalFormatting>
  <conditionalFormatting sqref="C132">
    <cfRule type="cellIs" dxfId="13643" priority="1535" stopIfTrue="1" operator="equal">
      <formula>"Towel"</formula>
    </cfRule>
    <cfRule type="cellIs" dxfId="13642" priority="1536" stopIfTrue="1" operator="equal">
      <formula>"Napkin Hs"</formula>
    </cfRule>
  </conditionalFormatting>
  <conditionalFormatting sqref="C132">
    <cfRule type="cellIs" dxfId="13641" priority="1537" stopIfTrue="1" operator="equal">
      <formula>"Towel"</formula>
    </cfRule>
    <cfRule type="cellIs" dxfId="13640" priority="1538" stopIfTrue="1" operator="equal">
      <formula>"Napkin Hs"</formula>
    </cfRule>
  </conditionalFormatting>
  <conditionalFormatting sqref="C132">
    <cfRule type="cellIs" dxfId="13639" priority="1505" stopIfTrue="1" operator="equal">
      <formula>"Towel"</formula>
    </cfRule>
    <cfRule type="cellIs" dxfId="13638" priority="1506" stopIfTrue="1" operator="equal">
      <formula>"Napkin Hs"</formula>
    </cfRule>
  </conditionalFormatting>
  <conditionalFormatting sqref="C132">
    <cfRule type="cellIs" dxfId="13637" priority="1507" stopIfTrue="1" operator="equal">
      <formula>"Towel"</formula>
    </cfRule>
    <cfRule type="cellIs" dxfId="13636" priority="1508" stopIfTrue="1" operator="equal">
      <formula>"Napkin Hs"</formula>
    </cfRule>
  </conditionalFormatting>
  <conditionalFormatting sqref="C132">
    <cfRule type="cellIs" dxfId="13635" priority="1503" stopIfTrue="1" operator="equal">
      <formula>"Towel"</formula>
    </cfRule>
    <cfRule type="cellIs" dxfId="13634" priority="1504" stopIfTrue="1" operator="equal">
      <formula>"Napkin Hs"</formula>
    </cfRule>
  </conditionalFormatting>
  <conditionalFormatting sqref="B132">
    <cfRule type="cellIs" dxfId="13633" priority="1497" stopIfTrue="1" operator="equal">
      <formula>"Towel"</formula>
    </cfRule>
    <cfRule type="cellIs" dxfId="13632" priority="1498" stopIfTrue="1" operator="equal">
      <formula>"Napkin Hs"</formula>
    </cfRule>
  </conditionalFormatting>
  <conditionalFormatting sqref="C132">
    <cfRule type="cellIs" dxfId="13631" priority="1499" stopIfTrue="1" operator="equal">
      <formula>"Towel"</formula>
    </cfRule>
    <cfRule type="cellIs" dxfId="13630" priority="1500" stopIfTrue="1" operator="equal">
      <formula>"Napkin Hs"</formula>
    </cfRule>
  </conditionalFormatting>
  <conditionalFormatting sqref="C132">
    <cfRule type="cellIs" dxfId="13629" priority="1501" stopIfTrue="1" operator="equal">
      <formula>"Towel"</formula>
    </cfRule>
    <cfRule type="cellIs" dxfId="13628" priority="1502" stopIfTrue="1" operator="equal">
      <formula>"Napkin Hs"</formula>
    </cfRule>
  </conditionalFormatting>
  <conditionalFormatting sqref="B132:C132">
    <cfRule type="cellIs" dxfId="13627" priority="1451" stopIfTrue="1" operator="equal">
      <formula>"Towel"</formula>
    </cfRule>
    <cfRule type="cellIs" dxfId="13626" priority="1452" stopIfTrue="1" operator="equal">
      <formula>"Napkin Hs"</formula>
    </cfRule>
  </conditionalFormatting>
  <conditionalFormatting sqref="C132">
    <cfRule type="cellIs" dxfId="13625" priority="1453" stopIfTrue="1" operator="equal">
      <formula>"Towel"</formula>
    </cfRule>
    <cfRule type="cellIs" dxfId="13624" priority="1454" stopIfTrue="1" operator="equal">
      <formula>"Napkin Hs"</formula>
    </cfRule>
  </conditionalFormatting>
  <conditionalFormatting sqref="C132">
    <cfRule type="cellIs" dxfId="13623" priority="1449" stopIfTrue="1" operator="equal">
      <formula>"Towel"</formula>
    </cfRule>
    <cfRule type="cellIs" dxfId="13622" priority="1450" stopIfTrue="1" operator="equal">
      <formula>"Napkin Hs"</formula>
    </cfRule>
  </conditionalFormatting>
  <conditionalFormatting sqref="C132">
    <cfRule type="cellIs" dxfId="13621" priority="1447" stopIfTrue="1" operator="equal">
      <formula>"Towel"</formula>
    </cfRule>
    <cfRule type="cellIs" dxfId="13620" priority="1448" stopIfTrue="1" operator="equal">
      <formula>"Napkin Hs"</formula>
    </cfRule>
  </conditionalFormatting>
  <conditionalFormatting sqref="B132">
    <cfRule type="cellIs" dxfId="13619" priority="1495" stopIfTrue="1" operator="equal">
      <formula>"Towel"</formula>
    </cfRule>
    <cfRule type="cellIs" dxfId="13618" priority="1496" stopIfTrue="1" operator="equal">
      <formula>"Napkin Hs"</formula>
    </cfRule>
  </conditionalFormatting>
  <conditionalFormatting sqref="C132">
    <cfRule type="cellIs" dxfId="13617" priority="1491" stopIfTrue="1" operator="equal">
      <formula>"Towel"</formula>
    </cfRule>
    <cfRule type="cellIs" dxfId="13616" priority="1492" stopIfTrue="1" operator="equal">
      <formula>"Napkin Hs"</formula>
    </cfRule>
  </conditionalFormatting>
  <conditionalFormatting sqref="C132">
    <cfRule type="cellIs" dxfId="13615" priority="1485" stopIfTrue="1" operator="equal">
      <formula>"Towel"</formula>
    </cfRule>
    <cfRule type="cellIs" dxfId="13614" priority="1486" stopIfTrue="1" operator="equal">
      <formula>"Napkin Hs"</formula>
    </cfRule>
  </conditionalFormatting>
  <conditionalFormatting sqref="C132">
    <cfRule type="cellIs" dxfId="13613" priority="1489" stopIfTrue="1" operator="equal">
      <formula>"Towel"</formula>
    </cfRule>
    <cfRule type="cellIs" dxfId="13612" priority="1490" stopIfTrue="1" operator="equal">
      <formula>"Napkin Hs"</formula>
    </cfRule>
  </conditionalFormatting>
  <conditionalFormatting sqref="B132:C132">
    <cfRule type="cellIs" dxfId="13611" priority="1487" stopIfTrue="1" operator="equal">
      <formula>"Towel"</formula>
    </cfRule>
    <cfRule type="cellIs" dxfId="13610" priority="1488" stopIfTrue="1" operator="equal">
      <formula>"Napkin Hs"</formula>
    </cfRule>
  </conditionalFormatting>
  <conditionalFormatting sqref="C132">
    <cfRule type="cellIs" dxfId="13609" priority="1479" stopIfTrue="1" operator="equal">
      <formula>"Towel"</formula>
    </cfRule>
    <cfRule type="cellIs" dxfId="13608" priority="1480" stopIfTrue="1" operator="equal">
      <formula>"Napkin Hs"</formula>
    </cfRule>
  </conditionalFormatting>
  <conditionalFormatting sqref="C132">
    <cfRule type="cellIs" dxfId="13607" priority="1481" stopIfTrue="1" operator="equal">
      <formula>"Towel"</formula>
    </cfRule>
    <cfRule type="cellIs" dxfId="13606" priority="1482" stopIfTrue="1" operator="equal">
      <formula>"Napkin Hs"</formula>
    </cfRule>
  </conditionalFormatting>
  <conditionalFormatting sqref="C132">
    <cfRule type="cellIs" dxfId="13605" priority="1483" stopIfTrue="1" operator="equal">
      <formula>"Towel"</formula>
    </cfRule>
    <cfRule type="cellIs" dxfId="13604" priority="1484" stopIfTrue="1" operator="equal">
      <formula>"Napkin Hs"</formula>
    </cfRule>
  </conditionalFormatting>
  <conditionalFormatting sqref="C132">
    <cfRule type="cellIs" dxfId="13603" priority="1473" stopIfTrue="1" operator="equal">
      <formula>"Towel"</formula>
    </cfRule>
    <cfRule type="cellIs" dxfId="13602" priority="1474" stopIfTrue="1" operator="equal">
      <formula>"Napkin Hs"</formula>
    </cfRule>
  </conditionalFormatting>
  <conditionalFormatting sqref="B132:C132">
    <cfRule type="cellIs" dxfId="13601" priority="1477" stopIfTrue="1" operator="equal">
      <formula>"Towel"</formula>
    </cfRule>
    <cfRule type="cellIs" dxfId="13600" priority="1478" stopIfTrue="1" operator="equal">
      <formula>"Napkin Hs"</formula>
    </cfRule>
  </conditionalFormatting>
  <conditionalFormatting sqref="C132">
    <cfRule type="cellIs" dxfId="13599" priority="1475" stopIfTrue="1" operator="equal">
      <formula>"Towel"</formula>
    </cfRule>
    <cfRule type="cellIs" dxfId="13598" priority="1476" stopIfTrue="1" operator="equal">
      <formula>"Napkin Hs"</formula>
    </cfRule>
  </conditionalFormatting>
  <conditionalFormatting sqref="B132:C132">
    <cfRule type="cellIs" dxfId="13597" priority="1467" stopIfTrue="1" operator="equal">
      <formula>"Towel"</formula>
    </cfRule>
    <cfRule type="cellIs" dxfId="13596" priority="1468" stopIfTrue="1" operator="equal">
      <formula>"Napkin Hs"</formula>
    </cfRule>
  </conditionalFormatting>
  <conditionalFormatting sqref="C132">
    <cfRule type="cellIs" dxfId="13595" priority="1469" stopIfTrue="1" operator="equal">
      <formula>"Towel"</formula>
    </cfRule>
    <cfRule type="cellIs" dxfId="13594" priority="1470" stopIfTrue="1" operator="equal">
      <formula>"Napkin Hs"</formula>
    </cfRule>
  </conditionalFormatting>
  <conditionalFormatting sqref="B132:C132">
    <cfRule type="cellIs" dxfId="13593" priority="1471" stopIfTrue="1" operator="equal">
      <formula>"Towel"</formula>
    </cfRule>
    <cfRule type="cellIs" dxfId="13592" priority="1472" stopIfTrue="1" operator="equal">
      <formula>"Napkin Hs"</formula>
    </cfRule>
  </conditionalFormatting>
  <conditionalFormatting sqref="C132">
    <cfRule type="cellIs" dxfId="13591" priority="1465" stopIfTrue="1" operator="equal">
      <formula>"Towel"</formula>
    </cfRule>
    <cfRule type="cellIs" dxfId="13590" priority="1466" stopIfTrue="1" operator="equal">
      <formula>"Napkin Hs"</formula>
    </cfRule>
  </conditionalFormatting>
  <conditionalFormatting sqref="C132">
    <cfRule type="cellIs" dxfId="13589" priority="1461" stopIfTrue="1" operator="equal">
      <formula>"Towel"</formula>
    </cfRule>
    <cfRule type="cellIs" dxfId="13588" priority="1462" stopIfTrue="1" operator="equal">
      <formula>"Napkin Hs"</formula>
    </cfRule>
  </conditionalFormatting>
  <conditionalFormatting sqref="B132:C132">
    <cfRule type="cellIs" dxfId="13587" priority="1463" stopIfTrue="1" operator="equal">
      <formula>"Towel"</formula>
    </cfRule>
    <cfRule type="cellIs" dxfId="13586" priority="1464" stopIfTrue="1" operator="equal">
      <formula>"Napkin Hs"</formula>
    </cfRule>
  </conditionalFormatting>
  <conditionalFormatting sqref="C132">
    <cfRule type="cellIs" dxfId="13585" priority="1459" stopIfTrue="1" operator="equal">
      <formula>"Towel"</formula>
    </cfRule>
    <cfRule type="cellIs" dxfId="13584" priority="1460" stopIfTrue="1" operator="equal">
      <formula>"Napkin Hs"</formula>
    </cfRule>
  </conditionalFormatting>
  <conditionalFormatting sqref="C132">
    <cfRule type="cellIs" dxfId="13583" priority="1457" stopIfTrue="1" operator="equal">
      <formula>"Towel"</formula>
    </cfRule>
    <cfRule type="cellIs" dxfId="13582" priority="1458" stopIfTrue="1" operator="equal">
      <formula>"Napkin Hs"</formula>
    </cfRule>
  </conditionalFormatting>
  <conditionalFormatting sqref="B132:C132">
    <cfRule type="cellIs" dxfId="13581" priority="1455" stopIfTrue="1" operator="equal">
      <formula>"Towel"</formula>
    </cfRule>
    <cfRule type="cellIs" dxfId="13580" priority="1456" stopIfTrue="1" operator="equal">
      <formula>"Napkin Hs"</formula>
    </cfRule>
  </conditionalFormatting>
  <conditionalFormatting sqref="B132:C132">
    <cfRule type="cellIs" dxfId="13579" priority="1531" stopIfTrue="1" operator="equal">
      <formula>"Towel"</formula>
    </cfRule>
    <cfRule type="cellIs" dxfId="13578" priority="1532" stopIfTrue="1" operator="equal">
      <formula>"Napkin Hs"</formula>
    </cfRule>
  </conditionalFormatting>
  <conditionalFormatting sqref="C132">
    <cfRule type="cellIs" dxfId="13577" priority="1527" stopIfTrue="1" operator="equal">
      <formula>"Towel"</formula>
    </cfRule>
    <cfRule type="cellIs" dxfId="13576" priority="1528" stopIfTrue="1" operator="equal">
      <formula>"Napkin Hs"</formula>
    </cfRule>
  </conditionalFormatting>
  <conditionalFormatting sqref="C132">
    <cfRule type="cellIs" dxfId="13575" priority="1530" stopIfTrue="1" operator="equal">
      <formula>"Napkin Hs"</formula>
    </cfRule>
  </conditionalFormatting>
  <conditionalFormatting sqref="C132">
    <cfRule type="cellIs" dxfId="13574" priority="1529" stopIfTrue="1" operator="equal">
      <formula>"Towel"</formula>
    </cfRule>
  </conditionalFormatting>
  <conditionalFormatting sqref="C132">
    <cfRule type="cellIs" dxfId="13573" priority="1521" stopIfTrue="1" operator="equal">
      <formula>"Towel"</formula>
    </cfRule>
    <cfRule type="cellIs" dxfId="13572" priority="1522" stopIfTrue="1" operator="equal">
      <formula>"Napkin Hs"</formula>
    </cfRule>
  </conditionalFormatting>
  <conditionalFormatting sqref="C132">
    <cfRule type="cellIs" dxfId="13571" priority="1525" stopIfTrue="1" operator="equal">
      <formula>"Towel"</formula>
    </cfRule>
    <cfRule type="cellIs" dxfId="13570" priority="1526" stopIfTrue="1" operator="equal">
      <formula>"Napkin Hs"</formula>
    </cfRule>
  </conditionalFormatting>
  <conditionalFormatting sqref="B132">
    <cfRule type="cellIs" dxfId="13569" priority="1511" stopIfTrue="1" operator="equal">
      <formula>"Towel"</formula>
    </cfRule>
    <cfRule type="cellIs" dxfId="13568" priority="1512" stopIfTrue="1" operator="equal">
      <formula>"Napkin Hs"</formula>
    </cfRule>
  </conditionalFormatting>
  <conditionalFormatting sqref="C132">
    <cfRule type="cellIs" dxfId="13567" priority="1523" stopIfTrue="1" operator="equal">
      <formula>"Towel"</formula>
    </cfRule>
    <cfRule type="cellIs" dxfId="13566" priority="1524" stopIfTrue="1" operator="equal">
      <formula>"Napkin Hs"</formula>
    </cfRule>
  </conditionalFormatting>
  <conditionalFormatting sqref="C132">
    <cfRule type="cellIs" dxfId="13565" priority="1515" stopIfTrue="1" operator="equal">
      <formula>"Towel"</formula>
    </cfRule>
    <cfRule type="cellIs" dxfId="13564" priority="1516" stopIfTrue="1" operator="equal">
      <formula>"Napkin Hs"</formula>
    </cfRule>
  </conditionalFormatting>
  <conditionalFormatting sqref="C132">
    <cfRule type="cellIs" dxfId="13563" priority="1517" stopIfTrue="1" operator="equal">
      <formula>"Towel"</formula>
    </cfRule>
    <cfRule type="cellIs" dxfId="13562" priority="1518" stopIfTrue="1" operator="equal">
      <formula>"Napkin Hs"</formula>
    </cfRule>
  </conditionalFormatting>
  <conditionalFormatting sqref="C132">
    <cfRule type="cellIs" dxfId="13561" priority="1519" stopIfTrue="1" operator="equal">
      <formula>"Towel"</formula>
    </cfRule>
    <cfRule type="cellIs" dxfId="13560" priority="1520" stopIfTrue="1" operator="equal">
      <formula>"Napkin Hs"</formula>
    </cfRule>
  </conditionalFormatting>
  <conditionalFormatting sqref="B132">
    <cfRule type="cellIs" dxfId="13559" priority="1513" stopIfTrue="1" operator="equal">
      <formula>"Towel"</formula>
    </cfRule>
    <cfRule type="cellIs" dxfId="13558" priority="1514" stopIfTrue="1" operator="equal">
      <formula>"Napkin Hs"</formula>
    </cfRule>
  </conditionalFormatting>
  <conditionalFormatting sqref="C132">
    <cfRule type="cellIs" dxfId="13557" priority="1509" stopIfTrue="1" operator="equal">
      <formula>"Towel"</formula>
    </cfRule>
    <cfRule type="cellIs" dxfId="13556" priority="1510" stopIfTrue="1" operator="equal">
      <formula>"Napkin Hs"</formula>
    </cfRule>
  </conditionalFormatting>
  <conditionalFormatting sqref="B132:C132">
    <cfRule type="cellIs" dxfId="13555" priority="1493" stopIfTrue="1" operator="equal">
      <formula>"Towel"</formula>
    </cfRule>
    <cfRule type="cellIs" dxfId="13554" priority="1494" stopIfTrue="1" operator="equal">
      <formula>"Napkin Hs"</formula>
    </cfRule>
  </conditionalFormatting>
  <conditionalFormatting sqref="B132">
    <cfRule type="cellIs" dxfId="13553" priority="1445" stopIfTrue="1" operator="equal">
      <formula>"Towel"</formula>
    </cfRule>
    <cfRule type="cellIs" dxfId="13552" priority="1446" stopIfTrue="1" operator="equal">
      <formula>"Napkin Hs"</formula>
    </cfRule>
  </conditionalFormatting>
  <conditionalFormatting sqref="B132">
    <cfRule type="cellIs" dxfId="13551" priority="1443" stopIfTrue="1" operator="equal">
      <formula>"Towel"</formula>
    </cfRule>
    <cfRule type="cellIs" dxfId="13550" priority="1444" stopIfTrue="1" operator="equal">
      <formula>"Napkin Hs"</formula>
    </cfRule>
  </conditionalFormatting>
  <conditionalFormatting sqref="B132">
    <cfRule type="cellIs" dxfId="13549" priority="1441" stopIfTrue="1" operator="equal">
      <formula>"Towel"</formula>
    </cfRule>
    <cfRule type="cellIs" dxfId="13548" priority="1442" stopIfTrue="1" operator="equal">
      <formula>"Napkin Hs"</formula>
    </cfRule>
  </conditionalFormatting>
  <conditionalFormatting sqref="B132">
    <cfRule type="cellIs" dxfId="13547" priority="1435" stopIfTrue="1" operator="equal">
      <formula>"Towel"</formula>
    </cfRule>
    <cfRule type="cellIs" dxfId="13546" priority="1436" stopIfTrue="1" operator="equal">
      <formula>"Napkin Hs"</formula>
    </cfRule>
  </conditionalFormatting>
  <conditionalFormatting sqref="B132">
    <cfRule type="cellIs" dxfId="13545" priority="1439" stopIfTrue="1" operator="equal">
      <formula>"Towel"</formula>
    </cfRule>
    <cfRule type="cellIs" dxfId="13544" priority="1440" stopIfTrue="1" operator="equal">
      <formula>"Napkin Hs"</formula>
    </cfRule>
  </conditionalFormatting>
  <conditionalFormatting sqref="B132">
    <cfRule type="cellIs" dxfId="13543" priority="1437" stopIfTrue="1" operator="equal">
      <formula>"Towel"</formula>
    </cfRule>
    <cfRule type="cellIs" dxfId="13542" priority="1438" stopIfTrue="1" operator="equal">
      <formula>"Napkin Hs"</formula>
    </cfRule>
  </conditionalFormatting>
  <conditionalFormatting sqref="B132">
    <cfRule type="cellIs" dxfId="13541" priority="1433" stopIfTrue="1" operator="equal">
      <formula>"Towel"</formula>
    </cfRule>
    <cfRule type="cellIs" dxfId="13540" priority="1434" stopIfTrue="1" operator="equal">
      <formula>"Napkin Hs"</formula>
    </cfRule>
  </conditionalFormatting>
  <conditionalFormatting sqref="B132">
    <cfRule type="cellIs" dxfId="13539" priority="1431" stopIfTrue="1" operator="equal">
      <formula>"Towel"</formula>
    </cfRule>
    <cfRule type="cellIs" dxfId="13538" priority="1432" stopIfTrue="1" operator="equal">
      <formula>"Napkin Hs"</formula>
    </cfRule>
  </conditionalFormatting>
  <conditionalFormatting sqref="B132">
    <cfRule type="cellIs" dxfId="13537" priority="1427" stopIfTrue="1" operator="equal">
      <formula>"Towel"</formula>
    </cfRule>
    <cfRule type="cellIs" dxfId="13536" priority="1428" stopIfTrue="1" operator="equal">
      <formula>"Napkin Hs"</formula>
    </cfRule>
  </conditionalFormatting>
  <conditionalFormatting sqref="B132">
    <cfRule type="cellIs" dxfId="13535" priority="1425" stopIfTrue="1" operator="equal">
      <formula>"Towel"</formula>
    </cfRule>
    <cfRule type="cellIs" dxfId="13534" priority="1426" stopIfTrue="1" operator="equal">
      <formula>"Napkin Hs"</formula>
    </cfRule>
  </conditionalFormatting>
  <conditionalFormatting sqref="B132">
    <cfRule type="cellIs" dxfId="13533" priority="1429" stopIfTrue="1" operator="equal">
      <formula>"Towel"</formula>
    </cfRule>
    <cfRule type="cellIs" dxfId="13532" priority="1430" stopIfTrue="1" operator="equal">
      <formula>"Napkin Hs"</formula>
    </cfRule>
  </conditionalFormatting>
  <conditionalFormatting sqref="B132">
    <cfRule type="cellIs" dxfId="13531" priority="1423" stopIfTrue="1" operator="equal">
      <formula>"Towel"</formula>
    </cfRule>
    <cfRule type="cellIs" dxfId="13530" priority="1424" stopIfTrue="1" operator="equal">
      <formula>"Napkin Hs"</formula>
    </cfRule>
  </conditionalFormatting>
  <conditionalFormatting sqref="B132">
    <cfRule type="cellIs" dxfId="13529" priority="1421" stopIfTrue="1" operator="equal">
      <formula>"Towel"</formula>
    </cfRule>
    <cfRule type="cellIs" dxfId="13528" priority="1422" stopIfTrue="1" operator="equal">
      <formula>"Napkin Hs"</formula>
    </cfRule>
  </conditionalFormatting>
  <conditionalFormatting sqref="B132">
    <cfRule type="cellIs" dxfId="13527" priority="1419" stopIfTrue="1" operator="equal">
      <formula>"Towel"</formula>
    </cfRule>
    <cfRule type="cellIs" dxfId="13526" priority="1420" stopIfTrue="1" operator="equal">
      <formula>"Napkin Hs"</formula>
    </cfRule>
  </conditionalFormatting>
  <conditionalFormatting sqref="B132">
    <cfRule type="cellIs" dxfId="13525" priority="1417" stopIfTrue="1" operator="equal">
      <formula>"Towel"</formula>
    </cfRule>
    <cfRule type="cellIs" dxfId="13524" priority="1418" stopIfTrue="1" operator="equal">
      <formula>"Napkin Hs"</formula>
    </cfRule>
  </conditionalFormatting>
  <conditionalFormatting sqref="C132">
    <cfRule type="cellIs" dxfId="13523" priority="1413" stopIfTrue="1" operator="equal">
      <formula>"Towel"</formula>
    </cfRule>
    <cfRule type="cellIs" dxfId="13522" priority="1414" stopIfTrue="1" operator="equal">
      <formula>"Napkin Hs"</formula>
    </cfRule>
  </conditionalFormatting>
  <conditionalFormatting sqref="C132">
    <cfRule type="cellIs" dxfId="13521" priority="1415" stopIfTrue="1" operator="equal">
      <formula>"Towel"</formula>
    </cfRule>
    <cfRule type="cellIs" dxfId="13520" priority="1416" stopIfTrue="1" operator="equal">
      <formula>"Napkin Hs"</formula>
    </cfRule>
  </conditionalFormatting>
  <conditionalFormatting sqref="C132">
    <cfRule type="cellIs" dxfId="13519" priority="1409" stopIfTrue="1" operator="equal">
      <formula>"Towel"</formula>
    </cfRule>
    <cfRule type="cellIs" dxfId="13518" priority="1410" stopIfTrue="1" operator="equal">
      <formula>"Napkin Hs"</formula>
    </cfRule>
  </conditionalFormatting>
  <conditionalFormatting sqref="B132:C132">
    <cfRule type="cellIs" dxfId="13517" priority="1411" stopIfTrue="1" operator="equal">
      <formula>"Towel"</formula>
    </cfRule>
    <cfRule type="cellIs" dxfId="13516" priority="1412" stopIfTrue="1" operator="equal">
      <formula>"Napkin Hs"</formula>
    </cfRule>
  </conditionalFormatting>
  <conditionalFormatting sqref="C132">
    <cfRule type="cellIs" dxfId="13515" priority="1407" stopIfTrue="1" operator="equal">
      <formula>"Towel"</formula>
    </cfRule>
    <cfRule type="cellIs" dxfId="13514" priority="1408" stopIfTrue="1" operator="equal">
      <formula>"Napkin Hs"</formula>
    </cfRule>
  </conditionalFormatting>
  <conditionalFormatting sqref="B132:C132">
    <cfRule type="cellIs" dxfId="13513" priority="1405" stopIfTrue="1" operator="equal">
      <formula>"Towel"</formula>
    </cfRule>
    <cfRule type="cellIs" dxfId="13512" priority="1406" stopIfTrue="1" operator="equal">
      <formula>"Napkin Hs"</formula>
    </cfRule>
  </conditionalFormatting>
  <conditionalFormatting sqref="B132:C132">
    <cfRule type="cellIs" dxfId="13511" priority="1403" stopIfTrue="1" operator="equal">
      <formula>"Towel"</formula>
    </cfRule>
    <cfRule type="cellIs" dxfId="13510" priority="1404" stopIfTrue="1" operator="equal">
      <formula>"Napkin Hs"</formula>
    </cfRule>
  </conditionalFormatting>
  <conditionalFormatting sqref="C132">
    <cfRule type="cellIs" dxfId="13509" priority="1397" stopIfTrue="1" operator="equal">
      <formula>"Towel"</formula>
    </cfRule>
    <cfRule type="cellIs" dxfId="13508" priority="1398" stopIfTrue="1" operator="equal">
      <formula>"Napkin Hs"</formula>
    </cfRule>
  </conditionalFormatting>
  <conditionalFormatting sqref="C132">
    <cfRule type="cellIs" dxfId="13507" priority="1399" stopIfTrue="1" operator="equal">
      <formula>"Towel"</formula>
    </cfRule>
    <cfRule type="cellIs" dxfId="13506" priority="1400" stopIfTrue="1" operator="equal">
      <formula>"Napkin Hs"</formula>
    </cfRule>
  </conditionalFormatting>
  <conditionalFormatting sqref="C132">
    <cfRule type="cellIs" dxfId="13505" priority="1395" stopIfTrue="1" operator="equal">
      <formula>"Towel"</formula>
    </cfRule>
    <cfRule type="cellIs" dxfId="13504" priority="1396" stopIfTrue="1" operator="equal">
      <formula>"Napkin Hs"</formula>
    </cfRule>
  </conditionalFormatting>
  <conditionalFormatting sqref="C132">
    <cfRule type="cellIs" dxfId="13503" priority="1393" stopIfTrue="1" operator="equal">
      <formula>"Towel"</formula>
    </cfRule>
    <cfRule type="cellIs" dxfId="13502" priority="1394" stopIfTrue="1" operator="equal">
      <formula>"Napkin Hs"</formula>
    </cfRule>
  </conditionalFormatting>
  <conditionalFormatting sqref="C132">
    <cfRule type="cellIs" dxfId="13501" priority="1389" stopIfTrue="1" operator="equal">
      <formula>"Towel"</formula>
    </cfRule>
    <cfRule type="cellIs" dxfId="13500" priority="1390" stopIfTrue="1" operator="equal">
      <formula>"Napkin Hs"</formula>
    </cfRule>
  </conditionalFormatting>
  <conditionalFormatting sqref="C132">
    <cfRule type="cellIs" dxfId="13499" priority="1391" stopIfTrue="1" operator="equal">
      <formula>"Towel"</formula>
    </cfRule>
    <cfRule type="cellIs" dxfId="13498" priority="1392" stopIfTrue="1" operator="equal">
      <formula>"Napkin Hs"</formula>
    </cfRule>
  </conditionalFormatting>
  <conditionalFormatting sqref="C132">
    <cfRule type="cellIs" dxfId="13497" priority="1387" stopIfTrue="1" operator="equal">
      <formula>"Towel"</formula>
    </cfRule>
    <cfRule type="cellIs" dxfId="13496" priority="1388" stopIfTrue="1" operator="equal">
      <formula>"Napkin Hs"</formula>
    </cfRule>
  </conditionalFormatting>
  <conditionalFormatting sqref="C132">
    <cfRule type="cellIs" dxfId="13495" priority="1371" stopIfTrue="1" operator="equal">
      <formula>"Towel"</formula>
    </cfRule>
    <cfRule type="cellIs" dxfId="13494" priority="1372" stopIfTrue="1" operator="equal">
      <formula>"Napkin Hs"</formula>
    </cfRule>
  </conditionalFormatting>
  <conditionalFormatting sqref="B132">
    <cfRule type="cellIs" dxfId="13493" priority="1369" stopIfTrue="1" operator="equal">
      <formula>"Towel"</formula>
    </cfRule>
    <cfRule type="cellIs" dxfId="13492" priority="1370" stopIfTrue="1" operator="equal">
      <formula>"Napkin Hs"</formula>
    </cfRule>
  </conditionalFormatting>
  <conditionalFormatting sqref="B132">
    <cfRule type="cellIs" dxfId="13491" priority="1385" stopIfTrue="1" operator="equal">
      <formula>"Towel"</formula>
    </cfRule>
    <cfRule type="cellIs" dxfId="13490" priority="1386" stopIfTrue="1" operator="equal">
      <formula>"Napkin Hs"</formula>
    </cfRule>
  </conditionalFormatting>
  <conditionalFormatting sqref="C132">
    <cfRule type="cellIs" dxfId="13489" priority="1381" stopIfTrue="1" operator="equal">
      <formula>"Towel"</formula>
    </cfRule>
    <cfRule type="cellIs" dxfId="13488" priority="1382" stopIfTrue="1" operator="equal">
      <formula>"Napkin Hs"</formula>
    </cfRule>
  </conditionalFormatting>
  <conditionalFormatting sqref="B132">
    <cfRule type="cellIs" dxfId="13487" priority="1383" stopIfTrue="1" operator="equal">
      <formula>"Towel"</formula>
    </cfRule>
    <cfRule type="cellIs" dxfId="13486" priority="1384" stopIfTrue="1" operator="equal">
      <formula>"Napkin Hs"</formula>
    </cfRule>
  </conditionalFormatting>
  <conditionalFormatting sqref="C132">
    <cfRule type="cellIs" dxfId="13485" priority="1377" stopIfTrue="1" operator="equal">
      <formula>"Towel"</formula>
    </cfRule>
    <cfRule type="cellIs" dxfId="13484" priority="1378" stopIfTrue="1" operator="equal">
      <formula>"Napkin Hs"</formula>
    </cfRule>
  </conditionalFormatting>
  <conditionalFormatting sqref="C132">
    <cfRule type="cellIs" dxfId="13483" priority="1379" stopIfTrue="1" operator="equal">
      <formula>"Towel"</formula>
    </cfRule>
    <cfRule type="cellIs" dxfId="13482" priority="1380" stopIfTrue="1" operator="equal">
      <formula>"Napkin Hs"</formula>
    </cfRule>
  </conditionalFormatting>
  <conditionalFormatting sqref="C132">
    <cfRule type="cellIs" dxfId="13481" priority="1375" stopIfTrue="1" operator="equal">
      <formula>"Towel"</formula>
    </cfRule>
    <cfRule type="cellIs" dxfId="13480" priority="1376" stopIfTrue="1" operator="equal">
      <formula>"Napkin Hs"</formula>
    </cfRule>
  </conditionalFormatting>
  <conditionalFormatting sqref="C132">
    <cfRule type="cellIs" dxfId="13479" priority="1373" stopIfTrue="1" operator="equal">
      <formula>"Towel"</formula>
    </cfRule>
    <cfRule type="cellIs" dxfId="13478" priority="1374" stopIfTrue="1" operator="equal">
      <formula>"Napkin Hs"</formula>
    </cfRule>
  </conditionalFormatting>
  <conditionalFormatting sqref="B132">
    <cfRule type="cellIs" dxfId="13477" priority="1367" stopIfTrue="1" operator="equal">
      <formula>"Towel"</formula>
    </cfRule>
    <cfRule type="cellIs" dxfId="13476" priority="1368" stopIfTrue="1" operator="equal">
      <formula>"Napkin Hs"</formula>
    </cfRule>
  </conditionalFormatting>
  <conditionalFormatting sqref="B132:C132">
    <cfRule type="cellIs" dxfId="13475" priority="1365" stopIfTrue="1" operator="equal">
      <formula>"Towel"</formula>
    </cfRule>
    <cfRule type="cellIs" dxfId="13474" priority="1366" stopIfTrue="1" operator="equal">
      <formula>"Napkin Hs"</formula>
    </cfRule>
  </conditionalFormatting>
  <conditionalFormatting sqref="C132">
    <cfRule type="cellIs" dxfId="13473" priority="1363" stopIfTrue="1" operator="equal">
      <formula>"Towel"</formula>
    </cfRule>
    <cfRule type="cellIs" dxfId="13472" priority="1364" stopIfTrue="1" operator="equal">
      <formula>"Napkin Hs"</formula>
    </cfRule>
  </conditionalFormatting>
  <conditionalFormatting sqref="C132">
    <cfRule type="cellIs" dxfId="13471" priority="1361" stopIfTrue="1" operator="equal">
      <formula>"Towel"</formula>
    </cfRule>
    <cfRule type="cellIs" dxfId="13470" priority="1362" stopIfTrue="1" operator="equal">
      <formula>"Napkin Hs"</formula>
    </cfRule>
  </conditionalFormatting>
  <conditionalFormatting sqref="C132">
    <cfRule type="cellIs" dxfId="13469" priority="1351" stopIfTrue="1" operator="equal">
      <formula>"Towel"</formula>
    </cfRule>
    <cfRule type="cellIs" dxfId="13468" priority="1352" stopIfTrue="1" operator="equal">
      <formula>"Napkin Hs"</formula>
    </cfRule>
  </conditionalFormatting>
  <conditionalFormatting sqref="C132">
    <cfRule type="cellIs" dxfId="13467" priority="1353" stopIfTrue="1" operator="equal">
      <formula>"Towel"</formula>
    </cfRule>
    <cfRule type="cellIs" dxfId="13466" priority="1354" stopIfTrue="1" operator="equal">
      <formula>"Napkin Hs"</formula>
    </cfRule>
  </conditionalFormatting>
  <conditionalFormatting sqref="B132:C132">
    <cfRule type="cellIs" dxfId="13465" priority="1349" stopIfTrue="1" operator="equal">
      <formula>"Towel"</formula>
    </cfRule>
    <cfRule type="cellIs" dxfId="13464" priority="1350" stopIfTrue="1" operator="equal">
      <formula>"Napkin Hs"</formula>
    </cfRule>
  </conditionalFormatting>
  <conditionalFormatting sqref="C132">
    <cfRule type="cellIs" dxfId="13463" priority="1347" stopIfTrue="1" operator="equal">
      <formula>"Towel"</formula>
    </cfRule>
    <cfRule type="cellIs" dxfId="13462" priority="1348" stopIfTrue="1" operator="equal">
      <formula>"Napkin Hs"</formula>
    </cfRule>
  </conditionalFormatting>
  <conditionalFormatting sqref="B132:C132">
    <cfRule type="cellIs" dxfId="13461" priority="1343" stopIfTrue="1" operator="equal">
      <formula>"Towel"</formula>
    </cfRule>
    <cfRule type="cellIs" dxfId="13460" priority="1344" stopIfTrue="1" operator="equal">
      <formula>"Napkin Hs"</formula>
    </cfRule>
  </conditionalFormatting>
  <conditionalFormatting sqref="C132">
    <cfRule type="cellIs" dxfId="13459" priority="1345" stopIfTrue="1" operator="equal">
      <formula>"Towel"</formula>
    </cfRule>
    <cfRule type="cellIs" dxfId="13458" priority="1346" stopIfTrue="1" operator="equal">
      <formula>"Napkin Hs"</formula>
    </cfRule>
  </conditionalFormatting>
  <conditionalFormatting sqref="C132">
    <cfRule type="cellIs" dxfId="13457" priority="1402" stopIfTrue="1" operator="equal">
      <formula>"Napkin Hs"</formula>
    </cfRule>
  </conditionalFormatting>
  <conditionalFormatting sqref="C132">
    <cfRule type="cellIs" dxfId="13456" priority="1401" stopIfTrue="1" operator="equal">
      <formula>"Towel"</formula>
    </cfRule>
  </conditionalFormatting>
  <conditionalFormatting sqref="B132:C132">
    <cfRule type="cellIs" dxfId="13455" priority="1359" stopIfTrue="1" operator="equal">
      <formula>"Towel"</formula>
    </cfRule>
    <cfRule type="cellIs" dxfId="13454" priority="1360" stopIfTrue="1" operator="equal">
      <formula>"Napkin Hs"</formula>
    </cfRule>
  </conditionalFormatting>
  <conditionalFormatting sqref="C132">
    <cfRule type="cellIs" dxfId="13453" priority="1357" stopIfTrue="1" operator="equal">
      <formula>"Towel"</formula>
    </cfRule>
    <cfRule type="cellIs" dxfId="13452" priority="1358" stopIfTrue="1" operator="equal">
      <formula>"Napkin Hs"</formula>
    </cfRule>
  </conditionalFormatting>
  <conditionalFormatting sqref="C132">
    <cfRule type="cellIs" dxfId="13451" priority="1355" stopIfTrue="1" operator="equal">
      <formula>"Towel"</formula>
    </cfRule>
    <cfRule type="cellIs" dxfId="13450" priority="1356" stopIfTrue="1" operator="equal">
      <formula>"Napkin Hs"</formula>
    </cfRule>
  </conditionalFormatting>
  <conditionalFormatting sqref="B132:C132">
    <cfRule type="cellIs" dxfId="13449" priority="1339" stopIfTrue="1" operator="equal">
      <formula>"Towel"</formula>
    </cfRule>
    <cfRule type="cellIs" dxfId="13448" priority="1340" stopIfTrue="1" operator="equal">
      <formula>"Napkin Hs"</formula>
    </cfRule>
  </conditionalFormatting>
  <conditionalFormatting sqref="C132">
    <cfRule type="cellIs" dxfId="13447" priority="1341" stopIfTrue="1" operator="equal">
      <formula>"Towel"</formula>
    </cfRule>
    <cfRule type="cellIs" dxfId="13446" priority="1342" stopIfTrue="1" operator="equal">
      <formula>"Napkin Hs"</formula>
    </cfRule>
  </conditionalFormatting>
  <conditionalFormatting sqref="C132">
    <cfRule type="cellIs" dxfId="13445" priority="1337" stopIfTrue="1" operator="equal">
      <formula>"Towel"</formula>
    </cfRule>
    <cfRule type="cellIs" dxfId="13444" priority="1338" stopIfTrue="1" operator="equal">
      <formula>"Napkin Hs"</formula>
    </cfRule>
  </conditionalFormatting>
  <conditionalFormatting sqref="B132:C132">
    <cfRule type="cellIs" dxfId="13443" priority="1335" stopIfTrue="1" operator="equal">
      <formula>"Towel"</formula>
    </cfRule>
    <cfRule type="cellIs" dxfId="13442" priority="1336" stopIfTrue="1" operator="equal">
      <formula>"Napkin Hs"</formula>
    </cfRule>
  </conditionalFormatting>
  <conditionalFormatting sqref="C132">
    <cfRule type="cellIs" dxfId="13441" priority="1331" stopIfTrue="1" operator="equal">
      <formula>"Towel"</formula>
    </cfRule>
    <cfRule type="cellIs" dxfId="13440" priority="1332" stopIfTrue="1" operator="equal">
      <formula>"Napkin Hs"</formula>
    </cfRule>
  </conditionalFormatting>
  <conditionalFormatting sqref="C132">
    <cfRule type="cellIs" dxfId="13439" priority="1333" stopIfTrue="1" operator="equal">
      <formula>"Towel"</formula>
    </cfRule>
    <cfRule type="cellIs" dxfId="13438" priority="1334" stopIfTrue="1" operator="equal">
      <formula>"Napkin Hs"</formula>
    </cfRule>
  </conditionalFormatting>
  <conditionalFormatting sqref="B132:C132">
    <cfRule type="cellIs" dxfId="13437" priority="1327" stopIfTrue="1" operator="equal">
      <formula>"Towel"</formula>
    </cfRule>
    <cfRule type="cellIs" dxfId="13436" priority="1328" stopIfTrue="1" operator="equal">
      <formula>"Napkin Hs"</formula>
    </cfRule>
  </conditionalFormatting>
  <conditionalFormatting sqref="C132">
    <cfRule type="cellIs" dxfId="13435" priority="1329" stopIfTrue="1" operator="equal">
      <formula>"Towel"</formula>
    </cfRule>
    <cfRule type="cellIs" dxfId="13434" priority="1330" stopIfTrue="1" operator="equal">
      <formula>"Napkin Hs"</formula>
    </cfRule>
  </conditionalFormatting>
  <conditionalFormatting sqref="C132">
    <cfRule type="cellIs" dxfId="13433" priority="1325" stopIfTrue="1" operator="equal">
      <formula>"Towel"</formula>
    </cfRule>
    <cfRule type="cellIs" dxfId="13432" priority="1326" stopIfTrue="1" operator="equal">
      <formula>"Napkin Hs"</formula>
    </cfRule>
  </conditionalFormatting>
  <conditionalFormatting sqref="B132:C132">
    <cfRule type="cellIs" dxfId="13431" priority="1323" stopIfTrue="1" operator="equal">
      <formula>"Towel"</formula>
    </cfRule>
    <cfRule type="cellIs" dxfId="13430" priority="1324" stopIfTrue="1" operator="equal">
      <formula>"Napkin Hs"</formula>
    </cfRule>
  </conditionalFormatting>
  <conditionalFormatting sqref="C132">
    <cfRule type="cellIs" dxfId="13429" priority="1319" stopIfTrue="1" operator="equal">
      <formula>"Towel"</formula>
    </cfRule>
    <cfRule type="cellIs" dxfId="13428" priority="1320" stopIfTrue="1" operator="equal">
      <formula>"Napkin Hs"</formula>
    </cfRule>
  </conditionalFormatting>
  <conditionalFormatting sqref="C132">
    <cfRule type="cellIs" dxfId="13427" priority="1321" stopIfTrue="1" operator="equal">
      <formula>"Towel"</formula>
    </cfRule>
    <cfRule type="cellIs" dxfId="13426" priority="1322" stopIfTrue="1" operator="equal">
      <formula>"Napkin Hs"</formula>
    </cfRule>
  </conditionalFormatting>
  <conditionalFormatting sqref="B139:C139">
    <cfRule type="cellIs" dxfId="13425" priority="1317" stopIfTrue="1" operator="equal">
      <formula>"Towel"</formula>
    </cfRule>
    <cfRule type="cellIs" dxfId="13424" priority="1318" stopIfTrue="1" operator="equal">
      <formula>"Napkin Hs"</formula>
    </cfRule>
  </conditionalFormatting>
  <conditionalFormatting sqref="C139">
    <cfRule type="cellIs" dxfId="13423" priority="1313" stopIfTrue="1" operator="equal">
      <formula>"Towel"</formula>
    </cfRule>
    <cfRule type="cellIs" dxfId="13422" priority="1314" stopIfTrue="1" operator="equal">
      <formula>"Napkin Hs"</formula>
    </cfRule>
  </conditionalFormatting>
  <conditionalFormatting sqref="C139">
    <cfRule type="cellIs" dxfId="13421" priority="1315" stopIfTrue="1" operator="equal">
      <formula>"Towel"</formula>
    </cfRule>
    <cfRule type="cellIs" dxfId="13420" priority="1316" stopIfTrue="1" operator="equal">
      <formula>"Napkin Hs"</formula>
    </cfRule>
  </conditionalFormatting>
  <conditionalFormatting sqref="C138">
    <cfRule type="cellIs" dxfId="13419" priority="1305" stopIfTrue="1" operator="equal">
      <formula>"Towel"</formula>
    </cfRule>
    <cfRule type="cellIs" dxfId="13418" priority="1306" stopIfTrue="1" operator="equal">
      <formula>"Napkin Hs"</formula>
    </cfRule>
  </conditionalFormatting>
  <conditionalFormatting sqref="C138">
    <cfRule type="cellIs" dxfId="13417" priority="1303" stopIfTrue="1" operator="equal">
      <formula>"Towel"</formula>
    </cfRule>
    <cfRule type="cellIs" dxfId="13416" priority="1304" stopIfTrue="1" operator="equal">
      <formula>"Napkin Hs"</formula>
    </cfRule>
  </conditionalFormatting>
  <conditionalFormatting sqref="B138:C138">
    <cfRule type="cellIs" dxfId="13415" priority="1301" stopIfTrue="1" operator="equal">
      <formula>"Towel"</formula>
    </cfRule>
    <cfRule type="cellIs" dxfId="13414" priority="1302" stopIfTrue="1" operator="equal">
      <formula>"Napkin Hs"</formula>
    </cfRule>
  </conditionalFormatting>
  <conditionalFormatting sqref="B138:C138">
    <cfRule type="cellIs" dxfId="13413" priority="1311" stopIfTrue="1" operator="equal">
      <formula>"Towel"</formula>
    </cfRule>
    <cfRule type="cellIs" dxfId="13412" priority="1312" stopIfTrue="1" operator="equal">
      <formula>"Napkin Hs"</formula>
    </cfRule>
  </conditionalFormatting>
  <conditionalFormatting sqref="C138">
    <cfRule type="cellIs" dxfId="13411" priority="1309" stopIfTrue="1" operator="equal">
      <formula>"Towel"</formula>
    </cfRule>
    <cfRule type="cellIs" dxfId="13410" priority="1310" stopIfTrue="1" operator="equal">
      <formula>"Napkin Hs"</formula>
    </cfRule>
  </conditionalFormatting>
  <conditionalFormatting sqref="C138">
    <cfRule type="cellIs" dxfId="13409" priority="1307" stopIfTrue="1" operator="equal">
      <formula>"Towel"</formula>
    </cfRule>
    <cfRule type="cellIs" dxfId="13408" priority="1308" stopIfTrue="1" operator="equal">
      <formula>"Napkin Hs"</formula>
    </cfRule>
  </conditionalFormatting>
  <conditionalFormatting sqref="C138">
    <cfRule type="cellIs" dxfId="13407" priority="1299" stopIfTrue="1" operator="equal">
      <formula>"Towel"</formula>
    </cfRule>
    <cfRule type="cellIs" dxfId="13406" priority="1300" stopIfTrue="1" operator="equal">
      <formula>"Napkin Hs"</formula>
    </cfRule>
  </conditionalFormatting>
  <conditionalFormatting sqref="C138">
    <cfRule type="cellIs" dxfId="13405" priority="1297" stopIfTrue="1" operator="equal">
      <formula>"Towel"</formula>
    </cfRule>
    <cfRule type="cellIs" dxfId="13404" priority="1298" stopIfTrue="1" operator="equal">
      <formula>"Napkin Hs"</formula>
    </cfRule>
  </conditionalFormatting>
  <conditionalFormatting sqref="B138:C138">
    <cfRule type="cellIs" dxfId="13403" priority="1295" stopIfTrue="1" operator="equal">
      <formula>"Towel"</formula>
    </cfRule>
    <cfRule type="cellIs" dxfId="13402" priority="1296" stopIfTrue="1" operator="equal">
      <formula>"Napkin Hs"</formula>
    </cfRule>
  </conditionalFormatting>
  <conditionalFormatting sqref="B138">
    <cfRule type="cellIs" dxfId="13401" priority="1293" stopIfTrue="1" operator="equal">
      <formula>"Towel"</formula>
    </cfRule>
    <cfRule type="cellIs" dxfId="13400" priority="1294" stopIfTrue="1" operator="equal">
      <formula>"Napkin Hs"</formula>
    </cfRule>
  </conditionalFormatting>
  <conditionalFormatting sqref="B138">
    <cfRule type="cellIs" dxfId="13399" priority="1291" stopIfTrue="1" operator="equal">
      <formula>"Towel"</formula>
    </cfRule>
    <cfRule type="cellIs" dxfId="13398" priority="1292" stopIfTrue="1" operator="equal">
      <formula>"Napkin Hs"</formula>
    </cfRule>
  </conditionalFormatting>
  <conditionalFormatting sqref="B138">
    <cfRule type="cellIs" dxfId="13397" priority="1289" stopIfTrue="1" operator="equal">
      <formula>"Towel"</formula>
    </cfRule>
    <cfRule type="cellIs" dxfId="13396" priority="1290" stopIfTrue="1" operator="equal">
      <formula>"Napkin Hs"</formula>
    </cfRule>
  </conditionalFormatting>
  <conditionalFormatting sqref="B138:C138">
    <cfRule type="cellIs" dxfId="13395" priority="1287" stopIfTrue="1" operator="equal">
      <formula>"Towel"</formula>
    </cfRule>
    <cfRule type="cellIs" dxfId="13394" priority="1288" stopIfTrue="1" operator="equal">
      <formula>"Napkin Hs"</formula>
    </cfRule>
  </conditionalFormatting>
  <conditionalFormatting sqref="C138">
    <cfRule type="cellIs" dxfId="13393" priority="1285" stopIfTrue="1" operator="equal">
      <formula>"Towel"</formula>
    </cfRule>
    <cfRule type="cellIs" dxfId="13392" priority="1286" stopIfTrue="1" operator="equal">
      <formula>"Napkin Hs"</formula>
    </cfRule>
  </conditionalFormatting>
  <conditionalFormatting sqref="C138">
    <cfRule type="cellIs" dxfId="13391" priority="1283" stopIfTrue="1" operator="equal">
      <formula>"Towel"</formula>
    </cfRule>
    <cfRule type="cellIs" dxfId="13390" priority="1284" stopIfTrue="1" operator="equal">
      <formula>"Napkin Hs"</formula>
    </cfRule>
  </conditionalFormatting>
  <conditionalFormatting sqref="C138">
    <cfRule type="cellIs" dxfId="13389" priority="1275" stopIfTrue="1" operator="equal">
      <formula>"Towel"</formula>
    </cfRule>
    <cfRule type="cellIs" dxfId="13388" priority="1276" stopIfTrue="1" operator="equal">
      <formula>"Napkin Hs"</formula>
    </cfRule>
  </conditionalFormatting>
  <conditionalFormatting sqref="B138:C138">
    <cfRule type="cellIs" dxfId="13387" priority="1277" stopIfTrue="1" operator="equal">
      <formula>"Towel"</formula>
    </cfRule>
    <cfRule type="cellIs" dxfId="13386" priority="1278" stopIfTrue="1" operator="equal">
      <formula>"Napkin Hs"</formula>
    </cfRule>
  </conditionalFormatting>
  <conditionalFormatting sqref="C138">
    <cfRule type="cellIs" dxfId="13385" priority="1273" stopIfTrue="1" operator="equal">
      <formula>"Towel"</formula>
    </cfRule>
    <cfRule type="cellIs" dxfId="13384" priority="1274" stopIfTrue="1" operator="equal">
      <formula>"Napkin Hs"</formula>
    </cfRule>
  </conditionalFormatting>
  <conditionalFormatting sqref="B138:C138">
    <cfRule type="cellIs" dxfId="13383" priority="1271" stopIfTrue="1" operator="equal">
      <formula>"Towel"</formula>
    </cfRule>
    <cfRule type="cellIs" dxfId="13382" priority="1272" stopIfTrue="1" operator="equal">
      <formula>"Napkin Hs"</formula>
    </cfRule>
  </conditionalFormatting>
  <conditionalFormatting sqref="C138">
    <cfRule type="cellIs" dxfId="13381" priority="1279" stopIfTrue="1" operator="equal">
      <formula>"Towel"</formula>
    </cfRule>
    <cfRule type="cellIs" dxfId="13380" priority="1280" stopIfTrue="1" operator="equal">
      <formula>"Napkin Hs"</formula>
    </cfRule>
  </conditionalFormatting>
  <conditionalFormatting sqref="C138">
    <cfRule type="cellIs" dxfId="13379" priority="1281" stopIfTrue="1" operator="equal">
      <formula>"Towel"</formula>
    </cfRule>
    <cfRule type="cellIs" dxfId="13378" priority="1282" stopIfTrue="1" operator="equal">
      <formula>"Napkin Hs"</formula>
    </cfRule>
  </conditionalFormatting>
  <conditionalFormatting sqref="B138:C138">
    <cfRule type="cellIs" dxfId="13377" priority="1267" stopIfTrue="1" operator="equal">
      <formula>"Towel"</formula>
    </cfRule>
    <cfRule type="cellIs" dxfId="13376" priority="1268" stopIfTrue="1" operator="equal">
      <formula>"Napkin Hs"</formula>
    </cfRule>
  </conditionalFormatting>
  <conditionalFormatting sqref="C138">
    <cfRule type="cellIs" dxfId="13375" priority="1269" stopIfTrue="1" operator="equal">
      <formula>"Towel"</formula>
    </cfRule>
    <cfRule type="cellIs" dxfId="13374" priority="1270" stopIfTrue="1" operator="equal">
      <formula>"Napkin Hs"</formula>
    </cfRule>
  </conditionalFormatting>
  <conditionalFormatting sqref="C138">
    <cfRule type="cellIs" dxfId="13373" priority="1265" stopIfTrue="1" operator="equal">
      <formula>"Towel"</formula>
    </cfRule>
    <cfRule type="cellIs" dxfId="13372" priority="1266" stopIfTrue="1" operator="equal">
      <formula>"Napkin Hs"</formula>
    </cfRule>
  </conditionalFormatting>
  <conditionalFormatting sqref="B138">
    <cfRule type="cellIs" dxfId="13371" priority="1261" stopIfTrue="1" operator="equal">
      <formula>"Towel"</formula>
    </cfRule>
    <cfRule type="cellIs" dxfId="13370" priority="1262" stopIfTrue="1" operator="equal">
      <formula>"Napkin Hs"</formula>
    </cfRule>
  </conditionalFormatting>
  <conditionalFormatting sqref="B138">
    <cfRule type="cellIs" dxfId="13369" priority="1263" stopIfTrue="1" operator="equal">
      <formula>"Towel"</formula>
    </cfRule>
    <cfRule type="cellIs" dxfId="13368" priority="1264" stopIfTrue="1" operator="equal">
      <formula>"Napkin Hs"</formula>
    </cfRule>
  </conditionalFormatting>
  <conditionalFormatting sqref="B138">
    <cfRule type="cellIs" dxfId="13367" priority="1259" stopIfTrue="1" operator="equal">
      <formula>"Towel"</formula>
    </cfRule>
    <cfRule type="cellIs" dxfId="13366" priority="1260" stopIfTrue="1" operator="equal">
      <formula>"Napkin Hs"</formula>
    </cfRule>
  </conditionalFormatting>
  <conditionalFormatting sqref="B138:C138">
    <cfRule type="cellIs" dxfId="13365" priority="1257" stopIfTrue="1" operator="equal">
      <formula>"Towel"</formula>
    </cfRule>
    <cfRule type="cellIs" dxfId="13364" priority="1258" stopIfTrue="1" operator="equal">
      <formula>"Napkin Hs"</formula>
    </cfRule>
  </conditionalFormatting>
  <conditionalFormatting sqref="C138">
    <cfRule type="cellIs" dxfId="13363" priority="1255" stopIfTrue="1" operator="equal">
      <formula>"Towel"</formula>
    </cfRule>
    <cfRule type="cellIs" dxfId="13362" priority="1256" stopIfTrue="1" operator="equal">
      <formula>"Napkin Hs"</formula>
    </cfRule>
  </conditionalFormatting>
  <conditionalFormatting sqref="C138">
    <cfRule type="cellIs" dxfId="13361" priority="1253" stopIfTrue="1" operator="equal">
      <formula>"Towel"</formula>
    </cfRule>
    <cfRule type="cellIs" dxfId="13360" priority="1254" stopIfTrue="1" operator="equal">
      <formula>"Napkin Hs"</formula>
    </cfRule>
  </conditionalFormatting>
  <conditionalFormatting sqref="C138">
    <cfRule type="cellIs" dxfId="13359" priority="1245" stopIfTrue="1" operator="equal">
      <formula>"Towel"</formula>
    </cfRule>
    <cfRule type="cellIs" dxfId="13358" priority="1246" stopIfTrue="1" operator="equal">
      <formula>"Napkin Hs"</formula>
    </cfRule>
  </conditionalFormatting>
  <conditionalFormatting sqref="B138:C138">
    <cfRule type="cellIs" dxfId="13357" priority="1247" stopIfTrue="1" operator="equal">
      <formula>"Towel"</formula>
    </cfRule>
    <cfRule type="cellIs" dxfId="13356" priority="1248" stopIfTrue="1" operator="equal">
      <formula>"Napkin Hs"</formula>
    </cfRule>
  </conditionalFormatting>
  <conditionalFormatting sqref="C138">
    <cfRule type="cellIs" dxfId="13355" priority="1243" stopIfTrue="1" operator="equal">
      <formula>"Towel"</formula>
    </cfRule>
    <cfRule type="cellIs" dxfId="13354" priority="1244" stopIfTrue="1" operator="equal">
      <formula>"Napkin Hs"</formula>
    </cfRule>
  </conditionalFormatting>
  <conditionalFormatting sqref="B138:C138">
    <cfRule type="cellIs" dxfId="13353" priority="1241" stopIfTrue="1" operator="equal">
      <formula>"Towel"</formula>
    </cfRule>
    <cfRule type="cellIs" dxfId="13352" priority="1242" stopIfTrue="1" operator="equal">
      <formula>"Napkin Hs"</formula>
    </cfRule>
  </conditionalFormatting>
  <conditionalFormatting sqref="C138">
    <cfRule type="cellIs" dxfId="13351" priority="1249" stopIfTrue="1" operator="equal">
      <formula>"Towel"</formula>
    </cfRule>
    <cfRule type="cellIs" dxfId="13350" priority="1250" stopIfTrue="1" operator="equal">
      <formula>"Napkin Hs"</formula>
    </cfRule>
  </conditionalFormatting>
  <conditionalFormatting sqref="C138">
    <cfRule type="cellIs" dxfId="13349" priority="1251" stopIfTrue="1" operator="equal">
      <formula>"Towel"</formula>
    </cfRule>
    <cfRule type="cellIs" dxfId="13348" priority="1252" stopIfTrue="1" operator="equal">
      <formula>"Napkin Hs"</formula>
    </cfRule>
  </conditionalFormatting>
  <conditionalFormatting sqref="C138">
    <cfRule type="cellIs" dxfId="13347" priority="1237" stopIfTrue="1" operator="equal">
      <formula>"Towel"</formula>
    </cfRule>
    <cfRule type="cellIs" dxfId="13346" priority="1238" stopIfTrue="1" operator="equal">
      <formula>"Napkin Hs"</formula>
    </cfRule>
  </conditionalFormatting>
  <conditionalFormatting sqref="C138">
    <cfRule type="cellIs" dxfId="13345" priority="1239" stopIfTrue="1" operator="equal">
      <formula>"Towel"</formula>
    </cfRule>
    <cfRule type="cellIs" dxfId="13344" priority="1240" stopIfTrue="1" operator="equal">
      <formula>"Napkin Hs"</formula>
    </cfRule>
  </conditionalFormatting>
  <conditionalFormatting sqref="B138:C138">
    <cfRule type="cellIs" dxfId="13343" priority="1235" stopIfTrue="1" operator="equal">
      <formula>"Towel"</formula>
    </cfRule>
    <cfRule type="cellIs" dxfId="13342" priority="1236" stopIfTrue="1" operator="equal">
      <formula>"Napkin Hs"</formula>
    </cfRule>
  </conditionalFormatting>
  <conditionalFormatting sqref="B138:C138">
    <cfRule type="cellIs" dxfId="13341" priority="1229" stopIfTrue="1" operator="equal">
      <formula>"Towel"</formula>
    </cfRule>
    <cfRule type="cellIs" dxfId="13340" priority="1230" stopIfTrue="1" operator="equal">
      <formula>"Napkin Hs"</formula>
    </cfRule>
  </conditionalFormatting>
  <conditionalFormatting sqref="C138">
    <cfRule type="cellIs" dxfId="13339" priority="1231" stopIfTrue="1" operator="equal">
      <formula>"Towel"</formula>
    </cfRule>
    <cfRule type="cellIs" dxfId="13338" priority="1232" stopIfTrue="1" operator="equal">
      <formula>"Napkin Hs"</formula>
    </cfRule>
  </conditionalFormatting>
  <conditionalFormatting sqref="C138">
    <cfRule type="cellIs" dxfId="13337" priority="1233" stopIfTrue="1" operator="equal">
      <formula>"Towel"</formula>
    </cfRule>
    <cfRule type="cellIs" dxfId="13336" priority="1234" stopIfTrue="1" operator="equal">
      <formula>"Napkin Hs"</formula>
    </cfRule>
  </conditionalFormatting>
  <conditionalFormatting sqref="C138">
    <cfRule type="cellIs" dxfId="13335" priority="1201" stopIfTrue="1" operator="equal">
      <formula>"Towel"</formula>
    </cfRule>
    <cfRule type="cellIs" dxfId="13334" priority="1202" stopIfTrue="1" operator="equal">
      <formula>"Napkin Hs"</formula>
    </cfRule>
  </conditionalFormatting>
  <conditionalFormatting sqref="C138">
    <cfRule type="cellIs" dxfId="13333" priority="1203" stopIfTrue="1" operator="equal">
      <formula>"Towel"</formula>
    </cfRule>
    <cfRule type="cellIs" dxfId="13332" priority="1204" stopIfTrue="1" operator="equal">
      <formula>"Napkin Hs"</formula>
    </cfRule>
  </conditionalFormatting>
  <conditionalFormatting sqref="C138">
    <cfRule type="cellIs" dxfId="13331" priority="1199" stopIfTrue="1" operator="equal">
      <formula>"Towel"</formula>
    </cfRule>
    <cfRule type="cellIs" dxfId="13330" priority="1200" stopIfTrue="1" operator="equal">
      <formula>"Napkin Hs"</formula>
    </cfRule>
  </conditionalFormatting>
  <conditionalFormatting sqref="B138">
    <cfRule type="cellIs" dxfId="13329" priority="1193" stopIfTrue="1" operator="equal">
      <formula>"Towel"</formula>
    </cfRule>
    <cfRule type="cellIs" dxfId="13328" priority="1194" stopIfTrue="1" operator="equal">
      <formula>"Napkin Hs"</formula>
    </cfRule>
  </conditionalFormatting>
  <conditionalFormatting sqref="C138">
    <cfRule type="cellIs" dxfId="13327" priority="1195" stopIfTrue="1" operator="equal">
      <formula>"Towel"</formula>
    </cfRule>
    <cfRule type="cellIs" dxfId="13326" priority="1196" stopIfTrue="1" operator="equal">
      <formula>"Napkin Hs"</formula>
    </cfRule>
  </conditionalFormatting>
  <conditionalFormatting sqref="C138">
    <cfRule type="cellIs" dxfId="13325" priority="1197" stopIfTrue="1" operator="equal">
      <formula>"Towel"</formula>
    </cfRule>
    <cfRule type="cellIs" dxfId="13324" priority="1198" stopIfTrue="1" operator="equal">
      <formula>"Napkin Hs"</formula>
    </cfRule>
  </conditionalFormatting>
  <conditionalFormatting sqref="B138:C138">
    <cfRule type="cellIs" dxfId="13323" priority="1147" stopIfTrue="1" operator="equal">
      <formula>"Towel"</formula>
    </cfRule>
    <cfRule type="cellIs" dxfId="13322" priority="1148" stopIfTrue="1" operator="equal">
      <formula>"Napkin Hs"</formula>
    </cfRule>
  </conditionalFormatting>
  <conditionalFormatting sqref="C138">
    <cfRule type="cellIs" dxfId="13321" priority="1149" stopIfTrue="1" operator="equal">
      <formula>"Towel"</formula>
    </cfRule>
    <cfRule type="cellIs" dxfId="13320" priority="1150" stopIfTrue="1" operator="equal">
      <formula>"Napkin Hs"</formula>
    </cfRule>
  </conditionalFormatting>
  <conditionalFormatting sqref="C138">
    <cfRule type="cellIs" dxfId="13319" priority="1145" stopIfTrue="1" operator="equal">
      <formula>"Towel"</formula>
    </cfRule>
    <cfRule type="cellIs" dxfId="13318" priority="1146" stopIfTrue="1" operator="equal">
      <formula>"Napkin Hs"</formula>
    </cfRule>
  </conditionalFormatting>
  <conditionalFormatting sqref="C138">
    <cfRule type="cellIs" dxfId="13317" priority="1143" stopIfTrue="1" operator="equal">
      <formula>"Towel"</formula>
    </cfRule>
    <cfRule type="cellIs" dxfId="13316" priority="1144" stopIfTrue="1" operator="equal">
      <formula>"Napkin Hs"</formula>
    </cfRule>
  </conditionalFormatting>
  <conditionalFormatting sqref="B138">
    <cfRule type="cellIs" dxfId="13315" priority="1191" stopIfTrue="1" operator="equal">
      <formula>"Towel"</formula>
    </cfRule>
    <cfRule type="cellIs" dxfId="13314" priority="1192" stopIfTrue="1" operator="equal">
      <formula>"Napkin Hs"</formula>
    </cfRule>
  </conditionalFormatting>
  <conditionalFormatting sqref="C138">
    <cfRule type="cellIs" dxfId="13313" priority="1187" stopIfTrue="1" operator="equal">
      <formula>"Towel"</formula>
    </cfRule>
    <cfRule type="cellIs" dxfId="13312" priority="1188" stopIfTrue="1" operator="equal">
      <formula>"Napkin Hs"</formula>
    </cfRule>
  </conditionalFormatting>
  <conditionalFormatting sqref="C138">
    <cfRule type="cellIs" dxfId="13311" priority="1181" stopIfTrue="1" operator="equal">
      <formula>"Towel"</formula>
    </cfRule>
    <cfRule type="cellIs" dxfId="13310" priority="1182" stopIfTrue="1" operator="equal">
      <formula>"Napkin Hs"</formula>
    </cfRule>
  </conditionalFormatting>
  <conditionalFormatting sqref="C138">
    <cfRule type="cellIs" dxfId="13309" priority="1185" stopIfTrue="1" operator="equal">
      <formula>"Towel"</formula>
    </cfRule>
    <cfRule type="cellIs" dxfId="13308" priority="1186" stopIfTrue="1" operator="equal">
      <formula>"Napkin Hs"</formula>
    </cfRule>
  </conditionalFormatting>
  <conditionalFormatting sqref="B138:C138">
    <cfRule type="cellIs" dxfId="13307" priority="1183" stopIfTrue="1" operator="equal">
      <formula>"Towel"</formula>
    </cfRule>
    <cfRule type="cellIs" dxfId="13306" priority="1184" stopIfTrue="1" operator="equal">
      <formula>"Napkin Hs"</formula>
    </cfRule>
  </conditionalFormatting>
  <conditionalFormatting sqref="C138">
    <cfRule type="cellIs" dxfId="13305" priority="1175" stopIfTrue="1" operator="equal">
      <formula>"Towel"</formula>
    </cfRule>
    <cfRule type="cellIs" dxfId="13304" priority="1176" stopIfTrue="1" operator="equal">
      <formula>"Napkin Hs"</formula>
    </cfRule>
  </conditionalFormatting>
  <conditionalFormatting sqref="C138">
    <cfRule type="cellIs" dxfId="13303" priority="1177" stopIfTrue="1" operator="equal">
      <formula>"Towel"</formula>
    </cfRule>
    <cfRule type="cellIs" dxfId="13302" priority="1178" stopIfTrue="1" operator="equal">
      <formula>"Napkin Hs"</formula>
    </cfRule>
  </conditionalFormatting>
  <conditionalFormatting sqref="C138">
    <cfRule type="cellIs" dxfId="13301" priority="1179" stopIfTrue="1" operator="equal">
      <formula>"Towel"</formula>
    </cfRule>
    <cfRule type="cellIs" dxfId="13300" priority="1180" stopIfTrue="1" operator="equal">
      <formula>"Napkin Hs"</formula>
    </cfRule>
  </conditionalFormatting>
  <conditionalFormatting sqref="C138">
    <cfRule type="cellIs" dxfId="13299" priority="1169" stopIfTrue="1" operator="equal">
      <formula>"Towel"</formula>
    </cfRule>
    <cfRule type="cellIs" dxfId="13298" priority="1170" stopIfTrue="1" operator="equal">
      <formula>"Napkin Hs"</formula>
    </cfRule>
  </conditionalFormatting>
  <conditionalFormatting sqref="B138:C138">
    <cfRule type="cellIs" dxfId="13297" priority="1173" stopIfTrue="1" operator="equal">
      <formula>"Towel"</formula>
    </cfRule>
    <cfRule type="cellIs" dxfId="13296" priority="1174" stopIfTrue="1" operator="equal">
      <formula>"Napkin Hs"</formula>
    </cfRule>
  </conditionalFormatting>
  <conditionalFormatting sqref="C138">
    <cfRule type="cellIs" dxfId="13295" priority="1171" stopIfTrue="1" operator="equal">
      <formula>"Towel"</formula>
    </cfRule>
    <cfRule type="cellIs" dxfId="13294" priority="1172" stopIfTrue="1" operator="equal">
      <formula>"Napkin Hs"</formula>
    </cfRule>
  </conditionalFormatting>
  <conditionalFormatting sqref="B138:C138">
    <cfRule type="cellIs" dxfId="13293" priority="1163" stopIfTrue="1" operator="equal">
      <formula>"Towel"</formula>
    </cfRule>
    <cfRule type="cellIs" dxfId="13292" priority="1164" stopIfTrue="1" operator="equal">
      <formula>"Napkin Hs"</formula>
    </cfRule>
  </conditionalFormatting>
  <conditionalFormatting sqref="C138">
    <cfRule type="cellIs" dxfId="13291" priority="1165" stopIfTrue="1" operator="equal">
      <formula>"Towel"</formula>
    </cfRule>
    <cfRule type="cellIs" dxfId="13290" priority="1166" stopIfTrue="1" operator="equal">
      <formula>"Napkin Hs"</formula>
    </cfRule>
  </conditionalFormatting>
  <conditionalFormatting sqref="B138:C138">
    <cfRule type="cellIs" dxfId="13289" priority="1167" stopIfTrue="1" operator="equal">
      <formula>"Towel"</formula>
    </cfRule>
    <cfRule type="cellIs" dxfId="13288" priority="1168" stopIfTrue="1" operator="equal">
      <formula>"Napkin Hs"</formula>
    </cfRule>
  </conditionalFormatting>
  <conditionalFormatting sqref="C138">
    <cfRule type="cellIs" dxfId="13287" priority="1161" stopIfTrue="1" operator="equal">
      <formula>"Towel"</formula>
    </cfRule>
    <cfRule type="cellIs" dxfId="13286" priority="1162" stopIfTrue="1" operator="equal">
      <formula>"Napkin Hs"</formula>
    </cfRule>
  </conditionalFormatting>
  <conditionalFormatting sqref="C138">
    <cfRule type="cellIs" dxfId="13285" priority="1157" stopIfTrue="1" operator="equal">
      <formula>"Towel"</formula>
    </cfRule>
    <cfRule type="cellIs" dxfId="13284" priority="1158" stopIfTrue="1" operator="equal">
      <formula>"Napkin Hs"</formula>
    </cfRule>
  </conditionalFormatting>
  <conditionalFormatting sqref="B138:C138">
    <cfRule type="cellIs" dxfId="13283" priority="1159" stopIfTrue="1" operator="equal">
      <formula>"Towel"</formula>
    </cfRule>
    <cfRule type="cellIs" dxfId="13282" priority="1160" stopIfTrue="1" operator="equal">
      <formula>"Napkin Hs"</formula>
    </cfRule>
  </conditionalFormatting>
  <conditionalFormatting sqref="C138">
    <cfRule type="cellIs" dxfId="13281" priority="1155" stopIfTrue="1" operator="equal">
      <formula>"Towel"</formula>
    </cfRule>
    <cfRule type="cellIs" dxfId="13280" priority="1156" stopIfTrue="1" operator="equal">
      <formula>"Napkin Hs"</formula>
    </cfRule>
  </conditionalFormatting>
  <conditionalFormatting sqref="C138">
    <cfRule type="cellIs" dxfId="13279" priority="1153" stopIfTrue="1" operator="equal">
      <formula>"Towel"</formula>
    </cfRule>
    <cfRule type="cellIs" dxfId="13278" priority="1154" stopIfTrue="1" operator="equal">
      <formula>"Napkin Hs"</formula>
    </cfRule>
  </conditionalFormatting>
  <conditionalFormatting sqref="B138:C138">
    <cfRule type="cellIs" dxfId="13277" priority="1151" stopIfTrue="1" operator="equal">
      <formula>"Towel"</formula>
    </cfRule>
    <cfRule type="cellIs" dxfId="13276" priority="1152" stopIfTrue="1" operator="equal">
      <formula>"Napkin Hs"</formula>
    </cfRule>
  </conditionalFormatting>
  <conditionalFormatting sqref="B138:C138">
    <cfRule type="cellIs" dxfId="13275" priority="1227" stopIfTrue="1" operator="equal">
      <formula>"Towel"</formula>
    </cfRule>
    <cfRule type="cellIs" dxfId="13274" priority="1228" stopIfTrue="1" operator="equal">
      <formula>"Napkin Hs"</formula>
    </cfRule>
  </conditionalFormatting>
  <conditionalFormatting sqref="C138">
    <cfRule type="cellIs" dxfId="13273" priority="1223" stopIfTrue="1" operator="equal">
      <formula>"Towel"</formula>
    </cfRule>
    <cfRule type="cellIs" dxfId="13272" priority="1224" stopIfTrue="1" operator="equal">
      <formula>"Napkin Hs"</formula>
    </cfRule>
  </conditionalFormatting>
  <conditionalFormatting sqref="C138">
    <cfRule type="cellIs" dxfId="13271" priority="1226" stopIfTrue="1" operator="equal">
      <formula>"Napkin Hs"</formula>
    </cfRule>
  </conditionalFormatting>
  <conditionalFormatting sqref="C138">
    <cfRule type="cellIs" dxfId="13270" priority="1225" stopIfTrue="1" operator="equal">
      <formula>"Towel"</formula>
    </cfRule>
  </conditionalFormatting>
  <conditionalFormatting sqref="C138">
    <cfRule type="cellIs" dxfId="13269" priority="1217" stopIfTrue="1" operator="equal">
      <formula>"Towel"</formula>
    </cfRule>
    <cfRule type="cellIs" dxfId="13268" priority="1218" stopIfTrue="1" operator="equal">
      <formula>"Napkin Hs"</formula>
    </cfRule>
  </conditionalFormatting>
  <conditionalFormatting sqref="C138">
    <cfRule type="cellIs" dxfId="13267" priority="1221" stopIfTrue="1" operator="equal">
      <formula>"Towel"</formula>
    </cfRule>
    <cfRule type="cellIs" dxfId="13266" priority="1222" stopIfTrue="1" operator="equal">
      <formula>"Napkin Hs"</formula>
    </cfRule>
  </conditionalFormatting>
  <conditionalFormatting sqref="B138">
    <cfRule type="cellIs" dxfId="13265" priority="1207" stopIfTrue="1" operator="equal">
      <formula>"Towel"</formula>
    </cfRule>
    <cfRule type="cellIs" dxfId="13264" priority="1208" stopIfTrue="1" operator="equal">
      <formula>"Napkin Hs"</formula>
    </cfRule>
  </conditionalFormatting>
  <conditionalFormatting sqref="C138">
    <cfRule type="cellIs" dxfId="13263" priority="1219" stopIfTrue="1" operator="equal">
      <formula>"Towel"</formula>
    </cfRule>
    <cfRule type="cellIs" dxfId="13262" priority="1220" stopIfTrue="1" operator="equal">
      <formula>"Napkin Hs"</formula>
    </cfRule>
  </conditionalFormatting>
  <conditionalFormatting sqref="C138">
    <cfRule type="cellIs" dxfId="13261" priority="1211" stopIfTrue="1" operator="equal">
      <formula>"Towel"</formula>
    </cfRule>
    <cfRule type="cellIs" dxfId="13260" priority="1212" stopIfTrue="1" operator="equal">
      <formula>"Napkin Hs"</formula>
    </cfRule>
  </conditionalFormatting>
  <conditionalFormatting sqref="C138">
    <cfRule type="cellIs" dxfId="13259" priority="1213" stopIfTrue="1" operator="equal">
      <formula>"Towel"</formula>
    </cfRule>
    <cfRule type="cellIs" dxfId="13258" priority="1214" stopIfTrue="1" operator="equal">
      <formula>"Napkin Hs"</formula>
    </cfRule>
  </conditionalFormatting>
  <conditionalFormatting sqref="C138">
    <cfRule type="cellIs" dxfId="13257" priority="1215" stopIfTrue="1" operator="equal">
      <formula>"Towel"</formula>
    </cfRule>
    <cfRule type="cellIs" dxfId="13256" priority="1216" stopIfTrue="1" operator="equal">
      <formula>"Napkin Hs"</formula>
    </cfRule>
  </conditionalFormatting>
  <conditionalFormatting sqref="B138">
    <cfRule type="cellIs" dxfId="13255" priority="1209" stopIfTrue="1" operator="equal">
      <formula>"Towel"</formula>
    </cfRule>
    <cfRule type="cellIs" dxfId="13254" priority="1210" stopIfTrue="1" operator="equal">
      <formula>"Napkin Hs"</formula>
    </cfRule>
  </conditionalFormatting>
  <conditionalFormatting sqref="C138">
    <cfRule type="cellIs" dxfId="13253" priority="1205" stopIfTrue="1" operator="equal">
      <formula>"Towel"</formula>
    </cfRule>
    <cfRule type="cellIs" dxfId="13252" priority="1206" stopIfTrue="1" operator="equal">
      <formula>"Napkin Hs"</formula>
    </cfRule>
  </conditionalFormatting>
  <conditionalFormatting sqref="B138:C138">
    <cfRule type="cellIs" dxfId="13251" priority="1189" stopIfTrue="1" operator="equal">
      <formula>"Towel"</formula>
    </cfRule>
    <cfRule type="cellIs" dxfId="13250" priority="1190" stopIfTrue="1" operator="equal">
      <formula>"Napkin Hs"</formula>
    </cfRule>
  </conditionalFormatting>
  <conditionalFormatting sqref="B138">
    <cfRule type="cellIs" dxfId="13249" priority="1141" stopIfTrue="1" operator="equal">
      <formula>"Towel"</formula>
    </cfRule>
    <cfRule type="cellIs" dxfId="13248" priority="1142" stopIfTrue="1" operator="equal">
      <formula>"Napkin Hs"</formula>
    </cfRule>
  </conditionalFormatting>
  <conditionalFormatting sqref="B138">
    <cfRule type="cellIs" dxfId="13247" priority="1139" stopIfTrue="1" operator="equal">
      <formula>"Towel"</formula>
    </cfRule>
    <cfRule type="cellIs" dxfId="13246" priority="1140" stopIfTrue="1" operator="equal">
      <formula>"Napkin Hs"</formula>
    </cfRule>
  </conditionalFormatting>
  <conditionalFormatting sqref="B138">
    <cfRule type="cellIs" dxfId="13245" priority="1137" stopIfTrue="1" operator="equal">
      <formula>"Towel"</formula>
    </cfRule>
    <cfRule type="cellIs" dxfId="13244" priority="1138" stopIfTrue="1" operator="equal">
      <formula>"Napkin Hs"</formula>
    </cfRule>
  </conditionalFormatting>
  <conditionalFormatting sqref="B138">
    <cfRule type="cellIs" dxfId="13243" priority="1131" stopIfTrue="1" operator="equal">
      <formula>"Towel"</formula>
    </cfRule>
    <cfRule type="cellIs" dxfId="13242" priority="1132" stopIfTrue="1" operator="equal">
      <formula>"Napkin Hs"</formula>
    </cfRule>
  </conditionalFormatting>
  <conditionalFormatting sqref="B138">
    <cfRule type="cellIs" dxfId="13241" priority="1135" stopIfTrue="1" operator="equal">
      <formula>"Towel"</formula>
    </cfRule>
    <cfRule type="cellIs" dxfId="13240" priority="1136" stopIfTrue="1" operator="equal">
      <formula>"Napkin Hs"</formula>
    </cfRule>
  </conditionalFormatting>
  <conditionalFormatting sqref="B138">
    <cfRule type="cellIs" dxfId="13239" priority="1133" stopIfTrue="1" operator="equal">
      <formula>"Towel"</formula>
    </cfRule>
    <cfRule type="cellIs" dxfId="13238" priority="1134" stopIfTrue="1" operator="equal">
      <formula>"Napkin Hs"</formula>
    </cfRule>
  </conditionalFormatting>
  <conditionalFormatting sqref="B138">
    <cfRule type="cellIs" dxfId="13237" priority="1129" stopIfTrue="1" operator="equal">
      <formula>"Towel"</formula>
    </cfRule>
    <cfRule type="cellIs" dxfId="13236" priority="1130" stopIfTrue="1" operator="equal">
      <formula>"Napkin Hs"</formula>
    </cfRule>
  </conditionalFormatting>
  <conditionalFormatting sqref="B138">
    <cfRule type="cellIs" dxfId="13235" priority="1127" stopIfTrue="1" operator="equal">
      <formula>"Towel"</formula>
    </cfRule>
    <cfRule type="cellIs" dxfId="13234" priority="1128" stopIfTrue="1" operator="equal">
      <formula>"Napkin Hs"</formula>
    </cfRule>
  </conditionalFormatting>
  <conditionalFormatting sqref="B138">
    <cfRule type="cellIs" dxfId="13233" priority="1123" stopIfTrue="1" operator="equal">
      <formula>"Towel"</formula>
    </cfRule>
    <cfRule type="cellIs" dxfId="13232" priority="1124" stopIfTrue="1" operator="equal">
      <formula>"Napkin Hs"</formula>
    </cfRule>
  </conditionalFormatting>
  <conditionalFormatting sqref="B138">
    <cfRule type="cellIs" dxfId="13231" priority="1121" stopIfTrue="1" operator="equal">
      <formula>"Towel"</formula>
    </cfRule>
    <cfRule type="cellIs" dxfId="13230" priority="1122" stopIfTrue="1" operator="equal">
      <formula>"Napkin Hs"</formula>
    </cfRule>
  </conditionalFormatting>
  <conditionalFormatting sqref="B138">
    <cfRule type="cellIs" dxfId="13229" priority="1125" stopIfTrue="1" operator="equal">
      <formula>"Towel"</formula>
    </cfRule>
    <cfRule type="cellIs" dxfId="13228" priority="1126" stopIfTrue="1" operator="equal">
      <formula>"Napkin Hs"</formula>
    </cfRule>
  </conditionalFormatting>
  <conditionalFormatting sqref="B138">
    <cfRule type="cellIs" dxfId="13227" priority="1119" stopIfTrue="1" operator="equal">
      <formula>"Towel"</formula>
    </cfRule>
    <cfRule type="cellIs" dxfId="13226" priority="1120" stopIfTrue="1" operator="equal">
      <formula>"Napkin Hs"</formula>
    </cfRule>
  </conditionalFormatting>
  <conditionalFormatting sqref="B138">
    <cfRule type="cellIs" dxfId="13225" priority="1117" stopIfTrue="1" operator="equal">
      <formula>"Towel"</formula>
    </cfRule>
    <cfRule type="cellIs" dxfId="13224" priority="1118" stopIfTrue="1" operator="equal">
      <formula>"Napkin Hs"</formula>
    </cfRule>
  </conditionalFormatting>
  <conditionalFormatting sqref="B138">
    <cfRule type="cellIs" dxfId="13223" priority="1115" stopIfTrue="1" operator="equal">
      <formula>"Towel"</formula>
    </cfRule>
    <cfRule type="cellIs" dxfId="13222" priority="1116" stopIfTrue="1" operator="equal">
      <formula>"Napkin Hs"</formula>
    </cfRule>
  </conditionalFormatting>
  <conditionalFormatting sqref="B138">
    <cfRule type="cellIs" dxfId="13221" priority="1113" stopIfTrue="1" operator="equal">
      <formula>"Towel"</formula>
    </cfRule>
    <cfRule type="cellIs" dxfId="13220" priority="1114" stopIfTrue="1" operator="equal">
      <formula>"Napkin Hs"</formula>
    </cfRule>
  </conditionalFormatting>
  <conditionalFormatting sqref="C138">
    <cfRule type="cellIs" dxfId="13219" priority="1109" stopIfTrue="1" operator="equal">
      <formula>"Towel"</formula>
    </cfRule>
    <cfRule type="cellIs" dxfId="13218" priority="1110" stopIfTrue="1" operator="equal">
      <formula>"Napkin Hs"</formula>
    </cfRule>
  </conditionalFormatting>
  <conditionalFormatting sqref="C138">
    <cfRule type="cellIs" dxfId="13217" priority="1111" stopIfTrue="1" operator="equal">
      <formula>"Towel"</formula>
    </cfRule>
    <cfRule type="cellIs" dxfId="13216" priority="1112" stopIfTrue="1" operator="equal">
      <formula>"Napkin Hs"</formula>
    </cfRule>
  </conditionalFormatting>
  <conditionalFormatting sqref="C138">
    <cfRule type="cellIs" dxfId="13215" priority="1105" stopIfTrue="1" operator="equal">
      <formula>"Towel"</formula>
    </cfRule>
    <cfRule type="cellIs" dxfId="13214" priority="1106" stopIfTrue="1" operator="equal">
      <formula>"Napkin Hs"</formula>
    </cfRule>
  </conditionalFormatting>
  <conditionalFormatting sqref="B138:C138">
    <cfRule type="cellIs" dxfId="13213" priority="1107" stopIfTrue="1" operator="equal">
      <formula>"Towel"</formula>
    </cfRule>
    <cfRule type="cellIs" dxfId="13212" priority="1108" stopIfTrue="1" operator="equal">
      <formula>"Napkin Hs"</formula>
    </cfRule>
  </conditionalFormatting>
  <conditionalFormatting sqref="C138">
    <cfRule type="cellIs" dxfId="13211" priority="1103" stopIfTrue="1" operator="equal">
      <formula>"Towel"</formula>
    </cfRule>
    <cfRule type="cellIs" dxfId="13210" priority="1104" stopIfTrue="1" operator="equal">
      <formula>"Napkin Hs"</formula>
    </cfRule>
  </conditionalFormatting>
  <conditionalFormatting sqref="B138:C138">
    <cfRule type="cellIs" dxfId="13209" priority="1101" stopIfTrue="1" operator="equal">
      <formula>"Towel"</formula>
    </cfRule>
    <cfRule type="cellIs" dxfId="13208" priority="1102" stopIfTrue="1" operator="equal">
      <formula>"Napkin Hs"</formula>
    </cfRule>
  </conditionalFormatting>
  <conditionalFormatting sqref="B138:C138">
    <cfRule type="cellIs" dxfId="13207" priority="1099" stopIfTrue="1" operator="equal">
      <formula>"Towel"</formula>
    </cfRule>
    <cfRule type="cellIs" dxfId="13206" priority="1100" stopIfTrue="1" operator="equal">
      <formula>"Napkin Hs"</formula>
    </cfRule>
  </conditionalFormatting>
  <conditionalFormatting sqref="C138">
    <cfRule type="cellIs" dxfId="13205" priority="1093" stopIfTrue="1" operator="equal">
      <formula>"Towel"</formula>
    </cfRule>
    <cfRule type="cellIs" dxfId="13204" priority="1094" stopIfTrue="1" operator="equal">
      <formula>"Napkin Hs"</formula>
    </cfRule>
  </conditionalFormatting>
  <conditionalFormatting sqref="C138">
    <cfRule type="cellIs" dxfId="13203" priority="1095" stopIfTrue="1" operator="equal">
      <formula>"Towel"</formula>
    </cfRule>
    <cfRule type="cellIs" dxfId="13202" priority="1096" stopIfTrue="1" operator="equal">
      <formula>"Napkin Hs"</formula>
    </cfRule>
  </conditionalFormatting>
  <conditionalFormatting sqref="C138">
    <cfRule type="cellIs" dxfId="13201" priority="1091" stopIfTrue="1" operator="equal">
      <formula>"Towel"</formula>
    </cfRule>
    <cfRule type="cellIs" dxfId="13200" priority="1092" stopIfTrue="1" operator="equal">
      <formula>"Napkin Hs"</formula>
    </cfRule>
  </conditionalFormatting>
  <conditionalFormatting sqref="C138">
    <cfRule type="cellIs" dxfId="13199" priority="1089" stopIfTrue="1" operator="equal">
      <formula>"Towel"</formula>
    </cfRule>
    <cfRule type="cellIs" dxfId="13198" priority="1090" stopIfTrue="1" operator="equal">
      <formula>"Napkin Hs"</formula>
    </cfRule>
  </conditionalFormatting>
  <conditionalFormatting sqref="C138">
    <cfRule type="cellIs" dxfId="13197" priority="1085" stopIfTrue="1" operator="equal">
      <formula>"Towel"</formula>
    </cfRule>
    <cfRule type="cellIs" dxfId="13196" priority="1086" stopIfTrue="1" operator="equal">
      <formula>"Napkin Hs"</formula>
    </cfRule>
  </conditionalFormatting>
  <conditionalFormatting sqref="C138">
    <cfRule type="cellIs" dxfId="13195" priority="1087" stopIfTrue="1" operator="equal">
      <formula>"Towel"</formula>
    </cfRule>
    <cfRule type="cellIs" dxfId="13194" priority="1088" stopIfTrue="1" operator="equal">
      <formula>"Napkin Hs"</formula>
    </cfRule>
  </conditionalFormatting>
  <conditionalFormatting sqref="C138">
    <cfRule type="cellIs" dxfId="13193" priority="1083" stopIfTrue="1" operator="equal">
      <formula>"Towel"</formula>
    </cfRule>
    <cfRule type="cellIs" dxfId="13192" priority="1084" stopIfTrue="1" operator="equal">
      <formula>"Napkin Hs"</formula>
    </cfRule>
  </conditionalFormatting>
  <conditionalFormatting sqref="C138">
    <cfRule type="cellIs" dxfId="13191" priority="1067" stopIfTrue="1" operator="equal">
      <formula>"Towel"</formula>
    </cfRule>
    <cfRule type="cellIs" dxfId="13190" priority="1068" stopIfTrue="1" operator="equal">
      <formula>"Napkin Hs"</formula>
    </cfRule>
  </conditionalFormatting>
  <conditionalFormatting sqref="B138">
    <cfRule type="cellIs" dxfId="13189" priority="1065" stopIfTrue="1" operator="equal">
      <formula>"Towel"</formula>
    </cfRule>
    <cfRule type="cellIs" dxfId="13188" priority="1066" stopIfTrue="1" operator="equal">
      <formula>"Napkin Hs"</formula>
    </cfRule>
  </conditionalFormatting>
  <conditionalFormatting sqref="B138">
    <cfRule type="cellIs" dxfId="13187" priority="1081" stopIfTrue="1" operator="equal">
      <formula>"Towel"</formula>
    </cfRule>
    <cfRule type="cellIs" dxfId="13186" priority="1082" stopIfTrue="1" operator="equal">
      <formula>"Napkin Hs"</formula>
    </cfRule>
  </conditionalFormatting>
  <conditionalFormatting sqref="C138">
    <cfRule type="cellIs" dxfId="13185" priority="1077" stopIfTrue="1" operator="equal">
      <formula>"Towel"</formula>
    </cfRule>
    <cfRule type="cellIs" dxfId="13184" priority="1078" stopIfTrue="1" operator="equal">
      <formula>"Napkin Hs"</formula>
    </cfRule>
  </conditionalFormatting>
  <conditionalFormatting sqref="B138">
    <cfRule type="cellIs" dxfId="13183" priority="1079" stopIfTrue="1" operator="equal">
      <formula>"Towel"</formula>
    </cfRule>
    <cfRule type="cellIs" dxfId="13182" priority="1080" stopIfTrue="1" operator="equal">
      <formula>"Napkin Hs"</formula>
    </cfRule>
  </conditionalFormatting>
  <conditionalFormatting sqref="C138">
    <cfRule type="cellIs" dxfId="13181" priority="1073" stopIfTrue="1" operator="equal">
      <formula>"Towel"</formula>
    </cfRule>
    <cfRule type="cellIs" dxfId="13180" priority="1074" stopIfTrue="1" operator="equal">
      <formula>"Napkin Hs"</formula>
    </cfRule>
  </conditionalFormatting>
  <conditionalFormatting sqref="C138">
    <cfRule type="cellIs" dxfId="13179" priority="1075" stopIfTrue="1" operator="equal">
      <formula>"Towel"</formula>
    </cfRule>
    <cfRule type="cellIs" dxfId="13178" priority="1076" stopIfTrue="1" operator="equal">
      <formula>"Napkin Hs"</formula>
    </cfRule>
  </conditionalFormatting>
  <conditionalFormatting sqref="C138">
    <cfRule type="cellIs" dxfId="13177" priority="1071" stopIfTrue="1" operator="equal">
      <formula>"Towel"</formula>
    </cfRule>
    <cfRule type="cellIs" dxfId="13176" priority="1072" stopIfTrue="1" operator="equal">
      <formula>"Napkin Hs"</formula>
    </cfRule>
  </conditionalFormatting>
  <conditionalFormatting sqref="C138">
    <cfRule type="cellIs" dxfId="13175" priority="1069" stopIfTrue="1" operator="equal">
      <formula>"Towel"</formula>
    </cfRule>
    <cfRule type="cellIs" dxfId="13174" priority="1070" stopIfTrue="1" operator="equal">
      <formula>"Napkin Hs"</formula>
    </cfRule>
  </conditionalFormatting>
  <conditionalFormatting sqref="B138">
    <cfRule type="cellIs" dxfId="13173" priority="1063" stopIfTrue="1" operator="equal">
      <formula>"Towel"</formula>
    </cfRule>
    <cfRule type="cellIs" dxfId="13172" priority="1064" stopIfTrue="1" operator="equal">
      <formula>"Napkin Hs"</formula>
    </cfRule>
  </conditionalFormatting>
  <conditionalFormatting sqref="B138:C138">
    <cfRule type="cellIs" dxfId="13171" priority="1061" stopIfTrue="1" operator="equal">
      <formula>"Towel"</formula>
    </cfRule>
    <cfRule type="cellIs" dxfId="13170" priority="1062" stopIfTrue="1" operator="equal">
      <formula>"Napkin Hs"</formula>
    </cfRule>
  </conditionalFormatting>
  <conditionalFormatting sqref="C138">
    <cfRule type="cellIs" dxfId="13169" priority="1059" stopIfTrue="1" operator="equal">
      <formula>"Towel"</formula>
    </cfRule>
    <cfRule type="cellIs" dxfId="13168" priority="1060" stopIfTrue="1" operator="equal">
      <formula>"Napkin Hs"</formula>
    </cfRule>
  </conditionalFormatting>
  <conditionalFormatting sqref="C138">
    <cfRule type="cellIs" dxfId="13167" priority="1057" stopIfTrue="1" operator="equal">
      <formula>"Towel"</formula>
    </cfRule>
    <cfRule type="cellIs" dxfId="13166" priority="1058" stopIfTrue="1" operator="equal">
      <formula>"Napkin Hs"</formula>
    </cfRule>
  </conditionalFormatting>
  <conditionalFormatting sqref="C138">
    <cfRule type="cellIs" dxfId="13165" priority="1047" stopIfTrue="1" operator="equal">
      <formula>"Towel"</formula>
    </cfRule>
    <cfRule type="cellIs" dxfId="13164" priority="1048" stopIfTrue="1" operator="equal">
      <formula>"Napkin Hs"</formula>
    </cfRule>
  </conditionalFormatting>
  <conditionalFormatting sqref="C138">
    <cfRule type="cellIs" dxfId="13163" priority="1049" stopIfTrue="1" operator="equal">
      <formula>"Towel"</formula>
    </cfRule>
    <cfRule type="cellIs" dxfId="13162" priority="1050" stopIfTrue="1" operator="equal">
      <formula>"Napkin Hs"</formula>
    </cfRule>
  </conditionalFormatting>
  <conditionalFormatting sqref="B138:C138">
    <cfRule type="cellIs" dxfId="13161" priority="1045" stopIfTrue="1" operator="equal">
      <formula>"Towel"</formula>
    </cfRule>
    <cfRule type="cellIs" dxfId="13160" priority="1046" stopIfTrue="1" operator="equal">
      <formula>"Napkin Hs"</formula>
    </cfRule>
  </conditionalFormatting>
  <conditionalFormatting sqref="C138">
    <cfRule type="cellIs" dxfId="13159" priority="1043" stopIfTrue="1" operator="equal">
      <formula>"Towel"</formula>
    </cfRule>
    <cfRule type="cellIs" dxfId="13158" priority="1044" stopIfTrue="1" operator="equal">
      <formula>"Napkin Hs"</formula>
    </cfRule>
  </conditionalFormatting>
  <conditionalFormatting sqref="B138:C138">
    <cfRule type="cellIs" dxfId="13157" priority="1039" stopIfTrue="1" operator="equal">
      <formula>"Towel"</formula>
    </cfRule>
    <cfRule type="cellIs" dxfId="13156" priority="1040" stopIfTrue="1" operator="equal">
      <formula>"Napkin Hs"</formula>
    </cfRule>
  </conditionalFormatting>
  <conditionalFormatting sqref="C138">
    <cfRule type="cellIs" dxfId="13155" priority="1041" stopIfTrue="1" operator="equal">
      <formula>"Towel"</formula>
    </cfRule>
    <cfRule type="cellIs" dxfId="13154" priority="1042" stopIfTrue="1" operator="equal">
      <formula>"Napkin Hs"</formula>
    </cfRule>
  </conditionalFormatting>
  <conditionalFormatting sqref="C138">
    <cfRule type="cellIs" dxfId="13153" priority="1098" stopIfTrue="1" operator="equal">
      <formula>"Napkin Hs"</formula>
    </cfRule>
  </conditionalFormatting>
  <conditionalFormatting sqref="C138">
    <cfRule type="cellIs" dxfId="13152" priority="1097" stopIfTrue="1" operator="equal">
      <formula>"Towel"</formula>
    </cfRule>
  </conditionalFormatting>
  <conditionalFormatting sqref="B138:C138">
    <cfRule type="cellIs" dxfId="13151" priority="1055" stopIfTrue="1" operator="equal">
      <formula>"Towel"</formula>
    </cfRule>
    <cfRule type="cellIs" dxfId="13150" priority="1056" stopIfTrue="1" operator="equal">
      <formula>"Napkin Hs"</formula>
    </cfRule>
  </conditionalFormatting>
  <conditionalFormatting sqref="C138">
    <cfRule type="cellIs" dxfId="13149" priority="1053" stopIfTrue="1" operator="equal">
      <formula>"Towel"</formula>
    </cfRule>
    <cfRule type="cellIs" dxfId="13148" priority="1054" stopIfTrue="1" operator="equal">
      <formula>"Napkin Hs"</formula>
    </cfRule>
  </conditionalFormatting>
  <conditionalFormatting sqref="C138">
    <cfRule type="cellIs" dxfId="13147" priority="1051" stopIfTrue="1" operator="equal">
      <formula>"Towel"</formula>
    </cfRule>
    <cfRule type="cellIs" dxfId="13146" priority="1052" stopIfTrue="1" operator="equal">
      <formula>"Napkin Hs"</formula>
    </cfRule>
  </conditionalFormatting>
  <conditionalFormatting sqref="B138:C138">
    <cfRule type="cellIs" dxfId="13145" priority="1035" stopIfTrue="1" operator="equal">
      <formula>"Towel"</formula>
    </cfRule>
    <cfRule type="cellIs" dxfId="13144" priority="1036" stopIfTrue="1" operator="equal">
      <formula>"Napkin Hs"</formula>
    </cfRule>
  </conditionalFormatting>
  <conditionalFormatting sqref="C138">
    <cfRule type="cellIs" dxfId="13143" priority="1037" stopIfTrue="1" operator="equal">
      <formula>"Towel"</formula>
    </cfRule>
    <cfRule type="cellIs" dxfId="13142" priority="1038" stopIfTrue="1" operator="equal">
      <formula>"Napkin Hs"</formula>
    </cfRule>
  </conditionalFormatting>
  <conditionalFormatting sqref="C138">
    <cfRule type="cellIs" dxfId="13141" priority="1033" stopIfTrue="1" operator="equal">
      <formula>"Towel"</formula>
    </cfRule>
    <cfRule type="cellIs" dxfId="13140" priority="1034" stopIfTrue="1" operator="equal">
      <formula>"Napkin Hs"</formula>
    </cfRule>
  </conditionalFormatting>
  <conditionalFormatting sqref="B138:C138">
    <cfRule type="cellIs" dxfId="13139" priority="1031" stopIfTrue="1" operator="equal">
      <formula>"Towel"</formula>
    </cfRule>
    <cfRule type="cellIs" dxfId="13138" priority="1032" stopIfTrue="1" operator="equal">
      <formula>"Napkin Hs"</formula>
    </cfRule>
  </conditionalFormatting>
  <conditionalFormatting sqref="C138">
    <cfRule type="cellIs" dxfId="13137" priority="1027" stopIfTrue="1" operator="equal">
      <formula>"Towel"</formula>
    </cfRule>
    <cfRule type="cellIs" dxfId="13136" priority="1028" stopIfTrue="1" operator="equal">
      <formula>"Napkin Hs"</formula>
    </cfRule>
  </conditionalFormatting>
  <conditionalFormatting sqref="C138">
    <cfRule type="cellIs" dxfId="13135" priority="1029" stopIfTrue="1" operator="equal">
      <formula>"Towel"</formula>
    </cfRule>
    <cfRule type="cellIs" dxfId="13134" priority="1030" stopIfTrue="1" operator="equal">
      <formula>"Napkin Hs"</formula>
    </cfRule>
  </conditionalFormatting>
  <conditionalFormatting sqref="B138:C138">
    <cfRule type="cellIs" dxfId="13133" priority="1023" stopIfTrue="1" operator="equal">
      <formula>"Towel"</formula>
    </cfRule>
    <cfRule type="cellIs" dxfId="13132" priority="1024" stopIfTrue="1" operator="equal">
      <formula>"Napkin Hs"</formula>
    </cfRule>
  </conditionalFormatting>
  <conditionalFormatting sqref="C138">
    <cfRule type="cellIs" dxfId="13131" priority="1025" stopIfTrue="1" operator="equal">
      <formula>"Towel"</formula>
    </cfRule>
    <cfRule type="cellIs" dxfId="13130" priority="1026" stopIfTrue="1" operator="equal">
      <formula>"Napkin Hs"</formula>
    </cfRule>
  </conditionalFormatting>
  <conditionalFormatting sqref="C138">
    <cfRule type="cellIs" dxfId="13129" priority="1021" stopIfTrue="1" operator="equal">
      <formula>"Towel"</formula>
    </cfRule>
    <cfRule type="cellIs" dxfId="13128" priority="1022" stopIfTrue="1" operator="equal">
      <formula>"Napkin Hs"</formula>
    </cfRule>
  </conditionalFormatting>
  <conditionalFormatting sqref="B138:C138">
    <cfRule type="cellIs" dxfId="13127" priority="1019" stopIfTrue="1" operator="equal">
      <formula>"Towel"</formula>
    </cfRule>
    <cfRule type="cellIs" dxfId="13126" priority="1020" stopIfTrue="1" operator="equal">
      <formula>"Napkin Hs"</formula>
    </cfRule>
  </conditionalFormatting>
  <conditionalFormatting sqref="C138">
    <cfRule type="cellIs" dxfId="13125" priority="1015" stopIfTrue="1" operator="equal">
      <formula>"Towel"</formula>
    </cfRule>
    <cfRule type="cellIs" dxfId="13124" priority="1016" stopIfTrue="1" operator="equal">
      <formula>"Napkin Hs"</formula>
    </cfRule>
  </conditionalFormatting>
  <conditionalFormatting sqref="C138">
    <cfRule type="cellIs" dxfId="13123" priority="1017" stopIfTrue="1" operator="equal">
      <formula>"Towel"</formula>
    </cfRule>
    <cfRule type="cellIs" dxfId="13122" priority="1018" stopIfTrue="1" operator="equal">
      <formula>"Napkin Hs"</formula>
    </cfRule>
  </conditionalFormatting>
  <conditionalFormatting sqref="C136">
    <cfRule type="cellIs" dxfId="13121" priority="1007" stopIfTrue="1" operator="equal">
      <formula>"Towel"</formula>
    </cfRule>
    <cfRule type="cellIs" dxfId="13120" priority="1008" stopIfTrue="1" operator="equal">
      <formula>"Napkin Hs"</formula>
    </cfRule>
  </conditionalFormatting>
  <conditionalFormatting sqref="C136">
    <cfRule type="cellIs" dxfId="13119" priority="1005" stopIfTrue="1" operator="equal">
      <formula>"Towel"</formula>
    </cfRule>
    <cfRule type="cellIs" dxfId="13118" priority="1006" stopIfTrue="1" operator="equal">
      <formula>"Napkin Hs"</formula>
    </cfRule>
  </conditionalFormatting>
  <conditionalFormatting sqref="B136:C136">
    <cfRule type="cellIs" dxfId="13117" priority="1003" stopIfTrue="1" operator="equal">
      <formula>"Towel"</formula>
    </cfRule>
    <cfRule type="cellIs" dxfId="13116" priority="1004" stopIfTrue="1" operator="equal">
      <formula>"Napkin Hs"</formula>
    </cfRule>
  </conditionalFormatting>
  <conditionalFormatting sqref="B136:C136">
    <cfRule type="cellIs" dxfId="13115" priority="1013" stopIfTrue="1" operator="equal">
      <formula>"Towel"</formula>
    </cfRule>
    <cfRule type="cellIs" dxfId="13114" priority="1014" stopIfTrue="1" operator="equal">
      <formula>"Napkin Hs"</formula>
    </cfRule>
  </conditionalFormatting>
  <conditionalFormatting sqref="C136">
    <cfRule type="cellIs" dxfId="13113" priority="1011" stopIfTrue="1" operator="equal">
      <formula>"Towel"</formula>
    </cfRule>
    <cfRule type="cellIs" dxfId="13112" priority="1012" stopIfTrue="1" operator="equal">
      <formula>"Napkin Hs"</formula>
    </cfRule>
  </conditionalFormatting>
  <conditionalFormatting sqref="C136">
    <cfRule type="cellIs" dxfId="13111" priority="1009" stopIfTrue="1" operator="equal">
      <formula>"Towel"</formula>
    </cfRule>
    <cfRule type="cellIs" dxfId="13110" priority="1010" stopIfTrue="1" operator="equal">
      <formula>"Napkin Hs"</formula>
    </cfRule>
  </conditionalFormatting>
  <conditionalFormatting sqref="C136">
    <cfRule type="cellIs" dxfId="13109" priority="1001" stopIfTrue="1" operator="equal">
      <formula>"Towel"</formula>
    </cfRule>
    <cfRule type="cellIs" dxfId="13108" priority="1002" stopIfTrue="1" operator="equal">
      <formula>"Napkin Hs"</formula>
    </cfRule>
  </conditionalFormatting>
  <conditionalFormatting sqref="C136">
    <cfRule type="cellIs" dxfId="13107" priority="999" stopIfTrue="1" operator="equal">
      <formula>"Towel"</formula>
    </cfRule>
    <cfRule type="cellIs" dxfId="13106" priority="1000" stopIfTrue="1" operator="equal">
      <formula>"Napkin Hs"</formula>
    </cfRule>
  </conditionalFormatting>
  <conditionalFormatting sqref="B136:C136">
    <cfRule type="cellIs" dxfId="13105" priority="997" stopIfTrue="1" operator="equal">
      <formula>"Towel"</formula>
    </cfRule>
    <cfRule type="cellIs" dxfId="13104" priority="998" stopIfTrue="1" operator="equal">
      <formula>"Napkin Hs"</formula>
    </cfRule>
  </conditionalFormatting>
  <conditionalFormatting sqref="B136">
    <cfRule type="cellIs" dxfId="13103" priority="995" stopIfTrue="1" operator="equal">
      <formula>"Towel"</formula>
    </cfRule>
    <cfRule type="cellIs" dxfId="13102" priority="996" stopIfTrue="1" operator="equal">
      <formula>"Napkin Hs"</formula>
    </cfRule>
  </conditionalFormatting>
  <conditionalFormatting sqref="B136">
    <cfRule type="cellIs" dxfId="13101" priority="993" stopIfTrue="1" operator="equal">
      <formula>"Towel"</formula>
    </cfRule>
    <cfRule type="cellIs" dxfId="13100" priority="994" stopIfTrue="1" operator="equal">
      <formula>"Napkin Hs"</formula>
    </cfRule>
  </conditionalFormatting>
  <conditionalFormatting sqref="B136">
    <cfRule type="cellIs" dxfId="13099" priority="991" stopIfTrue="1" operator="equal">
      <formula>"Towel"</formula>
    </cfRule>
    <cfRule type="cellIs" dxfId="13098" priority="992" stopIfTrue="1" operator="equal">
      <formula>"Napkin Hs"</formula>
    </cfRule>
  </conditionalFormatting>
  <conditionalFormatting sqref="B136:C136">
    <cfRule type="cellIs" dxfId="13097" priority="989" stopIfTrue="1" operator="equal">
      <formula>"Towel"</formula>
    </cfRule>
    <cfRule type="cellIs" dxfId="13096" priority="990" stopIfTrue="1" operator="equal">
      <formula>"Napkin Hs"</formula>
    </cfRule>
  </conditionalFormatting>
  <conditionalFormatting sqref="C136">
    <cfRule type="cellIs" dxfId="13095" priority="987" stopIfTrue="1" operator="equal">
      <formula>"Towel"</formula>
    </cfRule>
    <cfRule type="cellIs" dxfId="13094" priority="988" stopIfTrue="1" operator="equal">
      <formula>"Napkin Hs"</formula>
    </cfRule>
  </conditionalFormatting>
  <conditionalFormatting sqref="C136">
    <cfRule type="cellIs" dxfId="13093" priority="985" stopIfTrue="1" operator="equal">
      <formula>"Towel"</formula>
    </cfRule>
    <cfRule type="cellIs" dxfId="13092" priority="986" stopIfTrue="1" operator="equal">
      <formula>"Napkin Hs"</formula>
    </cfRule>
  </conditionalFormatting>
  <conditionalFormatting sqref="C136">
    <cfRule type="cellIs" dxfId="13091" priority="977" stopIfTrue="1" operator="equal">
      <formula>"Towel"</formula>
    </cfRule>
    <cfRule type="cellIs" dxfId="13090" priority="978" stopIfTrue="1" operator="equal">
      <formula>"Napkin Hs"</formula>
    </cfRule>
  </conditionalFormatting>
  <conditionalFormatting sqref="B136:C136">
    <cfRule type="cellIs" dxfId="13089" priority="979" stopIfTrue="1" operator="equal">
      <formula>"Towel"</formula>
    </cfRule>
    <cfRule type="cellIs" dxfId="13088" priority="980" stopIfTrue="1" operator="equal">
      <formula>"Napkin Hs"</formula>
    </cfRule>
  </conditionalFormatting>
  <conditionalFormatting sqref="C136">
    <cfRule type="cellIs" dxfId="13087" priority="975" stopIfTrue="1" operator="equal">
      <formula>"Towel"</formula>
    </cfRule>
    <cfRule type="cellIs" dxfId="13086" priority="976" stopIfTrue="1" operator="equal">
      <formula>"Napkin Hs"</formula>
    </cfRule>
  </conditionalFormatting>
  <conditionalFormatting sqref="B136:C136">
    <cfRule type="cellIs" dxfId="13085" priority="973" stopIfTrue="1" operator="equal">
      <formula>"Towel"</formula>
    </cfRule>
    <cfRule type="cellIs" dxfId="13084" priority="974" stopIfTrue="1" operator="equal">
      <formula>"Napkin Hs"</formula>
    </cfRule>
  </conditionalFormatting>
  <conditionalFormatting sqref="C136">
    <cfRule type="cellIs" dxfId="13083" priority="981" stopIfTrue="1" operator="equal">
      <formula>"Towel"</formula>
    </cfRule>
    <cfRule type="cellIs" dxfId="13082" priority="982" stopIfTrue="1" operator="equal">
      <formula>"Napkin Hs"</formula>
    </cfRule>
  </conditionalFormatting>
  <conditionalFormatting sqref="C136">
    <cfRule type="cellIs" dxfId="13081" priority="983" stopIfTrue="1" operator="equal">
      <formula>"Towel"</formula>
    </cfRule>
    <cfRule type="cellIs" dxfId="13080" priority="984" stopIfTrue="1" operator="equal">
      <formula>"Napkin Hs"</formula>
    </cfRule>
  </conditionalFormatting>
  <conditionalFormatting sqref="B136:C136">
    <cfRule type="cellIs" dxfId="13079" priority="969" stopIfTrue="1" operator="equal">
      <formula>"Towel"</formula>
    </cfRule>
    <cfRule type="cellIs" dxfId="13078" priority="970" stopIfTrue="1" operator="equal">
      <formula>"Napkin Hs"</formula>
    </cfRule>
  </conditionalFormatting>
  <conditionalFormatting sqref="C136">
    <cfRule type="cellIs" dxfId="13077" priority="971" stopIfTrue="1" operator="equal">
      <formula>"Towel"</formula>
    </cfRule>
    <cfRule type="cellIs" dxfId="13076" priority="972" stopIfTrue="1" operator="equal">
      <formula>"Napkin Hs"</formula>
    </cfRule>
  </conditionalFormatting>
  <conditionalFormatting sqref="C136">
    <cfRule type="cellIs" dxfId="13075" priority="967" stopIfTrue="1" operator="equal">
      <formula>"Towel"</formula>
    </cfRule>
    <cfRule type="cellIs" dxfId="13074" priority="968" stopIfTrue="1" operator="equal">
      <formula>"Napkin Hs"</formula>
    </cfRule>
  </conditionalFormatting>
  <conditionalFormatting sqref="B136">
    <cfRule type="cellIs" dxfId="13073" priority="963" stopIfTrue="1" operator="equal">
      <formula>"Towel"</formula>
    </cfRule>
    <cfRule type="cellIs" dxfId="13072" priority="964" stopIfTrue="1" operator="equal">
      <formula>"Napkin Hs"</formula>
    </cfRule>
  </conditionalFormatting>
  <conditionalFormatting sqref="B136">
    <cfRule type="cellIs" dxfId="13071" priority="965" stopIfTrue="1" operator="equal">
      <formula>"Towel"</formula>
    </cfRule>
    <cfRule type="cellIs" dxfId="13070" priority="966" stopIfTrue="1" operator="equal">
      <formula>"Napkin Hs"</formula>
    </cfRule>
  </conditionalFormatting>
  <conditionalFormatting sqref="B136">
    <cfRule type="cellIs" dxfId="13069" priority="961" stopIfTrue="1" operator="equal">
      <formula>"Towel"</formula>
    </cfRule>
    <cfRule type="cellIs" dxfId="13068" priority="962" stopIfTrue="1" operator="equal">
      <formula>"Napkin Hs"</formula>
    </cfRule>
  </conditionalFormatting>
  <conditionalFormatting sqref="B136:C136">
    <cfRule type="cellIs" dxfId="13067" priority="959" stopIfTrue="1" operator="equal">
      <formula>"Towel"</formula>
    </cfRule>
    <cfRule type="cellIs" dxfId="13066" priority="960" stopIfTrue="1" operator="equal">
      <formula>"Napkin Hs"</formula>
    </cfRule>
  </conditionalFormatting>
  <conditionalFormatting sqref="C136">
    <cfRule type="cellIs" dxfId="13065" priority="957" stopIfTrue="1" operator="equal">
      <formula>"Towel"</formula>
    </cfRule>
    <cfRule type="cellIs" dxfId="13064" priority="958" stopIfTrue="1" operator="equal">
      <formula>"Napkin Hs"</formula>
    </cfRule>
  </conditionalFormatting>
  <conditionalFormatting sqref="C136">
    <cfRule type="cellIs" dxfId="13063" priority="955" stopIfTrue="1" operator="equal">
      <formula>"Towel"</formula>
    </cfRule>
    <cfRule type="cellIs" dxfId="13062" priority="956" stopIfTrue="1" operator="equal">
      <formula>"Napkin Hs"</formula>
    </cfRule>
  </conditionalFormatting>
  <conditionalFormatting sqref="C136">
    <cfRule type="cellIs" dxfId="13061" priority="947" stopIfTrue="1" operator="equal">
      <formula>"Towel"</formula>
    </cfRule>
    <cfRule type="cellIs" dxfId="13060" priority="948" stopIfTrue="1" operator="equal">
      <formula>"Napkin Hs"</formula>
    </cfRule>
  </conditionalFormatting>
  <conditionalFormatting sqref="B136:C136">
    <cfRule type="cellIs" dxfId="13059" priority="949" stopIfTrue="1" operator="equal">
      <formula>"Towel"</formula>
    </cfRule>
    <cfRule type="cellIs" dxfId="13058" priority="950" stopIfTrue="1" operator="equal">
      <formula>"Napkin Hs"</formula>
    </cfRule>
  </conditionalFormatting>
  <conditionalFormatting sqref="C136">
    <cfRule type="cellIs" dxfId="13057" priority="945" stopIfTrue="1" operator="equal">
      <formula>"Towel"</formula>
    </cfRule>
    <cfRule type="cellIs" dxfId="13056" priority="946" stopIfTrue="1" operator="equal">
      <formula>"Napkin Hs"</formula>
    </cfRule>
  </conditionalFormatting>
  <conditionalFormatting sqref="B136:C136">
    <cfRule type="cellIs" dxfId="13055" priority="943" stopIfTrue="1" operator="equal">
      <formula>"Towel"</formula>
    </cfRule>
    <cfRule type="cellIs" dxfId="13054" priority="944" stopIfTrue="1" operator="equal">
      <formula>"Napkin Hs"</formula>
    </cfRule>
  </conditionalFormatting>
  <conditionalFormatting sqref="C136">
    <cfRule type="cellIs" dxfId="13053" priority="951" stopIfTrue="1" operator="equal">
      <formula>"Towel"</formula>
    </cfRule>
    <cfRule type="cellIs" dxfId="13052" priority="952" stopIfTrue="1" operator="equal">
      <formula>"Napkin Hs"</formula>
    </cfRule>
  </conditionalFormatting>
  <conditionalFormatting sqref="C136">
    <cfRule type="cellIs" dxfId="13051" priority="953" stopIfTrue="1" operator="equal">
      <formula>"Towel"</formula>
    </cfRule>
    <cfRule type="cellIs" dxfId="13050" priority="954" stopIfTrue="1" operator="equal">
      <formula>"Napkin Hs"</formula>
    </cfRule>
  </conditionalFormatting>
  <conditionalFormatting sqref="C136">
    <cfRule type="cellIs" dxfId="13049" priority="939" stopIfTrue="1" operator="equal">
      <formula>"Towel"</formula>
    </cfRule>
    <cfRule type="cellIs" dxfId="13048" priority="940" stopIfTrue="1" operator="equal">
      <formula>"Napkin Hs"</formula>
    </cfRule>
  </conditionalFormatting>
  <conditionalFormatting sqref="C136">
    <cfRule type="cellIs" dxfId="13047" priority="941" stopIfTrue="1" operator="equal">
      <formula>"Towel"</formula>
    </cfRule>
    <cfRule type="cellIs" dxfId="13046" priority="942" stopIfTrue="1" operator="equal">
      <formula>"Napkin Hs"</formula>
    </cfRule>
  </conditionalFormatting>
  <conditionalFormatting sqref="B136:C136">
    <cfRule type="cellIs" dxfId="13045" priority="937" stopIfTrue="1" operator="equal">
      <formula>"Towel"</formula>
    </cfRule>
    <cfRule type="cellIs" dxfId="13044" priority="938" stopIfTrue="1" operator="equal">
      <formula>"Napkin Hs"</formula>
    </cfRule>
  </conditionalFormatting>
  <conditionalFormatting sqref="B136:C136">
    <cfRule type="cellIs" dxfId="13043" priority="931" stopIfTrue="1" operator="equal">
      <formula>"Towel"</formula>
    </cfRule>
    <cfRule type="cellIs" dxfId="13042" priority="932" stopIfTrue="1" operator="equal">
      <formula>"Napkin Hs"</formula>
    </cfRule>
  </conditionalFormatting>
  <conditionalFormatting sqref="C136">
    <cfRule type="cellIs" dxfId="13041" priority="933" stopIfTrue="1" operator="equal">
      <formula>"Towel"</formula>
    </cfRule>
    <cfRule type="cellIs" dxfId="13040" priority="934" stopIfTrue="1" operator="equal">
      <formula>"Napkin Hs"</formula>
    </cfRule>
  </conditionalFormatting>
  <conditionalFormatting sqref="C136">
    <cfRule type="cellIs" dxfId="13039" priority="935" stopIfTrue="1" operator="equal">
      <formula>"Towel"</formula>
    </cfRule>
    <cfRule type="cellIs" dxfId="13038" priority="936" stopIfTrue="1" operator="equal">
      <formula>"Napkin Hs"</formula>
    </cfRule>
  </conditionalFormatting>
  <conditionalFormatting sqref="C136">
    <cfRule type="cellIs" dxfId="13037" priority="903" stopIfTrue="1" operator="equal">
      <formula>"Towel"</formula>
    </cfRule>
    <cfRule type="cellIs" dxfId="13036" priority="904" stopIfTrue="1" operator="equal">
      <formula>"Napkin Hs"</formula>
    </cfRule>
  </conditionalFormatting>
  <conditionalFormatting sqref="C136">
    <cfRule type="cellIs" dxfId="13035" priority="905" stopIfTrue="1" operator="equal">
      <formula>"Towel"</formula>
    </cfRule>
    <cfRule type="cellIs" dxfId="13034" priority="906" stopIfTrue="1" operator="equal">
      <formula>"Napkin Hs"</formula>
    </cfRule>
  </conditionalFormatting>
  <conditionalFormatting sqref="C136">
    <cfRule type="cellIs" dxfId="13033" priority="901" stopIfTrue="1" operator="equal">
      <formula>"Towel"</formula>
    </cfRule>
    <cfRule type="cellIs" dxfId="13032" priority="902" stopIfTrue="1" operator="equal">
      <formula>"Napkin Hs"</formula>
    </cfRule>
  </conditionalFormatting>
  <conditionalFormatting sqref="B136">
    <cfRule type="cellIs" dxfId="13031" priority="895" stopIfTrue="1" operator="equal">
      <formula>"Towel"</formula>
    </cfRule>
    <cfRule type="cellIs" dxfId="13030" priority="896" stopIfTrue="1" operator="equal">
      <formula>"Napkin Hs"</formula>
    </cfRule>
  </conditionalFormatting>
  <conditionalFormatting sqref="C136">
    <cfRule type="cellIs" dxfId="13029" priority="897" stopIfTrue="1" operator="equal">
      <formula>"Towel"</formula>
    </cfRule>
    <cfRule type="cellIs" dxfId="13028" priority="898" stopIfTrue="1" operator="equal">
      <formula>"Napkin Hs"</formula>
    </cfRule>
  </conditionalFormatting>
  <conditionalFormatting sqref="C136">
    <cfRule type="cellIs" dxfId="13027" priority="899" stopIfTrue="1" operator="equal">
      <formula>"Towel"</formula>
    </cfRule>
    <cfRule type="cellIs" dxfId="13026" priority="900" stopIfTrue="1" operator="equal">
      <formula>"Napkin Hs"</formula>
    </cfRule>
  </conditionalFormatting>
  <conditionalFormatting sqref="B136:C136">
    <cfRule type="cellIs" dxfId="13025" priority="849" stopIfTrue="1" operator="equal">
      <formula>"Towel"</formula>
    </cfRule>
    <cfRule type="cellIs" dxfId="13024" priority="850" stopIfTrue="1" operator="equal">
      <formula>"Napkin Hs"</formula>
    </cfRule>
  </conditionalFormatting>
  <conditionalFormatting sqref="C136">
    <cfRule type="cellIs" dxfId="13023" priority="851" stopIfTrue="1" operator="equal">
      <formula>"Towel"</formula>
    </cfRule>
    <cfRule type="cellIs" dxfId="13022" priority="852" stopIfTrue="1" operator="equal">
      <formula>"Napkin Hs"</formula>
    </cfRule>
  </conditionalFormatting>
  <conditionalFormatting sqref="C136">
    <cfRule type="cellIs" dxfId="13021" priority="847" stopIfTrue="1" operator="equal">
      <formula>"Towel"</formula>
    </cfRule>
    <cfRule type="cellIs" dxfId="13020" priority="848" stopIfTrue="1" operator="equal">
      <formula>"Napkin Hs"</formula>
    </cfRule>
  </conditionalFormatting>
  <conditionalFormatting sqref="C136">
    <cfRule type="cellIs" dxfId="13019" priority="845" stopIfTrue="1" operator="equal">
      <formula>"Towel"</formula>
    </cfRule>
    <cfRule type="cellIs" dxfId="13018" priority="846" stopIfTrue="1" operator="equal">
      <formula>"Napkin Hs"</formula>
    </cfRule>
  </conditionalFormatting>
  <conditionalFormatting sqref="B136">
    <cfRule type="cellIs" dxfId="13017" priority="893" stopIfTrue="1" operator="equal">
      <formula>"Towel"</formula>
    </cfRule>
    <cfRule type="cellIs" dxfId="13016" priority="894" stopIfTrue="1" operator="equal">
      <formula>"Napkin Hs"</formula>
    </cfRule>
  </conditionalFormatting>
  <conditionalFormatting sqref="C136">
    <cfRule type="cellIs" dxfId="13015" priority="889" stopIfTrue="1" operator="equal">
      <formula>"Towel"</formula>
    </cfRule>
    <cfRule type="cellIs" dxfId="13014" priority="890" stopIfTrue="1" operator="equal">
      <formula>"Napkin Hs"</formula>
    </cfRule>
  </conditionalFormatting>
  <conditionalFormatting sqref="C136">
    <cfRule type="cellIs" dxfId="13013" priority="883" stopIfTrue="1" operator="equal">
      <formula>"Towel"</formula>
    </cfRule>
    <cfRule type="cellIs" dxfId="13012" priority="884" stopIfTrue="1" operator="equal">
      <formula>"Napkin Hs"</formula>
    </cfRule>
  </conditionalFormatting>
  <conditionalFormatting sqref="C136">
    <cfRule type="cellIs" dxfId="13011" priority="887" stopIfTrue="1" operator="equal">
      <formula>"Towel"</formula>
    </cfRule>
    <cfRule type="cellIs" dxfId="13010" priority="888" stopIfTrue="1" operator="equal">
      <formula>"Napkin Hs"</formula>
    </cfRule>
  </conditionalFormatting>
  <conditionalFormatting sqref="B136:C136">
    <cfRule type="cellIs" dxfId="13009" priority="885" stopIfTrue="1" operator="equal">
      <formula>"Towel"</formula>
    </cfRule>
    <cfRule type="cellIs" dxfId="13008" priority="886" stopIfTrue="1" operator="equal">
      <formula>"Napkin Hs"</formula>
    </cfRule>
  </conditionalFormatting>
  <conditionalFormatting sqref="C136">
    <cfRule type="cellIs" dxfId="13007" priority="877" stopIfTrue="1" operator="equal">
      <formula>"Towel"</formula>
    </cfRule>
    <cfRule type="cellIs" dxfId="13006" priority="878" stopIfTrue="1" operator="equal">
      <formula>"Napkin Hs"</formula>
    </cfRule>
  </conditionalFormatting>
  <conditionalFormatting sqref="C136">
    <cfRule type="cellIs" dxfId="13005" priority="879" stopIfTrue="1" operator="equal">
      <formula>"Towel"</formula>
    </cfRule>
    <cfRule type="cellIs" dxfId="13004" priority="880" stopIfTrue="1" operator="equal">
      <formula>"Napkin Hs"</formula>
    </cfRule>
  </conditionalFormatting>
  <conditionalFormatting sqref="C136">
    <cfRule type="cellIs" dxfId="13003" priority="881" stopIfTrue="1" operator="equal">
      <formula>"Towel"</formula>
    </cfRule>
    <cfRule type="cellIs" dxfId="13002" priority="882" stopIfTrue="1" operator="equal">
      <formula>"Napkin Hs"</formula>
    </cfRule>
  </conditionalFormatting>
  <conditionalFormatting sqref="C136">
    <cfRule type="cellIs" dxfId="13001" priority="871" stopIfTrue="1" operator="equal">
      <formula>"Towel"</formula>
    </cfRule>
    <cfRule type="cellIs" dxfId="13000" priority="872" stopIfTrue="1" operator="equal">
      <formula>"Napkin Hs"</formula>
    </cfRule>
  </conditionalFormatting>
  <conditionalFormatting sqref="B136:C136">
    <cfRule type="cellIs" dxfId="12999" priority="875" stopIfTrue="1" operator="equal">
      <formula>"Towel"</formula>
    </cfRule>
    <cfRule type="cellIs" dxfId="12998" priority="876" stopIfTrue="1" operator="equal">
      <formula>"Napkin Hs"</formula>
    </cfRule>
  </conditionalFormatting>
  <conditionalFormatting sqref="C136">
    <cfRule type="cellIs" dxfId="12997" priority="873" stopIfTrue="1" operator="equal">
      <formula>"Towel"</formula>
    </cfRule>
    <cfRule type="cellIs" dxfId="12996" priority="874" stopIfTrue="1" operator="equal">
      <formula>"Napkin Hs"</formula>
    </cfRule>
  </conditionalFormatting>
  <conditionalFormatting sqref="B136:C136">
    <cfRule type="cellIs" dxfId="12995" priority="865" stopIfTrue="1" operator="equal">
      <formula>"Towel"</formula>
    </cfRule>
    <cfRule type="cellIs" dxfId="12994" priority="866" stopIfTrue="1" operator="equal">
      <formula>"Napkin Hs"</formula>
    </cfRule>
  </conditionalFormatting>
  <conditionalFormatting sqref="C136">
    <cfRule type="cellIs" dxfId="12993" priority="867" stopIfTrue="1" operator="equal">
      <formula>"Towel"</formula>
    </cfRule>
    <cfRule type="cellIs" dxfId="12992" priority="868" stopIfTrue="1" operator="equal">
      <formula>"Napkin Hs"</formula>
    </cfRule>
  </conditionalFormatting>
  <conditionalFormatting sqref="B136:C136">
    <cfRule type="cellIs" dxfId="12991" priority="869" stopIfTrue="1" operator="equal">
      <formula>"Towel"</formula>
    </cfRule>
    <cfRule type="cellIs" dxfId="12990" priority="870" stopIfTrue="1" operator="equal">
      <formula>"Napkin Hs"</formula>
    </cfRule>
  </conditionalFormatting>
  <conditionalFormatting sqref="C136">
    <cfRule type="cellIs" dxfId="12989" priority="863" stopIfTrue="1" operator="equal">
      <formula>"Towel"</formula>
    </cfRule>
    <cfRule type="cellIs" dxfId="12988" priority="864" stopIfTrue="1" operator="equal">
      <formula>"Napkin Hs"</formula>
    </cfRule>
  </conditionalFormatting>
  <conditionalFormatting sqref="C136">
    <cfRule type="cellIs" dxfId="12987" priority="859" stopIfTrue="1" operator="equal">
      <formula>"Towel"</formula>
    </cfRule>
    <cfRule type="cellIs" dxfId="12986" priority="860" stopIfTrue="1" operator="equal">
      <formula>"Napkin Hs"</formula>
    </cfRule>
  </conditionalFormatting>
  <conditionalFormatting sqref="B136:C136">
    <cfRule type="cellIs" dxfId="12985" priority="861" stopIfTrue="1" operator="equal">
      <formula>"Towel"</formula>
    </cfRule>
    <cfRule type="cellIs" dxfId="12984" priority="862" stopIfTrue="1" operator="equal">
      <formula>"Napkin Hs"</formula>
    </cfRule>
  </conditionalFormatting>
  <conditionalFormatting sqref="C136">
    <cfRule type="cellIs" dxfId="12983" priority="857" stopIfTrue="1" operator="equal">
      <formula>"Towel"</formula>
    </cfRule>
    <cfRule type="cellIs" dxfId="12982" priority="858" stopIfTrue="1" operator="equal">
      <formula>"Napkin Hs"</formula>
    </cfRule>
  </conditionalFormatting>
  <conditionalFormatting sqref="C136">
    <cfRule type="cellIs" dxfId="12981" priority="855" stopIfTrue="1" operator="equal">
      <formula>"Towel"</formula>
    </cfRule>
    <cfRule type="cellIs" dxfId="12980" priority="856" stopIfTrue="1" operator="equal">
      <formula>"Napkin Hs"</formula>
    </cfRule>
  </conditionalFormatting>
  <conditionalFormatting sqref="B136:C136">
    <cfRule type="cellIs" dxfId="12979" priority="853" stopIfTrue="1" operator="equal">
      <formula>"Towel"</formula>
    </cfRule>
    <cfRule type="cellIs" dxfId="12978" priority="854" stopIfTrue="1" operator="equal">
      <formula>"Napkin Hs"</formula>
    </cfRule>
  </conditionalFormatting>
  <conditionalFormatting sqref="B136:C136">
    <cfRule type="cellIs" dxfId="12977" priority="929" stopIfTrue="1" operator="equal">
      <formula>"Towel"</formula>
    </cfRule>
    <cfRule type="cellIs" dxfId="12976" priority="930" stopIfTrue="1" operator="equal">
      <formula>"Napkin Hs"</formula>
    </cfRule>
  </conditionalFormatting>
  <conditionalFormatting sqref="C136">
    <cfRule type="cellIs" dxfId="12975" priority="925" stopIfTrue="1" operator="equal">
      <formula>"Towel"</formula>
    </cfRule>
    <cfRule type="cellIs" dxfId="12974" priority="926" stopIfTrue="1" operator="equal">
      <formula>"Napkin Hs"</formula>
    </cfRule>
  </conditionalFormatting>
  <conditionalFormatting sqref="C136">
    <cfRule type="cellIs" dxfId="12973" priority="928" stopIfTrue="1" operator="equal">
      <formula>"Napkin Hs"</formula>
    </cfRule>
  </conditionalFormatting>
  <conditionalFormatting sqref="C136">
    <cfRule type="cellIs" dxfId="12972" priority="927" stopIfTrue="1" operator="equal">
      <formula>"Towel"</formula>
    </cfRule>
  </conditionalFormatting>
  <conditionalFormatting sqref="C136">
    <cfRule type="cellIs" dxfId="12971" priority="919" stopIfTrue="1" operator="equal">
      <formula>"Towel"</formula>
    </cfRule>
    <cfRule type="cellIs" dxfId="12970" priority="920" stopIfTrue="1" operator="equal">
      <formula>"Napkin Hs"</formula>
    </cfRule>
  </conditionalFormatting>
  <conditionalFormatting sqref="C136">
    <cfRule type="cellIs" dxfId="12969" priority="923" stopIfTrue="1" operator="equal">
      <formula>"Towel"</formula>
    </cfRule>
    <cfRule type="cellIs" dxfId="12968" priority="924" stopIfTrue="1" operator="equal">
      <formula>"Napkin Hs"</formula>
    </cfRule>
  </conditionalFormatting>
  <conditionalFormatting sqref="B136">
    <cfRule type="cellIs" dxfId="12967" priority="909" stopIfTrue="1" operator="equal">
      <formula>"Towel"</formula>
    </cfRule>
    <cfRule type="cellIs" dxfId="12966" priority="910" stopIfTrue="1" operator="equal">
      <formula>"Napkin Hs"</formula>
    </cfRule>
  </conditionalFormatting>
  <conditionalFormatting sqref="C136">
    <cfRule type="cellIs" dxfId="12965" priority="921" stopIfTrue="1" operator="equal">
      <formula>"Towel"</formula>
    </cfRule>
    <cfRule type="cellIs" dxfId="12964" priority="922" stopIfTrue="1" operator="equal">
      <formula>"Napkin Hs"</formula>
    </cfRule>
  </conditionalFormatting>
  <conditionalFormatting sqref="C136">
    <cfRule type="cellIs" dxfId="12963" priority="913" stopIfTrue="1" operator="equal">
      <formula>"Towel"</formula>
    </cfRule>
    <cfRule type="cellIs" dxfId="12962" priority="914" stopIfTrue="1" operator="equal">
      <formula>"Napkin Hs"</formula>
    </cfRule>
  </conditionalFormatting>
  <conditionalFormatting sqref="C136">
    <cfRule type="cellIs" dxfId="12961" priority="915" stopIfTrue="1" operator="equal">
      <formula>"Towel"</formula>
    </cfRule>
    <cfRule type="cellIs" dxfId="12960" priority="916" stopIfTrue="1" operator="equal">
      <formula>"Napkin Hs"</formula>
    </cfRule>
  </conditionalFormatting>
  <conditionalFormatting sqref="C136">
    <cfRule type="cellIs" dxfId="12959" priority="917" stopIfTrue="1" operator="equal">
      <formula>"Towel"</formula>
    </cfRule>
    <cfRule type="cellIs" dxfId="12958" priority="918" stopIfTrue="1" operator="equal">
      <formula>"Napkin Hs"</formula>
    </cfRule>
  </conditionalFormatting>
  <conditionalFormatting sqref="B136">
    <cfRule type="cellIs" dxfId="12957" priority="911" stopIfTrue="1" operator="equal">
      <formula>"Towel"</formula>
    </cfRule>
    <cfRule type="cellIs" dxfId="12956" priority="912" stopIfTrue="1" operator="equal">
      <formula>"Napkin Hs"</formula>
    </cfRule>
  </conditionalFormatting>
  <conditionalFormatting sqref="C136">
    <cfRule type="cellIs" dxfId="12955" priority="907" stopIfTrue="1" operator="equal">
      <formula>"Towel"</formula>
    </cfRule>
    <cfRule type="cellIs" dxfId="12954" priority="908" stopIfTrue="1" operator="equal">
      <formula>"Napkin Hs"</formula>
    </cfRule>
  </conditionalFormatting>
  <conditionalFormatting sqref="B136:C136">
    <cfRule type="cellIs" dxfId="12953" priority="891" stopIfTrue="1" operator="equal">
      <formula>"Towel"</formula>
    </cfRule>
    <cfRule type="cellIs" dxfId="12952" priority="892" stopIfTrue="1" operator="equal">
      <formula>"Napkin Hs"</formula>
    </cfRule>
  </conditionalFormatting>
  <conditionalFormatting sqref="B136">
    <cfRule type="cellIs" dxfId="12951" priority="843" stopIfTrue="1" operator="equal">
      <formula>"Towel"</formula>
    </cfRule>
    <cfRule type="cellIs" dxfId="12950" priority="844" stopIfTrue="1" operator="equal">
      <formula>"Napkin Hs"</formula>
    </cfRule>
  </conditionalFormatting>
  <conditionalFormatting sqref="B136">
    <cfRule type="cellIs" dxfId="12949" priority="841" stopIfTrue="1" operator="equal">
      <formula>"Towel"</formula>
    </cfRule>
    <cfRule type="cellIs" dxfId="12948" priority="842" stopIfTrue="1" operator="equal">
      <formula>"Napkin Hs"</formula>
    </cfRule>
  </conditionalFormatting>
  <conditionalFormatting sqref="B136">
    <cfRule type="cellIs" dxfId="12947" priority="839" stopIfTrue="1" operator="equal">
      <formula>"Towel"</formula>
    </cfRule>
    <cfRule type="cellIs" dxfId="12946" priority="840" stopIfTrue="1" operator="equal">
      <formula>"Napkin Hs"</formula>
    </cfRule>
  </conditionalFormatting>
  <conditionalFormatting sqref="B136">
    <cfRule type="cellIs" dxfId="12945" priority="833" stopIfTrue="1" operator="equal">
      <formula>"Towel"</formula>
    </cfRule>
    <cfRule type="cellIs" dxfId="12944" priority="834" stopIfTrue="1" operator="equal">
      <formula>"Napkin Hs"</formula>
    </cfRule>
  </conditionalFormatting>
  <conditionalFormatting sqref="B136">
    <cfRule type="cellIs" dxfId="12943" priority="837" stopIfTrue="1" operator="equal">
      <formula>"Towel"</formula>
    </cfRule>
    <cfRule type="cellIs" dxfId="12942" priority="838" stopIfTrue="1" operator="equal">
      <formula>"Napkin Hs"</formula>
    </cfRule>
  </conditionalFormatting>
  <conditionalFormatting sqref="B136">
    <cfRule type="cellIs" dxfId="12941" priority="835" stopIfTrue="1" operator="equal">
      <formula>"Towel"</formula>
    </cfRule>
    <cfRule type="cellIs" dxfId="12940" priority="836" stopIfTrue="1" operator="equal">
      <formula>"Napkin Hs"</formula>
    </cfRule>
  </conditionalFormatting>
  <conditionalFormatting sqref="B136">
    <cfRule type="cellIs" dxfId="12939" priority="831" stopIfTrue="1" operator="equal">
      <formula>"Towel"</formula>
    </cfRule>
    <cfRule type="cellIs" dxfId="12938" priority="832" stopIfTrue="1" operator="equal">
      <formula>"Napkin Hs"</formula>
    </cfRule>
  </conditionalFormatting>
  <conditionalFormatting sqref="B136">
    <cfRule type="cellIs" dxfId="12937" priority="829" stopIfTrue="1" operator="equal">
      <formula>"Towel"</formula>
    </cfRule>
    <cfRule type="cellIs" dxfId="12936" priority="830" stopIfTrue="1" operator="equal">
      <formula>"Napkin Hs"</formula>
    </cfRule>
  </conditionalFormatting>
  <conditionalFormatting sqref="B136">
    <cfRule type="cellIs" dxfId="12935" priority="825" stopIfTrue="1" operator="equal">
      <formula>"Towel"</formula>
    </cfRule>
    <cfRule type="cellIs" dxfId="12934" priority="826" stopIfTrue="1" operator="equal">
      <formula>"Napkin Hs"</formula>
    </cfRule>
  </conditionalFormatting>
  <conditionalFormatting sqref="B136">
    <cfRule type="cellIs" dxfId="12933" priority="823" stopIfTrue="1" operator="equal">
      <formula>"Towel"</formula>
    </cfRule>
    <cfRule type="cellIs" dxfId="12932" priority="824" stopIfTrue="1" operator="equal">
      <formula>"Napkin Hs"</formula>
    </cfRule>
  </conditionalFormatting>
  <conditionalFormatting sqref="B136">
    <cfRule type="cellIs" dxfId="12931" priority="827" stopIfTrue="1" operator="equal">
      <formula>"Towel"</formula>
    </cfRule>
    <cfRule type="cellIs" dxfId="12930" priority="828" stopIfTrue="1" operator="equal">
      <formula>"Napkin Hs"</formula>
    </cfRule>
  </conditionalFormatting>
  <conditionalFormatting sqref="B136">
    <cfRule type="cellIs" dxfId="12929" priority="821" stopIfTrue="1" operator="equal">
      <formula>"Towel"</formula>
    </cfRule>
    <cfRule type="cellIs" dxfId="12928" priority="822" stopIfTrue="1" operator="equal">
      <formula>"Napkin Hs"</formula>
    </cfRule>
  </conditionalFormatting>
  <conditionalFormatting sqref="B136">
    <cfRule type="cellIs" dxfId="12927" priority="819" stopIfTrue="1" operator="equal">
      <formula>"Towel"</formula>
    </cfRule>
    <cfRule type="cellIs" dxfId="12926" priority="820" stopIfTrue="1" operator="equal">
      <formula>"Napkin Hs"</formula>
    </cfRule>
  </conditionalFormatting>
  <conditionalFormatting sqref="B136">
    <cfRule type="cellIs" dxfId="12925" priority="817" stopIfTrue="1" operator="equal">
      <formula>"Towel"</formula>
    </cfRule>
    <cfRule type="cellIs" dxfId="12924" priority="818" stopIfTrue="1" operator="equal">
      <formula>"Napkin Hs"</formula>
    </cfRule>
  </conditionalFormatting>
  <conditionalFormatting sqref="B136">
    <cfRule type="cellIs" dxfId="12923" priority="815" stopIfTrue="1" operator="equal">
      <formula>"Towel"</formula>
    </cfRule>
    <cfRule type="cellIs" dxfId="12922" priority="816" stopIfTrue="1" operator="equal">
      <formula>"Napkin Hs"</formula>
    </cfRule>
  </conditionalFormatting>
  <conditionalFormatting sqref="C136">
    <cfRule type="cellIs" dxfId="12921" priority="811" stopIfTrue="1" operator="equal">
      <formula>"Towel"</formula>
    </cfRule>
    <cfRule type="cellIs" dxfId="12920" priority="812" stopIfTrue="1" operator="equal">
      <formula>"Napkin Hs"</formula>
    </cfRule>
  </conditionalFormatting>
  <conditionalFormatting sqref="C136">
    <cfRule type="cellIs" dxfId="12919" priority="813" stopIfTrue="1" operator="equal">
      <formula>"Towel"</formula>
    </cfRule>
    <cfRule type="cellIs" dxfId="12918" priority="814" stopIfTrue="1" operator="equal">
      <formula>"Napkin Hs"</formula>
    </cfRule>
  </conditionalFormatting>
  <conditionalFormatting sqref="C136">
    <cfRule type="cellIs" dxfId="12917" priority="807" stopIfTrue="1" operator="equal">
      <formula>"Towel"</formula>
    </cfRule>
    <cfRule type="cellIs" dxfId="12916" priority="808" stopIfTrue="1" operator="equal">
      <formula>"Napkin Hs"</formula>
    </cfRule>
  </conditionalFormatting>
  <conditionalFormatting sqref="B136:C136">
    <cfRule type="cellIs" dxfId="12915" priority="809" stopIfTrue="1" operator="equal">
      <formula>"Towel"</formula>
    </cfRule>
    <cfRule type="cellIs" dxfId="12914" priority="810" stopIfTrue="1" operator="equal">
      <formula>"Napkin Hs"</formula>
    </cfRule>
  </conditionalFormatting>
  <conditionalFormatting sqref="C136">
    <cfRule type="cellIs" dxfId="12913" priority="805" stopIfTrue="1" operator="equal">
      <formula>"Towel"</formula>
    </cfRule>
    <cfRule type="cellIs" dxfId="12912" priority="806" stopIfTrue="1" operator="equal">
      <formula>"Napkin Hs"</formula>
    </cfRule>
  </conditionalFormatting>
  <conditionalFormatting sqref="B136:C136">
    <cfRule type="cellIs" dxfId="12911" priority="803" stopIfTrue="1" operator="equal">
      <formula>"Towel"</formula>
    </cfRule>
    <cfRule type="cellIs" dxfId="12910" priority="804" stopIfTrue="1" operator="equal">
      <formula>"Napkin Hs"</formula>
    </cfRule>
  </conditionalFormatting>
  <conditionalFormatting sqref="B136:C136">
    <cfRule type="cellIs" dxfId="12909" priority="801" stopIfTrue="1" operator="equal">
      <formula>"Towel"</formula>
    </cfRule>
    <cfRule type="cellIs" dxfId="12908" priority="802" stopIfTrue="1" operator="equal">
      <formula>"Napkin Hs"</formula>
    </cfRule>
  </conditionalFormatting>
  <conditionalFormatting sqref="C136">
    <cfRule type="cellIs" dxfId="12907" priority="795" stopIfTrue="1" operator="equal">
      <formula>"Towel"</formula>
    </cfRule>
    <cfRule type="cellIs" dxfId="12906" priority="796" stopIfTrue="1" operator="equal">
      <formula>"Napkin Hs"</formula>
    </cfRule>
  </conditionalFormatting>
  <conditionalFormatting sqref="C136">
    <cfRule type="cellIs" dxfId="12905" priority="797" stopIfTrue="1" operator="equal">
      <formula>"Towel"</formula>
    </cfRule>
    <cfRule type="cellIs" dxfId="12904" priority="798" stopIfTrue="1" operator="equal">
      <formula>"Napkin Hs"</formula>
    </cfRule>
  </conditionalFormatting>
  <conditionalFormatting sqref="C136">
    <cfRule type="cellIs" dxfId="12903" priority="793" stopIfTrue="1" operator="equal">
      <formula>"Towel"</formula>
    </cfRule>
    <cfRule type="cellIs" dxfId="12902" priority="794" stopIfTrue="1" operator="equal">
      <formula>"Napkin Hs"</formula>
    </cfRule>
  </conditionalFormatting>
  <conditionalFormatting sqref="C136">
    <cfRule type="cellIs" dxfId="12901" priority="791" stopIfTrue="1" operator="equal">
      <formula>"Towel"</formula>
    </cfRule>
    <cfRule type="cellIs" dxfId="12900" priority="792" stopIfTrue="1" operator="equal">
      <formula>"Napkin Hs"</formula>
    </cfRule>
  </conditionalFormatting>
  <conditionalFormatting sqref="C136">
    <cfRule type="cellIs" dxfId="12899" priority="787" stopIfTrue="1" operator="equal">
      <formula>"Towel"</formula>
    </cfRule>
    <cfRule type="cellIs" dxfId="12898" priority="788" stopIfTrue="1" operator="equal">
      <formula>"Napkin Hs"</formula>
    </cfRule>
  </conditionalFormatting>
  <conditionalFormatting sqref="C136">
    <cfRule type="cellIs" dxfId="12897" priority="789" stopIfTrue="1" operator="equal">
      <formula>"Towel"</formula>
    </cfRule>
    <cfRule type="cellIs" dxfId="12896" priority="790" stopIfTrue="1" operator="equal">
      <formula>"Napkin Hs"</formula>
    </cfRule>
  </conditionalFormatting>
  <conditionalFormatting sqref="C136">
    <cfRule type="cellIs" dxfId="12895" priority="785" stopIfTrue="1" operator="equal">
      <formula>"Towel"</formula>
    </cfRule>
    <cfRule type="cellIs" dxfId="12894" priority="786" stopIfTrue="1" operator="equal">
      <formula>"Napkin Hs"</formula>
    </cfRule>
  </conditionalFormatting>
  <conditionalFormatting sqref="C136">
    <cfRule type="cellIs" dxfId="12893" priority="769" stopIfTrue="1" operator="equal">
      <formula>"Towel"</formula>
    </cfRule>
    <cfRule type="cellIs" dxfId="12892" priority="770" stopIfTrue="1" operator="equal">
      <formula>"Napkin Hs"</formula>
    </cfRule>
  </conditionalFormatting>
  <conditionalFormatting sqref="B136">
    <cfRule type="cellIs" dxfId="12891" priority="767" stopIfTrue="1" operator="equal">
      <formula>"Towel"</formula>
    </cfRule>
    <cfRule type="cellIs" dxfId="12890" priority="768" stopIfTrue="1" operator="equal">
      <formula>"Napkin Hs"</formula>
    </cfRule>
  </conditionalFormatting>
  <conditionalFormatting sqref="B136">
    <cfRule type="cellIs" dxfId="12889" priority="783" stopIfTrue="1" operator="equal">
      <formula>"Towel"</formula>
    </cfRule>
    <cfRule type="cellIs" dxfId="12888" priority="784" stopIfTrue="1" operator="equal">
      <formula>"Napkin Hs"</formula>
    </cfRule>
  </conditionalFormatting>
  <conditionalFormatting sqref="C136">
    <cfRule type="cellIs" dxfId="12887" priority="779" stopIfTrue="1" operator="equal">
      <formula>"Towel"</formula>
    </cfRule>
    <cfRule type="cellIs" dxfId="12886" priority="780" stopIfTrue="1" operator="equal">
      <formula>"Napkin Hs"</formula>
    </cfRule>
  </conditionalFormatting>
  <conditionalFormatting sqref="B136">
    <cfRule type="cellIs" dxfId="12885" priority="781" stopIfTrue="1" operator="equal">
      <formula>"Towel"</formula>
    </cfRule>
    <cfRule type="cellIs" dxfId="12884" priority="782" stopIfTrue="1" operator="equal">
      <formula>"Napkin Hs"</formula>
    </cfRule>
  </conditionalFormatting>
  <conditionalFormatting sqref="C136">
    <cfRule type="cellIs" dxfId="12883" priority="775" stopIfTrue="1" operator="equal">
      <formula>"Towel"</formula>
    </cfRule>
    <cfRule type="cellIs" dxfId="12882" priority="776" stopIfTrue="1" operator="equal">
      <formula>"Napkin Hs"</formula>
    </cfRule>
  </conditionalFormatting>
  <conditionalFormatting sqref="C136">
    <cfRule type="cellIs" dxfId="12881" priority="777" stopIfTrue="1" operator="equal">
      <formula>"Towel"</formula>
    </cfRule>
    <cfRule type="cellIs" dxfId="12880" priority="778" stopIfTrue="1" operator="equal">
      <formula>"Napkin Hs"</formula>
    </cfRule>
  </conditionalFormatting>
  <conditionalFormatting sqref="C136">
    <cfRule type="cellIs" dxfId="12879" priority="773" stopIfTrue="1" operator="equal">
      <formula>"Towel"</formula>
    </cfRule>
    <cfRule type="cellIs" dxfId="12878" priority="774" stopIfTrue="1" operator="equal">
      <formula>"Napkin Hs"</formula>
    </cfRule>
  </conditionalFormatting>
  <conditionalFormatting sqref="C136">
    <cfRule type="cellIs" dxfId="12877" priority="771" stopIfTrue="1" operator="equal">
      <formula>"Towel"</formula>
    </cfRule>
    <cfRule type="cellIs" dxfId="12876" priority="772" stopIfTrue="1" operator="equal">
      <formula>"Napkin Hs"</formula>
    </cfRule>
  </conditionalFormatting>
  <conditionalFormatting sqref="B136">
    <cfRule type="cellIs" dxfId="12875" priority="765" stopIfTrue="1" operator="equal">
      <formula>"Towel"</formula>
    </cfRule>
    <cfRule type="cellIs" dxfId="12874" priority="766" stopIfTrue="1" operator="equal">
      <formula>"Napkin Hs"</formula>
    </cfRule>
  </conditionalFormatting>
  <conditionalFormatting sqref="B136:C136">
    <cfRule type="cellIs" dxfId="12873" priority="763" stopIfTrue="1" operator="equal">
      <formula>"Towel"</formula>
    </cfRule>
    <cfRule type="cellIs" dxfId="12872" priority="764" stopIfTrue="1" operator="equal">
      <formula>"Napkin Hs"</formula>
    </cfRule>
  </conditionalFormatting>
  <conditionalFormatting sqref="C136">
    <cfRule type="cellIs" dxfId="12871" priority="761" stopIfTrue="1" operator="equal">
      <formula>"Towel"</formula>
    </cfRule>
    <cfRule type="cellIs" dxfId="12870" priority="762" stopIfTrue="1" operator="equal">
      <formula>"Napkin Hs"</formula>
    </cfRule>
  </conditionalFormatting>
  <conditionalFormatting sqref="C136">
    <cfRule type="cellIs" dxfId="12869" priority="759" stopIfTrue="1" operator="equal">
      <formula>"Towel"</formula>
    </cfRule>
    <cfRule type="cellIs" dxfId="12868" priority="760" stopIfTrue="1" operator="equal">
      <formula>"Napkin Hs"</formula>
    </cfRule>
  </conditionalFormatting>
  <conditionalFormatting sqref="C136">
    <cfRule type="cellIs" dxfId="12867" priority="749" stopIfTrue="1" operator="equal">
      <formula>"Towel"</formula>
    </cfRule>
    <cfRule type="cellIs" dxfId="12866" priority="750" stopIfTrue="1" operator="equal">
      <formula>"Napkin Hs"</formula>
    </cfRule>
  </conditionalFormatting>
  <conditionalFormatting sqref="C136">
    <cfRule type="cellIs" dxfId="12865" priority="751" stopIfTrue="1" operator="equal">
      <formula>"Towel"</formula>
    </cfRule>
    <cfRule type="cellIs" dxfId="12864" priority="752" stopIfTrue="1" operator="equal">
      <formula>"Napkin Hs"</formula>
    </cfRule>
  </conditionalFormatting>
  <conditionalFormatting sqref="B136:C136">
    <cfRule type="cellIs" dxfId="12863" priority="747" stopIfTrue="1" operator="equal">
      <formula>"Towel"</formula>
    </cfRule>
    <cfRule type="cellIs" dxfId="12862" priority="748" stopIfTrue="1" operator="equal">
      <formula>"Napkin Hs"</formula>
    </cfRule>
  </conditionalFormatting>
  <conditionalFormatting sqref="C136">
    <cfRule type="cellIs" dxfId="12861" priority="745" stopIfTrue="1" operator="equal">
      <formula>"Towel"</formula>
    </cfRule>
    <cfRule type="cellIs" dxfId="12860" priority="746" stopIfTrue="1" operator="equal">
      <formula>"Napkin Hs"</formula>
    </cfRule>
  </conditionalFormatting>
  <conditionalFormatting sqref="B136:C136">
    <cfRule type="cellIs" dxfId="12859" priority="741" stopIfTrue="1" operator="equal">
      <formula>"Towel"</formula>
    </cfRule>
    <cfRule type="cellIs" dxfId="12858" priority="742" stopIfTrue="1" operator="equal">
      <formula>"Napkin Hs"</formula>
    </cfRule>
  </conditionalFormatting>
  <conditionalFormatting sqref="C136">
    <cfRule type="cellIs" dxfId="12857" priority="743" stopIfTrue="1" operator="equal">
      <formula>"Towel"</formula>
    </cfRule>
    <cfRule type="cellIs" dxfId="12856" priority="744" stopIfTrue="1" operator="equal">
      <formula>"Napkin Hs"</formula>
    </cfRule>
  </conditionalFormatting>
  <conditionalFormatting sqref="C136">
    <cfRule type="cellIs" dxfId="12855" priority="800" stopIfTrue="1" operator="equal">
      <formula>"Napkin Hs"</formula>
    </cfRule>
  </conditionalFormatting>
  <conditionalFormatting sqref="C136">
    <cfRule type="cellIs" dxfId="12854" priority="799" stopIfTrue="1" operator="equal">
      <formula>"Towel"</formula>
    </cfRule>
  </conditionalFormatting>
  <conditionalFormatting sqref="B136:C136">
    <cfRule type="cellIs" dxfId="12853" priority="757" stopIfTrue="1" operator="equal">
      <formula>"Towel"</formula>
    </cfRule>
    <cfRule type="cellIs" dxfId="12852" priority="758" stopIfTrue="1" operator="equal">
      <formula>"Napkin Hs"</formula>
    </cfRule>
  </conditionalFormatting>
  <conditionalFormatting sqref="C136">
    <cfRule type="cellIs" dxfId="12851" priority="755" stopIfTrue="1" operator="equal">
      <formula>"Towel"</formula>
    </cfRule>
    <cfRule type="cellIs" dxfId="12850" priority="756" stopIfTrue="1" operator="equal">
      <formula>"Napkin Hs"</formula>
    </cfRule>
  </conditionalFormatting>
  <conditionalFormatting sqref="C136">
    <cfRule type="cellIs" dxfId="12849" priority="753" stopIfTrue="1" operator="equal">
      <formula>"Towel"</formula>
    </cfRule>
    <cfRule type="cellIs" dxfId="12848" priority="754" stopIfTrue="1" operator="equal">
      <formula>"Napkin Hs"</formula>
    </cfRule>
  </conditionalFormatting>
  <conditionalFormatting sqref="B136:C136">
    <cfRule type="cellIs" dxfId="12847" priority="737" stopIfTrue="1" operator="equal">
      <formula>"Towel"</formula>
    </cfRule>
    <cfRule type="cellIs" dxfId="12846" priority="738" stopIfTrue="1" operator="equal">
      <formula>"Napkin Hs"</formula>
    </cfRule>
  </conditionalFormatting>
  <conditionalFormatting sqref="C136">
    <cfRule type="cellIs" dxfId="12845" priority="739" stopIfTrue="1" operator="equal">
      <formula>"Towel"</formula>
    </cfRule>
    <cfRule type="cellIs" dxfId="12844" priority="740" stopIfTrue="1" operator="equal">
      <formula>"Napkin Hs"</formula>
    </cfRule>
  </conditionalFormatting>
  <conditionalFormatting sqref="C136">
    <cfRule type="cellIs" dxfId="12843" priority="735" stopIfTrue="1" operator="equal">
      <formula>"Towel"</formula>
    </cfRule>
    <cfRule type="cellIs" dxfId="12842" priority="736" stopIfTrue="1" operator="equal">
      <formula>"Napkin Hs"</formula>
    </cfRule>
  </conditionalFormatting>
  <conditionalFormatting sqref="B136:C136">
    <cfRule type="cellIs" dxfId="12841" priority="733" stopIfTrue="1" operator="equal">
      <formula>"Towel"</formula>
    </cfRule>
    <cfRule type="cellIs" dxfId="12840" priority="734" stopIfTrue="1" operator="equal">
      <formula>"Napkin Hs"</formula>
    </cfRule>
  </conditionalFormatting>
  <conditionalFormatting sqref="C136">
    <cfRule type="cellIs" dxfId="12839" priority="729" stopIfTrue="1" operator="equal">
      <formula>"Towel"</formula>
    </cfRule>
    <cfRule type="cellIs" dxfId="12838" priority="730" stopIfTrue="1" operator="equal">
      <formula>"Napkin Hs"</formula>
    </cfRule>
  </conditionalFormatting>
  <conditionalFormatting sqref="C136">
    <cfRule type="cellIs" dxfId="12837" priority="731" stopIfTrue="1" operator="equal">
      <formula>"Towel"</formula>
    </cfRule>
    <cfRule type="cellIs" dxfId="12836" priority="732" stopIfTrue="1" operator="equal">
      <formula>"Napkin Hs"</formula>
    </cfRule>
  </conditionalFormatting>
  <conditionalFormatting sqref="B136:C136">
    <cfRule type="cellIs" dxfId="12835" priority="725" stopIfTrue="1" operator="equal">
      <formula>"Towel"</formula>
    </cfRule>
    <cfRule type="cellIs" dxfId="12834" priority="726" stopIfTrue="1" operator="equal">
      <formula>"Napkin Hs"</formula>
    </cfRule>
  </conditionalFormatting>
  <conditionalFormatting sqref="C136">
    <cfRule type="cellIs" dxfId="12833" priority="727" stopIfTrue="1" operator="equal">
      <formula>"Towel"</formula>
    </cfRule>
    <cfRule type="cellIs" dxfId="12832" priority="728" stopIfTrue="1" operator="equal">
      <formula>"Napkin Hs"</formula>
    </cfRule>
  </conditionalFormatting>
  <conditionalFormatting sqref="C136">
    <cfRule type="cellIs" dxfId="12831" priority="723" stopIfTrue="1" operator="equal">
      <formula>"Towel"</formula>
    </cfRule>
    <cfRule type="cellIs" dxfId="12830" priority="724" stopIfTrue="1" operator="equal">
      <formula>"Napkin Hs"</formula>
    </cfRule>
  </conditionalFormatting>
  <conditionalFormatting sqref="B136:C136">
    <cfRule type="cellIs" dxfId="12829" priority="721" stopIfTrue="1" operator="equal">
      <formula>"Towel"</formula>
    </cfRule>
    <cfRule type="cellIs" dxfId="12828" priority="722" stopIfTrue="1" operator="equal">
      <formula>"Napkin Hs"</formula>
    </cfRule>
  </conditionalFormatting>
  <conditionalFormatting sqref="C136">
    <cfRule type="cellIs" dxfId="12827" priority="717" stopIfTrue="1" operator="equal">
      <formula>"Towel"</formula>
    </cfRule>
    <cfRule type="cellIs" dxfId="12826" priority="718" stopIfTrue="1" operator="equal">
      <formula>"Napkin Hs"</formula>
    </cfRule>
  </conditionalFormatting>
  <conditionalFormatting sqref="C136">
    <cfRule type="cellIs" dxfId="12825" priority="719" stopIfTrue="1" operator="equal">
      <formula>"Towel"</formula>
    </cfRule>
    <cfRule type="cellIs" dxfId="12824" priority="720" stopIfTrue="1" operator="equal">
      <formula>"Napkin Hs"</formula>
    </cfRule>
  </conditionalFormatting>
  <conditionalFormatting sqref="C137">
    <cfRule type="cellIs" dxfId="12823" priority="709" stopIfTrue="1" operator="equal">
      <formula>"Towel"</formula>
    </cfRule>
    <cfRule type="cellIs" dxfId="12822" priority="710" stopIfTrue="1" operator="equal">
      <formula>"Napkin Hs"</formula>
    </cfRule>
  </conditionalFormatting>
  <conditionalFormatting sqref="C137">
    <cfRule type="cellIs" dxfId="12821" priority="707" stopIfTrue="1" operator="equal">
      <formula>"Towel"</formula>
    </cfRule>
    <cfRule type="cellIs" dxfId="12820" priority="708" stopIfTrue="1" operator="equal">
      <formula>"Napkin Hs"</formula>
    </cfRule>
  </conditionalFormatting>
  <conditionalFormatting sqref="B137:C137">
    <cfRule type="cellIs" dxfId="12819" priority="705" stopIfTrue="1" operator="equal">
      <formula>"Towel"</formula>
    </cfRule>
    <cfRule type="cellIs" dxfId="12818" priority="706" stopIfTrue="1" operator="equal">
      <formula>"Napkin Hs"</formula>
    </cfRule>
  </conditionalFormatting>
  <conditionalFormatting sqref="B137:C137">
    <cfRule type="cellIs" dxfId="12817" priority="715" stopIfTrue="1" operator="equal">
      <formula>"Towel"</formula>
    </cfRule>
    <cfRule type="cellIs" dxfId="12816" priority="716" stopIfTrue="1" operator="equal">
      <formula>"Napkin Hs"</formula>
    </cfRule>
  </conditionalFormatting>
  <conditionalFormatting sqref="C137">
    <cfRule type="cellIs" dxfId="12815" priority="713" stopIfTrue="1" operator="equal">
      <formula>"Towel"</formula>
    </cfRule>
    <cfRule type="cellIs" dxfId="12814" priority="714" stopIfTrue="1" operator="equal">
      <formula>"Napkin Hs"</formula>
    </cfRule>
  </conditionalFormatting>
  <conditionalFormatting sqref="C137">
    <cfRule type="cellIs" dxfId="12813" priority="711" stopIfTrue="1" operator="equal">
      <formula>"Towel"</formula>
    </cfRule>
    <cfRule type="cellIs" dxfId="12812" priority="712" stopIfTrue="1" operator="equal">
      <formula>"Napkin Hs"</formula>
    </cfRule>
  </conditionalFormatting>
  <conditionalFormatting sqref="C137">
    <cfRule type="cellIs" dxfId="12811" priority="703" stopIfTrue="1" operator="equal">
      <formula>"Towel"</formula>
    </cfRule>
    <cfRule type="cellIs" dxfId="12810" priority="704" stopIfTrue="1" operator="equal">
      <formula>"Napkin Hs"</formula>
    </cfRule>
  </conditionalFormatting>
  <conditionalFormatting sqref="C137">
    <cfRule type="cellIs" dxfId="12809" priority="701" stopIfTrue="1" operator="equal">
      <formula>"Towel"</formula>
    </cfRule>
    <cfRule type="cellIs" dxfId="12808" priority="702" stopIfTrue="1" operator="equal">
      <formula>"Napkin Hs"</formula>
    </cfRule>
  </conditionalFormatting>
  <conditionalFormatting sqref="B137:C137">
    <cfRule type="cellIs" dxfId="12807" priority="699" stopIfTrue="1" operator="equal">
      <formula>"Towel"</formula>
    </cfRule>
    <cfRule type="cellIs" dxfId="12806" priority="700" stopIfTrue="1" operator="equal">
      <formula>"Napkin Hs"</formula>
    </cfRule>
  </conditionalFormatting>
  <conditionalFormatting sqref="B137">
    <cfRule type="cellIs" dxfId="12805" priority="697" stopIfTrue="1" operator="equal">
      <formula>"Towel"</formula>
    </cfRule>
    <cfRule type="cellIs" dxfId="12804" priority="698" stopIfTrue="1" operator="equal">
      <formula>"Napkin Hs"</formula>
    </cfRule>
  </conditionalFormatting>
  <conditionalFormatting sqref="B137">
    <cfRule type="cellIs" dxfId="12803" priority="695" stopIfTrue="1" operator="equal">
      <formula>"Towel"</formula>
    </cfRule>
    <cfRule type="cellIs" dxfId="12802" priority="696" stopIfTrue="1" operator="equal">
      <formula>"Napkin Hs"</formula>
    </cfRule>
  </conditionalFormatting>
  <conditionalFormatting sqref="B137">
    <cfRule type="cellIs" dxfId="12801" priority="693" stopIfTrue="1" operator="equal">
      <formula>"Towel"</formula>
    </cfRule>
    <cfRule type="cellIs" dxfId="12800" priority="694" stopIfTrue="1" operator="equal">
      <formula>"Napkin Hs"</formula>
    </cfRule>
  </conditionalFormatting>
  <conditionalFormatting sqref="B137:C137">
    <cfRule type="cellIs" dxfId="12799" priority="691" stopIfTrue="1" operator="equal">
      <formula>"Towel"</formula>
    </cfRule>
    <cfRule type="cellIs" dxfId="12798" priority="692" stopIfTrue="1" operator="equal">
      <formula>"Napkin Hs"</formula>
    </cfRule>
  </conditionalFormatting>
  <conditionalFormatting sqref="C137">
    <cfRule type="cellIs" dxfId="12797" priority="689" stopIfTrue="1" operator="equal">
      <formula>"Towel"</formula>
    </cfRule>
    <cfRule type="cellIs" dxfId="12796" priority="690" stopIfTrue="1" operator="equal">
      <formula>"Napkin Hs"</formula>
    </cfRule>
  </conditionalFormatting>
  <conditionalFormatting sqref="C137">
    <cfRule type="cellIs" dxfId="12795" priority="687" stopIfTrue="1" operator="equal">
      <formula>"Towel"</formula>
    </cfRule>
    <cfRule type="cellIs" dxfId="12794" priority="688" stopIfTrue="1" operator="equal">
      <formula>"Napkin Hs"</formula>
    </cfRule>
  </conditionalFormatting>
  <conditionalFormatting sqref="C137">
    <cfRule type="cellIs" dxfId="12793" priority="679" stopIfTrue="1" operator="equal">
      <formula>"Towel"</formula>
    </cfRule>
    <cfRule type="cellIs" dxfId="12792" priority="680" stopIfTrue="1" operator="equal">
      <formula>"Napkin Hs"</formula>
    </cfRule>
  </conditionalFormatting>
  <conditionalFormatting sqref="B137:C137">
    <cfRule type="cellIs" dxfId="12791" priority="681" stopIfTrue="1" operator="equal">
      <formula>"Towel"</formula>
    </cfRule>
    <cfRule type="cellIs" dxfId="12790" priority="682" stopIfTrue="1" operator="equal">
      <formula>"Napkin Hs"</formula>
    </cfRule>
  </conditionalFormatting>
  <conditionalFormatting sqref="C137">
    <cfRule type="cellIs" dxfId="12789" priority="677" stopIfTrue="1" operator="equal">
      <formula>"Towel"</formula>
    </cfRule>
    <cfRule type="cellIs" dxfId="12788" priority="678" stopIfTrue="1" operator="equal">
      <formula>"Napkin Hs"</formula>
    </cfRule>
  </conditionalFormatting>
  <conditionalFormatting sqref="B137:C137">
    <cfRule type="cellIs" dxfId="12787" priority="675" stopIfTrue="1" operator="equal">
      <formula>"Towel"</formula>
    </cfRule>
    <cfRule type="cellIs" dxfId="12786" priority="676" stopIfTrue="1" operator="equal">
      <formula>"Napkin Hs"</formula>
    </cfRule>
  </conditionalFormatting>
  <conditionalFormatting sqref="C137">
    <cfRule type="cellIs" dxfId="12785" priority="683" stopIfTrue="1" operator="equal">
      <formula>"Towel"</formula>
    </cfRule>
    <cfRule type="cellIs" dxfId="12784" priority="684" stopIfTrue="1" operator="equal">
      <formula>"Napkin Hs"</formula>
    </cfRule>
  </conditionalFormatting>
  <conditionalFormatting sqref="C137">
    <cfRule type="cellIs" dxfId="12783" priority="685" stopIfTrue="1" operator="equal">
      <formula>"Towel"</formula>
    </cfRule>
    <cfRule type="cellIs" dxfId="12782" priority="686" stopIfTrue="1" operator="equal">
      <formula>"Napkin Hs"</formula>
    </cfRule>
  </conditionalFormatting>
  <conditionalFormatting sqref="B137:C137">
    <cfRule type="cellIs" dxfId="12781" priority="671" stopIfTrue="1" operator="equal">
      <formula>"Towel"</formula>
    </cfRule>
    <cfRule type="cellIs" dxfId="12780" priority="672" stopIfTrue="1" operator="equal">
      <formula>"Napkin Hs"</formula>
    </cfRule>
  </conditionalFormatting>
  <conditionalFormatting sqref="C137">
    <cfRule type="cellIs" dxfId="12779" priority="673" stopIfTrue="1" operator="equal">
      <formula>"Towel"</formula>
    </cfRule>
    <cfRule type="cellIs" dxfId="12778" priority="674" stopIfTrue="1" operator="equal">
      <formula>"Napkin Hs"</formula>
    </cfRule>
  </conditionalFormatting>
  <conditionalFormatting sqref="C137">
    <cfRule type="cellIs" dxfId="12777" priority="669" stopIfTrue="1" operator="equal">
      <formula>"Towel"</formula>
    </cfRule>
    <cfRule type="cellIs" dxfId="12776" priority="670" stopIfTrue="1" operator="equal">
      <formula>"Napkin Hs"</formula>
    </cfRule>
  </conditionalFormatting>
  <conditionalFormatting sqref="B137">
    <cfRule type="cellIs" dxfId="12775" priority="665" stopIfTrue="1" operator="equal">
      <formula>"Towel"</formula>
    </cfRule>
    <cfRule type="cellIs" dxfId="12774" priority="666" stopIfTrue="1" operator="equal">
      <formula>"Napkin Hs"</formula>
    </cfRule>
  </conditionalFormatting>
  <conditionalFormatting sqref="B137">
    <cfRule type="cellIs" dxfId="12773" priority="667" stopIfTrue="1" operator="equal">
      <formula>"Towel"</formula>
    </cfRule>
    <cfRule type="cellIs" dxfId="12772" priority="668" stopIfTrue="1" operator="equal">
      <formula>"Napkin Hs"</formula>
    </cfRule>
  </conditionalFormatting>
  <conditionalFormatting sqref="B137">
    <cfRule type="cellIs" dxfId="12771" priority="663" stopIfTrue="1" operator="equal">
      <formula>"Towel"</formula>
    </cfRule>
    <cfRule type="cellIs" dxfId="12770" priority="664" stopIfTrue="1" operator="equal">
      <formula>"Napkin Hs"</formula>
    </cfRule>
  </conditionalFormatting>
  <conditionalFormatting sqref="B137:C137">
    <cfRule type="cellIs" dxfId="12769" priority="661" stopIfTrue="1" operator="equal">
      <formula>"Towel"</formula>
    </cfRule>
    <cfRule type="cellIs" dxfId="12768" priority="662" stopIfTrue="1" operator="equal">
      <formula>"Napkin Hs"</formula>
    </cfRule>
  </conditionalFormatting>
  <conditionalFormatting sqref="C137">
    <cfRule type="cellIs" dxfId="12767" priority="659" stopIfTrue="1" operator="equal">
      <formula>"Towel"</formula>
    </cfRule>
    <cfRule type="cellIs" dxfId="12766" priority="660" stopIfTrue="1" operator="equal">
      <formula>"Napkin Hs"</formula>
    </cfRule>
  </conditionalFormatting>
  <conditionalFormatting sqref="C137">
    <cfRule type="cellIs" dxfId="12765" priority="657" stopIfTrue="1" operator="equal">
      <formula>"Towel"</formula>
    </cfRule>
    <cfRule type="cellIs" dxfId="12764" priority="658" stopIfTrue="1" operator="equal">
      <formula>"Napkin Hs"</formula>
    </cfRule>
  </conditionalFormatting>
  <conditionalFormatting sqref="C137">
    <cfRule type="cellIs" dxfId="12763" priority="649" stopIfTrue="1" operator="equal">
      <formula>"Towel"</formula>
    </cfRule>
    <cfRule type="cellIs" dxfId="12762" priority="650" stopIfTrue="1" operator="equal">
      <formula>"Napkin Hs"</formula>
    </cfRule>
  </conditionalFormatting>
  <conditionalFormatting sqref="B137:C137">
    <cfRule type="cellIs" dxfId="12761" priority="651" stopIfTrue="1" operator="equal">
      <formula>"Towel"</formula>
    </cfRule>
    <cfRule type="cellIs" dxfId="12760" priority="652" stopIfTrue="1" operator="equal">
      <formula>"Napkin Hs"</formula>
    </cfRule>
  </conditionalFormatting>
  <conditionalFormatting sqref="C137">
    <cfRule type="cellIs" dxfId="12759" priority="647" stopIfTrue="1" operator="equal">
      <formula>"Towel"</formula>
    </cfRule>
    <cfRule type="cellIs" dxfId="12758" priority="648" stopIfTrue="1" operator="equal">
      <formula>"Napkin Hs"</formula>
    </cfRule>
  </conditionalFormatting>
  <conditionalFormatting sqref="B137:C137">
    <cfRule type="cellIs" dxfId="12757" priority="645" stopIfTrue="1" operator="equal">
      <formula>"Towel"</formula>
    </cfRule>
    <cfRule type="cellIs" dxfId="12756" priority="646" stopIfTrue="1" operator="equal">
      <formula>"Napkin Hs"</formula>
    </cfRule>
  </conditionalFormatting>
  <conditionalFormatting sqref="C137">
    <cfRule type="cellIs" dxfId="12755" priority="653" stopIfTrue="1" operator="equal">
      <formula>"Towel"</formula>
    </cfRule>
    <cfRule type="cellIs" dxfId="12754" priority="654" stopIfTrue="1" operator="equal">
      <formula>"Napkin Hs"</formula>
    </cfRule>
  </conditionalFormatting>
  <conditionalFormatting sqref="C137">
    <cfRule type="cellIs" dxfId="12753" priority="655" stopIfTrue="1" operator="equal">
      <formula>"Towel"</formula>
    </cfRule>
    <cfRule type="cellIs" dxfId="12752" priority="656" stopIfTrue="1" operator="equal">
      <formula>"Napkin Hs"</formula>
    </cfRule>
  </conditionalFormatting>
  <conditionalFormatting sqref="C137">
    <cfRule type="cellIs" dxfId="12751" priority="641" stopIfTrue="1" operator="equal">
      <formula>"Towel"</formula>
    </cfRule>
    <cfRule type="cellIs" dxfId="12750" priority="642" stopIfTrue="1" operator="equal">
      <formula>"Napkin Hs"</formula>
    </cfRule>
  </conditionalFormatting>
  <conditionalFormatting sqref="C137">
    <cfRule type="cellIs" dxfId="12749" priority="643" stopIfTrue="1" operator="equal">
      <formula>"Towel"</formula>
    </cfRule>
    <cfRule type="cellIs" dxfId="12748" priority="644" stopIfTrue="1" operator="equal">
      <formula>"Napkin Hs"</formula>
    </cfRule>
  </conditionalFormatting>
  <conditionalFormatting sqref="B137:C137">
    <cfRule type="cellIs" dxfId="12747" priority="639" stopIfTrue="1" operator="equal">
      <formula>"Towel"</formula>
    </cfRule>
    <cfRule type="cellIs" dxfId="12746" priority="640" stopIfTrue="1" operator="equal">
      <formula>"Napkin Hs"</formula>
    </cfRule>
  </conditionalFormatting>
  <conditionalFormatting sqref="B137:C137">
    <cfRule type="cellIs" dxfId="12745" priority="633" stopIfTrue="1" operator="equal">
      <formula>"Towel"</formula>
    </cfRule>
    <cfRule type="cellIs" dxfId="12744" priority="634" stopIfTrue="1" operator="equal">
      <formula>"Napkin Hs"</formula>
    </cfRule>
  </conditionalFormatting>
  <conditionalFormatting sqref="C137">
    <cfRule type="cellIs" dxfId="12743" priority="635" stopIfTrue="1" operator="equal">
      <formula>"Towel"</formula>
    </cfRule>
    <cfRule type="cellIs" dxfId="12742" priority="636" stopIfTrue="1" operator="equal">
      <formula>"Napkin Hs"</formula>
    </cfRule>
  </conditionalFormatting>
  <conditionalFormatting sqref="C137">
    <cfRule type="cellIs" dxfId="12741" priority="637" stopIfTrue="1" operator="equal">
      <formula>"Towel"</formula>
    </cfRule>
    <cfRule type="cellIs" dxfId="12740" priority="638" stopIfTrue="1" operator="equal">
      <formula>"Napkin Hs"</formula>
    </cfRule>
  </conditionalFormatting>
  <conditionalFormatting sqref="C137">
    <cfRule type="cellIs" dxfId="12739" priority="605" stopIfTrue="1" operator="equal">
      <formula>"Towel"</formula>
    </cfRule>
    <cfRule type="cellIs" dxfId="12738" priority="606" stopIfTrue="1" operator="equal">
      <formula>"Napkin Hs"</formula>
    </cfRule>
  </conditionalFormatting>
  <conditionalFormatting sqref="C137">
    <cfRule type="cellIs" dxfId="12737" priority="607" stopIfTrue="1" operator="equal">
      <formula>"Towel"</formula>
    </cfRule>
    <cfRule type="cellIs" dxfId="12736" priority="608" stopIfTrue="1" operator="equal">
      <formula>"Napkin Hs"</formula>
    </cfRule>
  </conditionalFormatting>
  <conditionalFormatting sqref="C137">
    <cfRule type="cellIs" dxfId="12735" priority="603" stopIfTrue="1" operator="equal">
      <formula>"Towel"</formula>
    </cfRule>
    <cfRule type="cellIs" dxfId="12734" priority="604" stopIfTrue="1" operator="equal">
      <formula>"Napkin Hs"</formula>
    </cfRule>
  </conditionalFormatting>
  <conditionalFormatting sqref="B137">
    <cfRule type="cellIs" dxfId="12733" priority="597" stopIfTrue="1" operator="equal">
      <formula>"Towel"</formula>
    </cfRule>
    <cfRule type="cellIs" dxfId="12732" priority="598" stopIfTrue="1" operator="equal">
      <formula>"Napkin Hs"</formula>
    </cfRule>
  </conditionalFormatting>
  <conditionalFormatting sqref="C137">
    <cfRule type="cellIs" dxfId="12731" priority="599" stopIfTrue="1" operator="equal">
      <formula>"Towel"</formula>
    </cfRule>
    <cfRule type="cellIs" dxfId="12730" priority="600" stopIfTrue="1" operator="equal">
      <formula>"Napkin Hs"</formula>
    </cfRule>
  </conditionalFormatting>
  <conditionalFormatting sqref="C137">
    <cfRule type="cellIs" dxfId="12729" priority="601" stopIfTrue="1" operator="equal">
      <formula>"Towel"</formula>
    </cfRule>
    <cfRule type="cellIs" dxfId="12728" priority="602" stopIfTrue="1" operator="equal">
      <formula>"Napkin Hs"</formula>
    </cfRule>
  </conditionalFormatting>
  <conditionalFormatting sqref="B137:C137">
    <cfRule type="cellIs" dxfId="12727" priority="551" stopIfTrue="1" operator="equal">
      <formula>"Towel"</formula>
    </cfRule>
    <cfRule type="cellIs" dxfId="12726" priority="552" stopIfTrue="1" operator="equal">
      <formula>"Napkin Hs"</formula>
    </cfRule>
  </conditionalFormatting>
  <conditionalFormatting sqref="C137">
    <cfRule type="cellIs" dxfId="12725" priority="553" stopIfTrue="1" operator="equal">
      <formula>"Towel"</formula>
    </cfRule>
    <cfRule type="cellIs" dxfId="12724" priority="554" stopIfTrue="1" operator="equal">
      <formula>"Napkin Hs"</formula>
    </cfRule>
  </conditionalFormatting>
  <conditionalFormatting sqref="C137">
    <cfRule type="cellIs" dxfId="12723" priority="549" stopIfTrue="1" operator="equal">
      <formula>"Towel"</formula>
    </cfRule>
    <cfRule type="cellIs" dxfId="12722" priority="550" stopIfTrue="1" operator="equal">
      <formula>"Napkin Hs"</formula>
    </cfRule>
  </conditionalFormatting>
  <conditionalFormatting sqref="C137">
    <cfRule type="cellIs" dxfId="12721" priority="547" stopIfTrue="1" operator="equal">
      <formula>"Towel"</formula>
    </cfRule>
    <cfRule type="cellIs" dxfId="12720" priority="548" stopIfTrue="1" operator="equal">
      <formula>"Napkin Hs"</formula>
    </cfRule>
  </conditionalFormatting>
  <conditionalFormatting sqref="B137">
    <cfRule type="cellIs" dxfId="12719" priority="595" stopIfTrue="1" operator="equal">
      <formula>"Towel"</formula>
    </cfRule>
    <cfRule type="cellIs" dxfId="12718" priority="596" stopIfTrue="1" operator="equal">
      <formula>"Napkin Hs"</formula>
    </cfRule>
  </conditionalFormatting>
  <conditionalFormatting sqref="C137">
    <cfRule type="cellIs" dxfId="12717" priority="591" stopIfTrue="1" operator="equal">
      <formula>"Towel"</formula>
    </cfRule>
    <cfRule type="cellIs" dxfId="12716" priority="592" stopIfTrue="1" operator="equal">
      <formula>"Napkin Hs"</formula>
    </cfRule>
  </conditionalFormatting>
  <conditionalFormatting sqref="C137">
    <cfRule type="cellIs" dxfId="12715" priority="585" stopIfTrue="1" operator="equal">
      <formula>"Towel"</formula>
    </cfRule>
    <cfRule type="cellIs" dxfId="12714" priority="586" stopIfTrue="1" operator="equal">
      <formula>"Napkin Hs"</formula>
    </cfRule>
  </conditionalFormatting>
  <conditionalFormatting sqref="C137">
    <cfRule type="cellIs" dxfId="12713" priority="589" stopIfTrue="1" operator="equal">
      <formula>"Towel"</formula>
    </cfRule>
    <cfRule type="cellIs" dxfId="12712" priority="590" stopIfTrue="1" operator="equal">
      <formula>"Napkin Hs"</formula>
    </cfRule>
  </conditionalFormatting>
  <conditionalFormatting sqref="B137:C137">
    <cfRule type="cellIs" dxfId="12711" priority="587" stopIfTrue="1" operator="equal">
      <formula>"Towel"</formula>
    </cfRule>
    <cfRule type="cellIs" dxfId="12710" priority="588" stopIfTrue="1" operator="equal">
      <formula>"Napkin Hs"</formula>
    </cfRule>
  </conditionalFormatting>
  <conditionalFormatting sqref="C137">
    <cfRule type="cellIs" dxfId="12709" priority="579" stopIfTrue="1" operator="equal">
      <formula>"Towel"</formula>
    </cfRule>
    <cfRule type="cellIs" dxfId="12708" priority="580" stopIfTrue="1" operator="equal">
      <formula>"Napkin Hs"</formula>
    </cfRule>
  </conditionalFormatting>
  <conditionalFormatting sqref="C137">
    <cfRule type="cellIs" dxfId="12707" priority="581" stopIfTrue="1" operator="equal">
      <formula>"Towel"</formula>
    </cfRule>
    <cfRule type="cellIs" dxfId="12706" priority="582" stopIfTrue="1" operator="equal">
      <formula>"Napkin Hs"</formula>
    </cfRule>
  </conditionalFormatting>
  <conditionalFormatting sqref="C137">
    <cfRule type="cellIs" dxfId="12705" priority="583" stopIfTrue="1" operator="equal">
      <formula>"Towel"</formula>
    </cfRule>
    <cfRule type="cellIs" dxfId="12704" priority="584" stopIfTrue="1" operator="equal">
      <formula>"Napkin Hs"</formula>
    </cfRule>
  </conditionalFormatting>
  <conditionalFormatting sqref="C137">
    <cfRule type="cellIs" dxfId="12703" priority="573" stopIfTrue="1" operator="equal">
      <formula>"Towel"</formula>
    </cfRule>
    <cfRule type="cellIs" dxfId="12702" priority="574" stopIfTrue="1" operator="equal">
      <formula>"Napkin Hs"</formula>
    </cfRule>
  </conditionalFormatting>
  <conditionalFormatting sqref="B137:C137">
    <cfRule type="cellIs" dxfId="12701" priority="577" stopIfTrue="1" operator="equal">
      <formula>"Towel"</formula>
    </cfRule>
    <cfRule type="cellIs" dxfId="12700" priority="578" stopIfTrue="1" operator="equal">
      <formula>"Napkin Hs"</formula>
    </cfRule>
  </conditionalFormatting>
  <conditionalFormatting sqref="C137">
    <cfRule type="cellIs" dxfId="12699" priority="575" stopIfTrue="1" operator="equal">
      <formula>"Towel"</formula>
    </cfRule>
    <cfRule type="cellIs" dxfId="12698" priority="576" stopIfTrue="1" operator="equal">
      <formula>"Napkin Hs"</formula>
    </cfRule>
  </conditionalFormatting>
  <conditionalFormatting sqref="B137:C137">
    <cfRule type="cellIs" dxfId="12697" priority="567" stopIfTrue="1" operator="equal">
      <formula>"Towel"</formula>
    </cfRule>
    <cfRule type="cellIs" dxfId="12696" priority="568" stopIfTrue="1" operator="equal">
      <formula>"Napkin Hs"</formula>
    </cfRule>
  </conditionalFormatting>
  <conditionalFormatting sqref="C137">
    <cfRule type="cellIs" dxfId="12695" priority="569" stopIfTrue="1" operator="equal">
      <formula>"Towel"</formula>
    </cfRule>
    <cfRule type="cellIs" dxfId="12694" priority="570" stopIfTrue="1" operator="equal">
      <formula>"Napkin Hs"</formula>
    </cfRule>
  </conditionalFormatting>
  <conditionalFormatting sqref="B137:C137">
    <cfRule type="cellIs" dxfId="12693" priority="571" stopIfTrue="1" operator="equal">
      <formula>"Towel"</formula>
    </cfRule>
    <cfRule type="cellIs" dxfId="12692" priority="572" stopIfTrue="1" operator="equal">
      <formula>"Napkin Hs"</formula>
    </cfRule>
  </conditionalFormatting>
  <conditionalFormatting sqref="C137">
    <cfRule type="cellIs" dxfId="12691" priority="565" stopIfTrue="1" operator="equal">
      <formula>"Towel"</formula>
    </cfRule>
    <cfRule type="cellIs" dxfId="12690" priority="566" stopIfTrue="1" operator="equal">
      <formula>"Napkin Hs"</formula>
    </cfRule>
  </conditionalFormatting>
  <conditionalFormatting sqref="C137">
    <cfRule type="cellIs" dxfId="12689" priority="561" stopIfTrue="1" operator="equal">
      <formula>"Towel"</formula>
    </cfRule>
    <cfRule type="cellIs" dxfId="12688" priority="562" stopIfTrue="1" operator="equal">
      <formula>"Napkin Hs"</formula>
    </cfRule>
  </conditionalFormatting>
  <conditionalFormatting sqref="B137:C137">
    <cfRule type="cellIs" dxfId="12687" priority="563" stopIfTrue="1" operator="equal">
      <formula>"Towel"</formula>
    </cfRule>
    <cfRule type="cellIs" dxfId="12686" priority="564" stopIfTrue="1" operator="equal">
      <formula>"Napkin Hs"</formula>
    </cfRule>
  </conditionalFormatting>
  <conditionalFormatting sqref="C137">
    <cfRule type="cellIs" dxfId="12685" priority="559" stopIfTrue="1" operator="equal">
      <formula>"Towel"</formula>
    </cfRule>
    <cfRule type="cellIs" dxfId="12684" priority="560" stopIfTrue="1" operator="equal">
      <formula>"Napkin Hs"</formula>
    </cfRule>
  </conditionalFormatting>
  <conditionalFormatting sqref="C137">
    <cfRule type="cellIs" dxfId="12683" priority="557" stopIfTrue="1" operator="equal">
      <formula>"Towel"</formula>
    </cfRule>
    <cfRule type="cellIs" dxfId="12682" priority="558" stopIfTrue="1" operator="equal">
      <formula>"Napkin Hs"</formula>
    </cfRule>
  </conditionalFormatting>
  <conditionalFormatting sqref="B137:C137">
    <cfRule type="cellIs" dxfId="12681" priority="555" stopIfTrue="1" operator="equal">
      <formula>"Towel"</formula>
    </cfRule>
    <cfRule type="cellIs" dxfId="12680" priority="556" stopIfTrue="1" operator="equal">
      <formula>"Napkin Hs"</formula>
    </cfRule>
  </conditionalFormatting>
  <conditionalFormatting sqref="B137:C137">
    <cfRule type="cellIs" dxfId="12679" priority="631" stopIfTrue="1" operator="equal">
      <formula>"Towel"</formula>
    </cfRule>
    <cfRule type="cellIs" dxfId="12678" priority="632" stopIfTrue="1" operator="equal">
      <formula>"Napkin Hs"</formula>
    </cfRule>
  </conditionalFormatting>
  <conditionalFormatting sqref="C137">
    <cfRule type="cellIs" dxfId="12677" priority="627" stopIfTrue="1" operator="equal">
      <formula>"Towel"</formula>
    </cfRule>
    <cfRule type="cellIs" dxfId="12676" priority="628" stopIfTrue="1" operator="equal">
      <formula>"Napkin Hs"</formula>
    </cfRule>
  </conditionalFormatting>
  <conditionalFormatting sqref="C137">
    <cfRule type="cellIs" dxfId="12675" priority="630" stopIfTrue="1" operator="equal">
      <formula>"Napkin Hs"</formula>
    </cfRule>
  </conditionalFormatting>
  <conditionalFormatting sqref="C137">
    <cfRule type="cellIs" dxfId="12674" priority="629" stopIfTrue="1" operator="equal">
      <formula>"Towel"</formula>
    </cfRule>
  </conditionalFormatting>
  <conditionalFormatting sqref="C137">
    <cfRule type="cellIs" dxfId="12673" priority="621" stopIfTrue="1" operator="equal">
      <formula>"Towel"</formula>
    </cfRule>
    <cfRule type="cellIs" dxfId="12672" priority="622" stopIfTrue="1" operator="equal">
      <formula>"Napkin Hs"</formula>
    </cfRule>
  </conditionalFormatting>
  <conditionalFormatting sqref="C137">
    <cfRule type="cellIs" dxfId="12671" priority="625" stopIfTrue="1" operator="equal">
      <formula>"Towel"</formula>
    </cfRule>
    <cfRule type="cellIs" dxfId="12670" priority="626" stopIfTrue="1" operator="equal">
      <formula>"Napkin Hs"</formula>
    </cfRule>
  </conditionalFormatting>
  <conditionalFormatting sqref="B137">
    <cfRule type="cellIs" dxfId="12669" priority="611" stopIfTrue="1" operator="equal">
      <formula>"Towel"</formula>
    </cfRule>
    <cfRule type="cellIs" dxfId="12668" priority="612" stopIfTrue="1" operator="equal">
      <formula>"Napkin Hs"</formula>
    </cfRule>
  </conditionalFormatting>
  <conditionalFormatting sqref="C137">
    <cfRule type="cellIs" dxfId="12667" priority="623" stopIfTrue="1" operator="equal">
      <formula>"Towel"</formula>
    </cfRule>
    <cfRule type="cellIs" dxfId="12666" priority="624" stopIfTrue="1" operator="equal">
      <formula>"Napkin Hs"</formula>
    </cfRule>
  </conditionalFormatting>
  <conditionalFormatting sqref="C137">
    <cfRule type="cellIs" dxfId="12665" priority="615" stopIfTrue="1" operator="equal">
      <formula>"Towel"</formula>
    </cfRule>
    <cfRule type="cellIs" dxfId="12664" priority="616" stopIfTrue="1" operator="equal">
      <formula>"Napkin Hs"</formula>
    </cfRule>
  </conditionalFormatting>
  <conditionalFormatting sqref="C137">
    <cfRule type="cellIs" dxfId="12663" priority="617" stopIfTrue="1" operator="equal">
      <formula>"Towel"</formula>
    </cfRule>
    <cfRule type="cellIs" dxfId="12662" priority="618" stopIfTrue="1" operator="equal">
      <formula>"Napkin Hs"</formula>
    </cfRule>
  </conditionalFormatting>
  <conditionalFormatting sqref="C137">
    <cfRule type="cellIs" dxfId="12661" priority="619" stopIfTrue="1" operator="equal">
      <formula>"Towel"</formula>
    </cfRule>
    <cfRule type="cellIs" dxfId="12660" priority="620" stopIfTrue="1" operator="equal">
      <formula>"Napkin Hs"</formula>
    </cfRule>
  </conditionalFormatting>
  <conditionalFormatting sqref="B137">
    <cfRule type="cellIs" dxfId="12659" priority="613" stopIfTrue="1" operator="equal">
      <formula>"Towel"</formula>
    </cfRule>
    <cfRule type="cellIs" dxfId="12658" priority="614" stopIfTrue="1" operator="equal">
      <formula>"Napkin Hs"</formula>
    </cfRule>
  </conditionalFormatting>
  <conditionalFormatting sqref="C137">
    <cfRule type="cellIs" dxfId="12657" priority="609" stopIfTrue="1" operator="equal">
      <formula>"Towel"</formula>
    </cfRule>
    <cfRule type="cellIs" dxfId="12656" priority="610" stopIfTrue="1" operator="equal">
      <formula>"Napkin Hs"</formula>
    </cfRule>
  </conditionalFormatting>
  <conditionalFormatting sqref="B137:C137">
    <cfRule type="cellIs" dxfId="12655" priority="593" stopIfTrue="1" operator="equal">
      <formula>"Towel"</formula>
    </cfRule>
    <cfRule type="cellIs" dxfId="12654" priority="594" stopIfTrue="1" operator="equal">
      <formula>"Napkin Hs"</formula>
    </cfRule>
  </conditionalFormatting>
  <conditionalFormatting sqref="B137">
    <cfRule type="cellIs" dxfId="12653" priority="545" stopIfTrue="1" operator="equal">
      <formula>"Towel"</formula>
    </cfRule>
    <cfRule type="cellIs" dxfId="12652" priority="546" stopIfTrue="1" operator="equal">
      <formula>"Napkin Hs"</formula>
    </cfRule>
  </conditionalFormatting>
  <conditionalFormatting sqref="B137">
    <cfRule type="cellIs" dxfId="12651" priority="543" stopIfTrue="1" operator="equal">
      <formula>"Towel"</formula>
    </cfRule>
    <cfRule type="cellIs" dxfId="12650" priority="544" stopIfTrue="1" operator="equal">
      <formula>"Napkin Hs"</formula>
    </cfRule>
  </conditionalFormatting>
  <conditionalFormatting sqref="B137">
    <cfRule type="cellIs" dxfId="12649" priority="541" stopIfTrue="1" operator="equal">
      <formula>"Towel"</formula>
    </cfRule>
    <cfRule type="cellIs" dxfId="12648" priority="542" stopIfTrue="1" operator="equal">
      <formula>"Napkin Hs"</formula>
    </cfRule>
  </conditionalFormatting>
  <conditionalFormatting sqref="B137">
    <cfRule type="cellIs" dxfId="12647" priority="535" stopIfTrue="1" operator="equal">
      <formula>"Towel"</formula>
    </cfRule>
    <cfRule type="cellIs" dxfId="12646" priority="536" stopIfTrue="1" operator="equal">
      <formula>"Napkin Hs"</formula>
    </cfRule>
  </conditionalFormatting>
  <conditionalFormatting sqref="B137">
    <cfRule type="cellIs" dxfId="12645" priority="539" stopIfTrue="1" operator="equal">
      <formula>"Towel"</formula>
    </cfRule>
    <cfRule type="cellIs" dxfId="12644" priority="540" stopIfTrue="1" operator="equal">
      <formula>"Napkin Hs"</formula>
    </cfRule>
  </conditionalFormatting>
  <conditionalFormatting sqref="B137">
    <cfRule type="cellIs" dxfId="12643" priority="537" stopIfTrue="1" operator="equal">
      <formula>"Towel"</formula>
    </cfRule>
    <cfRule type="cellIs" dxfId="12642" priority="538" stopIfTrue="1" operator="equal">
      <formula>"Napkin Hs"</formula>
    </cfRule>
  </conditionalFormatting>
  <conditionalFormatting sqref="B137">
    <cfRule type="cellIs" dxfId="12641" priority="533" stopIfTrue="1" operator="equal">
      <formula>"Towel"</formula>
    </cfRule>
    <cfRule type="cellIs" dxfId="12640" priority="534" stopIfTrue="1" operator="equal">
      <formula>"Napkin Hs"</formula>
    </cfRule>
  </conditionalFormatting>
  <conditionalFormatting sqref="B137">
    <cfRule type="cellIs" dxfId="12639" priority="531" stopIfTrue="1" operator="equal">
      <formula>"Towel"</formula>
    </cfRule>
    <cfRule type="cellIs" dxfId="12638" priority="532" stopIfTrue="1" operator="equal">
      <formula>"Napkin Hs"</formula>
    </cfRule>
  </conditionalFormatting>
  <conditionalFormatting sqref="B137">
    <cfRule type="cellIs" dxfId="12637" priority="527" stopIfTrue="1" operator="equal">
      <formula>"Towel"</formula>
    </cfRule>
    <cfRule type="cellIs" dxfId="12636" priority="528" stopIfTrue="1" operator="equal">
      <formula>"Napkin Hs"</formula>
    </cfRule>
  </conditionalFormatting>
  <conditionalFormatting sqref="B137">
    <cfRule type="cellIs" dxfId="12635" priority="525" stopIfTrue="1" operator="equal">
      <formula>"Towel"</formula>
    </cfRule>
    <cfRule type="cellIs" dxfId="12634" priority="526" stopIfTrue="1" operator="equal">
      <formula>"Napkin Hs"</formula>
    </cfRule>
  </conditionalFormatting>
  <conditionalFormatting sqref="B137">
    <cfRule type="cellIs" dxfId="12633" priority="529" stopIfTrue="1" operator="equal">
      <formula>"Towel"</formula>
    </cfRule>
    <cfRule type="cellIs" dxfId="12632" priority="530" stopIfTrue="1" operator="equal">
      <formula>"Napkin Hs"</formula>
    </cfRule>
  </conditionalFormatting>
  <conditionalFormatting sqref="B137">
    <cfRule type="cellIs" dxfId="12631" priority="523" stopIfTrue="1" operator="equal">
      <formula>"Towel"</formula>
    </cfRule>
    <cfRule type="cellIs" dxfId="12630" priority="524" stopIfTrue="1" operator="equal">
      <formula>"Napkin Hs"</formula>
    </cfRule>
  </conditionalFormatting>
  <conditionalFormatting sqref="B137">
    <cfRule type="cellIs" dxfId="12629" priority="521" stopIfTrue="1" operator="equal">
      <formula>"Towel"</formula>
    </cfRule>
    <cfRule type="cellIs" dxfId="12628" priority="522" stopIfTrue="1" operator="equal">
      <formula>"Napkin Hs"</formula>
    </cfRule>
  </conditionalFormatting>
  <conditionalFormatting sqref="B137">
    <cfRule type="cellIs" dxfId="12627" priority="519" stopIfTrue="1" operator="equal">
      <formula>"Towel"</formula>
    </cfRule>
    <cfRule type="cellIs" dxfId="12626" priority="520" stopIfTrue="1" operator="equal">
      <formula>"Napkin Hs"</formula>
    </cfRule>
  </conditionalFormatting>
  <conditionalFormatting sqref="B137">
    <cfRule type="cellIs" dxfId="12625" priority="517" stopIfTrue="1" operator="equal">
      <formula>"Towel"</formula>
    </cfRule>
    <cfRule type="cellIs" dxfId="12624" priority="518" stopIfTrue="1" operator="equal">
      <formula>"Napkin Hs"</formula>
    </cfRule>
  </conditionalFormatting>
  <conditionalFormatting sqref="C137">
    <cfRule type="cellIs" dxfId="12623" priority="513" stopIfTrue="1" operator="equal">
      <formula>"Towel"</formula>
    </cfRule>
    <cfRule type="cellIs" dxfId="12622" priority="514" stopIfTrue="1" operator="equal">
      <formula>"Napkin Hs"</formula>
    </cfRule>
  </conditionalFormatting>
  <conditionalFormatting sqref="C137">
    <cfRule type="cellIs" dxfId="12621" priority="515" stopIfTrue="1" operator="equal">
      <formula>"Towel"</formula>
    </cfRule>
    <cfRule type="cellIs" dxfId="12620" priority="516" stopIfTrue="1" operator="equal">
      <formula>"Napkin Hs"</formula>
    </cfRule>
  </conditionalFormatting>
  <conditionalFormatting sqref="C137">
    <cfRule type="cellIs" dxfId="12619" priority="509" stopIfTrue="1" operator="equal">
      <formula>"Towel"</formula>
    </cfRule>
    <cfRule type="cellIs" dxfId="12618" priority="510" stopIfTrue="1" operator="equal">
      <formula>"Napkin Hs"</formula>
    </cfRule>
  </conditionalFormatting>
  <conditionalFormatting sqref="B137:C137">
    <cfRule type="cellIs" dxfId="12617" priority="511" stopIfTrue="1" operator="equal">
      <formula>"Towel"</formula>
    </cfRule>
    <cfRule type="cellIs" dxfId="12616" priority="512" stopIfTrue="1" operator="equal">
      <formula>"Napkin Hs"</formula>
    </cfRule>
  </conditionalFormatting>
  <conditionalFormatting sqref="C137">
    <cfRule type="cellIs" dxfId="12615" priority="507" stopIfTrue="1" operator="equal">
      <formula>"Towel"</formula>
    </cfRule>
    <cfRule type="cellIs" dxfId="12614" priority="508" stopIfTrue="1" operator="equal">
      <formula>"Napkin Hs"</formula>
    </cfRule>
  </conditionalFormatting>
  <conditionalFormatting sqref="B137:C137">
    <cfRule type="cellIs" dxfId="12613" priority="505" stopIfTrue="1" operator="equal">
      <formula>"Towel"</formula>
    </cfRule>
    <cfRule type="cellIs" dxfId="12612" priority="506" stopIfTrue="1" operator="equal">
      <formula>"Napkin Hs"</formula>
    </cfRule>
  </conditionalFormatting>
  <conditionalFormatting sqref="B137:C137">
    <cfRule type="cellIs" dxfId="12611" priority="503" stopIfTrue="1" operator="equal">
      <formula>"Towel"</formula>
    </cfRule>
    <cfRule type="cellIs" dxfId="12610" priority="504" stopIfTrue="1" operator="equal">
      <formula>"Napkin Hs"</formula>
    </cfRule>
  </conditionalFormatting>
  <conditionalFormatting sqref="C137">
    <cfRule type="cellIs" dxfId="12609" priority="497" stopIfTrue="1" operator="equal">
      <formula>"Towel"</formula>
    </cfRule>
    <cfRule type="cellIs" dxfId="12608" priority="498" stopIfTrue="1" operator="equal">
      <formula>"Napkin Hs"</formula>
    </cfRule>
  </conditionalFormatting>
  <conditionalFormatting sqref="C137">
    <cfRule type="cellIs" dxfId="12607" priority="499" stopIfTrue="1" operator="equal">
      <formula>"Towel"</formula>
    </cfRule>
    <cfRule type="cellIs" dxfId="12606" priority="500" stopIfTrue="1" operator="equal">
      <formula>"Napkin Hs"</formula>
    </cfRule>
  </conditionalFormatting>
  <conditionalFormatting sqref="C137">
    <cfRule type="cellIs" dxfId="12605" priority="495" stopIfTrue="1" operator="equal">
      <formula>"Towel"</formula>
    </cfRule>
    <cfRule type="cellIs" dxfId="12604" priority="496" stopIfTrue="1" operator="equal">
      <formula>"Napkin Hs"</formula>
    </cfRule>
  </conditionalFormatting>
  <conditionalFormatting sqref="C137">
    <cfRule type="cellIs" dxfId="12603" priority="493" stopIfTrue="1" operator="equal">
      <formula>"Towel"</formula>
    </cfRule>
    <cfRule type="cellIs" dxfId="12602" priority="494" stopIfTrue="1" operator="equal">
      <formula>"Napkin Hs"</formula>
    </cfRule>
  </conditionalFormatting>
  <conditionalFormatting sqref="C137">
    <cfRule type="cellIs" dxfId="12601" priority="489" stopIfTrue="1" operator="equal">
      <formula>"Towel"</formula>
    </cfRule>
    <cfRule type="cellIs" dxfId="12600" priority="490" stopIfTrue="1" operator="equal">
      <formula>"Napkin Hs"</formula>
    </cfRule>
  </conditionalFormatting>
  <conditionalFormatting sqref="C137">
    <cfRule type="cellIs" dxfId="12599" priority="491" stopIfTrue="1" operator="equal">
      <formula>"Towel"</formula>
    </cfRule>
    <cfRule type="cellIs" dxfId="12598" priority="492" stopIfTrue="1" operator="equal">
      <formula>"Napkin Hs"</formula>
    </cfRule>
  </conditionalFormatting>
  <conditionalFormatting sqref="C137">
    <cfRule type="cellIs" dxfId="12597" priority="487" stopIfTrue="1" operator="equal">
      <formula>"Towel"</formula>
    </cfRule>
    <cfRule type="cellIs" dxfId="12596" priority="488" stopIfTrue="1" operator="equal">
      <formula>"Napkin Hs"</formula>
    </cfRule>
  </conditionalFormatting>
  <conditionalFormatting sqref="C137">
    <cfRule type="cellIs" dxfId="12595" priority="471" stopIfTrue="1" operator="equal">
      <formula>"Towel"</formula>
    </cfRule>
    <cfRule type="cellIs" dxfId="12594" priority="472" stopIfTrue="1" operator="equal">
      <formula>"Napkin Hs"</formula>
    </cfRule>
  </conditionalFormatting>
  <conditionalFormatting sqref="B137">
    <cfRule type="cellIs" dxfId="12593" priority="469" stopIfTrue="1" operator="equal">
      <formula>"Towel"</formula>
    </cfRule>
    <cfRule type="cellIs" dxfId="12592" priority="470" stopIfTrue="1" operator="equal">
      <formula>"Napkin Hs"</formula>
    </cfRule>
  </conditionalFormatting>
  <conditionalFormatting sqref="B137">
    <cfRule type="cellIs" dxfId="12591" priority="485" stopIfTrue="1" operator="equal">
      <formula>"Towel"</formula>
    </cfRule>
    <cfRule type="cellIs" dxfId="12590" priority="486" stopIfTrue="1" operator="equal">
      <formula>"Napkin Hs"</formula>
    </cfRule>
  </conditionalFormatting>
  <conditionalFormatting sqref="C137">
    <cfRule type="cellIs" dxfId="12589" priority="481" stopIfTrue="1" operator="equal">
      <formula>"Towel"</formula>
    </cfRule>
    <cfRule type="cellIs" dxfId="12588" priority="482" stopIfTrue="1" operator="equal">
      <formula>"Napkin Hs"</formula>
    </cfRule>
  </conditionalFormatting>
  <conditionalFormatting sqref="B137">
    <cfRule type="cellIs" dxfId="12587" priority="483" stopIfTrue="1" operator="equal">
      <formula>"Towel"</formula>
    </cfRule>
    <cfRule type="cellIs" dxfId="12586" priority="484" stopIfTrue="1" operator="equal">
      <formula>"Napkin Hs"</formula>
    </cfRule>
  </conditionalFormatting>
  <conditionalFormatting sqref="C137">
    <cfRule type="cellIs" dxfId="12585" priority="477" stopIfTrue="1" operator="equal">
      <formula>"Towel"</formula>
    </cfRule>
    <cfRule type="cellIs" dxfId="12584" priority="478" stopIfTrue="1" operator="equal">
      <formula>"Napkin Hs"</formula>
    </cfRule>
  </conditionalFormatting>
  <conditionalFormatting sqref="C137">
    <cfRule type="cellIs" dxfId="12583" priority="479" stopIfTrue="1" operator="equal">
      <formula>"Towel"</formula>
    </cfRule>
    <cfRule type="cellIs" dxfId="12582" priority="480" stopIfTrue="1" operator="equal">
      <formula>"Napkin Hs"</formula>
    </cfRule>
  </conditionalFormatting>
  <conditionalFormatting sqref="C137">
    <cfRule type="cellIs" dxfId="12581" priority="475" stopIfTrue="1" operator="equal">
      <formula>"Towel"</formula>
    </cfRule>
    <cfRule type="cellIs" dxfId="12580" priority="476" stopIfTrue="1" operator="equal">
      <formula>"Napkin Hs"</formula>
    </cfRule>
  </conditionalFormatting>
  <conditionalFormatting sqref="C137">
    <cfRule type="cellIs" dxfId="12579" priority="473" stopIfTrue="1" operator="equal">
      <formula>"Towel"</formula>
    </cfRule>
    <cfRule type="cellIs" dxfId="12578" priority="474" stopIfTrue="1" operator="equal">
      <formula>"Napkin Hs"</formula>
    </cfRule>
  </conditionalFormatting>
  <conditionalFormatting sqref="B137">
    <cfRule type="cellIs" dxfId="12577" priority="467" stopIfTrue="1" operator="equal">
      <formula>"Towel"</formula>
    </cfRule>
    <cfRule type="cellIs" dxfId="12576" priority="468" stopIfTrue="1" operator="equal">
      <formula>"Napkin Hs"</formula>
    </cfRule>
  </conditionalFormatting>
  <conditionalFormatting sqref="B137:C137">
    <cfRule type="cellIs" dxfId="12575" priority="465" stopIfTrue="1" operator="equal">
      <formula>"Towel"</formula>
    </cfRule>
    <cfRule type="cellIs" dxfId="12574" priority="466" stopIfTrue="1" operator="equal">
      <formula>"Napkin Hs"</formula>
    </cfRule>
  </conditionalFormatting>
  <conditionalFormatting sqref="C137">
    <cfRule type="cellIs" dxfId="12573" priority="463" stopIfTrue="1" operator="equal">
      <formula>"Towel"</formula>
    </cfRule>
    <cfRule type="cellIs" dxfId="12572" priority="464" stopIfTrue="1" operator="equal">
      <formula>"Napkin Hs"</formula>
    </cfRule>
  </conditionalFormatting>
  <conditionalFormatting sqref="C137">
    <cfRule type="cellIs" dxfId="12571" priority="461" stopIfTrue="1" operator="equal">
      <formula>"Towel"</formula>
    </cfRule>
    <cfRule type="cellIs" dxfId="12570" priority="462" stopIfTrue="1" operator="equal">
      <formula>"Napkin Hs"</formula>
    </cfRule>
  </conditionalFormatting>
  <conditionalFormatting sqref="C137">
    <cfRule type="cellIs" dxfId="12569" priority="451" stopIfTrue="1" operator="equal">
      <formula>"Towel"</formula>
    </cfRule>
    <cfRule type="cellIs" dxfId="12568" priority="452" stopIfTrue="1" operator="equal">
      <formula>"Napkin Hs"</formula>
    </cfRule>
  </conditionalFormatting>
  <conditionalFormatting sqref="C137">
    <cfRule type="cellIs" dxfId="12567" priority="453" stopIfTrue="1" operator="equal">
      <formula>"Towel"</formula>
    </cfRule>
    <cfRule type="cellIs" dxfId="12566" priority="454" stopIfTrue="1" operator="equal">
      <formula>"Napkin Hs"</formula>
    </cfRule>
  </conditionalFormatting>
  <conditionalFormatting sqref="B137:C137">
    <cfRule type="cellIs" dxfId="12565" priority="449" stopIfTrue="1" operator="equal">
      <formula>"Towel"</formula>
    </cfRule>
    <cfRule type="cellIs" dxfId="12564" priority="450" stopIfTrue="1" operator="equal">
      <formula>"Napkin Hs"</formula>
    </cfRule>
  </conditionalFormatting>
  <conditionalFormatting sqref="C137">
    <cfRule type="cellIs" dxfId="12563" priority="447" stopIfTrue="1" operator="equal">
      <formula>"Towel"</formula>
    </cfRule>
    <cfRule type="cellIs" dxfId="12562" priority="448" stopIfTrue="1" operator="equal">
      <formula>"Napkin Hs"</formula>
    </cfRule>
  </conditionalFormatting>
  <conditionalFormatting sqref="B137:C137">
    <cfRule type="cellIs" dxfId="12561" priority="443" stopIfTrue="1" operator="equal">
      <formula>"Towel"</formula>
    </cfRule>
    <cfRule type="cellIs" dxfId="12560" priority="444" stopIfTrue="1" operator="equal">
      <formula>"Napkin Hs"</formula>
    </cfRule>
  </conditionalFormatting>
  <conditionalFormatting sqref="C137">
    <cfRule type="cellIs" dxfId="12559" priority="445" stopIfTrue="1" operator="equal">
      <formula>"Towel"</formula>
    </cfRule>
    <cfRule type="cellIs" dxfId="12558" priority="446" stopIfTrue="1" operator="equal">
      <formula>"Napkin Hs"</formula>
    </cfRule>
  </conditionalFormatting>
  <conditionalFormatting sqref="C137">
    <cfRule type="cellIs" dxfId="12557" priority="502" stopIfTrue="1" operator="equal">
      <formula>"Napkin Hs"</formula>
    </cfRule>
  </conditionalFormatting>
  <conditionalFormatting sqref="C137">
    <cfRule type="cellIs" dxfId="12556" priority="501" stopIfTrue="1" operator="equal">
      <formula>"Towel"</formula>
    </cfRule>
  </conditionalFormatting>
  <conditionalFormatting sqref="B137:C137">
    <cfRule type="cellIs" dxfId="12555" priority="459" stopIfTrue="1" operator="equal">
      <formula>"Towel"</formula>
    </cfRule>
    <cfRule type="cellIs" dxfId="12554" priority="460" stopIfTrue="1" operator="equal">
      <formula>"Napkin Hs"</formula>
    </cfRule>
  </conditionalFormatting>
  <conditionalFormatting sqref="C137">
    <cfRule type="cellIs" dxfId="12553" priority="457" stopIfTrue="1" operator="equal">
      <formula>"Towel"</formula>
    </cfRule>
    <cfRule type="cellIs" dxfId="12552" priority="458" stopIfTrue="1" operator="equal">
      <formula>"Napkin Hs"</formula>
    </cfRule>
  </conditionalFormatting>
  <conditionalFormatting sqref="C137">
    <cfRule type="cellIs" dxfId="12551" priority="455" stopIfTrue="1" operator="equal">
      <formula>"Towel"</formula>
    </cfRule>
    <cfRule type="cellIs" dxfId="12550" priority="456" stopIfTrue="1" operator="equal">
      <formula>"Napkin Hs"</formula>
    </cfRule>
  </conditionalFormatting>
  <conditionalFormatting sqref="B137:C137">
    <cfRule type="cellIs" dxfId="12549" priority="439" stopIfTrue="1" operator="equal">
      <formula>"Towel"</formula>
    </cfRule>
    <cfRule type="cellIs" dxfId="12548" priority="440" stopIfTrue="1" operator="equal">
      <formula>"Napkin Hs"</formula>
    </cfRule>
  </conditionalFormatting>
  <conditionalFormatting sqref="C137">
    <cfRule type="cellIs" dxfId="12547" priority="441" stopIfTrue="1" operator="equal">
      <formula>"Towel"</formula>
    </cfRule>
    <cfRule type="cellIs" dxfId="12546" priority="442" stopIfTrue="1" operator="equal">
      <formula>"Napkin Hs"</formula>
    </cfRule>
  </conditionalFormatting>
  <conditionalFormatting sqref="C137">
    <cfRule type="cellIs" dxfId="12545" priority="437" stopIfTrue="1" operator="equal">
      <formula>"Towel"</formula>
    </cfRule>
    <cfRule type="cellIs" dxfId="12544" priority="438" stopIfTrue="1" operator="equal">
      <formula>"Napkin Hs"</formula>
    </cfRule>
  </conditionalFormatting>
  <conditionalFormatting sqref="B137:C137">
    <cfRule type="cellIs" dxfId="12543" priority="435" stopIfTrue="1" operator="equal">
      <formula>"Towel"</formula>
    </cfRule>
    <cfRule type="cellIs" dxfId="12542" priority="436" stopIfTrue="1" operator="equal">
      <formula>"Napkin Hs"</formula>
    </cfRule>
  </conditionalFormatting>
  <conditionalFormatting sqref="C137">
    <cfRule type="cellIs" dxfId="12541" priority="431" stopIfTrue="1" operator="equal">
      <formula>"Towel"</formula>
    </cfRule>
    <cfRule type="cellIs" dxfId="12540" priority="432" stopIfTrue="1" operator="equal">
      <formula>"Napkin Hs"</formula>
    </cfRule>
  </conditionalFormatting>
  <conditionalFormatting sqref="C137">
    <cfRule type="cellIs" dxfId="12539" priority="433" stopIfTrue="1" operator="equal">
      <formula>"Towel"</formula>
    </cfRule>
    <cfRule type="cellIs" dxfId="12538" priority="434" stopIfTrue="1" operator="equal">
      <formula>"Napkin Hs"</formula>
    </cfRule>
  </conditionalFormatting>
  <conditionalFormatting sqref="B137:C137">
    <cfRule type="cellIs" dxfId="12537" priority="427" stopIfTrue="1" operator="equal">
      <formula>"Towel"</formula>
    </cfRule>
    <cfRule type="cellIs" dxfId="12536" priority="428" stopIfTrue="1" operator="equal">
      <formula>"Napkin Hs"</formula>
    </cfRule>
  </conditionalFormatting>
  <conditionalFormatting sqref="C137">
    <cfRule type="cellIs" dxfId="12535" priority="429" stopIfTrue="1" operator="equal">
      <formula>"Towel"</formula>
    </cfRule>
    <cfRule type="cellIs" dxfId="12534" priority="430" stopIfTrue="1" operator="equal">
      <formula>"Napkin Hs"</formula>
    </cfRule>
  </conditionalFormatting>
  <conditionalFormatting sqref="C137">
    <cfRule type="cellIs" dxfId="12533" priority="425" stopIfTrue="1" operator="equal">
      <formula>"Towel"</formula>
    </cfRule>
    <cfRule type="cellIs" dxfId="12532" priority="426" stopIfTrue="1" operator="equal">
      <formula>"Napkin Hs"</formula>
    </cfRule>
  </conditionalFormatting>
  <conditionalFormatting sqref="B137:C137">
    <cfRule type="cellIs" dxfId="12531" priority="423" stopIfTrue="1" operator="equal">
      <formula>"Towel"</formula>
    </cfRule>
    <cfRule type="cellIs" dxfId="12530" priority="424" stopIfTrue="1" operator="equal">
      <formula>"Napkin Hs"</formula>
    </cfRule>
  </conditionalFormatting>
  <conditionalFormatting sqref="C137">
    <cfRule type="cellIs" dxfId="12529" priority="419" stopIfTrue="1" operator="equal">
      <formula>"Towel"</formula>
    </cfRule>
    <cfRule type="cellIs" dxfId="12528" priority="420" stopIfTrue="1" operator="equal">
      <formula>"Napkin Hs"</formula>
    </cfRule>
  </conditionalFormatting>
  <conditionalFormatting sqref="C137">
    <cfRule type="cellIs" dxfId="12527" priority="421" stopIfTrue="1" operator="equal">
      <formula>"Towel"</formula>
    </cfRule>
    <cfRule type="cellIs" dxfId="12526" priority="422" stopIfTrue="1" operator="equal">
      <formula>"Napkin Hs"</formula>
    </cfRule>
  </conditionalFormatting>
  <conditionalFormatting sqref="B148:C148">
    <cfRule type="cellIs" dxfId="12525" priority="369" stopIfTrue="1" operator="equal">
      <formula>"Towel"</formula>
    </cfRule>
    <cfRule type="cellIs" dxfId="12524" priority="370" stopIfTrue="1" operator="equal">
      <formula>"Napkin Hs"</formula>
    </cfRule>
  </conditionalFormatting>
  <conditionalFormatting sqref="C148">
    <cfRule type="cellIs" dxfId="12523" priority="365" stopIfTrue="1" operator="equal">
      <formula>"Towel"</formula>
    </cfRule>
    <cfRule type="cellIs" dxfId="12522" priority="366" stopIfTrue="1" operator="equal">
      <formula>"Napkin Hs"</formula>
    </cfRule>
  </conditionalFormatting>
  <conditionalFormatting sqref="C148">
    <cfRule type="cellIs" dxfId="12521" priority="367" stopIfTrue="1" operator="equal">
      <formula>"Towel"</formula>
    </cfRule>
    <cfRule type="cellIs" dxfId="12520" priority="368" stopIfTrue="1" operator="equal">
      <formula>"Napkin Hs"</formula>
    </cfRule>
  </conditionalFormatting>
  <conditionalFormatting sqref="B148:C148">
    <cfRule type="cellIs" dxfId="12519" priority="363" stopIfTrue="1" operator="equal">
      <formula>"Towel"</formula>
    </cfRule>
    <cfRule type="cellIs" dxfId="12518" priority="364" stopIfTrue="1" operator="equal">
      <formula>"Napkin Hs"</formula>
    </cfRule>
  </conditionalFormatting>
  <conditionalFormatting sqref="C148">
    <cfRule type="cellIs" dxfId="12517" priority="361" stopIfTrue="1" operator="equal">
      <formula>"Towel"</formula>
    </cfRule>
    <cfRule type="cellIs" dxfId="12516" priority="362" stopIfTrue="1" operator="equal">
      <formula>"Napkin Hs"</formula>
    </cfRule>
  </conditionalFormatting>
  <conditionalFormatting sqref="C148">
    <cfRule type="cellIs" dxfId="12515" priority="359" stopIfTrue="1" operator="equal">
      <formula>"Towel"</formula>
    </cfRule>
    <cfRule type="cellIs" dxfId="12514" priority="360" stopIfTrue="1" operator="equal">
      <formula>"Napkin Hs"</formula>
    </cfRule>
  </conditionalFormatting>
  <conditionalFormatting sqref="C148">
    <cfRule type="cellIs" dxfId="12513" priority="351" stopIfTrue="1" operator="equal">
      <formula>"Towel"</formula>
    </cfRule>
    <cfRule type="cellIs" dxfId="12512" priority="352" stopIfTrue="1" operator="equal">
      <formula>"Napkin Hs"</formula>
    </cfRule>
  </conditionalFormatting>
  <conditionalFormatting sqref="B148:C148">
    <cfRule type="cellIs" dxfId="12511" priority="353" stopIfTrue="1" operator="equal">
      <formula>"Towel"</formula>
    </cfRule>
    <cfRule type="cellIs" dxfId="12510" priority="354" stopIfTrue="1" operator="equal">
      <formula>"Napkin Hs"</formula>
    </cfRule>
  </conditionalFormatting>
  <conditionalFormatting sqref="C148">
    <cfRule type="cellIs" dxfId="12509" priority="349" stopIfTrue="1" operator="equal">
      <formula>"Towel"</formula>
    </cfRule>
    <cfRule type="cellIs" dxfId="12508" priority="350" stopIfTrue="1" operator="equal">
      <formula>"Napkin Hs"</formula>
    </cfRule>
  </conditionalFormatting>
  <conditionalFormatting sqref="B148:C148">
    <cfRule type="cellIs" dxfId="12507" priority="347" stopIfTrue="1" operator="equal">
      <formula>"Towel"</formula>
    </cfRule>
    <cfRule type="cellIs" dxfId="12506" priority="348" stopIfTrue="1" operator="equal">
      <formula>"Napkin Hs"</formula>
    </cfRule>
  </conditionalFormatting>
  <conditionalFormatting sqref="C148">
    <cfRule type="cellIs" dxfId="12505" priority="355" stopIfTrue="1" operator="equal">
      <formula>"Towel"</formula>
    </cfRule>
    <cfRule type="cellIs" dxfId="12504" priority="356" stopIfTrue="1" operator="equal">
      <formula>"Napkin Hs"</formula>
    </cfRule>
  </conditionalFormatting>
  <conditionalFormatting sqref="C148">
    <cfRule type="cellIs" dxfId="12503" priority="357" stopIfTrue="1" operator="equal">
      <formula>"Towel"</formula>
    </cfRule>
    <cfRule type="cellIs" dxfId="12502" priority="358" stopIfTrue="1" operator="equal">
      <formula>"Napkin Hs"</formula>
    </cfRule>
  </conditionalFormatting>
  <conditionalFormatting sqref="B146:C146">
    <cfRule type="cellIs" dxfId="12501" priority="345" stopIfTrue="1" operator="equal">
      <formula>"Towel"</formula>
    </cfRule>
    <cfRule type="cellIs" dxfId="12500" priority="346" stopIfTrue="1" operator="equal">
      <formula>"Napkin Hs"</formula>
    </cfRule>
  </conditionalFormatting>
  <conditionalFormatting sqref="C146">
    <cfRule type="cellIs" dxfId="12499" priority="341" stopIfTrue="1" operator="equal">
      <formula>"Towel"</formula>
    </cfRule>
    <cfRule type="cellIs" dxfId="12498" priority="342" stopIfTrue="1" operator="equal">
      <formula>"Napkin Hs"</formula>
    </cfRule>
  </conditionalFormatting>
  <conditionalFormatting sqref="C146">
    <cfRule type="cellIs" dxfId="12497" priority="343" stopIfTrue="1" operator="equal">
      <formula>"Towel"</formula>
    </cfRule>
    <cfRule type="cellIs" dxfId="12496" priority="344" stopIfTrue="1" operator="equal">
      <formula>"Napkin Hs"</formula>
    </cfRule>
  </conditionalFormatting>
  <conditionalFormatting sqref="B146:C146">
    <cfRule type="cellIs" dxfId="12495" priority="339" stopIfTrue="1" operator="equal">
      <formula>"Towel"</formula>
    </cfRule>
    <cfRule type="cellIs" dxfId="12494" priority="340" stopIfTrue="1" operator="equal">
      <formula>"Napkin Hs"</formula>
    </cfRule>
  </conditionalFormatting>
  <conditionalFormatting sqref="C146">
    <cfRule type="cellIs" dxfId="12493" priority="337" stopIfTrue="1" operator="equal">
      <formula>"Towel"</formula>
    </cfRule>
    <cfRule type="cellIs" dxfId="12492" priority="338" stopIfTrue="1" operator="equal">
      <formula>"Napkin Hs"</formula>
    </cfRule>
  </conditionalFormatting>
  <conditionalFormatting sqref="C146">
    <cfRule type="cellIs" dxfId="12491" priority="335" stopIfTrue="1" operator="equal">
      <formula>"Towel"</formula>
    </cfRule>
    <cfRule type="cellIs" dxfId="12490" priority="336" stopIfTrue="1" operator="equal">
      <formula>"Napkin Hs"</formula>
    </cfRule>
  </conditionalFormatting>
  <conditionalFormatting sqref="C146">
    <cfRule type="cellIs" dxfId="12489" priority="327" stopIfTrue="1" operator="equal">
      <formula>"Towel"</formula>
    </cfRule>
    <cfRule type="cellIs" dxfId="12488" priority="328" stopIfTrue="1" operator="equal">
      <formula>"Napkin Hs"</formula>
    </cfRule>
  </conditionalFormatting>
  <conditionalFormatting sqref="B146:C146">
    <cfRule type="cellIs" dxfId="12487" priority="329" stopIfTrue="1" operator="equal">
      <formula>"Towel"</formula>
    </cfRule>
    <cfRule type="cellIs" dxfId="12486" priority="330" stopIfTrue="1" operator="equal">
      <formula>"Napkin Hs"</formula>
    </cfRule>
  </conditionalFormatting>
  <conditionalFormatting sqref="C146">
    <cfRule type="cellIs" dxfId="12485" priority="325" stopIfTrue="1" operator="equal">
      <formula>"Towel"</formula>
    </cfRule>
    <cfRule type="cellIs" dxfId="12484" priority="326" stopIfTrue="1" operator="equal">
      <formula>"Napkin Hs"</formula>
    </cfRule>
  </conditionalFormatting>
  <conditionalFormatting sqref="B146:C146">
    <cfRule type="cellIs" dxfId="12483" priority="323" stopIfTrue="1" operator="equal">
      <formula>"Towel"</formula>
    </cfRule>
    <cfRule type="cellIs" dxfId="12482" priority="324" stopIfTrue="1" operator="equal">
      <formula>"Napkin Hs"</formula>
    </cfRule>
  </conditionalFormatting>
  <conditionalFormatting sqref="C146">
    <cfRule type="cellIs" dxfId="12481" priority="331" stopIfTrue="1" operator="equal">
      <formula>"Towel"</formula>
    </cfRule>
    <cfRule type="cellIs" dxfId="12480" priority="332" stopIfTrue="1" operator="equal">
      <formula>"Napkin Hs"</formula>
    </cfRule>
  </conditionalFormatting>
  <conditionalFormatting sqref="C146">
    <cfRule type="cellIs" dxfId="12479" priority="333" stopIfTrue="1" operator="equal">
      <formula>"Towel"</formula>
    </cfRule>
    <cfRule type="cellIs" dxfId="12478" priority="334" stopIfTrue="1" operator="equal">
      <formula>"Napkin Hs"</formula>
    </cfRule>
  </conditionalFormatting>
  <conditionalFormatting sqref="B147:C147">
    <cfRule type="cellIs" dxfId="12477" priority="321" stopIfTrue="1" operator="equal">
      <formula>"Towel"</formula>
    </cfRule>
    <cfRule type="cellIs" dxfId="12476" priority="322" stopIfTrue="1" operator="equal">
      <formula>"Napkin Hs"</formula>
    </cfRule>
  </conditionalFormatting>
  <conditionalFormatting sqref="C147">
    <cfRule type="cellIs" dxfId="12475" priority="317" stopIfTrue="1" operator="equal">
      <formula>"Towel"</formula>
    </cfRule>
    <cfRule type="cellIs" dxfId="12474" priority="318" stopIfTrue="1" operator="equal">
      <formula>"Napkin Hs"</formula>
    </cfRule>
  </conditionalFormatting>
  <conditionalFormatting sqref="C147">
    <cfRule type="cellIs" dxfId="12473" priority="319" stopIfTrue="1" operator="equal">
      <formula>"Towel"</formula>
    </cfRule>
    <cfRule type="cellIs" dxfId="12472" priority="320" stopIfTrue="1" operator="equal">
      <formula>"Napkin Hs"</formula>
    </cfRule>
  </conditionalFormatting>
  <conditionalFormatting sqref="B147:C147">
    <cfRule type="cellIs" dxfId="12471" priority="315" stopIfTrue="1" operator="equal">
      <formula>"Towel"</formula>
    </cfRule>
    <cfRule type="cellIs" dxfId="12470" priority="316" stopIfTrue="1" operator="equal">
      <formula>"Napkin Hs"</formula>
    </cfRule>
  </conditionalFormatting>
  <conditionalFormatting sqref="C147">
    <cfRule type="cellIs" dxfId="12469" priority="313" stopIfTrue="1" operator="equal">
      <formula>"Towel"</formula>
    </cfRule>
    <cfRule type="cellIs" dxfId="12468" priority="314" stopIfTrue="1" operator="equal">
      <formula>"Napkin Hs"</formula>
    </cfRule>
  </conditionalFormatting>
  <conditionalFormatting sqref="C147">
    <cfRule type="cellIs" dxfId="12467" priority="311" stopIfTrue="1" operator="equal">
      <formula>"Towel"</formula>
    </cfRule>
    <cfRule type="cellIs" dxfId="12466" priority="312" stopIfTrue="1" operator="equal">
      <formula>"Napkin Hs"</formula>
    </cfRule>
  </conditionalFormatting>
  <conditionalFormatting sqref="C147">
    <cfRule type="cellIs" dxfId="12465" priority="303" stopIfTrue="1" operator="equal">
      <formula>"Towel"</formula>
    </cfRule>
    <cfRule type="cellIs" dxfId="12464" priority="304" stopIfTrue="1" operator="equal">
      <formula>"Napkin Hs"</formula>
    </cfRule>
  </conditionalFormatting>
  <conditionalFormatting sqref="B147:C147">
    <cfRule type="cellIs" dxfId="12463" priority="305" stopIfTrue="1" operator="equal">
      <formula>"Towel"</formula>
    </cfRule>
    <cfRule type="cellIs" dxfId="12462" priority="306" stopIfTrue="1" operator="equal">
      <formula>"Napkin Hs"</formula>
    </cfRule>
  </conditionalFormatting>
  <conditionalFormatting sqref="C147">
    <cfRule type="cellIs" dxfId="12461" priority="301" stopIfTrue="1" operator="equal">
      <formula>"Towel"</formula>
    </cfRule>
    <cfRule type="cellIs" dxfId="12460" priority="302" stopIfTrue="1" operator="equal">
      <formula>"Napkin Hs"</formula>
    </cfRule>
  </conditionalFormatting>
  <conditionalFormatting sqref="B147:C147">
    <cfRule type="cellIs" dxfId="12459" priority="299" stopIfTrue="1" operator="equal">
      <formula>"Towel"</formula>
    </cfRule>
    <cfRule type="cellIs" dxfId="12458" priority="300" stopIfTrue="1" operator="equal">
      <formula>"Napkin Hs"</formula>
    </cfRule>
  </conditionalFormatting>
  <conditionalFormatting sqref="C147">
    <cfRule type="cellIs" dxfId="12457" priority="307" stopIfTrue="1" operator="equal">
      <formula>"Towel"</formula>
    </cfRule>
    <cfRule type="cellIs" dxfId="12456" priority="308" stopIfTrue="1" operator="equal">
      <formula>"Napkin Hs"</formula>
    </cfRule>
  </conditionalFormatting>
  <conditionalFormatting sqref="C147">
    <cfRule type="cellIs" dxfId="12455" priority="309" stopIfTrue="1" operator="equal">
      <formula>"Towel"</formula>
    </cfRule>
    <cfRule type="cellIs" dxfId="12454" priority="310" stopIfTrue="1" operator="equal">
      <formula>"Napkin Hs"</formula>
    </cfRule>
  </conditionalFormatting>
  <conditionalFormatting sqref="B154:C154">
    <cfRule type="cellIs" dxfId="12453" priority="123" stopIfTrue="1" operator="equal">
      <formula>"Towel"</formula>
    </cfRule>
    <cfRule type="cellIs" dxfId="12452" priority="124" stopIfTrue="1" operator="equal">
      <formula>"Napkin Hs"</formula>
    </cfRule>
  </conditionalFormatting>
  <conditionalFormatting sqref="C154">
    <cfRule type="cellIs" dxfId="12451" priority="119" stopIfTrue="1" operator="equal">
      <formula>"Towel"</formula>
    </cfRule>
    <cfRule type="cellIs" dxfId="12450" priority="120" stopIfTrue="1" operator="equal">
      <formula>"Napkin Hs"</formula>
    </cfRule>
  </conditionalFormatting>
  <conditionalFormatting sqref="B153:C153">
    <cfRule type="cellIs" dxfId="12449" priority="117" stopIfTrue="1" operator="equal">
      <formula>"Towel"</formula>
    </cfRule>
    <cfRule type="cellIs" dxfId="12448" priority="118" stopIfTrue="1" operator="equal">
      <formula>"Napkin Hs"</formula>
    </cfRule>
  </conditionalFormatting>
  <conditionalFormatting sqref="C150">
    <cfRule type="cellIs" dxfId="12447" priority="107" stopIfTrue="1" operator="equal">
      <formula>"Towel"</formula>
    </cfRule>
    <cfRule type="cellIs" dxfId="12446" priority="108" stopIfTrue="1" operator="equal">
      <formula>"Napkin Hs"</formula>
    </cfRule>
  </conditionalFormatting>
  <conditionalFormatting sqref="C150">
    <cfRule type="cellIs" dxfId="12445" priority="109" stopIfTrue="1" operator="equal">
      <formula>"Towel"</formula>
    </cfRule>
    <cfRule type="cellIs" dxfId="12444" priority="110" stopIfTrue="1" operator="equal">
      <formula>"Napkin Hs"</formula>
    </cfRule>
  </conditionalFormatting>
  <conditionalFormatting sqref="B150:C150">
    <cfRule type="cellIs" dxfId="12443" priority="105" stopIfTrue="1" operator="equal">
      <formula>"Towel"</formula>
    </cfRule>
    <cfRule type="cellIs" dxfId="12442" priority="106" stopIfTrue="1" operator="equal">
      <formula>"Napkin Hs"</formula>
    </cfRule>
  </conditionalFormatting>
  <conditionalFormatting sqref="C150">
    <cfRule type="cellIs" dxfId="12441" priority="103" stopIfTrue="1" operator="equal">
      <formula>"Towel"</formula>
    </cfRule>
    <cfRule type="cellIs" dxfId="12440" priority="104" stopIfTrue="1" operator="equal">
      <formula>"Napkin Hs"</formula>
    </cfRule>
  </conditionalFormatting>
  <conditionalFormatting sqref="B150:C150">
    <cfRule type="cellIs" dxfId="12439" priority="111" stopIfTrue="1" operator="equal">
      <formula>"Towel"</formula>
    </cfRule>
    <cfRule type="cellIs" dxfId="12438" priority="112" stopIfTrue="1" operator="equal">
      <formula>"Napkin Hs"</formula>
    </cfRule>
  </conditionalFormatting>
  <conditionalFormatting sqref="C153">
    <cfRule type="cellIs" dxfId="12437" priority="113" stopIfTrue="1" operator="equal">
      <formula>"Towel"</formula>
    </cfRule>
    <cfRule type="cellIs" dxfId="12436" priority="114" stopIfTrue="1" operator="equal">
      <formula>"Napkin Hs"</formula>
    </cfRule>
  </conditionalFormatting>
  <conditionalFormatting sqref="C150">
    <cfRule type="cellIs" dxfId="12435" priority="101" stopIfTrue="1" operator="equal">
      <formula>"Towel"</formula>
    </cfRule>
    <cfRule type="cellIs" dxfId="12434" priority="102" stopIfTrue="1" operator="equal">
      <formula>"Napkin Hs"</formula>
    </cfRule>
  </conditionalFormatting>
  <conditionalFormatting sqref="C150">
    <cfRule type="cellIs" dxfId="12433" priority="99" stopIfTrue="1" operator="equal">
      <formula>"Towel"</formula>
    </cfRule>
    <cfRule type="cellIs" dxfId="12432" priority="100" stopIfTrue="1" operator="equal">
      <formula>"Napkin Hs"</formula>
    </cfRule>
  </conditionalFormatting>
  <conditionalFormatting sqref="C150">
    <cfRule type="cellIs" dxfId="12431" priority="97" stopIfTrue="1" operator="equal">
      <formula>"Towel"</formula>
    </cfRule>
    <cfRule type="cellIs" dxfId="12430" priority="98" stopIfTrue="1" operator="equal">
      <formula>"Napkin Hs"</formula>
    </cfRule>
  </conditionalFormatting>
  <conditionalFormatting sqref="B150:C150">
    <cfRule type="cellIs" dxfId="12429" priority="95" stopIfTrue="1" operator="equal">
      <formula>"Towel"</formula>
    </cfRule>
    <cfRule type="cellIs" dxfId="12428" priority="96" stopIfTrue="1" operator="equal">
      <formula>"Napkin Hs"</formula>
    </cfRule>
  </conditionalFormatting>
  <conditionalFormatting sqref="B158:C158">
    <cfRule type="cellIs" dxfId="12427" priority="217" stopIfTrue="1" operator="equal">
      <formula>"Towel"</formula>
    </cfRule>
    <cfRule type="cellIs" dxfId="12426" priority="218" stopIfTrue="1" operator="equal">
      <formula>"Napkin Hs"</formula>
    </cfRule>
  </conditionalFormatting>
  <conditionalFormatting sqref="C158">
    <cfRule type="cellIs" dxfId="12425" priority="216" stopIfTrue="1" operator="equal">
      <formula>"Napkin Hs"</formula>
    </cfRule>
  </conditionalFormatting>
  <conditionalFormatting sqref="C158">
    <cfRule type="cellIs" dxfId="12424" priority="215" stopIfTrue="1" operator="equal">
      <formula>"Towel"</formula>
    </cfRule>
  </conditionalFormatting>
  <conditionalFormatting sqref="C158">
    <cfRule type="cellIs" dxfId="12423" priority="213" stopIfTrue="1" operator="equal">
      <formula>"Towel"</formula>
    </cfRule>
    <cfRule type="cellIs" dxfId="12422" priority="214" stopIfTrue="1" operator="equal">
      <formula>"Napkin Hs"</formula>
    </cfRule>
  </conditionalFormatting>
  <conditionalFormatting sqref="C157">
    <cfRule type="cellIs" dxfId="12421" priority="187" stopIfTrue="1" operator="equal">
      <formula>"Towel"</formula>
    </cfRule>
    <cfRule type="cellIs" dxfId="12420" priority="188" stopIfTrue="1" operator="equal">
      <formula>"Napkin Hs"</formula>
    </cfRule>
  </conditionalFormatting>
  <conditionalFormatting sqref="C157">
    <cfRule type="cellIs" dxfId="12419" priority="183" stopIfTrue="1" operator="equal">
      <formula>"Towel"</formula>
    </cfRule>
    <cfRule type="cellIs" dxfId="12418" priority="184" stopIfTrue="1" operator="equal">
      <formula>"Napkin Hs"</formula>
    </cfRule>
  </conditionalFormatting>
  <conditionalFormatting sqref="C157">
    <cfRule type="cellIs" dxfId="12417" priority="185" stopIfTrue="1" operator="equal">
      <formula>"Towel"</formula>
    </cfRule>
    <cfRule type="cellIs" dxfId="12416" priority="186" stopIfTrue="1" operator="equal">
      <formula>"Napkin Hs"</formula>
    </cfRule>
  </conditionalFormatting>
  <conditionalFormatting sqref="C157">
    <cfRule type="cellIs" dxfId="12415" priority="181" stopIfTrue="1" operator="equal">
      <formula>"Towel"</formula>
    </cfRule>
    <cfRule type="cellIs" dxfId="12414" priority="182" stopIfTrue="1" operator="equal">
      <formula>"Napkin Hs"</formula>
    </cfRule>
  </conditionalFormatting>
  <conditionalFormatting sqref="C157">
    <cfRule type="cellIs" dxfId="12413" priority="179" stopIfTrue="1" operator="equal">
      <formula>"Towel"</formula>
    </cfRule>
    <cfRule type="cellIs" dxfId="12412" priority="180" stopIfTrue="1" operator="equal">
      <formula>"Napkin Hs"</formula>
    </cfRule>
  </conditionalFormatting>
  <conditionalFormatting sqref="C157">
    <cfRule type="cellIs" dxfId="12411" priority="177" stopIfTrue="1" operator="equal">
      <formula>"Towel"</formula>
    </cfRule>
    <cfRule type="cellIs" dxfId="12410" priority="178" stopIfTrue="1" operator="equal">
      <formula>"Napkin Hs"</formula>
    </cfRule>
  </conditionalFormatting>
  <conditionalFormatting sqref="C157">
    <cfRule type="cellIs" dxfId="12409" priority="169" stopIfTrue="1" operator="equal">
      <formula>"Towel"</formula>
    </cfRule>
    <cfRule type="cellIs" dxfId="12408" priority="170" stopIfTrue="1" operator="equal">
      <formula>"Napkin Hs"</formula>
    </cfRule>
  </conditionalFormatting>
  <conditionalFormatting sqref="C157">
    <cfRule type="cellIs" dxfId="12407" priority="171" stopIfTrue="1" operator="equal">
      <formula>"Towel"</formula>
    </cfRule>
    <cfRule type="cellIs" dxfId="12406" priority="172" stopIfTrue="1" operator="equal">
      <formula>"Napkin Hs"</formula>
    </cfRule>
  </conditionalFormatting>
  <conditionalFormatting sqref="C157">
    <cfRule type="cellIs" dxfId="12405" priority="167" stopIfTrue="1" operator="equal">
      <formula>"Towel"</formula>
    </cfRule>
    <cfRule type="cellIs" dxfId="12404" priority="168" stopIfTrue="1" operator="equal">
      <formula>"Napkin Hs"</formula>
    </cfRule>
  </conditionalFormatting>
  <conditionalFormatting sqref="C157">
    <cfRule type="cellIs" dxfId="12403" priority="165" stopIfTrue="1" operator="equal">
      <formula>"Towel"</formula>
    </cfRule>
    <cfRule type="cellIs" dxfId="12402" priority="166" stopIfTrue="1" operator="equal">
      <formula>"Napkin Hs"</formula>
    </cfRule>
  </conditionalFormatting>
  <conditionalFormatting sqref="C157">
    <cfRule type="cellIs" dxfId="12401" priority="173" stopIfTrue="1" operator="equal">
      <formula>"Towel"</formula>
    </cfRule>
    <cfRule type="cellIs" dxfId="12400" priority="174" stopIfTrue="1" operator="equal">
      <formula>"Napkin Hs"</formula>
    </cfRule>
  </conditionalFormatting>
  <conditionalFormatting sqref="C157">
    <cfRule type="cellIs" dxfId="12399" priority="175" stopIfTrue="1" operator="equal">
      <formula>"Towel"</formula>
    </cfRule>
    <cfRule type="cellIs" dxfId="12398" priority="176" stopIfTrue="1" operator="equal">
      <formula>"Napkin Hs"</formula>
    </cfRule>
  </conditionalFormatting>
  <conditionalFormatting sqref="B157">
    <cfRule type="cellIs" dxfId="12397" priority="163" stopIfTrue="1" operator="equal">
      <formula>"Towel"</formula>
    </cfRule>
    <cfRule type="cellIs" dxfId="12396" priority="164" stopIfTrue="1" operator="equal">
      <formula>"Napkin Hs"</formula>
    </cfRule>
  </conditionalFormatting>
  <conditionalFormatting sqref="B157">
    <cfRule type="cellIs" dxfId="12395" priority="161" stopIfTrue="1" operator="equal">
      <formula>"Towel"</formula>
    </cfRule>
    <cfRule type="cellIs" dxfId="12394" priority="162" stopIfTrue="1" operator="equal">
      <formula>"Napkin Hs"</formula>
    </cfRule>
  </conditionalFormatting>
  <conditionalFormatting sqref="B157">
    <cfRule type="cellIs" dxfId="12393" priority="159" stopIfTrue="1" operator="equal">
      <formula>"Towel"</formula>
    </cfRule>
    <cfRule type="cellIs" dxfId="12392" priority="160" stopIfTrue="1" operator="equal">
      <formula>"Napkin Hs"</formula>
    </cfRule>
  </conditionalFormatting>
  <conditionalFormatting sqref="B157">
    <cfRule type="cellIs" dxfId="12391" priority="157" stopIfTrue="1" operator="equal">
      <formula>"Towel"</formula>
    </cfRule>
    <cfRule type="cellIs" dxfId="12390" priority="158" stopIfTrue="1" operator="equal">
      <formula>"Napkin Hs"</formula>
    </cfRule>
  </conditionalFormatting>
  <conditionalFormatting sqref="C155">
    <cfRule type="cellIs" dxfId="12389" priority="31" stopIfTrue="1" operator="equal">
      <formula>"Towel"</formula>
    </cfRule>
    <cfRule type="cellIs" dxfId="12388" priority="32" stopIfTrue="1" operator="equal">
      <formula>"Napkin Hs"</formula>
    </cfRule>
  </conditionalFormatting>
  <conditionalFormatting sqref="C155">
    <cfRule type="cellIs" dxfId="12387" priority="27" stopIfTrue="1" operator="equal">
      <formula>"Towel"</formula>
    </cfRule>
    <cfRule type="cellIs" dxfId="12386" priority="28" stopIfTrue="1" operator="equal">
      <formula>"Napkin Hs"</formula>
    </cfRule>
  </conditionalFormatting>
  <conditionalFormatting sqref="C155">
    <cfRule type="cellIs" dxfId="12385" priority="29" stopIfTrue="1" operator="equal">
      <formula>"Towel"</formula>
    </cfRule>
    <cfRule type="cellIs" dxfId="12384" priority="30" stopIfTrue="1" operator="equal">
      <formula>"Napkin Hs"</formula>
    </cfRule>
  </conditionalFormatting>
  <conditionalFormatting sqref="C155">
    <cfRule type="cellIs" dxfId="12383" priority="25" stopIfTrue="1" operator="equal">
      <formula>"Towel"</formula>
    </cfRule>
    <cfRule type="cellIs" dxfId="12382" priority="26" stopIfTrue="1" operator="equal">
      <formula>"Napkin Hs"</formula>
    </cfRule>
  </conditionalFormatting>
  <conditionalFormatting sqref="C155">
    <cfRule type="cellIs" dxfId="12381" priority="23" stopIfTrue="1" operator="equal">
      <formula>"Towel"</formula>
    </cfRule>
    <cfRule type="cellIs" dxfId="12380" priority="24" stopIfTrue="1" operator="equal">
      <formula>"Napkin Hs"</formula>
    </cfRule>
  </conditionalFormatting>
  <conditionalFormatting sqref="C155">
    <cfRule type="cellIs" dxfId="12379" priority="21" stopIfTrue="1" operator="equal">
      <formula>"Towel"</formula>
    </cfRule>
    <cfRule type="cellIs" dxfId="12378" priority="22" stopIfTrue="1" operator="equal">
      <formula>"Napkin Hs"</formula>
    </cfRule>
  </conditionalFormatting>
  <conditionalFormatting sqref="C155">
    <cfRule type="cellIs" dxfId="12377" priority="13" stopIfTrue="1" operator="equal">
      <formula>"Towel"</formula>
    </cfRule>
    <cfRule type="cellIs" dxfId="12376" priority="14" stopIfTrue="1" operator="equal">
      <formula>"Napkin Hs"</formula>
    </cfRule>
  </conditionalFormatting>
  <conditionalFormatting sqref="C155">
    <cfRule type="cellIs" dxfId="12375" priority="15" stopIfTrue="1" operator="equal">
      <formula>"Towel"</formula>
    </cfRule>
    <cfRule type="cellIs" dxfId="12374" priority="16" stopIfTrue="1" operator="equal">
      <formula>"Napkin Hs"</formula>
    </cfRule>
  </conditionalFormatting>
  <conditionalFormatting sqref="C155">
    <cfRule type="cellIs" dxfId="12373" priority="11" stopIfTrue="1" operator="equal">
      <formula>"Towel"</formula>
    </cfRule>
    <cfRule type="cellIs" dxfId="12372" priority="12" stopIfTrue="1" operator="equal">
      <formula>"Napkin Hs"</formula>
    </cfRule>
  </conditionalFormatting>
  <conditionalFormatting sqref="C155">
    <cfRule type="cellIs" dxfId="12371" priority="9" stopIfTrue="1" operator="equal">
      <formula>"Towel"</formula>
    </cfRule>
    <cfRule type="cellIs" dxfId="12370" priority="10" stopIfTrue="1" operator="equal">
      <formula>"Napkin Hs"</formula>
    </cfRule>
  </conditionalFormatting>
  <conditionalFormatting sqref="C155">
    <cfRule type="cellIs" dxfId="12369" priority="17" stopIfTrue="1" operator="equal">
      <formula>"Towel"</formula>
    </cfRule>
    <cfRule type="cellIs" dxfId="12368" priority="18" stopIfTrue="1" operator="equal">
      <formula>"Napkin Hs"</formula>
    </cfRule>
  </conditionalFormatting>
  <conditionalFormatting sqref="C155">
    <cfRule type="cellIs" dxfId="12367" priority="19" stopIfTrue="1" operator="equal">
      <formula>"Towel"</formula>
    </cfRule>
    <cfRule type="cellIs" dxfId="12366" priority="20" stopIfTrue="1" operator="equal">
      <formula>"Napkin Hs"</formula>
    </cfRule>
  </conditionalFormatting>
  <conditionalFormatting sqref="B155">
    <cfRule type="cellIs" dxfId="12365" priority="7" stopIfTrue="1" operator="equal">
      <formula>"Towel"</formula>
    </cfRule>
    <cfRule type="cellIs" dxfId="12364" priority="8" stopIfTrue="1" operator="equal">
      <formula>"Napkin Hs"</formula>
    </cfRule>
  </conditionalFormatting>
  <conditionalFormatting sqref="B155">
    <cfRule type="cellIs" dxfId="12363" priority="5" stopIfTrue="1" operator="equal">
      <formula>"Towel"</formula>
    </cfRule>
    <cfRule type="cellIs" dxfId="12362" priority="6" stopIfTrue="1" operator="equal">
      <formula>"Napkin Hs"</formula>
    </cfRule>
  </conditionalFormatting>
  <conditionalFormatting sqref="B155">
    <cfRule type="cellIs" dxfId="12361" priority="3" stopIfTrue="1" operator="equal">
      <formula>"Towel"</formula>
    </cfRule>
    <cfRule type="cellIs" dxfId="12360" priority="4" stopIfTrue="1" operator="equal">
      <formula>"Napkin Hs"</formula>
    </cfRule>
  </conditionalFormatting>
  <conditionalFormatting sqref="B155">
    <cfRule type="cellIs" dxfId="12359" priority="1" stopIfTrue="1" operator="equal">
      <formula>"Towel"</formula>
    </cfRule>
    <cfRule type="cellIs" dxfId="12358" priority="2" stopIfTrue="1" operator="equal">
      <formula>"Napkin Hs"</formula>
    </cfRule>
  </conditionalFormatting>
  <conditionalFormatting sqref="C154">
    <cfRule type="cellIs" dxfId="12357" priority="122" stopIfTrue="1" operator="equal">
      <formula>"Napkin Hs"</formula>
    </cfRule>
  </conditionalFormatting>
  <conditionalFormatting sqref="C154">
    <cfRule type="cellIs" dxfId="12356" priority="121" stopIfTrue="1" operator="equal">
      <formula>"Towel"</formula>
    </cfRule>
  </conditionalFormatting>
  <conditionalFormatting sqref="C153">
    <cfRule type="cellIs" dxfId="12355" priority="116" stopIfTrue="1" operator="equal">
      <formula>"Napkin Hs"</formula>
    </cfRule>
  </conditionalFormatting>
  <conditionalFormatting sqref="C153">
    <cfRule type="cellIs" dxfId="12354" priority="115" stopIfTrue="1" operator="equal">
      <formula>"Towel"</formula>
    </cfRule>
  </conditionalFormatting>
  <conditionalFormatting sqref="C150">
    <cfRule type="cellIs" dxfId="12353" priority="93" stopIfTrue="1" operator="equal">
      <formula>"Towel"</formula>
    </cfRule>
    <cfRule type="cellIs" dxfId="12352" priority="94" stopIfTrue="1" operator="equal">
      <formula>"Napkin Hs"</formula>
    </cfRule>
  </conditionalFormatting>
  <conditionalFormatting sqref="C150">
    <cfRule type="cellIs" dxfId="12351" priority="91" stopIfTrue="1" operator="equal">
      <formula>"Towel"</formula>
    </cfRule>
    <cfRule type="cellIs" dxfId="12350" priority="92" stopIfTrue="1" operator="equal">
      <formula>"Napkin Hs"</formula>
    </cfRule>
  </conditionalFormatting>
  <conditionalFormatting sqref="B150:C150">
    <cfRule type="cellIs" dxfId="12349" priority="89" stopIfTrue="1" operator="equal">
      <formula>"Towel"</formula>
    </cfRule>
    <cfRule type="cellIs" dxfId="12348" priority="90" stopIfTrue="1" operator="equal">
      <formula>"Napkin Hs"</formula>
    </cfRule>
  </conditionalFormatting>
  <conditionalFormatting sqref="B151:C151 C152">
    <cfRule type="cellIs" dxfId="12347" priority="87" stopIfTrue="1" operator="equal">
      <formula>"Towel"</formula>
    </cfRule>
    <cfRule type="cellIs" dxfId="12346" priority="88" stopIfTrue="1" operator="equal">
      <formula>"Napkin Hs"</formula>
    </cfRule>
  </conditionalFormatting>
  <conditionalFormatting sqref="C151:C152">
    <cfRule type="cellIs" dxfId="12345" priority="83" stopIfTrue="1" operator="equal">
      <formula>"Towel"</formula>
    </cfRule>
    <cfRule type="cellIs" dxfId="12344" priority="84" stopIfTrue="1" operator="equal">
      <formula>"Napkin Hs"</formula>
    </cfRule>
  </conditionalFormatting>
  <conditionalFormatting sqref="C151:C152">
    <cfRule type="cellIs" dxfId="12343" priority="85" stopIfTrue="1" operator="equal">
      <formula>"Towel"</formula>
    </cfRule>
    <cfRule type="cellIs" dxfId="12342" priority="86" stopIfTrue="1" operator="equal">
      <formula>"Napkin Hs"</formula>
    </cfRule>
  </conditionalFormatting>
  <conditionalFormatting sqref="B151:C151 C152">
    <cfRule type="cellIs" dxfId="12341" priority="81" stopIfTrue="1" operator="equal">
      <formula>"Towel"</formula>
    </cfRule>
    <cfRule type="cellIs" dxfId="12340" priority="82" stopIfTrue="1" operator="equal">
      <formula>"Napkin Hs"</formula>
    </cfRule>
  </conditionalFormatting>
  <conditionalFormatting sqref="C151:C152">
    <cfRule type="cellIs" dxfId="12339" priority="79" stopIfTrue="1" operator="equal">
      <formula>"Towel"</formula>
    </cfRule>
    <cfRule type="cellIs" dxfId="12338" priority="80" stopIfTrue="1" operator="equal">
      <formula>"Napkin Hs"</formula>
    </cfRule>
  </conditionalFormatting>
  <conditionalFormatting sqref="C151:C152">
    <cfRule type="cellIs" dxfId="12337" priority="77" stopIfTrue="1" operator="equal">
      <formula>"Towel"</formula>
    </cfRule>
    <cfRule type="cellIs" dxfId="12336" priority="78" stopIfTrue="1" operator="equal">
      <formula>"Napkin Hs"</formula>
    </cfRule>
  </conditionalFormatting>
  <conditionalFormatting sqref="C151:C152">
    <cfRule type="cellIs" dxfId="12335" priority="69" stopIfTrue="1" operator="equal">
      <formula>"Towel"</formula>
    </cfRule>
    <cfRule type="cellIs" dxfId="12334" priority="70" stopIfTrue="1" operator="equal">
      <formula>"Napkin Hs"</formula>
    </cfRule>
  </conditionalFormatting>
  <conditionalFormatting sqref="B151:C151 C152">
    <cfRule type="cellIs" dxfId="12333" priority="71" stopIfTrue="1" operator="equal">
      <formula>"Towel"</formula>
    </cfRule>
    <cfRule type="cellIs" dxfId="12332" priority="72" stopIfTrue="1" operator="equal">
      <formula>"Napkin Hs"</formula>
    </cfRule>
  </conditionalFormatting>
  <conditionalFormatting sqref="C151:C152">
    <cfRule type="cellIs" dxfId="12331" priority="67" stopIfTrue="1" operator="equal">
      <formula>"Towel"</formula>
    </cfRule>
    <cfRule type="cellIs" dxfId="12330" priority="68" stopIfTrue="1" operator="equal">
      <formula>"Napkin Hs"</formula>
    </cfRule>
  </conditionalFormatting>
  <conditionalFormatting sqref="B151:C151 C152">
    <cfRule type="cellIs" dxfId="12329" priority="65" stopIfTrue="1" operator="equal">
      <formula>"Towel"</formula>
    </cfRule>
    <cfRule type="cellIs" dxfId="12328" priority="66" stopIfTrue="1" operator="equal">
      <formula>"Napkin Hs"</formula>
    </cfRule>
  </conditionalFormatting>
  <conditionalFormatting sqref="C151:C152">
    <cfRule type="cellIs" dxfId="12327" priority="73" stopIfTrue="1" operator="equal">
      <formula>"Towel"</formula>
    </cfRule>
    <cfRule type="cellIs" dxfId="12326" priority="74" stopIfTrue="1" operator="equal">
      <formula>"Napkin Hs"</formula>
    </cfRule>
  </conditionalFormatting>
  <conditionalFormatting sqref="C151:C152">
    <cfRule type="cellIs" dxfId="12325" priority="75" stopIfTrue="1" operator="equal">
      <formula>"Towel"</formula>
    </cfRule>
    <cfRule type="cellIs" dxfId="12324" priority="76" stopIfTrue="1" operator="equal">
      <formula>"Napkin Hs"</formula>
    </cfRule>
  </conditionalFormatting>
  <conditionalFormatting sqref="B152">
    <cfRule type="cellIs" dxfId="12323" priority="63" stopIfTrue="1" operator="equal">
      <formula>"Towel"</formula>
    </cfRule>
    <cfRule type="cellIs" dxfId="12322" priority="64" stopIfTrue="1" operator="equal">
      <formula>"Napkin Hs"</formula>
    </cfRule>
  </conditionalFormatting>
  <conditionalFormatting sqref="B152">
    <cfRule type="cellIs" dxfId="12321" priority="61" stopIfTrue="1" operator="equal">
      <formula>"Towel"</formula>
    </cfRule>
    <cfRule type="cellIs" dxfId="12320" priority="62" stopIfTrue="1" operator="equal">
      <formula>"Napkin Hs"</formula>
    </cfRule>
  </conditionalFormatting>
  <conditionalFormatting sqref="B152">
    <cfRule type="cellIs" dxfId="12319" priority="59" stopIfTrue="1" operator="equal">
      <formula>"Towel"</formula>
    </cfRule>
    <cfRule type="cellIs" dxfId="12318" priority="60" stopIfTrue="1" operator="equal">
      <formula>"Napkin Hs"</formula>
    </cfRule>
  </conditionalFormatting>
  <conditionalFormatting sqref="B152">
    <cfRule type="cellIs" dxfId="12317" priority="57" stopIfTrue="1" operator="equal">
      <formula>"Towel"</formula>
    </cfRule>
    <cfRule type="cellIs" dxfId="12316" priority="58" stopIfTrue="1" operator="equal">
      <formula>"Napkin Hs"</formula>
    </cfRule>
  </conditionalFormatting>
  <conditionalFormatting sqref="B156:C156">
    <cfRule type="cellIs" dxfId="12315" priority="55" stopIfTrue="1" operator="equal">
      <formula>"Towel"</formula>
    </cfRule>
    <cfRule type="cellIs" dxfId="12314" priority="56" stopIfTrue="1" operator="equal">
      <formula>"Napkin Hs"</formula>
    </cfRule>
  </conditionalFormatting>
  <conditionalFormatting sqref="C156">
    <cfRule type="cellIs" dxfId="12313" priority="51" stopIfTrue="1" operator="equal">
      <formula>"Towel"</formula>
    </cfRule>
    <cfRule type="cellIs" dxfId="12312" priority="52" stopIfTrue="1" operator="equal">
      <formula>"Napkin Hs"</formula>
    </cfRule>
  </conditionalFormatting>
  <conditionalFormatting sqref="C156">
    <cfRule type="cellIs" dxfId="12311" priority="53" stopIfTrue="1" operator="equal">
      <formula>"Towel"</formula>
    </cfRule>
    <cfRule type="cellIs" dxfId="12310" priority="54" stopIfTrue="1" operator="equal">
      <formula>"Napkin Hs"</formula>
    </cfRule>
  </conditionalFormatting>
  <conditionalFormatting sqref="B156:C156">
    <cfRule type="cellIs" dxfId="12309" priority="49" stopIfTrue="1" operator="equal">
      <formula>"Towel"</formula>
    </cfRule>
    <cfRule type="cellIs" dxfId="12308" priority="50" stopIfTrue="1" operator="equal">
      <formula>"Napkin Hs"</formula>
    </cfRule>
  </conditionalFormatting>
  <conditionalFormatting sqref="C156">
    <cfRule type="cellIs" dxfId="12307" priority="47" stopIfTrue="1" operator="equal">
      <formula>"Towel"</formula>
    </cfRule>
    <cfRule type="cellIs" dxfId="12306" priority="48" stopIfTrue="1" operator="equal">
      <formula>"Napkin Hs"</formula>
    </cfRule>
  </conditionalFormatting>
  <conditionalFormatting sqref="C156">
    <cfRule type="cellIs" dxfId="12305" priority="45" stopIfTrue="1" operator="equal">
      <formula>"Towel"</formula>
    </cfRule>
    <cfRule type="cellIs" dxfId="12304" priority="46" stopIfTrue="1" operator="equal">
      <formula>"Napkin Hs"</formula>
    </cfRule>
  </conditionalFormatting>
  <conditionalFormatting sqref="C156">
    <cfRule type="cellIs" dxfId="12303" priority="37" stopIfTrue="1" operator="equal">
      <formula>"Towel"</formula>
    </cfRule>
    <cfRule type="cellIs" dxfId="12302" priority="38" stopIfTrue="1" operator="equal">
      <formula>"Napkin Hs"</formula>
    </cfRule>
  </conditionalFormatting>
  <conditionalFormatting sqref="B156:C156">
    <cfRule type="cellIs" dxfId="12301" priority="39" stopIfTrue="1" operator="equal">
      <formula>"Towel"</formula>
    </cfRule>
    <cfRule type="cellIs" dxfId="12300" priority="40" stopIfTrue="1" operator="equal">
      <formula>"Napkin Hs"</formula>
    </cfRule>
  </conditionalFormatting>
  <conditionalFormatting sqref="C156">
    <cfRule type="cellIs" dxfId="12299" priority="35" stopIfTrue="1" operator="equal">
      <formula>"Towel"</formula>
    </cfRule>
    <cfRule type="cellIs" dxfId="12298" priority="36" stopIfTrue="1" operator="equal">
      <formula>"Napkin Hs"</formula>
    </cfRule>
  </conditionalFormatting>
  <conditionalFormatting sqref="B156:C156">
    <cfRule type="cellIs" dxfId="12297" priority="33" stopIfTrue="1" operator="equal">
      <formula>"Towel"</formula>
    </cfRule>
    <cfRule type="cellIs" dxfId="12296" priority="34" stopIfTrue="1" operator="equal">
      <formula>"Napkin Hs"</formula>
    </cfRule>
  </conditionalFormatting>
  <conditionalFormatting sqref="C156">
    <cfRule type="cellIs" dxfId="12295" priority="41" stopIfTrue="1" operator="equal">
      <formula>"Towel"</formula>
    </cfRule>
    <cfRule type="cellIs" dxfId="12294" priority="42" stopIfTrue="1" operator="equal">
      <formula>"Napkin Hs"</formula>
    </cfRule>
  </conditionalFormatting>
  <conditionalFormatting sqref="C156">
    <cfRule type="cellIs" dxfId="12293" priority="43" stopIfTrue="1" operator="equal">
      <formula>"Towel"</formula>
    </cfRule>
    <cfRule type="cellIs" dxfId="12292" priority="44" stopIfTrue="1" operator="equal">
      <formula>"Napkin Hs"</formula>
    </cfRule>
  </conditionalFormatting>
  <pageMargins left="0.39370078740157483" right="0.31496062992125984" top="0.15748031496062992" bottom="0.15748031496062992" header="0.31496062992125984" footer="0.31496062992125984"/>
  <pageSetup paperSize="9" scale="53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41"/>
  <sheetViews>
    <sheetView zoomScale="90" zoomScaleNormal="90" workbookViewId="0">
      <pane xSplit="6" ySplit="6" topLeftCell="W142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AD6" sqref="AD6:AE161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bestFit="1" customWidth="1"/>
    <col min="17" max="17" width="12.7109375" style="384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34" customWidth="1"/>
    <col min="25" max="25" width="10.140625" style="34" customWidth="1"/>
    <col min="26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390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31"/>
      <c r="Y1" s="31"/>
      <c r="Z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31"/>
      <c r="Y2" s="31"/>
      <c r="Z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53" t="s">
        <v>9</v>
      </c>
      <c r="B3" s="653" t="s">
        <v>10</v>
      </c>
      <c r="C3" s="653" t="s">
        <v>199</v>
      </c>
      <c r="D3" s="653" t="s">
        <v>93</v>
      </c>
      <c r="E3" s="653" t="s">
        <v>94</v>
      </c>
      <c r="F3" s="653" t="s">
        <v>95</v>
      </c>
      <c r="G3" s="658" t="s">
        <v>96</v>
      </c>
      <c r="H3" s="659"/>
      <c r="I3" s="659"/>
      <c r="J3" s="659"/>
      <c r="K3" s="660"/>
      <c r="L3" s="664" t="s">
        <v>97</v>
      </c>
      <c r="M3" s="665"/>
      <c r="N3" s="666"/>
      <c r="O3" s="670" t="s">
        <v>98</v>
      </c>
      <c r="P3" s="655" t="s">
        <v>110</v>
      </c>
      <c r="Q3" s="670" t="s">
        <v>99</v>
      </c>
      <c r="R3" s="672" t="s">
        <v>100</v>
      </c>
      <c r="S3" s="672" t="s">
        <v>101</v>
      </c>
      <c r="T3" s="653" t="s">
        <v>154</v>
      </c>
      <c r="U3" s="653" t="s">
        <v>153</v>
      </c>
      <c r="V3" s="653" t="s">
        <v>155</v>
      </c>
      <c r="W3" s="672" t="s">
        <v>145</v>
      </c>
      <c r="X3" s="681" t="s">
        <v>103</v>
      </c>
      <c r="Y3" s="681" t="s">
        <v>291</v>
      </c>
      <c r="Z3" s="672" t="s">
        <v>104</v>
      </c>
      <c r="AA3" s="653" t="s">
        <v>156</v>
      </c>
      <c r="AB3" s="653" t="s">
        <v>167</v>
      </c>
      <c r="AC3" s="653" t="s">
        <v>165</v>
      </c>
      <c r="AD3" s="653" t="s">
        <v>128</v>
      </c>
      <c r="AE3" s="653" t="s">
        <v>129</v>
      </c>
      <c r="AF3" s="674" t="s">
        <v>130</v>
      </c>
      <c r="AG3" s="674"/>
      <c r="AH3" s="674"/>
      <c r="AI3" s="674"/>
      <c r="AJ3" s="674"/>
      <c r="AK3" s="674"/>
      <c r="AL3" s="674"/>
      <c r="AM3" s="695" t="s">
        <v>131</v>
      </c>
      <c r="AN3" s="704" t="s">
        <v>105</v>
      </c>
      <c r="AO3" s="704"/>
      <c r="AP3" s="704"/>
      <c r="AQ3" s="704"/>
      <c r="AR3" s="704"/>
      <c r="AS3" s="705" t="s">
        <v>106</v>
      </c>
      <c r="AT3" s="700" t="s">
        <v>200</v>
      </c>
      <c r="AU3" s="701"/>
      <c r="AV3" s="707" t="s">
        <v>132</v>
      </c>
      <c r="AW3" s="708"/>
      <c r="AX3" s="676" t="s">
        <v>132</v>
      </c>
      <c r="AY3" s="677"/>
      <c r="AZ3" s="678" t="s">
        <v>305</v>
      </c>
      <c r="BA3" s="698" t="s">
        <v>107</v>
      </c>
      <c r="BB3" s="693" t="s">
        <v>108</v>
      </c>
      <c r="BC3" s="693" t="s">
        <v>109</v>
      </c>
      <c r="BD3" s="687" t="s">
        <v>375</v>
      </c>
      <c r="BE3" s="690" t="s">
        <v>376</v>
      </c>
      <c r="BF3" s="693" t="s">
        <v>377</v>
      </c>
    </row>
    <row r="4" spans="1:58" ht="12" customHeight="1">
      <c r="A4" s="654"/>
      <c r="B4" s="654"/>
      <c r="C4" s="654"/>
      <c r="D4" s="654"/>
      <c r="E4" s="654"/>
      <c r="F4" s="654"/>
      <c r="G4" s="661"/>
      <c r="H4" s="662"/>
      <c r="I4" s="662"/>
      <c r="J4" s="662"/>
      <c r="K4" s="663"/>
      <c r="L4" s="667"/>
      <c r="M4" s="668"/>
      <c r="N4" s="669"/>
      <c r="O4" s="671"/>
      <c r="P4" s="656"/>
      <c r="Q4" s="671"/>
      <c r="R4" s="673"/>
      <c r="S4" s="673"/>
      <c r="T4" s="654"/>
      <c r="U4" s="654"/>
      <c r="V4" s="654"/>
      <c r="W4" s="673"/>
      <c r="X4" s="682"/>
      <c r="Y4" s="682"/>
      <c r="Z4" s="673"/>
      <c r="AA4" s="654"/>
      <c r="AB4" s="654"/>
      <c r="AC4" s="654"/>
      <c r="AD4" s="654"/>
      <c r="AE4" s="654"/>
      <c r="AF4" s="684" t="s">
        <v>133</v>
      </c>
      <c r="AG4" s="685"/>
      <c r="AH4" s="686"/>
      <c r="AI4" s="656" t="s">
        <v>201</v>
      </c>
      <c r="AJ4" s="656" t="s">
        <v>16</v>
      </c>
      <c r="AK4" s="656" t="s">
        <v>134</v>
      </c>
      <c r="AL4" s="656" t="s">
        <v>19</v>
      </c>
      <c r="AM4" s="696"/>
      <c r="AN4" s="699" t="s">
        <v>111</v>
      </c>
      <c r="AO4" s="699" t="s">
        <v>16</v>
      </c>
      <c r="AP4" s="699" t="s">
        <v>112</v>
      </c>
      <c r="AQ4" s="699" t="s">
        <v>19</v>
      </c>
      <c r="AR4" s="698" t="s">
        <v>113</v>
      </c>
      <c r="AS4" s="705"/>
      <c r="AT4" s="702"/>
      <c r="AU4" s="703"/>
      <c r="AV4" s="526" t="s">
        <v>7</v>
      </c>
      <c r="AW4" s="526" t="s">
        <v>135</v>
      </c>
      <c r="AX4" s="527" t="s">
        <v>7</v>
      </c>
      <c r="AY4" s="528" t="s">
        <v>135</v>
      </c>
      <c r="AZ4" s="679"/>
      <c r="BA4" s="698"/>
      <c r="BB4" s="693"/>
      <c r="BC4" s="693"/>
      <c r="BD4" s="688"/>
      <c r="BE4" s="691"/>
      <c r="BF4" s="693"/>
    </row>
    <row r="5" spans="1:58" s="37" customFormat="1" ht="48">
      <c r="A5" s="654"/>
      <c r="B5" s="654"/>
      <c r="C5" s="675"/>
      <c r="D5" s="654"/>
      <c r="E5" s="654"/>
      <c r="F5" s="654"/>
      <c r="G5" s="591" t="s">
        <v>114</v>
      </c>
      <c r="H5" s="590" t="s">
        <v>115</v>
      </c>
      <c r="I5" s="35" t="s">
        <v>116</v>
      </c>
      <c r="J5" s="86" t="s">
        <v>117</v>
      </c>
      <c r="K5" s="86" t="s">
        <v>102</v>
      </c>
      <c r="L5" s="36" t="s">
        <v>118</v>
      </c>
      <c r="M5" s="36" t="s">
        <v>119</v>
      </c>
      <c r="N5" s="590" t="s">
        <v>120</v>
      </c>
      <c r="O5" s="671"/>
      <c r="P5" s="657"/>
      <c r="Q5" s="671"/>
      <c r="R5" s="673"/>
      <c r="S5" s="673"/>
      <c r="T5" s="654"/>
      <c r="U5" s="654"/>
      <c r="V5" s="654"/>
      <c r="W5" s="673"/>
      <c r="X5" s="682"/>
      <c r="Y5" s="683"/>
      <c r="Z5" s="673"/>
      <c r="AA5" s="654"/>
      <c r="AB5" s="675"/>
      <c r="AC5" s="654"/>
      <c r="AD5" s="675"/>
      <c r="AE5" s="654"/>
      <c r="AF5" s="464" t="s">
        <v>292</v>
      </c>
      <c r="AG5" s="544" t="s">
        <v>293</v>
      </c>
      <c r="AH5" s="544" t="s">
        <v>294</v>
      </c>
      <c r="AI5" s="657"/>
      <c r="AJ5" s="657"/>
      <c r="AK5" s="657"/>
      <c r="AL5" s="657"/>
      <c r="AM5" s="697"/>
      <c r="AN5" s="655"/>
      <c r="AO5" s="655"/>
      <c r="AP5" s="655"/>
      <c r="AQ5" s="655"/>
      <c r="AR5" s="672"/>
      <c r="AS5" s="706"/>
      <c r="AT5" s="545" t="s">
        <v>288</v>
      </c>
      <c r="AU5" s="545" t="s">
        <v>289</v>
      </c>
      <c r="AV5" s="529" t="s">
        <v>290</v>
      </c>
      <c r="AW5" s="529" t="s">
        <v>290</v>
      </c>
      <c r="AX5" s="527" t="s">
        <v>18</v>
      </c>
      <c r="AY5" s="527" t="s">
        <v>18</v>
      </c>
      <c r="AZ5" s="680"/>
      <c r="BA5" s="672"/>
      <c r="BB5" s="653"/>
      <c r="BC5" s="653"/>
      <c r="BD5" s="689"/>
      <c r="BE5" s="692"/>
      <c r="BF5" s="694"/>
    </row>
    <row r="6" spans="1:58" ht="12.95" customHeight="1">
      <c r="A6" s="45">
        <f>+Report1!A9</f>
        <v>45931</v>
      </c>
      <c r="B6" s="46" t="s">
        <v>8</v>
      </c>
      <c r="C6" s="454">
        <f>(M6*E6*O6*Q6)/100000000</f>
        <v>0</v>
      </c>
      <c r="D6" s="46" t="s">
        <v>384</v>
      </c>
      <c r="E6" s="47">
        <v>34</v>
      </c>
      <c r="F6" s="47">
        <v>1</v>
      </c>
      <c r="G6" s="505">
        <v>480</v>
      </c>
      <c r="H6" s="49">
        <v>0.12</v>
      </c>
      <c r="I6" s="50">
        <v>0.88</v>
      </c>
      <c r="J6" s="87">
        <f>E6*G6*(1-H6)*1440/1000000*3.4</f>
        <v>70.314393599999988</v>
      </c>
      <c r="K6" s="87">
        <f>(IF(G6&lt;L6,L6,G6)*(1-IF(H6&lt;N6,H6,N6))*E6*O6*Q6)/100000000</f>
        <v>0</v>
      </c>
      <c r="L6" s="40">
        <v>480</v>
      </c>
      <c r="M6" s="40">
        <f>+L6-L6*0.12</f>
        <v>422.4</v>
      </c>
      <c r="N6" s="51">
        <f>1-(M6/L6)</f>
        <v>0.12</v>
      </c>
      <c r="O6" s="52">
        <f>+'Trim Rwd'!H4</f>
        <v>337</v>
      </c>
      <c r="P6" s="53">
        <f>O6*(Q6-R6-S6)</f>
        <v>0</v>
      </c>
      <c r="Q6" s="52">
        <f>1440-1440</f>
        <v>0</v>
      </c>
      <c r="R6" s="506">
        <f>1440-1440</f>
        <v>0</v>
      </c>
      <c r="S6" s="506">
        <v>0</v>
      </c>
      <c r="T6" s="42">
        <f>E6*M6*O6*Q6/100000000</f>
        <v>0</v>
      </c>
      <c r="U6" s="42">
        <f>E6*M6*O6*(Q6-R6-S6)/100000000</f>
        <v>0</v>
      </c>
      <c r="V6" s="42">
        <f>E6*G6*(1-N6)*O6/100*(R6+S6)/1000000</f>
        <v>0</v>
      </c>
      <c r="W6" s="42">
        <f>+'1'!K7/1000</f>
        <v>0</v>
      </c>
      <c r="X6" s="507" t="e">
        <f>SUM(W6:W9)/SUM(K6:K9)</f>
        <v>#DIV/0!</v>
      </c>
      <c r="Y6" s="216">
        <v>0</v>
      </c>
      <c r="Z6" s="42">
        <v>0</v>
      </c>
      <c r="AA6" s="54">
        <f>SUM(U6:U9)-SUM(W6:W9)-SUM(Z6:Z9)-SUM(Y6:Y9)</f>
        <v>0</v>
      </c>
      <c r="AB6" s="54">
        <f>(SUM(K6:K9)-SUM(W6:W9)-SUM(Y6:Y9)-SUM(Z6:Z9)-SUM(AC6:AC9)-SUM(V6:V9))-AA6</f>
        <v>0</v>
      </c>
      <c r="AC6" s="42">
        <f>K6-T6</f>
        <v>0</v>
      </c>
      <c r="AD6" s="42">
        <f>+AM6+BA6</f>
        <v>0</v>
      </c>
      <c r="AE6" s="234" t="s">
        <v>394</v>
      </c>
      <c r="AF6" s="42">
        <v>0</v>
      </c>
      <c r="AG6" s="42"/>
      <c r="AH6" s="42"/>
      <c r="AI6" s="508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/>
      <c r="C7" s="454"/>
      <c r="D7" s="46"/>
      <c r="E7" s="47"/>
      <c r="F7" s="47"/>
      <c r="G7" s="505"/>
      <c r="H7" s="49"/>
      <c r="I7" s="50"/>
      <c r="J7" s="87"/>
      <c r="K7" s="87"/>
      <c r="L7" s="40"/>
      <c r="M7" s="40"/>
      <c r="N7" s="51"/>
      <c r="O7" s="52"/>
      <c r="P7" s="53"/>
      <c r="Q7" s="52"/>
      <c r="R7" s="506"/>
      <c r="S7" s="506"/>
      <c r="T7" s="42"/>
      <c r="U7" s="42"/>
      <c r="V7" s="42"/>
      <c r="W7" s="42"/>
      <c r="X7" s="43"/>
      <c r="Y7" s="216"/>
      <c r="Z7" s="42"/>
      <c r="AA7" s="42"/>
      <c r="AB7" s="42"/>
      <c r="AC7" s="42"/>
      <c r="AD7" s="42">
        <f>+AM7+BA7</f>
        <v>0</v>
      </c>
      <c r="AE7" s="234" t="s">
        <v>430</v>
      </c>
      <c r="AF7" s="42"/>
      <c r="AG7" s="42">
        <v>0</v>
      </c>
      <c r="AH7" s="42"/>
      <c r="AI7" s="508"/>
      <c r="AJ7" s="42"/>
      <c r="AK7" s="42"/>
      <c r="AL7" s="42"/>
      <c r="AM7" s="42">
        <f>SUM(AF7:AL7)+AT7+AV7+AX7</f>
        <v>0</v>
      </c>
      <c r="AN7" s="88"/>
      <c r="AO7" s="42"/>
      <c r="AP7" s="42"/>
      <c r="AQ7" s="42"/>
      <c r="AR7" s="42">
        <f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0</v>
      </c>
      <c r="BD7" s="56"/>
      <c r="BE7" s="55"/>
      <c r="BF7" s="56"/>
    </row>
    <row r="8" spans="1:58" ht="12.95" customHeight="1">
      <c r="A8" s="45"/>
      <c r="B8" s="46"/>
      <c r="C8" s="454"/>
      <c r="D8" s="46"/>
      <c r="E8" s="47"/>
      <c r="F8" s="47"/>
      <c r="G8" s="505"/>
      <c r="H8" s="49"/>
      <c r="I8" s="50"/>
      <c r="J8" s="87"/>
      <c r="K8" s="87"/>
      <c r="L8" s="40"/>
      <c r="M8" s="40"/>
      <c r="N8" s="51"/>
      <c r="O8" s="52"/>
      <c r="P8" s="53"/>
      <c r="Q8" s="52"/>
      <c r="R8" s="506"/>
      <c r="S8" s="506"/>
      <c r="T8" s="42"/>
      <c r="U8" s="42"/>
      <c r="V8" s="42"/>
      <c r="W8" s="42"/>
      <c r="X8" s="43"/>
      <c r="Y8" s="216"/>
      <c r="Z8" s="42"/>
      <c r="AA8" s="42"/>
      <c r="AB8" s="42"/>
      <c r="AC8" s="42"/>
      <c r="AD8" s="42">
        <f>+AM8+BA8</f>
        <v>0</v>
      </c>
      <c r="AE8" s="234" t="s">
        <v>226</v>
      </c>
      <c r="AF8" s="38"/>
      <c r="AG8" s="38"/>
      <c r="AH8" s="42">
        <v>0</v>
      </c>
      <c r="AI8" s="508"/>
      <c r="AJ8" s="42"/>
      <c r="AK8" s="42"/>
      <c r="AL8" s="42"/>
      <c r="AM8" s="42">
        <f>SUM(AF8:AL8)+AT8+AV8+AX8</f>
        <v>0</v>
      </c>
      <c r="AN8" s="42"/>
      <c r="AO8" s="42"/>
      <c r="AP8" s="42"/>
      <c r="AQ8" s="42"/>
      <c r="AR8" s="42">
        <f>SUM(AN8:AQ8)</f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09"/>
      <c r="BD8" s="509"/>
      <c r="BE8" s="38"/>
      <c r="BF8" s="509"/>
    </row>
    <row r="9" spans="1:58" ht="12.95" customHeight="1">
      <c r="A9" s="45"/>
      <c r="B9" s="46"/>
      <c r="C9" s="454"/>
      <c r="D9" s="46"/>
      <c r="E9" s="47"/>
      <c r="F9" s="47"/>
      <c r="G9" s="505"/>
      <c r="H9" s="49"/>
      <c r="I9" s="50"/>
      <c r="J9" s="87"/>
      <c r="K9" s="87"/>
      <c r="L9" s="40"/>
      <c r="M9" s="40"/>
      <c r="N9" s="51"/>
      <c r="O9" s="52"/>
      <c r="P9" s="53"/>
      <c r="Q9" s="52"/>
      <c r="R9" s="506"/>
      <c r="S9" s="506"/>
      <c r="T9" s="42"/>
      <c r="U9" s="42"/>
      <c r="V9" s="42"/>
      <c r="W9" s="42"/>
      <c r="X9" s="43"/>
      <c r="Y9" s="216"/>
      <c r="Z9" s="42"/>
      <c r="AA9" s="42"/>
      <c r="AB9" s="42"/>
      <c r="AC9" s="42"/>
      <c r="AD9" s="42">
        <f>+AM9+BA9</f>
        <v>0</v>
      </c>
      <c r="AE9" s="587" t="s">
        <v>432</v>
      </c>
      <c r="AF9" s="42"/>
      <c r="AG9" s="42"/>
      <c r="AH9" s="42"/>
      <c r="AJ9" s="42"/>
      <c r="AK9" s="42"/>
      <c r="AL9" s="42"/>
      <c r="AM9" s="42">
        <f>SUM(AF9:AL9)+AT9+AV9+AX9</f>
        <v>0</v>
      </c>
      <c r="AN9" s="42"/>
      <c r="AO9" s="42"/>
      <c r="AP9" s="42"/>
      <c r="AQ9" s="42"/>
      <c r="AR9" s="42">
        <f>SUM(AN9:AQ9)</f>
        <v>0</v>
      </c>
      <c r="AS9" s="42"/>
      <c r="AT9" s="42"/>
      <c r="AU9" s="42">
        <f>1440-1440</f>
        <v>0</v>
      </c>
      <c r="AV9" s="42"/>
      <c r="AW9" s="42"/>
      <c r="AX9" s="42"/>
      <c r="AY9" s="42"/>
      <c r="AZ9" s="42"/>
      <c r="BA9" s="42">
        <f>+AR9+AS9+AU9+AW9+AY9+AZ9</f>
        <v>0</v>
      </c>
      <c r="BB9" s="38"/>
      <c r="BC9" s="509"/>
      <c r="BD9" s="509"/>
      <c r="BE9" s="38"/>
      <c r="BF9" s="509"/>
    </row>
    <row r="10" spans="1:58" ht="12.95" customHeight="1">
      <c r="A10" s="45"/>
      <c r="B10" s="46"/>
      <c r="C10" s="454"/>
      <c r="D10" s="46"/>
      <c r="E10" s="47"/>
      <c r="F10" s="47"/>
      <c r="G10" s="505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06"/>
      <c r="S10" s="506"/>
      <c r="T10" s="42"/>
      <c r="U10" s="42"/>
      <c r="V10" s="42"/>
      <c r="W10" s="42"/>
      <c r="X10" s="507"/>
      <c r="Y10" s="216"/>
      <c r="Z10" s="42"/>
      <c r="AA10" s="54"/>
      <c r="AB10" s="54"/>
      <c r="AC10" s="42"/>
      <c r="AD10" s="42"/>
      <c r="AE10" s="237"/>
      <c r="AF10" s="42"/>
      <c r="AG10" s="42"/>
      <c r="AH10" s="42"/>
      <c r="AI10" s="508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55"/>
      <c r="BC10" s="56"/>
      <c r="BD10" s="56"/>
      <c r="BE10" s="55"/>
      <c r="BF10" s="56"/>
    </row>
    <row r="11" spans="1:58" ht="12.75" customHeight="1">
      <c r="A11" s="45">
        <v>45932</v>
      </c>
      <c r="B11" s="46" t="s">
        <v>8</v>
      </c>
      <c r="C11" s="454">
        <f>(M11*E11*O11*Q11)/100000000</f>
        <v>45.31762749538462</v>
      </c>
      <c r="D11" s="46" t="s">
        <v>451</v>
      </c>
      <c r="E11" s="47">
        <v>17</v>
      </c>
      <c r="F11" s="47">
        <v>1</v>
      </c>
      <c r="G11" s="505">
        <v>830</v>
      </c>
      <c r="H11" s="49">
        <v>0.15</v>
      </c>
      <c r="I11" s="50">
        <v>0.88</v>
      </c>
      <c r="J11" s="87">
        <f>E11*G11*(1-H11)*1440/1000000*3.4</f>
        <v>58.720176000000002</v>
      </c>
      <c r="K11" s="87">
        <f>(IF(G11&lt;L11,L11,G11)*(1-IF(H11&lt;N11,H11,N11))*E11*O11*Q11)/100000000</f>
        <v>46.305633599999993</v>
      </c>
      <c r="L11" s="40">
        <v>812.29059829059827</v>
      </c>
      <c r="M11" s="40">
        <v>698.56991452991451</v>
      </c>
      <c r="N11" s="51">
        <f>1-(M11/L11)</f>
        <v>0.14000000000000001</v>
      </c>
      <c r="O11" s="52">
        <f>+'Trim Rwd'!H6</f>
        <v>318</v>
      </c>
      <c r="P11" s="53">
        <f>O11*(Q11-R11-S11)</f>
        <v>366654</v>
      </c>
      <c r="Q11" s="52">
        <f>1440-240</f>
        <v>1200</v>
      </c>
      <c r="R11" s="506">
        <f>240-240</f>
        <v>0</v>
      </c>
      <c r="S11" s="506">
        <v>47</v>
      </c>
      <c r="T11" s="42">
        <f>E11*M11*O11*Q11/100000000</f>
        <v>45.31762749538462</v>
      </c>
      <c r="U11" s="42">
        <f>E11*M11*O11*(Q11-R11-S11)/100000000</f>
        <v>43.542687085148728</v>
      </c>
      <c r="V11" s="42">
        <f>E11*G11*(1-N11)*O11/100*(R11+S11)/1000000</f>
        <v>1.8136373160000003</v>
      </c>
      <c r="W11" s="42">
        <f>+'2'!K34/1000</f>
        <v>35.399000000000001</v>
      </c>
      <c r="X11" s="507">
        <f>SUM(W11:W14)/SUM(K11:K14)</f>
        <v>0.76446421845310863</v>
      </c>
      <c r="Y11" s="216">
        <v>0</v>
      </c>
      <c r="Z11" s="42">
        <v>0</v>
      </c>
      <c r="AA11" s="54">
        <f>SUM(U11:U14)-SUM(W11:W14)-SUM(Z11:Z14)-SUM(Y11:Y14)</f>
        <v>8.1436870851487271</v>
      </c>
      <c r="AB11" s="54">
        <f>(SUM(K11:K14)-SUM(W11:W14)-SUM(Y11:Y14)-SUM(Z11:Z14)-SUM(AC11:AC14)-SUM(V11:V14))-AA11</f>
        <v>-3.8696905764108891E-2</v>
      </c>
      <c r="AC11" s="42">
        <f>K11-T11</f>
        <v>0.98800610461537275</v>
      </c>
      <c r="AD11" s="42">
        <f>+AM11+BA11</f>
        <v>8</v>
      </c>
      <c r="AE11" s="234" t="s">
        <v>452</v>
      </c>
      <c r="AF11" s="42">
        <v>8</v>
      </c>
      <c r="AG11" s="42"/>
      <c r="AH11" s="42"/>
      <c r="AI11" s="508"/>
      <c r="AJ11" s="42"/>
      <c r="AK11" s="42"/>
      <c r="AL11" s="42"/>
      <c r="AM11" s="42">
        <f>SUM(AF11:AL11)+AT11+AV11+AX11</f>
        <v>8</v>
      </c>
      <c r="AN11" s="42"/>
      <c r="AO11" s="42"/>
      <c r="AP11" s="42"/>
      <c r="AQ11" s="42"/>
      <c r="AR11" s="42">
        <f>SUM(AN11:AQ11)</f>
        <v>0</v>
      </c>
      <c r="AS11" s="42"/>
      <c r="AT11" s="42"/>
      <c r="AU11" s="42"/>
      <c r="AV11" s="42"/>
      <c r="AW11" s="42"/>
      <c r="AX11" s="42"/>
      <c r="AY11" s="42"/>
      <c r="AZ11" s="42"/>
      <c r="BA11" s="42">
        <f>+AR11+AS11+AU11+AW11+AY11+AZ11</f>
        <v>0</v>
      </c>
      <c r="BB11" s="38">
        <v>0</v>
      </c>
      <c r="BC11" s="56"/>
      <c r="BD11" s="56"/>
      <c r="BE11" s="38"/>
      <c r="BF11" s="56"/>
    </row>
    <row r="12" spans="1:58" ht="12.95" customHeight="1">
      <c r="A12" s="45"/>
      <c r="B12" s="46"/>
      <c r="C12" s="454"/>
      <c r="D12" s="46"/>
      <c r="E12" s="47"/>
      <c r="F12" s="47"/>
      <c r="G12" s="505"/>
      <c r="H12" s="49"/>
      <c r="I12" s="50"/>
      <c r="J12" s="87"/>
      <c r="K12" s="87"/>
      <c r="L12" s="40"/>
      <c r="M12" s="40"/>
      <c r="N12" s="51"/>
      <c r="O12" s="52"/>
      <c r="P12" s="53"/>
      <c r="Q12" s="52"/>
      <c r="R12" s="506"/>
      <c r="S12" s="506"/>
      <c r="T12" s="42"/>
      <c r="U12" s="42"/>
      <c r="V12" s="42"/>
      <c r="W12" s="42"/>
      <c r="X12" s="43"/>
      <c r="Y12" s="216"/>
      <c r="Z12" s="42"/>
      <c r="AA12" s="42"/>
      <c r="AB12" s="42"/>
      <c r="AC12" s="42"/>
      <c r="AD12" s="42">
        <f>+AM12+BA12</f>
        <v>19</v>
      </c>
      <c r="AE12" s="234" t="s">
        <v>453</v>
      </c>
      <c r="AF12" s="42"/>
      <c r="AG12" s="42">
        <v>19</v>
      </c>
      <c r="AH12" s="42"/>
      <c r="AI12" s="508"/>
      <c r="AJ12" s="42"/>
      <c r="AK12" s="42"/>
      <c r="AL12" s="42"/>
      <c r="AM12" s="42">
        <f>SUM(AF12:AL12)+AT12+AV12+AX12</f>
        <v>19</v>
      </c>
      <c r="AN12" s="88"/>
      <c r="AO12" s="42"/>
      <c r="AP12" s="42"/>
      <c r="AQ12" s="42"/>
      <c r="AR12" s="42">
        <f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55"/>
      <c r="BC12" s="56">
        <v>2</v>
      </c>
      <c r="BD12" s="56"/>
      <c r="BE12" s="55"/>
      <c r="BF12" s="56"/>
    </row>
    <row r="13" spans="1:58" ht="12.95" customHeight="1">
      <c r="A13" s="45"/>
      <c r="B13" s="46"/>
      <c r="C13" s="454"/>
      <c r="D13" s="46"/>
      <c r="E13" s="47"/>
      <c r="F13" s="47"/>
      <c r="G13" s="505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06"/>
      <c r="S13" s="506"/>
      <c r="T13" s="42"/>
      <c r="U13" s="42"/>
      <c r="V13" s="42"/>
      <c r="W13" s="42"/>
      <c r="X13" s="43"/>
      <c r="Y13" s="216"/>
      <c r="Z13" s="42"/>
      <c r="AA13" s="42"/>
      <c r="AB13" s="42"/>
      <c r="AC13" s="42"/>
      <c r="AD13" s="42">
        <f>+AM13+BA13</f>
        <v>20</v>
      </c>
      <c r="AE13" s="234" t="s">
        <v>226</v>
      </c>
      <c r="AF13" s="38"/>
      <c r="AG13" s="38"/>
      <c r="AH13" s="42">
        <v>20</v>
      </c>
      <c r="AI13" s="508"/>
      <c r="AJ13" s="42"/>
      <c r="AK13" s="42"/>
      <c r="AL13" s="42"/>
      <c r="AM13" s="42">
        <f>SUM(AF13:AL13)+AT13+AV13+AX13</f>
        <v>20</v>
      </c>
      <c r="AN13" s="42"/>
      <c r="AO13" s="42"/>
      <c r="AP13" s="42"/>
      <c r="AQ13" s="42"/>
      <c r="AR13" s="42">
        <f>SUM(AN13:AQ13)</f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38"/>
      <c r="BC13" s="509"/>
      <c r="BD13" s="509"/>
      <c r="BE13" s="38"/>
      <c r="BF13" s="509"/>
    </row>
    <row r="14" spans="1:58" ht="12.95" customHeight="1">
      <c r="A14" s="45"/>
      <c r="B14" s="46"/>
      <c r="C14" s="454"/>
      <c r="D14" s="46"/>
      <c r="E14" s="47"/>
      <c r="F14" s="47"/>
      <c r="G14" s="505"/>
      <c r="H14" s="49"/>
      <c r="I14" s="50"/>
      <c r="J14" s="87"/>
      <c r="K14" s="87"/>
      <c r="L14" s="40"/>
      <c r="M14" s="40"/>
      <c r="N14" s="51"/>
      <c r="O14" s="52"/>
      <c r="P14" s="53"/>
      <c r="Q14" s="52"/>
      <c r="R14" s="506"/>
      <c r="S14" s="506"/>
      <c r="T14" s="42"/>
      <c r="U14" s="42"/>
      <c r="V14" s="42"/>
      <c r="W14" s="42"/>
      <c r="X14" s="43"/>
      <c r="Y14" s="216"/>
      <c r="Z14" s="42"/>
      <c r="AA14" s="42"/>
      <c r="AB14" s="42"/>
      <c r="AC14" s="42"/>
      <c r="AD14" s="42">
        <f>+AM14+BA14</f>
        <v>0</v>
      </c>
      <c r="AE14" s="587" t="s">
        <v>432</v>
      </c>
      <c r="AF14" s="42"/>
      <c r="AG14" s="42"/>
      <c r="AH14" s="42"/>
      <c r="AJ14" s="42"/>
      <c r="AK14" s="42"/>
      <c r="AL14" s="42"/>
      <c r="AM14" s="42">
        <f>SUM(AF14:AL14)+AT14+AV14+AX14</f>
        <v>0</v>
      </c>
      <c r="AN14" s="42"/>
      <c r="AO14" s="42"/>
      <c r="AP14" s="42"/>
      <c r="AQ14" s="42"/>
      <c r="AR14" s="42">
        <f>SUM(AN14:AQ14)</f>
        <v>0</v>
      </c>
      <c r="AS14" s="42"/>
      <c r="AT14" s="42"/>
      <c r="AU14" s="42">
        <f>240-240</f>
        <v>0</v>
      </c>
      <c r="AV14" s="42"/>
      <c r="AW14" s="42"/>
      <c r="AX14" s="42"/>
      <c r="AY14" s="42"/>
      <c r="AZ14" s="42"/>
      <c r="BA14" s="42">
        <f>+AR14+AS14+AU14+AW14+AY14+AZ14</f>
        <v>0</v>
      </c>
      <c r="BB14" s="38"/>
      <c r="BC14" s="509"/>
      <c r="BD14" s="509"/>
      <c r="BE14" s="38"/>
      <c r="BF14" s="509"/>
    </row>
    <row r="15" spans="1:58" ht="12.95" customHeight="1">
      <c r="A15" s="45"/>
      <c r="B15" s="46"/>
      <c r="C15" s="454"/>
      <c r="D15" s="46"/>
      <c r="E15" s="47"/>
      <c r="F15" s="47"/>
      <c r="G15" s="505"/>
      <c r="H15" s="49"/>
      <c r="I15" s="50"/>
      <c r="J15" s="87"/>
      <c r="K15" s="87"/>
      <c r="L15" s="40"/>
      <c r="M15" s="40"/>
      <c r="N15" s="51"/>
      <c r="O15" s="52"/>
      <c r="P15" s="53"/>
      <c r="Q15" s="52"/>
      <c r="R15" s="506"/>
      <c r="S15" s="506"/>
      <c r="T15" s="42"/>
      <c r="U15" s="42"/>
      <c r="V15" s="42"/>
      <c r="W15" s="42"/>
      <c r="X15" s="507"/>
      <c r="Y15" s="216"/>
      <c r="Z15" s="42"/>
      <c r="AA15" s="54"/>
      <c r="AB15" s="54"/>
      <c r="AC15" s="42"/>
      <c r="AD15" s="42"/>
      <c r="AE15" s="237"/>
      <c r="AF15" s="42"/>
      <c r="AG15" s="42"/>
      <c r="AH15" s="42"/>
      <c r="AI15" s="508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55"/>
      <c r="BC15" s="56"/>
      <c r="BD15" s="56"/>
      <c r="BE15" s="55"/>
      <c r="BF15" s="56"/>
    </row>
    <row r="16" spans="1:58" ht="12.75" customHeight="1">
      <c r="A16" s="45">
        <v>45933</v>
      </c>
      <c r="B16" s="46" t="s">
        <v>8</v>
      </c>
      <c r="C16" s="454">
        <f>(M16*E16*O16*Q16)/100000000</f>
        <v>0.38588027999999991</v>
      </c>
      <c r="D16" s="46" t="s">
        <v>451</v>
      </c>
      <c r="E16" s="47">
        <v>17</v>
      </c>
      <c r="F16" s="47">
        <v>1</v>
      </c>
      <c r="G16" s="505">
        <v>830</v>
      </c>
      <c r="H16" s="49">
        <v>0.15</v>
      </c>
      <c r="I16" s="50">
        <v>0.88</v>
      </c>
      <c r="J16" s="87">
        <f>E16*G16*(1-H16)*1440/1000000*3.4</f>
        <v>58.720176000000002</v>
      </c>
      <c r="K16" s="87">
        <f>(IF(G16&lt;L16,L16,G16)*(1-IF(H16&lt;N16,H16,N16))*E16*O16*Q16)/100000000</f>
        <v>0.38588027999999991</v>
      </c>
      <c r="L16" s="40">
        <v>830</v>
      </c>
      <c r="M16" s="40">
        <f>+L16-L16*0.14</f>
        <v>713.8</v>
      </c>
      <c r="N16" s="51">
        <f>1-(M16/L16)</f>
        <v>0.14000000000000001</v>
      </c>
      <c r="O16" s="52">
        <f>+'Trim Rwd'!H8</f>
        <v>318</v>
      </c>
      <c r="P16" s="53">
        <f>O16*(Q16-R16-S16)</f>
        <v>3180</v>
      </c>
      <c r="Q16" s="52">
        <v>10</v>
      </c>
      <c r="R16" s="506">
        <v>0</v>
      </c>
      <c r="S16" s="506">
        <v>0</v>
      </c>
      <c r="T16" s="42">
        <f>E16*M16*O16*Q16/100000000</f>
        <v>0.38588027999999991</v>
      </c>
      <c r="U16" s="42">
        <f>E16*M16*O16*(Q16-R16-S16)/100000000</f>
        <v>0.38588027999999991</v>
      </c>
      <c r="V16" s="42">
        <f>E16*G16*(1-N16)*O16/100*(R16+S16)/1000000</f>
        <v>0</v>
      </c>
      <c r="W16" s="42">
        <f>+'3'!K7/1000</f>
        <v>4.0940000000000003</v>
      </c>
      <c r="X16" s="507">
        <f>SUM(W16:W19)/SUM(K16:K19)</f>
        <v>0.89617873934365733</v>
      </c>
      <c r="Y16" s="216">
        <v>0</v>
      </c>
      <c r="Z16" s="42">
        <v>0</v>
      </c>
      <c r="AA16" s="54">
        <f>SUM(U16:U19)-SUM(W16:W19)-SUM(Z16:Z19)-SUM(Y16:Y19)</f>
        <v>2.4384486000000041</v>
      </c>
      <c r="AB16" s="54">
        <f>(SUM(K16:K19)-SUM(W16:W19)-SUM(Y16:Y19)-SUM(Z16:Z19)-SUM(AC16:AC19)-SUM(V16:V19))-AA16</f>
        <v>0</v>
      </c>
      <c r="AC16" s="42">
        <f>K16-T16</f>
        <v>0</v>
      </c>
      <c r="AD16" s="42">
        <f>+AM16+BA16</f>
        <v>3</v>
      </c>
      <c r="AE16" s="234" t="s">
        <v>391</v>
      </c>
      <c r="AF16" s="42">
        <v>3</v>
      </c>
      <c r="AG16" s="42"/>
      <c r="AH16" s="42"/>
      <c r="AI16" s="508"/>
      <c r="AJ16" s="42"/>
      <c r="AK16" s="42"/>
      <c r="AL16" s="42"/>
      <c r="AM16" s="42">
        <f>SUM(AF16:AL16)+AT16+AV16+AX16</f>
        <v>3</v>
      </c>
      <c r="AN16" s="42"/>
      <c r="AO16" s="42"/>
      <c r="AP16" s="42"/>
      <c r="AQ16" s="42"/>
      <c r="AR16" s="42">
        <f>SUM(AN16:AQ16)</f>
        <v>0</v>
      </c>
      <c r="AS16" s="42"/>
      <c r="AT16" s="42"/>
      <c r="AU16" s="42"/>
      <c r="AV16" s="42"/>
      <c r="AW16" s="42"/>
      <c r="AX16" s="42"/>
      <c r="AY16" s="42"/>
      <c r="AZ16" s="42"/>
      <c r="BA16" s="42">
        <f>+AR16+AS16+AU16+AW16+AY16+AZ16</f>
        <v>0</v>
      </c>
      <c r="BB16" s="38">
        <v>0</v>
      </c>
      <c r="BC16" s="56"/>
      <c r="BD16" s="56"/>
      <c r="BE16" s="38"/>
      <c r="BF16" s="56"/>
    </row>
    <row r="17" spans="1:58" ht="12.95" customHeight="1">
      <c r="A17" s="45"/>
      <c r="B17" s="46" t="s">
        <v>462</v>
      </c>
      <c r="C17" s="454">
        <f>(M17*E17*O17*Q17)/100000000</f>
        <v>58.794278400000003</v>
      </c>
      <c r="D17" s="46" t="s">
        <v>451</v>
      </c>
      <c r="E17" s="47">
        <v>18</v>
      </c>
      <c r="F17" s="47">
        <v>1</v>
      </c>
      <c r="G17" s="505">
        <v>830</v>
      </c>
      <c r="H17" s="49">
        <v>0.15</v>
      </c>
      <c r="I17" s="50">
        <v>0.88</v>
      </c>
      <c r="J17" s="87">
        <f>E17*G17*(1-H17)*1440/1000000*3.4</f>
        <v>62.174304000000006</v>
      </c>
      <c r="K17" s="87">
        <f>(IF(G17&lt;L17,L17,G17)*(1-IF(H17&lt;N17,H17,N17))*E17*O17*Q17)/100000000</f>
        <v>58.794278400000003</v>
      </c>
      <c r="L17" s="40">
        <v>830</v>
      </c>
      <c r="M17" s="40">
        <f>+L17-L17*0.14</f>
        <v>713.8</v>
      </c>
      <c r="N17" s="51">
        <f>1-(M17/L17)</f>
        <v>0.14000000000000001</v>
      </c>
      <c r="O17" s="52">
        <f>+'Trim Rwd'!H9</f>
        <v>320</v>
      </c>
      <c r="P17" s="53">
        <f>O17*(Q17-R17-S17)</f>
        <v>444480</v>
      </c>
      <c r="Q17" s="52">
        <v>1430</v>
      </c>
      <c r="R17" s="506">
        <v>0</v>
      </c>
      <c r="S17" s="506">
        <v>41</v>
      </c>
      <c r="T17" s="42">
        <f>E17*M17*O17*Q17/100000000</f>
        <v>58.794278400000003</v>
      </c>
      <c r="U17" s="42">
        <f>E17*M17*O17*(Q17-R17-S17)/100000000</f>
        <v>57.108568320000003</v>
      </c>
      <c r="V17" s="42">
        <f>E17*G17*(1-N17)*O17/100*(R17+S17)/1000000</f>
        <v>1.6857100799999998</v>
      </c>
      <c r="W17" s="42">
        <f>+'3'!K8/1000</f>
        <v>48.942</v>
      </c>
      <c r="X17" s="43"/>
      <c r="Y17" s="216"/>
      <c r="Z17" s="42">
        <f>+'3'!D34/1000</f>
        <v>2.02</v>
      </c>
      <c r="AA17" s="42"/>
      <c r="AB17" s="42"/>
      <c r="AC17" s="42">
        <f>K17-T17</f>
        <v>0</v>
      </c>
      <c r="AD17" s="42">
        <f>+AM17+BA17</f>
        <v>10</v>
      </c>
      <c r="AE17" s="234" t="s">
        <v>393</v>
      </c>
      <c r="AF17" s="42"/>
      <c r="AG17" s="42">
        <v>10</v>
      </c>
      <c r="AH17" s="42"/>
      <c r="AI17" s="508"/>
      <c r="AJ17" s="42"/>
      <c r="AK17" s="42"/>
      <c r="AL17" s="42"/>
      <c r="AM17" s="42">
        <f>SUM(AF17:AL17)+AT17+AV17+AX17</f>
        <v>10</v>
      </c>
      <c r="AN17" s="88"/>
      <c r="AO17" s="42"/>
      <c r="AP17" s="42"/>
      <c r="AQ17" s="42"/>
      <c r="AR17" s="42">
        <f>SUM(AN17:AQ17)</f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55"/>
      <c r="BC17" s="56">
        <v>2</v>
      </c>
      <c r="BD17" s="56"/>
      <c r="BE17" s="55"/>
      <c r="BF17" s="56"/>
    </row>
    <row r="18" spans="1:58" ht="12.95" customHeight="1">
      <c r="A18" s="45"/>
      <c r="B18" s="46"/>
      <c r="C18" s="454"/>
      <c r="D18" s="46"/>
      <c r="E18" s="47"/>
      <c r="F18" s="47"/>
      <c r="G18" s="505"/>
      <c r="H18" s="49"/>
      <c r="I18" s="50"/>
      <c r="J18" s="87"/>
      <c r="K18" s="87"/>
      <c r="L18" s="40"/>
      <c r="M18" s="40"/>
      <c r="N18" s="51"/>
      <c r="O18" s="52"/>
      <c r="P18" s="53"/>
      <c r="Q18" s="52"/>
      <c r="R18" s="506"/>
      <c r="S18" s="506"/>
      <c r="T18" s="42"/>
      <c r="U18" s="42"/>
      <c r="V18" s="42"/>
      <c r="W18" s="42"/>
      <c r="X18" s="43"/>
      <c r="Y18" s="216"/>
      <c r="Z18" s="42"/>
      <c r="AA18" s="42"/>
      <c r="AB18" s="42"/>
      <c r="AC18" s="42"/>
      <c r="AD18" s="42">
        <f>+AM18+BA18</f>
        <v>20</v>
      </c>
      <c r="AE18" s="234" t="s">
        <v>226</v>
      </c>
      <c r="AF18" s="38"/>
      <c r="AG18" s="38"/>
      <c r="AH18" s="42">
        <v>20</v>
      </c>
      <c r="AI18" s="508"/>
      <c r="AJ18" s="42"/>
      <c r="AK18" s="42"/>
      <c r="AL18" s="42"/>
      <c r="AM18" s="42">
        <f>SUM(AF18:AL18)+AT18+AV18+AX18</f>
        <v>20</v>
      </c>
      <c r="AN18" s="42"/>
      <c r="AO18" s="42"/>
      <c r="AP18" s="42"/>
      <c r="AQ18" s="42"/>
      <c r="AR18" s="42">
        <f>SUM(AN18:AQ18)</f>
        <v>0</v>
      </c>
      <c r="AS18" s="42"/>
      <c r="AT18" s="42"/>
      <c r="AU18" s="42"/>
      <c r="AV18" s="42"/>
      <c r="AW18" s="42"/>
      <c r="AX18" s="42"/>
      <c r="AY18" s="42"/>
      <c r="AZ18" s="42"/>
      <c r="BA18" s="42">
        <f>+AR18+AS18+AU18+AW18+AY18+AZ18</f>
        <v>0</v>
      </c>
      <c r="BB18" s="38"/>
      <c r="BC18" s="509"/>
      <c r="BD18" s="509"/>
      <c r="BE18" s="38"/>
      <c r="BF18" s="509"/>
    </row>
    <row r="19" spans="1:58" ht="12.95" customHeight="1">
      <c r="A19" s="45"/>
      <c r="B19" s="46"/>
      <c r="C19" s="454"/>
      <c r="D19" s="46"/>
      <c r="E19" s="47"/>
      <c r="F19" s="47"/>
      <c r="G19" s="505"/>
      <c r="H19" s="49"/>
      <c r="I19" s="50"/>
      <c r="J19" s="87"/>
      <c r="K19" s="87"/>
      <c r="L19" s="40"/>
      <c r="M19" s="40"/>
      <c r="N19" s="51"/>
      <c r="O19" s="52"/>
      <c r="P19" s="53"/>
      <c r="Q19" s="52"/>
      <c r="R19" s="506"/>
      <c r="S19" s="506"/>
      <c r="T19" s="42"/>
      <c r="U19" s="42"/>
      <c r="V19" s="42"/>
      <c r="W19" s="42"/>
      <c r="X19" s="43"/>
      <c r="Y19" s="216"/>
      <c r="Z19" s="42"/>
      <c r="AA19" s="42"/>
      <c r="AB19" s="42"/>
      <c r="AC19" s="42"/>
      <c r="AD19" s="42">
        <f>+AM19+BA19</f>
        <v>8</v>
      </c>
      <c r="AE19" s="587" t="s">
        <v>463</v>
      </c>
      <c r="AF19" s="42"/>
      <c r="AG19" s="42"/>
      <c r="AH19" s="42"/>
      <c r="AI19" s="34">
        <v>8</v>
      </c>
      <c r="AJ19" s="42"/>
      <c r="AK19" s="42"/>
      <c r="AL19" s="42"/>
      <c r="AM19" s="42">
        <f>SUM(AF19:AL19)+AT19+AV19+AX19</f>
        <v>8</v>
      </c>
      <c r="AN19" s="42"/>
      <c r="AO19" s="42"/>
      <c r="AP19" s="42"/>
      <c r="AQ19" s="42"/>
      <c r="AR19" s="42">
        <f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/>
      <c r="BC19" s="509"/>
      <c r="BD19" s="509"/>
      <c r="BE19" s="38"/>
      <c r="BF19" s="509"/>
    </row>
    <row r="20" spans="1:58" ht="12.95" customHeight="1">
      <c r="A20" s="45"/>
      <c r="B20" s="46"/>
      <c r="C20" s="454"/>
      <c r="D20" s="46"/>
      <c r="E20" s="47"/>
      <c r="F20" s="47"/>
      <c r="G20" s="505"/>
      <c r="H20" s="49"/>
      <c r="I20" s="50"/>
      <c r="J20" s="87"/>
      <c r="K20" s="87"/>
      <c r="L20" s="40"/>
      <c r="M20" s="40"/>
      <c r="N20" s="51"/>
      <c r="O20" s="52"/>
      <c r="P20" s="53"/>
      <c r="Q20" s="52"/>
      <c r="R20" s="506"/>
      <c r="S20" s="506"/>
      <c r="T20" s="42"/>
      <c r="U20" s="42"/>
      <c r="V20" s="42"/>
      <c r="W20" s="42"/>
      <c r="X20" s="507"/>
      <c r="Y20" s="216"/>
      <c r="Z20" s="42"/>
      <c r="AA20" s="54"/>
      <c r="AB20" s="54"/>
      <c r="AC20" s="42"/>
      <c r="AD20" s="42"/>
      <c r="AE20" s="237"/>
      <c r="AF20" s="42"/>
      <c r="AG20" s="42"/>
      <c r="AH20" s="42"/>
      <c r="AI20" s="508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55"/>
      <c r="BC20" s="56"/>
      <c r="BD20" s="56"/>
      <c r="BE20" s="55"/>
      <c r="BF20" s="56"/>
    </row>
    <row r="21" spans="1:58" ht="12.75" customHeight="1">
      <c r="A21" s="45">
        <v>45934</v>
      </c>
      <c r="B21" s="46" t="s">
        <v>462</v>
      </c>
      <c r="C21" s="454">
        <f>(M21*E21*O21*Q21)/100000000</f>
        <v>59.205427200000003</v>
      </c>
      <c r="D21" s="46" t="s">
        <v>451</v>
      </c>
      <c r="E21" s="47">
        <v>18</v>
      </c>
      <c r="F21" s="47">
        <v>1</v>
      </c>
      <c r="G21" s="505">
        <v>830</v>
      </c>
      <c r="H21" s="49">
        <v>0.15</v>
      </c>
      <c r="I21" s="50">
        <v>0.88</v>
      </c>
      <c r="J21" s="87">
        <f>E21*G21*(1-H21)*1440/1000000*3.4</f>
        <v>62.174304000000006</v>
      </c>
      <c r="K21" s="87">
        <f>(IF(G21&lt;L21,L21,G21)*(1-IF(H21&lt;N21,H21,N21))*E21*O21*Q21)/100000000</f>
        <v>59.205427200000003</v>
      </c>
      <c r="L21" s="40">
        <v>830</v>
      </c>
      <c r="M21" s="40">
        <f>+L21-L21*0.14</f>
        <v>713.8</v>
      </c>
      <c r="N21" s="51">
        <f>1-(M21/L21)</f>
        <v>0.14000000000000001</v>
      </c>
      <c r="O21" s="52">
        <f>+'Trim Rwd'!H11</f>
        <v>320</v>
      </c>
      <c r="P21" s="53">
        <f>O21*(Q21-R21-S21)</f>
        <v>353280</v>
      </c>
      <c r="Q21" s="52">
        <v>1440</v>
      </c>
      <c r="R21" s="506">
        <v>286</v>
      </c>
      <c r="S21" s="506">
        <v>50</v>
      </c>
      <c r="T21" s="42">
        <f>E21*M21*O21*Q21/100000000</f>
        <v>59.205427200000003</v>
      </c>
      <c r="U21" s="42">
        <f>E21*M21*O21*(Q21-R21-S21)/100000000</f>
        <v>45.390827520000002</v>
      </c>
      <c r="V21" s="42">
        <f>E21*G21*(1-N21)*O21/100*(R21+S21)/1000000</f>
        <v>13.814599679999999</v>
      </c>
      <c r="W21" s="42">
        <f>+'4'!K34/1000</f>
        <v>32.670999999999999</v>
      </c>
      <c r="X21" s="507">
        <f>SUM(W21:W24)/SUM(K21:K24)</f>
        <v>0.55182441112425584</v>
      </c>
      <c r="Y21" s="216">
        <v>0</v>
      </c>
      <c r="Z21" s="42">
        <f>+'4'!D34/1000</f>
        <v>4.7670000000000003</v>
      </c>
      <c r="AA21" s="54">
        <f>SUM(U21:U24)-SUM(W21:W24)-SUM(Z21:Z24)-SUM(Y21:Y24)</f>
        <v>7.9528275200000023</v>
      </c>
      <c r="AB21" s="54">
        <f>(SUM(K21:K24)-SUM(W21:W24)-SUM(Y21:Y24)-SUM(Z21:Z24)-SUM(AC21:AC24)-SUM(V21:V24))-AA21</f>
        <v>0</v>
      </c>
      <c r="AC21" s="42">
        <f>K21-T21</f>
        <v>0</v>
      </c>
      <c r="AD21" s="42">
        <f>+AM21+BA21</f>
        <v>9</v>
      </c>
      <c r="AE21" s="234" t="s">
        <v>479</v>
      </c>
      <c r="AF21" s="42">
        <v>9</v>
      </c>
      <c r="AG21" s="42"/>
      <c r="AH21" s="42"/>
      <c r="AI21" s="508"/>
      <c r="AJ21" s="42"/>
      <c r="AK21" s="42"/>
      <c r="AL21" s="42"/>
      <c r="AM21" s="42">
        <f>SUM(AF21:AL21)+AT21+AV21+AX21</f>
        <v>9</v>
      </c>
      <c r="AN21" s="42"/>
      <c r="AO21" s="42"/>
      <c r="AP21" s="42"/>
      <c r="AQ21" s="42"/>
      <c r="AR21" s="42">
        <f>SUM(AN21:AQ21)</f>
        <v>0</v>
      </c>
      <c r="AS21" s="42"/>
      <c r="AT21" s="42"/>
      <c r="AU21" s="42"/>
      <c r="AV21" s="42"/>
      <c r="AW21" s="42"/>
      <c r="AX21" s="42"/>
      <c r="AY21" s="42"/>
      <c r="AZ21" s="42"/>
      <c r="BA21" s="42">
        <f>+AR21+AS21+AU21+AW21+AY21+AZ21</f>
        <v>0</v>
      </c>
      <c r="BB21" s="38">
        <v>5</v>
      </c>
      <c r="BC21" s="56"/>
      <c r="BD21" s="56"/>
      <c r="BE21" s="38"/>
      <c r="BF21" s="56"/>
    </row>
    <row r="22" spans="1:58" ht="12.95" customHeight="1">
      <c r="A22" s="45"/>
      <c r="B22" s="46"/>
      <c r="C22" s="454"/>
      <c r="D22" s="46"/>
      <c r="E22" s="47"/>
      <c r="F22" s="47"/>
      <c r="G22" s="505"/>
      <c r="H22" s="49"/>
      <c r="I22" s="50"/>
      <c r="J22" s="87"/>
      <c r="K22" s="87"/>
      <c r="L22" s="40"/>
      <c r="M22" s="40"/>
      <c r="N22" s="51"/>
      <c r="O22" s="52"/>
      <c r="P22" s="53"/>
      <c r="Q22" s="52"/>
      <c r="R22" s="506"/>
      <c r="S22" s="506"/>
      <c r="T22" s="42"/>
      <c r="U22" s="42"/>
      <c r="V22" s="42"/>
      <c r="W22" s="42"/>
      <c r="X22" s="43"/>
      <c r="Y22" s="216"/>
      <c r="Z22" s="42"/>
      <c r="AA22" s="42"/>
      <c r="AB22" s="42"/>
      <c r="AC22" s="42"/>
      <c r="AD22" s="42">
        <f>+AM22+BA22</f>
        <v>21</v>
      </c>
      <c r="AE22" s="234" t="s">
        <v>481</v>
      </c>
      <c r="AF22" s="42"/>
      <c r="AG22" s="42">
        <v>21</v>
      </c>
      <c r="AH22" s="42"/>
      <c r="AI22" s="508"/>
      <c r="AJ22" s="42"/>
      <c r="AK22" s="42"/>
      <c r="AL22" s="42"/>
      <c r="AM22" s="42">
        <f>SUM(AF22:AL22)+AT22+AV22+AX22</f>
        <v>21</v>
      </c>
      <c r="AN22" s="88"/>
      <c r="AO22" s="42"/>
      <c r="AP22" s="42"/>
      <c r="AQ22" s="42"/>
      <c r="AR22" s="42">
        <f>SUM(AN22:AQ22)</f>
        <v>0</v>
      </c>
      <c r="AS22" s="42"/>
      <c r="AT22" s="42"/>
      <c r="AU22" s="42"/>
      <c r="AV22" s="42"/>
      <c r="AW22" s="42"/>
      <c r="AX22" s="42"/>
      <c r="AY22" s="42"/>
      <c r="AZ22" s="42"/>
      <c r="BA22" s="42">
        <f>+AR22+AS22+AU22+AW22+AY22+AZ22</f>
        <v>0</v>
      </c>
      <c r="BB22" s="55"/>
      <c r="BC22" s="56">
        <v>6</v>
      </c>
      <c r="BD22" s="56"/>
      <c r="BE22" s="55"/>
      <c r="BF22" s="56"/>
    </row>
    <row r="23" spans="1:58" ht="12.95" customHeight="1">
      <c r="A23" s="45"/>
      <c r="B23" s="46"/>
      <c r="C23" s="454"/>
      <c r="D23" s="46"/>
      <c r="E23" s="47"/>
      <c r="F23" s="47"/>
      <c r="G23" s="505"/>
      <c r="H23" s="49"/>
      <c r="I23" s="50"/>
      <c r="J23" s="87"/>
      <c r="K23" s="87"/>
      <c r="L23" s="40"/>
      <c r="M23" s="40"/>
      <c r="N23" s="51"/>
      <c r="O23" s="52"/>
      <c r="P23" s="53"/>
      <c r="Q23" s="52"/>
      <c r="R23" s="506"/>
      <c r="S23" s="506"/>
      <c r="T23" s="42"/>
      <c r="U23" s="42"/>
      <c r="V23" s="42"/>
      <c r="W23" s="42"/>
      <c r="X23" s="43"/>
      <c r="Y23" s="216"/>
      <c r="Z23" s="42"/>
      <c r="AA23" s="42"/>
      <c r="AB23" s="42"/>
      <c r="AC23" s="42"/>
      <c r="AD23" s="42">
        <f>+AM23+BA23</f>
        <v>20</v>
      </c>
      <c r="AE23" s="234" t="s">
        <v>226</v>
      </c>
      <c r="AF23" s="38"/>
      <c r="AG23" s="38"/>
      <c r="AH23" s="42">
        <v>20</v>
      </c>
      <c r="AI23" s="508"/>
      <c r="AJ23" s="42"/>
      <c r="AK23" s="42"/>
      <c r="AL23" s="42"/>
      <c r="AM23" s="42">
        <f>SUM(AF23:AL23)+AT23+AV23+AX23</f>
        <v>20</v>
      </c>
      <c r="AN23" s="42"/>
      <c r="AO23" s="42"/>
      <c r="AP23" s="42"/>
      <c r="AQ23" s="42"/>
      <c r="AR23" s="42">
        <f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38"/>
      <c r="BC23" s="509"/>
      <c r="BD23" s="509"/>
      <c r="BE23" s="38"/>
      <c r="BF23" s="509"/>
    </row>
    <row r="24" spans="1:58" ht="12.95" customHeight="1">
      <c r="A24" s="45"/>
      <c r="B24" s="46"/>
      <c r="C24" s="454"/>
      <c r="D24" s="46"/>
      <c r="E24" s="47"/>
      <c r="F24" s="47"/>
      <c r="G24" s="505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06"/>
      <c r="S24" s="506"/>
      <c r="T24" s="42"/>
      <c r="U24" s="42"/>
      <c r="V24" s="42"/>
      <c r="W24" s="42"/>
      <c r="X24" s="43"/>
      <c r="Y24" s="216"/>
      <c r="Z24" s="42"/>
      <c r="AA24" s="42"/>
      <c r="AB24" s="42"/>
      <c r="AC24" s="42"/>
      <c r="AD24" s="42">
        <f>+AM24+BA24</f>
        <v>286</v>
      </c>
      <c r="AE24" s="587" t="s">
        <v>482</v>
      </c>
      <c r="AF24" s="42"/>
      <c r="AG24" s="42"/>
      <c r="AH24" s="42"/>
      <c r="AJ24" s="42"/>
      <c r="AK24" s="42"/>
      <c r="AL24" s="42"/>
      <c r="AM24" s="42">
        <f>SUM(AF24:AL24)+AT24+AV24+AX24</f>
        <v>0</v>
      </c>
      <c r="AN24" s="42">
        <v>286</v>
      </c>
      <c r="AO24" s="42"/>
      <c r="AP24" s="42"/>
      <c r="AQ24" s="42"/>
      <c r="AR24" s="42">
        <f>SUM(AN24:AQ24)</f>
        <v>286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286</v>
      </c>
      <c r="BB24" s="38"/>
      <c r="BC24" s="509"/>
      <c r="BD24" s="509"/>
      <c r="BE24" s="38"/>
      <c r="BF24" s="509">
        <v>1</v>
      </c>
    </row>
    <row r="25" spans="1:58" ht="12.95" customHeight="1">
      <c r="A25" s="45"/>
      <c r="B25" s="46"/>
      <c r="C25" s="454"/>
      <c r="D25" s="46"/>
      <c r="E25" s="47"/>
      <c r="F25" s="47"/>
      <c r="G25" s="505"/>
      <c r="H25" s="49"/>
      <c r="I25" s="50"/>
      <c r="J25" s="87"/>
      <c r="K25" s="87"/>
      <c r="L25" s="40"/>
      <c r="M25" s="40"/>
      <c r="N25" s="51"/>
      <c r="O25" s="52"/>
      <c r="P25" s="53"/>
      <c r="Q25" s="52"/>
      <c r="R25" s="506"/>
      <c r="S25" s="506"/>
      <c r="T25" s="42"/>
      <c r="U25" s="42"/>
      <c r="V25" s="42"/>
      <c r="W25" s="42"/>
      <c r="X25" s="507"/>
      <c r="Y25" s="216"/>
      <c r="Z25" s="42"/>
      <c r="AA25" s="54"/>
      <c r="AB25" s="54"/>
      <c r="AC25" s="42"/>
      <c r="AD25" s="42"/>
      <c r="AE25" s="237"/>
      <c r="AF25" s="42"/>
      <c r="AG25" s="42"/>
      <c r="AH25" s="42"/>
      <c r="AI25" s="508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55"/>
      <c r="BC25" s="56"/>
      <c r="BD25" s="56"/>
      <c r="BE25" s="55"/>
      <c r="BF25" s="56"/>
    </row>
    <row r="26" spans="1:58" ht="12.75" customHeight="1">
      <c r="A26" s="45">
        <v>45935</v>
      </c>
      <c r="B26" s="46" t="s">
        <v>462</v>
      </c>
      <c r="C26" s="454">
        <f>(M26*E26*O26*Q26)/100000000</f>
        <v>38.031264</v>
      </c>
      <c r="D26" s="46" t="s">
        <v>451</v>
      </c>
      <c r="E26" s="47">
        <v>18</v>
      </c>
      <c r="F26" s="47">
        <v>1</v>
      </c>
      <c r="G26" s="505">
        <v>830</v>
      </c>
      <c r="H26" s="49">
        <v>0.15</v>
      </c>
      <c r="I26" s="50">
        <v>0.88</v>
      </c>
      <c r="J26" s="87">
        <f>E26*G26*(1-H26)*1440/1000000*3.4</f>
        <v>62.174304000000006</v>
      </c>
      <c r="K26" s="87">
        <f>(IF(G26&lt;L26,L26,G26)*(1-IF(H26&lt;N26,H26,N26))*E26*O26*Q26)/100000000</f>
        <v>38.031264</v>
      </c>
      <c r="L26" s="40">
        <v>830</v>
      </c>
      <c r="M26" s="40">
        <f>+L26-L26*0.14</f>
        <v>713.8</v>
      </c>
      <c r="N26" s="51">
        <f>1-(M26/L26)</f>
        <v>0.14000000000000001</v>
      </c>
      <c r="O26" s="52">
        <f>+'Trim Rwd'!H13</f>
        <v>320</v>
      </c>
      <c r="P26" s="53">
        <f>O26*(Q26-R26-S26)</f>
        <v>222400</v>
      </c>
      <c r="Q26" s="52">
        <v>925</v>
      </c>
      <c r="R26" s="506">
        <v>200</v>
      </c>
      <c r="S26" s="506">
        <v>30</v>
      </c>
      <c r="T26" s="42">
        <f>E26*M26*O26*Q26/100000000</f>
        <v>38.031264</v>
      </c>
      <c r="U26" s="42">
        <f>E26*M26*O26*(Q26-R26-S26)/100000000</f>
        <v>28.574841599999999</v>
      </c>
      <c r="V26" s="42">
        <f>E26*G26*(1-N26)*O26/100*(R26+S26)/1000000</f>
        <v>9.4564223999999992</v>
      </c>
      <c r="W26" s="42">
        <f>+'5'!K8/1000</f>
        <v>22.361000000000001</v>
      </c>
      <c r="X26" s="507">
        <f>SUM(W26:W29)/SUM(K26:K29)</f>
        <v>0.7189052644259194</v>
      </c>
      <c r="Y26" s="216">
        <v>0</v>
      </c>
      <c r="Z26" s="42">
        <f>+'5'!D34/1000</f>
        <v>3.238</v>
      </c>
      <c r="AA26" s="54">
        <f>SUM(U26:U29)-SUM(W26:W29)-SUM(Z26:Z29)-SUM(Y26:Y29)</f>
        <v>4.1092415999999972</v>
      </c>
      <c r="AB26" s="54">
        <f>(SUM(K26:K29)-SUM(W26:W29)-SUM(Y26:Y29)-SUM(Z26:Z29)-SUM(AC26:AC29)-SUM(V26:V29))-AA26</f>
        <v>0</v>
      </c>
      <c r="AC26" s="42">
        <f>K26-T26</f>
        <v>0</v>
      </c>
      <c r="AD26" s="42">
        <f>+AM26+BA26</f>
        <v>2</v>
      </c>
      <c r="AE26" s="234" t="s">
        <v>391</v>
      </c>
      <c r="AF26" s="42">
        <v>2</v>
      </c>
      <c r="AG26" s="42"/>
      <c r="AH26" s="42"/>
      <c r="AI26" s="508"/>
      <c r="AJ26" s="42"/>
      <c r="AK26" s="42"/>
      <c r="AL26" s="42"/>
      <c r="AM26" s="42">
        <f>SUM(AF26:AL26)+AT26+AV26+AX26</f>
        <v>2</v>
      </c>
      <c r="AN26" s="42"/>
      <c r="AO26" s="42"/>
      <c r="AP26" s="42"/>
      <c r="AQ26" s="42"/>
      <c r="AR26" s="42">
        <f>SUM(AN26:AQ26)</f>
        <v>0</v>
      </c>
      <c r="AS26" s="42"/>
      <c r="AT26" s="42"/>
      <c r="AU26" s="42"/>
      <c r="AV26" s="42"/>
      <c r="AW26" s="42"/>
      <c r="AX26" s="42"/>
      <c r="AY26" s="42"/>
      <c r="AZ26" s="42"/>
      <c r="BA26" s="42">
        <f>+AR26+AS26+AU26+AW26+AY26+AZ26</f>
        <v>0</v>
      </c>
      <c r="BB26" s="38">
        <v>5</v>
      </c>
      <c r="BC26" s="56"/>
      <c r="BD26" s="56"/>
      <c r="BE26" s="38"/>
      <c r="BF26" s="56"/>
    </row>
    <row r="27" spans="1:58" ht="12.95" customHeight="1">
      <c r="A27" s="45"/>
      <c r="B27" s="46" t="s">
        <v>462</v>
      </c>
      <c r="C27" s="454">
        <f>(M27*E27*O27*Q27)/100000000</f>
        <v>24.262062</v>
      </c>
      <c r="D27" s="46" t="s">
        <v>451</v>
      </c>
      <c r="E27" s="47">
        <v>20</v>
      </c>
      <c r="F27" s="47">
        <v>1</v>
      </c>
      <c r="G27" s="505">
        <v>830</v>
      </c>
      <c r="H27" s="49">
        <v>0.15</v>
      </c>
      <c r="I27" s="50">
        <v>0.88</v>
      </c>
      <c r="J27" s="87">
        <f>E27*G27*(1-H27)*1440/1000000*3.4</f>
        <v>69.082560000000001</v>
      </c>
      <c r="K27" s="87">
        <f>(IF(G27&lt;L27,L27,G27)*(1-IF(H27&lt;N27,H27,N27))*E27*O27*Q27)/100000000</f>
        <v>24.262062</v>
      </c>
      <c r="L27" s="40">
        <v>830</v>
      </c>
      <c r="M27" s="40">
        <f>+L27-L27*0.14</f>
        <v>713.8</v>
      </c>
      <c r="N27" s="51">
        <f>1-(M27/L27)</f>
        <v>0.14000000000000001</v>
      </c>
      <c r="O27" s="52">
        <f>+'Trim Rwd'!H14</f>
        <v>330</v>
      </c>
      <c r="P27" s="53">
        <f>O27*(Q27-R27-S27)</f>
        <v>165000</v>
      </c>
      <c r="Q27" s="52">
        <v>515</v>
      </c>
      <c r="R27" s="506">
        <v>0</v>
      </c>
      <c r="S27" s="506">
        <v>15</v>
      </c>
      <c r="T27" s="42">
        <f>E27*M27*O27*Q27/100000000</f>
        <v>24.262062</v>
      </c>
      <c r="U27" s="42">
        <f>E27*M27*O27*(Q27-R27-S27)/100000000</f>
        <v>23.555399999999999</v>
      </c>
      <c r="V27" s="42">
        <f>E27*G27*(1-N27)*O27/100*(R27+S27)/1000000</f>
        <v>0.70666200000000001</v>
      </c>
      <c r="W27" s="42">
        <f>+'5'!K9/1000</f>
        <v>17.285</v>
      </c>
      <c r="X27" s="43"/>
      <c r="Y27" s="216"/>
      <c r="Z27" s="42"/>
      <c r="AA27" s="42"/>
      <c r="AB27" s="42"/>
      <c r="AC27" s="42">
        <f>K27-T27</f>
        <v>0</v>
      </c>
      <c r="AD27" s="42">
        <f>+AM27+BA27</f>
        <v>19</v>
      </c>
      <c r="AE27" s="234" t="s">
        <v>480</v>
      </c>
      <c r="AF27" s="42"/>
      <c r="AG27" s="42">
        <v>19</v>
      </c>
      <c r="AH27" s="42"/>
      <c r="AI27" s="508"/>
      <c r="AJ27" s="42"/>
      <c r="AK27" s="42"/>
      <c r="AL27" s="42"/>
      <c r="AM27" s="42">
        <f>SUM(AF27:AL27)+AT27+AV27+AX27</f>
        <v>19</v>
      </c>
      <c r="AN27" s="88"/>
      <c r="AO27" s="42"/>
      <c r="AP27" s="42"/>
      <c r="AQ27" s="42"/>
      <c r="AR27" s="42">
        <f>SUM(AN27:AQ27)</f>
        <v>0</v>
      </c>
      <c r="AS27" s="42"/>
      <c r="AT27" s="42"/>
      <c r="AU27" s="42"/>
      <c r="AV27" s="42"/>
      <c r="AW27" s="42"/>
      <c r="AX27" s="42"/>
      <c r="AY27" s="42"/>
      <c r="AZ27" s="42"/>
      <c r="BA27" s="42">
        <f>+AR27+AS27+AU27+AW27+AY27+AZ27</f>
        <v>0</v>
      </c>
      <c r="BB27" s="55"/>
      <c r="BC27" s="56">
        <v>6</v>
      </c>
      <c r="BD27" s="56"/>
      <c r="BE27" s="55"/>
      <c r="BF27" s="56"/>
    </row>
    <row r="28" spans="1:58" ht="12.95" customHeight="1">
      <c r="A28" s="45"/>
      <c r="B28" s="46"/>
      <c r="C28" s="454"/>
      <c r="D28" s="46"/>
      <c r="E28" s="47"/>
      <c r="F28" s="47"/>
      <c r="G28" s="505"/>
      <c r="H28" s="49"/>
      <c r="I28" s="50"/>
      <c r="J28" s="87"/>
      <c r="K28" s="87"/>
      <c r="L28" s="40"/>
      <c r="M28" s="40"/>
      <c r="N28" s="51"/>
      <c r="O28" s="52"/>
      <c r="P28" s="53"/>
      <c r="Q28" s="52"/>
      <c r="R28" s="506"/>
      <c r="S28" s="506"/>
      <c r="T28" s="42"/>
      <c r="U28" s="42"/>
      <c r="V28" s="42"/>
      <c r="W28" s="42">
        <f>+'5'!K7/1000</f>
        <v>5.1369999999999996</v>
      </c>
      <c r="X28" s="43"/>
      <c r="Y28" s="216"/>
      <c r="Z28" s="42"/>
      <c r="AA28" s="42"/>
      <c r="AB28" s="42"/>
      <c r="AC28" s="42"/>
      <c r="AD28" s="42">
        <f>+AM28+BA28</f>
        <v>19</v>
      </c>
      <c r="AE28" s="234" t="s">
        <v>226</v>
      </c>
      <c r="AF28" s="38"/>
      <c r="AG28" s="38"/>
      <c r="AH28" s="42">
        <v>19</v>
      </c>
      <c r="AI28" s="508"/>
      <c r="AJ28" s="42"/>
      <c r="AK28" s="42"/>
      <c r="AL28" s="42"/>
      <c r="AM28" s="42">
        <f>SUM(AF28:AL28)+AT28+AV28+AX28</f>
        <v>19</v>
      </c>
      <c r="AN28" s="42"/>
      <c r="AO28" s="42"/>
      <c r="AP28" s="42"/>
      <c r="AQ28" s="42"/>
      <c r="AR28" s="42">
        <f>SUM(AN28:AQ28)</f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/>
      <c r="BC28" s="509"/>
      <c r="BD28" s="509"/>
      <c r="BE28" s="38"/>
      <c r="BF28" s="509"/>
    </row>
    <row r="29" spans="1:58" ht="12.95" customHeight="1">
      <c r="A29" s="45"/>
      <c r="B29" s="46"/>
      <c r="C29" s="454"/>
      <c r="D29" s="46"/>
      <c r="E29" s="47"/>
      <c r="F29" s="47"/>
      <c r="G29" s="48"/>
      <c r="H29" s="49"/>
      <c r="I29" s="50"/>
      <c r="J29" s="87"/>
      <c r="K29" s="87"/>
      <c r="L29" s="40"/>
      <c r="M29" s="40"/>
      <c r="N29" s="51"/>
      <c r="O29" s="52"/>
      <c r="P29" s="53"/>
      <c r="Q29" s="39"/>
      <c r="R29" s="506"/>
      <c r="S29" s="506"/>
      <c r="T29" s="42"/>
      <c r="U29" s="42"/>
      <c r="V29" s="42"/>
      <c r="W29" s="42"/>
      <c r="X29" s="43"/>
      <c r="Y29" s="216"/>
      <c r="Z29" s="42"/>
      <c r="AA29" s="42"/>
      <c r="AB29" s="42"/>
      <c r="AC29" s="42"/>
      <c r="AD29" s="42">
        <f>+AM29+BA29</f>
        <v>5</v>
      </c>
      <c r="AE29" s="587" t="s">
        <v>463</v>
      </c>
      <c r="AF29" s="42"/>
      <c r="AG29" s="42"/>
      <c r="AH29" s="42"/>
      <c r="AI29" s="508">
        <v>5</v>
      </c>
      <c r="AJ29" s="42"/>
      <c r="AK29" s="42"/>
      <c r="AL29" s="42"/>
      <c r="AM29" s="42">
        <f>SUM(AF29:AL29)+AT29+AV29+AX29</f>
        <v>5</v>
      </c>
      <c r="AN29" s="42"/>
      <c r="AO29" s="42"/>
      <c r="AP29" s="42"/>
      <c r="AQ29" s="42"/>
      <c r="AR29" s="42">
        <f>SUM(AN29:AQ29)</f>
        <v>0</v>
      </c>
      <c r="AS29" s="42"/>
      <c r="AT29" s="42"/>
      <c r="AU29" s="42"/>
      <c r="AV29" s="42"/>
      <c r="AW29" s="42"/>
      <c r="AX29" s="42"/>
      <c r="AY29" s="42"/>
      <c r="AZ29" s="42"/>
      <c r="BA29" s="42">
        <f>+AR29+AS29+AU29+AW29+AY29+AZ29</f>
        <v>0</v>
      </c>
      <c r="BB29" s="38"/>
      <c r="BC29" s="509"/>
      <c r="BD29" s="509"/>
      <c r="BE29" s="38"/>
      <c r="BF29" s="509"/>
    </row>
    <row r="30" spans="1:58" ht="12.95" customHeight="1">
      <c r="A30" s="45"/>
      <c r="B30" s="46"/>
      <c r="C30" s="454"/>
      <c r="D30" s="46"/>
      <c r="E30" s="47"/>
      <c r="F30" s="47"/>
      <c r="G30" s="505"/>
      <c r="H30" s="49"/>
      <c r="I30" s="50"/>
      <c r="J30" s="87"/>
      <c r="K30" s="87"/>
      <c r="L30" s="40"/>
      <c r="M30" s="40"/>
      <c r="N30" s="51"/>
      <c r="O30" s="52"/>
      <c r="P30" s="53"/>
      <c r="Q30" s="52"/>
      <c r="R30" s="506"/>
      <c r="S30" s="506"/>
      <c r="T30" s="42"/>
      <c r="U30" s="42"/>
      <c r="V30" s="42"/>
      <c r="W30" s="42"/>
      <c r="X30" s="507"/>
      <c r="Y30" s="216"/>
      <c r="Z30" s="42"/>
      <c r="AA30" s="54"/>
      <c r="AB30" s="54"/>
      <c r="AC30" s="42"/>
      <c r="AD30" s="42">
        <f>+AM30+BA30</f>
        <v>200</v>
      </c>
      <c r="AE30" s="237" t="s">
        <v>477</v>
      </c>
      <c r="AF30" s="42"/>
      <c r="AG30" s="42"/>
      <c r="AH30" s="42"/>
      <c r="AI30" s="508"/>
      <c r="AJ30" s="42"/>
      <c r="AK30" s="42"/>
      <c r="AL30" s="42"/>
      <c r="AM30" s="42">
        <f>SUM(AF30:AL30)+AT30+AV30+AX30</f>
        <v>0</v>
      </c>
      <c r="AN30" s="42">
        <v>200</v>
      </c>
      <c r="AO30" s="42"/>
      <c r="AP30" s="42"/>
      <c r="AQ30" s="42"/>
      <c r="AR30" s="42">
        <f>SUM(AN30:AQ30)</f>
        <v>200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200</v>
      </c>
      <c r="BB30" s="38"/>
      <c r="BC30" s="509"/>
      <c r="BD30" s="509"/>
      <c r="BE30" s="38"/>
      <c r="BF30" s="509">
        <v>1</v>
      </c>
    </row>
    <row r="31" spans="1:58" ht="12.95" customHeight="1">
      <c r="A31" s="45"/>
      <c r="B31" s="46"/>
      <c r="C31" s="454"/>
      <c r="D31" s="46"/>
      <c r="E31" s="47"/>
      <c r="F31" s="47"/>
      <c r="G31" s="505"/>
      <c r="H31" s="49"/>
      <c r="I31" s="50"/>
      <c r="J31" s="87"/>
      <c r="K31" s="87"/>
      <c r="L31" s="40"/>
      <c r="M31" s="40"/>
      <c r="N31" s="51"/>
      <c r="O31" s="52"/>
      <c r="P31" s="53"/>
      <c r="Q31" s="52"/>
      <c r="R31" s="506"/>
      <c r="S31" s="506"/>
      <c r="T31" s="42"/>
      <c r="U31" s="42"/>
      <c r="V31" s="42"/>
      <c r="W31" s="42"/>
      <c r="X31" s="43"/>
      <c r="Y31" s="216"/>
      <c r="Z31" s="42"/>
      <c r="AA31" s="42"/>
      <c r="AB31" s="42"/>
      <c r="AC31" s="42"/>
      <c r="AD31" s="42"/>
      <c r="AE31" s="584"/>
      <c r="AF31" s="42"/>
      <c r="AG31" s="42"/>
      <c r="AH31" s="42"/>
      <c r="AI31" s="508"/>
      <c r="AJ31" s="42"/>
      <c r="AK31" s="42"/>
      <c r="AL31" s="42"/>
      <c r="AM31" s="42"/>
      <c r="AN31" s="88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55"/>
      <c r="BC31" s="56"/>
      <c r="BD31" s="56"/>
      <c r="BE31" s="55"/>
      <c r="BF31" s="56"/>
    </row>
    <row r="32" spans="1:58" ht="12.75" customHeight="1">
      <c r="A32" s="45">
        <v>45936</v>
      </c>
      <c r="B32" s="46" t="s">
        <v>462</v>
      </c>
      <c r="C32" s="454">
        <f>(M32*E32*O32*Q32)/100000000</f>
        <v>52.122189043749998</v>
      </c>
      <c r="D32" s="46" t="s">
        <v>451</v>
      </c>
      <c r="E32" s="47">
        <v>20</v>
      </c>
      <c r="F32" s="47">
        <v>1</v>
      </c>
      <c r="G32" s="505">
        <v>830</v>
      </c>
      <c r="H32" s="49">
        <v>0.15</v>
      </c>
      <c r="I32" s="50">
        <v>0.88</v>
      </c>
      <c r="J32" s="87">
        <f>E32*G32*(1-H32)*1440/1000000*3.4</f>
        <v>69.082560000000001</v>
      </c>
      <c r="K32" s="87">
        <f>(IF(G32&lt;L32,L32,G32)*(1-IF(H32&lt;N32,H32,N32))*E32*O32*Q32)/100000000</f>
        <v>52.122189043749998</v>
      </c>
      <c r="L32" s="40">
        <v>830</v>
      </c>
      <c r="M32" s="40">
        <f>+L32-L32*0.14</f>
        <v>713.8</v>
      </c>
      <c r="N32" s="51">
        <f>1-(M32/L32)</f>
        <v>0.14000000000000001</v>
      </c>
      <c r="O32" s="52">
        <f>+'Trim Rwd'!H17</f>
        <v>329.21875</v>
      </c>
      <c r="P32" s="53">
        <f>O32*(Q32-R32-S32)</f>
        <v>362799.0625</v>
      </c>
      <c r="Q32" s="52">
        <v>1109</v>
      </c>
      <c r="R32" s="506">
        <v>0</v>
      </c>
      <c r="S32" s="506">
        <v>7</v>
      </c>
      <c r="T32" s="42">
        <f>E32*M32*O32*Q32/100000000</f>
        <v>52.122189043749998</v>
      </c>
      <c r="U32" s="42">
        <f>E32*M32*O32*(Q32-R32-S32)/100000000</f>
        <v>51.793194162500001</v>
      </c>
      <c r="V32" s="42">
        <f>E32*G32*(1-N32)*O32/100*(R32+S32)/1000000</f>
        <v>0.32899488125000004</v>
      </c>
      <c r="W32" s="42">
        <f>+'6'!K9/1000</f>
        <v>54.194000000000003</v>
      </c>
      <c r="X32" s="507">
        <f>SUM(W32:W35)/SUM(K32:K35)</f>
        <v>0.92244267783725575</v>
      </c>
      <c r="Y32" s="216">
        <v>0</v>
      </c>
      <c r="Z32" s="42">
        <v>0</v>
      </c>
      <c r="AA32" s="54">
        <f>SUM(U32:U35)-SUM(W32:W35)-SUM(Z32:Z35)-SUM(Y32:Y35)</f>
        <v>3.6889570992999978</v>
      </c>
      <c r="AB32" s="54">
        <f>(SUM(K32:K35)-SUM(W32:W35)-SUM(Y32:Y35)-SUM(Z32:Z35)-SUM(AC32:AC35)-SUM(V32:V35))-AA32</f>
        <v>-6.2172489379008766E-15</v>
      </c>
      <c r="AC32" s="42">
        <f>K32-T32</f>
        <v>0</v>
      </c>
      <c r="AD32" s="42">
        <f>+AM32+BA32</f>
        <v>0</v>
      </c>
      <c r="AE32" s="234" t="s">
        <v>394</v>
      </c>
      <c r="AF32" s="42">
        <v>0</v>
      </c>
      <c r="AG32" s="42"/>
      <c r="AH32" s="42"/>
      <c r="AI32" s="508"/>
      <c r="AJ32" s="42"/>
      <c r="AK32" s="42"/>
      <c r="AL32" s="42"/>
      <c r="AM32" s="42">
        <f>SUM(AF32:AL32)+AT32+AV32+AX32</f>
        <v>0</v>
      </c>
      <c r="AN32" s="42"/>
      <c r="AO32" s="42"/>
      <c r="AP32" s="42"/>
      <c r="AQ32" s="42"/>
      <c r="AR32" s="42">
        <f>SUM(AN32:AQ32)</f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>
        <v>0</v>
      </c>
      <c r="BC32" s="56"/>
      <c r="BD32" s="56"/>
      <c r="BE32" s="38"/>
      <c r="BF32" s="56"/>
    </row>
    <row r="33" spans="1:58" ht="12.95" customHeight="1">
      <c r="A33" s="45"/>
      <c r="B33" s="46" t="s">
        <v>462</v>
      </c>
      <c r="C33" s="454">
        <f>(M33*E33*O33*Q33)/100000000</f>
        <v>5.2479718079999991</v>
      </c>
      <c r="D33" s="46" t="s">
        <v>451</v>
      </c>
      <c r="E33" s="47">
        <v>17</v>
      </c>
      <c r="F33" s="47">
        <v>1</v>
      </c>
      <c r="G33" s="505">
        <v>830</v>
      </c>
      <c r="H33" s="49">
        <v>0.15</v>
      </c>
      <c r="I33" s="50">
        <v>0.88</v>
      </c>
      <c r="J33" s="87">
        <f>E33*G33*(1-H33)*1440/1000000*3.4</f>
        <v>58.720176000000002</v>
      </c>
      <c r="K33" s="87">
        <f>(IF(G33&lt;L33,L33,G33)*(1-IF(H33&lt;N33,H33,N33))*E33*O33*Q33)/100000000</f>
        <v>5.2479718079999991</v>
      </c>
      <c r="L33" s="40">
        <v>830</v>
      </c>
      <c r="M33" s="40">
        <f>+L33-L33*0.14</f>
        <v>713.8</v>
      </c>
      <c r="N33" s="51">
        <f>1-(M33/L33)</f>
        <v>0.14000000000000001</v>
      </c>
      <c r="O33" s="52">
        <f>+'Trim Rwd'!H19</f>
        <v>318</v>
      </c>
      <c r="P33" s="53">
        <f>O33*(Q33-R33-S33)</f>
        <v>39750</v>
      </c>
      <c r="Q33" s="52">
        <v>136</v>
      </c>
      <c r="R33" s="506">
        <v>0</v>
      </c>
      <c r="S33" s="506">
        <v>11</v>
      </c>
      <c r="T33" s="42">
        <f>E33*M33*O33*Q33/100000000</f>
        <v>5.2479718079999991</v>
      </c>
      <c r="U33" s="42">
        <f>E33*M33*O33*(Q33-R33-S33)/100000000</f>
        <v>4.8235034999999993</v>
      </c>
      <c r="V33" s="42">
        <f>E33*G33*(1-N33)*O33/100*(R33+S33)/1000000</f>
        <v>0.42446830800000007</v>
      </c>
      <c r="W33" s="42">
        <f>+'6'!K10/1000</f>
        <v>5.2530000000000001</v>
      </c>
      <c r="X33" s="43"/>
      <c r="Y33" s="216"/>
      <c r="Z33" s="42"/>
      <c r="AA33" s="42"/>
      <c r="AB33" s="42"/>
      <c r="AC33" s="42">
        <f>K33-T33</f>
        <v>0</v>
      </c>
      <c r="AD33" s="42">
        <f>+AM33+BA33</f>
        <v>7</v>
      </c>
      <c r="AE33" s="234" t="s">
        <v>449</v>
      </c>
      <c r="AF33" s="42"/>
      <c r="AG33" s="42">
        <v>7</v>
      </c>
      <c r="AH33" s="42"/>
      <c r="AI33" s="508"/>
      <c r="AJ33" s="42"/>
      <c r="AK33" s="42"/>
      <c r="AL33" s="42"/>
      <c r="AM33" s="42">
        <f>SUM(AF33:AL33)+AT33+AV33+AX33</f>
        <v>7</v>
      </c>
      <c r="AN33" s="88"/>
      <c r="AO33" s="42"/>
      <c r="AP33" s="42"/>
      <c r="AQ33" s="42"/>
      <c r="AR33" s="42">
        <f>SUM(AN33:AQ33)</f>
        <v>0</v>
      </c>
      <c r="AS33" s="42"/>
      <c r="AT33" s="42"/>
      <c r="AU33" s="42"/>
      <c r="AV33" s="42"/>
      <c r="AW33" s="42"/>
      <c r="AX33" s="42"/>
      <c r="AY33" s="42"/>
      <c r="AZ33" s="42"/>
      <c r="BA33" s="42">
        <f>+AR33+AS33+AU33+AW33+AY33+AZ33</f>
        <v>0</v>
      </c>
      <c r="BB33" s="55"/>
      <c r="BC33" s="56">
        <v>2</v>
      </c>
      <c r="BD33" s="56"/>
      <c r="BE33" s="55"/>
      <c r="BF33" s="56"/>
    </row>
    <row r="34" spans="1:58" ht="12.95" customHeight="1">
      <c r="A34" s="45"/>
      <c r="B34" s="46" t="s">
        <v>462</v>
      </c>
      <c r="C34" s="454">
        <f>(M34*E34*O34*Q34)/100000000</f>
        <v>2.38466304</v>
      </c>
      <c r="D34" s="46" t="s">
        <v>451</v>
      </c>
      <c r="E34" s="47">
        <v>18</v>
      </c>
      <c r="F34" s="47">
        <v>1</v>
      </c>
      <c r="G34" s="505">
        <v>830</v>
      </c>
      <c r="H34" s="49">
        <v>0.15</v>
      </c>
      <c r="I34" s="50">
        <v>0.88</v>
      </c>
      <c r="J34" s="87">
        <f>E34*G34*(1-H34)*1440/1000000*3.4</f>
        <v>62.174304000000006</v>
      </c>
      <c r="K34" s="87">
        <f>(IF(G34&lt;L34,L34,G34)*(1-IF(H34&lt;N34,H34,N34))*E34*O34*Q34)/100000000</f>
        <v>2.38466304</v>
      </c>
      <c r="L34" s="40">
        <v>830</v>
      </c>
      <c r="M34" s="40">
        <f>+L34-L34*0.14</f>
        <v>713.8</v>
      </c>
      <c r="N34" s="51">
        <f>1-(M34/L34)</f>
        <v>0.14000000000000001</v>
      </c>
      <c r="O34" s="52">
        <f>+'Trim Rwd'!H20</f>
        <v>320</v>
      </c>
      <c r="P34" s="53">
        <f>O34*(Q34-R34-S34)</f>
        <v>18560</v>
      </c>
      <c r="Q34" s="52">
        <v>58</v>
      </c>
      <c r="R34" s="506">
        <v>0</v>
      </c>
      <c r="S34" s="506">
        <v>0</v>
      </c>
      <c r="T34" s="42">
        <f>E34*M34*O34*Q34/100000000</f>
        <v>2.38466304</v>
      </c>
      <c r="U34" s="42">
        <f>E34*M34*O34*(Q34-R34-S34)/100000000</f>
        <v>2.38466304</v>
      </c>
      <c r="V34" s="42">
        <f>E34*G34*(1-N34)*O34/100*(R34+S34)/1000000</f>
        <v>0</v>
      </c>
      <c r="W34" s="42">
        <f>+'6'!K8/1000</f>
        <v>1.22</v>
      </c>
      <c r="X34" s="43"/>
      <c r="Y34" s="216"/>
      <c r="Z34" s="42"/>
      <c r="AA34" s="42"/>
      <c r="AB34" s="42"/>
      <c r="AC34" s="42">
        <f>K34-T34</f>
        <v>0</v>
      </c>
      <c r="AD34" s="42">
        <f>+AM34+BA34</f>
        <v>11</v>
      </c>
      <c r="AE34" s="234" t="s">
        <v>226</v>
      </c>
      <c r="AF34" s="38"/>
      <c r="AG34" s="38"/>
      <c r="AH34" s="42">
        <v>11</v>
      </c>
      <c r="AI34" s="508"/>
      <c r="AJ34" s="42"/>
      <c r="AK34" s="42"/>
      <c r="AL34" s="42"/>
      <c r="AM34" s="42">
        <f>SUM(AF34:AL34)+AT34+AV34+AX34</f>
        <v>11</v>
      </c>
      <c r="AN34" s="42"/>
      <c r="AO34" s="42"/>
      <c r="AP34" s="42"/>
      <c r="AQ34" s="42"/>
      <c r="AR34" s="42">
        <f>SUM(AN34:AQ34)</f>
        <v>0</v>
      </c>
      <c r="AS34" s="42"/>
      <c r="AT34" s="42"/>
      <c r="AU34" s="42"/>
      <c r="AV34" s="42"/>
      <c r="AW34" s="42"/>
      <c r="AX34" s="42"/>
      <c r="AY34" s="42"/>
      <c r="AZ34" s="42"/>
      <c r="BA34" s="42">
        <f>+AR34+AS34+AU34+AW34+AY34+AZ34</f>
        <v>0</v>
      </c>
      <c r="BB34" s="38"/>
      <c r="BC34" s="509"/>
      <c r="BD34" s="509"/>
      <c r="BE34" s="38"/>
      <c r="BF34" s="509"/>
    </row>
    <row r="35" spans="1:58" ht="12.95" customHeight="1">
      <c r="A35" s="45"/>
      <c r="B35" s="46" t="s">
        <v>462</v>
      </c>
      <c r="C35" s="454">
        <f>(M35*E35*O35*Q35)/100000000</f>
        <v>6.0129484128000001</v>
      </c>
      <c r="D35" s="46" t="s">
        <v>451</v>
      </c>
      <c r="E35" s="47">
        <v>18.3</v>
      </c>
      <c r="F35" s="47">
        <v>1</v>
      </c>
      <c r="G35" s="505">
        <v>830</v>
      </c>
      <c r="H35" s="49">
        <v>0.15</v>
      </c>
      <c r="I35" s="50">
        <v>0.88</v>
      </c>
      <c r="J35" s="87">
        <f>E35*G35*(1-H35)*1440/1000000*3.4</f>
        <v>63.210542399999994</v>
      </c>
      <c r="K35" s="87">
        <f>(IF(G35&lt;L35,L35,G35)*(1-IF(H35&lt;N35,H35,N35))*E35*O35*Q35)/100000000</f>
        <v>6.0129484128000001</v>
      </c>
      <c r="L35" s="40">
        <v>830</v>
      </c>
      <c r="M35" s="40">
        <f>+L35-L35*0.14</f>
        <v>713.8</v>
      </c>
      <c r="N35" s="51">
        <f>1-(M35/L35)</f>
        <v>0.14000000000000001</v>
      </c>
      <c r="O35" s="52">
        <f>+'Trim Rwd'!H21</f>
        <v>336</v>
      </c>
      <c r="P35" s="53">
        <f>O35*(Q35-R35-S35)</f>
        <v>40992</v>
      </c>
      <c r="Q35" s="52">
        <v>137</v>
      </c>
      <c r="R35" s="506">
        <v>0</v>
      </c>
      <c r="S35" s="506">
        <v>15</v>
      </c>
      <c r="T35" s="42">
        <f>E35*M35*O35*Q35/100000000</f>
        <v>6.0129484128000001</v>
      </c>
      <c r="U35" s="42">
        <f>E35*M35*O35*(Q35-R35-S35)/100000000</f>
        <v>5.3545963967999999</v>
      </c>
      <c r="V35" s="42">
        <f>E35*G35*(1-N35)*O35/100*(R35+S35)/1000000</f>
        <v>0.65835201599999993</v>
      </c>
      <c r="W35" s="42">
        <f>+'6'!K11/1000</f>
        <v>0</v>
      </c>
      <c r="X35" s="43"/>
      <c r="Y35" s="216"/>
      <c r="Z35" s="42"/>
      <c r="AA35" s="42"/>
      <c r="AB35" s="42"/>
      <c r="AC35" s="42">
        <f>K35-T35</f>
        <v>0</v>
      </c>
      <c r="AD35" s="42">
        <f>+AM35+BA35</f>
        <v>15</v>
      </c>
      <c r="AE35" s="587" t="s">
        <v>463</v>
      </c>
      <c r="AF35" s="42"/>
      <c r="AG35" s="42"/>
      <c r="AH35" s="42"/>
      <c r="AI35" s="508">
        <v>15</v>
      </c>
      <c r="AJ35" s="42"/>
      <c r="AK35" s="42"/>
      <c r="AL35" s="42"/>
      <c r="AM35" s="42">
        <f>SUM(AF35:AL35)+AT35+AV35+AX35</f>
        <v>15</v>
      </c>
      <c r="AN35" s="42"/>
      <c r="AO35" s="42"/>
      <c r="AP35" s="42"/>
      <c r="AQ35" s="42"/>
      <c r="AR35" s="42">
        <f>SUM(AN35:AQ35)</f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>+AR35+AS35+AU35+AW35+AY35+AZ35</f>
        <v>0</v>
      </c>
      <c r="BB35" s="38"/>
      <c r="BC35" s="509"/>
      <c r="BD35" s="509"/>
      <c r="BE35" s="38"/>
      <c r="BF35" s="509"/>
    </row>
    <row r="36" spans="1:58" ht="12.95" customHeight="1">
      <c r="A36" s="45"/>
      <c r="B36" s="46"/>
      <c r="C36" s="454"/>
      <c r="D36" s="46"/>
      <c r="E36" s="47"/>
      <c r="F36" s="47"/>
      <c r="G36" s="505"/>
      <c r="H36" s="49"/>
      <c r="I36" s="50"/>
      <c r="J36" s="87"/>
      <c r="K36" s="87"/>
      <c r="L36" s="40"/>
      <c r="M36" s="40"/>
      <c r="N36" s="51"/>
      <c r="O36" s="52"/>
      <c r="P36" s="53"/>
      <c r="Q36" s="52"/>
      <c r="R36" s="506"/>
      <c r="S36" s="506"/>
      <c r="T36" s="42"/>
      <c r="U36" s="42"/>
      <c r="V36" s="42"/>
      <c r="W36" s="42"/>
      <c r="X36" s="507"/>
      <c r="Y36" s="216"/>
      <c r="Z36" s="42"/>
      <c r="AA36" s="54"/>
      <c r="AB36" s="54"/>
      <c r="AC36" s="42"/>
      <c r="AD36" s="42"/>
      <c r="AE36" s="237"/>
      <c r="AF36" s="42"/>
      <c r="AG36" s="42"/>
      <c r="AH36" s="42"/>
      <c r="AI36" s="508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8"/>
      <c r="BC36" s="509"/>
      <c r="BD36" s="509"/>
      <c r="BE36" s="38"/>
      <c r="BF36" s="509"/>
    </row>
    <row r="37" spans="1:58" ht="12.75" customHeight="1">
      <c r="A37" s="45">
        <v>45937</v>
      </c>
      <c r="B37" s="46" t="s">
        <v>462</v>
      </c>
      <c r="C37" s="454">
        <f>(M37*E37*O37*Q37)/100000000</f>
        <v>5.705717471999999</v>
      </c>
      <c r="D37" s="46" t="s">
        <v>451</v>
      </c>
      <c r="E37" s="47">
        <v>18.3</v>
      </c>
      <c r="F37" s="47">
        <v>1</v>
      </c>
      <c r="G37" s="505">
        <v>830</v>
      </c>
      <c r="H37" s="49">
        <v>0.15</v>
      </c>
      <c r="I37" s="50">
        <v>0.88</v>
      </c>
      <c r="J37" s="87">
        <f>E37*G37*(1-H37)*1440/1000000*3.4</f>
        <v>63.210542399999994</v>
      </c>
      <c r="K37" s="87">
        <f>(IF(G37&lt;L37,L37,G37)*(1-IF(H37&lt;N37,H37,N37))*E37*O37*Q37)/100000000</f>
        <v>5.705717471999999</v>
      </c>
      <c r="L37" s="40">
        <v>830</v>
      </c>
      <c r="M37" s="40">
        <f>+L37-L37*0.14</f>
        <v>713.8</v>
      </c>
      <c r="N37" s="51">
        <f>1-(M37/L37)</f>
        <v>0.14000000000000001</v>
      </c>
      <c r="O37" s="52">
        <f>+'Trim Rwd'!H23</f>
        <v>336</v>
      </c>
      <c r="P37" s="53">
        <f>O37*(Q37-R37-S37)</f>
        <v>42000</v>
      </c>
      <c r="Q37" s="52">
        <v>130</v>
      </c>
      <c r="R37" s="506">
        <v>0</v>
      </c>
      <c r="S37" s="506">
        <v>5</v>
      </c>
      <c r="T37" s="42">
        <f>E37*M37*O37*Q37/100000000</f>
        <v>5.705717471999999</v>
      </c>
      <c r="U37" s="42">
        <f>E37*M37*O37*(Q37-R37-S37)/100000000</f>
        <v>5.4862667999999992</v>
      </c>
      <c r="V37" s="42">
        <f>E37*G37*(1-N37)*O37/100*(R37+S37)/1000000</f>
        <v>0.21945067199999996</v>
      </c>
      <c r="W37" s="42">
        <f>+'7'!K11/1000</f>
        <v>10.93</v>
      </c>
      <c r="X37" s="507">
        <f>SUM(W37:W40)/SUM(K37:K40)</f>
        <v>1.0472504372215941</v>
      </c>
      <c r="Y37" s="216">
        <v>0</v>
      </c>
      <c r="Z37" s="42">
        <f>+'7'!D7/1000</f>
        <v>0.55200000000000005</v>
      </c>
      <c r="AA37" s="54">
        <f>SUM(U37:U40)-SUM(W37:W40)-SUM(Z37:Z40)-SUM(Y37:Y40)</f>
        <v>-5.4292610080000046</v>
      </c>
      <c r="AB37" s="54">
        <f>(SUM(K37:K40)-SUM(W37:W40)-SUM(Y37:Y40)-SUM(Z37:Z40)-SUM(AC37:AC40)-SUM(V37:V40))-AA37</f>
        <v>-7.1111679999908972E-3</v>
      </c>
      <c r="AC37" s="42">
        <f>K37-T37</f>
        <v>0</v>
      </c>
      <c r="AD37" s="42">
        <f>+AM37+BA37</f>
        <v>0</v>
      </c>
      <c r="AE37" s="234" t="s">
        <v>394</v>
      </c>
      <c r="AF37" s="42">
        <v>0</v>
      </c>
      <c r="AG37" s="42"/>
      <c r="AH37" s="42"/>
      <c r="AI37" s="508"/>
      <c r="AJ37" s="42"/>
      <c r="AK37" s="42"/>
      <c r="AL37" s="42"/>
      <c r="AM37" s="42">
        <f>SUM(AF37:AL37)+AT37+AV37+AX37</f>
        <v>0</v>
      </c>
      <c r="AN37" s="42"/>
      <c r="AO37" s="42"/>
      <c r="AP37" s="42"/>
      <c r="AQ37" s="42"/>
      <c r="AR37" s="42">
        <f>SUM(AN37:AQ37)</f>
        <v>0</v>
      </c>
      <c r="AS37" s="42"/>
      <c r="AT37" s="42"/>
      <c r="AU37" s="42"/>
      <c r="AV37" s="42"/>
      <c r="AW37" s="42"/>
      <c r="AX37" s="42"/>
      <c r="AY37" s="42"/>
      <c r="AZ37" s="42"/>
      <c r="BA37" s="42">
        <f>+AR37+AS37+AU37+AW37+AY37+AZ37</f>
        <v>0</v>
      </c>
      <c r="BB37" s="38">
        <v>0</v>
      </c>
      <c r="BC37" s="56"/>
      <c r="BD37" s="56"/>
      <c r="BE37" s="38"/>
      <c r="BF37" s="56"/>
    </row>
    <row r="38" spans="1:58" ht="12.95" customHeight="1">
      <c r="A38" s="45"/>
      <c r="B38" s="46" t="s">
        <v>462</v>
      </c>
      <c r="C38" s="454">
        <f>(M38*E38*O38*Q38)/100000000</f>
        <v>59.387141760000013</v>
      </c>
      <c r="D38" s="46" t="s">
        <v>451</v>
      </c>
      <c r="E38" s="47">
        <v>32</v>
      </c>
      <c r="F38" s="47">
        <v>1</v>
      </c>
      <c r="G38" s="505">
        <v>520</v>
      </c>
      <c r="H38" s="49">
        <v>0.14000000000000001</v>
      </c>
      <c r="I38" s="50">
        <v>0.88</v>
      </c>
      <c r="J38" s="87">
        <f>E38*G38*(1-H38)*1440/1000000*3.4</f>
        <v>70.063718399999999</v>
      </c>
      <c r="K38" s="87">
        <f>(IF(G38&lt;L38,L38,G38)*(1-IF(H38&lt;N38,H38,N38))*E38*O38*Q38)/100000000</f>
        <v>60.551595519999999</v>
      </c>
      <c r="L38" s="40">
        <v>510</v>
      </c>
      <c r="M38" s="40">
        <f>+L38-L38*0.14</f>
        <v>438.6</v>
      </c>
      <c r="N38" s="51">
        <f>1-(M38/L38)</f>
        <v>0.1399999999999999</v>
      </c>
      <c r="O38" s="52">
        <f>+'Trim Rwd'!H24</f>
        <v>323</v>
      </c>
      <c r="P38" s="53">
        <f>O38*(Q38-R38-S38)</f>
        <v>420546</v>
      </c>
      <c r="Q38" s="52">
        <v>1310</v>
      </c>
      <c r="R38" s="506">
        <v>0</v>
      </c>
      <c r="S38" s="506">
        <v>8</v>
      </c>
      <c r="T38" s="42">
        <f>E38*M38*O38*Q38/100000000</f>
        <v>59.387141760000013</v>
      </c>
      <c r="U38" s="42">
        <f>E38*M38*O38*(Q38-R38-S38)/100000000</f>
        <v>59.024472192000005</v>
      </c>
      <c r="V38" s="42">
        <f>E38*G38*(1-N38)*O38/100*(R38+S38)/1000000</f>
        <v>0.36978073600000005</v>
      </c>
      <c r="W38" s="42">
        <f>+'7'!K12/1000</f>
        <v>58.457999999999998</v>
      </c>
      <c r="X38" s="43"/>
      <c r="Y38" s="216"/>
      <c r="Z38" s="42"/>
      <c r="AA38" s="42"/>
      <c r="AB38" s="42"/>
      <c r="AC38" s="42">
        <f>K38-T38</f>
        <v>1.1644537599999865</v>
      </c>
      <c r="AD38" s="42">
        <f>+AM38+BA38</f>
        <v>5</v>
      </c>
      <c r="AE38" s="234" t="s">
        <v>449</v>
      </c>
      <c r="AF38" s="42"/>
      <c r="AG38" s="42">
        <v>5</v>
      </c>
      <c r="AH38" s="42"/>
      <c r="AI38" s="508"/>
      <c r="AJ38" s="42"/>
      <c r="AK38" s="42"/>
      <c r="AL38" s="42"/>
      <c r="AM38" s="42">
        <f>SUM(AF38:AL38)+AT38+AV38+AX38</f>
        <v>5</v>
      </c>
      <c r="AN38" s="88"/>
      <c r="AO38" s="42"/>
      <c r="AP38" s="42"/>
      <c r="AQ38" s="42"/>
      <c r="AR38" s="42">
        <f>SUM(AN38:AQ38)</f>
        <v>0</v>
      </c>
      <c r="AS38" s="42"/>
      <c r="AT38" s="42"/>
      <c r="AU38" s="42"/>
      <c r="AV38" s="42"/>
      <c r="AW38" s="42"/>
      <c r="AX38" s="42"/>
      <c r="AY38" s="42"/>
      <c r="AZ38" s="42"/>
      <c r="BA38" s="42">
        <f>+AR38+AS38+AU38+AW38+AY38+AZ38</f>
        <v>0</v>
      </c>
      <c r="BB38" s="55"/>
      <c r="BC38" s="56">
        <v>2</v>
      </c>
      <c r="BD38" s="56"/>
      <c r="BE38" s="55"/>
      <c r="BF38" s="56"/>
    </row>
    <row r="39" spans="1:58" ht="12.95" customHeight="1">
      <c r="A39" s="45"/>
      <c r="B39" s="46"/>
      <c r="C39" s="454"/>
      <c r="D39" s="46"/>
      <c r="E39" s="47"/>
      <c r="F39" s="47"/>
      <c r="G39" s="505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06"/>
      <c r="S39" s="506"/>
      <c r="T39" s="42"/>
      <c r="U39" s="42"/>
      <c r="V39" s="42"/>
      <c r="W39" s="42"/>
      <c r="X39" s="43"/>
      <c r="Y39" s="216"/>
      <c r="Z39" s="42"/>
      <c r="AA39" s="42"/>
      <c r="AB39" s="42"/>
      <c r="AC39" s="42"/>
      <c r="AD39" s="42">
        <f>+AM39+BA39</f>
        <v>4</v>
      </c>
      <c r="AE39" s="234" t="s">
        <v>226</v>
      </c>
      <c r="AF39" s="38"/>
      <c r="AG39" s="38"/>
      <c r="AH39" s="42">
        <v>4</v>
      </c>
      <c r="AI39" s="508"/>
      <c r="AJ39" s="42"/>
      <c r="AK39" s="42"/>
      <c r="AL39" s="42"/>
      <c r="AM39" s="42">
        <f>SUM(AF39:AL39)+AT39+AV39+AX39</f>
        <v>4</v>
      </c>
      <c r="AN39" s="42"/>
      <c r="AO39" s="42"/>
      <c r="AP39" s="42"/>
      <c r="AQ39" s="42"/>
      <c r="AR39" s="42">
        <f>SUM(AN39:AQ39)</f>
        <v>0</v>
      </c>
      <c r="AS39" s="42"/>
      <c r="AT39" s="42"/>
      <c r="AU39" s="42"/>
      <c r="AV39" s="42"/>
      <c r="AW39" s="42"/>
      <c r="AX39" s="42"/>
      <c r="AY39" s="42"/>
      <c r="AZ39" s="42"/>
      <c r="BA39" s="42">
        <f>+AR39+AS39+AU39+AW39+AY39+AZ39</f>
        <v>0</v>
      </c>
      <c r="BB39" s="38"/>
      <c r="BC39" s="509"/>
      <c r="BD39" s="509"/>
      <c r="BE39" s="38"/>
      <c r="BF39" s="509"/>
    </row>
    <row r="40" spans="1:58" ht="12.95" customHeight="1">
      <c r="A40" s="45"/>
      <c r="B40" s="46"/>
      <c r="C40" s="454"/>
      <c r="D40" s="46"/>
      <c r="E40" s="47"/>
      <c r="F40" s="47"/>
      <c r="G40" s="505"/>
      <c r="H40" s="49"/>
      <c r="I40" s="50"/>
      <c r="J40" s="87"/>
      <c r="K40" s="87"/>
      <c r="L40" s="40"/>
      <c r="M40" s="40"/>
      <c r="N40" s="51"/>
      <c r="O40" s="52"/>
      <c r="P40" s="53"/>
      <c r="Q40" s="52"/>
      <c r="R40" s="506"/>
      <c r="S40" s="506"/>
      <c r="T40" s="42"/>
      <c r="U40" s="42"/>
      <c r="V40" s="42"/>
      <c r="W40" s="42"/>
      <c r="X40" s="43"/>
      <c r="Y40" s="216"/>
      <c r="Z40" s="42"/>
      <c r="AA40" s="42"/>
      <c r="AB40" s="42"/>
      <c r="AC40" s="42"/>
      <c r="AD40" s="42">
        <f>+AM40+BA40</f>
        <v>4</v>
      </c>
      <c r="AE40" s="587" t="s">
        <v>463</v>
      </c>
      <c r="AF40" s="42"/>
      <c r="AG40" s="42"/>
      <c r="AH40" s="42"/>
      <c r="AI40" s="508">
        <v>4</v>
      </c>
      <c r="AJ40" s="42"/>
      <c r="AK40" s="42"/>
      <c r="AL40" s="42"/>
      <c r="AM40" s="42">
        <f>SUM(AF40:AL40)+AT40+AV40+AX40</f>
        <v>4</v>
      </c>
      <c r="AN40" s="42"/>
      <c r="AO40" s="42"/>
      <c r="AP40" s="42"/>
      <c r="AQ40" s="42"/>
      <c r="AR40" s="42">
        <f>SUM(AN40:AQ40)</f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/>
      <c r="BC40" s="509"/>
      <c r="BD40" s="509"/>
      <c r="BE40" s="38"/>
      <c r="BF40" s="509"/>
    </row>
    <row r="41" spans="1:58" ht="12.95" customHeight="1">
      <c r="A41" s="45"/>
      <c r="B41" s="46"/>
      <c r="C41" s="454"/>
      <c r="D41" s="46"/>
      <c r="E41" s="47"/>
      <c r="F41" s="47"/>
      <c r="G41" s="505"/>
      <c r="H41" s="49"/>
      <c r="I41" s="50"/>
      <c r="J41" s="87"/>
      <c r="K41" s="87"/>
      <c r="L41" s="40"/>
      <c r="M41" s="40"/>
      <c r="N41" s="51"/>
      <c r="O41" s="52"/>
      <c r="P41" s="53"/>
      <c r="Q41" s="52"/>
      <c r="R41" s="506"/>
      <c r="S41" s="506"/>
      <c r="T41" s="42"/>
      <c r="U41" s="42"/>
      <c r="V41" s="42"/>
      <c r="W41" s="42"/>
      <c r="X41" s="507"/>
      <c r="Y41" s="216"/>
      <c r="Z41" s="42"/>
      <c r="AA41" s="54"/>
      <c r="AB41" s="54"/>
      <c r="AC41" s="42"/>
      <c r="AD41" s="42"/>
      <c r="AE41" s="237"/>
      <c r="AF41" s="42"/>
      <c r="AG41" s="42"/>
      <c r="AH41" s="42"/>
      <c r="AI41" s="508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8"/>
      <c r="BC41" s="509"/>
      <c r="BD41" s="509"/>
      <c r="BE41" s="38"/>
      <c r="BF41" s="509"/>
    </row>
    <row r="42" spans="1:58" ht="12.75" customHeight="1">
      <c r="A42" s="45">
        <v>45938</v>
      </c>
      <c r="B42" s="46" t="s">
        <v>8</v>
      </c>
      <c r="C42" s="454">
        <f>(M42*E42*O42*Q42)/100000000</f>
        <v>13.916390399999999</v>
      </c>
      <c r="D42" s="46" t="s">
        <v>451</v>
      </c>
      <c r="E42" s="47">
        <v>32</v>
      </c>
      <c r="F42" s="47">
        <v>1</v>
      </c>
      <c r="G42" s="505">
        <v>510</v>
      </c>
      <c r="H42" s="49">
        <v>0.12</v>
      </c>
      <c r="I42" s="50">
        <v>0.88</v>
      </c>
      <c r="J42" s="87">
        <f>E42*G42*(1-H42)*1440/1000000*3.4</f>
        <v>70.314393599999988</v>
      </c>
      <c r="K42" s="87">
        <f>(IF(G42&lt;L42,L42,G42)*(1-IF(H42&lt;N42,H42,N42))*E42*O42*Q42)/100000000</f>
        <v>13.916390399999999</v>
      </c>
      <c r="L42" s="40">
        <v>510</v>
      </c>
      <c r="M42" s="40">
        <f>+L42-L42*0.12</f>
        <v>448.8</v>
      </c>
      <c r="N42" s="51">
        <f>1-(M42/L42)</f>
        <v>0.12</v>
      </c>
      <c r="O42" s="52">
        <f>+'Trim Rwd'!H26</f>
        <v>323</v>
      </c>
      <c r="P42" s="53">
        <f>O42*(Q42-R42-S42)</f>
        <v>94639</v>
      </c>
      <c r="Q42" s="52">
        <v>300</v>
      </c>
      <c r="R42" s="506">
        <v>0</v>
      </c>
      <c r="S42" s="506">
        <v>7</v>
      </c>
      <c r="T42" s="42">
        <f>E42*M42*O42*Q42/100000000</f>
        <v>13.916390399999999</v>
      </c>
      <c r="U42" s="42">
        <f>E42*M42*O42*(Q42-R42-S42)/100000000</f>
        <v>13.591674623999998</v>
      </c>
      <c r="V42" s="42">
        <f>E42*G42*(1-N42)*O42/100*(R42+S42)/1000000</f>
        <v>0.32471577600000001</v>
      </c>
      <c r="W42" s="42">
        <f>+'8'!K12/1000</f>
        <v>17.064</v>
      </c>
      <c r="X42" s="507">
        <f>SUM(W42:W45)/SUM(K42:K45)</f>
        <v>0.94454587196052375</v>
      </c>
      <c r="Y42" s="216">
        <v>0</v>
      </c>
      <c r="Z42" s="42">
        <f>+'7'!D12/1000</f>
        <v>0</v>
      </c>
      <c r="AA42" s="54">
        <f>SUM(U42:U45)-SUM(W42:W45)-SUM(Z42:Z45)-SUM(Y42:Y45)</f>
        <v>-1.3667770846315768</v>
      </c>
      <c r="AB42" s="54">
        <f>(SUM(K42:K45)-SUM(W42:W45)-SUM(Y42:Y45)-SUM(Z42:Z45)-SUM(AC42:AC45)-SUM(V42:V45))-AA42</f>
        <v>-2.3350290526307216E-3</v>
      </c>
      <c r="AC42" s="42">
        <f>K42-T42</f>
        <v>0</v>
      </c>
      <c r="AD42" s="42">
        <f>+AM42+BA42</f>
        <v>0</v>
      </c>
      <c r="AE42" s="234" t="s">
        <v>394</v>
      </c>
      <c r="AF42" s="42">
        <v>0</v>
      </c>
      <c r="AG42" s="42"/>
      <c r="AH42" s="42"/>
      <c r="AI42" s="508"/>
      <c r="AJ42" s="42"/>
      <c r="AK42" s="42"/>
      <c r="AL42" s="42"/>
      <c r="AM42" s="42">
        <f>SUM(AF42:AL42)+AT42+AV42+AX42</f>
        <v>0</v>
      </c>
      <c r="AN42" s="42"/>
      <c r="AO42" s="42"/>
      <c r="AP42" s="42"/>
      <c r="AQ42" s="42"/>
      <c r="AR42" s="42">
        <f>SUM(AN42:AQ42)</f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>
        <v>0</v>
      </c>
      <c r="BC42" s="56"/>
      <c r="BD42" s="56"/>
      <c r="BE42" s="38"/>
      <c r="BF42" s="56"/>
    </row>
    <row r="43" spans="1:58" ht="12.95" customHeight="1">
      <c r="A43" s="45"/>
      <c r="B43" s="46" t="s">
        <v>8</v>
      </c>
      <c r="C43" s="454">
        <f>(M43*E43*O43*Q43)/100000000</f>
        <v>17.009879039999998</v>
      </c>
      <c r="D43" s="46" t="s">
        <v>451</v>
      </c>
      <c r="E43" s="47">
        <v>34</v>
      </c>
      <c r="F43" s="47">
        <v>1</v>
      </c>
      <c r="G43" s="505">
        <v>490</v>
      </c>
      <c r="H43" s="49">
        <v>0.14000000000000001</v>
      </c>
      <c r="I43" s="50">
        <v>0.88</v>
      </c>
      <c r="J43" s="87">
        <f>E43*G43*(1-H43)*1440/1000000*3.4</f>
        <v>70.147929599999998</v>
      </c>
      <c r="K43" s="87">
        <f>(IF(G43&lt;L43,L43,G43)*(1-IF(H43&lt;N43,H43,N43))*E43*O43*Q43)/100000000</f>
        <v>17.36425152</v>
      </c>
      <c r="L43" s="40">
        <v>480</v>
      </c>
      <c r="M43" s="40">
        <f>+L43-L43*0.12</f>
        <v>422.4</v>
      </c>
      <c r="N43" s="51">
        <f>1-(M43/L43)</f>
        <v>0.12</v>
      </c>
      <c r="O43" s="52">
        <f>+'Trim Rwd'!H27</f>
        <v>329</v>
      </c>
      <c r="P43" s="53">
        <f>O43*(Q43-R43-S43)</f>
        <v>115808</v>
      </c>
      <c r="Q43" s="52">
        <f>180+180</f>
        <v>360</v>
      </c>
      <c r="R43" s="506">
        <v>0</v>
      </c>
      <c r="S43" s="506">
        <v>8</v>
      </c>
      <c r="T43" s="42">
        <f>E43*M43*O43*Q43/100000000</f>
        <v>17.009879039999998</v>
      </c>
      <c r="U43" s="42">
        <f>E43*M43*O43*(Q43-R43-S43)/100000000</f>
        <v>16.631881727999996</v>
      </c>
      <c r="V43" s="42">
        <f>E43*G43*(1-N43)*O43/100*(R43+S43)/1000000</f>
        <v>0.38587225599999997</v>
      </c>
      <c r="W43" s="42">
        <f>+'8'!K13/1000</f>
        <v>11.576000000000001</v>
      </c>
      <c r="X43" s="43"/>
      <c r="Y43" s="216"/>
      <c r="Z43" s="42">
        <f>+('8'!D8/1000)</f>
        <v>1.4</v>
      </c>
      <c r="AA43" s="42"/>
      <c r="AB43" s="42"/>
      <c r="AC43" s="42">
        <f>K43-T43</f>
        <v>0.3543724800000021</v>
      </c>
      <c r="AD43" s="42">
        <f>+AM43+BA43</f>
        <v>5</v>
      </c>
      <c r="AE43" s="234" t="s">
        <v>392</v>
      </c>
      <c r="AF43" s="42"/>
      <c r="AG43" s="42">
        <v>5</v>
      </c>
      <c r="AH43" s="42"/>
      <c r="AI43" s="508"/>
      <c r="AJ43" s="42"/>
      <c r="AK43" s="42"/>
      <c r="AL43" s="42"/>
      <c r="AM43" s="42">
        <f>SUM(AF43:AL43)+AT43+AV43+AX43</f>
        <v>5</v>
      </c>
      <c r="AN43" s="88"/>
      <c r="AO43" s="42"/>
      <c r="AP43" s="42"/>
      <c r="AQ43" s="42"/>
      <c r="AR43" s="42">
        <f>SUM(AN43:AQ43)</f>
        <v>0</v>
      </c>
      <c r="AS43" s="42"/>
      <c r="AT43" s="42"/>
      <c r="AU43" s="42"/>
      <c r="AV43" s="42"/>
      <c r="AW43" s="42"/>
      <c r="AX43" s="42"/>
      <c r="AY43" s="42"/>
      <c r="AZ43" s="42"/>
      <c r="BA43" s="42">
        <f>+AR43+AS43+AU43+AW43+AY43+AZ43</f>
        <v>0</v>
      </c>
      <c r="BB43" s="55"/>
      <c r="BC43" s="56">
        <v>1</v>
      </c>
      <c r="BD43" s="56"/>
      <c r="BE43" s="55"/>
      <c r="BF43" s="56"/>
    </row>
    <row r="44" spans="1:58" ht="12.95" customHeight="1">
      <c r="A44" s="45"/>
      <c r="B44" s="46" t="s">
        <v>8</v>
      </c>
      <c r="C44" s="454">
        <f>(M44*E44*O44*Q44)/100000000</f>
        <v>31.924011698526321</v>
      </c>
      <c r="D44" s="46" t="s">
        <v>451</v>
      </c>
      <c r="E44" s="47">
        <v>36</v>
      </c>
      <c r="F44" s="47">
        <v>1</v>
      </c>
      <c r="G44" s="505">
        <v>455</v>
      </c>
      <c r="H44" s="49">
        <v>0.12</v>
      </c>
      <c r="I44" s="50">
        <v>0.88</v>
      </c>
      <c r="J44" s="87">
        <f>E44*G44*(1-H44)*1440/1000000*3.4</f>
        <v>70.572902400000004</v>
      </c>
      <c r="K44" s="87">
        <f>(IF(G44&lt;L44,L44,G44)*(1-IF(H44&lt;N44,H44,N44))*E44*O44*Q44)/100000000</f>
        <v>31.924011698526321</v>
      </c>
      <c r="L44" s="40">
        <v>460</v>
      </c>
      <c r="M44" s="40">
        <f>+L44-L44*0.12</f>
        <v>404.8</v>
      </c>
      <c r="N44" s="51">
        <f>1-(M44/L44)</f>
        <v>0.12</v>
      </c>
      <c r="O44" s="52">
        <f>+'Trim Rwd'!H28</f>
        <v>317.94736842105266</v>
      </c>
      <c r="P44" s="53">
        <f>O44*(Q44-R44-S44)</f>
        <v>215568.31578947371</v>
      </c>
      <c r="Q44" s="52">
        <v>689</v>
      </c>
      <c r="R44" s="506">
        <v>0</v>
      </c>
      <c r="S44" s="506">
        <v>11</v>
      </c>
      <c r="T44" s="42">
        <f>E44*M44*O44*Q44/100000000</f>
        <v>31.924011698526321</v>
      </c>
      <c r="U44" s="42">
        <f>E44*M44*O44*(Q44-R44-S44)/100000000</f>
        <v>31.414339523368426</v>
      </c>
      <c r="V44" s="42">
        <f>E44*G44*(1-N44)*O44/100*(R44+S44)/1000000</f>
        <v>0.50413226021052626</v>
      </c>
      <c r="W44" s="42">
        <f>+'8'!K14/1000</f>
        <v>33.555</v>
      </c>
      <c r="X44" s="43"/>
      <c r="Y44" s="216"/>
      <c r="Z44" s="42">
        <f>+('8'!D17+'8'!D25)/1000</f>
        <v>2.09</v>
      </c>
      <c r="AA44" s="42"/>
      <c r="AB44" s="42"/>
      <c r="AC44" s="42"/>
      <c r="AD44" s="42">
        <f>+AM44+BA44</f>
        <v>12</v>
      </c>
      <c r="AE44" s="234" t="s">
        <v>226</v>
      </c>
      <c r="AF44" s="38"/>
      <c r="AG44" s="38"/>
      <c r="AH44" s="42">
        <v>12</v>
      </c>
      <c r="AI44" s="508"/>
      <c r="AJ44" s="42"/>
      <c r="AK44" s="42"/>
      <c r="AL44" s="42"/>
      <c r="AM44" s="42">
        <f>SUM(AF44:AL44)+AT44+AV44+AX44</f>
        <v>12</v>
      </c>
      <c r="AN44" s="42"/>
      <c r="AO44" s="42"/>
      <c r="AP44" s="42"/>
      <c r="AQ44" s="42"/>
      <c r="AR44" s="42">
        <f>SUM(AN44:AQ44)</f>
        <v>0</v>
      </c>
      <c r="AS44" s="42"/>
      <c r="AT44" s="42"/>
      <c r="AU44" s="42"/>
      <c r="AV44" s="42"/>
      <c r="AW44" s="42"/>
      <c r="AX44" s="42"/>
      <c r="AY44" s="42"/>
      <c r="AZ44" s="42"/>
      <c r="BA44" s="42">
        <f>+AR44+AS44+AU44+AW44+AY44+AZ44</f>
        <v>0</v>
      </c>
      <c r="BB44" s="38"/>
      <c r="BC44" s="509"/>
      <c r="BD44" s="509"/>
      <c r="BE44" s="38"/>
      <c r="BF44" s="509"/>
    </row>
    <row r="45" spans="1:58" ht="12.95" customHeight="1">
      <c r="A45" s="45"/>
      <c r="B45" s="46" t="s">
        <v>8</v>
      </c>
      <c r="C45" s="454">
        <f>(M45*E45*O45*Q45)/100000000</f>
        <v>4.1610528959999993</v>
      </c>
      <c r="D45" s="46" t="s">
        <v>451</v>
      </c>
      <c r="E45" s="47">
        <v>38</v>
      </c>
      <c r="F45" s="47">
        <v>1</v>
      </c>
      <c r="G45" s="505">
        <v>430</v>
      </c>
      <c r="H45" s="49">
        <v>0.12</v>
      </c>
      <c r="I45" s="50">
        <v>0.88</v>
      </c>
      <c r="J45" s="87">
        <f>E45*G45*(1-H45)*1440/1000000*3.4</f>
        <v>70.400563199999993</v>
      </c>
      <c r="K45" s="87">
        <f>(IF(G45&lt;L45,L45,G45)*(1-IF(H45&lt;N45,H45,N45))*E45*O45*Q45)/100000000</f>
        <v>4.1610528959999993</v>
      </c>
      <c r="L45" s="40">
        <v>430</v>
      </c>
      <c r="M45" s="40">
        <f>+L45-L45*0.12</f>
        <v>378.4</v>
      </c>
      <c r="N45" s="51">
        <f>1-(M45/L45)</f>
        <v>0.12000000000000011</v>
      </c>
      <c r="O45" s="52">
        <f>+'Trim Rwd'!H30</f>
        <v>318</v>
      </c>
      <c r="P45" s="53">
        <f>O45*(Q45-R45-S45)</f>
        <v>28620</v>
      </c>
      <c r="Q45" s="52">
        <v>91</v>
      </c>
      <c r="R45" s="506">
        <v>0</v>
      </c>
      <c r="S45" s="506">
        <v>1</v>
      </c>
      <c r="T45" s="42">
        <f>E45*M45*O45*Q45/100000000</f>
        <v>4.1610528959999993</v>
      </c>
      <c r="U45" s="42">
        <f>E45*M45*O45*(Q45-R45-S45)/100000000</f>
        <v>4.1153270399999995</v>
      </c>
      <c r="V45" s="42">
        <f>E45*G45*(1-N45)*O45/100*(R45+S45)/1000000</f>
        <v>4.5725856000000002E-2</v>
      </c>
      <c r="W45" s="42">
        <f>+'8'!K15/1000</f>
        <v>1.4350000000000001</v>
      </c>
      <c r="X45" s="43"/>
      <c r="Y45" s="216"/>
      <c r="Z45" s="42"/>
      <c r="AA45" s="42"/>
      <c r="AB45" s="42"/>
      <c r="AC45" s="42"/>
      <c r="AD45" s="42">
        <f>+AM45+BA45</f>
        <v>10</v>
      </c>
      <c r="AE45" s="587" t="s">
        <v>463</v>
      </c>
      <c r="AF45" s="42"/>
      <c r="AG45" s="42"/>
      <c r="AH45" s="42"/>
      <c r="AI45" s="508">
        <v>10</v>
      </c>
      <c r="AJ45" s="42"/>
      <c r="AK45" s="42"/>
      <c r="AL45" s="42"/>
      <c r="AM45" s="42">
        <f>SUM(AF45:AL45)+AT45+AV45+AX45</f>
        <v>10</v>
      </c>
      <c r="AN45" s="42"/>
      <c r="AO45" s="42"/>
      <c r="AP45" s="42"/>
      <c r="AQ45" s="42"/>
      <c r="AR45" s="42">
        <f>SUM(AN45:AQ45)</f>
        <v>0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0</v>
      </c>
      <c r="BB45" s="38"/>
      <c r="BC45" s="509"/>
      <c r="BD45" s="509"/>
      <c r="BE45" s="38"/>
      <c r="BF45" s="509"/>
    </row>
    <row r="46" spans="1:58" ht="12.95" customHeight="1">
      <c r="A46" s="45"/>
      <c r="B46" s="46"/>
      <c r="C46" s="454"/>
      <c r="D46" s="46"/>
      <c r="E46" s="47"/>
      <c r="F46" s="47"/>
      <c r="G46" s="505"/>
      <c r="H46" s="49"/>
      <c r="I46" s="50"/>
      <c r="J46" s="87"/>
      <c r="K46" s="87"/>
      <c r="L46" s="40"/>
      <c r="M46" s="40"/>
      <c r="N46" s="51"/>
      <c r="O46" s="52"/>
      <c r="P46" s="53"/>
      <c r="Q46" s="52"/>
      <c r="R46" s="506"/>
      <c r="S46" s="506"/>
      <c r="T46" s="42"/>
      <c r="U46" s="42"/>
      <c r="V46" s="42"/>
      <c r="W46" s="42"/>
      <c r="X46" s="507"/>
      <c r="Y46" s="216"/>
      <c r="Z46" s="42"/>
      <c r="AA46" s="54"/>
      <c r="AB46" s="54"/>
      <c r="AC46" s="42"/>
      <c r="AD46" s="42"/>
      <c r="AE46" s="237"/>
      <c r="AF46" s="42"/>
      <c r="AG46" s="42"/>
      <c r="AH46" s="42"/>
      <c r="AI46" s="508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8"/>
      <c r="BC46" s="509"/>
      <c r="BD46" s="509"/>
      <c r="BE46" s="38"/>
      <c r="BF46" s="509"/>
    </row>
    <row r="47" spans="1:58" ht="12.75" customHeight="1">
      <c r="A47" s="45">
        <v>45939</v>
      </c>
      <c r="B47" s="46" t="s">
        <v>8</v>
      </c>
      <c r="C47" s="454">
        <f>(M47*E47*O47*Q47)/100000000</f>
        <v>45.199476959999998</v>
      </c>
      <c r="D47" s="46" t="s">
        <v>451</v>
      </c>
      <c r="E47" s="47">
        <v>38</v>
      </c>
      <c r="F47" s="47">
        <v>1</v>
      </c>
      <c r="G47" s="505">
        <v>430</v>
      </c>
      <c r="H47" s="49">
        <v>0.12</v>
      </c>
      <c r="I47" s="50">
        <v>0.88</v>
      </c>
      <c r="J47" s="87">
        <f>E47*G47*(1-H47)*1440/1000000*3.4</f>
        <v>70.400563199999993</v>
      </c>
      <c r="K47" s="87">
        <f>(IF(G47&lt;L47,L47,G47)*(1-IF(H47&lt;N47,H47,N47))*E47*O47*Q47)/100000000</f>
        <v>45.199476959999998</v>
      </c>
      <c r="L47" s="40">
        <v>449.7883597883598</v>
      </c>
      <c r="M47" s="40">
        <v>395.8137566137566</v>
      </c>
      <c r="N47" s="51">
        <f>1-(M47/L47)</f>
        <v>0.12000000000000011</v>
      </c>
      <c r="O47" s="52">
        <f>+'Trim Rwd'!H32</f>
        <v>318</v>
      </c>
      <c r="P47" s="53">
        <f>O47*(Q47-R47-S47)</f>
        <v>297648</v>
      </c>
      <c r="Q47" s="52">
        <v>945</v>
      </c>
      <c r="R47" s="506">
        <v>0</v>
      </c>
      <c r="S47" s="506">
        <v>9</v>
      </c>
      <c r="T47" s="42">
        <f>E47*M47*O47*Q47/100000000</f>
        <v>45.199476959999998</v>
      </c>
      <c r="U47" s="42">
        <f>E47*M47*O47*(Q47-R47-S47)/100000000</f>
        <v>44.76900575085714</v>
      </c>
      <c r="V47" s="42">
        <f>E47*G47*(1-N47)*O47/100*(R47+S47)/1000000</f>
        <v>0.41153270400000003</v>
      </c>
      <c r="W47" s="42">
        <f>+'9'!K15/1000</f>
        <v>48.98</v>
      </c>
      <c r="X47" s="507">
        <f>SUM(W47:W50)/SUM(K47:K50)</f>
        <v>0.98030034084786544</v>
      </c>
      <c r="Y47" s="216">
        <v>0</v>
      </c>
      <c r="Z47" s="42">
        <f>+'9'!D34/1000</f>
        <v>0.622</v>
      </c>
      <c r="AA47" s="54">
        <f>SUM(U47:U50)-SUM(W47:W50)-SUM(Z47:Z50)-SUM(Y47:Y50)</f>
        <v>-0.12413824914284544</v>
      </c>
      <c r="AB47" s="54">
        <f>(SUM(K47:K50)-SUM(W47:W50)-SUM(Y47:Y50)-SUM(Z47:Z50)-SUM(AC47:AC50)-SUM(V47:V50))-AA47</f>
        <v>2.4701097142853179E-2</v>
      </c>
      <c r="AC47" s="42">
        <f>K47-T47</f>
        <v>0</v>
      </c>
      <c r="AD47" s="42">
        <f>+AM47+BA47</f>
        <v>0</v>
      </c>
      <c r="AE47" s="234" t="s">
        <v>394</v>
      </c>
      <c r="AF47" s="42">
        <v>0</v>
      </c>
      <c r="AG47" s="42"/>
      <c r="AH47" s="42"/>
      <c r="AI47" s="508"/>
      <c r="AJ47" s="42"/>
      <c r="AK47" s="42"/>
      <c r="AL47" s="42"/>
      <c r="AM47" s="42">
        <f>SUM(AF47:AL47)+AT47+AV47+AX47</f>
        <v>0</v>
      </c>
      <c r="AN47" s="42"/>
      <c r="AO47" s="42"/>
      <c r="AP47" s="42"/>
      <c r="AQ47" s="42"/>
      <c r="AR47" s="42">
        <f>SUM(AN47:AQ47)</f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>
        <v>0</v>
      </c>
      <c r="BC47" s="56"/>
      <c r="BD47" s="56"/>
      <c r="BE47" s="38"/>
      <c r="BF47" s="56"/>
    </row>
    <row r="48" spans="1:58" ht="12.95" customHeight="1">
      <c r="A48" s="45"/>
      <c r="B48" s="46" t="s">
        <v>8</v>
      </c>
      <c r="C48" s="454">
        <f>(M48*E48*O48*Q48)/100000000</f>
        <v>10.80486</v>
      </c>
      <c r="D48" s="46" t="s">
        <v>451</v>
      </c>
      <c r="E48" s="47">
        <v>34</v>
      </c>
      <c r="F48" s="47">
        <v>1</v>
      </c>
      <c r="G48" s="505">
        <v>480</v>
      </c>
      <c r="H48" s="49">
        <v>0.12</v>
      </c>
      <c r="I48" s="50">
        <v>0.88</v>
      </c>
      <c r="J48" s="87">
        <f>E48*G48*(1-H48)*1440/1000000*3.4</f>
        <v>70.314393599999988</v>
      </c>
      <c r="K48" s="87">
        <f>(IF(G48&lt;L48,L48,G48)*(1-IF(H48&lt;N48,H48,N48))*E48*O48*Q48)/100000000</f>
        <v>10.80486</v>
      </c>
      <c r="L48" s="40">
        <v>500</v>
      </c>
      <c r="M48" s="40">
        <f>+L48-L48*0.12</f>
        <v>440</v>
      </c>
      <c r="N48" s="51">
        <f>1-(M48/L48)</f>
        <v>0.12</v>
      </c>
      <c r="O48" s="52">
        <f>+'Trim Rwd'!H33</f>
        <v>321</v>
      </c>
      <c r="P48" s="53">
        <f>O48*(Q48-R48-S48)</f>
        <v>71262</v>
      </c>
      <c r="Q48" s="52">
        <f>180+30+15</f>
        <v>225</v>
      </c>
      <c r="R48" s="506">
        <v>0</v>
      </c>
      <c r="S48" s="506">
        <v>3</v>
      </c>
      <c r="T48" s="42">
        <f>E48*M48*O48*Q48/100000000</f>
        <v>10.80486</v>
      </c>
      <c r="U48" s="42">
        <f>E48*M48*O48*(Q48-R48-S48)/100000000</f>
        <v>10.660795200000001</v>
      </c>
      <c r="V48" s="42">
        <f>E48*G48*(1-N48)*O48/100*(R48+S48)/1000000</f>
        <v>0.13830220800000001</v>
      </c>
      <c r="W48" s="42">
        <f>+'9'!K13/1000</f>
        <v>11.058999999999999</v>
      </c>
      <c r="X48" s="43"/>
      <c r="Y48" s="216"/>
      <c r="Z48" s="42">
        <v>0</v>
      </c>
      <c r="AA48" s="42"/>
      <c r="AB48" s="42"/>
      <c r="AC48" s="42">
        <f>K48-T48</f>
        <v>0</v>
      </c>
      <c r="AD48" s="42">
        <f>+AM48+BA48</f>
        <v>3</v>
      </c>
      <c r="AE48" s="234" t="s">
        <v>392</v>
      </c>
      <c r="AF48" s="42"/>
      <c r="AG48" s="42">
        <v>3</v>
      </c>
      <c r="AH48" s="42"/>
      <c r="AI48" s="508"/>
      <c r="AJ48" s="42"/>
      <c r="AK48" s="42"/>
      <c r="AL48" s="42"/>
      <c r="AM48" s="42">
        <f>SUM(AF48:AL48)+AT48+AV48+AX48</f>
        <v>3</v>
      </c>
      <c r="AN48" s="88"/>
      <c r="AO48" s="42"/>
      <c r="AP48" s="42"/>
      <c r="AQ48" s="42"/>
      <c r="AR48" s="42">
        <f>SUM(AN48:AQ48)</f>
        <v>0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0</v>
      </c>
      <c r="BB48" s="55"/>
      <c r="BC48" s="56">
        <v>1</v>
      </c>
      <c r="BD48" s="56"/>
      <c r="BE48" s="55"/>
      <c r="BF48" s="56"/>
    </row>
    <row r="49" spans="1:58" ht="12.95" customHeight="1">
      <c r="A49" s="45"/>
      <c r="B49" s="46" t="s">
        <v>8</v>
      </c>
      <c r="C49" s="454">
        <f>(M49*E49*O49*Q49)/100000000</f>
        <v>12.236993999999999</v>
      </c>
      <c r="D49" s="46" t="s">
        <v>451</v>
      </c>
      <c r="E49" s="47">
        <v>30</v>
      </c>
      <c r="F49" s="47">
        <v>1</v>
      </c>
      <c r="G49" s="505">
        <v>545</v>
      </c>
      <c r="H49" s="49">
        <v>0.12</v>
      </c>
      <c r="I49" s="50">
        <v>0.88</v>
      </c>
      <c r="J49" s="87">
        <f>E49*G49*(1-H49)*1440/1000000*3.4</f>
        <v>70.443647999999996</v>
      </c>
      <c r="K49" s="87">
        <f>(IF(G49&lt;L49,L49,G49)*(1-IF(H49&lt;N49,H49,N49))*E49*O49*Q49)/100000000</f>
        <v>12.236993999999999</v>
      </c>
      <c r="L49" s="40">
        <v>545</v>
      </c>
      <c r="M49" s="40">
        <f>+L49-L49*0.12</f>
        <v>479.6</v>
      </c>
      <c r="N49" s="51">
        <f>1-(M49/L49)</f>
        <v>0.12</v>
      </c>
      <c r="O49" s="52">
        <f>+'Trim Rwd'!H34</f>
        <v>315</v>
      </c>
      <c r="P49" s="53">
        <f>O49*(Q49-R49-S49)</f>
        <v>83160</v>
      </c>
      <c r="Q49" s="52">
        <f>30+240</f>
        <v>270</v>
      </c>
      <c r="R49" s="506">
        <v>0</v>
      </c>
      <c r="S49" s="506">
        <v>6</v>
      </c>
      <c r="T49" s="42">
        <f>E49*M49*O49*Q49/100000000</f>
        <v>12.236993999999999</v>
      </c>
      <c r="U49" s="42">
        <f>E49*M49*O49*(Q49-R49-S49)/100000000</f>
        <v>11.9650608</v>
      </c>
      <c r="V49" s="42">
        <f>E49*G49*(1-N49)*O49/100*(R49+S49)/1000000</f>
        <v>0.27193319999999993</v>
      </c>
      <c r="W49" s="42">
        <f>+'9'!K16/1000</f>
        <v>6.8579999999999997</v>
      </c>
      <c r="X49" s="43"/>
      <c r="Y49" s="216"/>
      <c r="Z49" s="42">
        <v>0</v>
      </c>
      <c r="AA49" s="42"/>
      <c r="AB49" s="42"/>
      <c r="AC49" s="42">
        <f>K49-T49</f>
        <v>0</v>
      </c>
      <c r="AD49" s="42">
        <f>+AM49+BA49</f>
        <v>9</v>
      </c>
      <c r="AE49" s="234" t="s">
        <v>226</v>
      </c>
      <c r="AF49" s="38"/>
      <c r="AG49" s="38"/>
      <c r="AH49" s="42">
        <v>9</v>
      </c>
      <c r="AI49" s="508"/>
      <c r="AJ49" s="42"/>
      <c r="AK49" s="42"/>
      <c r="AL49" s="42"/>
      <c r="AM49" s="42">
        <f>SUM(AF49:AL49)+AT49+AV49+AX49</f>
        <v>9</v>
      </c>
      <c r="AN49" s="42"/>
      <c r="AO49" s="42"/>
      <c r="AP49" s="42"/>
      <c r="AQ49" s="42"/>
      <c r="AR49" s="42">
        <f>SUM(AN49:AQ49)</f>
        <v>0</v>
      </c>
      <c r="AS49" s="42"/>
      <c r="AT49" s="42"/>
      <c r="AU49" s="42"/>
      <c r="AV49" s="42"/>
      <c r="AW49" s="42"/>
      <c r="AX49" s="42"/>
      <c r="AY49" s="42"/>
      <c r="AZ49" s="42"/>
      <c r="BA49" s="42">
        <f>+AR49+AS49+AU49+AW49+AY49+AZ49</f>
        <v>0</v>
      </c>
      <c r="BB49" s="38"/>
      <c r="BC49" s="509"/>
      <c r="BD49" s="509"/>
      <c r="BE49" s="38"/>
      <c r="BF49" s="509"/>
    </row>
    <row r="50" spans="1:58" ht="12.95" customHeight="1">
      <c r="A50" s="45"/>
      <c r="B50" s="46"/>
      <c r="C50" s="454"/>
      <c r="D50" s="46"/>
      <c r="E50" s="47"/>
      <c r="F50" s="47"/>
      <c r="G50" s="505"/>
      <c r="H50" s="49"/>
      <c r="I50" s="50"/>
      <c r="J50" s="87"/>
      <c r="K50" s="87"/>
      <c r="L50" s="40"/>
      <c r="M50" s="40"/>
      <c r="N50" s="51"/>
      <c r="O50" s="52"/>
      <c r="P50" s="53"/>
      <c r="Q50" s="52"/>
      <c r="R50" s="506"/>
      <c r="S50" s="506"/>
      <c r="T50" s="42"/>
      <c r="U50" s="42"/>
      <c r="V50" s="42"/>
      <c r="W50" s="42"/>
      <c r="X50" s="43"/>
      <c r="Y50" s="216"/>
      <c r="Z50" s="42"/>
      <c r="AA50" s="42"/>
      <c r="AB50" s="42"/>
      <c r="AC50" s="42"/>
      <c r="AD50" s="42">
        <f>+AM50+BA50</f>
        <v>6</v>
      </c>
      <c r="AE50" s="587" t="s">
        <v>463</v>
      </c>
      <c r="AF50" s="42"/>
      <c r="AG50" s="42"/>
      <c r="AH50" s="42"/>
      <c r="AI50" s="508">
        <v>6</v>
      </c>
      <c r="AJ50" s="42"/>
      <c r="AK50" s="42"/>
      <c r="AL50" s="42"/>
      <c r="AM50" s="42">
        <f>SUM(AF50:AL50)+AT50+AV50+AX50</f>
        <v>6</v>
      </c>
      <c r="AN50" s="42"/>
      <c r="AO50" s="42"/>
      <c r="AP50" s="42"/>
      <c r="AQ50" s="42"/>
      <c r="AR50" s="42">
        <f>SUM(AN50:AQ50)</f>
        <v>0</v>
      </c>
      <c r="AS50" s="42"/>
      <c r="AT50" s="42"/>
      <c r="AU50" s="42"/>
      <c r="AV50" s="42"/>
      <c r="AW50" s="42"/>
      <c r="AX50" s="42"/>
      <c r="AY50" s="42"/>
      <c r="AZ50" s="42"/>
      <c r="BA50" s="42">
        <f>+AR50+AS50+AU50+AW50+AY50+AZ50</f>
        <v>0</v>
      </c>
      <c r="BB50" s="38"/>
      <c r="BC50" s="509"/>
      <c r="BD50" s="509"/>
      <c r="BE50" s="38"/>
      <c r="BF50" s="509"/>
    </row>
    <row r="51" spans="1:58" ht="12.95" customHeight="1">
      <c r="A51" s="45"/>
      <c r="B51" s="46"/>
      <c r="C51" s="454"/>
      <c r="D51" s="46"/>
      <c r="E51" s="47"/>
      <c r="F51" s="47"/>
      <c r="G51" s="505"/>
      <c r="H51" s="49"/>
      <c r="I51" s="50"/>
      <c r="J51" s="87"/>
      <c r="K51" s="87"/>
      <c r="L51" s="40"/>
      <c r="M51" s="40"/>
      <c r="N51" s="51"/>
      <c r="O51" s="52"/>
      <c r="P51" s="53"/>
      <c r="Q51" s="52"/>
      <c r="R51" s="506"/>
      <c r="S51" s="506"/>
      <c r="T51" s="42"/>
      <c r="U51" s="42"/>
      <c r="V51" s="42"/>
      <c r="W51" s="42"/>
      <c r="X51" s="507"/>
      <c r="Y51" s="216"/>
      <c r="Z51" s="42"/>
      <c r="AA51" s="54"/>
      <c r="AB51" s="54"/>
      <c r="AC51" s="42"/>
      <c r="AD51" s="42"/>
      <c r="AE51" s="237"/>
      <c r="AF51" s="42"/>
      <c r="AG51" s="42"/>
      <c r="AH51" s="42"/>
      <c r="AI51" s="508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8"/>
      <c r="BC51" s="509"/>
      <c r="BD51" s="509"/>
      <c r="BE51" s="38"/>
      <c r="BF51" s="509"/>
    </row>
    <row r="52" spans="1:58" ht="12.75" customHeight="1">
      <c r="A52" s="45">
        <v>45940</v>
      </c>
      <c r="B52" s="46" t="s">
        <v>8</v>
      </c>
      <c r="C52" s="454">
        <f>(M52*E52*O52*Q52)/100000000</f>
        <v>51.68394</v>
      </c>
      <c r="D52" s="46" t="s">
        <v>451</v>
      </c>
      <c r="E52" s="47">
        <v>30</v>
      </c>
      <c r="F52" s="47">
        <v>1</v>
      </c>
      <c r="G52" s="505">
        <v>545</v>
      </c>
      <c r="H52" s="49">
        <v>0.12</v>
      </c>
      <c r="I52" s="50">
        <v>0.88</v>
      </c>
      <c r="J52" s="87">
        <f>E52*G52*(1-H52)*1440/1000000*3.4</f>
        <v>70.443647999999996</v>
      </c>
      <c r="K52" s="87">
        <f>(IF(G52&lt;L52,L52,G52)*(1-IF(H52&lt;N52,H52,N52))*E52*O52*Q52)/100000000</f>
        <v>51.68394</v>
      </c>
      <c r="L52" s="40">
        <v>575.46296296296293</v>
      </c>
      <c r="M52" s="40">
        <v>506.40740740740739</v>
      </c>
      <c r="N52" s="51">
        <f>1-(M52/L52)</f>
        <v>0.12</v>
      </c>
      <c r="O52" s="52">
        <f>+'Trim Rwd'!H36</f>
        <v>315</v>
      </c>
      <c r="P52" s="53">
        <f>O52*(Q52-R52-S52)</f>
        <v>337050</v>
      </c>
      <c r="Q52" s="52">
        <v>1080</v>
      </c>
      <c r="R52" s="506">
        <v>0</v>
      </c>
      <c r="S52" s="506">
        <v>10</v>
      </c>
      <c r="T52" s="42">
        <f>E52*M52*O52*Q52/100000000</f>
        <v>51.68394</v>
      </c>
      <c r="U52" s="42">
        <f>E52*M52*O52*(Q52-R52-S52)/100000000</f>
        <v>51.205385</v>
      </c>
      <c r="V52" s="42">
        <f>E52*G52*(1-N52)*O52/100*(R52+S52)/1000000</f>
        <v>0.45322200000000001</v>
      </c>
      <c r="W52" s="42">
        <f>+'10'!K16/1000</f>
        <v>55.247999999999998</v>
      </c>
      <c r="X52" s="507">
        <f>SUM(W52:W55)/SUM(K52:K55)</f>
        <v>0.96058493115280974</v>
      </c>
      <c r="Y52" s="216">
        <v>0</v>
      </c>
      <c r="Z52" s="42">
        <v>0</v>
      </c>
      <c r="AA52" s="54">
        <f>SUM(U52:U55)-SUM(W52:W55)-SUM(Z52:Z55)-SUM(Y52:Y55)</f>
        <v>2.0681500559999932</v>
      </c>
      <c r="AB52" s="54">
        <f>(SUM(K52:K55)-SUM(W52:W55)-SUM(Y52:Y55)-SUM(Z52:Z55)-SUM(AC52:AC55)-SUM(V52:V55))-AA52</f>
        <v>5.2322834666673756E-2</v>
      </c>
      <c r="AC52" s="42">
        <f>K52-T52</f>
        <v>0</v>
      </c>
      <c r="AD52" s="42">
        <f>+AM52+BA52</f>
        <v>0</v>
      </c>
      <c r="AE52" s="234" t="s">
        <v>394</v>
      </c>
      <c r="AF52" s="42">
        <v>0</v>
      </c>
      <c r="AG52" s="42"/>
      <c r="AH52" s="42"/>
      <c r="AI52" s="508"/>
      <c r="AJ52" s="42"/>
      <c r="AK52" s="42"/>
      <c r="AL52" s="42"/>
      <c r="AM52" s="42">
        <f>SUM(AF52:AL52)+AT52+AV52+AX52</f>
        <v>0</v>
      </c>
      <c r="AN52" s="42"/>
      <c r="AO52" s="42"/>
      <c r="AP52" s="42"/>
      <c r="AQ52" s="42"/>
      <c r="AR52" s="42">
        <f>SUM(AN52:AQ52)</f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38">
        <v>0</v>
      </c>
      <c r="BC52" s="56"/>
      <c r="BD52" s="56"/>
      <c r="BE52" s="38"/>
      <c r="BF52" s="56"/>
    </row>
    <row r="53" spans="1:58" ht="12.95" customHeight="1">
      <c r="A53" s="45"/>
      <c r="B53" s="46" t="s">
        <v>8</v>
      </c>
      <c r="C53" s="454">
        <f>(M53*E53*O53*Q53)/100000000</f>
        <v>18.003807359999996</v>
      </c>
      <c r="D53" s="46" t="s">
        <v>451</v>
      </c>
      <c r="E53" s="47">
        <v>28</v>
      </c>
      <c r="F53" s="47">
        <v>1</v>
      </c>
      <c r="G53" s="505">
        <v>545</v>
      </c>
      <c r="H53" s="49">
        <v>0.12</v>
      </c>
      <c r="I53" s="50">
        <v>0.88</v>
      </c>
      <c r="J53" s="87">
        <f>E53*G53*(1-H53)*1440/1000000*3.4</f>
        <v>65.747404799999998</v>
      </c>
      <c r="K53" s="87">
        <f>(IF(G53&lt;L53,L53,G53)*(1-IF(H53&lt;N53,H53,N53))*E53*O53*Q53)/100000000</f>
        <v>18.003807359999996</v>
      </c>
      <c r="L53" s="40">
        <v>630</v>
      </c>
      <c r="M53" s="40">
        <v>554.4</v>
      </c>
      <c r="N53" s="51">
        <f>1-(M53/L53)</f>
        <v>0.12</v>
      </c>
      <c r="O53" s="52">
        <f>+'Trim Rwd'!H37</f>
        <v>322.16666666666669</v>
      </c>
      <c r="P53" s="53">
        <f>O53*(Q53-R53-S53)</f>
        <v>114691.33333333334</v>
      </c>
      <c r="Q53" s="52">
        <v>360</v>
      </c>
      <c r="R53" s="506">
        <v>0</v>
      </c>
      <c r="S53" s="506">
        <v>4</v>
      </c>
      <c r="T53" s="42">
        <f>E53*M53*O53*Q53/100000000</f>
        <v>18.003807359999996</v>
      </c>
      <c r="U53" s="42">
        <f>E53*M53*O53*(Q53-R53-S53)/100000000</f>
        <v>17.803765056</v>
      </c>
      <c r="V53" s="42">
        <f>E53*G53*(1-N53)*O53/100*(R53+S53)/1000000</f>
        <v>0.17305246933333335</v>
      </c>
      <c r="W53" s="42">
        <f>+'10'!K17/1000</f>
        <v>11.693</v>
      </c>
      <c r="X53" s="43"/>
      <c r="Y53" s="216"/>
      <c r="Z53" s="42">
        <v>0</v>
      </c>
      <c r="AA53" s="42"/>
      <c r="AB53" s="42"/>
      <c r="AC53" s="42">
        <f>K53-T53</f>
        <v>0</v>
      </c>
      <c r="AD53" s="42">
        <f>+AM53+BA53</f>
        <v>4</v>
      </c>
      <c r="AE53" s="234" t="s">
        <v>449</v>
      </c>
      <c r="AF53" s="42"/>
      <c r="AG53" s="42">
        <v>4</v>
      </c>
      <c r="AH53" s="42"/>
      <c r="AI53" s="508"/>
      <c r="AJ53" s="42"/>
      <c r="AK53" s="42"/>
      <c r="AL53" s="42"/>
      <c r="AM53" s="42">
        <f>SUM(AF53:AL53)+AT53+AV53+AX53</f>
        <v>4</v>
      </c>
      <c r="AN53" s="88"/>
      <c r="AO53" s="42"/>
      <c r="AP53" s="42"/>
      <c r="AQ53" s="42"/>
      <c r="AR53" s="42">
        <f>SUM(AN53:AQ53)</f>
        <v>0</v>
      </c>
      <c r="AS53" s="42"/>
      <c r="AT53" s="42"/>
      <c r="AU53" s="42"/>
      <c r="AV53" s="42"/>
      <c r="AW53" s="42"/>
      <c r="AX53" s="42"/>
      <c r="AY53" s="42"/>
      <c r="AZ53" s="42"/>
      <c r="BA53" s="42">
        <f>+AR53+AS53+AU53+AW53+AY53+AZ53</f>
        <v>0</v>
      </c>
      <c r="BB53" s="55"/>
      <c r="BC53" s="56">
        <v>2</v>
      </c>
      <c r="BD53" s="56"/>
      <c r="BE53" s="55"/>
      <c r="BF53" s="56"/>
    </row>
    <row r="54" spans="1:58" ht="12.95" customHeight="1">
      <c r="A54" s="45"/>
      <c r="B54" s="46"/>
      <c r="C54" s="454"/>
      <c r="D54" s="46"/>
      <c r="E54" s="47"/>
      <c r="F54" s="47"/>
      <c r="G54" s="505"/>
      <c r="H54" s="49"/>
      <c r="I54" s="50"/>
      <c r="J54" s="87"/>
      <c r="K54" s="87"/>
      <c r="L54" s="40"/>
      <c r="M54" s="40"/>
      <c r="N54" s="51"/>
      <c r="O54" s="52"/>
      <c r="P54" s="53"/>
      <c r="Q54" s="52"/>
      <c r="R54" s="506"/>
      <c r="S54" s="506"/>
      <c r="T54" s="42"/>
      <c r="U54" s="42"/>
      <c r="V54" s="42"/>
      <c r="W54" s="42"/>
      <c r="X54" s="43"/>
      <c r="Y54" s="216"/>
      <c r="Z54" s="42"/>
      <c r="AA54" s="42"/>
      <c r="AB54" s="42"/>
      <c r="AC54" s="42"/>
      <c r="AD54" s="42">
        <f>+AM54+BA54</f>
        <v>8</v>
      </c>
      <c r="AE54" s="234" t="s">
        <v>226</v>
      </c>
      <c r="AF54" s="38"/>
      <c r="AG54" s="38"/>
      <c r="AH54" s="42">
        <v>8</v>
      </c>
      <c r="AI54" s="508"/>
      <c r="AJ54" s="42"/>
      <c r="AK54" s="42"/>
      <c r="AL54" s="42"/>
      <c r="AM54" s="42">
        <f>SUM(AF54:AL54)+AT54+AV54+AX54</f>
        <v>8</v>
      </c>
      <c r="AN54" s="42"/>
      <c r="AO54" s="42"/>
      <c r="AP54" s="42"/>
      <c r="AQ54" s="42"/>
      <c r="AR54" s="42">
        <f>SUM(AN54:AQ54)</f>
        <v>0</v>
      </c>
      <c r="AS54" s="42"/>
      <c r="AT54" s="42"/>
      <c r="AU54" s="42"/>
      <c r="AV54" s="42"/>
      <c r="AW54" s="42"/>
      <c r="AX54" s="42"/>
      <c r="AY54" s="42"/>
      <c r="AZ54" s="42"/>
      <c r="BA54" s="42">
        <f>+AR54+AS54+AU54+AW54+AY54+AZ54</f>
        <v>0</v>
      </c>
      <c r="BB54" s="38"/>
      <c r="BC54" s="509"/>
      <c r="BD54" s="509"/>
      <c r="BE54" s="38"/>
      <c r="BF54" s="509"/>
    </row>
    <row r="55" spans="1:58" ht="12.95" customHeight="1">
      <c r="A55" s="45"/>
      <c r="B55" s="46"/>
      <c r="C55" s="454"/>
      <c r="D55" s="46"/>
      <c r="E55" s="47"/>
      <c r="F55" s="47"/>
      <c r="G55" s="505"/>
      <c r="H55" s="49"/>
      <c r="I55" s="50"/>
      <c r="J55" s="87"/>
      <c r="K55" s="87"/>
      <c r="L55" s="40"/>
      <c r="M55" s="40"/>
      <c r="N55" s="51"/>
      <c r="O55" s="52"/>
      <c r="P55" s="53"/>
      <c r="Q55" s="52"/>
      <c r="R55" s="506"/>
      <c r="S55" s="506"/>
      <c r="T55" s="42"/>
      <c r="U55" s="42"/>
      <c r="V55" s="42"/>
      <c r="W55" s="42"/>
      <c r="X55" s="43"/>
      <c r="Y55" s="216"/>
      <c r="Z55" s="42"/>
      <c r="AA55" s="42"/>
      <c r="AB55" s="42"/>
      <c r="AC55" s="42"/>
      <c r="AD55" s="42">
        <f>+AM55+BA55</f>
        <v>2</v>
      </c>
      <c r="AE55" s="587" t="s">
        <v>463</v>
      </c>
      <c r="AF55" s="42"/>
      <c r="AG55" s="42"/>
      <c r="AH55" s="42"/>
      <c r="AI55" s="508">
        <v>2</v>
      </c>
      <c r="AJ55" s="42"/>
      <c r="AK55" s="42"/>
      <c r="AL55" s="42"/>
      <c r="AM55" s="42">
        <f>SUM(AF55:AL55)+AT55+AV55+AX55</f>
        <v>2</v>
      </c>
      <c r="AN55" s="42"/>
      <c r="AO55" s="42"/>
      <c r="AP55" s="42"/>
      <c r="AQ55" s="42"/>
      <c r="AR55" s="42">
        <f>SUM(AN55:AQ55)</f>
        <v>0</v>
      </c>
      <c r="AS55" s="42"/>
      <c r="AT55" s="42"/>
      <c r="AU55" s="42"/>
      <c r="AV55" s="42"/>
      <c r="AW55" s="42"/>
      <c r="AX55" s="42"/>
      <c r="AY55" s="42"/>
      <c r="AZ55" s="42"/>
      <c r="BA55" s="42">
        <f>+AR55+AS55+AU55+AW55+AY55+AZ55</f>
        <v>0</v>
      </c>
      <c r="BB55" s="38"/>
      <c r="BC55" s="509"/>
      <c r="BD55" s="509"/>
      <c r="BE55" s="38"/>
      <c r="BF55" s="509"/>
    </row>
    <row r="56" spans="1:58" ht="12.95" customHeight="1">
      <c r="A56" s="45"/>
      <c r="B56" s="46"/>
      <c r="C56" s="454"/>
      <c r="D56" s="46"/>
      <c r="E56" s="47"/>
      <c r="F56" s="47"/>
      <c r="G56" s="505"/>
      <c r="H56" s="49"/>
      <c r="I56" s="50"/>
      <c r="J56" s="87"/>
      <c r="K56" s="87"/>
      <c r="L56" s="40"/>
      <c r="M56" s="40"/>
      <c r="N56" s="51"/>
      <c r="O56" s="52"/>
      <c r="P56" s="53"/>
      <c r="Q56" s="52"/>
      <c r="R56" s="506"/>
      <c r="S56" s="506"/>
      <c r="T56" s="42"/>
      <c r="U56" s="42"/>
      <c r="V56" s="42"/>
      <c r="W56" s="42"/>
      <c r="X56" s="43"/>
      <c r="Y56" s="216"/>
      <c r="Z56" s="42"/>
      <c r="AA56" s="54"/>
      <c r="AB56" s="54"/>
      <c r="AC56" s="42"/>
      <c r="AD56" s="42"/>
      <c r="AE56" s="237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8"/>
      <c r="BC56" s="56"/>
      <c r="BD56" s="56"/>
      <c r="BE56" s="55"/>
      <c r="BF56" s="56"/>
    </row>
    <row r="57" spans="1:58" ht="12.75" customHeight="1">
      <c r="A57" s="45">
        <v>45941</v>
      </c>
      <c r="B57" s="46" t="s">
        <v>8</v>
      </c>
      <c r="C57" s="454">
        <f>(M57*E57*O57*Q57)/100000000</f>
        <v>0.50052618000000004</v>
      </c>
      <c r="D57" s="46" t="s">
        <v>451</v>
      </c>
      <c r="E57" s="47">
        <v>28</v>
      </c>
      <c r="F57" s="47">
        <v>1</v>
      </c>
      <c r="G57" s="505">
        <v>545</v>
      </c>
      <c r="H57" s="49">
        <v>0.12</v>
      </c>
      <c r="I57" s="50">
        <v>0.88</v>
      </c>
      <c r="J57" s="87">
        <f>E57*G57*(1-H57)*1440/1000000*3.4</f>
        <v>65.747404799999998</v>
      </c>
      <c r="K57" s="87">
        <f>(IF(G57&lt;L57,L57,G57)*(1-IF(H57&lt;N57,H57,N57))*E57*O57*Q57)/100000000</f>
        <v>0.50052618000000004</v>
      </c>
      <c r="L57" s="40">
        <v>630</v>
      </c>
      <c r="M57" s="40">
        <v>554.4</v>
      </c>
      <c r="N57" s="51">
        <f>1-(M57/L57)</f>
        <v>0.12</v>
      </c>
      <c r="O57" s="52">
        <f>+'Trim Rwd'!H40</f>
        <v>322.4375</v>
      </c>
      <c r="P57" s="53">
        <f>O57*(Q57-R57-S57)</f>
        <v>3224.375</v>
      </c>
      <c r="Q57" s="52">
        <v>10</v>
      </c>
      <c r="R57" s="506">
        <v>0</v>
      </c>
      <c r="S57" s="506">
        <v>0</v>
      </c>
      <c r="T57" s="42">
        <f>E57*M57*O57*Q57/100000000</f>
        <v>0.50052618000000004</v>
      </c>
      <c r="U57" s="42">
        <f>E57*M57*O57*(Q57-R57-S57)/100000000</f>
        <v>0.50052618000000004</v>
      </c>
      <c r="V57" s="42">
        <f>E57*G57*(1-N57)*O57/100*(R57+S57)/1000000</f>
        <v>0</v>
      </c>
      <c r="W57" s="42">
        <f>+'11'!K17/1000</f>
        <v>10.446999999999999</v>
      </c>
      <c r="X57" s="507">
        <f>SUM(W57:W60)/SUM(K57:K60)</f>
        <v>0.90271028045520296</v>
      </c>
      <c r="Y57" s="216">
        <v>0</v>
      </c>
      <c r="Z57" s="42">
        <v>0</v>
      </c>
      <c r="AA57" s="54">
        <f>SUM(U57:U60)-SUM(W57:W60)-SUM(Z57:Z60)-SUM(Y57:Y60)</f>
        <v>-0.58978682505245406</v>
      </c>
      <c r="AB57" s="54">
        <f>(SUM(K57:K60)-SUM(W57:W60)-SUM(Y57:Y60)-SUM(Z57:Z60)-SUM(AC57:AC60)-SUM(V57:V60))-AA57</f>
        <v>-4.7858977447553297E-2</v>
      </c>
      <c r="AC57" s="42">
        <f>K57-T57</f>
        <v>0</v>
      </c>
      <c r="AD57" s="42">
        <f>+AM57+BA57</f>
        <v>8</v>
      </c>
      <c r="AE57" s="234" t="s">
        <v>593</v>
      </c>
      <c r="AF57" s="42">
        <v>8</v>
      </c>
      <c r="AG57" s="42"/>
      <c r="AH57" s="42"/>
      <c r="AI57" s="508"/>
      <c r="AJ57" s="42"/>
      <c r="AK57" s="42"/>
      <c r="AL57" s="42"/>
      <c r="AM57" s="42">
        <f>SUM(AF57:AL57)+AT57+AV57+AX57</f>
        <v>8</v>
      </c>
      <c r="AN57" s="42"/>
      <c r="AO57" s="42"/>
      <c r="AP57" s="42"/>
      <c r="AQ57" s="42"/>
      <c r="AR57" s="42">
        <f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38">
        <v>4</v>
      </c>
      <c r="BC57" s="56"/>
      <c r="BD57" s="56"/>
      <c r="BE57" s="38"/>
      <c r="BF57" s="56"/>
    </row>
    <row r="58" spans="1:58" ht="12.95" customHeight="1">
      <c r="A58" s="45"/>
      <c r="B58" s="46" t="s">
        <v>462</v>
      </c>
      <c r="C58" s="454">
        <f>(M58*E58*O58*Q58)/100000000</f>
        <v>65.334673214999995</v>
      </c>
      <c r="D58" s="46" t="s">
        <v>451</v>
      </c>
      <c r="E58" s="47">
        <v>20.5</v>
      </c>
      <c r="F58" s="47">
        <v>1</v>
      </c>
      <c r="G58" s="505">
        <v>830</v>
      </c>
      <c r="H58" s="49">
        <v>0.14000000000000001</v>
      </c>
      <c r="I58" s="50">
        <v>0.88</v>
      </c>
      <c r="J58" s="87">
        <f>E58*G58*(1-H58)*1440/1000000*3.4</f>
        <v>71.642678399999994</v>
      </c>
      <c r="K58" s="87">
        <f>(IF(G58&lt;L58,L58,G58)*(1-IF(H58&lt;N58,H58,N58))*E58*O58*Q58)/100000000</f>
        <v>66.855525165000003</v>
      </c>
      <c r="L58" s="40">
        <v>811.11888111888106</v>
      </c>
      <c r="M58" s="40">
        <v>697.56223776223771</v>
      </c>
      <c r="N58" s="51">
        <f>1-(M58/L58)</f>
        <v>0.14000000000000001</v>
      </c>
      <c r="O58" s="52">
        <f>+'Trim Rwd'!H42</f>
        <v>319.5</v>
      </c>
      <c r="P58" s="53">
        <f>O58*(Q58-R58-S58)</f>
        <v>442507.5</v>
      </c>
      <c r="Q58" s="52">
        <v>1430</v>
      </c>
      <c r="R58" s="506">
        <v>0</v>
      </c>
      <c r="S58" s="506">
        <v>45</v>
      </c>
      <c r="T58" s="42">
        <f>E58*M58*O58*Q58/100000000</f>
        <v>65.334673214999995</v>
      </c>
      <c r="U58" s="42">
        <f>E58*M58*O58*(Q58-R58-S58)/100000000</f>
        <v>63.278686994947542</v>
      </c>
      <c r="V58" s="42">
        <f>E58*G58*(1-N58)*O58/100*(R58+S58)/1000000</f>
        <v>2.1038451974999997</v>
      </c>
      <c r="W58" s="42">
        <f>+'11'!K18/1000</f>
        <v>50.356000000000002</v>
      </c>
      <c r="X58" s="43"/>
      <c r="Y58" s="216"/>
      <c r="Z58" s="42">
        <f>+'11'!D34/1000</f>
        <v>3.5659999999999998</v>
      </c>
      <c r="AA58" s="42"/>
      <c r="AB58" s="42"/>
      <c r="AC58" s="42">
        <f>K58-T58</f>
        <v>1.5208519500000079</v>
      </c>
      <c r="AD58" s="42">
        <f>+AM58+BA58</f>
        <v>13</v>
      </c>
      <c r="AE58" s="234" t="s">
        <v>480</v>
      </c>
      <c r="AF58" s="42"/>
      <c r="AG58" s="42">
        <v>13</v>
      </c>
      <c r="AH58" s="42"/>
      <c r="AI58" s="508"/>
      <c r="AJ58" s="42"/>
      <c r="AK58" s="42"/>
      <c r="AL58" s="42"/>
      <c r="AM58" s="42">
        <f>SUM(AF58:AL58)+AT58+AV58+AX58</f>
        <v>13</v>
      </c>
      <c r="AN58" s="88"/>
      <c r="AO58" s="42"/>
      <c r="AP58" s="42"/>
      <c r="AQ58" s="42"/>
      <c r="AR58" s="42">
        <f>SUM(AN58:AQ58)</f>
        <v>0</v>
      </c>
      <c r="AS58" s="42"/>
      <c r="AT58" s="42"/>
      <c r="AU58" s="42"/>
      <c r="AV58" s="42"/>
      <c r="AW58" s="42"/>
      <c r="AX58" s="42"/>
      <c r="AY58" s="42"/>
      <c r="AZ58" s="42"/>
      <c r="BA58" s="42">
        <f>+AR58+AS58+AU58+AW58+AY58+AZ58</f>
        <v>0</v>
      </c>
      <c r="BB58" s="55"/>
      <c r="BC58" s="56">
        <v>4</v>
      </c>
      <c r="BD58" s="56"/>
      <c r="BE58" s="55"/>
      <c r="BF58" s="56"/>
    </row>
    <row r="59" spans="1:58" ht="12.95" customHeight="1">
      <c r="A59" s="45"/>
      <c r="B59" s="46"/>
      <c r="C59" s="454"/>
      <c r="D59" s="46"/>
      <c r="E59" s="47"/>
      <c r="F59" s="47"/>
      <c r="G59" s="505"/>
      <c r="H59" s="49"/>
      <c r="I59" s="50"/>
      <c r="J59" s="87"/>
      <c r="K59" s="87"/>
      <c r="L59" s="40"/>
      <c r="M59" s="40"/>
      <c r="N59" s="51"/>
      <c r="O59" s="52"/>
      <c r="P59" s="53"/>
      <c r="Q59" s="52"/>
      <c r="R59" s="506"/>
      <c r="S59" s="506"/>
      <c r="T59" s="42"/>
      <c r="U59" s="42"/>
      <c r="V59" s="42"/>
      <c r="W59" s="42"/>
      <c r="X59" s="43"/>
      <c r="Y59" s="216"/>
      <c r="Z59" s="42"/>
      <c r="AA59" s="42"/>
      <c r="AB59" s="42"/>
      <c r="AC59" s="42"/>
      <c r="AD59" s="42">
        <f>+AM59+BA59</f>
        <v>19</v>
      </c>
      <c r="AE59" s="234" t="s">
        <v>226</v>
      </c>
      <c r="AF59" s="38"/>
      <c r="AG59" s="38"/>
      <c r="AH59" s="42">
        <v>19</v>
      </c>
      <c r="AI59" s="508"/>
      <c r="AJ59" s="42"/>
      <c r="AK59" s="42"/>
      <c r="AL59" s="42"/>
      <c r="AM59" s="42">
        <f>SUM(AF59:AL59)+AT59+AV59+AX59</f>
        <v>19</v>
      </c>
      <c r="AN59" s="42"/>
      <c r="AO59" s="42"/>
      <c r="AP59" s="42"/>
      <c r="AQ59" s="42"/>
      <c r="AR59" s="42">
        <f>SUM(AN59:AQ59)</f>
        <v>0</v>
      </c>
      <c r="AS59" s="42"/>
      <c r="AT59" s="42"/>
      <c r="AU59" s="42"/>
      <c r="AV59" s="42"/>
      <c r="AW59" s="42"/>
      <c r="AX59" s="42"/>
      <c r="AY59" s="42"/>
      <c r="AZ59" s="42"/>
      <c r="BA59" s="42">
        <f>+AR59+AS59+AU59+AW59+AY59+AZ59</f>
        <v>0</v>
      </c>
      <c r="BB59" s="38"/>
      <c r="BC59" s="509"/>
      <c r="BD59" s="509"/>
      <c r="BE59" s="38"/>
      <c r="BF59" s="509"/>
    </row>
    <row r="60" spans="1:58" ht="12.95" customHeight="1">
      <c r="A60" s="45"/>
      <c r="B60" s="46"/>
      <c r="C60" s="454"/>
      <c r="D60" s="46"/>
      <c r="E60" s="47"/>
      <c r="F60" s="47"/>
      <c r="G60" s="505"/>
      <c r="H60" s="49"/>
      <c r="I60" s="50"/>
      <c r="J60" s="87"/>
      <c r="K60" s="87"/>
      <c r="L60" s="40"/>
      <c r="M60" s="40"/>
      <c r="N60" s="51"/>
      <c r="O60" s="52"/>
      <c r="P60" s="53"/>
      <c r="Q60" s="52"/>
      <c r="R60" s="506"/>
      <c r="S60" s="506"/>
      <c r="T60" s="42"/>
      <c r="U60" s="42"/>
      <c r="V60" s="42"/>
      <c r="W60" s="42"/>
      <c r="X60" s="43"/>
      <c r="Y60" s="216"/>
      <c r="Z60" s="42"/>
      <c r="AA60" s="42"/>
      <c r="AB60" s="42"/>
      <c r="AC60" s="42"/>
      <c r="AD60" s="42">
        <f>+AM60+BA60</f>
        <v>5</v>
      </c>
      <c r="AE60" s="587" t="s">
        <v>463</v>
      </c>
      <c r="AF60" s="42"/>
      <c r="AG60" s="42"/>
      <c r="AH60" s="42"/>
      <c r="AI60" s="508">
        <v>5</v>
      </c>
      <c r="AJ60" s="42"/>
      <c r="AK60" s="42"/>
      <c r="AL60" s="42"/>
      <c r="AM60" s="42">
        <f>SUM(AF60:AL60)+AT60+AV60+AX60</f>
        <v>5</v>
      </c>
      <c r="AN60" s="42"/>
      <c r="AO60" s="42"/>
      <c r="AP60" s="42"/>
      <c r="AQ60" s="42"/>
      <c r="AR60" s="42">
        <f>SUM(AN60:AQ60)</f>
        <v>0</v>
      </c>
      <c r="AS60" s="42"/>
      <c r="AT60" s="42"/>
      <c r="AU60" s="42"/>
      <c r="AV60" s="42"/>
      <c r="AW60" s="42"/>
      <c r="AX60" s="42"/>
      <c r="AY60" s="42"/>
      <c r="AZ60" s="42"/>
      <c r="BA60" s="42">
        <f>+AR60+AS60+AU60+AW60+AY60+AZ60</f>
        <v>0</v>
      </c>
      <c r="BB60" s="38"/>
      <c r="BC60" s="509"/>
      <c r="BD60" s="509"/>
      <c r="BE60" s="38"/>
      <c r="BF60" s="509"/>
    </row>
    <row r="61" spans="1:58" ht="12.95" customHeight="1">
      <c r="A61" s="45"/>
      <c r="B61" s="46"/>
      <c r="C61" s="454"/>
      <c r="D61" s="46"/>
      <c r="E61" s="47"/>
      <c r="F61" s="47"/>
      <c r="G61" s="505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06"/>
      <c r="S61" s="506"/>
      <c r="T61" s="42"/>
      <c r="U61" s="42"/>
      <c r="V61" s="42"/>
      <c r="W61" s="42"/>
      <c r="X61" s="43"/>
      <c r="Y61" s="216"/>
      <c r="Z61" s="42"/>
      <c r="AA61" s="42"/>
      <c r="AB61" s="42"/>
      <c r="AC61" s="42"/>
      <c r="AD61" s="42"/>
      <c r="AE61" s="234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8"/>
      <c r="BC61" s="56"/>
      <c r="BD61" s="56"/>
      <c r="BE61" s="56"/>
      <c r="BF61" s="56"/>
    </row>
    <row r="62" spans="1:58" ht="12.95" customHeight="1">
      <c r="A62" s="45">
        <v>45942</v>
      </c>
      <c r="B62" s="46" t="s">
        <v>462</v>
      </c>
      <c r="C62" s="454">
        <f>(M62*E62*O62*Q62)/100000000</f>
        <v>65.152066603514385</v>
      </c>
      <c r="D62" s="46" t="s">
        <v>451</v>
      </c>
      <c r="E62" s="47">
        <v>20.5</v>
      </c>
      <c r="F62" s="47">
        <v>1</v>
      </c>
      <c r="G62" s="505">
        <v>830</v>
      </c>
      <c r="H62" s="49">
        <v>0.14000000000000001</v>
      </c>
      <c r="I62" s="50">
        <v>0.88</v>
      </c>
      <c r="J62" s="87">
        <f>E62*G62*(1-H62)*1440/1000000*3.4</f>
        <v>71.642678399999994</v>
      </c>
      <c r="K62" s="87">
        <f>(IF(G62&lt;L62,L62,G62)*(1-IF(H62&lt;N62,H62,N62))*E62*O62*Q62)/100000000</f>
        <v>67.323046320000003</v>
      </c>
      <c r="L62" s="40">
        <v>803.23482428115017</v>
      </c>
      <c r="M62" s="40">
        <v>690.78194888178916</v>
      </c>
      <c r="N62" s="51">
        <f>1-(M62/L62)</f>
        <v>0.14000000000000001</v>
      </c>
      <c r="O62" s="52">
        <f>+'Trim Rwd'!H44</f>
        <v>319.5</v>
      </c>
      <c r="P62" s="53">
        <f>O62*(Q62-R62-S62)</f>
        <v>386595</v>
      </c>
      <c r="Q62" s="52">
        <v>1440</v>
      </c>
      <c r="R62" s="506">
        <v>188</v>
      </c>
      <c r="S62" s="506">
        <v>42</v>
      </c>
      <c r="T62" s="42">
        <f>E62*M62*O62*Q62/100000000</f>
        <v>65.152066603514385</v>
      </c>
      <c r="U62" s="42">
        <f>E62*M62*O62*(Q62-R62-S62)/100000000</f>
        <v>54.74583374323084</v>
      </c>
      <c r="V62" s="42">
        <f>E62*G62*(1-N62)*O62/100*(R62+S62)/1000000</f>
        <v>10.752986564999999</v>
      </c>
      <c r="W62" s="42">
        <f>+'12'!K34/1000</f>
        <v>51.13</v>
      </c>
      <c r="X62" s="507">
        <f>SUM(W62:W65)/SUM(K62:K65)</f>
        <v>0.75947246589182571</v>
      </c>
      <c r="Y62" s="216">
        <v>0</v>
      </c>
      <c r="Z62" s="42">
        <f>+'12'!D34/1000</f>
        <v>1.1100000000000001</v>
      </c>
      <c r="AA62" s="54">
        <f>SUM(U62:U65)-SUM(W62:W65)-SUM(Z62:Z65)-SUM(Y62:Y65)</f>
        <v>2.5058337432308369</v>
      </c>
      <c r="AB62" s="54">
        <f>(SUM(K62:K65)-SUM(W62:W65)-SUM(Y62:Y65)-SUM(Z62:Z65)-SUM(AC62:AC65)-SUM(V62:V65))-AA62</f>
        <v>-0.34675370471645284</v>
      </c>
      <c r="AC62" s="42">
        <f>K62-T62</f>
        <v>2.1709797164856184</v>
      </c>
      <c r="AD62" s="42">
        <f>+AM62+BA62</f>
        <v>0</v>
      </c>
      <c r="AE62" s="234" t="s">
        <v>394</v>
      </c>
      <c r="AF62" s="42">
        <v>0</v>
      </c>
      <c r="AG62" s="42"/>
      <c r="AH62" s="42"/>
      <c r="AI62" s="508"/>
      <c r="AJ62" s="42"/>
      <c r="AK62" s="42"/>
      <c r="AL62" s="42"/>
      <c r="AM62" s="42">
        <f>SUM(AF62:AL62)+AT62+AV62+AX62</f>
        <v>0</v>
      </c>
      <c r="AN62" s="42"/>
      <c r="AO62" s="42"/>
      <c r="AP62" s="42"/>
      <c r="AQ62" s="42"/>
      <c r="AR62" s="42">
        <f>SUM(AN62:AQ62)</f>
        <v>0</v>
      </c>
      <c r="AS62" s="42"/>
      <c r="AT62" s="42"/>
      <c r="AU62" s="42"/>
      <c r="AV62" s="42"/>
      <c r="AW62" s="42"/>
      <c r="AX62" s="42"/>
      <c r="AY62" s="42"/>
      <c r="AZ62" s="42"/>
      <c r="BA62" s="42">
        <f>+AR62+AS62+AU62+AW62+AY62+AZ62</f>
        <v>0</v>
      </c>
      <c r="BB62" s="38">
        <v>0</v>
      </c>
      <c r="BC62" s="56"/>
      <c r="BD62" s="56"/>
      <c r="BE62" s="38"/>
      <c r="BF62" s="56"/>
    </row>
    <row r="63" spans="1:58" ht="12.95" customHeight="1">
      <c r="A63" s="45"/>
      <c r="B63" s="46"/>
      <c r="C63" s="454"/>
      <c r="D63" s="46"/>
      <c r="E63" s="47"/>
      <c r="F63" s="47"/>
      <c r="G63" s="505"/>
      <c r="H63" s="49"/>
      <c r="I63" s="50"/>
      <c r="J63" s="87"/>
      <c r="K63" s="87"/>
      <c r="L63" s="40"/>
      <c r="M63" s="40"/>
      <c r="N63" s="51"/>
      <c r="O63" s="52"/>
      <c r="P63" s="53"/>
      <c r="Q63" s="52"/>
      <c r="R63" s="506"/>
      <c r="S63" s="506"/>
      <c r="T63" s="42"/>
      <c r="U63" s="42"/>
      <c r="V63" s="42"/>
      <c r="W63" s="42"/>
      <c r="X63" s="43"/>
      <c r="Y63" s="216"/>
      <c r="Z63" s="42"/>
      <c r="AA63" s="42"/>
      <c r="AB63" s="42"/>
      <c r="AC63" s="42"/>
      <c r="AD63" s="42">
        <f>+AM63+BA63</f>
        <v>12</v>
      </c>
      <c r="AE63" s="234" t="s">
        <v>393</v>
      </c>
      <c r="AF63" s="42"/>
      <c r="AG63" s="42">
        <v>12</v>
      </c>
      <c r="AH63" s="42"/>
      <c r="AI63" s="508"/>
      <c r="AJ63" s="42"/>
      <c r="AK63" s="42"/>
      <c r="AL63" s="42"/>
      <c r="AM63" s="42">
        <f>SUM(AF63:AL63)+AT63+AV63+AX63</f>
        <v>12</v>
      </c>
      <c r="AN63" s="88"/>
      <c r="AO63" s="42"/>
      <c r="AP63" s="42"/>
      <c r="AQ63" s="42"/>
      <c r="AR63" s="42">
        <f>SUM(AN63:AQ63)</f>
        <v>0</v>
      </c>
      <c r="AS63" s="42"/>
      <c r="AT63" s="42"/>
      <c r="AU63" s="42"/>
      <c r="AV63" s="42"/>
      <c r="AW63" s="42"/>
      <c r="AX63" s="42"/>
      <c r="AY63" s="42"/>
      <c r="AZ63" s="42"/>
      <c r="BA63" s="42">
        <f>+AR63+AS63+AU63+AW63+AY63+AZ63</f>
        <v>0</v>
      </c>
      <c r="BB63" s="55"/>
      <c r="BC63" s="56">
        <v>3</v>
      </c>
      <c r="BD63" s="56"/>
      <c r="BE63" s="55"/>
      <c r="BF63" s="56"/>
    </row>
    <row r="64" spans="1:58" ht="12.95" customHeight="1">
      <c r="A64" s="45"/>
      <c r="B64" s="46"/>
      <c r="C64" s="454"/>
      <c r="D64" s="46"/>
      <c r="E64" s="47"/>
      <c r="F64" s="47"/>
      <c r="G64" s="505"/>
      <c r="H64" s="49"/>
      <c r="I64" s="50"/>
      <c r="J64" s="87"/>
      <c r="K64" s="87"/>
      <c r="L64" s="40"/>
      <c r="M64" s="40"/>
      <c r="N64" s="51"/>
      <c r="O64" s="52"/>
      <c r="P64" s="53"/>
      <c r="Q64" s="52"/>
      <c r="R64" s="506"/>
      <c r="S64" s="506"/>
      <c r="T64" s="42"/>
      <c r="U64" s="42"/>
      <c r="V64" s="42"/>
      <c r="W64" s="42"/>
      <c r="X64" s="43"/>
      <c r="Y64" s="216"/>
      <c r="Z64" s="42"/>
      <c r="AA64" s="42"/>
      <c r="AB64" s="42"/>
      <c r="AC64" s="42"/>
      <c r="AD64" s="42">
        <f>+AM64+BA64</f>
        <v>15</v>
      </c>
      <c r="AE64" s="234" t="s">
        <v>226</v>
      </c>
      <c r="AF64" s="38"/>
      <c r="AG64" s="38"/>
      <c r="AH64" s="42">
        <v>15</v>
      </c>
      <c r="AI64" s="508"/>
      <c r="AJ64" s="42"/>
      <c r="AK64" s="42"/>
      <c r="AL64" s="42"/>
      <c r="AM64" s="42">
        <f>SUM(AF64:AL64)+AT64+AV64+AX64</f>
        <v>15</v>
      </c>
      <c r="AN64" s="42"/>
      <c r="AO64" s="42"/>
      <c r="AP64" s="42"/>
      <c r="AQ64" s="42"/>
      <c r="AR64" s="42">
        <f>SUM(AN64:AQ64)</f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38"/>
      <c r="BC64" s="509"/>
      <c r="BD64" s="56"/>
      <c r="BE64" s="56"/>
      <c r="BF64" s="56"/>
    </row>
    <row r="65" spans="1:58" ht="12.95" customHeight="1">
      <c r="A65" s="45"/>
      <c r="B65" s="46"/>
      <c r="C65" s="454"/>
      <c r="D65" s="46"/>
      <c r="E65" s="47"/>
      <c r="F65" s="47"/>
      <c r="G65" s="505"/>
      <c r="H65" s="49"/>
      <c r="I65" s="50"/>
      <c r="J65" s="87"/>
      <c r="K65" s="87"/>
      <c r="L65" s="40"/>
      <c r="M65" s="40"/>
      <c r="N65" s="51"/>
      <c r="O65" s="52"/>
      <c r="P65" s="53"/>
      <c r="Q65" s="52"/>
      <c r="R65" s="506"/>
      <c r="S65" s="506"/>
      <c r="T65" s="42"/>
      <c r="U65" s="42"/>
      <c r="V65" s="42"/>
      <c r="W65" s="42"/>
      <c r="X65" s="43"/>
      <c r="Y65" s="216"/>
      <c r="Z65" s="42"/>
      <c r="AA65" s="42"/>
      <c r="AB65" s="42"/>
      <c r="AC65" s="42"/>
      <c r="AD65" s="42">
        <f>+AM65+BA65</f>
        <v>15</v>
      </c>
      <c r="AE65" s="237" t="s">
        <v>575</v>
      </c>
      <c r="AF65" s="42"/>
      <c r="AG65" s="42"/>
      <c r="AH65" s="42"/>
      <c r="AI65" s="508"/>
      <c r="AJ65" s="42"/>
      <c r="AK65" s="508">
        <v>15</v>
      </c>
      <c r="AL65" s="42"/>
      <c r="AM65" s="42">
        <f>SUM(AF65:AL65)+AT65+AV65+AX65</f>
        <v>15</v>
      </c>
      <c r="AN65" s="42"/>
      <c r="AO65" s="42"/>
      <c r="AP65" s="42"/>
      <c r="AQ65" s="42"/>
      <c r="AR65" s="42">
        <f>SUM(AN65:AQ65)</f>
        <v>0</v>
      </c>
      <c r="AS65" s="42"/>
      <c r="AT65" s="42"/>
      <c r="AU65" s="42"/>
      <c r="AV65" s="42"/>
      <c r="AW65" s="42"/>
      <c r="AX65" s="42"/>
      <c r="AY65" s="42"/>
      <c r="AZ65" s="42"/>
      <c r="BA65" s="42">
        <f>+AR65+AS65+AU65+AW65+AY65+AZ65</f>
        <v>0</v>
      </c>
      <c r="BB65" s="38"/>
      <c r="BC65" s="509"/>
      <c r="BD65" s="56"/>
      <c r="BE65" s="56"/>
      <c r="BF65" s="56"/>
    </row>
    <row r="66" spans="1:58" ht="12.95" customHeight="1">
      <c r="A66" s="45"/>
      <c r="B66" s="46"/>
      <c r="C66" s="454"/>
      <c r="D66" s="46"/>
      <c r="E66" s="47"/>
      <c r="F66" s="47"/>
      <c r="G66" s="505"/>
      <c r="H66" s="49"/>
      <c r="I66" s="50"/>
      <c r="J66" s="87"/>
      <c r="K66" s="87"/>
      <c r="L66" s="40"/>
      <c r="M66" s="40"/>
      <c r="N66" s="51"/>
      <c r="O66" s="52"/>
      <c r="P66" s="53"/>
      <c r="Q66" s="52"/>
      <c r="R66" s="506"/>
      <c r="S66" s="506"/>
      <c r="T66" s="42"/>
      <c r="U66" s="42"/>
      <c r="V66" s="42"/>
      <c r="W66" s="42"/>
      <c r="X66" s="43"/>
      <c r="Y66" s="216"/>
      <c r="Z66" s="42"/>
      <c r="AA66" s="42"/>
      <c r="AB66" s="42"/>
      <c r="AC66" s="42"/>
      <c r="AD66" s="42">
        <f>+AM66+BA66</f>
        <v>188</v>
      </c>
      <c r="AE66" s="237" t="s">
        <v>576</v>
      </c>
      <c r="AF66" s="42"/>
      <c r="AG66" s="42"/>
      <c r="AH66" s="42"/>
      <c r="AI66" s="508"/>
      <c r="AJ66" s="42"/>
      <c r="AK66" s="42"/>
      <c r="AL66" s="42"/>
      <c r="AM66" s="42">
        <f>SUM(AF66:AL66)+AT66+AV66+AX66</f>
        <v>0</v>
      </c>
      <c r="AN66" s="42">
        <v>188</v>
      </c>
      <c r="AO66" s="42"/>
      <c r="AP66" s="42"/>
      <c r="AQ66" s="42"/>
      <c r="AR66" s="42">
        <f>SUM(AN66:AQ66)</f>
        <v>188</v>
      </c>
      <c r="AS66" s="42"/>
      <c r="AT66" s="42"/>
      <c r="AU66" s="42"/>
      <c r="AV66" s="42"/>
      <c r="AW66" s="42"/>
      <c r="AX66" s="42"/>
      <c r="AY66" s="42"/>
      <c r="AZ66" s="42"/>
      <c r="BA66" s="42">
        <f>+AR66+AS66+AU66+AW66+AY66+AZ66</f>
        <v>188</v>
      </c>
      <c r="BB66" s="38"/>
      <c r="BC66" s="509"/>
      <c r="BD66" s="56"/>
      <c r="BE66" s="56"/>
      <c r="BF66" s="56">
        <v>1</v>
      </c>
    </row>
    <row r="67" spans="1:58" ht="12.95" customHeight="1">
      <c r="A67" s="45"/>
      <c r="B67" s="46"/>
      <c r="C67" s="454"/>
      <c r="D67" s="46"/>
      <c r="E67" s="47"/>
      <c r="F67" s="47"/>
      <c r="G67" s="505"/>
      <c r="H67" s="49"/>
      <c r="I67" s="50"/>
      <c r="J67" s="87"/>
      <c r="K67" s="87"/>
      <c r="L67" s="40"/>
      <c r="M67" s="40"/>
      <c r="N67" s="51"/>
      <c r="O67" s="52"/>
      <c r="P67" s="53"/>
      <c r="Q67" s="52"/>
      <c r="R67" s="506"/>
      <c r="S67" s="506"/>
      <c r="T67" s="42"/>
      <c r="U67" s="42"/>
      <c r="V67" s="42"/>
      <c r="W67" s="42"/>
      <c r="X67" s="43"/>
      <c r="Y67" s="216"/>
      <c r="Z67" s="42"/>
      <c r="AA67" s="42"/>
      <c r="AB67" s="42"/>
      <c r="AC67" s="42"/>
      <c r="AD67" s="42"/>
      <c r="AE67" s="234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8"/>
      <c r="BC67" s="56"/>
      <c r="BD67" s="56"/>
      <c r="BE67" s="56"/>
      <c r="BF67" s="56"/>
    </row>
    <row r="68" spans="1:58" ht="12.95" customHeight="1">
      <c r="A68" s="45">
        <v>45943</v>
      </c>
      <c r="B68" s="46" t="s">
        <v>462</v>
      </c>
      <c r="C68" s="454">
        <f>(M68*E68*O68*Q68)/100000000</f>
        <v>67.323046320000003</v>
      </c>
      <c r="D68" s="46" t="s">
        <v>451</v>
      </c>
      <c r="E68" s="47">
        <v>20.5</v>
      </c>
      <c r="F68" s="47">
        <v>1</v>
      </c>
      <c r="G68" s="505">
        <v>830</v>
      </c>
      <c r="H68" s="49">
        <v>0.14000000000000001</v>
      </c>
      <c r="I68" s="50">
        <v>0.88</v>
      </c>
      <c r="J68" s="87">
        <f>E68*G68*(1-H68)*1440/1000000*3.4</f>
        <v>71.642678399999994</v>
      </c>
      <c r="K68" s="87">
        <f>(IF(G68&lt;L68,L68,G68)*(1-IF(H68&lt;N68,H68,N68))*E68*O68*Q68)/100000000</f>
        <v>67.323046320000003</v>
      </c>
      <c r="L68" s="40">
        <v>830</v>
      </c>
      <c r="M68" s="40">
        <v>713.8</v>
      </c>
      <c r="N68" s="51">
        <f>1-(M68/L68)</f>
        <v>0.14000000000000001</v>
      </c>
      <c r="O68" s="52">
        <f>+'Trim Rwd'!H46</f>
        <v>319.5</v>
      </c>
      <c r="P68" s="53">
        <f>O68*(Q68-R68-S68)</f>
        <v>406404</v>
      </c>
      <c r="Q68" s="52">
        <v>1440</v>
      </c>
      <c r="R68" s="506">
        <f>45+70</f>
        <v>115</v>
      </c>
      <c r="S68" s="506">
        <v>53</v>
      </c>
      <c r="T68" s="42">
        <f>E68*M68*O68*Q68/100000000</f>
        <v>67.323046320000003</v>
      </c>
      <c r="U68" s="42">
        <f>E68*M68*O68*(Q68-R68-S68)/100000000</f>
        <v>59.468690915999993</v>
      </c>
      <c r="V68" s="42">
        <f>E68*G68*(1-N68)*O68/100*(R68+S68)/1000000</f>
        <v>7.8543554040000005</v>
      </c>
      <c r="W68" s="42">
        <f>+'13'!K34/1000</f>
        <v>54.646000000000001</v>
      </c>
      <c r="X68" s="507">
        <f>SUM(W68:W71)/SUM(K68:K71)</f>
        <v>0.81169826659739297</v>
      </c>
      <c r="Y68" s="216">
        <v>0</v>
      </c>
      <c r="Z68" s="42">
        <f>+'13'!D34/1000</f>
        <v>0.22</v>
      </c>
      <c r="AA68" s="54">
        <f>SUM(U68:U71)-SUM(W68:W71)-SUM(Z68:Z71)-SUM(Y68:Y71)</f>
        <v>4.6026909159999922</v>
      </c>
      <c r="AB68" s="54">
        <f>(SUM(K68:K71)-SUM(W68:W71)-SUM(Y68:Y71)-SUM(Z68:Z71)-SUM(AC68:AC71)-SUM(V68:V71))-AA68</f>
        <v>8.8817841970012523E-15</v>
      </c>
      <c r="AC68" s="42">
        <f>K68-T68</f>
        <v>0</v>
      </c>
      <c r="AD68" s="42">
        <f>+AM68+BA68</f>
        <v>4</v>
      </c>
      <c r="AE68" s="234" t="s">
        <v>452</v>
      </c>
      <c r="AF68" s="42">
        <v>4</v>
      </c>
      <c r="AG68" s="42"/>
      <c r="AH68" s="42"/>
      <c r="AI68" s="508"/>
      <c r="AJ68" s="42"/>
      <c r="AK68" s="42"/>
      <c r="AL68" s="42"/>
      <c r="AM68" s="42">
        <f>SUM(AF68:AL68)+AT68+AV68+AX68</f>
        <v>4</v>
      </c>
      <c r="AN68" s="42"/>
      <c r="AO68" s="42"/>
      <c r="AP68" s="42"/>
      <c r="AQ68" s="42"/>
      <c r="AR68" s="42">
        <f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38">
        <v>2</v>
      </c>
      <c r="BC68" s="56"/>
      <c r="BD68" s="56"/>
      <c r="BE68" s="38"/>
      <c r="BF68" s="56"/>
    </row>
    <row r="69" spans="1:58" ht="12.95" customHeight="1">
      <c r="A69" s="45"/>
      <c r="B69" s="46"/>
      <c r="C69" s="454"/>
      <c r="D69" s="46"/>
      <c r="E69" s="47"/>
      <c r="F69" s="47"/>
      <c r="G69" s="505"/>
      <c r="H69" s="49"/>
      <c r="I69" s="50"/>
      <c r="J69" s="87"/>
      <c r="K69" s="87"/>
      <c r="L69" s="40"/>
      <c r="M69" s="40"/>
      <c r="N69" s="51"/>
      <c r="O69" s="52"/>
      <c r="P69" s="53"/>
      <c r="Q69" s="52"/>
      <c r="R69" s="506"/>
      <c r="S69" s="506"/>
      <c r="T69" s="42"/>
      <c r="U69" s="42"/>
      <c r="V69" s="42"/>
      <c r="W69" s="42"/>
      <c r="X69" s="43"/>
      <c r="Y69" s="216"/>
      <c r="Z69" s="42"/>
      <c r="AA69" s="42"/>
      <c r="AB69" s="42"/>
      <c r="AC69" s="42"/>
      <c r="AD69" s="42">
        <f>+AM69+BA69</f>
        <v>21</v>
      </c>
      <c r="AE69" s="234" t="s">
        <v>393</v>
      </c>
      <c r="AF69" s="42"/>
      <c r="AG69" s="42">
        <v>21</v>
      </c>
      <c r="AH69" s="42"/>
      <c r="AI69" s="508"/>
      <c r="AJ69" s="42"/>
      <c r="AK69" s="42"/>
      <c r="AL69" s="42"/>
      <c r="AM69" s="42">
        <f>SUM(AF69:AL69)+AT69+AV69+AX69</f>
        <v>21</v>
      </c>
      <c r="AN69" s="88"/>
      <c r="AO69" s="42"/>
      <c r="AP69" s="42"/>
      <c r="AQ69" s="42"/>
      <c r="AR69" s="42">
        <f>SUM(AN69:AQ69)</f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55"/>
      <c r="BC69" s="56">
        <v>3</v>
      </c>
      <c r="BD69" s="56"/>
      <c r="BE69" s="55"/>
      <c r="BF69" s="56"/>
    </row>
    <row r="70" spans="1:58" ht="12.95" customHeight="1">
      <c r="A70" s="45"/>
      <c r="B70" s="46"/>
      <c r="C70" s="454"/>
      <c r="D70" s="46"/>
      <c r="E70" s="47"/>
      <c r="F70" s="47"/>
      <c r="G70" s="505"/>
      <c r="H70" s="49"/>
      <c r="I70" s="50"/>
      <c r="J70" s="87"/>
      <c r="K70" s="87"/>
      <c r="L70" s="40"/>
      <c r="M70" s="40"/>
      <c r="N70" s="51"/>
      <c r="O70" s="52"/>
      <c r="P70" s="53"/>
      <c r="Q70" s="52"/>
      <c r="R70" s="506"/>
      <c r="S70" s="506"/>
      <c r="T70" s="42"/>
      <c r="U70" s="42"/>
      <c r="V70" s="42"/>
      <c r="W70" s="42"/>
      <c r="X70" s="43"/>
      <c r="Y70" s="216"/>
      <c r="Z70" s="42"/>
      <c r="AA70" s="42"/>
      <c r="AB70" s="42"/>
      <c r="AC70" s="42"/>
      <c r="AD70" s="42">
        <f>+AM70+BA70</f>
        <v>28</v>
      </c>
      <c r="AE70" s="234" t="s">
        <v>226</v>
      </c>
      <c r="AF70" s="38"/>
      <c r="AG70" s="38"/>
      <c r="AH70" s="42">
        <v>28</v>
      </c>
      <c r="AI70" s="508"/>
      <c r="AJ70" s="42"/>
      <c r="AK70" s="42"/>
      <c r="AL70" s="42"/>
      <c r="AM70" s="42">
        <f>SUM(AF70:AL70)+AT70+AV70+AX70</f>
        <v>28</v>
      </c>
      <c r="AN70" s="42"/>
      <c r="AO70" s="42"/>
      <c r="AP70" s="42"/>
      <c r="AQ70" s="42"/>
      <c r="AR70" s="42">
        <f>SUM(AN70:AQ70)</f>
        <v>0</v>
      </c>
      <c r="AS70" s="42"/>
      <c r="AT70" s="42"/>
      <c r="AU70" s="42"/>
      <c r="AV70" s="42"/>
      <c r="AW70" s="42"/>
      <c r="AX70" s="42"/>
      <c r="AY70" s="42"/>
      <c r="AZ70" s="42"/>
      <c r="BA70" s="42">
        <f>+AR70+AS70+AU70+AW70+AY70+AZ70</f>
        <v>0</v>
      </c>
      <c r="BB70" s="38"/>
      <c r="BC70" s="509"/>
      <c r="BD70" s="56"/>
      <c r="BE70" s="56"/>
      <c r="BF70" s="56"/>
    </row>
    <row r="71" spans="1:58" ht="12.95" customHeight="1">
      <c r="A71" s="45"/>
      <c r="B71" s="46"/>
      <c r="C71" s="454"/>
      <c r="D71" s="46"/>
      <c r="E71" s="47"/>
      <c r="F71" s="47"/>
      <c r="G71" s="505"/>
      <c r="H71" s="49"/>
      <c r="I71" s="50"/>
      <c r="J71" s="87"/>
      <c r="K71" s="87"/>
      <c r="L71" s="40"/>
      <c r="M71" s="40"/>
      <c r="N71" s="51"/>
      <c r="O71" s="52"/>
      <c r="P71" s="53"/>
      <c r="Q71" s="52"/>
      <c r="R71" s="506"/>
      <c r="S71" s="506"/>
      <c r="T71" s="42"/>
      <c r="U71" s="42"/>
      <c r="V71" s="42"/>
      <c r="W71" s="42"/>
      <c r="X71" s="43"/>
      <c r="Y71" s="216"/>
      <c r="Z71" s="42"/>
      <c r="AA71" s="42"/>
      <c r="AB71" s="42"/>
      <c r="AC71" s="42"/>
      <c r="AD71" s="42">
        <f>+AM71+BA71</f>
        <v>45</v>
      </c>
      <c r="AE71" s="237" t="s">
        <v>601</v>
      </c>
      <c r="AF71" s="42"/>
      <c r="AG71" s="42"/>
      <c r="AH71" s="42"/>
      <c r="AI71" s="42"/>
      <c r="AJ71" s="42"/>
      <c r="AK71" s="42"/>
      <c r="AL71" s="42"/>
      <c r="AM71" s="42">
        <f>SUM(AF71:AL71)+AT71+AV71+AX71</f>
        <v>0</v>
      </c>
      <c r="AN71" s="42"/>
      <c r="AO71" s="42"/>
      <c r="AP71" s="42">
        <v>45</v>
      </c>
      <c r="AQ71" s="42"/>
      <c r="AR71" s="42">
        <f>SUM(AN71:AQ71)</f>
        <v>45</v>
      </c>
      <c r="AS71" s="42"/>
      <c r="AT71" s="42"/>
      <c r="AU71" s="42"/>
      <c r="AV71" s="42"/>
      <c r="AW71" s="42"/>
      <c r="AX71" s="42"/>
      <c r="AY71" s="42"/>
      <c r="AZ71" s="42"/>
      <c r="BA71" s="42">
        <f>+AR71+AS71+AU71+AW71+AY71+AZ71</f>
        <v>45</v>
      </c>
      <c r="BB71" s="38"/>
      <c r="BC71" s="509"/>
      <c r="BD71" s="56"/>
      <c r="BE71" s="56"/>
      <c r="BF71" s="56"/>
    </row>
    <row r="72" spans="1:58" ht="12.95" customHeight="1">
      <c r="A72" s="45"/>
      <c r="B72" s="46"/>
      <c r="C72" s="454"/>
      <c r="D72" s="46"/>
      <c r="E72" s="47"/>
      <c r="F72" s="47"/>
      <c r="G72" s="505"/>
      <c r="H72" s="49"/>
      <c r="I72" s="50"/>
      <c r="J72" s="87"/>
      <c r="K72" s="87"/>
      <c r="L72" s="40"/>
      <c r="M72" s="40"/>
      <c r="N72" s="51"/>
      <c r="O72" s="52"/>
      <c r="P72" s="53"/>
      <c r="Q72" s="52"/>
      <c r="R72" s="506"/>
      <c r="S72" s="506"/>
      <c r="T72" s="42"/>
      <c r="U72" s="42"/>
      <c r="V72" s="42"/>
      <c r="W72" s="42"/>
      <c r="X72" s="507"/>
      <c r="Y72" s="216"/>
      <c r="Z72" s="42"/>
      <c r="AA72" s="54"/>
      <c r="AB72" s="54"/>
      <c r="AC72" s="42"/>
      <c r="AD72" s="42">
        <f>+AM72+BA72</f>
        <v>70</v>
      </c>
      <c r="AE72" s="237" t="s">
        <v>602</v>
      </c>
      <c r="AF72" s="42"/>
      <c r="AG72" s="42"/>
      <c r="AH72" s="42"/>
      <c r="AI72" s="508"/>
      <c r="AJ72" s="42"/>
      <c r="AK72" s="42"/>
      <c r="AL72" s="42"/>
      <c r="AM72" s="42">
        <f>SUM(AF72:AL72)+AT72+AV72+AX72</f>
        <v>0</v>
      </c>
      <c r="AN72" s="42">
        <v>70</v>
      </c>
      <c r="AO72" s="42"/>
      <c r="AP72" s="42"/>
      <c r="AQ72" s="42"/>
      <c r="AR72" s="42">
        <f>SUM(AN72:AQ72)</f>
        <v>70</v>
      </c>
      <c r="AS72" s="42"/>
      <c r="AT72" s="42"/>
      <c r="AU72" s="42"/>
      <c r="AV72" s="42"/>
      <c r="AW72" s="42"/>
      <c r="AX72" s="42"/>
      <c r="AY72" s="42"/>
      <c r="AZ72" s="42"/>
      <c r="BA72" s="42">
        <f>+AR72+AS72+AU72+AW72+AY72+AZ72</f>
        <v>70</v>
      </c>
      <c r="BB72" s="38"/>
      <c r="BC72" s="509"/>
      <c r="BD72" s="56"/>
      <c r="BE72" s="56"/>
      <c r="BF72" s="56"/>
    </row>
    <row r="73" spans="1:58" ht="12.95" customHeight="1">
      <c r="A73" s="45"/>
      <c r="B73" s="46"/>
      <c r="C73" s="454"/>
      <c r="D73" s="46"/>
      <c r="E73" s="47"/>
      <c r="F73" s="47"/>
      <c r="G73" s="505"/>
      <c r="H73" s="49"/>
      <c r="I73" s="50"/>
      <c r="J73" s="87"/>
      <c r="K73" s="87"/>
      <c r="L73" s="40"/>
      <c r="M73" s="40"/>
      <c r="N73" s="51"/>
      <c r="O73" s="52"/>
      <c r="P73" s="53"/>
      <c r="Q73" s="52"/>
      <c r="R73" s="506"/>
      <c r="S73" s="506"/>
      <c r="T73" s="42"/>
      <c r="U73" s="42"/>
      <c r="V73" s="42"/>
      <c r="W73" s="42"/>
      <c r="X73" s="43"/>
      <c r="Y73" s="216"/>
      <c r="Z73" s="42"/>
      <c r="AA73" s="42"/>
      <c r="AB73" s="42"/>
      <c r="AC73" s="42"/>
      <c r="AD73" s="42"/>
      <c r="AE73" s="234"/>
      <c r="AF73" s="42"/>
      <c r="AG73" s="42"/>
      <c r="AH73" s="42"/>
      <c r="AI73" s="508"/>
      <c r="AJ73" s="42"/>
      <c r="AK73" s="42"/>
      <c r="AL73" s="42"/>
      <c r="AM73" s="42"/>
      <c r="AN73" s="88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55"/>
      <c r="BC73" s="56"/>
      <c r="BD73" s="56"/>
      <c r="BE73" s="56"/>
      <c r="BF73" s="56"/>
    </row>
    <row r="74" spans="1:58" ht="12.95" customHeight="1">
      <c r="A74" s="45">
        <v>45944</v>
      </c>
      <c r="B74" s="46" t="s">
        <v>462</v>
      </c>
      <c r="C74" s="454">
        <f>(M74*E74*O74*Q74)/100000000</f>
        <v>20.804691397500001</v>
      </c>
      <c r="D74" s="46" t="s">
        <v>451</v>
      </c>
      <c r="E74" s="47">
        <v>20.5</v>
      </c>
      <c r="F74" s="47">
        <v>1</v>
      </c>
      <c r="G74" s="505">
        <v>830</v>
      </c>
      <c r="H74" s="49">
        <v>0.14000000000000001</v>
      </c>
      <c r="I74" s="50">
        <v>0.88</v>
      </c>
      <c r="J74" s="87">
        <f>E74*G74*(1-H74)*1440/1000000*3.4</f>
        <v>71.642678399999994</v>
      </c>
      <c r="K74" s="87">
        <f>(IF(G74&lt;L74,L74,G74)*(1-IF(H74&lt;N74,H74,N74))*E74*O74*Q74)/100000000</f>
        <v>20.804691397500001</v>
      </c>
      <c r="L74" s="40">
        <v>830</v>
      </c>
      <c r="M74" s="40">
        <f>+L74-L74*0.14</f>
        <v>713.8</v>
      </c>
      <c r="N74" s="51">
        <f>1-(M74/L74)</f>
        <v>0.14000000000000001</v>
      </c>
      <c r="O74" s="52">
        <f>+'Trim Rwd'!H48</f>
        <v>319.5</v>
      </c>
      <c r="P74" s="53">
        <f>O74*(Q74-R74-S74)</f>
        <v>140580</v>
      </c>
      <c r="Q74" s="52">
        <v>445</v>
      </c>
      <c r="R74" s="506">
        <v>0</v>
      </c>
      <c r="S74" s="506">
        <v>5</v>
      </c>
      <c r="T74" s="42">
        <f>E74*M74*O74*Q74/100000000</f>
        <v>20.804691397500001</v>
      </c>
      <c r="U74" s="42">
        <f>E74*M74*O74*(Q74-R74-S74)/100000000</f>
        <v>20.570930820000001</v>
      </c>
      <c r="V74" s="42">
        <f>E74*G74*(1-N74)*O74/100*(R74+S74)/1000000</f>
        <v>0.23376057750000001</v>
      </c>
      <c r="W74" s="42">
        <f>+'14'!K18/1000</f>
        <v>24.890999999999998</v>
      </c>
      <c r="X74" s="507">
        <f>SUM(W74:W77)/SUM(K74:K77)</f>
        <v>1.055614176867316</v>
      </c>
      <c r="Y74" s="216">
        <v>0</v>
      </c>
      <c r="Z74" s="42">
        <v>0</v>
      </c>
      <c r="AA74" s="54">
        <f>SUM(U74:U77)-SUM(W74:W77)-SUM(Z74:Z77)-SUM(Y74:Y77)</f>
        <v>-4.6691391799999957</v>
      </c>
      <c r="AB74" s="54">
        <f>(SUM(K74:K77)-SUM(W74:W77)-SUM(Y74:Y77)-SUM(Z74:Z77)-SUM(AC74:AC77)-SUM(V74:V77))-AA74</f>
        <v>4.1579999999932227E-3</v>
      </c>
      <c r="AC74" s="42">
        <f>K74-T74</f>
        <v>0</v>
      </c>
      <c r="AD74" s="42">
        <f>+AM74+BA74</f>
        <v>0</v>
      </c>
      <c r="AE74" s="234" t="s">
        <v>394</v>
      </c>
      <c r="AF74" s="42">
        <v>0</v>
      </c>
      <c r="AG74" s="42"/>
      <c r="AH74" s="42"/>
      <c r="AI74" s="508"/>
      <c r="AJ74" s="42"/>
      <c r="AK74" s="42"/>
      <c r="AL74" s="42"/>
      <c r="AM74" s="42">
        <f>SUM(AF74:AL74)+AT74+AV74+AX74</f>
        <v>0</v>
      </c>
      <c r="AN74" s="42"/>
      <c r="AO74" s="42"/>
      <c r="AP74" s="42"/>
      <c r="AQ74" s="42"/>
      <c r="AR74" s="42">
        <f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>+AR74+AS74+AU74+AW74+AY74+AZ74</f>
        <v>0</v>
      </c>
      <c r="BB74" s="38">
        <v>0</v>
      </c>
      <c r="BC74" s="56"/>
      <c r="BD74" s="56"/>
      <c r="BE74" s="38"/>
      <c r="BF74" s="56"/>
    </row>
    <row r="75" spans="1:58" ht="12.95" customHeight="1">
      <c r="A75" s="45"/>
      <c r="B75" s="46" t="s">
        <v>8</v>
      </c>
      <c r="C75" s="454">
        <f>(M75*E75*O75*Q75)/100000000</f>
        <v>45.509309999999999</v>
      </c>
      <c r="D75" s="46" t="s">
        <v>451</v>
      </c>
      <c r="E75" s="47">
        <v>30</v>
      </c>
      <c r="F75" s="47">
        <v>1</v>
      </c>
      <c r="G75" s="505">
        <v>545</v>
      </c>
      <c r="H75" s="49">
        <v>0.12</v>
      </c>
      <c r="I75" s="50">
        <v>0.88</v>
      </c>
      <c r="J75" s="87">
        <f>E75*G75*(1-H75)*1440/1000000*3.4</f>
        <v>70.443647999999996</v>
      </c>
      <c r="K75" s="87">
        <f>(IF(G75&lt;L75,L75,G75)*(1-IF(H75&lt;N75,H75,N75))*E75*O75*Q75)/100000000</f>
        <v>45.509309999999999</v>
      </c>
      <c r="L75" s="40">
        <v>550</v>
      </c>
      <c r="M75" s="40">
        <f>+L75-L75*0.12</f>
        <v>484</v>
      </c>
      <c r="N75" s="51">
        <f>1-(M75/L75)</f>
        <v>0.12</v>
      </c>
      <c r="O75" s="52">
        <f>+'Trim Rwd'!H49</f>
        <v>315</v>
      </c>
      <c r="P75" s="53">
        <f>O75*(Q75-R75-S75)</f>
        <v>310275</v>
      </c>
      <c r="Q75" s="52">
        <v>995</v>
      </c>
      <c r="R75" s="506">
        <v>0</v>
      </c>
      <c r="S75" s="506">
        <v>10</v>
      </c>
      <c r="T75" s="42">
        <f>E75*M75*O75*Q75/100000000</f>
        <v>45.509309999999999</v>
      </c>
      <c r="U75" s="42">
        <f>E75*M75*O75*(Q75-R75-S75)/100000000</f>
        <v>45.051929999999999</v>
      </c>
      <c r="V75" s="42">
        <f>E75*G75*(1-N75)*O75/100*(R75+S75)/1000000</f>
        <v>0.45322200000000001</v>
      </c>
      <c r="W75" s="42">
        <f>+'14'!K16/1000</f>
        <v>45.110999999999997</v>
      </c>
      <c r="X75" s="43"/>
      <c r="Y75" s="216"/>
      <c r="Z75" s="42">
        <f>+'14'!D25/1000</f>
        <v>0.28999999999999998</v>
      </c>
      <c r="AA75" s="42"/>
      <c r="AB75" s="42"/>
      <c r="AC75" s="42"/>
      <c r="AD75" s="42">
        <f>+AM75+BA75</f>
        <v>2</v>
      </c>
      <c r="AE75" s="234" t="s">
        <v>392</v>
      </c>
      <c r="AF75" s="42"/>
      <c r="AG75" s="42">
        <v>2</v>
      </c>
      <c r="AH75" s="42"/>
      <c r="AI75" s="508"/>
      <c r="AJ75" s="42"/>
      <c r="AK75" s="42"/>
      <c r="AL75" s="42"/>
      <c r="AM75" s="42">
        <f>SUM(AF75:AL75)+AT75+AV75+AX75</f>
        <v>2</v>
      </c>
      <c r="AN75" s="88"/>
      <c r="AO75" s="42"/>
      <c r="AP75" s="42"/>
      <c r="AQ75" s="42"/>
      <c r="AR75" s="42">
        <f>SUM(AN75:AQ75)</f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>+AR75+AS75+AU75+AW75+AY75+AZ75</f>
        <v>0</v>
      </c>
      <c r="BB75" s="55"/>
      <c r="BC75" s="56">
        <v>1</v>
      </c>
      <c r="BD75" s="56"/>
      <c r="BE75" s="55"/>
      <c r="BF75" s="56"/>
    </row>
    <row r="76" spans="1:58" ht="12.95" customHeight="1">
      <c r="A76" s="45"/>
      <c r="B76" s="46"/>
      <c r="C76" s="454"/>
      <c r="D76" s="46"/>
      <c r="E76" s="47"/>
      <c r="F76" s="47"/>
      <c r="G76" s="505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06"/>
      <c r="S76" s="506"/>
      <c r="T76" s="42"/>
      <c r="U76" s="42"/>
      <c r="V76" s="42"/>
      <c r="W76" s="42"/>
      <c r="X76" s="43"/>
      <c r="Y76" s="216"/>
      <c r="Z76" s="42"/>
      <c r="AA76" s="42"/>
      <c r="AB76" s="42"/>
      <c r="AC76" s="42"/>
      <c r="AD76" s="42">
        <f>+AM76+BA76</f>
        <v>10</v>
      </c>
      <c r="AE76" s="234" t="s">
        <v>226</v>
      </c>
      <c r="AF76" s="38"/>
      <c r="AG76" s="38"/>
      <c r="AH76" s="42">
        <v>10</v>
      </c>
      <c r="AI76" s="508"/>
      <c r="AJ76" s="42"/>
      <c r="AK76" s="42"/>
      <c r="AL76" s="42"/>
      <c r="AM76" s="42">
        <f>SUM(AF76:AL76)+AT76+AV76+AX76</f>
        <v>10</v>
      </c>
      <c r="AN76" s="42"/>
      <c r="AO76" s="42"/>
      <c r="AP76" s="42"/>
      <c r="AQ76" s="42"/>
      <c r="AR76" s="42">
        <f>SUM(AN76:AQ76)</f>
        <v>0</v>
      </c>
      <c r="AS76" s="42"/>
      <c r="AT76" s="42"/>
      <c r="AU76" s="42"/>
      <c r="AV76" s="42"/>
      <c r="AW76" s="42"/>
      <c r="AX76" s="42"/>
      <c r="AY76" s="42"/>
      <c r="AZ76" s="42"/>
      <c r="BA76" s="42">
        <f>+AR76+AS76+AU76+AW76+AY76+AZ76</f>
        <v>0</v>
      </c>
      <c r="BB76" s="38"/>
      <c r="BC76" s="509"/>
      <c r="BD76" s="56"/>
      <c r="BE76" s="56"/>
      <c r="BF76" s="56"/>
    </row>
    <row r="77" spans="1:58" ht="12.95" customHeight="1">
      <c r="A77" s="45"/>
      <c r="B77" s="46"/>
      <c r="C77" s="454"/>
      <c r="D77" s="46"/>
      <c r="E77" s="47"/>
      <c r="F77" s="47"/>
      <c r="G77" s="505"/>
      <c r="H77" s="49"/>
      <c r="I77" s="50"/>
      <c r="J77" s="87"/>
      <c r="K77" s="87"/>
      <c r="L77" s="40"/>
      <c r="M77" s="40"/>
      <c r="N77" s="51"/>
      <c r="O77" s="52"/>
      <c r="P77" s="53"/>
      <c r="Q77" s="52"/>
      <c r="R77" s="506"/>
      <c r="S77" s="506"/>
      <c r="T77" s="42"/>
      <c r="U77" s="42"/>
      <c r="V77" s="42"/>
      <c r="W77" s="42"/>
      <c r="X77" s="43"/>
      <c r="Y77" s="216"/>
      <c r="Z77" s="42"/>
      <c r="AA77" s="42"/>
      <c r="AB77" s="42"/>
      <c r="AC77" s="42"/>
      <c r="AD77" s="42">
        <f>+AM77+BA77</f>
        <v>3</v>
      </c>
      <c r="AE77" s="587" t="s">
        <v>463</v>
      </c>
      <c r="AF77" s="42"/>
      <c r="AG77" s="42"/>
      <c r="AH77" s="42"/>
      <c r="AI77" s="42">
        <v>3</v>
      </c>
      <c r="AJ77" s="42"/>
      <c r="AK77" s="42"/>
      <c r="AL77" s="42"/>
      <c r="AM77" s="42">
        <f>SUM(AF77:AL77)+AT77+AV77+AX77</f>
        <v>3</v>
      </c>
      <c r="AN77" s="42"/>
      <c r="AO77" s="42"/>
      <c r="AP77" s="42"/>
      <c r="AQ77" s="42"/>
      <c r="AR77" s="42">
        <f>SUM(AN77:AQ77)</f>
        <v>0</v>
      </c>
      <c r="AS77" s="42"/>
      <c r="AT77" s="42"/>
      <c r="AU77" s="42"/>
      <c r="AV77" s="42"/>
      <c r="AW77" s="42"/>
      <c r="AX77" s="42"/>
      <c r="AY77" s="42"/>
      <c r="AZ77" s="42"/>
      <c r="BA77" s="42">
        <f>+AR77+AS77+AU77+AW77+AY77+AZ77</f>
        <v>0</v>
      </c>
      <c r="BB77" s="38"/>
      <c r="BC77" s="509"/>
      <c r="BD77" s="56"/>
      <c r="BE77" s="56"/>
      <c r="BF77" s="56"/>
    </row>
    <row r="78" spans="1:58" ht="12.95" customHeight="1">
      <c r="A78" s="45"/>
      <c r="B78" s="46"/>
      <c r="C78" s="454"/>
      <c r="D78" s="46"/>
      <c r="E78" s="47"/>
      <c r="F78" s="47"/>
      <c r="G78" s="505"/>
      <c r="H78" s="49"/>
      <c r="I78" s="50"/>
      <c r="J78" s="87"/>
      <c r="K78" s="87"/>
      <c r="L78" s="40"/>
      <c r="M78" s="40"/>
      <c r="N78" s="51"/>
      <c r="O78" s="52"/>
      <c r="P78" s="53"/>
      <c r="Q78" s="52"/>
      <c r="R78" s="506"/>
      <c r="S78" s="506"/>
      <c r="T78" s="42"/>
      <c r="U78" s="42"/>
      <c r="V78" s="42"/>
      <c r="W78" s="42"/>
      <c r="X78" s="507"/>
      <c r="Y78" s="216"/>
      <c r="Z78" s="42"/>
      <c r="AA78" s="54"/>
      <c r="AB78" s="54"/>
      <c r="AC78" s="42"/>
      <c r="AD78" s="42"/>
      <c r="AE78" s="237"/>
      <c r="AF78" s="42"/>
      <c r="AG78" s="42"/>
      <c r="AH78" s="42"/>
      <c r="AI78" s="508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8"/>
      <c r="BC78" s="509"/>
      <c r="BD78" s="56"/>
      <c r="BE78" s="56"/>
      <c r="BF78" s="56"/>
    </row>
    <row r="79" spans="1:58" ht="12.95" customHeight="1">
      <c r="A79" s="45">
        <v>45945</v>
      </c>
      <c r="B79" s="46" t="s">
        <v>8</v>
      </c>
      <c r="C79" s="454">
        <f>(M79*E79*O79*Q79)/100000000</f>
        <v>2.7442799999999998</v>
      </c>
      <c r="D79" s="46" t="s">
        <v>451</v>
      </c>
      <c r="E79" s="47">
        <v>30</v>
      </c>
      <c r="F79" s="47">
        <v>1</v>
      </c>
      <c r="G79" s="505">
        <v>545</v>
      </c>
      <c r="H79" s="49">
        <v>0.12</v>
      </c>
      <c r="I79" s="50">
        <v>0.88</v>
      </c>
      <c r="J79" s="87">
        <f>E79*G79*(1-H79)*1440/1000000*3.4</f>
        <v>70.443647999999996</v>
      </c>
      <c r="K79" s="87">
        <f>(IF(G79&lt;L79,L79,G79)*(1-IF(H79&lt;N79,H79,N79))*E79*O79*Q79)/100000000</f>
        <v>2.7442799999999998</v>
      </c>
      <c r="L79" s="40">
        <v>550</v>
      </c>
      <c r="M79" s="40">
        <f>+L79-L79*0.12</f>
        <v>484</v>
      </c>
      <c r="N79" s="51">
        <f>1-(M79/L79)</f>
        <v>0.12</v>
      </c>
      <c r="O79" s="52">
        <f>+'Trim Rwd'!H51</f>
        <v>315</v>
      </c>
      <c r="P79" s="53">
        <f>O79*(Q79-R79-S79)</f>
        <v>17325</v>
      </c>
      <c r="Q79" s="52">
        <v>60</v>
      </c>
      <c r="R79" s="506">
        <v>0</v>
      </c>
      <c r="S79" s="506">
        <v>5</v>
      </c>
      <c r="T79" s="42">
        <f>E79*M79*O79*Q79/100000000</f>
        <v>2.7442799999999998</v>
      </c>
      <c r="U79" s="42">
        <f>E79*M79*O79*(Q79-R79-S79)/100000000</f>
        <v>2.51559</v>
      </c>
      <c r="V79" s="42">
        <f>E79*G79*(1-N79)*O79/100*(R79+S79)/1000000</f>
        <v>0.22661100000000001</v>
      </c>
      <c r="W79" s="42">
        <f>+'15'!K16/1000</f>
        <v>10.84</v>
      </c>
      <c r="X79" s="507">
        <f>SUM(W79:W82)/SUM(K79:K82)</f>
        <v>0.89034242852245338</v>
      </c>
      <c r="Y79" s="216">
        <v>0</v>
      </c>
      <c r="Z79" s="42">
        <f>+'12'!D51/1000</f>
        <v>0</v>
      </c>
      <c r="AA79" s="54">
        <f>SUM(U79:U82)-SUM(W79:W82)-SUM(Z79:Z82)-SUM(Y79:Y82)</f>
        <v>3.4626441599999946</v>
      </c>
      <c r="AB79" s="54">
        <f>(SUM(K79:K82)-SUM(W79:W82)-SUM(Y79:Y82)-SUM(Z79:Z82)-SUM(AC79:AC82)-SUM(V79:V82))-AA79</f>
        <v>2.0789999999974995E-3</v>
      </c>
      <c r="AC79" s="42">
        <f>K79-T79</f>
        <v>0</v>
      </c>
      <c r="AD79" s="42">
        <f>+AM79+BA79</f>
        <v>2</v>
      </c>
      <c r="AE79" s="234" t="s">
        <v>391</v>
      </c>
      <c r="AF79" s="42">
        <v>2</v>
      </c>
      <c r="AG79" s="42"/>
      <c r="AH79" s="42"/>
      <c r="AI79" s="508"/>
      <c r="AJ79" s="42"/>
      <c r="AK79" s="42"/>
      <c r="AL79" s="42"/>
      <c r="AM79" s="42">
        <f>SUM(AF79:AL79)+AT79+AV79+AX79</f>
        <v>2</v>
      </c>
      <c r="AN79" s="42"/>
      <c r="AO79" s="42"/>
      <c r="AP79" s="42"/>
      <c r="AQ79" s="42"/>
      <c r="AR79" s="42">
        <f>SUM(AN79:AQ79)</f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38">
        <v>1</v>
      </c>
      <c r="BC79" s="56"/>
      <c r="BD79" s="56"/>
      <c r="BE79" s="38"/>
      <c r="BF79" s="56"/>
    </row>
    <row r="80" spans="1:58" ht="12.95" customHeight="1">
      <c r="A80" s="45"/>
      <c r="B80" s="46" t="s">
        <v>462</v>
      </c>
      <c r="C80" s="454">
        <f>(M80*E80*O80*Q80)/100000000</f>
        <v>30.834018599999997</v>
      </c>
      <c r="D80" s="46" t="s">
        <v>384</v>
      </c>
      <c r="E80" s="47">
        <v>17</v>
      </c>
      <c r="F80" s="47">
        <v>1</v>
      </c>
      <c r="G80" s="505">
        <v>830</v>
      </c>
      <c r="H80" s="49">
        <v>0.14000000000000001</v>
      </c>
      <c r="I80" s="50">
        <v>0.88</v>
      </c>
      <c r="J80" s="87">
        <f>E80*G80*(1-H80)*1440/1000000*3.4</f>
        <v>59.411001599999999</v>
      </c>
      <c r="K80" s="87">
        <f>(IF(G80&lt;L80,L80,G80)*(1-IF(H80&lt;N80,H80,N80))*E80*O80*Q80)/100000000</f>
        <v>30.834018599999997</v>
      </c>
      <c r="L80" s="40">
        <v>830</v>
      </c>
      <c r="M80" s="40">
        <f>+L80-L80*0.14</f>
        <v>713.8</v>
      </c>
      <c r="N80" s="51">
        <f>1-(M80/L80)</f>
        <v>0.14000000000000001</v>
      </c>
      <c r="O80" s="52">
        <f>+'Trim Rwd'!H52</f>
        <v>330</v>
      </c>
      <c r="P80" s="53">
        <f>O80*(Q80-R80-S80)</f>
        <v>244200</v>
      </c>
      <c r="Q80" s="52">
        <v>770</v>
      </c>
      <c r="R80" s="506">
        <v>0</v>
      </c>
      <c r="S80" s="506">
        <v>30</v>
      </c>
      <c r="T80" s="42">
        <f>E80*M80*O80*Q80/100000000</f>
        <v>30.834018599999997</v>
      </c>
      <c r="U80" s="42">
        <f>E80*M80*O80*(Q80-R80-S80)/100000000</f>
        <v>29.632693199999995</v>
      </c>
      <c r="V80" s="42">
        <f>E80*G80*(1-N80)*O80/100*(R80+S80)/1000000</f>
        <v>1.2013254</v>
      </c>
      <c r="W80" s="42">
        <f>+'15'!K19/1000</f>
        <v>23.266999999999999</v>
      </c>
      <c r="X80" s="43"/>
      <c r="Y80" s="216"/>
      <c r="Z80" s="42">
        <f>+'15'!D34/1000</f>
        <v>0.33</v>
      </c>
      <c r="AA80" s="42"/>
      <c r="AB80" s="42"/>
      <c r="AC80" s="42">
        <f>K80-T80</f>
        <v>0</v>
      </c>
      <c r="AD80" s="42">
        <f>+AM80+BA80</f>
        <v>17</v>
      </c>
      <c r="AE80" s="234" t="s">
        <v>480</v>
      </c>
      <c r="AF80" s="42"/>
      <c r="AG80" s="42">
        <v>17</v>
      </c>
      <c r="AH80" s="42"/>
      <c r="AI80" s="508"/>
      <c r="AJ80" s="42"/>
      <c r="AK80" s="42"/>
      <c r="AL80" s="42"/>
      <c r="AM80" s="42">
        <f>SUM(AF80:AL80)+AT80+AV80+AX80</f>
        <v>17</v>
      </c>
      <c r="AN80" s="88"/>
      <c r="AO80" s="42"/>
      <c r="AP80" s="42"/>
      <c r="AQ80" s="42"/>
      <c r="AR80" s="42">
        <f>SUM(AN80:AQ80)</f>
        <v>0</v>
      </c>
      <c r="AS80" s="42"/>
      <c r="AT80" s="42"/>
      <c r="AU80" s="42"/>
      <c r="AV80" s="42"/>
      <c r="AW80" s="42"/>
      <c r="AX80" s="42"/>
      <c r="AY80" s="42"/>
      <c r="AZ80" s="42"/>
      <c r="BA80" s="42">
        <f>+AR80+AS80+AU80+AW80+AY80+AZ80</f>
        <v>0</v>
      </c>
      <c r="BB80" s="55"/>
      <c r="BC80" s="56">
        <v>4</v>
      </c>
      <c r="BD80" s="56"/>
      <c r="BE80" s="55"/>
      <c r="BF80" s="56"/>
    </row>
    <row r="81" spans="1:58" ht="12.95" customHeight="1">
      <c r="A81" s="45"/>
      <c r="B81" s="46" t="s">
        <v>462</v>
      </c>
      <c r="C81" s="454">
        <f>(M81*E81*O81*Q81)/100000000</f>
        <v>22.432735359999999</v>
      </c>
      <c r="D81" s="46" t="s">
        <v>384</v>
      </c>
      <c r="E81" s="47">
        <v>16</v>
      </c>
      <c r="F81" s="47">
        <v>1</v>
      </c>
      <c r="G81" s="505">
        <v>830</v>
      </c>
      <c r="H81" s="49">
        <v>0.14000000000000001</v>
      </c>
      <c r="I81" s="50">
        <v>0.88</v>
      </c>
      <c r="J81" s="87">
        <f>E81*G81*(1-H81)*1440/1000000*3.4</f>
        <v>55.916236799999993</v>
      </c>
      <c r="K81" s="87">
        <f>(IF(G81&lt;L81,L81,G81)*(1-IF(H81&lt;N81,H81,N81))*E81*O81*Q81)/100000000</f>
        <v>22.432735359999999</v>
      </c>
      <c r="L81" s="40">
        <v>830</v>
      </c>
      <c r="M81" s="40">
        <f>+L81-L81*0.14</f>
        <v>713.8</v>
      </c>
      <c r="N81" s="51">
        <f>1-(M81/L81)</f>
        <v>0.14000000000000001</v>
      </c>
      <c r="O81" s="52">
        <f>+'Trim Rwd'!H53</f>
        <v>322</v>
      </c>
      <c r="P81" s="53">
        <f>O81*(Q81-R81-S81)</f>
        <v>188370</v>
      </c>
      <c r="Q81" s="52">
        <v>610</v>
      </c>
      <c r="R81" s="506">
        <v>0</v>
      </c>
      <c r="S81" s="506">
        <v>25</v>
      </c>
      <c r="T81" s="42">
        <f>E81*M81*O81*Q81/100000000</f>
        <v>22.432735359999999</v>
      </c>
      <c r="U81" s="42">
        <f>E81*M81*O81*(Q81-R81-S81)/100000000</f>
        <v>21.51336096</v>
      </c>
      <c r="V81" s="42">
        <f>E81*G81*(1-N81)*O81/100*(R81+S81)/1000000</f>
        <v>0.91937439999999993</v>
      </c>
      <c r="W81" s="42">
        <f>+'15'!K20/1000</f>
        <v>15.762</v>
      </c>
      <c r="X81" s="43"/>
      <c r="Y81" s="216"/>
      <c r="Z81" s="42"/>
      <c r="AA81" s="42"/>
      <c r="AB81" s="42"/>
      <c r="AC81" s="42">
        <f>K81-T81</f>
        <v>0</v>
      </c>
      <c r="AD81" s="42">
        <f>+AM81+BA81</f>
        <v>10</v>
      </c>
      <c r="AE81" s="234" t="s">
        <v>226</v>
      </c>
      <c r="AF81" s="38"/>
      <c r="AG81" s="38"/>
      <c r="AH81" s="42">
        <v>10</v>
      </c>
      <c r="AI81" s="508"/>
      <c r="AJ81" s="42"/>
      <c r="AK81" s="42"/>
      <c r="AL81" s="42"/>
      <c r="AM81" s="42">
        <f>SUM(AF81:AL81)+AT81+AV81+AX81</f>
        <v>10</v>
      </c>
      <c r="AN81" s="42"/>
      <c r="AO81" s="42"/>
      <c r="AP81" s="42"/>
      <c r="AQ81" s="42"/>
      <c r="AR81" s="42">
        <f>SUM(AN81:AQ81)</f>
        <v>0</v>
      </c>
      <c r="AS81" s="42"/>
      <c r="AT81" s="42"/>
      <c r="AU81" s="42"/>
      <c r="AV81" s="42"/>
      <c r="AW81" s="42"/>
      <c r="AX81" s="42"/>
      <c r="AY81" s="42"/>
      <c r="AZ81" s="42"/>
      <c r="BA81" s="42">
        <f>+AR81+AS81+AU81+AW81+AY81+AZ81</f>
        <v>0</v>
      </c>
      <c r="BB81" s="38"/>
      <c r="BC81" s="509"/>
      <c r="BD81" s="56"/>
      <c r="BE81" s="56"/>
      <c r="BF81" s="56"/>
    </row>
    <row r="82" spans="1:58" ht="12.95" customHeight="1">
      <c r="A82" s="45"/>
      <c r="B82" s="46"/>
      <c r="C82" s="454"/>
      <c r="D82" s="46"/>
      <c r="E82" s="47"/>
      <c r="F82" s="47"/>
      <c r="G82" s="505"/>
      <c r="H82" s="49"/>
      <c r="I82" s="50"/>
      <c r="J82" s="87"/>
      <c r="K82" s="87"/>
      <c r="L82" s="40"/>
      <c r="M82" s="40"/>
      <c r="N82" s="51"/>
      <c r="O82" s="52"/>
      <c r="P82" s="53"/>
      <c r="Q82" s="52"/>
      <c r="R82" s="506"/>
      <c r="S82" s="506"/>
      <c r="T82" s="42"/>
      <c r="U82" s="42"/>
      <c r="V82" s="42"/>
      <c r="W82" s="42"/>
      <c r="X82" s="43"/>
      <c r="Y82" s="216"/>
      <c r="Z82" s="42"/>
      <c r="AA82" s="42"/>
      <c r="AB82" s="42"/>
      <c r="AC82" s="42"/>
      <c r="AD82" s="42">
        <f>+AM82+BA82</f>
        <v>31</v>
      </c>
      <c r="AE82" s="587" t="s">
        <v>463</v>
      </c>
      <c r="AF82" s="42"/>
      <c r="AG82" s="42"/>
      <c r="AH82" s="42"/>
      <c r="AI82" s="42">
        <v>31</v>
      </c>
      <c r="AJ82" s="42"/>
      <c r="AK82" s="42"/>
      <c r="AL82" s="42"/>
      <c r="AM82" s="42">
        <f>SUM(AF82:AL82)+AT82+AV82+AX82</f>
        <v>31</v>
      </c>
      <c r="AN82" s="42"/>
      <c r="AO82" s="42"/>
      <c r="AP82" s="42"/>
      <c r="AQ82" s="42"/>
      <c r="AR82" s="42">
        <f>SUM(AN82:AQ82)</f>
        <v>0</v>
      </c>
      <c r="AS82" s="42"/>
      <c r="AT82" s="42"/>
      <c r="AU82" s="42"/>
      <c r="AV82" s="42"/>
      <c r="AW82" s="42"/>
      <c r="AX82" s="42"/>
      <c r="AY82" s="42"/>
      <c r="AZ82" s="42"/>
      <c r="BA82" s="42">
        <f>+AR82+AS82+AU82+AW82+AY82+AZ82</f>
        <v>0</v>
      </c>
      <c r="BB82" s="38"/>
      <c r="BC82" s="509"/>
      <c r="BD82" s="56"/>
      <c r="BE82" s="56"/>
      <c r="BF82" s="56"/>
    </row>
    <row r="83" spans="1:58" ht="12.95" customHeight="1">
      <c r="A83" s="45"/>
      <c r="B83" s="46"/>
      <c r="C83" s="454"/>
      <c r="D83" s="46"/>
      <c r="E83" s="47"/>
      <c r="F83" s="47"/>
      <c r="G83" s="505"/>
      <c r="H83" s="49"/>
      <c r="I83" s="50"/>
      <c r="J83" s="87"/>
      <c r="K83" s="87"/>
      <c r="L83" s="40"/>
      <c r="M83" s="40"/>
      <c r="N83" s="51"/>
      <c r="O83" s="52"/>
      <c r="P83" s="53"/>
      <c r="Q83" s="52"/>
      <c r="R83" s="506"/>
      <c r="S83" s="506"/>
      <c r="T83" s="42"/>
      <c r="U83" s="42"/>
      <c r="V83" s="42"/>
      <c r="W83" s="42"/>
      <c r="X83" s="43"/>
      <c r="Y83" s="216"/>
      <c r="Z83" s="42"/>
      <c r="AA83" s="54"/>
      <c r="AB83" s="54"/>
      <c r="AC83" s="42"/>
      <c r="AD83" s="42"/>
      <c r="AE83" s="237"/>
      <c r="AF83" s="42"/>
      <c r="AG83" s="42"/>
      <c r="AH83" s="42"/>
      <c r="AI83" s="508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8"/>
      <c r="BC83" s="509"/>
      <c r="BD83" s="56"/>
      <c r="BE83" s="56"/>
      <c r="BF83" s="56"/>
    </row>
    <row r="84" spans="1:58" ht="12.95" customHeight="1">
      <c r="A84" s="45">
        <v>45946</v>
      </c>
      <c r="B84" s="46" t="s">
        <v>462</v>
      </c>
      <c r="C84" s="454">
        <f>(M84*E84*O84*Q84)/100000000</f>
        <v>52.955965439999993</v>
      </c>
      <c r="D84" s="46" t="s">
        <v>384</v>
      </c>
      <c r="E84" s="47">
        <v>16</v>
      </c>
      <c r="F84" s="47">
        <v>1</v>
      </c>
      <c r="G84" s="505">
        <v>830</v>
      </c>
      <c r="H84" s="49">
        <v>0.14000000000000001</v>
      </c>
      <c r="I84" s="50">
        <v>0.88</v>
      </c>
      <c r="J84" s="87">
        <f>E84*G84*(1-H84)*1440/1000000*3.4</f>
        <v>55.916236799999993</v>
      </c>
      <c r="K84" s="87">
        <f>(IF(G84&lt;L84,L84,G84)*(1-IF(H84&lt;N84,H84,N84))*E84*O84*Q84)/100000000</f>
        <v>52.955965439999993</v>
      </c>
      <c r="L84" s="40">
        <v>830</v>
      </c>
      <c r="M84" s="40">
        <f>+L84-L84*0.14</f>
        <v>713.8</v>
      </c>
      <c r="N84" s="51">
        <f>1-(M84/L84)</f>
        <v>0.14000000000000001</v>
      </c>
      <c r="O84" s="52">
        <f>+'Trim Rwd'!H55</f>
        <v>322</v>
      </c>
      <c r="P84" s="53">
        <f>O84*(Q84-R84-S84)</f>
        <v>255990</v>
      </c>
      <c r="Q84" s="52">
        <v>1440</v>
      </c>
      <c r="R84" s="506">
        <v>0</v>
      </c>
      <c r="S84" s="506">
        <v>645</v>
      </c>
      <c r="T84" s="42">
        <f>E84*M84*O84*Q84/100000000</f>
        <v>52.955965439999993</v>
      </c>
      <c r="U84" s="42">
        <f>E84*M84*O84*(Q84-R84-S84)/100000000</f>
        <v>29.236105919999996</v>
      </c>
      <c r="V84" s="42">
        <f>E84*G84*(1-N84)*O84/100*(R84+S84)/1000000</f>
        <v>23.719859519999996</v>
      </c>
      <c r="W84" s="42">
        <f>+'16'!K20/1000</f>
        <v>24.524000000000001</v>
      </c>
      <c r="X84" s="507">
        <f>SUM(W84:W87)/SUM(K84:K87)</f>
        <v>0.46310174493534839</v>
      </c>
      <c r="Y84" s="216">
        <v>0</v>
      </c>
      <c r="Z84" s="42">
        <f>+'16'!D34/1000</f>
        <v>1.26</v>
      </c>
      <c r="AA84" s="54">
        <f>SUM(U84:U87)-SUM(W84:W87)-SUM(Z84:Z87)-SUM(Y84:Y87)</f>
        <v>3.4521059199999957</v>
      </c>
      <c r="AB84" s="54">
        <f>(SUM(K84:K87)-SUM(W84:W87)-SUM(Y84:Y87)-SUM(Z84:Z87)-SUM(AC84:AC87)-SUM(V84:V87))-AA84</f>
        <v>0</v>
      </c>
      <c r="AC84" s="42">
        <f>K84-T84</f>
        <v>0</v>
      </c>
      <c r="AD84" s="42">
        <f>+AM84+BA84</f>
        <v>3</v>
      </c>
      <c r="AE84" s="234" t="s">
        <v>452</v>
      </c>
      <c r="AF84" s="42">
        <v>3</v>
      </c>
      <c r="AG84" s="42"/>
      <c r="AH84" s="42"/>
      <c r="AI84" s="508"/>
      <c r="AJ84" s="42"/>
      <c r="AK84" s="42"/>
      <c r="AL84" s="42"/>
      <c r="AM84" s="42">
        <f>SUM(AF84:AL84)+AT84+AV84+AX84</f>
        <v>3</v>
      </c>
      <c r="AN84" s="42"/>
      <c r="AO84" s="42"/>
      <c r="AP84" s="42"/>
      <c r="AQ84" s="42"/>
      <c r="AR84" s="42">
        <f>SUM(AN84:AQ84)</f>
        <v>0</v>
      </c>
      <c r="AS84" s="42"/>
      <c r="AT84" s="42"/>
      <c r="AU84" s="42"/>
      <c r="AV84" s="42"/>
      <c r="AW84" s="42"/>
      <c r="AX84" s="42"/>
      <c r="AY84" s="42"/>
      <c r="AZ84" s="42"/>
      <c r="BA84" s="42">
        <f>+AR84+AS84+AU84+AW84+AY84+AZ84</f>
        <v>0</v>
      </c>
      <c r="BB84" s="38">
        <v>2</v>
      </c>
      <c r="BC84" s="56"/>
      <c r="BD84" s="56"/>
      <c r="BE84" s="38"/>
      <c r="BF84" s="56"/>
    </row>
    <row r="85" spans="1:58" ht="12.95" customHeight="1">
      <c r="A85" s="45"/>
      <c r="B85" s="46"/>
      <c r="C85" s="454"/>
      <c r="D85" s="46"/>
      <c r="E85" s="47"/>
      <c r="F85" s="47"/>
      <c r="G85" s="505"/>
      <c r="H85" s="49"/>
      <c r="I85" s="50"/>
      <c r="J85" s="87"/>
      <c r="K85" s="87"/>
      <c r="L85" s="40"/>
      <c r="M85" s="40"/>
      <c r="N85" s="51"/>
      <c r="O85" s="52"/>
      <c r="P85" s="53"/>
      <c r="Q85" s="52"/>
      <c r="R85" s="506"/>
      <c r="S85" s="506"/>
      <c r="T85" s="42"/>
      <c r="U85" s="42"/>
      <c r="V85" s="42"/>
      <c r="W85" s="42"/>
      <c r="X85" s="43"/>
      <c r="Y85" s="216"/>
      <c r="Z85" s="42"/>
      <c r="AA85" s="42"/>
      <c r="AB85" s="42"/>
      <c r="AC85" s="42">
        <f>K85-T85</f>
        <v>0</v>
      </c>
      <c r="AD85" s="42">
        <f>+AM85+BA85</f>
        <v>17</v>
      </c>
      <c r="AE85" s="234" t="s">
        <v>481</v>
      </c>
      <c r="AF85" s="42"/>
      <c r="AG85" s="42">
        <v>17</v>
      </c>
      <c r="AH85" s="42"/>
      <c r="AI85" s="508"/>
      <c r="AJ85" s="42"/>
      <c r="AK85" s="42"/>
      <c r="AL85" s="42"/>
      <c r="AM85" s="42">
        <f>SUM(AF85:AL85)+AT85+AV85+AX85</f>
        <v>17</v>
      </c>
      <c r="AN85" s="88"/>
      <c r="AO85" s="42"/>
      <c r="AP85" s="42"/>
      <c r="AQ85" s="42"/>
      <c r="AR85" s="42">
        <f>SUM(AN85:AQ85)</f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>+AR85+AS85+AU85+AW85+AY85+AZ85</f>
        <v>0</v>
      </c>
      <c r="BB85" s="55"/>
      <c r="BC85" s="56">
        <v>6</v>
      </c>
      <c r="BD85" s="56"/>
      <c r="BE85" s="55"/>
      <c r="BF85" s="56"/>
    </row>
    <row r="86" spans="1:58" ht="12.95" customHeight="1">
      <c r="A86" s="45"/>
      <c r="B86" s="46"/>
      <c r="C86" s="454"/>
      <c r="D86" s="46"/>
      <c r="E86" s="47"/>
      <c r="F86" s="47"/>
      <c r="G86" s="505"/>
      <c r="H86" s="49"/>
      <c r="I86" s="50"/>
      <c r="J86" s="87"/>
      <c r="K86" s="87"/>
      <c r="L86" s="40"/>
      <c r="M86" s="40"/>
      <c r="N86" s="51"/>
      <c r="O86" s="52"/>
      <c r="P86" s="53"/>
      <c r="Q86" s="52"/>
      <c r="R86" s="506"/>
      <c r="S86" s="506"/>
      <c r="T86" s="42"/>
      <c r="U86" s="42"/>
      <c r="V86" s="42"/>
      <c r="W86" s="42"/>
      <c r="X86" s="43"/>
      <c r="Y86" s="216"/>
      <c r="Z86" s="42"/>
      <c r="AA86" s="42"/>
      <c r="AB86" s="42"/>
      <c r="AC86" s="42"/>
      <c r="AD86" s="42">
        <f>+AM86+BA86</f>
        <v>15</v>
      </c>
      <c r="AE86" s="234" t="s">
        <v>226</v>
      </c>
      <c r="AF86" s="38"/>
      <c r="AG86" s="38"/>
      <c r="AH86" s="42">
        <v>15</v>
      </c>
      <c r="AI86" s="508"/>
      <c r="AJ86" s="42"/>
      <c r="AK86" s="42"/>
      <c r="AL86" s="42"/>
      <c r="AM86" s="42">
        <f>SUM(AF86:AL86)+AT86+AV86+AX86</f>
        <v>15</v>
      </c>
      <c r="AN86" s="42"/>
      <c r="AO86" s="42"/>
      <c r="AP86" s="42"/>
      <c r="AQ86" s="42"/>
      <c r="AR86" s="42">
        <f>SUM(AN86:AQ86)</f>
        <v>0</v>
      </c>
      <c r="AS86" s="42"/>
      <c r="AT86" s="42"/>
      <c r="AU86" s="42"/>
      <c r="AV86" s="42"/>
      <c r="AW86" s="42"/>
      <c r="AX86" s="42"/>
      <c r="AY86" s="42"/>
      <c r="AZ86" s="42"/>
      <c r="BA86" s="42">
        <f>+AR86+AS86+AU86+AW86+AY86+AZ86</f>
        <v>0</v>
      </c>
      <c r="BB86" s="38"/>
      <c r="BC86" s="509"/>
      <c r="BD86" s="56"/>
      <c r="BE86" s="56"/>
      <c r="BF86" s="56"/>
    </row>
    <row r="87" spans="1:58" ht="12.95" customHeight="1">
      <c r="A87" s="45"/>
      <c r="B87" s="46"/>
      <c r="C87" s="454"/>
      <c r="D87" s="46"/>
      <c r="E87" s="47"/>
      <c r="F87" s="47"/>
      <c r="G87" s="505"/>
      <c r="H87" s="49"/>
      <c r="I87" s="50"/>
      <c r="J87" s="87"/>
      <c r="K87" s="87"/>
      <c r="L87" s="40"/>
      <c r="M87" s="40"/>
      <c r="N87" s="51"/>
      <c r="O87" s="52"/>
      <c r="P87" s="53"/>
      <c r="Q87" s="52"/>
      <c r="R87" s="506"/>
      <c r="S87" s="506"/>
      <c r="T87" s="42"/>
      <c r="U87" s="42"/>
      <c r="V87" s="42"/>
      <c r="W87" s="42"/>
      <c r="X87" s="43"/>
      <c r="Y87" s="216"/>
      <c r="Z87" s="42"/>
      <c r="AA87" s="42"/>
      <c r="AB87" s="42"/>
      <c r="AC87" s="42"/>
      <c r="AD87" s="42">
        <f>+AM87+BA87</f>
        <v>610</v>
      </c>
      <c r="AE87" s="237" t="s">
        <v>637</v>
      </c>
      <c r="AF87" s="42"/>
      <c r="AG87" s="42"/>
      <c r="AH87" s="42"/>
      <c r="AI87" s="42">
        <v>610</v>
      </c>
      <c r="AJ87" s="42"/>
      <c r="AK87" s="42"/>
      <c r="AL87" s="42"/>
      <c r="AM87" s="42">
        <f>SUM(AF87:AL87)+AT87+AV87+AX87</f>
        <v>610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/>
      <c r="BC87" s="509"/>
      <c r="BD87" s="56"/>
      <c r="BE87" s="56"/>
      <c r="BF87" s="56"/>
    </row>
    <row r="88" spans="1:58" ht="12.95" customHeight="1">
      <c r="A88" s="45"/>
      <c r="B88" s="46"/>
      <c r="C88" s="454"/>
      <c r="D88" s="46"/>
      <c r="E88" s="47"/>
      <c r="F88" s="47"/>
      <c r="G88" s="505"/>
      <c r="H88" s="49"/>
      <c r="I88" s="50"/>
      <c r="J88" s="87"/>
      <c r="K88" s="87"/>
      <c r="L88" s="40"/>
      <c r="M88" s="40"/>
      <c r="N88" s="51"/>
      <c r="O88" s="52"/>
      <c r="P88" s="53"/>
      <c r="Q88" s="52"/>
      <c r="R88" s="506"/>
      <c r="S88" s="506"/>
      <c r="T88" s="42"/>
      <c r="U88" s="42"/>
      <c r="V88" s="42"/>
      <c r="W88" s="42"/>
      <c r="X88" s="507"/>
      <c r="Y88" s="216"/>
      <c r="Z88" s="42"/>
      <c r="AA88" s="54"/>
      <c r="AB88" s="54"/>
      <c r="AC88" s="42"/>
      <c r="AD88" s="42"/>
      <c r="AE88" s="237"/>
      <c r="AF88" s="42"/>
      <c r="AG88" s="42"/>
      <c r="AH88" s="42"/>
      <c r="AI88" s="508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8"/>
      <c r="BC88" s="509"/>
      <c r="BD88" s="56"/>
      <c r="BE88" s="56"/>
      <c r="BF88" s="56"/>
    </row>
    <row r="89" spans="1:58" ht="12.95" customHeight="1">
      <c r="A89" s="45">
        <v>45947</v>
      </c>
      <c r="B89" s="46" t="s">
        <v>462</v>
      </c>
      <c r="C89" s="454">
        <f>(M89*E89*O89*Q89)/100000000</f>
        <v>10.59099105882353</v>
      </c>
      <c r="D89" s="46" t="s">
        <v>384</v>
      </c>
      <c r="E89" s="47">
        <v>16</v>
      </c>
      <c r="F89" s="47">
        <v>1</v>
      </c>
      <c r="G89" s="505">
        <v>830</v>
      </c>
      <c r="H89" s="49">
        <v>0.14000000000000001</v>
      </c>
      <c r="I89" s="50">
        <v>0.88</v>
      </c>
      <c r="J89" s="87">
        <f>E89*G89*(1-H89)*1440/1000000*3.4</f>
        <v>55.916236799999993</v>
      </c>
      <c r="K89" s="87">
        <f>(IF(G89&lt;L89,L89,G89)*(1-IF(H89&lt;N89,H89,N89))*E89*O89*Q89)/100000000</f>
        <v>10.988153223529411</v>
      </c>
      <c r="L89" s="40">
        <v>800</v>
      </c>
      <c r="M89" s="40">
        <f>+L89-L89*0.14</f>
        <v>688</v>
      </c>
      <c r="N89" s="51">
        <f>1-(M89/L89)</f>
        <v>0.14000000000000001</v>
      </c>
      <c r="O89" s="52">
        <f>+'Trim Rwd'!H57</f>
        <v>320.70588235294116</v>
      </c>
      <c r="P89" s="53">
        <f>O89*(Q89-R89-S89)</f>
        <v>84987.058823529413</v>
      </c>
      <c r="Q89" s="52">
        <v>300</v>
      </c>
      <c r="R89" s="506">
        <v>0</v>
      </c>
      <c r="S89" s="506">
        <v>35</v>
      </c>
      <c r="T89" s="42">
        <f>E89*M89*O89*Q89/100000000</f>
        <v>10.59099105882353</v>
      </c>
      <c r="U89" s="42">
        <f>E89*M89*O89*(Q89-R89-S89)/100000000</f>
        <v>9.3553754352941176</v>
      </c>
      <c r="V89" s="42">
        <f>E89*G89*(1-N89)*O89/100*(R89+S89)/1000000</f>
        <v>1.2819512094117644</v>
      </c>
      <c r="W89" s="42">
        <f>+'17'!K20/1000</f>
        <v>15.311999999999999</v>
      </c>
      <c r="X89" s="507">
        <f>SUM(W89:W92)/SUM(K89:K92)</f>
        <v>0.81809221905780738</v>
      </c>
      <c r="Y89" s="216">
        <v>0</v>
      </c>
      <c r="Z89" s="42">
        <f>+'16'!D39/1000</f>
        <v>0</v>
      </c>
      <c r="AA89" s="54">
        <f>SUM(U89:U92)-SUM(W89:W92)-SUM(Z89:Z92)-SUM(Y89:Y92)</f>
        <v>-0.56846335042017415</v>
      </c>
      <c r="AB89" s="54">
        <f>(SUM(K89:K92)-SUM(W89:W92)-SUM(Y89:Y92)-SUM(Z89:Z92)-SUM(AC89:AC92)-SUM(V89:V92))-AA89</f>
        <v>-0.30852359391806417</v>
      </c>
      <c r="AC89" s="42">
        <f>K89-T89</f>
        <v>0.39716216470588073</v>
      </c>
      <c r="AD89" s="42">
        <f>+AM89+BA89</f>
        <v>13</v>
      </c>
      <c r="AE89" s="234" t="s">
        <v>593</v>
      </c>
      <c r="AF89" s="42">
        <v>13</v>
      </c>
      <c r="AG89" s="42"/>
      <c r="AH89" s="42"/>
      <c r="AI89" s="508"/>
      <c r="AJ89" s="42"/>
      <c r="AK89" s="42"/>
      <c r="AL89" s="42"/>
      <c r="AM89" s="42">
        <f>SUM(AF89:AL89)+AT89+AV89+AX89</f>
        <v>13</v>
      </c>
      <c r="AN89" s="42"/>
      <c r="AO89" s="42"/>
      <c r="AP89" s="42"/>
      <c r="AQ89" s="42"/>
      <c r="AR89" s="42">
        <f>SUM(AN89:AQ89)</f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>
        <v>4</v>
      </c>
      <c r="BC89" s="56"/>
      <c r="BD89" s="56"/>
      <c r="BE89" s="38"/>
      <c r="BF89" s="56"/>
    </row>
    <row r="90" spans="1:58" ht="12.95" customHeight="1">
      <c r="A90" s="45"/>
      <c r="B90" s="46" t="s">
        <v>462</v>
      </c>
      <c r="C90" s="454">
        <f>(M90*E90*O90*Q90)/100000000</f>
        <v>40.052841428571426</v>
      </c>
      <c r="D90" s="46" t="s">
        <v>384</v>
      </c>
      <c r="E90" s="47">
        <v>15.5</v>
      </c>
      <c r="F90" s="47">
        <v>1</v>
      </c>
      <c r="G90" s="505">
        <v>830</v>
      </c>
      <c r="H90" s="49">
        <v>0.14000000000000001</v>
      </c>
      <c r="I90" s="50">
        <v>0.88</v>
      </c>
      <c r="J90" s="87">
        <f>E90*G90*(1-H90)*1440/1000000*3.4</f>
        <v>54.168854400000001</v>
      </c>
      <c r="K90" s="87">
        <f>(IF(G90&lt;L90,L90,G90)*(1-IF(H90&lt;N90,H90,N90))*E90*O90*Q90)/100000000</f>
        <v>41.554822982142859</v>
      </c>
      <c r="L90" s="40">
        <v>800</v>
      </c>
      <c r="M90" s="40">
        <f>+L90-L90*0.14</f>
        <v>688</v>
      </c>
      <c r="N90" s="51">
        <f>1-(M90/L90)</f>
        <v>0.14000000000000001</v>
      </c>
      <c r="O90" s="52">
        <f>+'Trim Rwd'!H59</f>
        <v>329.46428571428572</v>
      </c>
      <c r="P90" s="53">
        <f>O90*(Q90-R90-S90)</f>
        <v>310025.89285714284</v>
      </c>
      <c r="Q90" s="52">
        <v>1140</v>
      </c>
      <c r="R90" s="506">
        <v>160</v>
      </c>
      <c r="S90" s="506">
        <f>35+4</f>
        <v>39</v>
      </c>
      <c r="T90" s="42">
        <f>E90*M90*O90*Q90/100000000</f>
        <v>40.052841428571426</v>
      </c>
      <c r="U90" s="42">
        <f>E90*M90*O90*(Q90-R90-S90)/100000000</f>
        <v>33.061161214285711</v>
      </c>
      <c r="V90" s="42">
        <f>E90*G90*(1-N90)*O90/100*(R90+S90)/1000000</f>
        <v>7.2538682223214286</v>
      </c>
      <c r="W90" s="42">
        <f>+'17'!K21/1000</f>
        <v>27.672999999999998</v>
      </c>
      <c r="X90" s="43"/>
      <c r="Y90" s="216"/>
      <c r="Z90" s="42"/>
      <c r="AA90" s="42"/>
      <c r="AB90" s="42"/>
      <c r="AC90" s="42">
        <f>K90-T90</f>
        <v>1.5019815535714329</v>
      </c>
      <c r="AD90" s="42">
        <f>+AM90+BA90</f>
        <v>28</v>
      </c>
      <c r="AE90" s="234" t="s">
        <v>653</v>
      </c>
      <c r="AF90" s="42"/>
      <c r="AG90" s="42">
        <v>28</v>
      </c>
      <c r="AH90" s="42"/>
      <c r="AI90" s="508"/>
      <c r="AJ90" s="42"/>
      <c r="AK90" s="42"/>
      <c r="AL90" s="42"/>
      <c r="AM90" s="42">
        <f>SUM(AF90:AL90)+AT90+AV90+AX90</f>
        <v>28</v>
      </c>
      <c r="AN90" s="88"/>
      <c r="AO90" s="42"/>
      <c r="AP90" s="42"/>
      <c r="AQ90" s="42"/>
      <c r="AR90" s="42">
        <f>SUM(AN90:AQ90)</f>
        <v>0</v>
      </c>
      <c r="AS90" s="42"/>
      <c r="AT90" s="42"/>
      <c r="AU90" s="42"/>
      <c r="AV90" s="42"/>
      <c r="AW90" s="42"/>
      <c r="AX90" s="42"/>
      <c r="AY90" s="42"/>
      <c r="AZ90" s="42"/>
      <c r="BA90" s="42">
        <f>+AR90+AS90+AU90+AW90+AY90+AZ90</f>
        <v>0</v>
      </c>
      <c r="BB90" s="55"/>
      <c r="BC90" s="56">
        <v>10</v>
      </c>
      <c r="BD90" s="56"/>
      <c r="BE90" s="55"/>
      <c r="BF90" s="56"/>
    </row>
    <row r="91" spans="1:58" ht="12.95" customHeight="1">
      <c r="A91" s="45"/>
      <c r="B91" s="46"/>
      <c r="C91" s="454"/>
      <c r="D91" s="46"/>
      <c r="E91" s="47"/>
      <c r="F91" s="47"/>
      <c r="G91" s="505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06"/>
      <c r="S91" s="506"/>
      <c r="T91" s="42"/>
      <c r="U91" s="42"/>
      <c r="V91" s="42"/>
      <c r="W91" s="42"/>
      <c r="X91" s="43"/>
      <c r="Y91" s="216"/>
      <c r="Z91" s="42"/>
      <c r="AA91" s="42"/>
      <c r="AB91" s="42"/>
      <c r="AC91" s="42"/>
      <c r="AD91" s="42">
        <f>+AM91+BA91</f>
        <v>29</v>
      </c>
      <c r="AE91" s="234" t="s">
        <v>226</v>
      </c>
      <c r="AF91" s="38"/>
      <c r="AG91" s="38"/>
      <c r="AH91" s="42">
        <v>29</v>
      </c>
      <c r="AI91" s="508"/>
      <c r="AJ91" s="42"/>
      <c r="AK91" s="42"/>
      <c r="AL91" s="42"/>
      <c r="AM91" s="42">
        <f>SUM(AF91:AL91)+AT91+AV91+AX91</f>
        <v>29</v>
      </c>
      <c r="AN91" s="42"/>
      <c r="AO91" s="42"/>
      <c r="AP91" s="42"/>
      <c r="AQ91" s="42"/>
      <c r="AR91" s="42">
        <f>SUM(AN91:AQ91)</f>
        <v>0</v>
      </c>
      <c r="AS91" s="42"/>
      <c r="AT91" s="42"/>
      <c r="AU91" s="42"/>
      <c r="AV91" s="42"/>
      <c r="AW91" s="42"/>
      <c r="AX91" s="42"/>
      <c r="AY91" s="42"/>
      <c r="AZ91" s="42"/>
      <c r="BA91" s="42">
        <f>+AR91+AS91+AU91+AW91+AY91+AZ91</f>
        <v>0</v>
      </c>
      <c r="BB91" s="38"/>
      <c r="BC91" s="509"/>
      <c r="BD91" s="56"/>
      <c r="BE91" s="56"/>
      <c r="BF91" s="56"/>
    </row>
    <row r="92" spans="1:58" ht="12.95" customHeight="1">
      <c r="A92" s="45"/>
      <c r="B92" s="46"/>
      <c r="C92" s="454"/>
      <c r="D92" s="46"/>
      <c r="E92" s="47"/>
      <c r="F92" s="47"/>
      <c r="G92" s="505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06"/>
      <c r="S92" s="506"/>
      <c r="T92" s="42"/>
      <c r="U92" s="42"/>
      <c r="V92" s="42"/>
      <c r="W92" s="42"/>
      <c r="X92" s="507"/>
      <c r="Y92" s="216"/>
      <c r="Z92" s="42"/>
      <c r="AA92" s="54"/>
      <c r="AB92" s="54"/>
      <c r="AC92" s="42"/>
      <c r="AD92" s="42">
        <f>+AM92+BA92</f>
        <v>4</v>
      </c>
      <c r="AE92" s="587" t="s">
        <v>463</v>
      </c>
      <c r="AF92" s="42"/>
      <c r="AG92" s="42"/>
      <c r="AH92" s="42"/>
      <c r="AI92" s="42">
        <v>4</v>
      </c>
      <c r="AJ92" s="42"/>
      <c r="AK92" s="42"/>
      <c r="AL92" s="42"/>
      <c r="AM92" s="42">
        <f>SUM(AF92:AL92)+AT92+AV92+AX92</f>
        <v>4</v>
      </c>
      <c r="AN92" s="42"/>
      <c r="AO92" s="42"/>
      <c r="AP92" s="42"/>
      <c r="AQ92" s="42"/>
      <c r="AR92" s="42">
        <f>SUM(AN92:AQ92)</f>
        <v>0</v>
      </c>
      <c r="AS92" s="42"/>
      <c r="AT92" s="42"/>
      <c r="AU92" s="42"/>
      <c r="AV92" s="42"/>
      <c r="AW92" s="42"/>
      <c r="AX92" s="42"/>
      <c r="AY92" s="42"/>
      <c r="AZ92" s="42"/>
      <c r="BA92" s="42">
        <f>+AR92+AS92+AU92+AW92+AY92+AZ92</f>
        <v>0</v>
      </c>
      <c r="BB92" s="38"/>
      <c r="BC92" s="56"/>
      <c r="BD92" s="56"/>
      <c r="BE92" s="56"/>
      <c r="BF92" s="56"/>
    </row>
    <row r="93" spans="1:58" ht="12.95" customHeight="1">
      <c r="A93" s="45"/>
      <c r="B93" s="46"/>
      <c r="C93" s="454"/>
      <c r="D93" s="46"/>
      <c r="E93" s="47"/>
      <c r="F93" s="47"/>
      <c r="G93" s="505"/>
      <c r="H93" s="49"/>
      <c r="I93" s="50"/>
      <c r="J93" s="87"/>
      <c r="K93" s="87"/>
      <c r="L93" s="40"/>
      <c r="M93" s="40"/>
      <c r="N93" s="51"/>
      <c r="O93" s="52"/>
      <c r="P93" s="53"/>
      <c r="Q93" s="52"/>
      <c r="R93" s="506"/>
      <c r="S93" s="506"/>
      <c r="T93" s="42"/>
      <c r="U93" s="42"/>
      <c r="V93" s="42"/>
      <c r="W93" s="42"/>
      <c r="X93" s="507"/>
      <c r="Y93" s="216"/>
      <c r="Z93" s="42"/>
      <c r="AA93" s="54"/>
      <c r="AB93" s="54"/>
      <c r="AC93" s="42"/>
      <c r="AD93" s="42">
        <f>+AM93+BA93</f>
        <v>160</v>
      </c>
      <c r="AE93" s="234" t="s">
        <v>673</v>
      </c>
      <c r="AF93" s="42"/>
      <c r="AG93" s="42"/>
      <c r="AH93" s="42"/>
      <c r="AI93" s="508"/>
      <c r="AJ93" s="42"/>
      <c r="AK93" s="42"/>
      <c r="AL93" s="42"/>
      <c r="AM93" s="42">
        <f>SUM(AF93:AL93)+AT93+AV93+AX93</f>
        <v>0</v>
      </c>
      <c r="AN93" s="42"/>
      <c r="AO93" s="42">
        <v>160</v>
      </c>
      <c r="AP93" s="42"/>
      <c r="AQ93" s="42"/>
      <c r="AR93" s="42">
        <f>SUM(AN93:AQ93)</f>
        <v>160</v>
      </c>
      <c r="AS93" s="42"/>
      <c r="AT93" s="42"/>
      <c r="AU93" s="42"/>
      <c r="AV93" s="42"/>
      <c r="AW93" s="42"/>
      <c r="AX93" s="42"/>
      <c r="AY93" s="42"/>
      <c r="AZ93" s="42"/>
      <c r="BA93" s="42">
        <f>+AR93+AS93+AU93+AW93+AY93+AZ93</f>
        <v>160</v>
      </c>
      <c r="BB93" s="38"/>
      <c r="BC93" s="56"/>
      <c r="BD93" s="56"/>
      <c r="BE93" s="56"/>
      <c r="BF93" s="56"/>
    </row>
    <row r="94" spans="1:58" ht="12.95" customHeight="1">
      <c r="A94" s="45"/>
      <c r="B94" s="46"/>
      <c r="C94" s="454"/>
      <c r="D94" s="46"/>
      <c r="E94" s="47"/>
      <c r="F94" s="47"/>
      <c r="G94" s="505"/>
      <c r="H94" s="49"/>
      <c r="I94" s="50"/>
      <c r="J94" s="87"/>
      <c r="K94" s="87"/>
      <c r="L94" s="40"/>
      <c r="M94" s="40"/>
      <c r="N94" s="51"/>
      <c r="O94" s="52"/>
      <c r="P94" s="53"/>
      <c r="Q94" s="52"/>
      <c r="R94" s="506"/>
      <c r="S94" s="506"/>
      <c r="T94" s="42"/>
      <c r="U94" s="42"/>
      <c r="V94" s="42"/>
      <c r="W94" s="42"/>
      <c r="X94" s="43"/>
      <c r="Y94" s="216"/>
      <c r="Z94" s="42"/>
      <c r="AA94" s="42"/>
      <c r="AB94" s="42"/>
      <c r="AC94" s="42"/>
      <c r="AD94" s="42"/>
      <c r="AE94" s="234"/>
      <c r="AF94" s="42"/>
      <c r="AG94" s="42"/>
      <c r="AH94" s="42"/>
      <c r="AI94" s="508"/>
      <c r="AJ94" s="42"/>
      <c r="AK94" s="42"/>
      <c r="AL94" s="42"/>
      <c r="AM94" s="42"/>
      <c r="AN94" s="88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55"/>
      <c r="BC94" s="56"/>
      <c r="BD94" s="56"/>
      <c r="BE94" s="56"/>
      <c r="BF94" s="56"/>
    </row>
    <row r="95" spans="1:58" ht="12.95" customHeight="1">
      <c r="A95" s="45">
        <v>45948</v>
      </c>
      <c r="B95" s="46" t="s">
        <v>462</v>
      </c>
      <c r="C95" s="454">
        <f>(M95*E95*O95*Q95)/100000000</f>
        <v>52.41633264</v>
      </c>
      <c r="D95" s="46" t="s">
        <v>384</v>
      </c>
      <c r="E95" s="47">
        <v>15.5</v>
      </c>
      <c r="F95" s="47">
        <v>1</v>
      </c>
      <c r="G95" s="505">
        <v>830</v>
      </c>
      <c r="H95" s="49">
        <v>0.14000000000000001</v>
      </c>
      <c r="I95" s="50">
        <v>0.88</v>
      </c>
      <c r="J95" s="87">
        <f>E95*G95*(1-H95)*1440/1000000*3.4</f>
        <v>54.168854400000001</v>
      </c>
      <c r="K95" s="87">
        <f>(IF(G95&lt;L95,L95,G95)*(1-IF(H95&lt;N95,H95,N95))*E95*O95*Q95)/100000000</f>
        <v>52.41633264</v>
      </c>
      <c r="L95" s="40">
        <v>830</v>
      </c>
      <c r="M95" s="40">
        <f>+L95-L95*0.14</f>
        <v>713.8</v>
      </c>
      <c r="N95" s="51">
        <f>1-(M95/L95)</f>
        <v>0.14000000000000001</v>
      </c>
      <c r="O95" s="52">
        <f>+'Trim Rwd'!H62</f>
        <v>329</v>
      </c>
      <c r="P95" s="53">
        <f>O95*(Q95-R95-S95)</f>
        <v>254975</v>
      </c>
      <c r="Q95" s="52">
        <v>1440</v>
      </c>
      <c r="R95" s="506">
        <v>630</v>
      </c>
      <c r="S95" s="506">
        <v>35</v>
      </c>
      <c r="T95" s="42">
        <f>E95*M95*O95*Q95/100000000</f>
        <v>52.41633264</v>
      </c>
      <c r="U95" s="42">
        <f>E95*M95*O95*(Q95-R95-S95)/100000000</f>
        <v>28.210179024999999</v>
      </c>
      <c r="V95" s="42">
        <f>E95*G95*(1-N95)*O95/100*(R95+S95)/1000000</f>
        <v>24.206153614999998</v>
      </c>
      <c r="W95" s="42">
        <f>+'18'!K34/1000</f>
        <v>24.611999999999998</v>
      </c>
      <c r="X95" s="507">
        <f>SUM(W95:W98)/SUM(K95:K98)</f>
        <v>0.46954830222551791</v>
      </c>
      <c r="Y95" s="216">
        <v>0</v>
      </c>
      <c r="Z95" s="42">
        <f>+'18'!D34/1000</f>
        <v>0.5</v>
      </c>
      <c r="AA95" s="54">
        <f>SUM(U95:U98)-SUM(W95:W98)-SUM(Z95:Z98)-SUM(Y95:Y98)</f>
        <v>3.0981790250000003</v>
      </c>
      <c r="AB95" s="54">
        <f>(SUM(K95:K98)-SUM(W95:W98)-SUM(Y95:Y98)-SUM(Z95:Z98)-SUM(AC95:AC98)-SUM(V95:V98))-AA95</f>
        <v>3.5527136788005009E-15</v>
      </c>
      <c r="AC95" s="42">
        <f>K95-T95</f>
        <v>0</v>
      </c>
      <c r="AD95" s="42">
        <f>+AM95+BA95</f>
        <v>6</v>
      </c>
      <c r="AE95" s="234" t="s">
        <v>651</v>
      </c>
      <c r="AF95" s="42">
        <v>6</v>
      </c>
      <c r="AG95" s="42"/>
      <c r="AH95" s="42"/>
      <c r="AI95" s="508"/>
      <c r="AJ95" s="42"/>
      <c r="AK95" s="42"/>
      <c r="AL95" s="42"/>
      <c r="AM95" s="42">
        <f>SUM(AF95:AL95)+AT95+AV95+AX95</f>
        <v>6</v>
      </c>
      <c r="AN95" s="42"/>
      <c r="AO95" s="42"/>
      <c r="AP95" s="42"/>
      <c r="AQ95" s="42"/>
      <c r="AR95" s="42">
        <f>SUM(AN95:AQ95)</f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38">
        <v>3</v>
      </c>
      <c r="BC95" s="56"/>
      <c r="BD95" s="56"/>
      <c r="BE95" s="38"/>
      <c r="BF95" s="56"/>
    </row>
    <row r="96" spans="1:58" ht="12.95" customHeight="1">
      <c r="A96" s="45"/>
      <c r="B96" s="46"/>
      <c r="C96" s="454"/>
      <c r="D96" s="46"/>
      <c r="E96" s="47"/>
      <c r="F96" s="47"/>
      <c r="G96" s="505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06"/>
      <c r="S96" s="506"/>
      <c r="T96" s="42"/>
      <c r="U96" s="42"/>
      <c r="V96" s="42"/>
      <c r="W96" s="42"/>
      <c r="X96" s="43"/>
      <c r="Y96" s="216"/>
      <c r="Z96" s="42"/>
      <c r="AA96" s="42"/>
      <c r="AB96" s="42"/>
      <c r="AC96" s="42"/>
      <c r="AD96" s="42">
        <f>+AM96+BA96</f>
        <v>16</v>
      </c>
      <c r="AE96" s="234" t="s">
        <v>670</v>
      </c>
      <c r="AF96" s="42"/>
      <c r="AG96" s="42">
        <v>16</v>
      </c>
      <c r="AH96" s="42"/>
      <c r="AI96" s="508"/>
      <c r="AJ96" s="42"/>
      <c r="AK96" s="42"/>
      <c r="AL96" s="42"/>
      <c r="AM96" s="42">
        <f>SUM(AF96:AL96)+AT96+AV96+AX96</f>
        <v>16</v>
      </c>
      <c r="AN96" s="88"/>
      <c r="AO96" s="42"/>
      <c r="AP96" s="42"/>
      <c r="AQ96" s="42"/>
      <c r="AR96" s="42">
        <f>SUM(AN96:AQ96)</f>
        <v>0</v>
      </c>
      <c r="AS96" s="42"/>
      <c r="AT96" s="42"/>
      <c r="AU96" s="42"/>
      <c r="AV96" s="42"/>
      <c r="AW96" s="42"/>
      <c r="AX96" s="42"/>
      <c r="AY96" s="42"/>
      <c r="AZ96" s="42"/>
      <c r="BA96" s="42">
        <f>+AR96+AS96+AU96+AW96+AY96+AZ96</f>
        <v>0</v>
      </c>
      <c r="BB96" s="55"/>
      <c r="BC96" s="56">
        <v>7</v>
      </c>
      <c r="BD96" s="56"/>
      <c r="BE96" s="55"/>
      <c r="BF96" s="56"/>
    </row>
    <row r="97" spans="1:58" ht="12.95" customHeight="1">
      <c r="A97" s="45"/>
      <c r="B97" s="46"/>
      <c r="C97" s="454"/>
      <c r="D97" s="46"/>
      <c r="E97" s="47"/>
      <c r="F97" s="47"/>
      <c r="G97" s="505"/>
      <c r="H97" s="49"/>
      <c r="I97" s="50"/>
      <c r="J97" s="87"/>
      <c r="K97" s="87"/>
      <c r="L97" s="40"/>
      <c r="M97" s="40"/>
      <c r="N97" s="51"/>
      <c r="O97" s="52"/>
      <c r="P97" s="53"/>
      <c r="Q97" s="52"/>
      <c r="R97" s="506"/>
      <c r="S97" s="506"/>
      <c r="T97" s="42"/>
      <c r="U97" s="42"/>
      <c r="V97" s="42"/>
      <c r="W97" s="42"/>
      <c r="X97" s="43"/>
      <c r="Y97" s="216"/>
      <c r="Z97" s="42"/>
      <c r="AA97" s="42"/>
      <c r="AB97" s="42"/>
      <c r="AC97" s="42"/>
      <c r="AD97" s="42">
        <f>+AM97+BA97</f>
        <v>13</v>
      </c>
      <c r="AE97" s="234" t="s">
        <v>226</v>
      </c>
      <c r="AF97" s="38"/>
      <c r="AG97" s="38"/>
      <c r="AH97" s="42">
        <v>13</v>
      </c>
      <c r="AI97" s="508"/>
      <c r="AJ97" s="42"/>
      <c r="AK97" s="42"/>
      <c r="AL97" s="42"/>
      <c r="AM97" s="42">
        <f>SUM(AF97:AL97)+AT97+AV97+AX97</f>
        <v>13</v>
      </c>
      <c r="AN97" s="42"/>
      <c r="AO97" s="42"/>
      <c r="AP97" s="42"/>
      <c r="AQ97" s="42"/>
      <c r="AR97" s="42">
        <f>SUM(AN97:AQ97)</f>
        <v>0</v>
      </c>
      <c r="AS97" s="42"/>
      <c r="AT97" s="42"/>
      <c r="AU97" s="42"/>
      <c r="AV97" s="42"/>
      <c r="AW97" s="42"/>
      <c r="AX97" s="42"/>
      <c r="AY97" s="42"/>
      <c r="AZ97" s="42"/>
      <c r="BA97" s="42">
        <f>+AR97+AS97+AU97+AW97+AY97+AZ97</f>
        <v>0</v>
      </c>
      <c r="BB97" s="38"/>
      <c r="BC97" s="509"/>
      <c r="BD97" s="56"/>
      <c r="BE97" s="56"/>
      <c r="BF97" s="56"/>
    </row>
    <row r="98" spans="1:58" ht="12.95" customHeight="1">
      <c r="A98" s="45"/>
      <c r="B98" s="46"/>
      <c r="C98" s="454"/>
      <c r="D98" s="46"/>
      <c r="E98" s="47"/>
      <c r="F98" s="47"/>
      <c r="G98" s="505"/>
      <c r="H98" s="49"/>
      <c r="I98" s="50"/>
      <c r="J98" s="87"/>
      <c r="K98" s="87"/>
      <c r="L98" s="40"/>
      <c r="M98" s="40"/>
      <c r="N98" s="51"/>
      <c r="O98" s="52"/>
      <c r="P98" s="53"/>
      <c r="Q98" s="52"/>
      <c r="R98" s="506"/>
      <c r="S98" s="506"/>
      <c r="T98" s="42"/>
      <c r="U98" s="42"/>
      <c r="V98" s="42"/>
      <c r="W98" s="42"/>
      <c r="X98" s="43"/>
      <c r="Y98" s="216"/>
      <c r="Z98" s="42"/>
      <c r="AA98" s="42"/>
      <c r="AB98" s="42"/>
      <c r="AC98" s="42"/>
      <c r="AD98" s="42">
        <f>+AM98+BA98</f>
        <v>630</v>
      </c>
      <c r="AE98" s="234" t="s">
        <v>671</v>
      </c>
      <c r="AF98" s="38"/>
      <c r="AG98" s="38"/>
      <c r="AH98" s="42"/>
      <c r="AI98" s="508"/>
      <c r="AJ98" s="42"/>
      <c r="AK98" s="42"/>
      <c r="AL98" s="42"/>
      <c r="AM98" s="42">
        <f>SUM(AF98:AL98)+AT98+AV98+AX98</f>
        <v>0</v>
      </c>
      <c r="AN98" s="42"/>
      <c r="AO98" s="42">
        <v>630</v>
      </c>
      <c r="AP98" s="42"/>
      <c r="AQ98" s="42"/>
      <c r="AR98" s="42">
        <f>SUM(AN98:AQ98)</f>
        <v>630</v>
      </c>
      <c r="AS98" s="42"/>
      <c r="AT98" s="42"/>
      <c r="AU98" s="42"/>
      <c r="AV98" s="42"/>
      <c r="AW98" s="42"/>
      <c r="AX98" s="42"/>
      <c r="AY98" s="42"/>
      <c r="AZ98" s="42"/>
      <c r="BA98" s="42">
        <f>+AR98+AS98+AU98+AW98+AY98+AZ98</f>
        <v>630</v>
      </c>
      <c r="BB98" s="38"/>
      <c r="BC98" s="509"/>
      <c r="BD98" s="56"/>
      <c r="BE98" s="56"/>
      <c r="BF98" s="56"/>
    </row>
    <row r="99" spans="1:58" ht="12.95" customHeight="1">
      <c r="A99" s="45"/>
      <c r="B99" s="46"/>
      <c r="C99" s="454"/>
      <c r="D99" s="46"/>
      <c r="E99" s="47"/>
      <c r="F99" s="47"/>
      <c r="G99" s="505"/>
      <c r="H99" s="49"/>
      <c r="I99" s="50"/>
      <c r="J99" s="87"/>
      <c r="K99" s="87"/>
      <c r="L99" s="40"/>
      <c r="M99" s="40"/>
      <c r="N99" s="51"/>
      <c r="O99" s="52"/>
      <c r="P99" s="53"/>
      <c r="Q99" s="52"/>
      <c r="R99" s="506"/>
      <c r="S99" s="506"/>
      <c r="T99" s="42"/>
      <c r="U99" s="42"/>
      <c r="V99" s="42"/>
      <c r="W99" s="42"/>
      <c r="X99" s="507"/>
      <c r="Y99" s="216"/>
      <c r="Z99" s="42"/>
      <c r="AA99" s="54"/>
      <c r="AB99" s="54"/>
      <c r="AC99" s="42"/>
      <c r="AD99" s="42"/>
      <c r="AE99" s="234"/>
      <c r="AF99" s="42"/>
      <c r="AG99" s="42"/>
      <c r="AH99" s="42"/>
      <c r="AI99" s="508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8"/>
      <c r="BC99" s="56"/>
      <c r="BD99" s="56"/>
      <c r="BE99" s="56"/>
      <c r="BF99" s="56"/>
    </row>
    <row r="100" spans="1:58" ht="12.95" customHeight="1">
      <c r="A100" s="45">
        <v>45949</v>
      </c>
      <c r="B100" s="46" t="s">
        <v>462</v>
      </c>
      <c r="C100" s="454">
        <f>(M100*E100*O100*Q100)/100000000</f>
        <v>52.41633264</v>
      </c>
      <c r="D100" s="46" t="s">
        <v>384</v>
      </c>
      <c r="E100" s="47">
        <v>15.5</v>
      </c>
      <c r="F100" s="47">
        <v>1</v>
      </c>
      <c r="G100" s="505">
        <v>830</v>
      </c>
      <c r="H100" s="49">
        <v>0.14000000000000001</v>
      </c>
      <c r="I100" s="50">
        <v>0.88</v>
      </c>
      <c r="J100" s="87">
        <f>E100*G100*(1-H100)*1440/1000000*3.4</f>
        <v>54.168854400000001</v>
      </c>
      <c r="K100" s="87">
        <f>(IF(G100&lt;L100,L100,G100)*(1-IF(H100&lt;N100,H100,N100))*E100*O100*Q100)/100000000</f>
        <v>52.41633264</v>
      </c>
      <c r="L100" s="40">
        <v>830</v>
      </c>
      <c r="M100" s="40">
        <f>+L100-L100*0.14</f>
        <v>713.8</v>
      </c>
      <c r="N100" s="51">
        <f>1-(M100/L100)</f>
        <v>0.14000000000000001</v>
      </c>
      <c r="O100" s="52">
        <f>+'Trim Rwd'!H64</f>
        <v>329</v>
      </c>
      <c r="P100" s="53">
        <f>O100*(Q100-R100-S100)</f>
        <v>457310</v>
      </c>
      <c r="Q100" s="52">
        <v>1440</v>
      </c>
      <c r="R100" s="506">
        <v>0</v>
      </c>
      <c r="S100" s="506">
        <v>50</v>
      </c>
      <c r="T100" s="42">
        <f>E100*M100*O100*Q100/100000000</f>
        <v>52.41633264</v>
      </c>
      <c r="U100" s="42">
        <f>E100*M100*O100*(Q100-R100-S100)/100000000</f>
        <v>50.596321090000004</v>
      </c>
      <c r="V100" s="42">
        <f>E100*G100*(1-N100)*O100/100*(R100+S100)/1000000</f>
        <v>1.82001155</v>
      </c>
      <c r="W100" s="42">
        <f>+'19'!K34/1000</f>
        <v>49.045999999999999</v>
      </c>
      <c r="X100" s="507">
        <f>SUM(W100:W103)/SUM(K100:K103)</f>
        <v>0.93570071635595453</v>
      </c>
      <c r="Y100" s="216">
        <v>0</v>
      </c>
      <c r="Z100" s="42">
        <f>+'16'!D50/1000</f>
        <v>0</v>
      </c>
      <c r="AA100" s="54">
        <f>SUM(U100:U103)-SUM(W100:W103)-SUM(Z100:Z103)-SUM(Y100:Y103)</f>
        <v>1.5503210900000042</v>
      </c>
      <c r="AB100" s="54">
        <f>(SUM(K100:K103)-SUM(W100:W103)-SUM(Y100:Y103)-SUM(Z100:Z103)-SUM(AC100:AC103)-SUM(V100:V103))-AA100</f>
        <v>-3.3306690738754696E-15</v>
      </c>
      <c r="AC100" s="42">
        <f>K100-T100</f>
        <v>0</v>
      </c>
      <c r="AD100" s="42">
        <f>+AM100+BA100</f>
        <v>0</v>
      </c>
      <c r="AE100" s="234" t="s">
        <v>394</v>
      </c>
      <c r="AF100" s="42">
        <v>0</v>
      </c>
      <c r="AG100" s="42"/>
      <c r="AH100" s="42"/>
      <c r="AI100" s="508"/>
      <c r="AJ100" s="42"/>
      <c r="AK100" s="42"/>
      <c r="AL100" s="42"/>
      <c r="AM100" s="42">
        <f>SUM(AF100:AL100)+AT100+AV100+AX100</f>
        <v>0</v>
      </c>
      <c r="AN100" s="42"/>
      <c r="AO100" s="42"/>
      <c r="AP100" s="42"/>
      <c r="AQ100" s="42"/>
      <c r="AR100" s="42">
        <f>SUM(AN100:AQ100)</f>
        <v>0</v>
      </c>
      <c r="AS100" s="42"/>
      <c r="AT100" s="42"/>
      <c r="AU100" s="42"/>
      <c r="AV100" s="42"/>
      <c r="AW100" s="42"/>
      <c r="AX100" s="42"/>
      <c r="AY100" s="42"/>
      <c r="AZ100" s="42"/>
      <c r="BA100" s="42">
        <f>+AR100+AS100+AU100+AW100+AY100+AZ100</f>
        <v>0</v>
      </c>
      <c r="BB100" s="38">
        <v>0</v>
      </c>
      <c r="BC100" s="56"/>
      <c r="BD100" s="56"/>
      <c r="BE100" s="38"/>
      <c r="BF100" s="56"/>
    </row>
    <row r="101" spans="1:58" ht="12.95" customHeight="1">
      <c r="A101" s="45"/>
      <c r="B101" s="46"/>
      <c r="C101" s="454"/>
      <c r="D101" s="46"/>
      <c r="E101" s="47"/>
      <c r="F101" s="47"/>
      <c r="G101" s="505"/>
      <c r="H101" s="49"/>
      <c r="I101" s="50"/>
      <c r="J101" s="87"/>
      <c r="K101" s="87"/>
      <c r="L101" s="40"/>
      <c r="M101" s="40"/>
      <c r="N101" s="51"/>
      <c r="O101" s="52"/>
      <c r="P101" s="53"/>
      <c r="Q101" s="52"/>
      <c r="R101" s="506"/>
      <c r="S101" s="506"/>
      <c r="T101" s="42"/>
      <c r="U101" s="42"/>
      <c r="V101" s="42"/>
      <c r="W101" s="42"/>
      <c r="X101" s="43"/>
      <c r="Y101" s="216"/>
      <c r="Z101" s="42"/>
      <c r="AA101" s="42"/>
      <c r="AB101" s="42"/>
      <c r="AC101" s="42"/>
      <c r="AD101" s="42">
        <f>+AM101+BA101</f>
        <v>25</v>
      </c>
      <c r="AE101" s="234" t="s">
        <v>653</v>
      </c>
      <c r="AF101" s="42"/>
      <c r="AG101" s="42">
        <v>25</v>
      </c>
      <c r="AH101" s="42"/>
      <c r="AI101" s="508"/>
      <c r="AJ101" s="42"/>
      <c r="AK101" s="42"/>
      <c r="AL101" s="42"/>
      <c r="AM101" s="42">
        <f>SUM(AF101:AL101)+AT101+AV101+AX101</f>
        <v>25</v>
      </c>
      <c r="AN101" s="88"/>
      <c r="AO101" s="42"/>
      <c r="AP101" s="42"/>
      <c r="AQ101" s="42"/>
      <c r="AR101" s="42">
        <f>SUM(AN101:AQ101)</f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55"/>
      <c r="BC101" s="56">
        <v>10</v>
      </c>
      <c r="BD101" s="56"/>
      <c r="BE101" s="55"/>
      <c r="BF101" s="56"/>
    </row>
    <row r="102" spans="1:58" ht="12.95" customHeight="1">
      <c r="A102" s="45"/>
      <c r="B102" s="46"/>
      <c r="C102" s="454"/>
      <c r="D102" s="46"/>
      <c r="E102" s="47"/>
      <c r="F102" s="47"/>
      <c r="G102" s="505"/>
      <c r="H102" s="49"/>
      <c r="I102" s="50"/>
      <c r="J102" s="87"/>
      <c r="K102" s="87"/>
      <c r="L102" s="40"/>
      <c r="M102" s="40"/>
      <c r="N102" s="51"/>
      <c r="O102" s="52"/>
      <c r="P102" s="53"/>
      <c r="Q102" s="52"/>
      <c r="R102" s="506"/>
      <c r="S102" s="506"/>
      <c r="T102" s="42"/>
      <c r="U102" s="42"/>
      <c r="V102" s="42"/>
      <c r="W102" s="42"/>
      <c r="X102" s="43"/>
      <c r="Y102" s="216"/>
      <c r="Z102" s="42"/>
      <c r="AA102" s="42"/>
      <c r="AB102" s="42"/>
      <c r="AC102" s="42"/>
      <c r="AD102" s="42">
        <f>+AM102+BA102</f>
        <v>25</v>
      </c>
      <c r="AE102" s="234" t="s">
        <v>226</v>
      </c>
      <c r="AF102" s="38"/>
      <c r="AG102" s="38"/>
      <c r="AH102" s="42">
        <v>25</v>
      </c>
      <c r="AI102" s="508"/>
      <c r="AJ102" s="42"/>
      <c r="AK102" s="42"/>
      <c r="AL102" s="42"/>
      <c r="AM102" s="42">
        <f>SUM(AF102:AL102)+AT102+AV102+AX102</f>
        <v>25</v>
      </c>
      <c r="AN102" s="42"/>
      <c r="AO102" s="42"/>
      <c r="AP102" s="42"/>
      <c r="AQ102" s="42"/>
      <c r="AR102" s="42">
        <f>SUM(AN102:AQ102)</f>
        <v>0</v>
      </c>
      <c r="AS102" s="42"/>
      <c r="AT102" s="42"/>
      <c r="AU102" s="42"/>
      <c r="AV102" s="42"/>
      <c r="AW102" s="42"/>
      <c r="AX102" s="42"/>
      <c r="AY102" s="42"/>
      <c r="AZ102" s="42"/>
      <c r="BA102" s="42">
        <f>+AR102+AS102+AU102+AW102+AY102+AZ102</f>
        <v>0</v>
      </c>
      <c r="BB102" s="38"/>
      <c r="BC102" s="509"/>
      <c r="BD102" s="56"/>
      <c r="BE102" s="56"/>
      <c r="BF102" s="56"/>
    </row>
    <row r="103" spans="1:58" ht="12.95" customHeight="1">
      <c r="A103" s="45"/>
      <c r="B103" s="46"/>
      <c r="C103" s="454"/>
      <c r="D103" s="46"/>
      <c r="E103" s="47"/>
      <c r="F103" s="47"/>
      <c r="G103" s="505"/>
      <c r="H103" s="49"/>
      <c r="I103" s="50"/>
      <c r="J103" s="87"/>
      <c r="K103" s="87"/>
      <c r="L103" s="40"/>
      <c r="M103" s="40"/>
      <c r="N103" s="51"/>
      <c r="O103" s="52"/>
      <c r="P103" s="53"/>
      <c r="Q103" s="52"/>
      <c r="R103" s="506"/>
      <c r="S103" s="506"/>
      <c r="T103" s="42"/>
      <c r="U103" s="42"/>
      <c r="V103" s="42"/>
      <c r="W103" s="42"/>
      <c r="X103" s="43"/>
      <c r="Y103" s="216"/>
      <c r="Z103" s="42"/>
      <c r="AA103" s="42"/>
      <c r="AB103" s="42"/>
      <c r="AC103" s="42"/>
      <c r="AD103" s="42"/>
      <c r="AE103" s="234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8"/>
      <c r="BC103" s="509"/>
      <c r="BD103" s="56"/>
      <c r="BE103" s="56"/>
      <c r="BF103" s="56"/>
    </row>
    <row r="104" spans="1:58" ht="12.95" customHeight="1">
      <c r="A104" s="45">
        <v>45950</v>
      </c>
      <c r="B104" s="46" t="s">
        <v>462</v>
      </c>
      <c r="C104" s="454">
        <f>(M104*E104*O104*Q104)/100000000</f>
        <v>52.41633264</v>
      </c>
      <c r="D104" s="46" t="s">
        <v>384</v>
      </c>
      <c r="E104" s="47">
        <v>15.5</v>
      </c>
      <c r="F104" s="47">
        <v>1</v>
      </c>
      <c r="G104" s="505">
        <v>830</v>
      </c>
      <c r="H104" s="49">
        <v>0.14000000000000001</v>
      </c>
      <c r="I104" s="50">
        <v>0.88</v>
      </c>
      <c r="J104" s="87">
        <f>E104*G104*(1-H104)*1440/1000000*3.4</f>
        <v>54.168854400000001</v>
      </c>
      <c r="K104" s="87">
        <f>(IF(G104&lt;L104,L104,G104)*(1-IF(H104&lt;N104,H104,N104))*E104*O104*Q104)/100000000</f>
        <v>52.41633264</v>
      </c>
      <c r="L104" s="40">
        <v>830</v>
      </c>
      <c r="M104" s="40">
        <f>+L104-L104*0.14</f>
        <v>713.8</v>
      </c>
      <c r="N104" s="51">
        <f>1-(M104/L104)</f>
        <v>0.14000000000000001</v>
      </c>
      <c r="O104" s="52">
        <f>+'Trim Rwd'!H66</f>
        <v>329</v>
      </c>
      <c r="P104" s="53">
        <f>O104*(Q104-R104-S104)</f>
        <v>460600</v>
      </c>
      <c r="Q104" s="52">
        <v>1440</v>
      </c>
      <c r="R104" s="506">
        <v>0</v>
      </c>
      <c r="S104" s="506">
        <v>40</v>
      </c>
      <c r="T104" s="42">
        <f>E104*M104*O104*Q104/100000000</f>
        <v>52.41633264</v>
      </c>
      <c r="U104" s="42">
        <f>E104*M104*O104*(Q104-R104-S104)/100000000</f>
        <v>50.9603234</v>
      </c>
      <c r="V104" s="42">
        <f>E104*G104*(1-N104)*O104/100*(R104+S104)/1000000</f>
        <v>1.45600924</v>
      </c>
      <c r="W104" s="42">
        <f>+'20'!K34/1000</f>
        <v>49.627000000000002</v>
      </c>
      <c r="X104" s="507">
        <f>SUM(W104:W107)/SUM(K104:K107)</f>
        <v>0.94678504772248417</v>
      </c>
      <c r="Y104" s="216">
        <v>0</v>
      </c>
      <c r="Z104" s="42">
        <f>+'20'!D34/1000</f>
        <v>0.25</v>
      </c>
      <c r="AA104" s="54">
        <f>SUM(U104:U107)-SUM(W104:W107)-SUM(Z104:Z107)-SUM(Y104:Y107)</f>
        <v>1.0833233999999976</v>
      </c>
      <c r="AB104" s="54">
        <f>(SUM(K104:K107)-SUM(W104:W107)-SUM(Y104:Y107)-SUM(Z104:Z107)-SUM(AC104:AC107)-SUM(V104:V107))-AA104</f>
        <v>0</v>
      </c>
      <c r="AC104" s="42">
        <f>K104-T104</f>
        <v>0</v>
      </c>
      <c r="AD104" s="42">
        <f>+AM104+BA104</f>
        <v>2</v>
      </c>
      <c r="AE104" s="234" t="s">
        <v>452</v>
      </c>
      <c r="AF104" s="42">
        <v>2</v>
      </c>
      <c r="AG104" s="42"/>
      <c r="AH104" s="42"/>
      <c r="AI104" s="508"/>
      <c r="AJ104" s="42"/>
      <c r="AK104" s="42"/>
      <c r="AL104" s="42"/>
      <c r="AM104" s="42">
        <f>SUM(AF104:AL104)+AT104+AV104+AX104</f>
        <v>2</v>
      </c>
      <c r="AN104" s="42"/>
      <c r="AO104" s="42"/>
      <c r="AP104" s="42"/>
      <c r="AQ104" s="42"/>
      <c r="AR104" s="42">
        <f>SUM(AN104:AQ104)</f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38">
        <v>2</v>
      </c>
      <c r="BC104" s="56"/>
      <c r="BD104" s="56"/>
      <c r="BE104" s="38"/>
      <c r="BF104" s="56"/>
    </row>
    <row r="105" spans="1:58" ht="12.95" customHeight="1">
      <c r="A105" s="45"/>
      <c r="B105" s="46"/>
      <c r="C105" s="454"/>
      <c r="D105" s="46"/>
      <c r="E105" s="47"/>
      <c r="F105" s="47"/>
      <c r="G105" s="505"/>
      <c r="H105" s="49"/>
      <c r="I105" s="50"/>
      <c r="J105" s="87"/>
      <c r="K105" s="87"/>
      <c r="L105" s="40"/>
      <c r="M105" s="40"/>
      <c r="N105" s="51"/>
      <c r="O105" s="52"/>
      <c r="P105" s="53"/>
      <c r="Q105" s="52"/>
      <c r="R105" s="506"/>
      <c r="S105" s="506"/>
      <c r="T105" s="42"/>
      <c r="U105" s="42"/>
      <c r="V105" s="42"/>
      <c r="W105" s="42"/>
      <c r="X105" s="43"/>
      <c r="Y105" s="216"/>
      <c r="Z105" s="42"/>
      <c r="AA105" s="42"/>
      <c r="AB105" s="42"/>
      <c r="AC105" s="42"/>
      <c r="AD105" s="42">
        <f>+AM105+BA105</f>
        <v>21</v>
      </c>
      <c r="AE105" s="234" t="s">
        <v>675</v>
      </c>
      <c r="AF105" s="42"/>
      <c r="AG105" s="42">
        <v>21</v>
      </c>
      <c r="AH105" s="42"/>
      <c r="AI105" s="508"/>
      <c r="AJ105" s="42"/>
      <c r="AK105" s="42"/>
      <c r="AL105" s="42"/>
      <c r="AM105" s="42">
        <f>SUM(AF105:AL105)+AT105+AV105+AX105</f>
        <v>21</v>
      </c>
      <c r="AN105" s="88"/>
      <c r="AO105" s="42"/>
      <c r="AP105" s="42"/>
      <c r="AQ105" s="42"/>
      <c r="AR105" s="42">
        <f>SUM(AN105:AQ105)</f>
        <v>0</v>
      </c>
      <c r="AS105" s="42"/>
      <c r="AT105" s="42"/>
      <c r="AU105" s="42"/>
      <c r="AV105" s="42"/>
      <c r="AW105" s="42"/>
      <c r="AX105" s="42"/>
      <c r="AY105" s="42"/>
      <c r="AZ105" s="42"/>
      <c r="BA105" s="42">
        <f>+AR105+AS105+AU105+AW105+AY105+AZ105</f>
        <v>0</v>
      </c>
      <c r="BB105" s="55"/>
      <c r="BC105" s="56">
        <v>12</v>
      </c>
      <c r="BD105" s="56"/>
      <c r="BE105" s="55"/>
      <c r="BF105" s="56"/>
    </row>
    <row r="106" spans="1:58" ht="12.95" customHeight="1">
      <c r="A106" s="45"/>
      <c r="B106" s="46"/>
      <c r="C106" s="454"/>
      <c r="D106" s="46"/>
      <c r="E106" s="47"/>
      <c r="F106" s="47"/>
      <c r="G106" s="505"/>
      <c r="H106" s="49"/>
      <c r="I106" s="50"/>
      <c r="J106" s="87"/>
      <c r="K106" s="87"/>
      <c r="L106" s="40"/>
      <c r="M106" s="40"/>
      <c r="N106" s="51"/>
      <c r="O106" s="52"/>
      <c r="P106" s="53"/>
      <c r="Q106" s="52"/>
      <c r="R106" s="506"/>
      <c r="S106" s="506"/>
      <c r="T106" s="42"/>
      <c r="U106" s="42"/>
      <c r="V106" s="42"/>
      <c r="W106" s="42"/>
      <c r="X106" s="43"/>
      <c r="Y106" s="216"/>
      <c r="Z106" s="42"/>
      <c r="AA106" s="42"/>
      <c r="AB106" s="42"/>
      <c r="AC106" s="42"/>
      <c r="AD106" s="42">
        <f>+AM106+BA106</f>
        <v>17</v>
      </c>
      <c r="AE106" s="234" t="s">
        <v>226</v>
      </c>
      <c r="AF106" s="38"/>
      <c r="AG106" s="38"/>
      <c r="AH106" s="42">
        <v>17</v>
      </c>
      <c r="AI106" s="508"/>
      <c r="AJ106" s="42"/>
      <c r="AK106" s="42"/>
      <c r="AL106" s="42"/>
      <c r="AM106" s="42">
        <f>SUM(AF106:AL106)+AT106+AV106+AX106</f>
        <v>17</v>
      </c>
      <c r="AN106" s="42"/>
      <c r="AO106" s="42"/>
      <c r="AP106" s="42"/>
      <c r="AQ106" s="42"/>
      <c r="AR106" s="42">
        <f>SUM(AN106:AQ106)</f>
        <v>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0</v>
      </c>
      <c r="BB106" s="38"/>
      <c r="BC106" s="509"/>
      <c r="BD106" s="56"/>
      <c r="BE106" s="56"/>
      <c r="BF106" s="56"/>
    </row>
    <row r="107" spans="1:58" ht="12.95" customHeight="1">
      <c r="A107" s="45"/>
      <c r="B107" s="46"/>
      <c r="C107" s="454"/>
      <c r="D107" s="46"/>
      <c r="E107" s="47"/>
      <c r="F107" s="47"/>
      <c r="G107" s="505"/>
      <c r="H107" s="49"/>
      <c r="I107" s="50"/>
      <c r="J107" s="87"/>
      <c r="K107" s="87"/>
      <c r="L107" s="40"/>
      <c r="M107" s="40"/>
      <c r="N107" s="51"/>
      <c r="O107" s="52"/>
      <c r="P107" s="53"/>
      <c r="Q107" s="52"/>
      <c r="R107" s="506"/>
      <c r="S107" s="506"/>
      <c r="T107" s="42"/>
      <c r="U107" s="42"/>
      <c r="V107" s="42"/>
      <c r="W107" s="42"/>
      <c r="X107" s="43"/>
      <c r="Y107" s="216"/>
      <c r="Z107" s="42"/>
      <c r="AA107" s="42"/>
      <c r="AB107" s="42"/>
      <c r="AC107" s="42"/>
      <c r="AD107" s="42"/>
      <c r="AE107" s="234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8"/>
      <c r="BC107" s="509"/>
      <c r="BD107" s="56"/>
      <c r="BE107" s="56"/>
      <c r="BF107" s="56"/>
    </row>
    <row r="108" spans="1:58" ht="12.95" customHeight="1">
      <c r="A108" s="45">
        <v>45951</v>
      </c>
      <c r="B108" s="46" t="s">
        <v>462</v>
      </c>
      <c r="C108" s="454">
        <f>(M108*E108*O108*Q108)/100000000</f>
        <v>9.6460612149999996</v>
      </c>
      <c r="D108" s="46" t="s">
        <v>384</v>
      </c>
      <c r="E108" s="47">
        <v>15.5</v>
      </c>
      <c r="F108" s="47">
        <v>1</v>
      </c>
      <c r="G108" s="505">
        <v>830</v>
      </c>
      <c r="H108" s="49">
        <v>0.14000000000000001</v>
      </c>
      <c r="I108" s="50">
        <v>0.88</v>
      </c>
      <c r="J108" s="87">
        <f>E108*G108*(1-H108)*1440/1000000*3.4</f>
        <v>54.168854400000001</v>
      </c>
      <c r="K108" s="87">
        <f>(IF(G108&lt;L108,L108,G108)*(1-IF(H108&lt;N108,H108,N108))*E108*O108*Q108)/100000000</f>
        <v>9.6460612149999996</v>
      </c>
      <c r="L108" s="40">
        <v>830</v>
      </c>
      <c r="M108" s="40">
        <f>+L108-L108*0.14</f>
        <v>713.8</v>
      </c>
      <c r="N108" s="51">
        <f>1-(M108/L108)</f>
        <v>0.14000000000000001</v>
      </c>
      <c r="O108" s="52">
        <f>+'Trim Rwd'!H68</f>
        <v>329</v>
      </c>
      <c r="P108" s="53">
        <f>O108*(Q108-R108-S108)</f>
        <v>84882</v>
      </c>
      <c r="Q108" s="52">
        <f>240+25</f>
        <v>265</v>
      </c>
      <c r="R108" s="506">
        <v>0</v>
      </c>
      <c r="S108" s="506">
        <v>7</v>
      </c>
      <c r="T108" s="42">
        <f>E108*M108*O108*Q108/100000000</f>
        <v>9.6460612149999996</v>
      </c>
      <c r="U108" s="42">
        <f>E108*M108*O108*(Q108-R108-S108)/100000000</f>
        <v>9.3912595980000013</v>
      </c>
      <c r="V108" s="42">
        <f>E108*G108*(1-N108)*O108/100*(R108+S108)/1000000</f>
        <v>0.25480161699999998</v>
      </c>
      <c r="W108" s="42">
        <f>+'21'!K21/1000</f>
        <v>11.215</v>
      </c>
      <c r="X108" s="507">
        <f>SUM(W108:W111)/SUM(K108:K111)</f>
        <v>0.89679113892552742</v>
      </c>
      <c r="Y108" s="216">
        <v>0</v>
      </c>
      <c r="Z108" s="42">
        <v>0</v>
      </c>
      <c r="AA108" s="54">
        <f>SUM(U108:U111)-SUM(W108:W111)-SUM(Z108:Z111)-SUM(Y108:Y111)</f>
        <v>3.1732002700000042</v>
      </c>
      <c r="AB108" s="54">
        <f>(SUM(K108:K111)-SUM(W108:W111)-SUM(Y108:Y111)-SUM(Z108:Z111)-SUM(AC108:AC111)-SUM(V108:V111))-AA108</f>
        <v>-4.4408920985006262E-15</v>
      </c>
      <c r="AC108" s="42">
        <f>K108-T108</f>
        <v>0</v>
      </c>
      <c r="AD108" s="42">
        <f>+AM108+BA108</f>
        <v>7</v>
      </c>
      <c r="AE108" s="234" t="s">
        <v>651</v>
      </c>
      <c r="AF108" s="42">
        <v>7</v>
      </c>
      <c r="AG108" s="42"/>
      <c r="AH108" s="42"/>
      <c r="AI108" s="508"/>
      <c r="AJ108" s="42"/>
      <c r="AK108" s="42"/>
      <c r="AL108" s="42"/>
      <c r="AM108" s="42">
        <f>SUM(AF108:AL108)+AT108+AV108+AX108</f>
        <v>7</v>
      </c>
      <c r="AN108" s="42"/>
      <c r="AO108" s="42"/>
      <c r="AP108" s="42"/>
      <c r="AQ108" s="42"/>
      <c r="AR108" s="42">
        <f>SUM(AN108:AQ108)</f>
        <v>0</v>
      </c>
      <c r="AS108" s="42"/>
      <c r="AT108" s="42"/>
      <c r="AU108" s="42"/>
      <c r="AV108" s="42"/>
      <c r="AW108" s="42"/>
      <c r="AX108" s="42"/>
      <c r="AY108" s="42"/>
      <c r="AZ108" s="42"/>
      <c r="BA108" s="42">
        <f>+AR108+AS108+AU108+AW108+AY108+AZ108</f>
        <v>0</v>
      </c>
      <c r="BB108" s="38">
        <v>3</v>
      </c>
      <c r="BC108" s="56"/>
      <c r="BD108" s="56"/>
      <c r="BE108" s="38"/>
      <c r="BF108" s="56"/>
    </row>
    <row r="109" spans="1:58" ht="12.95" customHeight="1">
      <c r="A109" s="45"/>
      <c r="B109" s="46" t="s">
        <v>462</v>
      </c>
      <c r="C109" s="454">
        <f>(M109*E109*O109*Q109)/100000000</f>
        <v>41.478489719999992</v>
      </c>
      <c r="D109" s="46" t="s">
        <v>384</v>
      </c>
      <c r="E109" s="47">
        <v>17</v>
      </c>
      <c r="F109" s="47">
        <v>1</v>
      </c>
      <c r="G109" s="505">
        <v>830</v>
      </c>
      <c r="H109" s="49">
        <v>0.14000000000000001</v>
      </c>
      <c r="I109" s="50">
        <v>0.88</v>
      </c>
      <c r="J109" s="87">
        <f>E109*G109*(1-H109)*1440/1000000*3.4</f>
        <v>59.411001599999999</v>
      </c>
      <c r="K109" s="87">
        <f>(IF(G109&lt;L109,L109,G109)*(1-IF(H109&lt;N109,H109,N109))*E109*O109*Q109)/100000000</f>
        <v>41.478489719999992</v>
      </c>
      <c r="L109" s="40">
        <v>830</v>
      </c>
      <c r="M109" s="40">
        <f>+L109-L109*0.14</f>
        <v>713.8</v>
      </c>
      <c r="N109" s="51">
        <f>1-(M109/L109)</f>
        <v>0.14000000000000001</v>
      </c>
      <c r="O109" s="52">
        <f>+'Trim Rwd'!H69</f>
        <v>324</v>
      </c>
      <c r="P109" s="53">
        <f>O109*(Q109-R109-S109)</f>
        <v>326592</v>
      </c>
      <c r="Q109" s="52">
        <f>480-Q108+480+360</f>
        <v>1055</v>
      </c>
      <c r="R109" s="506">
        <v>0</v>
      </c>
      <c r="S109" s="506">
        <v>47</v>
      </c>
      <c r="T109" s="42">
        <f>E109*M109*O109*Q109/100000000</f>
        <v>41.478489719999992</v>
      </c>
      <c r="U109" s="42">
        <f>E109*M109*O109*(Q109-R109-S109)/100000000</f>
        <v>39.630632831999996</v>
      </c>
      <c r="V109" s="42">
        <f>E109*G109*(1-N109)*O109/100*(R109+S109)/1000000</f>
        <v>1.8478568880000001</v>
      </c>
      <c r="W109" s="42">
        <f>+'21'!K19/1000</f>
        <v>33.845999999999997</v>
      </c>
      <c r="X109" s="43"/>
      <c r="Y109" s="216"/>
      <c r="Z109" s="42">
        <v>0</v>
      </c>
      <c r="AA109" s="42"/>
      <c r="AB109" s="42"/>
      <c r="AC109" s="42">
        <f>K109-T109</f>
        <v>0</v>
      </c>
      <c r="AD109" s="42">
        <f>+AM109+BA109</f>
        <v>27</v>
      </c>
      <c r="AE109" s="234" t="s">
        <v>653</v>
      </c>
      <c r="AF109" s="42"/>
      <c r="AG109" s="42">
        <v>27</v>
      </c>
      <c r="AH109" s="42"/>
      <c r="AI109" s="508"/>
      <c r="AJ109" s="42"/>
      <c r="AK109" s="42"/>
      <c r="AL109" s="42"/>
      <c r="AM109" s="42">
        <f>SUM(AF109:AL109)+AT109+AV109+AX109</f>
        <v>27</v>
      </c>
      <c r="AN109" s="88"/>
      <c r="AO109" s="42"/>
      <c r="AP109" s="42"/>
      <c r="AQ109" s="42"/>
      <c r="AR109" s="42">
        <f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55"/>
      <c r="BC109" s="56">
        <v>10</v>
      </c>
      <c r="BD109" s="56"/>
      <c r="BE109" s="55"/>
      <c r="BF109" s="56"/>
    </row>
    <row r="110" spans="1:58" ht="12.95" customHeight="1">
      <c r="A110" s="45"/>
      <c r="B110" s="46" t="s">
        <v>462</v>
      </c>
      <c r="C110" s="454">
        <f>(M110*E110*O110*Q110)/100000000</f>
        <v>4.3855871999999998</v>
      </c>
      <c r="D110" s="46" t="s">
        <v>384</v>
      </c>
      <c r="E110" s="47">
        <v>16</v>
      </c>
      <c r="F110" s="47">
        <v>1</v>
      </c>
      <c r="G110" s="505">
        <v>830</v>
      </c>
      <c r="H110" s="49">
        <v>0.14000000000000001</v>
      </c>
      <c r="I110" s="50">
        <v>0.88</v>
      </c>
      <c r="J110" s="87">
        <f>E110*G110*(1-H110)*1440/1000000*3.4</f>
        <v>55.916236799999993</v>
      </c>
      <c r="K110" s="87">
        <f>(IF(G110&lt;L110,L110,G110)*(1-IF(H110&lt;N110,H110,N110))*E110*O110*Q110)/100000000</f>
        <v>4.3855871999999998</v>
      </c>
      <c r="L110" s="40">
        <v>830</v>
      </c>
      <c r="M110" s="40">
        <f>+L110-L110*0.14</f>
        <v>713.8</v>
      </c>
      <c r="N110" s="51">
        <f>1-(M110/L110)</f>
        <v>0.14000000000000001</v>
      </c>
      <c r="O110" s="52">
        <f>+'Trim Rwd'!H70</f>
        <v>320</v>
      </c>
      <c r="P110" s="53">
        <f>O110*(Q110-R110-S110)</f>
        <v>36480</v>
      </c>
      <c r="Q110" s="52">
        <v>120</v>
      </c>
      <c r="R110" s="506">
        <v>0</v>
      </c>
      <c r="S110" s="506">
        <v>6</v>
      </c>
      <c r="T110" s="42">
        <f>E110*M110*O110*Q110/100000000</f>
        <v>4.3855871999999998</v>
      </c>
      <c r="U110" s="42">
        <f>E110*M110*O110*(Q110-R110-S110)/100000000</f>
        <v>4.16630784</v>
      </c>
      <c r="V110" s="42">
        <f>E110*G110*(1-N110)*O110/100*(R110+S110)/1000000</f>
        <v>0.21927935999999998</v>
      </c>
      <c r="W110" s="42">
        <f>+'21'!K20/1000</f>
        <v>4.72</v>
      </c>
      <c r="X110" s="43"/>
      <c r="Y110" s="216"/>
      <c r="Z110" s="42">
        <f>+'21'!D34/1000</f>
        <v>0.23400000000000001</v>
      </c>
      <c r="AA110" s="42"/>
      <c r="AB110" s="42"/>
      <c r="AC110" s="42">
        <f>K110-T110</f>
        <v>0</v>
      </c>
      <c r="AD110" s="42">
        <f>+AM110+BA110</f>
        <v>16</v>
      </c>
      <c r="AE110" s="234" t="s">
        <v>226</v>
      </c>
      <c r="AF110" s="38"/>
      <c r="AG110" s="38"/>
      <c r="AH110" s="42">
        <v>16</v>
      </c>
      <c r="AI110" s="508"/>
      <c r="AJ110" s="42"/>
      <c r="AK110" s="42"/>
      <c r="AL110" s="42"/>
      <c r="AM110" s="42">
        <f>SUM(AF110:AL110)+AT110+AV110+AX110</f>
        <v>16</v>
      </c>
      <c r="AN110" s="42"/>
      <c r="AO110" s="42"/>
      <c r="AP110" s="42"/>
      <c r="AQ110" s="42"/>
      <c r="AR110" s="42">
        <f>SUM(AN110:AQ110)</f>
        <v>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0</v>
      </c>
      <c r="BB110" s="38"/>
      <c r="BC110" s="509"/>
      <c r="BD110" s="56"/>
      <c r="BE110" s="56"/>
      <c r="BF110" s="56"/>
    </row>
    <row r="111" spans="1:58" ht="12.95" customHeight="1">
      <c r="A111" s="45"/>
      <c r="B111" s="46"/>
      <c r="C111" s="454"/>
      <c r="D111" s="46"/>
      <c r="E111" s="47"/>
      <c r="F111" s="47"/>
      <c r="G111" s="505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06"/>
      <c r="S111" s="506"/>
      <c r="T111" s="42"/>
      <c r="U111" s="42"/>
      <c r="V111" s="42"/>
      <c r="W111" s="42"/>
      <c r="X111" s="43"/>
      <c r="Y111" s="216"/>
      <c r="Z111" s="42"/>
      <c r="AA111" s="42"/>
      <c r="AB111" s="42"/>
      <c r="AC111" s="42"/>
      <c r="AD111" s="42">
        <f>+AM111+BA111</f>
        <v>10</v>
      </c>
      <c r="AE111" s="587" t="s">
        <v>463</v>
      </c>
      <c r="AF111" s="38"/>
      <c r="AG111" s="38"/>
      <c r="AH111" s="38"/>
      <c r="AI111" s="34">
        <v>10</v>
      </c>
      <c r="AJ111" s="42"/>
      <c r="AK111" s="42"/>
      <c r="AL111" s="42"/>
      <c r="AM111" s="42">
        <f>SUM(AF111:AL111)+AT111+AV111+AX111</f>
        <v>10</v>
      </c>
      <c r="AN111" s="42"/>
      <c r="AO111" s="42"/>
      <c r="AP111" s="42"/>
      <c r="AQ111" s="42"/>
      <c r="AR111" s="42">
        <f>SUM(AN111:AQ111)</f>
        <v>0</v>
      </c>
      <c r="AS111" s="42"/>
      <c r="AT111" s="42"/>
      <c r="AU111" s="42"/>
      <c r="AV111" s="42"/>
      <c r="AW111" s="42"/>
      <c r="AX111" s="42"/>
      <c r="AY111" s="42"/>
      <c r="AZ111" s="42"/>
      <c r="BA111" s="42">
        <f>+AR111+AS111+AU111+AW111+AY111+AZ111</f>
        <v>0</v>
      </c>
      <c r="BB111" s="38"/>
      <c r="BC111" s="509"/>
      <c r="BD111" s="56"/>
      <c r="BE111" s="56"/>
      <c r="BF111" s="56"/>
    </row>
    <row r="112" spans="1:58" ht="12.95" customHeight="1">
      <c r="A112" s="45"/>
      <c r="B112" s="46"/>
      <c r="C112" s="454"/>
      <c r="D112" s="46"/>
      <c r="E112" s="47"/>
      <c r="F112" s="47"/>
      <c r="G112" s="505"/>
      <c r="H112" s="49"/>
      <c r="I112" s="50"/>
      <c r="J112" s="87"/>
      <c r="K112" s="87"/>
      <c r="L112" s="40"/>
      <c r="M112" s="40"/>
      <c r="N112" s="51"/>
      <c r="O112" s="52"/>
      <c r="P112" s="53"/>
      <c r="Q112" s="52"/>
      <c r="R112" s="506"/>
      <c r="S112" s="506"/>
      <c r="T112" s="42"/>
      <c r="U112" s="42"/>
      <c r="V112" s="42"/>
      <c r="W112" s="42"/>
      <c r="X112" s="43"/>
      <c r="Y112" s="216"/>
      <c r="Z112" s="42"/>
      <c r="AA112" s="42"/>
      <c r="AB112" s="42"/>
      <c r="AC112" s="42"/>
      <c r="AD112" s="42"/>
      <c r="AE112" s="234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8"/>
      <c r="BC112" s="56"/>
      <c r="BD112" s="56"/>
      <c r="BE112" s="56"/>
      <c r="BF112" s="56"/>
    </row>
    <row r="113" spans="1:58" ht="12.95" customHeight="1">
      <c r="A113" s="45">
        <v>45952</v>
      </c>
      <c r="B113" s="46" t="s">
        <v>462</v>
      </c>
      <c r="C113" s="454">
        <f>(M113*E113*O113*Q113)/100000000</f>
        <v>15.7150208</v>
      </c>
      <c r="D113" s="46" t="s">
        <v>384</v>
      </c>
      <c r="E113" s="47">
        <v>16</v>
      </c>
      <c r="F113" s="47">
        <v>1</v>
      </c>
      <c r="G113" s="505">
        <v>830</v>
      </c>
      <c r="H113" s="49">
        <v>0.14000000000000001</v>
      </c>
      <c r="I113" s="50">
        <v>0.88</v>
      </c>
      <c r="J113" s="87">
        <f>E113*G113*(1-H113)*1440/1000000*3.4</f>
        <v>55.916236799999993</v>
      </c>
      <c r="K113" s="87">
        <f>(IF(G113&lt;L113,L113,G113)*(1-IF(H113&lt;N113,H113,N113))*E113*O113*Q113)/100000000</f>
        <v>15.7150208</v>
      </c>
      <c r="L113" s="40">
        <v>830</v>
      </c>
      <c r="M113" s="40">
        <f>+L113-L113*0.14</f>
        <v>713.8</v>
      </c>
      <c r="N113" s="51">
        <f>1-(M113/L113)</f>
        <v>0.14000000000000001</v>
      </c>
      <c r="O113" s="52">
        <f>+'Trim Rwd'!H72</f>
        <v>320</v>
      </c>
      <c r="P113" s="53">
        <f>O113*(Q113-R113-S113)</f>
        <v>134080</v>
      </c>
      <c r="Q113" s="52">
        <v>430</v>
      </c>
      <c r="R113" s="506">
        <v>0</v>
      </c>
      <c r="S113" s="506">
        <v>11</v>
      </c>
      <c r="T113" s="42">
        <f>E113*M113*O113*Q113/100000000</f>
        <v>15.7150208</v>
      </c>
      <c r="U113" s="42">
        <f>E113*M113*O113*(Q113-R113-S113)/100000000</f>
        <v>15.31300864</v>
      </c>
      <c r="V113" s="42">
        <f>E113*G113*(1-N113)*O113/100*(R113+S113)/1000000</f>
        <v>0.40201215999999995</v>
      </c>
      <c r="W113" s="42">
        <f>+'22'!K20/1000</f>
        <v>17.297000000000001</v>
      </c>
      <c r="X113" s="507">
        <f>SUM(W113:W116)/SUM(K113:K116)</f>
        <v>0.81392113754927486</v>
      </c>
      <c r="Y113" s="216">
        <v>0</v>
      </c>
      <c r="Z113" s="42">
        <v>0</v>
      </c>
      <c r="AA113" s="54">
        <f>SUM(U113:U116)-SUM(W113:W116)-SUM(Z113:Z116)-SUM(Y113:Y116)</f>
        <v>9.1231137039999979</v>
      </c>
      <c r="AB113" s="54">
        <f>(SUM(K113:K116)-SUM(W113:W116)-SUM(Y113:Y116)-SUM(Z113:Z116)-SUM(AC113:AC116)-SUM(V113:V116))-AA113</f>
        <v>0</v>
      </c>
      <c r="AC113" s="42">
        <f>K113-T113</f>
        <v>0</v>
      </c>
      <c r="AD113" s="42">
        <f>+AM113+BA113</f>
        <v>0</v>
      </c>
      <c r="AE113" s="234" t="s">
        <v>394</v>
      </c>
      <c r="AF113" s="42">
        <v>0</v>
      </c>
      <c r="AG113" s="42"/>
      <c r="AH113" s="42"/>
      <c r="AI113" s="508"/>
      <c r="AJ113" s="42"/>
      <c r="AK113" s="42"/>
      <c r="AL113" s="42"/>
      <c r="AM113" s="42">
        <f>SUM(AF113:AL113)+AT113+AV113+AX113</f>
        <v>0</v>
      </c>
      <c r="AN113" s="42"/>
      <c r="AO113" s="42"/>
      <c r="AP113" s="42"/>
      <c r="AQ113" s="42"/>
      <c r="AR113" s="42">
        <f>SUM(AN113:AQ113)</f>
        <v>0</v>
      </c>
      <c r="AS113" s="42"/>
      <c r="AT113" s="42"/>
      <c r="AU113" s="42"/>
      <c r="AV113" s="42"/>
      <c r="AW113" s="42"/>
      <c r="AX113" s="42"/>
      <c r="AY113" s="42"/>
      <c r="AZ113" s="42"/>
      <c r="BA113" s="42">
        <f>+AR113+AS113+AU113+AW113+AY113+AZ113</f>
        <v>0</v>
      </c>
      <c r="BB113" s="38">
        <v>0</v>
      </c>
      <c r="BC113" s="56"/>
      <c r="BD113" s="56"/>
      <c r="BE113" s="38"/>
      <c r="BF113" s="56"/>
    </row>
    <row r="114" spans="1:58" ht="12.95" customHeight="1">
      <c r="A114" s="45"/>
      <c r="B114" s="46" t="s">
        <v>8</v>
      </c>
      <c r="C114" s="454">
        <f>(M114*E114*O114*Q114)/100000000</f>
        <v>15.9314848</v>
      </c>
      <c r="D114" s="46" t="s">
        <v>384</v>
      </c>
      <c r="E114" s="47">
        <v>19</v>
      </c>
      <c r="F114" s="47">
        <v>1</v>
      </c>
      <c r="G114" s="505">
        <v>830</v>
      </c>
      <c r="H114" s="49">
        <v>0.12</v>
      </c>
      <c r="I114" s="50">
        <v>0.88</v>
      </c>
      <c r="J114" s="87">
        <f>E114*G114*(1-H114)*1440/1000000*3.4</f>
        <v>67.944729600000002</v>
      </c>
      <c r="K114" s="87">
        <f>(IF(G114&lt;L114,L114,G114)*(1-IF(H114&lt;N114,H114,N114))*E114*O114*Q114)/100000000</f>
        <v>15.9314848</v>
      </c>
      <c r="L114" s="40">
        <v>830</v>
      </c>
      <c r="M114" s="40">
        <f>+L114-L114*0.12</f>
        <v>730.4</v>
      </c>
      <c r="N114" s="51">
        <f>1-(M114/L114)</f>
        <v>0.12</v>
      </c>
      <c r="O114" s="52">
        <f>+'Trim Rwd'!H73</f>
        <v>328</v>
      </c>
      <c r="P114" s="53">
        <f>O114*(Q114-R114-S114)</f>
        <v>110208</v>
      </c>
      <c r="Q114" s="52">
        <v>350</v>
      </c>
      <c r="R114" s="506">
        <v>0</v>
      </c>
      <c r="S114" s="506">
        <v>14</v>
      </c>
      <c r="T114" s="42">
        <f>E114*M114*O114*Q114/100000000</f>
        <v>15.9314848</v>
      </c>
      <c r="U114" s="42">
        <f>E114*M114*O114*(Q114-R114-S114)/100000000</f>
        <v>15.294225407999999</v>
      </c>
      <c r="V114" s="42">
        <f>E114*G114*(1-N114)*O114/100*(R114+S114)/1000000</f>
        <v>0.63725939200000004</v>
      </c>
      <c r="W114" s="42">
        <f>+'22'!K22/1000</f>
        <v>13.803000000000001</v>
      </c>
      <c r="X114" s="43"/>
      <c r="Y114" s="216"/>
      <c r="Z114" s="42">
        <f>+'22'!D17/1000</f>
        <v>1.0580000000000001</v>
      </c>
      <c r="AA114" s="42"/>
      <c r="AB114" s="42"/>
      <c r="AC114" s="42">
        <f>K114-T114</f>
        <v>0</v>
      </c>
      <c r="AD114" s="42">
        <f>+AM114+BA114</f>
        <v>11</v>
      </c>
      <c r="AE114" s="234" t="s">
        <v>481</v>
      </c>
      <c r="AF114" s="42"/>
      <c r="AG114" s="42">
        <v>11</v>
      </c>
      <c r="AH114" s="42"/>
      <c r="AI114" s="508"/>
      <c r="AJ114" s="42"/>
      <c r="AK114" s="42"/>
      <c r="AL114" s="42"/>
      <c r="AM114" s="42">
        <f>SUM(AF114:AL114)+AT114+AV114+AX114</f>
        <v>11</v>
      </c>
      <c r="AN114" s="88"/>
      <c r="AO114" s="42"/>
      <c r="AP114" s="42"/>
      <c r="AQ114" s="42"/>
      <c r="AR114" s="42">
        <f>SUM(AN114:AQ114)</f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55"/>
      <c r="BC114" s="56">
        <v>6</v>
      </c>
      <c r="BD114" s="56"/>
      <c r="BE114" s="55"/>
      <c r="BF114" s="56"/>
    </row>
    <row r="115" spans="1:58" ht="12.95" customHeight="1">
      <c r="A115" s="45"/>
      <c r="B115" s="46" t="s">
        <v>8</v>
      </c>
      <c r="C115" s="454">
        <f>(M115*E115*O115*Q115)/100000000</f>
        <v>31.471403040000006</v>
      </c>
      <c r="D115" s="46" t="s">
        <v>384</v>
      </c>
      <c r="E115" s="47">
        <v>30.5</v>
      </c>
      <c r="F115" s="47">
        <v>1</v>
      </c>
      <c r="G115" s="505">
        <v>540</v>
      </c>
      <c r="H115" s="49">
        <v>0.12</v>
      </c>
      <c r="I115" s="50">
        <v>0.88</v>
      </c>
      <c r="J115" s="87">
        <f>E115*G115*(1-H115)*1440/1000000*3.4</f>
        <v>70.960665599999999</v>
      </c>
      <c r="K115" s="87">
        <f>(IF(G115&lt;L115,L115,G115)*(1-IF(H115&lt;N115,H115,N115))*E115*O115*Q115)/100000000</f>
        <v>31.471403040000006</v>
      </c>
      <c r="L115" s="40">
        <v>540</v>
      </c>
      <c r="M115" s="40">
        <f>+L115-L115*0.12</f>
        <v>475.2</v>
      </c>
      <c r="N115" s="51">
        <f>1-(M115/L115)</f>
        <v>0.12</v>
      </c>
      <c r="O115" s="52">
        <f>+'Trim Rwd'!H74</f>
        <v>329</v>
      </c>
      <c r="P115" s="53">
        <f>O115*(Q115-R115-S115)</f>
        <v>213521</v>
      </c>
      <c r="Q115" s="52">
        <v>660</v>
      </c>
      <c r="R115" s="506">
        <v>0</v>
      </c>
      <c r="S115" s="506">
        <v>11</v>
      </c>
      <c r="T115" s="42">
        <f>E115*M115*O115*Q115/100000000</f>
        <v>31.471403040000006</v>
      </c>
      <c r="U115" s="42">
        <f>E115*M115*O115*(Q115-R115-S115)/100000000</f>
        <v>30.946879656000004</v>
      </c>
      <c r="V115" s="42">
        <f>E115*G115*(1-N115)*O115/100*(R115+S115)/1000000</f>
        <v>0.52452338400000009</v>
      </c>
      <c r="W115" s="42">
        <f>+'22'!K23/1000</f>
        <v>20.273</v>
      </c>
      <c r="X115" s="43"/>
      <c r="Y115" s="216"/>
      <c r="Z115" s="42"/>
      <c r="AA115" s="42"/>
      <c r="AB115" s="42"/>
      <c r="AC115" s="42">
        <f>K115-T115</f>
        <v>0</v>
      </c>
      <c r="AD115" s="42">
        <f>+AM115+BA115</f>
        <v>14</v>
      </c>
      <c r="AE115" s="234" t="s">
        <v>226</v>
      </c>
      <c r="AF115" s="38"/>
      <c r="AG115" s="38"/>
      <c r="AH115" s="42">
        <v>14</v>
      </c>
      <c r="AI115" s="508"/>
      <c r="AJ115" s="42"/>
      <c r="AK115" s="42"/>
      <c r="AL115" s="42"/>
      <c r="AM115" s="42">
        <f>SUM(AF115:AL115)+AT115+AV115+AX115</f>
        <v>14</v>
      </c>
      <c r="AN115" s="42"/>
      <c r="AO115" s="42"/>
      <c r="AP115" s="42"/>
      <c r="AQ115" s="42"/>
      <c r="AR115" s="42">
        <f>SUM(AN115:AQ115)</f>
        <v>0</v>
      </c>
      <c r="AS115" s="42"/>
      <c r="AT115" s="42"/>
      <c r="AU115" s="42"/>
      <c r="AV115" s="42"/>
      <c r="AW115" s="42"/>
      <c r="AX115" s="42"/>
      <c r="AY115" s="42"/>
      <c r="AZ115" s="42"/>
      <c r="BA115" s="42">
        <f>+AR115+AS115+AU115+AW115+AY115+AZ115</f>
        <v>0</v>
      </c>
      <c r="BB115" s="38"/>
      <c r="BC115" s="509"/>
      <c r="BD115" s="56"/>
      <c r="BE115" s="56"/>
      <c r="BF115" s="56"/>
    </row>
    <row r="116" spans="1:58" ht="12.95" customHeight="1">
      <c r="A116" s="45"/>
      <c r="B116" s="46"/>
      <c r="C116" s="454"/>
      <c r="D116" s="46"/>
      <c r="E116" s="47"/>
      <c r="F116" s="47"/>
      <c r="G116" s="505"/>
      <c r="H116" s="49"/>
      <c r="I116" s="50"/>
      <c r="J116" s="87"/>
      <c r="K116" s="87"/>
      <c r="L116" s="40"/>
      <c r="M116" s="40"/>
      <c r="N116" s="51"/>
      <c r="O116" s="52"/>
      <c r="P116" s="53"/>
      <c r="Q116" s="52"/>
      <c r="R116" s="506"/>
      <c r="S116" s="506"/>
      <c r="T116" s="42"/>
      <c r="U116" s="42"/>
      <c r="V116" s="42"/>
      <c r="W116" s="42"/>
      <c r="X116" s="43"/>
      <c r="Y116" s="216"/>
      <c r="Z116" s="42"/>
      <c r="AA116" s="42"/>
      <c r="AB116" s="42"/>
      <c r="AC116" s="42"/>
      <c r="AD116" s="42">
        <f>+AM116+BA116</f>
        <v>11</v>
      </c>
      <c r="AE116" s="587" t="s">
        <v>463</v>
      </c>
      <c r="AF116" s="38"/>
      <c r="AG116" s="38"/>
      <c r="AH116" s="38"/>
      <c r="AI116" s="34">
        <v>11</v>
      </c>
      <c r="AJ116" s="42"/>
      <c r="AK116" s="42"/>
      <c r="AL116" s="42"/>
      <c r="AM116" s="42">
        <f>SUM(AF116:AL116)+AT116+AV116+AX116</f>
        <v>11</v>
      </c>
      <c r="AN116" s="42"/>
      <c r="AO116" s="42"/>
      <c r="AP116" s="42"/>
      <c r="AQ116" s="42"/>
      <c r="AR116" s="42">
        <f>SUM(AN116:AQ116)</f>
        <v>0</v>
      </c>
      <c r="AS116" s="42"/>
      <c r="AT116" s="42"/>
      <c r="AU116" s="42"/>
      <c r="AV116" s="42"/>
      <c r="AW116" s="42"/>
      <c r="AX116" s="42"/>
      <c r="AY116" s="42"/>
      <c r="AZ116" s="42"/>
      <c r="BA116" s="42">
        <f>+AR116+AS116+AU116+AW116+AY116+AZ116</f>
        <v>0</v>
      </c>
      <c r="BB116" s="38"/>
      <c r="BC116" s="509"/>
      <c r="BD116" s="56"/>
      <c r="BE116" s="56"/>
      <c r="BF116" s="56"/>
    </row>
    <row r="117" spans="1:58" ht="12.95" customHeight="1">
      <c r="A117" s="45"/>
      <c r="B117" s="46"/>
      <c r="C117" s="454"/>
      <c r="D117" s="46"/>
      <c r="E117" s="47"/>
      <c r="F117" s="47"/>
      <c r="G117" s="48"/>
      <c r="H117" s="49"/>
      <c r="I117" s="50"/>
      <c r="J117" s="87"/>
      <c r="K117" s="87"/>
      <c r="L117" s="40"/>
      <c r="M117" s="40"/>
      <c r="N117" s="51"/>
      <c r="O117" s="52"/>
      <c r="P117" s="53"/>
      <c r="Q117" s="52"/>
      <c r="R117" s="506"/>
      <c r="S117" s="506"/>
      <c r="T117" s="42"/>
      <c r="U117" s="42"/>
      <c r="V117" s="42"/>
      <c r="W117" s="42"/>
      <c r="X117" s="43"/>
      <c r="Y117" s="216"/>
      <c r="Z117" s="42"/>
      <c r="AA117" s="42"/>
      <c r="AB117" s="42"/>
      <c r="AC117" s="42"/>
      <c r="AD117" s="42"/>
      <c r="AE117" s="234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8"/>
      <c r="BC117" s="56"/>
      <c r="BD117" s="56"/>
      <c r="BE117" s="56"/>
      <c r="BF117" s="56"/>
    </row>
    <row r="118" spans="1:58" ht="12.95" customHeight="1">
      <c r="A118" s="45">
        <v>45953</v>
      </c>
      <c r="B118" s="46" t="s">
        <v>8</v>
      </c>
      <c r="C118" s="454">
        <f>(M118*E118*O118*Q118)/100000000</f>
        <v>68.664879360000015</v>
      </c>
      <c r="D118" s="46" t="s">
        <v>384</v>
      </c>
      <c r="E118" s="47">
        <v>30.5</v>
      </c>
      <c r="F118" s="47">
        <v>1</v>
      </c>
      <c r="G118" s="505">
        <v>540</v>
      </c>
      <c r="H118" s="49">
        <v>0.12</v>
      </c>
      <c r="I118" s="50">
        <v>0.88</v>
      </c>
      <c r="J118" s="87">
        <f>E118*G118*(1-H118)*1440/1000000*3.4</f>
        <v>70.960665599999999</v>
      </c>
      <c r="K118" s="87">
        <f>(IF(G118&lt;L118,L118,G118)*(1-IF(H118&lt;N118,H118,N118))*E118*O118*Q118)/100000000</f>
        <v>68.664879360000015</v>
      </c>
      <c r="L118" s="40">
        <v>540</v>
      </c>
      <c r="M118" s="40">
        <v>475.2</v>
      </c>
      <c r="N118" s="51">
        <f>1-(M118/L118)</f>
        <v>0.12</v>
      </c>
      <c r="O118" s="52">
        <f>+'Trim Rwd'!H76</f>
        <v>329</v>
      </c>
      <c r="P118" s="53">
        <f>O118*(Q118-R118-S118)</f>
        <v>469483</v>
      </c>
      <c r="Q118" s="52">
        <v>1440</v>
      </c>
      <c r="R118" s="506">
        <v>0</v>
      </c>
      <c r="S118" s="506">
        <v>13</v>
      </c>
      <c r="T118" s="42">
        <f>E118*M118*O118*Q118/100000000</f>
        <v>68.664879360000015</v>
      </c>
      <c r="U118" s="42">
        <f>E118*M118*O118*(Q118-R118-S118)/100000000</f>
        <v>68.044988087999997</v>
      </c>
      <c r="V118" s="42">
        <f>E118*G118*(1-N118)*O118/100*(R118+S118)/1000000</f>
        <v>0.61989127200000005</v>
      </c>
      <c r="W118" s="42">
        <f>+'23'!K34/1000</f>
        <v>70.382000000000005</v>
      </c>
      <c r="X118" s="507">
        <f>SUM(W118:W121)/SUM(K118:K121)</f>
        <v>1.0250072621696076</v>
      </c>
      <c r="Y118" s="216">
        <v>0</v>
      </c>
      <c r="Z118" s="42">
        <f>+'23'!D34/1000</f>
        <v>1.4</v>
      </c>
      <c r="AA118" s="54">
        <f>SUM(U118:U121)-SUM(W118:W121)-SUM(Z118:Z121)-SUM(Y118:Y121)</f>
        <v>-3.7370119120000083</v>
      </c>
      <c r="AB118" s="54">
        <f>(SUM(K118:K121)-SUM(W118:W121)-SUM(Y118:Y121)-SUM(Z118:Z121)-SUM(AC118:AC121)-SUM(V118:V121))-AA118</f>
        <v>1.8207657603852567E-14</v>
      </c>
      <c r="AC118" s="42">
        <f>K118-T118</f>
        <v>0</v>
      </c>
      <c r="AD118" s="42">
        <f>+AM118+BA118</f>
        <v>0</v>
      </c>
      <c r="AE118" s="234" t="s">
        <v>394</v>
      </c>
      <c r="AF118" s="42">
        <v>0</v>
      </c>
      <c r="AG118" s="42"/>
      <c r="AH118" s="42"/>
      <c r="AI118" s="508"/>
      <c r="AJ118" s="42"/>
      <c r="AK118" s="42"/>
      <c r="AL118" s="42"/>
      <c r="AM118" s="42">
        <f>SUM(AF118:AL118)+AT118+AV118+AX118</f>
        <v>0</v>
      </c>
      <c r="AN118" s="42"/>
      <c r="AO118" s="42"/>
      <c r="AP118" s="42"/>
      <c r="AQ118" s="42"/>
      <c r="AR118" s="42">
        <f>SUM(AN118:AQ118)</f>
        <v>0</v>
      </c>
      <c r="AS118" s="42"/>
      <c r="AT118" s="42"/>
      <c r="AU118" s="42"/>
      <c r="AV118" s="42"/>
      <c r="AW118" s="42"/>
      <c r="AX118" s="42"/>
      <c r="AY118" s="42"/>
      <c r="AZ118" s="42"/>
      <c r="BA118" s="42">
        <f>+AR118+AS118+AU118+AW118+AY118+AZ118</f>
        <v>0</v>
      </c>
      <c r="BB118" s="38">
        <v>0</v>
      </c>
      <c r="BC118" s="56"/>
      <c r="BD118" s="56"/>
      <c r="BE118" s="38"/>
      <c r="BF118" s="56"/>
    </row>
    <row r="119" spans="1:58" ht="12.95" customHeight="1">
      <c r="A119" s="45"/>
      <c r="B119" s="46"/>
      <c r="C119" s="454"/>
      <c r="D119" s="46"/>
      <c r="E119" s="47"/>
      <c r="F119" s="47"/>
      <c r="G119" s="505"/>
      <c r="H119" s="49"/>
      <c r="I119" s="50"/>
      <c r="J119" s="87"/>
      <c r="K119" s="87"/>
      <c r="L119" s="40"/>
      <c r="M119" s="40"/>
      <c r="N119" s="51"/>
      <c r="O119" s="52"/>
      <c r="P119" s="53"/>
      <c r="Q119" s="52"/>
      <c r="R119" s="506"/>
      <c r="S119" s="506"/>
      <c r="T119" s="42"/>
      <c r="U119" s="42"/>
      <c r="V119" s="42"/>
      <c r="W119" s="42"/>
      <c r="X119" s="43"/>
      <c r="Y119" s="216"/>
      <c r="Z119" s="42"/>
      <c r="AA119" s="42"/>
      <c r="AB119" s="42"/>
      <c r="AC119" s="42"/>
      <c r="AD119" s="42">
        <f>+AM119+BA119</f>
        <v>3</v>
      </c>
      <c r="AE119" s="234" t="s">
        <v>449</v>
      </c>
      <c r="AF119" s="42"/>
      <c r="AG119" s="42">
        <v>3</v>
      </c>
      <c r="AH119" s="42"/>
      <c r="AI119" s="508"/>
      <c r="AJ119" s="42"/>
      <c r="AK119" s="42"/>
      <c r="AL119" s="42"/>
      <c r="AM119" s="42">
        <f>SUM(AF119:AL119)+AT119+AV119+AX119</f>
        <v>3</v>
      </c>
      <c r="AN119" s="88"/>
      <c r="AO119" s="42"/>
      <c r="AP119" s="42"/>
      <c r="AQ119" s="42"/>
      <c r="AR119" s="42">
        <f>SUM(AN119:AQ119)</f>
        <v>0</v>
      </c>
      <c r="AS119" s="42"/>
      <c r="AT119" s="42"/>
      <c r="AU119" s="42"/>
      <c r="AV119" s="42"/>
      <c r="AW119" s="42"/>
      <c r="AX119" s="42"/>
      <c r="AY119" s="42"/>
      <c r="AZ119" s="42"/>
      <c r="BA119" s="42">
        <f>+AR119+AS119+AU119+AW119+AY119+AZ119</f>
        <v>0</v>
      </c>
      <c r="BB119" s="55"/>
      <c r="BC119" s="56">
        <v>2</v>
      </c>
      <c r="BD119" s="56"/>
      <c r="BE119" s="55"/>
      <c r="BF119" s="56"/>
    </row>
    <row r="120" spans="1:58" ht="12.95" customHeight="1">
      <c r="A120" s="45"/>
      <c r="B120" s="46"/>
      <c r="C120" s="454"/>
      <c r="D120" s="46"/>
      <c r="E120" s="47"/>
      <c r="F120" s="47"/>
      <c r="G120" s="505"/>
      <c r="H120" s="49"/>
      <c r="I120" s="50"/>
      <c r="J120" s="87"/>
      <c r="K120" s="87"/>
      <c r="L120" s="40"/>
      <c r="M120" s="40"/>
      <c r="N120" s="51"/>
      <c r="O120" s="52"/>
      <c r="P120" s="53"/>
      <c r="Q120" s="52"/>
      <c r="R120" s="506"/>
      <c r="S120" s="506"/>
      <c r="T120" s="42"/>
      <c r="U120" s="42"/>
      <c r="V120" s="42"/>
      <c r="W120" s="42"/>
      <c r="X120" s="43"/>
      <c r="Y120" s="216"/>
      <c r="Z120" s="42"/>
      <c r="AA120" s="42"/>
      <c r="AB120" s="42"/>
      <c r="AC120" s="42"/>
      <c r="AD120" s="42">
        <f>+AM120+BA120</f>
        <v>10</v>
      </c>
      <c r="AE120" s="234" t="s">
        <v>226</v>
      </c>
      <c r="AF120" s="38"/>
      <c r="AG120" s="38"/>
      <c r="AH120" s="42">
        <v>10</v>
      </c>
      <c r="AI120" s="508"/>
      <c r="AJ120" s="42"/>
      <c r="AK120" s="42"/>
      <c r="AL120" s="42"/>
      <c r="AM120" s="42">
        <f>SUM(AF120:AL120)+AT120+AV120+AX120</f>
        <v>10</v>
      </c>
      <c r="AN120" s="42"/>
      <c r="AO120" s="42"/>
      <c r="AP120" s="42"/>
      <c r="AQ120" s="42"/>
      <c r="AR120" s="42">
        <f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38"/>
      <c r="BC120" s="509"/>
      <c r="BD120" s="56"/>
      <c r="BE120" s="56"/>
      <c r="BF120" s="56"/>
    </row>
    <row r="121" spans="1:58" ht="12.95" customHeight="1">
      <c r="A121" s="45"/>
      <c r="B121" s="46"/>
      <c r="C121" s="454"/>
      <c r="D121" s="46"/>
      <c r="E121" s="47"/>
      <c r="F121" s="47"/>
      <c r="G121" s="505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06"/>
      <c r="S121" s="506"/>
      <c r="T121" s="42"/>
      <c r="U121" s="42"/>
      <c r="V121" s="42"/>
      <c r="W121" s="42"/>
      <c r="X121" s="43"/>
      <c r="Y121" s="216"/>
      <c r="Z121" s="42"/>
      <c r="AA121" s="42"/>
      <c r="AB121" s="42"/>
      <c r="AC121" s="42"/>
      <c r="AD121" s="42"/>
      <c r="AE121" s="587"/>
      <c r="AF121" s="38"/>
      <c r="AG121" s="38"/>
      <c r="AH121" s="38"/>
      <c r="AI121" s="508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8"/>
      <c r="BC121" s="509"/>
      <c r="BD121" s="56"/>
      <c r="BE121" s="56"/>
      <c r="BF121" s="56"/>
    </row>
    <row r="122" spans="1:58" ht="12.95" customHeight="1">
      <c r="A122" s="45">
        <v>45954</v>
      </c>
      <c r="B122" s="46" t="s">
        <v>8</v>
      </c>
      <c r="C122" s="454">
        <f>(M122*E122*O122*Q122)/100000000</f>
        <v>2.6226169200000005</v>
      </c>
      <c r="D122" s="46" t="s">
        <v>384</v>
      </c>
      <c r="E122" s="47">
        <v>30.5</v>
      </c>
      <c r="F122" s="47">
        <v>1</v>
      </c>
      <c r="G122" s="505">
        <v>540</v>
      </c>
      <c r="H122" s="49">
        <v>0.12</v>
      </c>
      <c r="I122" s="50">
        <v>0.88</v>
      </c>
      <c r="J122" s="87">
        <f>E122*G122*(1-H122)*1440/1000000*3.4</f>
        <v>70.960665599999999</v>
      </c>
      <c r="K122" s="87">
        <f>(IF(G122&lt;L122,L122,G122)*(1-IF(H122&lt;N122,H122,N122))*E122*O122*Q122)/100000000</f>
        <v>2.6226169200000005</v>
      </c>
      <c r="L122" s="40">
        <v>540</v>
      </c>
      <c r="M122" s="40">
        <v>475.2</v>
      </c>
      <c r="N122" s="51">
        <f>1-(M122/L122)</f>
        <v>0.12</v>
      </c>
      <c r="O122" s="52">
        <f>+'Trim Rwd'!H78</f>
        <v>329</v>
      </c>
      <c r="P122" s="53">
        <f>O122*(Q122-R122-S122)</f>
        <v>17766</v>
      </c>
      <c r="Q122" s="52">
        <v>55</v>
      </c>
      <c r="R122" s="506">
        <v>0</v>
      </c>
      <c r="S122" s="506">
        <v>1</v>
      </c>
      <c r="T122" s="42">
        <f>E122*M122*O122*Q122/100000000</f>
        <v>2.6226169200000005</v>
      </c>
      <c r="U122" s="42">
        <f>E122*M122*O122*(Q122-R122-S122)/100000000</f>
        <v>2.5749329760000004</v>
      </c>
      <c r="V122" s="42">
        <f>E122*G122*(1-N122)*O122/100*(R122+S122)/1000000</f>
        <v>4.7683944000000006E-2</v>
      </c>
      <c r="W122" s="42">
        <f>+'24'!K23/1000</f>
        <v>8.3559999999999999</v>
      </c>
      <c r="X122" s="507">
        <f>SUM(W122:W125)/SUM(K122:K125)</f>
        <v>0.98454249440749664</v>
      </c>
      <c r="Y122" s="216">
        <v>0</v>
      </c>
      <c r="Z122" s="42">
        <v>0</v>
      </c>
      <c r="AA122" s="54">
        <f>SUM(U122:U125)-SUM(W122:W125)-SUM(Z122:Z125)-SUM(Y122:Y125)</f>
        <v>-0.24053509356522051</v>
      </c>
      <c r="AB122" s="54">
        <f>(SUM(K122:K125)-SUM(W122:W125)-SUM(Y122:Y125)-SUM(Z122:Z125)-SUM(AC122:AC125)-SUM(V122:V125))-AA122</f>
        <v>2.3549901913043847E-2</v>
      </c>
      <c r="AC122" s="42">
        <f>K122-T122</f>
        <v>0</v>
      </c>
      <c r="AD122" s="42">
        <f>+AM122+BA122</f>
        <v>0</v>
      </c>
      <c r="AE122" s="234" t="s">
        <v>394</v>
      </c>
      <c r="AF122" s="42">
        <v>0</v>
      </c>
      <c r="AG122" s="42"/>
      <c r="AH122" s="42"/>
      <c r="AI122" s="508"/>
      <c r="AJ122" s="42"/>
      <c r="AK122" s="42"/>
      <c r="AL122" s="42"/>
      <c r="AM122" s="42">
        <f>SUM(AF122:AL122)+AT122+AV122+AX122</f>
        <v>0</v>
      </c>
      <c r="AN122" s="42"/>
      <c r="AO122" s="42"/>
      <c r="AP122" s="42"/>
      <c r="AQ122" s="42"/>
      <c r="AR122" s="42">
        <f>SUM(AN122:AQ122)</f>
        <v>0</v>
      </c>
      <c r="AS122" s="42"/>
      <c r="AT122" s="42"/>
      <c r="AU122" s="42"/>
      <c r="AV122" s="42"/>
      <c r="AW122" s="42"/>
      <c r="AX122" s="42"/>
      <c r="AY122" s="42"/>
      <c r="AZ122" s="42"/>
      <c r="BA122" s="42">
        <f>+AR122+AS122+AU122+AW122+AY122+AZ122</f>
        <v>0</v>
      </c>
      <c r="BB122" s="38">
        <v>0</v>
      </c>
      <c r="BC122" s="56"/>
      <c r="BD122" s="56"/>
      <c r="BE122" s="38"/>
      <c r="BF122" s="56"/>
    </row>
    <row r="123" spans="1:58" ht="12.95" customHeight="1">
      <c r="A123" s="45"/>
      <c r="B123" s="46" t="s">
        <v>8</v>
      </c>
      <c r="C123" s="454">
        <f>(M123*E123*O123*Q123)/100000000</f>
        <v>67.951279478260872</v>
      </c>
      <c r="D123" s="46" t="s">
        <v>384</v>
      </c>
      <c r="E123" s="47">
        <v>34</v>
      </c>
      <c r="F123" s="47">
        <v>1</v>
      </c>
      <c r="G123" s="505">
        <v>480</v>
      </c>
      <c r="H123" s="49">
        <v>0.12</v>
      </c>
      <c r="I123" s="50">
        <v>0.88</v>
      </c>
      <c r="J123" s="87">
        <f>E123*G123*(1-H123)*1440/1000000*3.4</f>
        <v>70.314393599999988</v>
      </c>
      <c r="K123" s="87">
        <f>(IF(G123&lt;L123,L123,G123)*(1-IF(H123&lt;N123,H123,N123))*E123*O123*Q123)/100000000</f>
        <v>67.951279478260872</v>
      </c>
      <c r="L123" s="40">
        <v>500</v>
      </c>
      <c r="M123" s="40">
        <v>440</v>
      </c>
      <c r="N123" s="51">
        <f>1-(M123/L123)</f>
        <v>0.12</v>
      </c>
      <c r="O123" s="52">
        <f>+'Trim Rwd'!H79</f>
        <v>327.95652173913044</v>
      </c>
      <c r="P123" s="53">
        <f>O123*(Q123-R123-S123)</f>
        <v>450284.30434782611</v>
      </c>
      <c r="Q123" s="52">
        <v>1385</v>
      </c>
      <c r="R123" s="506">
        <v>0</v>
      </c>
      <c r="S123" s="506">
        <v>12</v>
      </c>
      <c r="T123" s="42">
        <f>E123*M123*O123*Q123/100000000</f>
        <v>67.951279478260872</v>
      </c>
      <c r="U123" s="42">
        <f>E123*M123*O123*(Q123-R123-S123)/100000000</f>
        <v>67.362531930434784</v>
      </c>
      <c r="V123" s="42">
        <f>E123*G123*(1-N123)*O123/100*(R123+S123)/1000000</f>
        <v>0.56519764591304356</v>
      </c>
      <c r="W123" s="42">
        <f>+'24'!K24/1000</f>
        <v>61.127000000000002</v>
      </c>
      <c r="X123" s="43"/>
      <c r="Y123" s="216"/>
      <c r="Z123" s="42">
        <f>+'24'!D34/1000</f>
        <v>0.69499999999999995</v>
      </c>
      <c r="AA123" s="42"/>
      <c r="AB123" s="42"/>
      <c r="AC123" s="42">
        <f>K123-T123</f>
        <v>0</v>
      </c>
      <c r="AD123" s="42">
        <f>+AM123+BA123</f>
        <v>3</v>
      </c>
      <c r="AE123" s="234" t="s">
        <v>392</v>
      </c>
      <c r="AF123" s="42"/>
      <c r="AG123" s="42">
        <v>3</v>
      </c>
      <c r="AH123" s="42"/>
      <c r="AI123" s="508"/>
      <c r="AJ123" s="42"/>
      <c r="AK123" s="42"/>
      <c r="AL123" s="42"/>
      <c r="AM123" s="42">
        <f>SUM(AF123:AL123)+AT123+AV123+AX123</f>
        <v>3</v>
      </c>
      <c r="AN123" s="88"/>
      <c r="AO123" s="42"/>
      <c r="AP123" s="42"/>
      <c r="AQ123" s="42"/>
      <c r="AR123" s="42">
        <f>SUM(AN123:AQ123)</f>
        <v>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0</v>
      </c>
      <c r="BB123" s="55"/>
      <c r="BC123" s="56">
        <v>1</v>
      </c>
      <c r="BD123" s="56"/>
      <c r="BE123" s="55"/>
      <c r="BF123" s="56"/>
    </row>
    <row r="124" spans="1:58" ht="12.95" customHeight="1">
      <c r="A124" s="45"/>
      <c r="B124" s="46"/>
      <c r="C124" s="454"/>
      <c r="D124" s="46"/>
      <c r="E124" s="47"/>
      <c r="F124" s="47"/>
      <c r="G124" s="505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06"/>
      <c r="S124" s="506"/>
      <c r="T124" s="42"/>
      <c r="U124" s="42"/>
      <c r="V124" s="42"/>
      <c r="W124" s="42"/>
      <c r="X124" s="43"/>
      <c r="Y124" s="216"/>
      <c r="Z124" s="42"/>
      <c r="AA124" s="42"/>
      <c r="AB124" s="42"/>
      <c r="AC124" s="42"/>
      <c r="AD124" s="42">
        <f>+AM124+BA124</f>
        <v>8</v>
      </c>
      <c r="AE124" s="234" t="s">
        <v>226</v>
      </c>
      <c r="AF124" s="38"/>
      <c r="AG124" s="38"/>
      <c r="AH124" s="42">
        <v>8</v>
      </c>
      <c r="AI124" s="508"/>
      <c r="AJ124" s="42"/>
      <c r="AK124" s="42"/>
      <c r="AL124" s="42"/>
      <c r="AM124" s="42">
        <f>SUM(AF124:AL124)+AT124+AV124+AX124</f>
        <v>8</v>
      </c>
      <c r="AN124" s="42"/>
      <c r="AO124" s="42"/>
      <c r="AP124" s="42"/>
      <c r="AQ124" s="42"/>
      <c r="AR124" s="42">
        <f>SUM(AN124:AQ124)</f>
        <v>0</v>
      </c>
      <c r="AS124" s="42"/>
      <c r="AT124" s="42"/>
      <c r="AU124" s="42"/>
      <c r="AV124" s="42"/>
      <c r="AW124" s="42"/>
      <c r="AX124" s="42"/>
      <c r="AY124" s="42"/>
      <c r="AZ124" s="42"/>
      <c r="BA124" s="42">
        <f>+AR124+AS124+AU124+AW124+AY124+AZ124</f>
        <v>0</v>
      </c>
      <c r="BB124" s="38"/>
      <c r="BC124" s="509"/>
      <c r="BD124" s="56"/>
      <c r="BE124" s="56"/>
      <c r="BF124" s="56"/>
    </row>
    <row r="125" spans="1:58" ht="12.95" customHeight="1">
      <c r="A125" s="45"/>
      <c r="B125" s="46"/>
      <c r="C125" s="454"/>
      <c r="D125" s="46"/>
      <c r="E125" s="47"/>
      <c r="F125" s="47"/>
      <c r="G125" s="505"/>
      <c r="H125" s="49"/>
      <c r="I125" s="50"/>
      <c r="J125" s="87"/>
      <c r="K125" s="87"/>
      <c r="L125" s="40"/>
      <c r="M125" s="40"/>
      <c r="N125" s="51"/>
      <c r="O125" s="52"/>
      <c r="P125" s="53"/>
      <c r="Q125" s="52"/>
      <c r="R125" s="506"/>
      <c r="S125" s="506"/>
      <c r="T125" s="42"/>
      <c r="U125" s="42"/>
      <c r="V125" s="42"/>
      <c r="W125" s="42"/>
      <c r="X125" s="507"/>
      <c r="Y125" s="216"/>
      <c r="Z125" s="42"/>
      <c r="AA125" s="54"/>
      <c r="AB125" s="54"/>
      <c r="AC125" s="42"/>
      <c r="AD125" s="42">
        <f>+AM125+BA125</f>
        <v>2</v>
      </c>
      <c r="AE125" s="587" t="s">
        <v>463</v>
      </c>
      <c r="AF125" s="38"/>
      <c r="AG125" s="38"/>
      <c r="AH125" s="38"/>
      <c r="AI125" s="34">
        <v>2</v>
      </c>
      <c r="AJ125" s="42"/>
      <c r="AK125" s="42"/>
      <c r="AL125" s="42"/>
      <c r="AM125" s="42">
        <f>SUM(AF125:AL125)+AT125+AV125+AX125</f>
        <v>2</v>
      </c>
      <c r="AN125" s="42"/>
      <c r="AO125" s="42"/>
      <c r="AP125" s="42"/>
      <c r="AQ125" s="42"/>
      <c r="AR125" s="42">
        <f>SUM(AN125:AQ125)</f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/>
      <c r="BC125" s="509"/>
      <c r="BD125" s="56"/>
      <c r="BE125" s="56"/>
      <c r="BF125" s="56"/>
    </row>
    <row r="126" spans="1:58" ht="12.95" customHeight="1">
      <c r="A126" s="45"/>
      <c r="B126" s="46"/>
      <c r="C126" s="454"/>
      <c r="D126" s="46"/>
      <c r="E126" s="47"/>
      <c r="F126" s="47"/>
      <c r="G126" s="505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06"/>
      <c r="S126" s="506"/>
      <c r="T126" s="42"/>
      <c r="U126" s="42"/>
      <c r="V126" s="42"/>
      <c r="W126" s="42"/>
      <c r="X126" s="507"/>
      <c r="Y126" s="216"/>
      <c r="Z126" s="42"/>
      <c r="AA126" s="54"/>
      <c r="AB126" s="54"/>
      <c r="AC126" s="42"/>
      <c r="AD126" s="42"/>
      <c r="AE126" s="234"/>
      <c r="AF126" s="42"/>
      <c r="AG126" s="42"/>
      <c r="AH126" s="42"/>
      <c r="AI126" s="508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8"/>
      <c r="BC126" s="56"/>
      <c r="BD126" s="56"/>
      <c r="BE126" s="56"/>
      <c r="BF126" s="56"/>
    </row>
    <row r="127" spans="1:58" ht="12.95" customHeight="1">
      <c r="A127" s="45">
        <v>45955</v>
      </c>
      <c r="B127" s="46" t="s">
        <v>8</v>
      </c>
      <c r="C127" s="454">
        <f>(M127*E127*O127*Q127)/100000000</f>
        <v>67.440637439999989</v>
      </c>
      <c r="D127" s="46" t="s">
        <v>384</v>
      </c>
      <c r="E127" s="47">
        <v>34</v>
      </c>
      <c r="F127" s="47">
        <v>1</v>
      </c>
      <c r="G127" s="505">
        <v>480</v>
      </c>
      <c r="H127" s="49">
        <v>0.12</v>
      </c>
      <c r="I127" s="50">
        <v>0.88</v>
      </c>
      <c r="J127" s="87">
        <f>E127*G127*(1-H127)*1440/1000000*3.4</f>
        <v>70.314393599999988</v>
      </c>
      <c r="K127" s="87">
        <f>(IF(G127&lt;L127,L127,G127)*(1-IF(H127&lt;N127,H127,N127))*E127*O127*Q127)/100000000</f>
        <v>67.440637439999989</v>
      </c>
      <c r="L127" s="40">
        <v>490</v>
      </c>
      <c r="M127" s="40">
        <v>431.2</v>
      </c>
      <c r="N127" s="51">
        <f>1-(M127/L127)</f>
        <v>0.12</v>
      </c>
      <c r="O127" s="52">
        <f>+'Trim Rwd'!H83</f>
        <v>319.44897959183675</v>
      </c>
      <c r="P127" s="53">
        <f>O127*(Q127-R127-S127)</f>
        <v>454256.44897959183</v>
      </c>
      <c r="Q127" s="52">
        <v>1440</v>
      </c>
      <c r="R127" s="506">
        <v>0</v>
      </c>
      <c r="S127" s="506">
        <v>18</v>
      </c>
      <c r="T127" s="42">
        <f>E127*M127*O127*Q127/100000000</f>
        <v>67.440637439999989</v>
      </c>
      <c r="U127" s="42">
        <f>E127*M127*O127*(Q127-R127-S127)/100000000</f>
        <v>66.597629471999994</v>
      </c>
      <c r="V127" s="42">
        <f>E127*G127*(1-N127)*O127/100*(R127+S127)/1000000</f>
        <v>0.82580372375510214</v>
      </c>
      <c r="W127" s="42">
        <f>+'25'!K34/1000</f>
        <v>65.763999999999996</v>
      </c>
      <c r="X127" s="507">
        <f>SUM(W127:W130)/SUM(K127:K130)</f>
        <v>0.97513906297977015</v>
      </c>
      <c r="Y127" s="216">
        <v>0</v>
      </c>
      <c r="Z127" s="42">
        <v>0</v>
      </c>
      <c r="AA127" s="42">
        <f>SUM(U127:U130)-SUM(W127:W130)-SUM(Z127:Z130)-SUM(Y127:Y130)</f>
        <v>0.83362947199999837</v>
      </c>
      <c r="AB127" s="42">
        <f>(SUM(K127:K130)-SUM(W127:W130)-SUM(Y127:Y130)-SUM(Z127:Z130)-SUM(AC127:AC130)-SUM(V127:V130))-AA127</f>
        <v>1.7204244244892752E-2</v>
      </c>
      <c r="AC127" s="42">
        <f>K127-T127</f>
        <v>0</v>
      </c>
      <c r="AD127" s="42">
        <f>+AM127+BA127</f>
        <v>0</v>
      </c>
      <c r="AE127" s="234" t="s">
        <v>394</v>
      </c>
      <c r="AF127" s="42">
        <v>0</v>
      </c>
      <c r="AG127" s="42"/>
      <c r="AH127" s="42"/>
      <c r="AI127" s="508"/>
      <c r="AJ127" s="42"/>
      <c r="AK127" s="42"/>
      <c r="AL127" s="42"/>
      <c r="AM127" s="42">
        <f>SUM(AF127:AL127)+AT127+AV127+AX127</f>
        <v>0</v>
      </c>
      <c r="AN127" s="88"/>
      <c r="AO127" s="42"/>
      <c r="AP127" s="42"/>
      <c r="AQ127" s="42"/>
      <c r="AR127" s="42">
        <f>SUM(AN127:AQ127)</f>
        <v>0</v>
      </c>
      <c r="AS127" s="42"/>
      <c r="AT127" s="42"/>
      <c r="AU127" s="42"/>
      <c r="AV127" s="42"/>
      <c r="AW127" s="42"/>
      <c r="AX127" s="42"/>
      <c r="AY127" s="42"/>
      <c r="AZ127" s="42"/>
      <c r="BA127" s="42">
        <f>+AR127+AS127+AU127+AW127+AY127+AZ127</f>
        <v>0</v>
      </c>
      <c r="BB127" s="55">
        <v>0</v>
      </c>
      <c r="BC127" s="56"/>
      <c r="BD127" s="56"/>
      <c r="BE127" s="56"/>
      <c r="BF127" s="56"/>
    </row>
    <row r="128" spans="1:58" ht="12.95" customHeight="1">
      <c r="A128" s="45"/>
      <c r="B128" s="46"/>
      <c r="C128" s="454"/>
      <c r="D128" s="46"/>
      <c r="E128" s="47"/>
      <c r="F128" s="47"/>
      <c r="G128" s="505"/>
      <c r="H128" s="49"/>
      <c r="I128" s="50"/>
      <c r="J128" s="87"/>
      <c r="K128" s="87"/>
      <c r="L128" s="40"/>
      <c r="M128" s="40"/>
      <c r="N128" s="51"/>
      <c r="O128" s="52"/>
      <c r="P128" s="53"/>
      <c r="Q128" s="52"/>
      <c r="R128" s="506"/>
      <c r="S128" s="506"/>
      <c r="T128" s="42"/>
      <c r="U128" s="42"/>
      <c r="V128" s="42"/>
      <c r="W128" s="42"/>
      <c r="X128" s="43"/>
      <c r="Y128" s="216"/>
      <c r="Z128" s="42"/>
      <c r="AA128" s="42"/>
      <c r="AB128" s="42"/>
      <c r="AC128" s="42"/>
      <c r="AD128" s="42">
        <f>+AM128+BA128</f>
        <v>9</v>
      </c>
      <c r="AE128" s="234" t="s">
        <v>393</v>
      </c>
      <c r="AF128" s="38"/>
      <c r="AG128" s="38">
        <v>9</v>
      </c>
      <c r="AH128" s="38"/>
      <c r="AJ128" s="42"/>
      <c r="AK128" s="42"/>
      <c r="AL128" s="42"/>
      <c r="AM128" s="42">
        <f>SUM(AF128:AL128)+AT128+AV128+AX128</f>
        <v>9</v>
      </c>
      <c r="AN128" s="42"/>
      <c r="AO128" s="42"/>
      <c r="AP128" s="42"/>
      <c r="AQ128" s="42"/>
      <c r="AR128" s="42">
        <f>SUM(AN128:AQ128)</f>
        <v>0</v>
      </c>
      <c r="AS128" s="42"/>
      <c r="AT128" s="42"/>
      <c r="AU128" s="42"/>
      <c r="AV128" s="42"/>
      <c r="AW128" s="42"/>
      <c r="AX128" s="42"/>
      <c r="AY128" s="42"/>
      <c r="AZ128" s="42"/>
      <c r="BA128" s="42">
        <f>+AR128+AS128+AU128+AW128+AY128+AZ128</f>
        <v>0</v>
      </c>
      <c r="BB128" s="38"/>
      <c r="BC128" s="509">
        <v>3</v>
      </c>
      <c r="BD128" s="56"/>
      <c r="BE128" s="56"/>
      <c r="BF128" s="56"/>
    </row>
    <row r="129" spans="1:58" ht="12.95" customHeight="1">
      <c r="A129" s="45"/>
      <c r="B129" s="567"/>
      <c r="C129" s="454"/>
      <c r="D129" s="46"/>
      <c r="E129" s="47"/>
      <c r="F129" s="47"/>
      <c r="G129" s="48"/>
      <c r="H129" s="49"/>
      <c r="I129" s="50"/>
      <c r="J129" s="87"/>
      <c r="K129" s="87"/>
      <c r="L129" s="40"/>
      <c r="M129" s="40"/>
      <c r="N129" s="51"/>
      <c r="O129" s="52"/>
      <c r="P129" s="53"/>
      <c r="Q129" s="39"/>
      <c r="R129" s="506"/>
      <c r="S129" s="506"/>
      <c r="T129" s="42"/>
      <c r="U129" s="42"/>
      <c r="V129" s="42"/>
      <c r="W129" s="42"/>
      <c r="X129" s="43"/>
      <c r="Y129" s="216"/>
      <c r="Z129" s="42"/>
      <c r="AA129" s="54"/>
      <c r="AB129" s="54"/>
      <c r="AC129" s="42"/>
      <c r="AD129" s="42">
        <f>+AM129+BA129</f>
        <v>9</v>
      </c>
      <c r="AE129" s="237" t="s">
        <v>226</v>
      </c>
      <c r="AF129" s="42"/>
      <c r="AG129" s="42"/>
      <c r="AH129" s="42">
        <v>9</v>
      </c>
      <c r="AI129" s="42"/>
      <c r="AJ129" s="42"/>
      <c r="AK129" s="42"/>
      <c r="AL129" s="42"/>
      <c r="AM129" s="42">
        <f>SUM(AF129:AL129)+AT129+AV129+AX129</f>
        <v>9</v>
      </c>
      <c r="AN129" s="42"/>
      <c r="AO129" s="42"/>
      <c r="AP129" s="42"/>
      <c r="AQ129" s="42"/>
      <c r="AR129" s="42">
        <f>SUM(AN129:AQ129)</f>
        <v>0</v>
      </c>
      <c r="AS129" s="42"/>
      <c r="AT129" s="42"/>
      <c r="AU129" s="42"/>
      <c r="AV129" s="42"/>
      <c r="AW129" s="42"/>
      <c r="AX129" s="42"/>
      <c r="AY129" s="42"/>
      <c r="AZ129" s="42"/>
      <c r="BA129" s="42">
        <f>+AR129+AS129+AU129+AW129+AY129+AZ129</f>
        <v>0</v>
      </c>
      <c r="BB129" s="38"/>
      <c r="BC129" s="56"/>
      <c r="BD129" s="509"/>
      <c r="BE129" s="38"/>
      <c r="BF129" s="509"/>
    </row>
    <row r="130" spans="1:58" ht="12.95" customHeight="1">
      <c r="A130" s="45"/>
      <c r="B130" s="46"/>
      <c r="C130" s="454"/>
      <c r="D130" s="46"/>
      <c r="E130" s="47"/>
      <c r="F130" s="47"/>
      <c r="G130" s="48"/>
      <c r="H130" s="49"/>
      <c r="I130" s="50"/>
      <c r="J130" s="87"/>
      <c r="K130" s="87"/>
      <c r="L130" s="40"/>
      <c r="M130" s="40"/>
      <c r="N130" s="51"/>
      <c r="O130" s="52"/>
      <c r="P130" s="53"/>
      <c r="Q130" s="52"/>
      <c r="R130" s="506"/>
      <c r="S130" s="506"/>
      <c r="T130" s="42"/>
      <c r="U130" s="42"/>
      <c r="V130" s="42"/>
      <c r="W130" s="42"/>
      <c r="X130" s="507"/>
      <c r="Y130" s="216"/>
      <c r="Z130" s="42"/>
      <c r="AA130" s="54"/>
      <c r="AB130" s="54"/>
      <c r="AC130" s="42"/>
      <c r="AD130" s="42"/>
      <c r="AE130" s="234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8"/>
      <c r="BC130" s="56"/>
      <c r="BD130" s="56"/>
      <c r="BE130" s="56"/>
      <c r="BF130" s="56"/>
    </row>
    <row r="131" spans="1:58" ht="12.95" customHeight="1">
      <c r="A131" s="45">
        <v>45956</v>
      </c>
      <c r="B131" s="46" t="s">
        <v>8</v>
      </c>
      <c r="C131" s="454">
        <f>(M131*E131*O131*Q131)/100000000</f>
        <v>51.731702439999999</v>
      </c>
      <c r="D131" s="46" t="s">
        <v>384</v>
      </c>
      <c r="E131" s="47">
        <v>34</v>
      </c>
      <c r="F131" s="47">
        <v>1</v>
      </c>
      <c r="G131" s="505">
        <v>480</v>
      </c>
      <c r="H131" s="49">
        <v>0.12</v>
      </c>
      <c r="I131" s="50">
        <v>0.88</v>
      </c>
      <c r="J131" s="87">
        <f>E131*G131*(1-H131)*1440/1000000*3.4</f>
        <v>70.314393599999988</v>
      </c>
      <c r="K131" s="87">
        <f>(IF(G131&lt;L131,L131,G131)*(1-IF(H131&lt;N131,H131,N131))*E131*O131*Q131)/100000000</f>
        <v>51.731702439999999</v>
      </c>
      <c r="L131" s="40">
        <v>485</v>
      </c>
      <c r="M131" s="40">
        <f>+L131-L131*0.12</f>
        <v>426.8</v>
      </c>
      <c r="N131" s="51">
        <f>1-(M131/L131)</f>
        <v>0.12</v>
      </c>
      <c r="O131" s="52">
        <f>+'Trim Rwd'!H86</f>
        <v>321.16666666666669</v>
      </c>
      <c r="P131" s="53">
        <f>O131*(Q131-R131-S131)</f>
        <v>350071.66666666669</v>
      </c>
      <c r="Q131" s="52">
        <v>1110</v>
      </c>
      <c r="R131" s="506">
        <v>0</v>
      </c>
      <c r="S131" s="506">
        <v>20</v>
      </c>
      <c r="T131" s="42">
        <f>E131*M131*O131*Q131/100000000</f>
        <v>51.731702439999999</v>
      </c>
      <c r="U131" s="42">
        <f>E131*M131*O131*(Q131-R131-S131)/100000000</f>
        <v>50.799599693333327</v>
      </c>
      <c r="V131" s="42">
        <f>E131*G131*(1-N131)*O131/100*(R131+S131)/1000000</f>
        <v>0.92249344</v>
      </c>
      <c r="W131" s="42">
        <f>+'26'!K24/1000</f>
        <v>54.097000000000001</v>
      </c>
      <c r="X131" s="507">
        <f>SUM(W131:W134)/SUM(K131:K134)</f>
        <v>0.97026283953750847</v>
      </c>
      <c r="Y131" s="216">
        <v>0</v>
      </c>
      <c r="Z131" s="42">
        <f>+'26'!D7/1000</f>
        <v>0.96</v>
      </c>
      <c r="AA131" s="54">
        <f>SUM(U131:U134)-SUM(W131:W134)-SUM(Z131:Z134)-SUM(Y131:Y134)</f>
        <v>-1.131177106666676</v>
      </c>
      <c r="AB131" s="54">
        <f>(SUM(K131:K134)-SUM(W131:W134)-SUM(Y131:Y134)-SUM(Z131:Z134)-SUM(AC131:AC134)-SUM(V131:V134))-AA131</f>
        <v>-3.5405333331661737E-4</v>
      </c>
      <c r="AC131" s="42">
        <f>K131-T131</f>
        <v>0</v>
      </c>
      <c r="AD131" s="42">
        <f>+AM131+BA131</f>
        <v>0</v>
      </c>
      <c r="AE131" s="234" t="s">
        <v>394</v>
      </c>
      <c r="AF131" s="42">
        <v>0</v>
      </c>
      <c r="AG131" s="42"/>
      <c r="AH131" s="42"/>
      <c r="AI131" s="508"/>
      <c r="AJ131" s="42"/>
      <c r="AK131" s="42"/>
      <c r="AL131" s="42"/>
      <c r="AM131" s="42">
        <f>SUM(AF131:AL131)+AT131+AV131+AX131</f>
        <v>0</v>
      </c>
      <c r="AN131" s="42"/>
      <c r="AO131" s="42"/>
      <c r="AP131" s="42"/>
      <c r="AQ131" s="42"/>
      <c r="AR131" s="42">
        <f>SUM(AN131:AQ131)</f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38">
        <v>0</v>
      </c>
      <c r="BC131" s="56"/>
      <c r="BD131" s="56"/>
      <c r="BE131" s="56"/>
      <c r="BF131" s="56"/>
    </row>
    <row r="132" spans="1:58" ht="12.95" customHeight="1">
      <c r="A132" s="45"/>
      <c r="B132" s="46" t="s">
        <v>8</v>
      </c>
      <c r="C132" s="454">
        <f>(M132*E132*O132*Q132)/100000000</f>
        <v>15.124380480000003</v>
      </c>
      <c r="D132" s="46" t="s">
        <v>384</v>
      </c>
      <c r="E132" s="47">
        <v>36</v>
      </c>
      <c r="F132" s="47">
        <v>1</v>
      </c>
      <c r="G132" s="505">
        <v>480</v>
      </c>
      <c r="H132" s="49">
        <v>0.12</v>
      </c>
      <c r="I132" s="50">
        <v>0.88</v>
      </c>
      <c r="J132" s="87">
        <f>E132*G132*(1-H132)*1440/1000000*3.4</f>
        <v>74.450534399999995</v>
      </c>
      <c r="K132" s="87">
        <f>(IF(G132&lt;L132,L132,G132)*(1-IF(H132&lt;N132,H132,N132))*E132*O132*Q132)/100000000</f>
        <v>15.78196224</v>
      </c>
      <c r="L132" s="40">
        <v>460</v>
      </c>
      <c r="M132" s="40">
        <f>+L132-L132*0.12</f>
        <v>404.8</v>
      </c>
      <c r="N132" s="51">
        <f>1-(M132/L132)</f>
        <v>0.12</v>
      </c>
      <c r="O132" s="52">
        <f>+'Trim Rwd'!H88</f>
        <v>314.5</v>
      </c>
      <c r="P132" s="53">
        <f>O132*(Q132-R132-S132)</f>
        <v>102212.5</v>
      </c>
      <c r="Q132" s="52">
        <v>330</v>
      </c>
      <c r="R132" s="506">
        <v>0</v>
      </c>
      <c r="S132" s="506">
        <v>5</v>
      </c>
      <c r="T132" s="42">
        <f>E132*M132*O132*Q132/100000000</f>
        <v>15.124380480000003</v>
      </c>
      <c r="U132" s="42">
        <f>E132*M132*O132*(Q132-R132-S132)/100000000</f>
        <v>14.895223200000002</v>
      </c>
      <c r="V132" s="42">
        <f>E132*G132*(1-N132)*O132/100*(R132+S132)/1000000</f>
        <v>0.23912064</v>
      </c>
      <c r="W132" s="42">
        <f>+'26'!K25/1000</f>
        <v>11.409000000000001</v>
      </c>
      <c r="X132" s="43"/>
      <c r="Y132" s="216"/>
      <c r="Z132" s="42">
        <f>+'26'!D26/1000</f>
        <v>0.36</v>
      </c>
      <c r="AA132" s="42"/>
      <c r="AB132" s="42"/>
      <c r="AC132" s="42">
        <f>K132-T132</f>
        <v>0.65758175999999757</v>
      </c>
      <c r="AD132" s="42">
        <f>+AM132+BA132</f>
        <v>9</v>
      </c>
      <c r="AE132" s="234" t="s">
        <v>393</v>
      </c>
      <c r="AF132" s="42"/>
      <c r="AG132" s="42">
        <v>9</v>
      </c>
      <c r="AH132" s="42"/>
      <c r="AI132" s="508"/>
      <c r="AJ132" s="42"/>
      <c r="AK132" s="42"/>
      <c r="AL132" s="42"/>
      <c r="AM132" s="42">
        <f>SUM(AF132:AL132)+AT132+AV132+AX132</f>
        <v>9</v>
      </c>
      <c r="AN132" s="88"/>
      <c r="AO132" s="42"/>
      <c r="AP132" s="42"/>
      <c r="AQ132" s="42"/>
      <c r="AR132" s="42">
        <f>SUM(AN132:AQ132)</f>
        <v>0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0</v>
      </c>
      <c r="BB132" s="55"/>
      <c r="BC132" s="56">
        <v>3</v>
      </c>
      <c r="BD132" s="56"/>
      <c r="BE132" s="56"/>
      <c r="BF132" s="56"/>
    </row>
    <row r="133" spans="1:58" ht="12.95" customHeight="1">
      <c r="A133" s="45"/>
      <c r="B133" s="46"/>
      <c r="C133" s="454"/>
      <c r="D133" s="46"/>
      <c r="E133" s="47"/>
      <c r="F133" s="47"/>
      <c r="G133" s="505"/>
      <c r="H133" s="49"/>
      <c r="I133" s="50"/>
      <c r="J133" s="87"/>
      <c r="K133" s="87"/>
      <c r="L133" s="40"/>
      <c r="M133" s="40"/>
      <c r="N133" s="51"/>
      <c r="O133" s="52"/>
      <c r="P133" s="53"/>
      <c r="Q133" s="52"/>
      <c r="R133" s="506"/>
      <c r="S133" s="506"/>
      <c r="T133" s="42"/>
      <c r="U133" s="42"/>
      <c r="V133" s="42"/>
      <c r="W133" s="42"/>
      <c r="X133" s="43"/>
      <c r="Y133" s="216"/>
      <c r="Z133" s="42"/>
      <c r="AA133" s="42"/>
      <c r="AB133" s="42"/>
      <c r="AC133" s="42"/>
      <c r="AD133" s="42">
        <f>+AM133+BA133</f>
        <v>11</v>
      </c>
      <c r="AE133" s="234" t="s">
        <v>226</v>
      </c>
      <c r="AF133" s="38"/>
      <c r="AG133" s="38"/>
      <c r="AH133" s="38">
        <v>11</v>
      </c>
      <c r="AJ133" s="42"/>
      <c r="AK133" s="42"/>
      <c r="AL133" s="42"/>
      <c r="AM133" s="42">
        <f>SUM(AF133:AL133)+AT133+AV133+AX133</f>
        <v>11</v>
      </c>
      <c r="AN133" s="42"/>
      <c r="AO133" s="42"/>
      <c r="AP133" s="42"/>
      <c r="AQ133" s="42"/>
      <c r="AR133" s="42">
        <f>SUM(AN133:AQ133)</f>
        <v>0</v>
      </c>
      <c r="AS133" s="42"/>
      <c r="AT133" s="42"/>
      <c r="AU133" s="42"/>
      <c r="AV133" s="42"/>
      <c r="AW133" s="42"/>
      <c r="AX133" s="42"/>
      <c r="AY133" s="42"/>
      <c r="AZ133" s="42"/>
      <c r="BA133" s="42">
        <f>+AR133+AS133+AU133+AW133+AY133+AZ133</f>
        <v>0</v>
      </c>
      <c r="BB133" s="38"/>
      <c r="BC133" s="509"/>
      <c r="BD133" s="56"/>
      <c r="BE133" s="56"/>
      <c r="BF133" s="56"/>
    </row>
    <row r="134" spans="1:58" ht="12.95" customHeight="1">
      <c r="A134" s="45"/>
      <c r="B134" s="567"/>
      <c r="C134" s="454"/>
      <c r="D134" s="46"/>
      <c r="E134" s="47"/>
      <c r="F134" s="47"/>
      <c r="G134" s="48"/>
      <c r="H134" s="49"/>
      <c r="I134" s="50"/>
      <c r="J134" s="87"/>
      <c r="K134" s="87"/>
      <c r="L134" s="40"/>
      <c r="M134" s="40"/>
      <c r="N134" s="51"/>
      <c r="O134" s="52"/>
      <c r="P134" s="53"/>
      <c r="Q134" s="39"/>
      <c r="R134" s="506"/>
      <c r="S134" s="506"/>
      <c r="T134" s="42"/>
      <c r="U134" s="42"/>
      <c r="V134" s="42"/>
      <c r="W134" s="42"/>
      <c r="X134" s="507"/>
      <c r="Y134" s="216"/>
      <c r="Z134" s="42"/>
      <c r="AA134" s="54"/>
      <c r="AB134" s="54"/>
      <c r="AC134" s="42"/>
      <c r="AD134" s="42">
        <f>+AM134+BA134</f>
        <v>5</v>
      </c>
      <c r="AE134" s="234" t="s">
        <v>463</v>
      </c>
      <c r="AF134" s="42"/>
      <c r="AG134" s="42"/>
      <c r="AH134" s="42"/>
      <c r="AI134" s="42">
        <v>5</v>
      </c>
      <c r="AJ134" s="42"/>
      <c r="AK134" s="42"/>
      <c r="AL134" s="42"/>
      <c r="AM134" s="42">
        <f>SUM(AF134:AL134)+AT134+AV134+AX134</f>
        <v>5</v>
      </c>
      <c r="AN134" s="42"/>
      <c r="AO134" s="42"/>
      <c r="AP134" s="42"/>
      <c r="AQ134" s="42"/>
      <c r="AR134" s="42">
        <f>SUM(AN134:AQ134)</f>
        <v>0</v>
      </c>
      <c r="AS134" s="42"/>
      <c r="AT134" s="42"/>
      <c r="AU134" s="42"/>
      <c r="AV134" s="42"/>
      <c r="AW134" s="42"/>
      <c r="AX134" s="42"/>
      <c r="AY134" s="42"/>
      <c r="AZ134" s="42"/>
      <c r="BA134" s="42">
        <f>+AR134+AS134+AU134+AW134+AY134+AZ134</f>
        <v>0</v>
      </c>
      <c r="BB134" s="38"/>
      <c r="BC134" s="56"/>
      <c r="BD134" s="509"/>
      <c r="BE134" s="38"/>
      <c r="BF134" s="509"/>
    </row>
    <row r="135" spans="1:58" ht="12.95" customHeight="1">
      <c r="A135" s="45"/>
      <c r="B135" s="46"/>
      <c r="C135" s="454"/>
      <c r="D135" s="46"/>
      <c r="E135" s="47"/>
      <c r="F135" s="47"/>
      <c r="G135" s="48"/>
      <c r="H135" s="49"/>
      <c r="I135" s="50"/>
      <c r="J135" s="87"/>
      <c r="K135" s="87"/>
      <c r="L135" s="40"/>
      <c r="M135" s="40"/>
      <c r="N135" s="51"/>
      <c r="O135" s="52"/>
      <c r="P135" s="53"/>
      <c r="Q135" s="383"/>
      <c r="R135" s="55"/>
      <c r="S135" s="55"/>
      <c r="T135" s="42"/>
      <c r="U135" s="42"/>
      <c r="V135" s="42"/>
      <c r="W135" s="42"/>
      <c r="X135" s="507"/>
      <c r="Y135" s="216"/>
      <c r="Z135" s="42"/>
      <c r="AA135" s="54"/>
      <c r="AB135" s="54"/>
      <c r="AC135" s="42"/>
      <c r="AD135" s="42"/>
      <c r="AE135" s="25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8"/>
      <c r="BC135" s="56"/>
      <c r="BD135" s="56"/>
      <c r="BE135" s="56"/>
      <c r="BF135" s="56"/>
    </row>
    <row r="136" spans="1:58" ht="12.95" customHeight="1">
      <c r="A136" s="45">
        <v>45957</v>
      </c>
      <c r="B136" s="46" t="s">
        <v>8</v>
      </c>
      <c r="C136" s="454">
        <f>(M136*E136*O136*Q136)/100000000</f>
        <v>64.562572799999998</v>
      </c>
      <c r="D136" s="46" t="s">
        <v>384</v>
      </c>
      <c r="E136" s="47">
        <v>36</v>
      </c>
      <c r="F136" s="47">
        <v>1</v>
      </c>
      <c r="G136" s="505">
        <v>455</v>
      </c>
      <c r="H136" s="49">
        <v>0.12</v>
      </c>
      <c r="I136" s="50">
        <v>0.88</v>
      </c>
      <c r="J136" s="87">
        <f>E136*G136*(1-H136)*1440/1000000*3.4</f>
        <v>70.572902400000004</v>
      </c>
      <c r="K136" s="87">
        <f>(IF(G136&lt;L136,L136,G136)*(1-IF(H136&lt;N136,H136,N136))*E136*O136*Q136)/100000000</f>
        <v>65.27993472</v>
      </c>
      <c r="L136" s="40">
        <v>450</v>
      </c>
      <c r="M136" s="40">
        <v>396</v>
      </c>
      <c r="N136" s="51">
        <f>1-(M136/L136)</f>
        <v>0.12</v>
      </c>
      <c r="O136" s="52">
        <f>+'Trim Rwd'!H90</f>
        <v>314.5</v>
      </c>
      <c r="P136" s="53">
        <f>O136*(Q136-R136-S136)</f>
        <v>413567.5</v>
      </c>
      <c r="Q136" s="52">
        <v>1440</v>
      </c>
      <c r="R136" s="506">
        <v>110</v>
      </c>
      <c r="S136" s="506">
        <v>15</v>
      </c>
      <c r="T136" s="42">
        <f>E136*M136*O136*Q136/100000000</f>
        <v>64.562572799999998</v>
      </c>
      <c r="U136" s="42">
        <f>E136*M136*O136*(Q136-R136-S136)/100000000</f>
        <v>58.958182800000003</v>
      </c>
      <c r="V136" s="42">
        <f>E136*G136*(1-N136)*O136/100*(R136+S136)/1000000</f>
        <v>5.6666610000000004</v>
      </c>
      <c r="W136" s="42">
        <f>+'27'!K34/1000</f>
        <v>59.281999999999996</v>
      </c>
      <c r="X136" s="507">
        <f>SUM(W136:W139)/SUM(K136:K139)</f>
        <v>0.90811978066880017</v>
      </c>
      <c r="Y136" s="216">
        <v>0</v>
      </c>
      <c r="Z136" s="42">
        <f>+'27'!D34/1000</f>
        <v>0.43</v>
      </c>
      <c r="AA136" s="54">
        <f>SUM(U136:U139)-SUM(W136:W139)-SUM(Z136:Z139)-SUM(Y136:Y139)</f>
        <v>-0.75381719999999341</v>
      </c>
      <c r="AB136" s="54">
        <f>(SUM(K136:K139)-SUM(W136:W139)-SUM(Y136:Y139)-SUM(Z136:Z139)-SUM(AC136:AC139)-SUM(V136:V139))-AA136</f>
        <v>-6.2271000000005072E-2</v>
      </c>
      <c r="AC136" s="42">
        <f>K136-T136</f>
        <v>0.71736192000000187</v>
      </c>
      <c r="AD136" s="42">
        <f>+AM136+BA136</f>
        <v>0</v>
      </c>
      <c r="AE136" s="234" t="s">
        <v>394</v>
      </c>
      <c r="AF136" s="42">
        <v>0</v>
      </c>
      <c r="AG136" s="42"/>
      <c r="AH136" s="42"/>
      <c r="AI136" s="508"/>
      <c r="AJ136" s="42"/>
      <c r="AK136" s="42"/>
      <c r="AL136" s="42"/>
      <c r="AM136" s="42">
        <f>SUM(AF136:AL136)+AT136+AV136+AX136</f>
        <v>0</v>
      </c>
      <c r="AN136" s="42"/>
      <c r="AO136" s="42"/>
      <c r="AP136" s="42"/>
      <c r="AQ136" s="42"/>
      <c r="AR136" s="42">
        <f>SUM(AN136:AQ136)</f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38">
        <v>0</v>
      </c>
      <c r="BC136" s="56"/>
      <c r="BD136" s="56"/>
      <c r="BE136" s="56"/>
      <c r="BF136" s="56"/>
    </row>
    <row r="137" spans="1:58" ht="12.95" customHeight="1">
      <c r="A137" s="45"/>
      <c r="B137" s="46"/>
      <c r="C137" s="454"/>
      <c r="D137" s="46"/>
      <c r="E137" s="47"/>
      <c r="F137" s="47"/>
      <c r="G137" s="505"/>
      <c r="H137" s="49"/>
      <c r="I137" s="50"/>
      <c r="J137" s="87"/>
      <c r="K137" s="87"/>
      <c r="L137" s="40"/>
      <c r="M137" s="40"/>
      <c r="N137" s="51"/>
      <c r="O137" s="52"/>
      <c r="P137" s="53"/>
      <c r="Q137" s="52"/>
      <c r="R137" s="506"/>
      <c r="S137" s="506"/>
      <c r="T137" s="42"/>
      <c r="U137" s="42"/>
      <c r="V137" s="42"/>
      <c r="W137" s="42"/>
      <c r="X137" s="43"/>
      <c r="Y137" s="216"/>
      <c r="Z137" s="42"/>
      <c r="AA137" s="42"/>
      <c r="AB137" s="42"/>
      <c r="AC137" s="42"/>
      <c r="AD137" s="42">
        <f>+AM137+BA137</f>
        <v>4</v>
      </c>
      <c r="AE137" s="234" t="s">
        <v>449</v>
      </c>
      <c r="AF137" s="42"/>
      <c r="AG137" s="42">
        <v>4</v>
      </c>
      <c r="AH137" s="42"/>
      <c r="AI137" s="508"/>
      <c r="AJ137" s="42"/>
      <c r="AK137" s="42"/>
      <c r="AL137" s="42"/>
      <c r="AM137" s="42">
        <f>SUM(AF137:AL137)+AT137+AV137+AX137</f>
        <v>4</v>
      </c>
      <c r="AN137" s="88"/>
      <c r="AO137" s="42"/>
      <c r="AP137" s="42"/>
      <c r="AQ137" s="42"/>
      <c r="AR137" s="42">
        <f>SUM(AN137:AQ137)</f>
        <v>0</v>
      </c>
      <c r="AS137" s="42"/>
      <c r="AT137" s="42"/>
      <c r="AU137" s="42"/>
      <c r="AV137" s="42"/>
      <c r="AW137" s="42"/>
      <c r="AX137" s="42"/>
      <c r="AY137" s="42"/>
      <c r="AZ137" s="42"/>
      <c r="BA137" s="42">
        <f>+AR137+AS137+AU137+AW137+AY137+AZ137</f>
        <v>0</v>
      </c>
      <c r="BB137" s="55"/>
      <c r="BC137" s="56">
        <v>2</v>
      </c>
      <c r="BD137" s="56"/>
      <c r="BE137" s="56"/>
      <c r="BF137" s="56"/>
    </row>
    <row r="138" spans="1:58" ht="12.95" customHeight="1">
      <c r="A138" s="45"/>
      <c r="B138" s="46"/>
      <c r="C138" s="454"/>
      <c r="D138" s="46"/>
      <c r="E138" s="47"/>
      <c r="F138" s="47"/>
      <c r="G138" s="505"/>
      <c r="H138" s="49"/>
      <c r="I138" s="50"/>
      <c r="J138" s="87"/>
      <c r="K138" s="87"/>
      <c r="L138" s="40"/>
      <c r="M138" s="40"/>
      <c r="N138" s="51"/>
      <c r="O138" s="52"/>
      <c r="P138" s="53"/>
      <c r="Q138" s="52"/>
      <c r="R138" s="506"/>
      <c r="S138" s="506"/>
      <c r="T138" s="42"/>
      <c r="U138" s="42"/>
      <c r="V138" s="42"/>
      <c r="W138" s="42"/>
      <c r="X138" s="43"/>
      <c r="Y138" s="216"/>
      <c r="Z138" s="42"/>
      <c r="AA138" s="42"/>
      <c r="AB138" s="42"/>
      <c r="AC138" s="42"/>
      <c r="AD138" s="42">
        <f>+AM138+BA138</f>
        <v>11</v>
      </c>
      <c r="AE138" s="234" t="s">
        <v>226</v>
      </c>
      <c r="AF138" s="38"/>
      <c r="AG138" s="38"/>
      <c r="AH138" s="38">
        <v>11</v>
      </c>
      <c r="AJ138" s="42"/>
      <c r="AK138" s="42"/>
      <c r="AL138" s="42"/>
      <c r="AM138" s="42">
        <f>SUM(AF138:AL138)+AT138+AV138+AX138</f>
        <v>11</v>
      </c>
      <c r="AN138" s="42"/>
      <c r="AO138" s="42"/>
      <c r="AP138" s="42"/>
      <c r="AQ138" s="42"/>
      <c r="AR138" s="42">
        <f>SUM(AN138:AQ138)</f>
        <v>0</v>
      </c>
      <c r="AS138" s="42"/>
      <c r="AT138" s="42"/>
      <c r="AU138" s="42"/>
      <c r="AV138" s="42"/>
      <c r="AW138" s="42"/>
      <c r="AX138" s="42"/>
      <c r="AY138" s="42"/>
      <c r="AZ138" s="42"/>
      <c r="BA138" s="42">
        <f>+AR138+AS138+AU138+AW138+AY138+AZ138</f>
        <v>0</v>
      </c>
      <c r="BB138" s="38"/>
      <c r="BC138" s="509"/>
      <c r="BD138" s="56"/>
      <c r="BE138" s="56"/>
      <c r="BF138" s="56"/>
    </row>
    <row r="139" spans="1:58" ht="12.95" customHeight="1">
      <c r="A139" s="45"/>
      <c r="B139" s="567"/>
      <c r="C139" s="454"/>
      <c r="D139" s="46"/>
      <c r="E139" s="47"/>
      <c r="F139" s="47"/>
      <c r="G139" s="48"/>
      <c r="H139" s="49"/>
      <c r="I139" s="50"/>
      <c r="J139" s="87"/>
      <c r="K139" s="87"/>
      <c r="L139" s="40"/>
      <c r="M139" s="40"/>
      <c r="N139" s="51"/>
      <c r="O139" s="52"/>
      <c r="P139" s="53"/>
      <c r="Q139" s="39"/>
      <c r="R139" s="506"/>
      <c r="S139" s="506"/>
      <c r="T139" s="42"/>
      <c r="U139" s="42"/>
      <c r="V139" s="42"/>
      <c r="W139" s="42"/>
      <c r="X139" s="43"/>
      <c r="Y139" s="43"/>
      <c r="Z139" s="42"/>
      <c r="AA139" s="54"/>
      <c r="AB139" s="54"/>
      <c r="AC139" s="42"/>
      <c r="AD139" s="42">
        <f>+AM139+BA139</f>
        <v>110</v>
      </c>
      <c r="AE139" s="234" t="s">
        <v>719</v>
      </c>
      <c r="AF139" s="42"/>
      <c r="AG139" s="42"/>
      <c r="AH139" s="42"/>
      <c r="AI139" s="42"/>
      <c r="AJ139" s="42"/>
      <c r="AK139" s="42"/>
      <c r="AL139" s="42"/>
      <c r="AM139" s="42">
        <f>SUM(AF139:AL139)+AT139+AV139+AX139</f>
        <v>0</v>
      </c>
      <c r="AN139" s="42"/>
      <c r="AO139" s="42"/>
      <c r="AP139" s="42">
        <v>110</v>
      </c>
      <c r="AQ139" s="42"/>
      <c r="AR139" s="42">
        <f>SUM(AN139:AQ139)</f>
        <v>110</v>
      </c>
      <c r="AS139" s="42"/>
      <c r="AT139" s="42"/>
      <c r="AU139" s="42"/>
      <c r="AV139" s="42"/>
      <c r="AW139" s="42"/>
      <c r="AX139" s="42"/>
      <c r="AY139" s="42"/>
      <c r="AZ139" s="42"/>
      <c r="BA139" s="42">
        <f>+AR139+AS139+AU139+AW139+AY139+AZ139</f>
        <v>110</v>
      </c>
      <c r="BB139" s="38"/>
      <c r="BC139" s="56"/>
      <c r="BD139" s="509"/>
      <c r="BE139" s="38"/>
      <c r="BF139" s="509"/>
    </row>
    <row r="140" spans="1:58" ht="12.95" customHeight="1">
      <c r="A140" s="45"/>
      <c r="B140" s="567"/>
      <c r="C140" s="454"/>
      <c r="D140" s="46"/>
      <c r="E140" s="251"/>
      <c r="F140" s="47"/>
      <c r="G140" s="48"/>
      <c r="H140" s="49"/>
      <c r="I140" s="50"/>
      <c r="J140" s="87"/>
      <c r="K140" s="87"/>
      <c r="L140" s="40"/>
      <c r="M140" s="40"/>
      <c r="N140" s="51"/>
      <c r="O140" s="52"/>
      <c r="P140" s="53"/>
      <c r="Q140" s="383"/>
      <c r="R140" s="55"/>
      <c r="S140" s="55"/>
      <c r="T140" s="42"/>
      <c r="U140" s="42"/>
      <c r="V140" s="42"/>
      <c r="W140" s="38"/>
      <c r="X140" s="43"/>
      <c r="Y140" s="43"/>
      <c r="Z140" s="38"/>
      <c r="AA140" s="54"/>
      <c r="AB140" s="54"/>
      <c r="AC140" s="42"/>
      <c r="AD140" s="42"/>
      <c r="AE140" s="24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8"/>
      <c r="BC140" s="56"/>
      <c r="BD140" s="56"/>
      <c r="BE140" s="55"/>
      <c r="BF140" s="56"/>
    </row>
    <row r="141" spans="1:58" ht="12.95" customHeight="1">
      <c r="A141" s="45">
        <v>45958</v>
      </c>
      <c r="B141" s="46" t="s">
        <v>8</v>
      </c>
      <c r="C141" s="454">
        <f>(M141*E141*O141*Q141)/100000000</f>
        <v>5.4997747200000013</v>
      </c>
      <c r="D141" s="46" t="s">
        <v>384</v>
      </c>
      <c r="E141" s="47">
        <v>36</v>
      </c>
      <c r="F141" s="47">
        <v>1</v>
      </c>
      <c r="G141" s="505">
        <v>455</v>
      </c>
      <c r="H141" s="49">
        <v>0.12</v>
      </c>
      <c r="I141" s="50">
        <v>0.88</v>
      </c>
      <c r="J141" s="87">
        <f>E141*G141*(1-H141)*1440/1000000*3.4</f>
        <v>70.572902400000004</v>
      </c>
      <c r="K141" s="87">
        <f>(IF(G141&lt;L141,L141,G141)*(1-IF(H141&lt;N141,H141,N141))*E141*O141*Q141)/100000000</f>
        <v>5.4997747200000013</v>
      </c>
      <c r="L141" s="40">
        <v>460</v>
      </c>
      <c r="M141" s="40">
        <f>+L141-L141*0.12</f>
        <v>404.8</v>
      </c>
      <c r="N141" s="51">
        <f>1-(M141/L141)</f>
        <v>0.12</v>
      </c>
      <c r="O141" s="52">
        <f>+'Trim Rwd'!H92</f>
        <v>314.5</v>
      </c>
      <c r="P141" s="53">
        <f>O141*(Q141-R141-S141)</f>
        <v>36167.5</v>
      </c>
      <c r="Q141" s="52">
        <v>120</v>
      </c>
      <c r="R141" s="506">
        <v>0</v>
      </c>
      <c r="S141" s="506">
        <v>5</v>
      </c>
      <c r="T141" s="42">
        <f>E141*M141*O141*Q141/100000000</f>
        <v>5.4997747200000013</v>
      </c>
      <c r="U141" s="42">
        <f>E141*M141*O141*(Q141-R141-S141)/100000000</f>
        <v>5.2706174400000005</v>
      </c>
      <c r="V141" s="42">
        <f>E141*G141*(1-N141)*O141/100*(R141+S141)/1000000</f>
        <v>0.22666644</v>
      </c>
      <c r="W141" s="42">
        <f>+'28'!K25/1000</f>
        <v>11.108000000000001</v>
      </c>
      <c r="X141" s="507">
        <f>SUM(W141:W144)/SUM(K141:K144)</f>
        <v>0.97036088299112555</v>
      </c>
      <c r="Y141" s="216">
        <v>0</v>
      </c>
      <c r="Z141" s="42">
        <f>+'27'!D39/1000</f>
        <v>0</v>
      </c>
      <c r="AA141" s="54">
        <f>SUM(U141:U144)-SUM(W141:W144)-SUM(Z141:Z144)-SUM(Y141:Y144)</f>
        <v>0.71690748799999682</v>
      </c>
      <c r="AB141" s="54">
        <f>(SUM(K141:K144)-SUM(W141:W144)-SUM(Y141:Y144)-SUM(Z141:Z144)-SUM(AC141:AC144)-SUM(V141:V144))-AA141</f>
        <v>4.5698400000109274E-3</v>
      </c>
      <c r="AC141" s="42">
        <f>K141-T141</f>
        <v>0</v>
      </c>
      <c r="AD141" s="42">
        <f>+AM141+BA141</f>
        <v>0</v>
      </c>
      <c r="AE141" s="234" t="s">
        <v>394</v>
      </c>
      <c r="AF141" s="42">
        <v>0</v>
      </c>
      <c r="AG141" s="42"/>
      <c r="AH141" s="42"/>
      <c r="AI141" s="508"/>
      <c r="AJ141" s="42"/>
      <c r="AK141" s="42"/>
      <c r="AL141" s="42"/>
      <c r="AM141" s="42">
        <f>SUM(AF141:AL141)+AT141+AV141+AX141</f>
        <v>0</v>
      </c>
      <c r="AN141" s="42"/>
      <c r="AO141" s="42"/>
      <c r="AP141" s="42"/>
      <c r="AQ141" s="42"/>
      <c r="AR141" s="42">
        <f>SUM(AN141:AQ141)</f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38">
        <v>0</v>
      </c>
      <c r="BC141" s="56"/>
      <c r="BD141" s="56"/>
      <c r="BE141" s="56"/>
      <c r="BF141" s="56"/>
    </row>
    <row r="142" spans="1:58" ht="12.95" customHeight="1">
      <c r="A142" s="45"/>
      <c r="B142" s="46" t="s">
        <v>8</v>
      </c>
      <c r="C142" s="454">
        <f>(M142*E142*O142*Q142)/100000000</f>
        <v>44.582709600000001</v>
      </c>
      <c r="D142" s="46" t="s">
        <v>384</v>
      </c>
      <c r="E142" s="47">
        <v>38</v>
      </c>
      <c r="F142" s="47">
        <v>1</v>
      </c>
      <c r="G142" s="505">
        <v>430</v>
      </c>
      <c r="H142" s="49">
        <v>0.12</v>
      </c>
      <c r="I142" s="50">
        <v>0.88</v>
      </c>
      <c r="J142" s="87">
        <f>E142*G142*(1-H142)*1440/1000000*3.4</f>
        <v>70.400563199999993</v>
      </c>
      <c r="K142" s="87">
        <f>(IF(G142&lt;L142,L142,G142)*(1-IF(H142&lt;N142,H142,N142))*E142*O142*Q142)/100000000</f>
        <v>44.582709600000001</v>
      </c>
      <c r="L142" s="40">
        <v>430</v>
      </c>
      <c r="M142" s="40">
        <f>+L142-L142*0.12</f>
        <v>378.4</v>
      </c>
      <c r="N142" s="51">
        <f>1-(M142/L142)</f>
        <v>0.12000000000000011</v>
      </c>
      <c r="O142" s="52">
        <f>+'Trim Rwd'!H93</f>
        <v>318</v>
      </c>
      <c r="P142" s="53">
        <f>O142*(Q142-R142-S142)</f>
        <v>304644</v>
      </c>
      <c r="Q142" s="52">
        <v>975</v>
      </c>
      <c r="R142" s="506">
        <v>0</v>
      </c>
      <c r="S142" s="506">
        <v>17</v>
      </c>
      <c r="T142" s="42">
        <f>E142*M142*O142*Q142/100000000</f>
        <v>44.582709600000001</v>
      </c>
      <c r="U142" s="42">
        <f>E142*M142*O142*(Q142-R142-S142)/100000000</f>
        <v>43.805370047999993</v>
      </c>
      <c r="V142" s="42">
        <f>E142*G142*(1-N142)*O142/100*(R142+S142)/1000000</f>
        <v>0.77733955200000004</v>
      </c>
      <c r="W142" s="42">
        <f>+'28'!K26/1000</f>
        <v>44.905000000000001</v>
      </c>
      <c r="X142" s="43"/>
      <c r="Y142" s="216"/>
      <c r="Z142" s="42"/>
      <c r="AA142" s="42"/>
      <c r="AB142" s="42"/>
      <c r="AC142" s="42">
        <f>K142-T142</f>
        <v>0</v>
      </c>
      <c r="AD142" s="42">
        <f>+AM142+BA142</f>
        <v>10</v>
      </c>
      <c r="AE142" s="234" t="s">
        <v>393</v>
      </c>
      <c r="AF142" s="42"/>
      <c r="AG142" s="42">
        <v>10</v>
      </c>
      <c r="AH142" s="42"/>
      <c r="AI142" s="508"/>
      <c r="AJ142" s="42"/>
      <c r="AK142" s="42"/>
      <c r="AL142" s="42"/>
      <c r="AM142" s="42">
        <f>SUM(AF142:AL142)+AT142+AV142+AX142</f>
        <v>10</v>
      </c>
      <c r="AN142" s="88"/>
      <c r="AO142" s="42"/>
      <c r="AP142" s="42"/>
      <c r="AQ142" s="42"/>
      <c r="AR142" s="42">
        <f>SUM(AN142:AQ142)</f>
        <v>0</v>
      </c>
      <c r="AS142" s="42"/>
      <c r="AT142" s="42"/>
      <c r="AU142" s="42"/>
      <c r="AV142" s="42"/>
      <c r="AW142" s="42"/>
      <c r="AX142" s="42"/>
      <c r="AY142" s="42"/>
      <c r="AZ142" s="42"/>
      <c r="BA142" s="42">
        <f>+AR142+AS142+AU142+AW142+AY142+AZ142</f>
        <v>0</v>
      </c>
      <c r="BB142" s="55"/>
      <c r="BC142" s="56">
        <v>3</v>
      </c>
      <c r="BD142" s="56"/>
      <c r="BE142" s="56"/>
      <c r="BF142" s="56"/>
    </row>
    <row r="143" spans="1:58" ht="12.95" customHeight="1">
      <c r="A143" s="45"/>
      <c r="B143" s="46" t="s">
        <v>8</v>
      </c>
      <c r="C143" s="454">
        <f>(M143*E143*O143*Q143)/100000000</f>
        <v>15.77961</v>
      </c>
      <c r="D143" s="46" t="s">
        <v>384</v>
      </c>
      <c r="E143" s="47">
        <v>30</v>
      </c>
      <c r="F143" s="47">
        <v>1</v>
      </c>
      <c r="G143" s="505">
        <v>545</v>
      </c>
      <c r="H143" s="49">
        <v>0.12</v>
      </c>
      <c r="I143" s="50">
        <v>0.88</v>
      </c>
      <c r="J143" s="87">
        <f>E143*G143*(1-H143)*1440/1000000*3.4</f>
        <v>70.443647999999996</v>
      </c>
      <c r="K143" s="87">
        <f>(IF(G143&lt;L143,L143,G143)*(1-IF(H143&lt;N143,H143,N143))*E143*O143*Q143)/100000000</f>
        <v>15.77961</v>
      </c>
      <c r="L143" s="40">
        <v>550</v>
      </c>
      <c r="M143" s="40">
        <f>+L143-L143*0.12</f>
        <v>484</v>
      </c>
      <c r="N143" s="51">
        <f>1-(M143/L143)</f>
        <v>0.12</v>
      </c>
      <c r="O143" s="52">
        <f>+'Trim Rwd'!H94</f>
        <v>315</v>
      </c>
      <c r="P143" s="53">
        <f>O143*(Q143-R143-S143)</f>
        <v>107100</v>
      </c>
      <c r="Q143" s="52">
        <v>345</v>
      </c>
      <c r="R143" s="506">
        <v>0</v>
      </c>
      <c r="S143" s="506">
        <v>5</v>
      </c>
      <c r="T143" s="42">
        <f>E143*M143*O143*Q143/100000000</f>
        <v>15.77961</v>
      </c>
      <c r="U143" s="42">
        <f>E143*M143*O143*(Q143-R143-S143)/100000000</f>
        <v>15.55092</v>
      </c>
      <c r="V143" s="42">
        <f>E143*G143*(1-N143)*O143/100*(R143+S143)/1000000</f>
        <v>0.22661100000000001</v>
      </c>
      <c r="W143" s="42">
        <f>+'28'!K27/1000</f>
        <v>7.8970000000000002</v>
      </c>
      <c r="X143" s="43"/>
      <c r="Y143" s="216"/>
      <c r="Z143" s="42"/>
      <c r="AA143" s="42"/>
      <c r="AB143" s="42"/>
      <c r="AC143" s="42">
        <f>K143-T143</f>
        <v>0</v>
      </c>
      <c r="AD143" s="42">
        <f>+AM143+BA143</f>
        <v>10</v>
      </c>
      <c r="AE143" s="234" t="s">
        <v>226</v>
      </c>
      <c r="AF143" s="38"/>
      <c r="AG143" s="38"/>
      <c r="AH143" s="38">
        <v>10</v>
      </c>
      <c r="AJ143" s="42"/>
      <c r="AK143" s="42"/>
      <c r="AL143" s="42"/>
      <c r="AM143" s="42">
        <f>SUM(AF143:AL143)+AT143+AV143+AX143</f>
        <v>10</v>
      </c>
      <c r="AN143" s="42"/>
      <c r="AO143" s="42"/>
      <c r="AP143" s="42"/>
      <c r="AQ143" s="42"/>
      <c r="AR143" s="42">
        <f>SUM(AN143:AQ143)</f>
        <v>0</v>
      </c>
      <c r="AS143" s="42"/>
      <c r="AT143" s="42"/>
      <c r="AU143" s="42"/>
      <c r="AV143" s="42"/>
      <c r="AW143" s="42"/>
      <c r="AX143" s="42"/>
      <c r="AY143" s="42"/>
      <c r="AZ143" s="42"/>
      <c r="BA143" s="42">
        <f>+AR143+AS143+AU143+AW143+AY143+AZ143</f>
        <v>0</v>
      </c>
      <c r="BB143" s="38"/>
      <c r="BC143" s="509"/>
      <c r="BD143" s="56"/>
      <c r="BE143" s="56"/>
      <c r="BF143" s="56"/>
    </row>
    <row r="144" spans="1:58" ht="12.95" customHeight="1">
      <c r="A144" s="45"/>
      <c r="B144" s="568"/>
      <c r="C144" s="454"/>
      <c r="D144" s="46"/>
      <c r="E144" s="47"/>
      <c r="F144" s="47"/>
      <c r="G144" s="48"/>
      <c r="H144" s="49"/>
      <c r="I144" s="50"/>
      <c r="J144" s="87"/>
      <c r="K144" s="87"/>
      <c r="L144" s="40"/>
      <c r="M144" s="40"/>
      <c r="N144" s="51"/>
      <c r="O144" s="52"/>
      <c r="P144" s="53"/>
      <c r="Q144" s="39"/>
      <c r="R144" s="506"/>
      <c r="S144" s="506"/>
      <c r="T144" s="42"/>
      <c r="U144" s="42"/>
      <c r="V144" s="42"/>
      <c r="W144" s="42"/>
      <c r="X144" s="43"/>
      <c r="Y144" s="43"/>
      <c r="Z144" s="42"/>
      <c r="AA144" s="54"/>
      <c r="AB144" s="54"/>
      <c r="AC144" s="42"/>
      <c r="AD144" s="42">
        <f>+AM144+BA144</f>
        <v>7</v>
      </c>
      <c r="AE144" s="234" t="s">
        <v>463</v>
      </c>
      <c r="AF144" s="42"/>
      <c r="AG144" s="42"/>
      <c r="AH144" s="42"/>
      <c r="AI144" s="42">
        <v>7</v>
      </c>
      <c r="AJ144" s="42"/>
      <c r="AK144" s="42"/>
      <c r="AL144" s="42"/>
      <c r="AM144" s="42">
        <f>SUM(AF144:AL144)+AT144+AV144+AX144</f>
        <v>7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>+AR144+AS144+AU144+AW144+AY144+AZ144</f>
        <v>0</v>
      </c>
      <c r="BB144" s="38"/>
      <c r="BC144" s="509"/>
      <c r="BD144" s="56"/>
      <c r="BE144" s="56"/>
      <c r="BF144" s="56"/>
    </row>
    <row r="145" spans="1:58" ht="12.95" customHeight="1">
      <c r="A145" s="45"/>
      <c r="B145" s="568"/>
      <c r="C145" s="454"/>
      <c r="D145" s="46"/>
      <c r="E145" s="251"/>
      <c r="F145" s="47"/>
      <c r="G145" s="48"/>
      <c r="H145" s="49"/>
      <c r="I145" s="50"/>
      <c r="J145" s="87"/>
      <c r="K145" s="87"/>
      <c r="L145" s="40"/>
      <c r="M145" s="40"/>
      <c r="N145" s="51"/>
      <c r="O145" s="52"/>
      <c r="P145" s="53"/>
      <c r="Q145" s="383"/>
      <c r="R145" s="55"/>
      <c r="S145" s="55"/>
      <c r="T145" s="42"/>
      <c r="U145" s="42"/>
      <c r="V145" s="42"/>
      <c r="W145" s="38"/>
      <c r="X145" s="43"/>
      <c r="Y145" s="43"/>
      <c r="Z145" s="38"/>
      <c r="AA145" s="54"/>
      <c r="AB145" s="54"/>
      <c r="AC145" s="42"/>
      <c r="AD145" s="42"/>
      <c r="AE145" s="24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8"/>
      <c r="BC145" s="56"/>
      <c r="BD145" s="509"/>
      <c r="BE145" s="38"/>
      <c r="BF145" s="509"/>
    </row>
    <row r="146" spans="1:58" ht="12.95" customHeight="1">
      <c r="A146" s="45">
        <v>45959</v>
      </c>
      <c r="B146" s="46" t="s">
        <v>8</v>
      </c>
      <c r="C146" s="454">
        <f>(M146*E146*O146*Q146)/100000000</f>
        <v>5.4885599999999997</v>
      </c>
      <c r="D146" s="46" t="s">
        <v>384</v>
      </c>
      <c r="E146" s="47">
        <v>30</v>
      </c>
      <c r="F146" s="47">
        <v>1</v>
      </c>
      <c r="G146" s="505">
        <v>545</v>
      </c>
      <c r="H146" s="49">
        <v>0.12</v>
      </c>
      <c r="I146" s="50">
        <v>0.88</v>
      </c>
      <c r="J146" s="87">
        <f>E146*G146*(1-H146)*1440/1000000*3.4</f>
        <v>70.443647999999996</v>
      </c>
      <c r="K146" s="87">
        <f>(IF(G146&lt;L146,L146,G146)*(1-IF(H146&lt;N146,H146,N146))*E146*O146*Q146)/100000000</f>
        <v>5.4885599999999997</v>
      </c>
      <c r="L146" s="40">
        <v>550</v>
      </c>
      <c r="M146" s="40">
        <f>+L146-L146*0.12</f>
        <v>484</v>
      </c>
      <c r="N146" s="51">
        <f>1-(M146/L146)</f>
        <v>0.12</v>
      </c>
      <c r="O146" s="52">
        <f>+'Trim Rwd'!H96</f>
        <v>315</v>
      </c>
      <c r="P146" s="53">
        <f>O146*(Q146-R146-S146)</f>
        <v>35280</v>
      </c>
      <c r="Q146" s="52">
        <v>120</v>
      </c>
      <c r="R146" s="506">
        <v>0</v>
      </c>
      <c r="S146" s="506">
        <v>8</v>
      </c>
      <c r="T146" s="42">
        <f>E146*M146*O146*Q146/100000000</f>
        <v>5.4885599999999997</v>
      </c>
      <c r="U146" s="42">
        <f>E146*M146*O146*(Q146-R146-S146)/100000000</f>
        <v>5.1226560000000001</v>
      </c>
      <c r="V146" s="42">
        <f>E146*G146*(1-N146)*O146/100*(R146+S146)/1000000</f>
        <v>0.3625776</v>
      </c>
      <c r="W146" s="42">
        <f>+'29'!K27/1000</f>
        <v>12.305</v>
      </c>
      <c r="X146" s="507">
        <f>SUM(W146:W149)/SUM(K146:K149)</f>
        <v>0.98321760510606426</v>
      </c>
      <c r="Y146" s="216">
        <v>0</v>
      </c>
      <c r="Z146" s="42">
        <f>+'29'!D34/1000</f>
        <v>0.19500000000000001</v>
      </c>
      <c r="AA146" s="54">
        <f>SUM(U146:U149)-SUM(W146:W149)-SUM(Z146:Z149)-SUM(Y146:Y149)</f>
        <v>-0.148477109581371</v>
      </c>
      <c r="AB146" s="54">
        <f>(SUM(K146:K149)-SUM(W146:W149)-SUM(Y146:Y149)-SUM(Z146:Z149)-SUM(AC146:AC149)-SUM(V146:V149))-AA146</f>
        <v>3.9860070697656569E-2</v>
      </c>
      <c r="AC146" s="42">
        <f>K146-T146</f>
        <v>0</v>
      </c>
      <c r="AD146" s="42">
        <f>+AM146+BA146</f>
        <v>0</v>
      </c>
      <c r="AE146" s="234" t="s">
        <v>394</v>
      </c>
      <c r="AF146" s="42">
        <v>0</v>
      </c>
      <c r="AG146" s="42"/>
      <c r="AH146" s="42"/>
      <c r="AI146" s="508"/>
      <c r="AJ146" s="42"/>
      <c r="AK146" s="42"/>
      <c r="AL146" s="42"/>
      <c r="AM146" s="42">
        <f>SUM(AF146:AL146)+AT146+AV146+AX146</f>
        <v>0</v>
      </c>
      <c r="AN146" s="42"/>
      <c r="AO146" s="42"/>
      <c r="AP146" s="42"/>
      <c r="AQ146" s="42"/>
      <c r="AR146" s="42">
        <f>SUM(AN146:AQ146)</f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>+AR146+AS146+AU146+AW146+AY146+AZ146</f>
        <v>0</v>
      </c>
      <c r="BB146" s="38">
        <v>0</v>
      </c>
      <c r="BC146" s="56"/>
      <c r="BD146" s="56"/>
      <c r="BE146" s="56"/>
      <c r="BF146" s="56"/>
    </row>
    <row r="147" spans="1:58" ht="12.95" customHeight="1">
      <c r="A147" s="45"/>
      <c r="B147" s="46" t="s">
        <v>8</v>
      </c>
      <c r="C147" s="454">
        <f>(M147*E147*O147*Q147)/100000000</f>
        <v>68.719834582325589</v>
      </c>
      <c r="D147" s="46" t="s">
        <v>384</v>
      </c>
      <c r="E147" s="47">
        <v>31.5</v>
      </c>
      <c r="F147" s="47">
        <v>1</v>
      </c>
      <c r="G147" s="505">
        <v>545</v>
      </c>
      <c r="H147" s="49">
        <v>0.12</v>
      </c>
      <c r="I147" s="50">
        <v>0.88</v>
      </c>
      <c r="J147" s="87">
        <f>E147*G147*(1-H147)*1440/1000000*3.4</f>
        <v>73.965830400000002</v>
      </c>
      <c r="K147" s="87">
        <f>(IF(G147&lt;L147,L147,G147)*(1-IF(H147&lt;N147,H147,N147))*E147*O147*Q147)/100000000</f>
        <v>68.719834582325589</v>
      </c>
      <c r="L147" s="40">
        <v>570</v>
      </c>
      <c r="M147" s="40">
        <f>+L147-L147*0.12</f>
        <v>501.6</v>
      </c>
      <c r="N147" s="51">
        <f>1-(M147/L147)</f>
        <v>0.12</v>
      </c>
      <c r="O147" s="52">
        <f>+'Trim Rwd'!H97</f>
        <v>329.48837209302326</v>
      </c>
      <c r="P147" s="53">
        <f>O147*(Q147-R147-S147)</f>
        <v>429652.83720930235</v>
      </c>
      <c r="Q147" s="52">
        <v>1320</v>
      </c>
      <c r="R147" s="506">
        <v>0</v>
      </c>
      <c r="S147" s="506">
        <v>16</v>
      </c>
      <c r="T147" s="42">
        <f>E147*M147*O147*Q147/100000000</f>
        <v>68.719834582325589</v>
      </c>
      <c r="U147" s="42">
        <f>E147*M147*O147*(Q147-R147-S147)/100000000</f>
        <v>67.886866890418617</v>
      </c>
      <c r="V147" s="42">
        <f>E147*G147*(1-N147)*O147/100*(R147+S147)/1000000</f>
        <v>0.79643402120930229</v>
      </c>
      <c r="W147" s="42">
        <f>+'29'!K28/1000</f>
        <v>60.658000000000001</v>
      </c>
      <c r="X147" s="43"/>
      <c r="Y147" s="216"/>
      <c r="Z147" s="42"/>
      <c r="AA147" s="42"/>
      <c r="AB147" s="42"/>
      <c r="AC147" s="42">
        <f>K147-T147</f>
        <v>0</v>
      </c>
      <c r="AD147" s="42">
        <f>+AM147+BA147</f>
        <v>8</v>
      </c>
      <c r="AE147" s="234" t="s">
        <v>393</v>
      </c>
      <c r="AF147" s="42"/>
      <c r="AG147" s="42">
        <v>8</v>
      </c>
      <c r="AH147" s="42"/>
      <c r="AI147" s="508"/>
      <c r="AJ147" s="42"/>
      <c r="AK147" s="42"/>
      <c r="AL147" s="42"/>
      <c r="AM147" s="42">
        <f>SUM(AF147:AL147)+AT147+AV147+AX147</f>
        <v>8</v>
      </c>
      <c r="AN147" s="88"/>
      <c r="AO147" s="42"/>
      <c r="AP147" s="42"/>
      <c r="AQ147" s="42"/>
      <c r="AR147" s="42">
        <f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>+AR147+AS147+AU147+AW147+AY147+AZ147</f>
        <v>0</v>
      </c>
      <c r="BB147" s="55"/>
      <c r="BC147" s="56">
        <v>3</v>
      </c>
      <c r="BD147" s="56"/>
      <c r="BE147" s="56"/>
      <c r="BF147" s="56"/>
    </row>
    <row r="148" spans="1:58" ht="12.95" customHeight="1">
      <c r="A148" s="45"/>
      <c r="B148" s="46"/>
      <c r="C148" s="454"/>
      <c r="D148" s="46"/>
      <c r="E148" s="47"/>
      <c r="F148" s="47"/>
      <c r="G148" s="505"/>
      <c r="H148" s="49"/>
      <c r="I148" s="50"/>
      <c r="J148" s="87"/>
      <c r="K148" s="87"/>
      <c r="L148" s="40"/>
      <c r="M148" s="40"/>
      <c r="N148" s="51"/>
      <c r="O148" s="52"/>
      <c r="P148" s="53"/>
      <c r="Q148" s="52"/>
      <c r="R148" s="506"/>
      <c r="S148" s="506"/>
      <c r="T148" s="42"/>
      <c r="U148" s="42"/>
      <c r="V148" s="42"/>
      <c r="W148" s="42"/>
      <c r="X148" s="43"/>
      <c r="Y148" s="216"/>
      <c r="Z148" s="42"/>
      <c r="AA148" s="42"/>
      <c r="AB148" s="42"/>
      <c r="AC148" s="42"/>
      <c r="AD148" s="42">
        <f>+AM148+BA148</f>
        <v>16</v>
      </c>
      <c r="AE148" s="234" t="s">
        <v>226</v>
      </c>
      <c r="AF148" s="38"/>
      <c r="AG148" s="38"/>
      <c r="AH148" s="38">
        <v>16</v>
      </c>
      <c r="AJ148" s="42"/>
      <c r="AK148" s="42"/>
      <c r="AL148" s="42"/>
      <c r="AM148" s="42">
        <f>SUM(AF148:AL148)+AT148+AV148+AX148</f>
        <v>16</v>
      </c>
      <c r="AN148" s="42"/>
      <c r="AO148" s="42"/>
      <c r="AP148" s="42"/>
      <c r="AQ148" s="42"/>
      <c r="AR148" s="42">
        <f>SUM(AN148:AQ148)</f>
        <v>0</v>
      </c>
      <c r="AS148" s="42"/>
      <c r="AT148" s="42"/>
      <c r="AU148" s="42"/>
      <c r="AV148" s="42"/>
      <c r="AW148" s="42"/>
      <c r="AX148" s="42"/>
      <c r="AY148" s="42"/>
      <c r="AZ148" s="42"/>
      <c r="BA148" s="42">
        <f>+AR148+AS148+AU148+AW148+AY148+AZ148</f>
        <v>0</v>
      </c>
      <c r="BB148" s="38"/>
      <c r="BC148" s="509"/>
      <c r="BD148" s="56"/>
      <c r="BE148" s="56"/>
      <c r="BF148" s="56"/>
    </row>
    <row r="149" spans="1:58" ht="12.95" customHeight="1">
      <c r="A149" s="45"/>
      <c r="B149" s="568"/>
      <c r="C149" s="454"/>
      <c r="D149" s="46"/>
      <c r="E149" s="47"/>
      <c r="F149" s="47"/>
      <c r="G149" s="48"/>
      <c r="H149" s="49"/>
      <c r="I149" s="50"/>
      <c r="J149" s="87"/>
      <c r="K149" s="87"/>
      <c r="L149" s="40"/>
      <c r="M149" s="40"/>
      <c r="N149" s="51"/>
      <c r="O149" s="52"/>
      <c r="P149" s="53"/>
      <c r="Q149" s="39"/>
      <c r="R149" s="506"/>
      <c r="S149" s="506"/>
      <c r="T149" s="42"/>
      <c r="U149" s="42"/>
      <c r="V149" s="42"/>
      <c r="W149" s="42"/>
      <c r="X149" s="43"/>
      <c r="Y149" s="43"/>
      <c r="Z149" s="42"/>
      <c r="AA149" s="54"/>
      <c r="AB149" s="54"/>
      <c r="AC149" s="42"/>
      <c r="AD149" s="42"/>
      <c r="AE149" s="234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8"/>
      <c r="BC149" s="56"/>
      <c r="BD149" s="509"/>
      <c r="BE149" s="38"/>
      <c r="BF149" s="509"/>
    </row>
    <row r="150" spans="1:58" ht="12.95" customHeight="1">
      <c r="A150" s="45">
        <v>45960</v>
      </c>
      <c r="B150" s="46" t="s">
        <v>8</v>
      </c>
      <c r="C150" s="454">
        <f>(M150*E150*O150*Q150)/100000000</f>
        <v>17.877023999999999</v>
      </c>
      <c r="D150" s="46" t="s">
        <v>384</v>
      </c>
      <c r="E150" s="47">
        <v>30</v>
      </c>
      <c r="F150" s="47">
        <v>1</v>
      </c>
      <c r="G150" s="505">
        <v>545</v>
      </c>
      <c r="H150" s="49">
        <v>0.12</v>
      </c>
      <c r="I150" s="50">
        <v>0.88</v>
      </c>
      <c r="J150" s="87">
        <f>E150*G150*(1-H150)*1440/1000000*3.4</f>
        <v>70.443647999999996</v>
      </c>
      <c r="K150" s="87">
        <f>(IF(G150&lt;L150,L150,G150)*(1-IF(H150&lt;N150,H150,N150))*E150*O150*Q150)/100000000</f>
        <v>17.877023999999999</v>
      </c>
      <c r="L150" s="40">
        <v>570</v>
      </c>
      <c r="M150" s="40">
        <f>+L150-L150*0.12</f>
        <v>501.6</v>
      </c>
      <c r="N150" s="51">
        <f>1-(M150/L150)</f>
        <v>0.12</v>
      </c>
      <c r="O150" s="52">
        <f>+'Trim Rwd'!H100</f>
        <v>330</v>
      </c>
      <c r="P150" s="53">
        <f>O150*(Q150-R150-S150)</f>
        <v>115830</v>
      </c>
      <c r="Q150" s="52">
        <v>360</v>
      </c>
      <c r="R150" s="506">
        <v>0</v>
      </c>
      <c r="S150" s="506">
        <v>9</v>
      </c>
      <c r="T150" s="42">
        <f>E150*M150*O150*Q150/100000000</f>
        <v>17.877023999999999</v>
      </c>
      <c r="U150" s="42">
        <f>E150*M150*O150*(Q150-R150-S150)/100000000</f>
        <v>17.430098399999999</v>
      </c>
      <c r="V150" s="42">
        <f>E150*G150*(1-N150)*O150/100*(R150+S150)/1000000</f>
        <v>0.42732360000000003</v>
      </c>
      <c r="W150" s="42">
        <f>+'30'!K28/1000</f>
        <v>25.213999999999999</v>
      </c>
      <c r="X150" s="507">
        <f>SUM(W150:W153)/SUM(K150:K153)</f>
        <v>0.91218582770484657</v>
      </c>
      <c r="Y150" s="216">
        <v>0</v>
      </c>
      <c r="Z150" s="42">
        <v>0</v>
      </c>
      <c r="AA150" s="54">
        <f>SUM(U150:U153)-SUM(W150:W153)-SUM(Z150:Z153)-SUM(Y150:Y153)</f>
        <v>-1.6657208219999831</v>
      </c>
      <c r="AB150" s="54">
        <f>(SUM(K150:K153)-SUM(W150:W153)-SUM(Y150:Y153)-SUM(Z150:Z153)-SUM(AC150:AC153)-SUM(V150:V153))-AA150</f>
        <v>-5.726050000000571E-2</v>
      </c>
      <c r="AC150" s="42">
        <f>K150-T150</f>
        <v>0</v>
      </c>
      <c r="AD150" s="42">
        <f>+AM150+BA150</f>
        <v>0</v>
      </c>
      <c r="AE150" s="234" t="s">
        <v>394</v>
      </c>
      <c r="AF150" s="42">
        <v>0</v>
      </c>
      <c r="AG150" s="42"/>
      <c r="AH150" s="42"/>
      <c r="AI150" s="508"/>
      <c r="AJ150" s="42"/>
      <c r="AK150" s="42"/>
      <c r="AL150" s="42"/>
      <c r="AM150" s="42">
        <f>SUM(AF150:AL150)+AT150+AV150+AX150</f>
        <v>0</v>
      </c>
      <c r="AN150" s="42"/>
      <c r="AO150" s="42"/>
      <c r="AP150" s="42"/>
      <c r="AQ150" s="42"/>
      <c r="AR150" s="42">
        <f>SUM(AN150:AQ150)</f>
        <v>0</v>
      </c>
      <c r="AS150" s="42"/>
      <c r="AT150" s="42"/>
      <c r="AU150" s="42"/>
      <c r="AV150" s="42"/>
      <c r="AW150" s="42"/>
      <c r="AX150" s="42"/>
      <c r="AY150" s="42"/>
      <c r="AZ150" s="42"/>
      <c r="BA150" s="42">
        <f>+AR150+AS150+AU150+AW150+AY150+AZ150</f>
        <v>0</v>
      </c>
      <c r="BB150" s="38">
        <v>0</v>
      </c>
      <c r="BC150" s="56"/>
      <c r="BD150" s="56"/>
      <c r="BE150" s="56"/>
      <c r="BF150" s="56"/>
    </row>
    <row r="151" spans="1:58" ht="12.95" customHeight="1">
      <c r="A151" s="45"/>
      <c r="B151" s="46" t="s">
        <v>462</v>
      </c>
      <c r="C151" s="454">
        <f>(M151*E151*O151*Q151)/100000000</f>
        <v>42.836868750000008</v>
      </c>
      <c r="D151" s="46" t="s">
        <v>384</v>
      </c>
      <c r="E151" s="47">
        <v>25</v>
      </c>
      <c r="F151" s="47">
        <v>1</v>
      </c>
      <c r="G151" s="505">
        <v>780</v>
      </c>
      <c r="H151" s="49">
        <v>0.14000000000000001</v>
      </c>
      <c r="I151" s="50">
        <v>0.88</v>
      </c>
      <c r="J151" s="87">
        <f>E151*G151*(1-H151)*1440/1000000*3.4</f>
        <v>82.105919999999998</v>
      </c>
      <c r="K151" s="87">
        <f>(IF(G151&lt;L151,L151,G151)*(1-IF(H151&lt;N151,H151,N151))*E151*O151*Q151)/100000000</f>
        <v>49.869787500000001</v>
      </c>
      <c r="L151" s="40">
        <v>670</v>
      </c>
      <c r="M151" s="40">
        <f>+L151-L151*0.14</f>
        <v>576.20000000000005</v>
      </c>
      <c r="N151" s="51">
        <f>1-(M151/L151)</f>
        <v>0.1399999999999999</v>
      </c>
      <c r="O151" s="52">
        <f>+'Trim Rwd'!H101</f>
        <v>325</v>
      </c>
      <c r="P151" s="53">
        <f>O151*(Q151-R151-S151)</f>
        <v>294125</v>
      </c>
      <c r="Q151" s="52">
        <v>915</v>
      </c>
      <c r="R151" s="506">
        <v>0</v>
      </c>
      <c r="S151" s="506">
        <v>10</v>
      </c>
      <c r="T151" s="42">
        <f>E151*M151*O151*Q151/100000000</f>
        <v>42.836868750000008</v>
      </c>
      <c r="U151" s="42">
        <f>E151*M151*O151*(Q151-R151-S151)/100000000</f>
        <v>42.36870625000001</v>
      </c>
      <c r="V151" s="42">
        <f>E151*G151*(1-N151)*O151/100*(R151+S151)/1000000</f>
        <v>0.54502500000000009</v>
      </c>
      <c r="W151" s="42">
        <f>+'30'!K29/1000</f>
        <v>43.279000000000003</v>
      </c>
      <c r="X151" s="43"/>
      <c r="Y151" s="216"/>
      <c r="Z151" s="42"/>
      <c r="AA151" s="42"/>
      <c r="AB151" s="42"/>
      <c r="AC151" s="42">
        <f>K151-T151</f>
        <v>7.0329187499999932</v>
      </c>
      <c r="AD151" s="42">
        <f>+AM151+BA151</f>
        <v>9</v>
      </c>
      <c r="AE151" s="234" t="s">
        <v>480</v>
      </c>
      <c r="AF151" s="42"/>
      <c r="AG151" s="42">
        <v>9</v>
      </c>
      <c r="AH151" s="42"/>
      <c r="AI151" s="508"/>
      <c r="AJ151" s="42"/>
      <c r="AK151" s="42"/>
      <c r="AL151" s="42"/>
      <c r="AM151" s="42">
        <f>SUM(AF151:AL151)+AT151+AV151+AX151</f>
        <v>9</v>
      </c>
      <c r="AN151" s="88"/>
      <c r="AO151" s="42"/>
      <c r="AP151" s="42"/>
      <c r="AQ151" s="42"/>
      <c r="AR151" s="42">
        <f>SUM(AN151:AQ151)</f>
        <v>0</v>
      </c>
      <c r="AS151" s="42"/>
      <c r="AT151" s="42"/>
      <c r="AU151" s="42"/>
      <c r="AV151" s="42"/>
      <c r="AW151" s="42"/>
      <c r="AX151" s="42"/>
      <c r="AY151" s="42"/>
      <c r="AZ151" s="42"/>
      <c r="BA151" s="42">
        <f>+AR151+AS151+AU151+AW151+AY151+AZ151</f>
        <v>0</v>
      </c>
      <c r="BB151" s="55"/>
      <c r="BC151" s="56">
        <v>4</v>
      </c>
      <c r="BD151" s="56"/>
      <c r="BE151" s="56"/>
      <c r="BF151" s="56"/>
    </row>
    <row r="152" spans="1:58" ht="12.95" customHeight="1">
      <c r="A152" s="45"/>
      <c r="B152" s="46" t="s">
        <v>8</v>
      </c>
      <c r="C152" s="454">
        <f>(M152*E152*O152*Q152)/100000000</f>
        <v>7.3398626399999989</v>
      </c>
      <c r="D152" s="46" t="s">
        <v>384</v>
      </c>
      <c r="E152" s="47">
        <v>19</v>
      </c>
      <c r="F152" s="47">
        <v>1</v>
      </c>
      <c r="G152" s="505">
        <v>830</v>
      </c>
      <c r="H152" s="49">
        <v>0.14000000000000001</v>
      </c>
      <c r="I152" s="50">
        <v>0.88</v>
      </c>
      <c r="J152" s="87">
        <f>E152*G152*(1-H152)*1440/1000000*3.4</f>
        <v>66.400531200000003</v>
      </c>
      <c r="K152" s="87">
        <f>(IF(G152&lt;L152,L152,G152)*(1-IF(H152&lt;N152,H152,N152))*E152*O152*Q152)/100000000</f>
        <v>7.3398626399999989</v>
      </c>
      <c r="L152" s="40">
        <v>830</v>
      </c>
      <c r="M152" s="40">
        <f>+L152-L152*0.14</f>
        <v>713.8</v>
      </c>
      <c r="N152" s="51">
        <f>1-(M152/L152)</f>
        <v>0.14000000000000001</v>
      </c>
      <c r="O152" s="52">
        <f>+'Trim Rwd'!H103</f>
        <v>328</v>
      </c>
      <c r="P152" s="53">
        <f>O152*(Q152-R152-S152)</f>
        <v>51824</v>
      </c>
      <c r="Q152" s="52">
        <v>165</v>
      </c>
      <c r="R152" s="506">
        <v>0</v>
      </c>
      <c r="S152" s="506">
        <v>7</v>
      </c>
      <c r="T152" s="42">
        <f>E152*M152*O152*Q152/100000000</f>
        <v>7.3398626399999989</v>
      </c>
      <c r="U152" s="42">
        <f>E152*M152*O152*(Q152-R152-S152)/100000000</f>
        <v>7.0284745279999994</v>
      </c>
      <c r="V152" s="42">
        <f>E152*G152*(1-N152)*O152/100*(R152+S152)/1000000</f>
        <v>0.31138811199999994</v>
      </c>
      <c r="W152" s="42">
        <f>+'30'!K22/1000</f>
        <v>0</v>
      </c>
      <c r="X152" s="43"/>
      <c r="Y152" s="216"/>
      <c r="Z152" s="42"/>
      <c r="AA152" s="42"/>
      <c r="AB152" s="42"/>
      <c r="AC152" s="42">
        <f>K152-T152</f>
        <v>0</v>
      </c>
      <c r="AD152" s="42">
        <f>+AM152+BA152</f>
        <v>10</v>
      </c>
      <c r="AE152" s="234" t="s">
        <v>226</v>
      </c>
      <c r="AF152" s="38"/>
      <c r="AG152" s="38"/>
      <c r="AH152" s="38">
        <v>10</v>
      </c>
      <c r="AJ152" s="42"/>
      <c r="AK152" s="42"/>
      <c r="AL152" s="42"/>
      <c r="AM152" s="42">
        <f>SUM(AF152:AL152)+AT152+AV152+AX152</f>
        <v>10</v>
      </c>
      <c r="AN152" s="42"/>
      <c r="AO152" s="42"/>
      <c r="AP152" s="42"/>
      <c r="AQ152" s="42"/>
      <c r="AR152" s="42">
        <f>SUM(AN152:AQ152)</f>
        <v>0</v>
      </c>
      <c r="AS152" s="42"/>
      <c r="AT152" s="42"/>
      <c r="AU152" s="42"/>
      <c r="AV152" s="42"/>
      <c r="AW152" s="42"/>
      <c r="AX152" s="42"/>
      <c r="AY152" s="42"/>
      <c r="AZ152" s="42"/>
      <c r="BA152" s="42">
        <f>+AR152+AS152+AU152+AW152+AY152+AZ152</f>
        <v>0</v>
      </c>
      <c r="BB152" s="38"/>
      <c r="BC152" s="509"/>
      <c r="BD152" s="56"/>
      <c r="BE152" s="56"/>
      <c r="BF152" s="56"/>
    </row>
    <row r="153" spans="1:58" ht="12.95" customHeight="1">
      <c r="A153" s="45"/>
      <c r="B153" s="568"/>
      <c r="C153" s="454"/>
      <c r="D153" s="46"/>
      <c r="E153" s="47"/>
      <c r="F153" s="47"/>
      <c r="G153" s="48"/>
      <c r="H153" s="49"/>
      <c r="I153" s="50"/>
      <c r="J153" s="87"/>
      <c r="K153" s="87"/>
      <c r="L153" s="40"/>
      <c r="M153" s="40"/>
      <c r="N153" s="51"/>
      <c r="O153" s="52"/>
      <c r="P153" s="53"/>
      <c r="Q153" s="39"/>
      <c r="R153" s="506"/>
      <c r="S153" s="506"/>
      <c r="T153" s="42"/>
      <c r="U153" s="42"/>
      <c r="V153" s="42"/>
      <c r="W153" s="42"/>
      <c r="X153" s="43"/>
      <c r="Y153" s="43"/>
      <c r="Z153" s="42"/>
      <c r="AA153" s="54"/>
      <c r="AB153" s="54"/>
      <c r="AC153" s="42"/>
      <c r="AD153" s="42">
        <f>+AM153+BA153</f>
        <v>7</v>
      </c>
      <c r="AE153" s="234" t="s">
        <v>463</v>
      </c>
      <c r="AF153" s="42"/>
      <c r="AG153" s="42"/>
      <c r="AH153" s="42"/>
      <c r="AI153" s="42">
        <v>7</v>
      </c>
      <c r="AJ153" s="42"/>
      <c r="AK153" s="42"/>
      <c r="AL153" s="42"/>
      <c r="AM153" s="42">
        <f>SUM(AF153:AL153)+AT153+AV153+AX153</f>
        <v>7</v>
      </c>
      <c r="AN153" s="42"/>
      <c r="AO153" s="42"/>
      <c r="AP153" s="42"/>
      <c r="AQ153" s="42"/>
      <c r="AR153" s="42">
        <f>SUM(AN153:AQ153)</f>
        <v>0</v>
      </c>
      <c r="AS153" s="42"/>
      <c r="AT153" s="42"/>
      <c r="AU153" s="42"/>
      <c r="AV153" s="42"/>
      <c r="AW153" s="42"/>
      <c r="AX153" s="42"/>
      <c r="AY153" s="42"/>
      <c r="AZ153" s="42"/>
      <c r="BA153" s="42">
        <f>+AR153+AS153+AU153+AW153+AY153+AZ153</f>
        <v>0</v>
      </c>
      <c r="BB153" s="38"/>
      <c r="BC153" s="509"/>
      <c r="BD153" s="509"/>
      <c r="BE153" s="38"/>
      <c r="BF153" s="509"/>
    </row>
    <row r="154" spans="1:58" ht="12.95" customHeight="1">
      <c r="A154" s="45"/>
      <c r="B154" s="568"/>
      <c r="C154" s="454"/>
      <c r="D154" s="46"/>
      <c r="E154" s="47"/>
      <c r="F154" s="47"/>
      <c r="G154" s="48"/>
      <c r="H154" s="49"/>
      <c r="I154" s="50"/>
      <c r="J154" s="87"/>
      <c r="K154" s="87"/>
      <c r="L154" s="40"/>
      <c r="M154" s="40"/>
      <c r="N154" s="51"/>
      <c r="O154" s="52"/>
      <c r="P154" s="53"/>
      <c r="Q154" s="39"/>
      <c r="R154" s="506"/>
      <c r="S154" s="506"/>
      <c r="T154" s="42"/>
      <c r="U154" s="42"/>
      <c r="V154" s="42"/>
      <c r="W154" s="42"/>
      <c r="X154" s="43"/>
      <c r="Y154" s="43"/>
      <c r="Z154" s="42"/>
      <c r="AA154" s="54"/>
      <c r="AB154" s="54"/>
      <c r="AC154" s="42"/>
      <c r="AD154" s="42"/>
      <c r="AE154" s="234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8"/>
      <c r="BC154" s="56"/>
      <c r="BD154" s="509"/>
      <c r="BE154" s="38"/>
      <c r="BF154" s="509"/>
    </row>
    <row r="155" spans="1:58" ht="12.95" customHeight="1">
      <c r="A155" s="45">
        <v>45961</v>
      </c>
      <c r="B155" s="46" t="s">
        <v>8</v>
      </c>
      <c r="C155" s="454">
        <f>(M155*E155*O155*Q155)/100000000</f>
        <v>19.177623623529414</v>
      </c>
      <c r="D155" s="46" t="s">
        <v>384</v>
      </c>
      <c r="E155" s="47">
        <v>19</v>
      </c>
      <c r="F155" s="47">
        <v>1</v>
      </c>
      <c r="G155" s="505">
        <v>830</v>
      </c>
      <c r="H155" s="49">
        <v>0.14000000000000001</v>
      </c>
      <c r="I155" s="50">
        <v>0.88</v>
      </c>
      <c r="J155" s="87">
        <f>E155*G155*(1-H155)*1440/1000000*3.4</f>
        <v>66.400531200000003</v>
      </c>
      <c r="K155" s="87">
        <f>(IF(G155&lt;L155,L155,G155)*(1-IF(H155&lt;N155,H155,N155))*E155*O155*Q155)/100000000</f>
        <v>19.572967039999998</v>
      </c>
      <c r="L155" s="40">
        <v>813.23529411764707</v>
      </c>
      <c r="M155" s="40">
        <v>699.38235294117646</v>
      </c>
      <c r="N155" s="51">
        <f>1-(M155/L155)</f>
        <v>0.14000000000000001</v>
      </c>
      <c r="O155" s="52">
        <f>+'Trim Rwd'!H105</f>
        <v>328</v>
      </c>
      <c r="P155" s="53">
        <f>O155*(Q155-R155-S155)</f>
        <v>105616</v>
      </c>
      <c r="Q155" s="52">
        <v>440</v>
      </c>
      <c r="R155" s="506">
        <v>100</v>
      </c>
      <c r="S155" s="506">
        <v>18</v>
      </c>
      <c r="T155" s="42">
        <f>E155*M155*O155*Q155/100000000</f>
        <v>19.177623623529414</v>
      </c>
      <c r="U155" s="42">
        <f>E155*M155*O155*(Q155-R155-S155)/100000000</f>
        <v>14.034533651764708</v>
      </c>
      <c r="V155" s="42">
        <f>E155*G155*(1-N155)*O155/100*(R155+S155)/1000000</f>
        <v>5.2491138879999992</v>
      </c>
      <c r="W155" s="42">
        <f>+'31'!K22/1000</f>
        <v>16.309999999999999</v>
      </c>
      <c r="X155" s="507">
        <f>SUM(W155:W158)/SUM(K155:K158)</f>
        <v>0.7391793760168448</v>
      </c>
      <c r="Y155" s="216">
        <f>+SUM(RBP!$AG$3:$AG$4)</f>
        <v>3.5</v>
      </c>
      <c r="Z155" s="42">
        <f>+'31'!D7/1000</f>
        <v>0.78</v>
      </c>
      <c r="AA155" s="54">
        <f>SUM(U155:U158)-SUM(W155:W158)-SUM(Z155:Z158)-SUM(Y155:Y158)</f>
        <v>-0.2987313082352836</v>
      </c>
      <c r="AB155" s="54">
        <f>(SUM(K155:K158)-SUM(W155:W158)-SUM(Y155:Y158)-SUM(Z155:Z158)-SUM(AC155:AC158)-SUM(V155:V158))-AA155</f>
        <v>-0.22721735223528849</v>
      </c>
      <c r="AC155" s="42">
        <f>K155-T155</f>
        <v>0.39534341647058469</v>
      </c>
      <c r="AD155" s="42">
        <f t="shared" ref="AD155:AD160" si="0">+AM155+BA155</f>
        <v>10</v>
      </c>
      <c r="AE155" s="234" t="s">
        <v>593</v>
      </c>
      <c r="AF155" s="42">
        <v>10</v>
      </c>
      <c r="AG155" s="42"/>
      <c r="AH155" s="42"/>
      <c r="AI155" s="508"/>
      <c r="AJ155" s="42"/>
      <c r="AK155" s="42"/>
      <c r="AL155" s="42"/>
      <c r="AM155" s="42">
        <f t="shared" ref="AM155:AM160" si="1">SUM(AF155:AL155)+AT155+AV155+AX155</f>
        <v>10</v>
      </c>
      <c r="AN155" s="42"/>
      <c r="AO155" s="42"/>
      <c r="AP155" s="42"/>
      <c r="AQ155" s="42"/>
      <c r="AR155" s="42">
        <f t="shared" ref="AR155:AR160" si="2">SUM(AN155:AQ155)</f>
        <v>0</v>
      </c>
      <c r="AS155" s="42"/>
      <c r="AT155" s="42"/>
      <c r="AU155" s="42"/>
      <c r="AV155" s="42"/>
      <c r="AW155" s="42"/>
      <c r="AX155" s="42"/>
      <c r="AY155" s="42"/>
      <c r="AZ155" s="42"/>
      <c r="BA155" s="42">
        <f t="shared" ref="BA155:BA160" si="3">+AR155+AS155+AU155+AW155+AY155+AZ155</f>
        <v>0</v>
      </c>
      <c r="BB155" s="38">
        <v>4</v>
      </c>
      <c r="BC155" s="56"/>
      <c r="BD155" s="56"/>
      <c r="BE155" s="56"/>
      <c r="BF155" s="56"/>
    </row>
    <row r="156" spans="1:58" ht="12.95" customHeight="1">
      <c r="A156" s="45"/>
      <c r="B156" s="46" t="s">
        <v>462</v>
      </c>
      <c r="C156" s="454">
        <f>(M156*E156*O156*Q156)/100000000</f>
        <v>35.514560000000003</v>
      </c>
      <c r="D156" s="46" t="s">
        <v>384</v>
      </c>
      <c r="E156" s="47">
        <v>16</v>
      </c>
      <c r="F156" s="47">
        <v>1</v>
      </c>
      <c r="G156" s="505">
        <v>830</v>
      </c>
      <c r="H156" s="49">
        <v>0.14000000000000001</v>
      </c>
      <c r="I156" s="50">
        <v>0.88</v>
      </c>
      <c r="J156" s="87">
        <f>E156*G156*(1-H156)*1440/1000000*3.4</f>
        <v>55.916236799999993</v>
      </c>
      <c r="K156" s="87">
        <f>(IF(G156&lt;L156,L156,G156)*(1-IF(H156&lt;N156,H156,N156))*E156*O156*Q156)/100000000</f>
        <v>36.846355999999993</v>
      </c>
      <c r="L156" s="40">
        <v>800</v>
      </c>
      <c r="M156" s="40">
        <f>+L156-L156*0.14</f>
        <v>688</v>
      </c>
      <c r="N156" s="51">
        <f>1-(M156/L156)</f>
        <v>0.14000000000000001</v>
      </c>
      <c r="O156" s="52">
        <f>+'Trim Rwd'!H106</f>
        <v>322.625</v>
      </c>
      <c r="P156" s="53">
        <f>O156*(Q156-R156-S156)</f>
        <v>293266.125</v>
      </c>
      <c r="Q156" s="52">
        <v>1000</v>
      </c>
      <c r="R156" s="506">
        <v>0</v>
      </c>
      <c r="S156" s="506">
        <f>36+55</f>
        <v>91</v>
      </c>
      <c r="T156" s="42">
        <f>E156*M156*O156*Q156/100000000</f>
        <v>35.514560000000003</v>
      </c>
      <c r="U156" s="42">
        <f>E156*M156*O156*(Q156-R156-S156)/100000000</f>
        <v>32.282735039999999</v>
      </c>
      <c r="V156" s="42">
        <f>E156*G156*(1-N156)*O156/100*(R156+S156)/1000000</f>
        <v>3.3530183960000004</v>
      </c>
      <c r="W156" s="42">
        <f>+'31'!K20/1000</f>
        <v>25.393999999999998</v>
      </c>
      <c r="X156" s="43"/>
      <c r="Y156" s="216"/>
      <c r="Z156" s="42">
        <f>+('31'!D16+'31'!D25)/1000</f>
        <v>0.63200000000000001</v>
      </c>
      <c r="AA156" s="42"/>
      <c r="AB156" s="42"/>
      <c r="AC156" s="42">
        <f>K156-T156</f>
        <v>1.33179599999999</v>
      </c>
      <c r="AD156" s="42">
        <f t="shared" si="0"/>
        <v>20</v>
      </c>
      <c r="AE156" s="234" t="s">
        <v>481</v>
      </c>
      <c r="AF156" s="42"/>
      <c r="AG156" s="42">
        <v>20</v>
      </c>
      <c r="AH156" s="42"/>
      <c r="AI156" s="508"/>
      <c r="AJ156" s="42"/>
      <c r="AK156" s="42"/>
      <c r="AL156" s="42"/>
      <c r="AM156" s="42">
        <f t="shared" si="1"/>
        <v>20</v>
      </c>
      <c r="AN156" s="88"/>
      <c r="AO156" s="42"/>
      <c r="AP156" s="42"/>
      <c r="AQ156" s="42"/>
      <c r="AR156" s="42">
        <f t="shared" si="2"/>
        <v>0</v>
      </c>
      <c r="AS156" s="42"/>
      <c r="AT156" s="42"/>
      <c r="AU156" s="42"/>
      <c r="AV156" s="42"/>
      <c r="AW156" s="42"/>
      <c r="AX156" s="42"/>
      <c r="AY156" s="42"/>
      <c r="AZ156" s="42"/>
      <c r="BA156" s="42">
        <f t="shared" si="3"/>
        <v>0</v>
      </c>
      <c r="BB156" s="55"/>
      <c r="BC156" s="56">
        <v>6</v>
      </c>
      <c r="BD156" s="56"/>
      <c r="BE156" s="56"/>
      <c r="BF156" s="56"/>
    </row>
    <row r="157" spans="1:58" ht="12.95" customHeight="1">
      <c r="A157" s="45"/>
      <c r="B157" s="46"/>
      <c r="C157" s="454"/>
      <c r="D157" s="46"/>
      <c r="E157" s="47"/>
      <c r="F157" s="47"/>
      <c r="G157" s="505"/>
      <c r="H157" s="49"/>
      <c r="I157" s="50"/>
      <c r="J157" s="87"/>
      <c r="K157" s="87"/>
      <c r="L157" s="40"/>
      <c r="M157" s="40"/>
      <c r="N157" s="51"/>
      <c r="O157" s="52"/>
      <c r="P157" s="53"/>
      <c r="Q157" s="52"/>
      <c r="R157" s="506"/>
      <c r="S157" s="506"/>
      <c r="T157" s="42"/>
      <c r="U157" s="42"/>
      <c r="V157" s="42"/>
      <c r="W157" s="42"/>
      <c r="X157" s="43"/>
      <c r="Y157" s="216"/>
      <c r="Z157" s="42"/>
      <c r="AA157" s="42"/>
      <c r="AB157" s="42"/>
      <c r="AC157" s="42"/>
      <c r="AD157" s="42">
        <f t="shared" si="0"/>
        <v>16</v>
      </c>
      <c r="AE157" s="234" t="s">
        <v>226</v>
      </c>
      <c r="AF157" s="38"/>
      <c r="AG157" s="38"/>
      <c r="AH157" s="38">
        <v>16</v>
      </c>
      <c r="AJ157" s="42"/>
      <c r="AK157" s="42"/>
      <c r="AL157" s="42"/>
      <c r="AM157" s="42">
        <f t="shared" si="1"/>
        <v>16</v>
      </c>
      <c r="AN157" s="42"/>
      <c r="AO157" s="42"/>
      <c r="AP157" s="42"/>
      <c r="AQ157" s="42"/>
      <c r="AR157" s="42">
        <f t="shared" si="2"/>
        <v>0</v>
      </c>
      <c r="AS157" s="42"/>
      <c r="AT157" s="42"/>
      <c r="AU157" s="42"/>
      <c r="AV157" s="42"/>
      <c r="AW157" s="42"/>
      <c r="AX157" s="42"/>
      <c r="AY157" s="42"/>
      <c r="AZ157" s="42"/>
      <c r="BA157" s="42">
        <f t="shared" si="3"/>
        <v>0</v>
      </c>
      <c r="BB157" s="38"/>
      <c r="BC157" s="509"/>
      <c r="BD157" s="56"/>
      <c r="BE157" s="56"/>
      <c r="BF157" s="56"/>
    </row>
    <row r="158" spans="1:58" ht="12.95" customHeight="1">
      <c r="A158" s="45"/>
      <c r="B158" s="568"/>
      <c r="C158" s="454"/>
      <c r="D158" s="46"/>
      <c r="E158" s="47"/>
      <c r="F158" s="47"/>
      <c r="G158" s="48"/>
      <c r="H158" s="49"/>
      <c r="I158" s="50"/>
      <c r="J158" s="87"/>
      <c r="K158" s="87"/>
      <c r="L158" s="40"/>
      <c r="M158" s="40"/>
      <c r="N158" s="51"/>
      <c r="O158" s="52"/>
      <c r="P158" s="53"/>
      <c r="Q158" s="39"/>
      <c r="R158" s="506"/>
      <c r="S158" s="506"/>
      <c r="T158" s="42"/>
      <c r="U158" s="42"/>
      <c r="V158" s="42"/>
      <c r="W158" s="42"/>
      <c r="X158" s="43"/>
      <c r="Y158" s="43"/>
      <c r="Z158" s="42"/>
      <c r="AA158" s="54"/>
      <c r="AB158" s="54"/>
      <c r="AC158" s="42"/>
      <c r="AD158" s="42">
        <f t="shared" si="0"/>
        <v>8</v>
      </c>
      <c r="AE158" s="234" t="s">
        <v>463</v>
      </c>
      <c r="AF158" s="42"/>
      <c r="AG158" s="42"/>
      <c r="AH158" s="42"/>
      <c r="AI158" s="42">
        <v>8</v>
      </c>
      <c r="AJ158" s="42"/>
      <c r="AK158" s="42"/>
      <c r="AL158" s="42"/>
      <c r="AM158" s="42">
        <f t="shared" si="1"/>
        <v>8</v>
      </c>
      <c r="AN158" s="42"/>
      <c r="AO158" s="42"/>
      <c r="AP158" s="42"/>
      <c r="AQ158" s="42"/>
      <c r="AR158" s="42">
        <f t="shared" si="2"/>
        <v>0</v>
      </c>
      <c r="AS158" s="42"/>
      <c r="AT158" s="42"/>
      <c r="AU158" s="42"/>
      <c r="AV158" s="42"/>
      <c r="AW158" s="42"/>
      <c r="AX158" s="42"/>
      <c r="AY158" s="42"/>
      <c r="AZ158" s="42"/>
      <c r="BA158" s="42">
        <f t="shared" si="3"/>
        <v>0</v>
      </c>
      <c r="BB158" s="38"/>
      <c r="BC158" s="509"/>
      <c r="BD158" s="56"/>
      <c r="BE158" s="56"/>
      <c r="BF158" s="56"/>
    </row>
    <row r="159" spans="1:58" ht="12.95" customHeight="1">
      <c r="A159" s="45"/>
      <c r="B159" s="568"/>
      <c r="C159" s="454"/>
      <c r="D159" s="46"/>
      <c r="E159" s="47"/>
      <c r="F159" s="47"/>
      <c r="G159" s="48"/>
      <c r="H159" s="49"/>
      <c r="I159" s="50"/>
      <c r="J159" s="87"/>
      <c r="K159" s="87"/>
      <c r="L159" s="40"/>
      <c r="M159" s="40"/>
      <c r="N159" s="51"/>
      <c r="O159" s="52"/>
      <c r="P159" s="53"/>
      <c r="Q159" s="39"/>
      <c r="R159" s="506"/>
      <c r="S159" s="506"/>
      <c r="T159" s="42"/>
      <c r="U159" s="42"/>
      <c r="V159" s="42"/>
      <c r="W159" s="42"/>
      <c r="X159" s="43"/>
      <c r="Y159" s="43"/>
      <c r="Z159" s="42"/>
      <c r="AA159" s="54"/>
      <c r="AB159" s="54"/>
      <c r="AC159" s="42"/>
      <c r="AD159" s="42">
        <f t="shared" si="0"/>
        <v>100</v>
      </c>
      <c r="AE159" s="237" t="s">
        <v>765</v>
      </c>
      <c r="AF159" s="42"/>
      <c r="AG159" s="42"/>
      <c r="AH159" s="42"/>
      <c r="AI159" s="42"/>
      <c r="AJ159" s="42"/>
      <c r="AK159" s="42"/>
      <c r="AL159" s="42"/>
      <c r="AM159" s="42">
        <f t="shared" si="1"/>
        <v>0</v>
      </c>
      <c r="AN159" s="42">
        <v>100</v>
      </c>
      <c r="AO159" s="42"/>
      <c r="AP159" s="42"/>
      <c r="AQ159" s="42"/>
      <c r="AR159" s="42">
        <f t="shared" si="2"/>
        <v>100</v>
      </c>
      <c r="AS159" s="42"/>
      <c r="AT159" s="42"/>
      <c r="AU159" s="42"/>
      <c r="AV159" s="42"/>
      <c r="AW159" s="42"/>
      <c r="AX159" s="42"/>
      <c r="AY159" s="42"/>
      <c r="AZ159" s="42"/>
      <c r="BA159" s="42">
        <f t="shared" si="3"/>
        <v>100</v>
      </c>
      <c r="BB159" s="38"/>
      <c r="BC159" s="509"/>
      <c r="BD159" s="56"/>
      <c r="BE159" s="56"/>
      <c r="BF159" s="56">
        <v>1</v>
      </c>
    </row>
    <row r="160" spans="1:58" ht="12.95" customHeight="1">
      <c r="A160" s="45"/>
      <c r="B160" s="568"/>
      <c r="C160" s="454"/>
      <c r="D160" s="46"/>
      <c r="E160" s="47"/>
      <c r="F160" s="47"/>
      <c r="G160" s="48"/>
      <c r="H160" s="49"/>
      <c r="I160" s="50"/>
      <c r="J160" s="87"/>
      <c r="K160" s="87"/>
      <c r="L160" s="40"/>
      <c r="M160" s="40"/>
      <c r="N160" s="51"/>
      <c r="O160" s="52"/>
      <c r="P160" s="53"/>
      <c r="Q160" s="39"/>
      <c r="R160" s="506"/>
      <c r="S160" s="506"/>
      <c r="T160" s="42"/>
      <c r="U160" s="42"/>
      <c r="V160" s="42"/>
      <c r="W160" s="42"/>
      <c r="X160" s="43"/>
      <c r="Y160" s="43"/>
      <c r="Z160" s="42"/>
      <c r="AA160" s="54"/>
      <c r="AB160" s="54"/>
      <c r="AC160" s="42"/>
      <c r="AD160" s="42">
        <f t="shared" si="0"/>
        <v>55</v>
      </c>
      <c r="AE160" s="237" t="s">
        <v>764</v>
      </c>
      <c r="AF160" s="42"/>
      <c r="AG160" s="42"/>
      <c r="AH160" s="42"/>
      <c r="AI160" s="42">
        <v>55</v>
      </c>
      <c r="AJ160" s="42"/>
      <c r="AK160" s="42"/>
      <c r="AL160" s="42"/>
      <c r="AM160" s="42">
        <f t="shared" si="1"/>
        <v>55</v>
      </c>
      <c r="AN160" s="42"/>
      <c r="AO160" s="42"/>
      <c r="AP160" s="42"/>
      <c r="AQ160" s="42"/>
      <c r="AR160" s="42">
        <f t="shared" si="2"/>
        <v>0</v>
      </c>
      <c r="AS160" s="42"/>
      <c r="AT160" s="42"/>
      <c r="AU160" s="42"/>
      <c r="AV160" s="42"/>
      <c r="AW160" s="42"/>
      <c r="AX160" s="42"/>
      <c r="AY160" s="42"/>
      <c r="AZ160" s="42"/>
      <c r="BA160" s="42">
        <f t="shared" si="3"/>
        <v>0</v>
      </c>
      <c r="BB160" s="38"/>
      <c r="BC160" s="509"/>
      <c r="BD160" s="56"/>
      <c r="BE160" s="56"/>
      <c r="BF160" s="56"/>
    </row>
    <row r="161" spans="1:97" ht="12.95" customHeight="1">
      <c r="A161" s="45"/>
      <c r="B161" s="568"/>
      <c r="C161" s="454"/>
      <c r="D161" s="46"/>
      <c r="E161" s="47"/>
      <c r="F161" s="47"/>
      <c r="G161" s="48"/>
      <c r="H161" s="49"/>
      <c r="I161" s="50"/>
      <c r="J161" s="87"/>
      <c r="K161" s="87"/>
      <c r="L161" s="40"/>
      <c r="M161" s="40"/>
      <c r="N161" s="51"/>
      <c r="O161" s="52"/>
      <c r="P161" s="53"/>
      <c r="Q161" s="39"/>
      <c r="R161" s="506"/>
      <c r="S161" s="506"/>
      <c r="T161" s="42"/>
      <c r="U161" s="42"/>
      <c r="V161" s="42"/>
      <c r="W161" s="42"/>
      <c r="X161" s="43"/>
      <c r="Y161" s="43"/>
      <c r="Z161" s="42"/>
      <c r="AA161" s="54"/>
      <c r="AB161" s="54"/>
      <c r="AC161" s="42"/>
      <c r="AD161" s="42"/>
      <c r="AE161" s="234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38"/>
      <c r="BC161" s="56"/>
      <c r="BD161" s="509"/>
      <c r="BE161" s="38"/>
      <c r="BF161" s="509"/>
    </row>
    <row r="162" spans="1:97" ht="12.75" customHeight="1">
      <c r="R162" s="510"/>
      <c r="S162" s="510"/>
      <c r="AA162" s="252">
        <f>U162-W162-Z162</f>
        <v>0</v>
      </c>
      <c r="AB162" s="252"/>
      <c r="AC162" s="253">
        <f>K162-T162</f>
        <v>0</v>
      </c>
      <c r="AD162" s="42"/>
      <c r="AF162" s="57"/>
      <c r="AG162" s="57"/>
      <c r="AH162" s="57"/>
      <c r="AI162" s="57"/>
      <c r="AJ162" s="57"/>
      <c r="AK162" s="57"/>
      <c r="AL162" s="57"/>
      <c r="AM162" s="42">
        <f>SUM(AF162:AL162)</f>
        <v>0</v>
      </c>
      <c r="AN162" s="57"/>
      <c r="AO162" s="57"/>
      <c r="AP162" s="57"/>
      <c r="AQ162" s="57"/>
      <c r="AR162" s="42">
        <f>SUM(AN162:AQ162)</f>
        <v>0</v>
      </c>
      <c r="AS162" s="57"/>
      <c r="AT162" s="57"/>
      <c r="AU162" s="57"/>
      <c r="AV162" s="57"/>
      <c r="AW162" s="57"/>
      <c r="AX162" s="57"/>
      <c r="AY162" s="57"/>
      <c r="AZ162" s="57"/>
      <c r="BA162" s="42"/>
      <c r="BB162" s="68"/>
      <c r="BC162" s="68"/>
      <c r="BD162" s="509"/>
      <c r="BE162" s="38"/>
      <c r="BF162" s="509"/>
    </row>
    <row r="163" spans="1:97" ht="12.75" customHeight="1">
      <c r="A163" s="61"/>
      <c r="B163" s="62"/>
      <c r="C163" s="456">
        <f>SUM(C6:C161)</f>
        <v>1862.8242703989863</v>
      </c>
      <c r="D163" s="62"/>
      <c r="E163" s="63"/>
      <c r="F163" s="63"/>
      <c r="G163" s="64"/>
      <c r="H163" s="64"/>
      <c r="I163" s="65">
        <v>0.85</v>
      </c>
      <c r="J163" s="87"/>
      <c r="K163" s="89">
        <f>SUM(K6:K161)</f>
        <v>1881.057079974835</v>
      </c>
      <c r="L163" s="67"/>
      <c r="M163" s="67"/>
      <c r="N163" s="68"/>
      <c r="O163" s="69">
        <f>P163/(Q163-R163-S163)</f>
        <v>322.83355518543431</v>
      </c>
      <c r="P163" s="66">
        <f>SUM(P6:P161)</f>
        <v>12738366.420506867</v>
      </c>
      <c r="Q163" s="385">
        <f>SUM(Q6:Q162)</f>
        <v>42960</v>
      </c>
      <c r="R163" s="66">
        <f t="shared" ref="R163:W163" si="4">SUM(R6:R161)</f>
        <v>1789</v>
      </c>
      <c r="S163" s="66">
        <f t="shared" si="4"/>
        <v>1713</v>
      </c>
      <c r="T163" s="66">
        <f t="shared" si="4"/>
        <v>1862.8242703989863</v>
      </c>
      <c r="U163" s="66">
        <f t="shared" si="4"/>
        <v>1723.0362248993836</v>
      </c>
      <c r="V163" s="409">
        <f t="shared" si="4"/>
        <v>140.71798279540451</v>
      </c>
      <c r="W163" s="460">
        <f t="shared" si="4"/>
        <v>1649.2969999999998</v>
      </c>
      <c r="X163" s="511">
        <f>W163/K163</f>
        <v>0.87679263832975463</v>
      </c>
      <c r="Y163" s="410">
        <f>SUM(Y6:Y161)</f>
        <v>3.5</v>
      </c>
      <c r="Z163" s="460">
        <f>SUM(Z6:Z161)</f>
        <v>28.959</v>
      </c>
      <c r="AA163" s="66">
        <f>SUM(AA6:AA161)</f>
        <v>41.28022489938396</v>
      </c>
      <c r="AB163" s="66">
        <f>SUM(AB6:AB161)</f>
        <v>-0.92993729580227824</v>
      </c>
      <c r="AC163" s="66">
        <f>SUM(AC6:AC161)</f>
        <v>18.232809575848869</v>
      </c>
      <c r="AD163" s="42">
        <f>SUM(AD6:AD162)</f>
        <v>3502</v>
      </c>
      <c r="AE163" s="70"/>
      <c r="AF163" s="66">
        <f t="shared" ref="AF163:BF163" si="5">SUM(AF6:AF162)</f>
        <v>77</v>
      </c>
      <c r="AG163" s="66">
        <f t="shared" si="5"/>
        <v>378</v>
      </c>
      <c r="AH163" s="66">
        <f t="shared" si="5"/>
        <v>435</v>
      </c>
      <c r="AI163" s="66">
        <f t="shared" si="5"/>
        <v>808</v>
      </c>
      <c r="AJ163" s="66">
        <f t="shared" si="5"/>
        <v>0</v>
      </c>
      <c r="AK163" s="66">
        <f t="shared" si="5"/>
        <v>15</v>
      </c>
      <c r="AL163" s="66">
        <f t="shared" si="5"/>
        <v>0</v>
      </c>
      <c r="AM163" s="66">
        <f t="shared" si="5"/>
        <v>1713</v>
      </c>
      <c r="AN163" s="57">
        <f t="shared" si="5"/>
        <v>844</v>
      </c>
      <c r="AO163" s="57">
        <f t="shared" si="5"/>
        <v>790</v>
      </c>
      <c r="AP163" s="57">
        <f t="shared" si="5"/>
        <v>155</v>
      </c>
      <c r="AQ163" s="57">
        <f t="shared" si="5"/>
        <v>0</v>
      </c>
      <c r="AR163" s="66">
        <f t="shared" si="5"/>
        <v>1789</v>
      </c>
      <c r="AS163" s="66">
        <f t="shared" si="5"/>
        <v>0</v>
      </c>
      <c r="AT163" s="66">
        <f t="shared" si="5"/>
        <v>0</v>
      </c>
      <c r="AU163" s="66">
        <f t="shared" si="5"/>
        <v>0</v>
      </c>
      <c r="AV163" s="66">
        <f t="shared" si="5"/>
        <v>0</v>
      </c>
      <c r="AW163" s="66">
        <f t="shared" si="5"/>
        <v>0</v>
      </c>
      <c r="AX163" s="66">
        <f t="shared" si="5"/>
        <v>0</v>
      </c>
      <c r="AY163" s="66">
        <f t="shared" si="5"/>
        <v>0</v>
      </c>
      <c r="AZ163" s="66">
        <f t="shared" si="5"/>
        <v>0</v>
      </c>
      <c r="BA163" s="66">
        <f t="shared" si="5"/>
        <v>1789</v>
      </c>
      <c r="BB163" s="57">
        <f t="shared" si="5"/>
        <v>35</v>
      </c>
      <c r="BC163" s="57">
        <f t="shared" si="5"/>
        <v>127</v>
      </c>
      <c r="BD163" s="57">
        <f t="shared" si="5"/>
        <v>0</v>
      </c>
      <c r="BE163" s="57">
        <f t="shared" si="5"/>
        <v>0</v>
      </c>
      <c r="BF163" s="57">
        <f t="shared" si="5"/>
        <v>4</v>
      </c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</row>
    <row r="164" spans="1:97" ht="12.75" customHeight="1">
      <c r="A164" s="61"/>
      <c r="B164" s="62"/>
      <c r="C164" s="62"/>
      <c r="D164" s="62"/>
      <c r="E164" s="63"/>
      <c r="F164" s="63"/>
      <c r="G164" s="64"/>
      <c r="H164" s="64"/>
      <c r="I164" s="64"/>
      <c r="J164" s="90"/>
      <c r="K164" s="90"/>
      <c r="L164" s="67"/>
      <c r="M164" s="67"/>
      <c r="N164" s="68"/>
      <c r="O164" s="651"/>
      <c r="P164" s="652"/>
      <c r="Q164" s="64">
        <f>31*1440-Q163</f>
        <v>1680</v>
      </c>
      <c r="R164" s="71">
        <f>R163/Q163</f>
        <v>4.1643389199255122E-2</v>
      </c>
      <c r="S164" s="71">
        <f>S163/Q163</f>
        <v>3.9874301675977657E-2</v>
      </c>
      <c r="T164" s="396"/>
      <c r="U164" s="396"/>
      <c r="V164" s="398">
        <f>V163/K163</f>
        <v>7.4807928102472596E-2</v>
      </c>
      <c r="W164" s="414" t="s">
        <v>169</v>
      </c>
      <c r="X164" s="512">
        <v>0.85</v>
      </c>
      <c r="Y164" s="411">
        <f>Y163/K163</f>
        <v>1.8606559244054536E-3</v>
      </c>
      <c r="Z164" s="72">
        <f>Z163/K163</f>
        <v>1.5395067118530724E-2</v>
      </c>
      <c r="AA164" s="72">
        <f>AA163/K163</f>
        <v>2.1945227148522369E-2</v>
      </c>
      <c r="AB164" s="72">
        <f>AB163/K163</f>
        <v>-4.9436952536002733E-4</v>
      </c>
      <c r="AC164" s="513">
        <f>AC163/K163</f>
        <v>9.6928529016741954E-3</v>
      </c>
      <c r="AD164" s="399"/>
      <c r="AE164" s="44"/>
      <c r="AF164" s="72">
        <f>AF163/$AD$163*$V$164</f>
        <v>1.6448345128185007E-3</v>
      </c>
      <c r="AG164" s="72">
        <f>AG163/$AD$163*$V$164</f>
        <v>8.074642153836277E-3</v>
      </c>
      <c r="AH164" s="72">
        <f>AH163/$AD$163*$V$164</f>
        <v>9.2922469230655568E-3</v>
      </c>
      <c r="AI164" s="72">
        <f>AI163/$AD$163*$V$164</f>
        <v>1.7260081641004527E-2</v>
      </c>
      <c r="AJ164" s="72">
        <f t="shared" ref="AJ164:BA164" si="6">AJ163/$AD$163*$V$164</f>
        <v>0</v>
      </c>
      <c r="AK164" s="72">
        <f t="shared" si="6"/>
        <v>3.2042230769191573E-4</v>
      </c>
      <c r="AL164" s="72">
        <f t="shared" si="6"/>
        <v>0</v>
      </c>
      <c r="AM164" s="72">
        <f t="shared" si="6"/>
        <v>3.6592227538416774E-2</v>
      </c>
      <c r="AN164" s="72">
        <f t="shared" si="6"/>
        <v>1.8029095179465125E-2</v>
      </c>
      <c r="AO164" s="72">
        <f t="shared" si="6"/>
        <v>1.687557487177423E-2</v>
      </c>
      <c r="AP164" s="72">
        <f t="shared" si="6"/>
        <v>3.3110305128164624E-3</v>
      </c>
      <c r="AQ164" s="72">
        <f t="shared" si="6"/>
        <v>0</v>
      </c>
      <c r="AR164" s="72">
        <f t="shared" si="6"/>
        <v>3.8215700564055814E-2</v>
      </c>
      <c r="AS164" s="72">
        <f t="shared" si="6"/>
        <v>0</v>
      </c>
      <c r="AT164" s="72">
        <f t="shared" si="6"/>
        <v>0</v>
      </c>
      <c r="AU164" s="72">
        <f t="shared" si="6"/>
        <v>0</v>
      </c>
      <c r="AV164" s="72">
        <f>AV163/$AD$163*$V$164</f>
        <v>0</v>
      </c>
      <c r="AW164" s="72">
        <f>AW163/$AD$163*$V$164</f>
        <v>0</v>
      </c>
      <c r="AX164" s="72">
        <f>AX163/$AD$163*$V$164</f>
        <v>0</v>
      </c>
      <c r="AY164" s="72">
        <f>AY163/$AD$163*$V$164</f>
        <v>0</v>
      </c>
      <c r="AZ164" s="72">
        <f>AZ163/$AD$163*$V$164</f>
        <v>0</v>
      </c>
      <c r="BA164" s="72">
        <f t="shared" si="6"/>
        <v>3.8215700564055814E-2</v>
      </c>
      <c r="BB164" s="39" t="s">
        <v>168</v>
      </c>
      <c r="BC164" s="39" t="s">
        <v>168</v>
      </c>
      <c r="BD164" s="39" t="s">
        <v>378</v>
      </c>
      <c r="BE164" s="39" t="s">
        <v>378</v>
      </c>
      <c r="BF164" s="39" t="s">
        <v>378</v>
      </c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</row>
    <row r="165" spans="1:97" ht="12.75" customHeight="1">
      <c r="A165" s="61"/>
      <c r="B165" s="62"/>
      <c r="C165" s="62"/>
      <c r="D165" s="62"/>
      <c r="E165" s="63"/>
      <c r="F165" s="63"/>
      <c r="G165" s="39"/>
      <c r="H165" s="39"/>
      <c r="I165" s="39"/>
      <c r="J165" s="87"/>
      <c r="K165" s="87"/>
      <c r="L165" s="40"/>
      <c r="M165" s="40"/>
      <c r="N165" s="38"/>
      <c r="O165" s="41"/>
      <c r="P165" s="33"/>
      <c r="Q165" s="39"/>
      <c r="R165" s="42">
        <f>R163-(BA163)</f>
        <v>0</v>
      </c>
      <c r="S165" s="42">
        <f>+S163-AM163</f>
        <v>0</v>
      </c>
      <c r="T165" s="38"/>
      <c r="U165" s="38"/>
      <c r="V165" s="38"/>
      <c r="W165" s="412"/>
      <c r="X165" s="413"/>
      <c r="Y165" s="73">
        <f>+Y163-(SUM(RBP!AG3:AG4))</f>
        <v>0</v>
      </c>
      <c r="Z165" s="42">
        <f>+Z163-'31'!J56/1000</f>
        <v>0</v>
      </c>
      <c r="AA165" s="38"/>
      <c r="AB165" s="38"/>
      <c r="AC165" s="38"/>
      <c r="AD165" s="38"/>
      <c r="AE165" s="44"/>
      <c r="AF165" s="386"/>
      <c r="AG165" s="386"/>
      <c r="AH165" s="386"/>
      <c r="AI165" s="386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562">
        <v>0</v>
      </c>
      <c r="AU165" s="562">
        <v>1680</v>
      </c>
      <c r="AV165" s="562">
        <v>0</v>
      </c>
      <c r="AW165" s="562">
        <v>0</v>
      </c>
      <c r="AX165" s="562">
        <v>0</v>
      </c>
      <c r="AY165" s="562">
        <v>0</v>
      </c>
      <c r="AZ165" s="562">
        <v>0</v>
      </c>
      <c r="BA165" s="82"/>
      <c r="BB165" s="514">
        <f>BB163/($Q$163/1440)/2</f>
        <v>0.58659217877094971</v>
      </c>
      <c r="BC165" s="514">
        <f>BC163/($Q$163/1440)/2</f>
        <v>2.1284916201117321</v>
      </c>
      <c r="BD165" s="514">
        <f>BD163/($Q$163/1440)</f>
        <v>0</v>
      </c>
      <c r="BE165" s="514">
        <f>BE163/($Q$163/1440)</f>
        <v>0</v>
      </c>
      <c r="BF165" s="514">
        <f>BF163/($Q$163/1440)</f>
        <v>0.13407821229050279</v>
      </c>
    </row>
    <row r="166" spans="1:97" ht="12.75" customHeight="1">
      <c r="A166" s="74"/>
      <c r="B166" s="75"/>
      <c r="C166" s="75"/>
      <c r="D166" s="75"/>
      <c r="E166" s="76"/>
      <c r="F166" s="76"/>
      <c r="G166" s="77"/>
      <c r="H166" s="77"/>
      <c r="I166" s="77"/>
      <c r="J166" s="91"/>
      <c r="K166" s="91"/>
      <c r="O166" s="78"/>
      <c r="P166" s="79"/>
      <c r="Q166" s="77"/>
      <c r="R166" s="58"/>
      <c r="S166" s="58"/>
      <c r="U166" s="80"/>
      <c r="V166" s="80"/>
      <c r="W166" s="81" t="s">
        <v>121</v>
      </c>
      <c r="X166" s="515">
        <f>W163/U163</f>
        <v>0.95720390329942728</v>
      </c>
      <c r="Y166" s="515"/>
      <c r="Z166" s="569"/>
      <c r="AA166" s="34" t="s">
        <v>382</v>
      </c>
      <c r="AD166" s="88"/>
      <c r="AE166" s="83"/>
      <c r="AF166" s="84"/>
      <c r="AG166" s="84"/>
      <c r="AH166" s="84"/>
      <c r="AI166" s="84"/>
      <c r="AJ166" s="84"/>
      <c r="AK166" s="84"/>
      <c r="AL166" s="84"/>
      <c r="AM166" s="84"/>
      <c r="AN166" s="82"/>
      <c r="AO166" s="82"/>
      <c r="AP166" s="82"/>
      <c r="AQ166" s="82"/>
      <c r="AR166" s="82"/>
      <c r="AS166" s="84"/>
      <c r="AT166" s="84"/>
      <c r="AU166" s="84"/>
      <c r="AV166" s="84"/>
      <c r="AW166" s="84"/>
      <c r="AX166" s="84"/>
      <c r="AY166" s="84"/>
      <c r="AZ166" s="84"/>
      <c r="BA166" s="82"/>
      <c r="BB166" s="32"/>
      <c r="BC166" s="82"/>
      <c r="BD166" s="82"/>
      <c r="BE166" s="32"/>
      <c r="BF166" s="82"/>
    </row>
    <row r="167" spans="1:97" ht="12.75" customHeight="1">
      <c r="A167" s="74"/>
      <c r="B167" s="75"/>
      <c r="C167" s="75"/>
      <c r="D167" s="75"/>
      <c r="E167" s="76"/>
      <c r="F167" s="76"/>
      <c r="G167" s="77"/>
      <c r="H167" s="77"/>
      <c r="I167" s="77"/>
      <c r="J167" s="91"/>
      <c r="K167" s="91"/>
      <c r="O167" s="78"/>
      <c r="P167" s="79"/>
      <c r="Q167" s="77"/>
      <c r="R167" s="58"/>
      <c r="S167" s="58"/>
      <c r="U167" s="80"/>
      <c r="V167" s="80"/>
      <c r="W167" s="81"/>
      <c r="X167" s="82"/>
      <c r="Y167" s="82"/>
      <c r="Z167" s="58"/>
      <c r="AA167" s="94"/>
      <c r="AB167" s="94"/>
      <c r="AD167" s="88"/>
      <c r="AE167" s="83"/>
      <c r="AF167" s="84"/>
      <c r="AG167" s="84"/>
      <c r="AH167" s="84"/>
      <c r="AI167" s="84"/>
      <c r="AJ167" s="84"/>
      <c r="AK167" s="84"/>
      <c r="AL167" s="84"/>
      <c r="AM167" s="84"/>
      <c r="AN167" s="84"/>
      <c r="AO167" s="82"/>
      <c r="AP167" s="82"/>
      <c r="AQ167" s="82"/>
      <c r="AR167" s="84"/>
      <c r="AS167" s="82"/>
      <c r="AT167" s="82"/>
      <c r="AU167" s="82"/>
      <c r="AV167" s="82"/>
      <c r="AW167" s="82"/>
      <c r="AX167" s="82"/>
      <c r="AY167" s="82"/>
      <c r="AZ167" s="82"/>
      <c r="BA167" s="82"/>
      <c r="BB167" s="32"/>
      <c r="BC167" s="82"/>
      <c r="BD167" s="82"/>
      <c r="BE167" s="32"/>
      <c r="BF167" s="82"/>
    </row>
    <row r="168" spans="1:97" ht="12.75" customHeight="1">
      <c r="A168" s="74"/>
      <c r="B168" s="75"/>
      <c r="C168" s="75"/>
      <c r="D168" s="75"/>
      <c r="E168" s="76"/>
      <c r="F168" s="76"/>
      <c r="G168" s="77"/>
      <c r="H168" s="77"/>
      <c r="I168" s="77"/>
      <c r="J168" s="91"/>
      <c r="K168" s="91"/>
      <c r="O168" s="78"/>
      <c r="P168" s="79"/>
      <c r="Q168" s="77"/>
      <c r="R168" s="397"/>
      <c r="S168" s="58"/>
      <c r="U168" s="80"/>
      <c r="V168" s="80"/>
      <c r="W168" s="81" t="s">
        <v>144</v>
      </c>
      <c r="X168" s="386">
        <f>+W163+Y163</f>
        <v>1652.7969999999998</v>
      </c>
      <c r="Y168" s="82"/>
      <c r="Z168" s="58"/>
      <c r="AD168" s="88"/>
      <c r="AE168" s="83"/>
      <c r="AF168" s="88"/>
      <c r="AG168" s="88"/>
      <c r="AH168" s="88"/>
      <c r="AI168" s="88"/>
      <c r="AJ168" s="82"/>
      <c r="AK168" s="82"/>
      <c r="AL168" s="82"/>
      <c r="AM168" s="84"/>
      <c r="AN168" s="82"/>
      <c r="AO168" s="82"/>
      <c r="AP168" s="82"/>
      <c r="AQ168" s="82"/>
      <c r="AR168" s="84"/>
      <c r="AS168" s="82"/>
      <c r="AT168" s="82"/>
      <c r="AU168" s="82"/>
      <c r="AV168" s="82"/>
      <c r="AW168" s="82"/>
      <c r="AX168" s="82"/>
      <c r="AY168" s="82"/>
      <c r="AZ168" s="82"/>
      <c r="BA168" s="82"/>
      <c r="BB168" s="32"/>
      <c r="BC168" s="82"/>
      <c r="BD168" s="82"/>
      <c r="BE168" s="32"/>
      <c r="BF168" s="82"/>
    </row>
    <row r="169" spans="1:97" ht="12.75" customHeight="1">
      <c r="A169" s="74"/>
      <c r="C169" s="75" t="s">
        <v>295</v>
      </c>
      <c r="D169" s="75"/>
      <c r="E169" s="76"/>
      <c r="F169" s="76"/>
      <c r="G169" s="77"/>
      <c r="H169" s="77"/>
      <c r="I169" s="77"/>
      <c r="J169" s="91"/>
      <c r="K169" s="91"/>
      <c r="O169" s="78"/>
      <c r="P169" s="79"/>
      <c r="Q169" s="77"/>
      <c r="R169" s="397"/>
      <c r="S169" s="58"/>
      <c r="U169" s="80"/>
      <c r="V169" s="407"/>
      <c r="W169" s="408"/>
      <c r="X169" s="402"/>
      <c r="Y169" s="408"/>
      <c r="Z169" s="402"/>
      <c r="AD169" s="395"/>
      <c r="AE169" s="83"/>
      <c r="AF169" s="395"/>
      <c r="AG169" s="395"/>
      <c r="AH169" s="395"/>
      <c r="AI169" s="395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32"/>
      <c r="BC169" s="82"/>
      <c r="BD169" s="82"/>
      <c r="BE169" s="32"/>
      <c r="BF169" s="82"/>
    </row>
    <row r="170" spans="1:97" ht="12.75" customHeight="1">
      <c r="A170" s="74"/>
      <c r="B170" s="75"/>
      <c r="C170" s="75" t="s">
        <v>296</v>
      </c>
      <c r="D170" s="75"/>
      <c r="E170" s="76"/>
      <c r="F170" s="76"/>
      <c r="G170" s="77"/>
      <c r="H170" s="77"/>
      <c r="I170" s="77"/>
      <c r="J170" s="91"/>
      <c r="K170" s="91"/>
      <c r="O170" s="78"/>
      <c r="P170" s="79"/>
      <c r="Q170" s="77"/>
      <c r="R170" s="397"/>
      <c r="S170" s="58"/>
      <c r="V170" s="400"/>
      <c r="W170" s="401" t="s">
        <v>303</v>
      </c>
      <c r="X170" s="400"/>
      <c r="Y170" s="400"/>
      <c r="Z170" s="402"/>
      <c r="AE170" s="83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32"/>
      <c r="BE170" s="32"/>
    </row>
    <row r="171" spans="1:97" ht="12.75" customHeight="1">
      <c r="A171" s="74"/>
      <c r="B171" s="75"/>
      <c r="C171" s="75"/>
      <c r="D171" s="75"/>
      <c r="E171" s="76"/>
      <c r="F171" s="76"/>
      <c r="G171" s="77"/>
      <c r="H171" s="77"/>
      <c r="I171" s="77"/>
      <c r="J171" s="91"/>
      <c r="K171" s="91"/>
      <c r="O171" s="78"/>
      <c r="P171" s="79"/>
      <c r="Q171" s="77"/>
      <c r="R171" s="397"/>
      <c r="S171" s="58"/>
      <c r="V171" s="400"/>
      <c r="W171" s="403" t="s">
        <v>291</v>
      </c>
      <c r="X171" s="516">
        <f>Y164</f>
        <v>1.8606559244054536E-3</v>
      </c>
      <c r="Y171" s="404"/>
      <c r="Z171" s="402"/>
      <c r="AE171" s="83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32"/>
      <c r="BE171" s="32"/>
    </row>
    <row r="172" spans="1:97" ht="12.75" customHeight="1">
      <c r="R172" s="94"/>
      <c r="V172" s="400"/>
      <c r="W172" s="403" t="s">
        <v>148</v>
      </c>
      <c r="X172" s="406">
        <f>Z164</f>
        <v>1.5395067118530724E-2</v>
      </c>
      <c r="Y172" s="405"/>
      <c r="Z172" s="400"/>
    </row>
    <row r="173" spans="1:97" ht="12.75" customHeight="1">
      <c r="R173" s="94"/>
      <c r="V173" s="400"/>
      <c r="W173" s="403" t="s">
        <v>149</v>
      </c>
      <c r="X173" s="406">
        <f>AC164</f>
        <v>9.6928529016741954E-3</v>
      </c>
      <c r="Y173" s="406"/>
      <c r="Z173" s="400"/>
    </row>
    <row r="174" spans="1:97" ht="12.75" customHeight="1">
      <c r="R174" s="94"/>
      <c r="V174" s="400"/>
      <c r="W174" s="403" t="s">
        <v>150</v>
      </c>
      <c r="X174" s="406">
        <f>AA164</f>
        <v>2.1945227148522369E-2</v>
      </c>
      <c r="Y174" s="405"/>
      <c r="Z174" s="400"/>
    </row>
    <row r="175" spans="1:97" ht="12.75" customHeight="1">
      <c r="V175" s="400"/>
      <c r="W175" s="403" t="s">
        <v>166</v>
      </c>
      <c r="X175" s="406">
        <f>AB164</f>
        <v>-4.9436952536002733E-4</v>
      </c>
      <c r="Y175" s="405" t="s">
        <v>164</v>
      </c>
      <c r="Z175" s="400"/>
    </row>
    <row r="176" spans="1:97" ht="12.75" customHeight="1">
      <c r="V176" s="400"/>
      <c r="W176" s="403" t="s">
        <v>202</v>
      </c>
      <c r="X176" s="406">
        <f>AF164</f>
        <v>1.6448345128185007E-3</v>
      </c>
      <c r="Y176" s="405"/>
      <c r="Z176" s="400"/>
    </row>
    <row r="177" spans="22:26" ht="12.75" customHeight="1">
      <c r="V177" s="400"/>
      <c r="W177" s="403" t="s">
        <v>203</v>
      </c>
      <c r="X177" s="406">
        <f>+AG164</f>
        <v>8.074642153836277E-3</v>
      </c>
      <c r="Y177" s="405"/>
      <c r="Z177" s="400"/>
    </row>
    <row r="178" spans="22:26" ht="12.75" customHeight="1">
      <c r="V178" s="400"/>
      <c r="W178" s="403" t="s">
        <v>297</v>
      </c>
      <c r="X178" s="406">
        <f>+AH164</f>
        <v>9.2922469230655568E-3</v>
      </c>
      <c r="Y178" s="405"/>
      <c r="Z178" s="400"/>
    </row>
    <row r="179" spans="22:26" ht="12.75" customHeight="1">
      <c r="V179" s="400"/>
      <c r="W179" s="403" t="s">
        <v>227</v>
      </c>
      <c r="X179" s="406">
        <f>+AI164</f>
        <v>1.7260081641004527E-2</v>
      </c>
      <c r="Y179" s="405"/>
      <c r="Z179" s="400"/>
    </row>
    <row r="180" spans="22:26" ht="12.75" customHeight="1">
      <c r="V180" s="400"/>
      <c r="W180" s="403" t="s">
        <v>157</v>
      </c>
      <c r="X180" s="406">
        <f>+AJ164</f>
        <v>0</v>
      </c>
      <c r="Y180" s="405"/>
      <c r="Z180" s="400"/>
    </row>
    <row r="181" spans="22:26" ht="12.75" customHeight="1">
      <c r="V181" s="400"/>
      <c r="W181" s="403" t="s">
        <v>159</v>
      </c>
      <c r="X181" s="406">
        <f>+AK164</f>
        <v>3.2042230769191573E-4</v>
      </c>
      <c r="Y181" s="405"/>
      <c r="Z181" s="400"/>
    </row>
    <row r="182" spans="22:26" ht="12.75" customHeight="1">
      <c r="V182" s="400"/>
      <c r="W182" s="403" t="s">
        <v>158</v>
      </c>
      <c r="X182" s="406">
        <f>+AL164</f>
        <v>0</v>
      </c>
      <c r="Y182" s="405"/>
      <c r="Z182" s="400"/>
    </row>
    <row r="183" spans="22:26" ht="12.75" customHeight="1">
      <c r="V183" s="400"/>
      <c r="W183" s="403" t="s">
        <v>151</v>
      </c>
      <c r="X183" s="406">
        <f>+AN164</f>
        <v>1.8029095179465125E-2</v>
      </c>
      <c r="Y183" s="405"/>
      <c r="Z183" s="400"/>
    </row>
    <row r="184" spans="22:26" ht="12.75" customHeight="1">
      <c r="V184" s="400"/>
      <c r="W184" s="403" t="s">
        <v>161</v>
      </c>
      <c r="X184" s="406">
        <f>+AO164</f>
        <v>1.687557487177423E-2</v>
      </c>
      <c r="Y184" s="405"/>
      <c r="Z184" s="400"/>
    </row>
    <row r="185" spans="22:26" ht="12.75" customHeight="1">
      <c r="V185" s="400"/>
      <c r="W185" s="403" t="s">
        <v>152</v>
      </c>
      <c r="X185" s="406">
        <f>+AP164</f>
        <v>3.3110305128164624E-3</v>
      </c>
      <c r="Y185" s="405"/>
      <c r="Z185" s="400"/>
    </row>
    <row r="186" spans="22:26" ht="12.75" customHeight="1">
      <c r="V186" s="400"/>
      <c r="W186" s="403" t="s">
        <v>160</v>
      </c>
      <c r="X186" s="406">
        <f>+AQ164</f>
        <v>0</v>
      </c>
      <c r="Y186" s="405"/>
      <c r="Z186" s="400"/>
    </row>
    <row r="187" spans="22:26" ht="12.75" customHeight="1">
      <c r="V187" s="400"/>
      <c r="W187" s="403" t="s">
        <v>163</v>
      </c>
      <c r="X187" s="406">
        <f>+AS164</f>
        <v>0</v>
      </c>
      <c r="Y187" s="405"/>
      <c r="Z187" s="400"/>
    </row>
    <row r="188" spans="22:26" ht="12.75" customHeight="1">
      <c r="V188" s="400"/>
      <c r="W188" s="403" t="s">
        <v>298</v>
      </c>
      <c r="X188" s="406">
        <f>+AT164</f>
        <v>0</v>
      </c>
      <c r="Y188" s="405"/>
      <c r="Z188" s="400"/>
    </row>
    <row r="189" spans="22:26" ht="12.75" customHeight="1">
      <c r="V189" s="400"/>
      <c r="W189" s="403" t="s">
        <v>243</v>
      </c>
      <c r="X189" s="406">
        <f>+AU164</f>
        <v>0</v>
      </c>
      <c r="Y189" s="405"/>
      <c r="Z189" s="400"/>
    </row>
    <row r="190" spans="22:26" ht="12.75" customHeight="1">
      <c r="V190" s="400"/>
      <c r="W190" s="403" t="s">
        <v>306</v>
      </c>
      <c r="X190" s="406">
        <f>+AW164</f>
        <v>0</v>
      </c>
      <c r="Y190" s="405"/>
      <c r="Z190" s="400"/>
    </row>
    <row r="191" spans="22:26" ht="12.75" customHeight="1">
      <c r="V191" s="400"/>
      <c r="W191" s="403" t="s">
        <v>307</v>
      </c>
      <c r="X191" s="406">
        <f>+AV164</f>
        <v>0</v>
      </c>
      <c r="Y191" s="405"/>
      <c r="Z191" s="400"/>
    </row>
    <row r="192" spans="22:26" ht="12.75" customHeight="1">
      <c r="V192" s="400"/>
      <c r="W192" s="400" t="s">
        <v>162</v>
      </c>
      <c r="X192" s="406">
        <f>+AX164+AY164</f>
        <v>0</v>
      </c>
      <c r="Y192" s="406"/>
      <c r="Z192" s="400"/>
    </row>
    <row r="193" spans="22:26" ht="12.75" customHeight="1">
      <c r="V193" s="400"/>
      <c r="W193" s="400" t="s">
        <v>305</v>
      </c>
      <c r="X193" s="406">
        <f>+AZ165</f>
        <v>0</v>
      </c>
      <c r="Y193" s="400"/>
      <c r="Z193" s="400"/>
    </row>
    <row r="194" spans="22:26" ht="12.75" customHeight="1">
      <c r="V194" s="400"/>
      <c r="W194" s="400"/>
      <c r="X194" s="532">
        <f>SUM(X171:X193)</f>
        <v>0.12320736167024529</v>
      </c>
      <c r="Y194" s="400"/>
      <c r="Z194" s="400"/>
    </row>
    <row r="195" spans="22:26" ht="12.75" customHeight="1"/>
    <row r="196" spans="22:26" ht="12.75" customHeight="1">
      <c r="X196" s="94">
        <f>+X194+X163</f>
        <v>0.99999999999999989</v>
      </c>
    </row>
    <row r="197" spans="22:26" ht="12.75" customHeight="1"/>
    <row r="198" spans="22:26" ht="12.75" customHeight="1"/>
    <row r="199" spans="22:26" ht="12.75" customHeight="1"/>
    <row r="200" spans="22:26" ht="12.75" customHeight="1"/>
    <row r="201" spans="22:26" ht="12.75" customHeight="1"/>
    <row r="202" spans="22:26" ht="12.75" customHeight="1"/>
    <row r="203" spans="22:26" ht="12.75" customHeight="1"/>
    <row r="204" spans="22:26" ht="12.75" customHeight="1"/>
    <row r="205" spans="22:26" ht="12.75" customHeight="1"/>
    <row r="206" spans="22:26" ht="12.75" customHeight="1"/>
    <row r="207" spans="22:26" ht="12.75" customHeight="1"/>
    <row r="208" spans="22:26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64:P164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64 B162:B164 C162">
    <cfRule type="cellIs" dxfId="12291" priority="21778" stopIfTrue="1" operator="equal">
      <formula>"Towel"</formula>
    </cfRule>
    <cfRule type="cellIs" dxfId="12290" priority="21779" stopIfTrue="1" operator="equal">
      <formula>"Napkin Hs"</formula>
    </cfRule>
  </conditionalFormatting>
  <conditionalFormatting sqref="B129:C130 B140:C140">
    <cfRule type="cellIs" dxfId="12289" priority="19262" stopIfTrue="1" operator="equal">
      <formula>"Towel"</formula>
    </cfRule>
    <cfRule type="cellIs" dxfId="12288" priority="19263" stopIfTrue="1" operator="equal">
      <formula>"Napkin Hs"</formula>
    </cfRule>
  </conditionalFormatting>
  <conditionalFormatting sqref="C129:C130 C140">
    <cfRule type="cellIs" dxfId="12287" priority="19261" stopIfTrue="1" operator="equal">
      <formula>"Napkin Hs"</formula>
    </cfRule>
  </conditionalFormatting>
  <conditionalFormatting sqref="C129:C130 C140">
    <cfRule type="cellIs" dxfId="12286" priority="19260" stopIfTrue="1" operator="equal">
      <formula>"Towel"</formula>
    </cfRule>
  </conditionalFormatting>
  <conditionalFormatting sqref="C129:C130 C140">
    <cfRule type="cellIs" dxfId="12285" priority="19136" stopIfTrue="1" operator="equal">
      <formula>"Towel"</formula>
    </cfRule>
    <cfRule type="cellIs" dxfId="12284" priority="19137" stopIfTrue="1" operator="equal">
      <formula>"Napkin Hs"</formula>
    </cfRule>
  </conditionalFormatting>
  <conditionalFormatting sqref="B112:C112">
    <cfRule type="cellIs" dxfId="12283" priority="18224" stopIfTrue="1" operator="equal">
      <formula>"Towel"</formula>
    </cfRule>
    <cfRule type="cellIs" dxfId="12282" priority="18225" stopIfTrue="1" operator="equal">
      <formula>"Napkin Hs"</formula>
    </cfRule>
  </conditionalFormatting>
  <conditionalFormatting sqref="C112">
    <cfRule type="cellIs" dxfId="12281" priority="18226" stopIfTrue="1" operator="equal">
      <formula>"Towel"</formula>
    </cfRule>
    <cfRule type="cellIs" dxfId="12280" priority="18227" stopIfTrue="1" operator="equal">
      <formula>"Napkin Hs"</formula>
    </cfRule>
  </conditionalFormatting>
  <conditionalFormatting sqref="C112">
    <cfRule type="cellIs" dxfId="12279" priority="18222" stopIfTrue="1" operator="equal">
      <formula>"Towel"</formula>
    </cfRule>
    <cfRule type="cellIs" dxfId="12278" priority="18223" stopIfTrue="1" operator="equal">
      <formula>"Napkin Hs"</formula>
    </cfRule>
  </conditionalFormatting>
  <conditionalFormatting sqref="B112:C112">
    <cfRule type="cellIs" dxfId="12277" priority="18196" stopIfTrue="1" operator="equal">
      <formula>"Towel"</formula>
    </cfRule>
    <cfRule type="cellIs" dxfId="12276" priority="18197" stopIfTrue="1" operator="equal">
      <formula>"Napkin Hs"</formula>
    </cfRule>
  </conditionalFormatting>
  <conditionalFormatting sqref="C112">
    <cfRule type="cellIs" dxfId="12275" priority="18194" stopIfTrue="1" operator="equal">
      <formula>"Towel"</formula>
    </cfRule>
    <cfRule type="cellIs" dxfId="12274" priority="18195" stopIfTrue="1" operator="equal">
      <formula>"Napkin Hs"</formula>
    </cfRule>
  </conditionalFormatting>
  <conditionalFormatting sqref="C112">
    <cfRule type="cellIs" dxfId="12273" priority="18192" stopIfTrue="1" operator="equal">
      <formula>"Towel"</formula>
    </cfRule>
    <cfRule type="cellIs" dxfId="12272" priority="18193" stopIfTrue="1" operator="equal">
      <formula>"Napkin Hs"</formula>
    </cfRule>
  </conditionalFormatting>
  <conditionalFormatting sqref="B134:C135">
    <cfRule type="cellIs" dxfId="12271" priority="17834" stopIfTrue="1" operator="equal">
      <formula>"Towel"</formula>
    </cfRule>
    <cfRule type="cellIs" dxfId="12270" priority="17835" stopIfTrue="1" operator="equal">
      <formula>"Napkin Hs"</formula>
    </cfRule>
  </conditionalFormatting>
  <conditionalFormatting sqref="C134:C135">
    <cfRule type="cellIs" dxfId="12269" priority="17833" stopIfTrue="1" operator="equal">
      <formula>"Napkin Hs"</formula>
    </cfRule>
  </conditionalFormatting>
  <conditionalFormatting sqref="C134:C135">
    <cfRule type="cellIs" dxfId="12268" priority="17832" stopIfTrue="1" operator="equal">
      <formula>"Towel"</formula>
    </cfRule>
  </conditionalFormatting>
  <conditionalFormatting sqref="C134:C135">
    <cfRule type="cellIs" dxfId="12267" priority="17830" stopIfTrue="1" operator="equal">
      <formula>"Towel"</formula>
    </cfRule>
    <cfRule type="cellIs" dxfId="12266" priority="17831" stopIfTrue="1" operator="equal">
      <formula>"Napkin Hs"</formula>
    </cfRule>
  </conditionalFormatting>
  <conditionalFormatting sqref="B133:C133">
    <cfRule type="cellIs" dxfId="12265" priority="17828" stopIfTrue="1" operator="equal">
      <formula>"Towel"</formula>
    </cfRule>
    <cfRule type="cellIs" dxfId="12264" priority="17829" stopIfTrue="1" operator="equal">
      <formula>"Napkin Hs"</formula>
    </cfRule>
  </conditionalFormatting>
  <conditionalFormatting sqref="C133">
    <cfRule type="cellIs" dxfId="12263" priority="17808" stopIfTrue="1" operator="equal">
      <formula>"Towel"</formula>
    </cfRule>
    <cfRule type="cellIs" dxfId="12262" priority="17809" stopIfTrue="1" operator="equal">
      <formula>"Napkin Hs"</formula>
    </cfRule>
  </conditionalFormatting>
  <conditionalFormatting sqref="B133:C133">
    <cfRule type="cellIs" dxfId="12261" priority="17806" stopIfTrue="1" operator="equal">
      <formula>"Towel"</formula>
    </cfRule>
    <cfRule type="cellIs" dxfId="12260" priority="17807" stopIfTrue="1" operator="equal">
      <formula>"Napkin Hs"</formula>
    </cfRule>
  </conditionalFormatting>
  <conditionalFormatting sqref="B131:C131">
    <cfRule type="cellIs" dxfId="12259" priority="17804" stopIfTrue="1" operator="equal">
      <formula>"Towel"</formula>
    </cfRule>
    <cfRule type="cellIs" dxfId="12258" priority="17805" stopIfTrue="1" operator="equal">
      <formula>"Napkin Hs"</formula>
    </cfRule>
  </conditionalFormatting>
  <conditionalFormatting sqref="C131">
    <cfRule type="cellIs" dxfId="12257" priority="17802" stopIfTrue="1" operator="equal">
      <formula>"Towel"</formula>
    </cfRule>
    <cfRule type="cellIs" dxfId="12256" priority="17803" stopIfTrue="1" operator="equal">
      <formula>"Napkin Hs"</formula>
    </cfRule>
  </conditionalFormatting>
  <conditionalFormatting sqref="C131">
    <cfRule type="cellIs" dxfId="12255" priority="17800" stopIfTrue="1" operator="equal">
      <formula>"Towel"</formula>
    </cfRule>
    <cfRule type="cellIs" dxfId="12254" priority="17801" stopIfTrue="1" operator="equal">
      <formula>"Napkin Hs"</formula>
    </cfRule>
  </conditionalFormatting>
  <conditionalFormatting sqref="B131:C131">
    <cfRule type="cellIs" dxfId="12253" priority="17798" stopIfTrue="1" operator="equal">
      <formula>"Towel"</formula>
    </cfRule>
    <cfRule type="cellIs" dxfId="12252" priority="17799" stopIfTrue="1" operator="equal">
      <formula>"Napkin Hs"</formula>
    </cfRule>
  </conditionalFormatting>
  <conditionalFormatting sqref="C131">
    <cfRule type="cellIs" dxfId="12251" priority="17796" stopIfTrue="1" operator="equal">
      <formula>"Towel"</formula>
    </cfRule>
    <cfRule type="cellIs" dxfId="12250" priority="17797" stopIfTrue="1" operator="equal">
      <formula>"Napkin Hs"</formula>
    </cfRule>
  </conditionalFormatting>
  <conditionalFormatting sqref="C131">
    <cfRule type="cellIs" dxfId="12249" priority="17794" stopIfTrue="1" operator="equal">
      <formula>"Towel"</formula>
    </cfRule>
    <cfRule type="cellIs" dxfId="12248" priority="17795" stopIfTrue="1" operator="equal">
      <formula>"Napkin Hs"</formula>
    </cfRule>
  </conditionalFormatting>
  <conditionalFormatting sqref="C131">
    <cfRule type="cellIs" dxfId="12247" priority="17786" stopIfTrue="1" operator="equal">
      <formula>"Towel"</formula>
    </cfRule>
    <cfRule type="cellIs" dxfId="12246" priority="17787" stopIfTrue="1" operator="equal">
      <formula>"Napkin Hs"</formula>
    </cfRule>
  </conditionalFormatting>
  <conditionalFormatting sqref="B131:C131">
    <cfRule type="cellIs" dxfId="12245" priority="17788" stopIfTrue="1" operator="equal">
      <formula>"Towel"</formula>
    </cfRule>
    <cfRule type="cellIs" dxfId="12244" priority="17789" stopIfTrue="1" operator="equal">
      <formula>"Napkin Hs"</formula>
    </cfRule>
  </conditionalFormatting>
  <conditionalFormatting sqref="C131">
    <cfRule type="cellIs" dxfId="12243" priority="17784" stopIfTrue="1" operator="equal">
      <formula>"Towel"</formula>
    </cfRule>
    <cfRule type="cellIs" dxfId="12242" priority="17785" stopIfTrue="1" operator="equal">
      <formula>"Napkin Hs"</formula>
    </cfRule>
  </conditionalFormatting>
  <conditionalFormatting sqref="B131:C131">
    <cfRule type="cellIs" dxfId="12241" priority="17782" stopIfTrue="1" operator="equal">
      <formula>"Towel"</formula>
    </cfRule>
    <cfRule type="cellIs" dxfId="12240" priority="17783" stopIfTrue="1" operator="equal">
      <formula>"Napkin Hs"</formula>
    </cfRule>
  </conditionalFormatting>
  <conditionalFormatting sqref="C131">
    <cfRule type="cellIs" dxfId="12239" priority="17790" stopIfTrue="1" operator="equal">
      <formula>"Towel"</formula>
    </cfRule>
    <cfRule type="cellIs" dxfId="12238" priority="17791" stopIfTrue="1" operator="equal">
      <formula>"Napkin Hs"</formula>
    </cfRule>
  </conditionalFormatting>
  <conditionalFormatting sqref="C131">
    <cfRule type="cellIs" dxfId="12237" priority="17792" stopIfTrue="1" operator="equal">
      <formula>"Towel"</formula>
    </cfRule>
    <cfRule type="cellIs" dxfId="12236" priority="17793" stopIfTrue="1" operator="equal">
      <formula>"Napkin Hs"</formula>
    </cfRule>
  </conditionalFormatting>
  <conditionalFormatting sqref="C133">
    <cfRule type="cellIs" dxfId="12235" priority="17824" stopIfTrue="1" operator="equal">
      <formula>"Towel"</formula>
    </cfRule>
    <cfRule type="cellIs" dxfId="12234" priority="17825" stopIfTrue="1" operator="equal">
      <formula>"Napkin Hs"</formula>
    </cfRule>
  </conditionalFormatting>
  <conditionalFormatting sqref="C133">
    <cfRule type="cellIs" dxfId="12233" priority="17826" stopIfTrue="1" operator="equal">
      <formula>"Towel"</formula>
    </cfRule>
    <cfRule type="cellIs" dxfId="12232" priority="17827" stopIfTrue="1" operator="equal">
      <formula>"Napkin Hs"</formula>
    </cfRule>
  </conditionalFormatting>
  <conditionalFormatting sqref="B133:C133">
    <cfRule type="cellIs" dxfId="12231" priority="17822" stopIfTrue="1" operator="equal">
      <formula>"Towel"</formula>
    </cfRule>
    <cfRule type="cellIs" dxfId="12230" priority="17823" stopIfTrue="1" operator="equal">
      <formula>"Napkin Hs"</formula>
    </cfRule>
  </conditionalFormatting>
  <conditionalFormatting sqref="C133">
    <cfRule type="cellIs" dxfId="12229" priority="17820" stopIfTrue="1" operator="equal">
      <formula>"Towel"</formula>
    </cfRule>
    <cfRule type="cellIs" dxfId="12228" priority="17821" stopIfTrue="1" operator="equal">
      <formula>"Napkin Hs"</formula>
    </cfRule>
  </conditionalFormatting>
  <conditionalFormatting sqref="C133">
    <cfRule type="cellIs" dxfId="12227" priority="17818" stopIfTrue="1" operator="equal">
      <formula>"Towel"</formula>
    </cfRule>
    <cfRule type="cellIs" dxfId="12226" priority="17819" stopIfTrue="1" operator="equal">
      <formula>"Napkin Hs"</formula>
    </cfRule>
  </conditionalFormatting>
  <conditionalFormatting sqref="C133">
    <cfRule type="cellIs" dxfId="12225" priority="17810" stopIfTrue="1" operator="equal">
      <formula>"Towel"</formula>
    </cfRule>
    <cfRule type="cellIs" dxfId="12224" priority="17811" stopIfTrue="1" operator="equal">
      <formula>"Napkin Hs"</formula>
    </cfRule>
  </conditionalFormatting>
  <conditionalFormatting sqref="B133:C133">
    <cfRule type="cellIs" dxfId="12223" priority="17812" stopIfTrue="1" operator="equal">
      <formula>"Towel"</formula>
    </cfRule>
    <cfRule type="cellIs" dxfId="12222" priority="17813" stopIfTrue="1" operator="equal">
      <formula>"Napkin Hs"</formula>
    </cfRule>
  </conditionalFormatting>
  <conditionalFormatting sqref="C133">
    <cfRule type="cellIs" dxfId="12221" priority="17814" stopIfTrue="1" operator="equal">
      <formula>"Towel"</formula>
    </cfRule>
    <cfRule type="cellIs" dxfId="12220" priority="17815" stopIfTrue="1" operator="equal">
      <formula>"Napkin Hs"</formula>
    </cfRule>
  </conditionalFormatting>
  <conditionalFormatting sqref="C133">
    <cfRule type="cellIs" dxfId="12219" priority="17816" stopIfTrue="1" operator="equal">
      <formula>"Towel"</formula>
    </cfRule>
    <cfRule type="cellIs" dxfId="12218" priority="17817" stopIfTrue="1" operator="equal">
      <formula>"Napkin Hs"</formula>
    </cfRule>
  </conditionalFormatting>
  <conditionalFormatting sqref="B132:C132">
    <cfRule type="cellIs" dxfId="12217" priority="17780" stopIfTrue="1" operator="equal">
      <formula>"Towel"</formula>
    </cfRule>
    <cfRule type="cellIs" dxfId="12216" priority="17781" stopIfTrue="1" operator="equal">
      <formula>"Napkin Hs"</formula>
    </cfRule>
  </conditionalFormatting>
  <conditionalFormatting sqref="C132">
    <cfRule type="cellIs" dxfId="12215" priority="17776" stopIfTrue="1" operator="equal">
      <formula>"Towel"</formula>
    </cfRule>
    <cfRule type="cellIs" dxfId="12214" priority="17777" stopIfTrue="1" operator="equal">
      <formula>"Napkin Hs"</formula>
    </cfRule>
  </conditionalFormatting>
  <conditionalFormatting sqref="C132">
    <cfRule type="cellIs" dxfId="12213" priority="17778" stopIfTrue="1" operator="equal">
      <formula>"Towel"</formula>
    </cfRule>
    <cfRule type="cellIs" dxfId="12212" priority="17779" stopIfTrue="1" operator="equal">
      <formula>"Napkin Hs"</formula>
    </cfRule>
  </conditionalFormatting>
  <conditionalFormatting sqref="B132:C132">
    <cfRule type="cellIs" dxfId="12211" priority="17774" stopIfTrue="1" operator="equal">
      <formula>"Towel"</formula>
    </cfRule>
    <cfRule type="cellIs" dxfId="12210" priority="17775" stopIfTrue="1" operator="equal">
      <formula>"Napkin Hs"</formula>
    </cfRule>
  </conditionalFormatting>
  <conditionalFormatting sqref="C132">
    <cfRule type="cellIs" dxfId="12209" priority="17772" stopIfTrue="1" operator="equal">
      <formula>"Towel"</formula>
    </cfRule>
    <cfRule type="cellIs" dxfId="12208" priority="17773" stopIfTrue="1" operator="equal">
      <formula>"Napkin Hs"</formula>
    </cfRule>
  </conditionalFormatting>
  <conditionalFormatting sqref="C132">
    <cfRule type="cellIs" dxfId="12207" priority="17770" stopIfTrue="1" operator="equal">
      <formula>"Towel"</formula>
    </cfRule>
    <cfRule type="cellIs" dxfId="12206" priority="17771" stopIfTrue="1" operator="equal">
      <formula>"Napkin Hs"</formula>
    </cfRule>
  </conditionalFormatting>
  <conditionalFormatting sqref="C132">
    <cfRule type="cellIs" dxfId="12205" priority="17762" stopIfTrue="1" operator="equal">
      <formula>"Towel"</formula>
    </cfRule>
    <cfRule type="cellIs" dxfId="12204" priority="17763" stopIfTrue="1" operator="equal">
      <formula>"Napkin Hs"</formula>
    </cfRule>
  </conditionalFormatting>
  <conditionalFormatting sqref="B132:C132">
    <cfRule type="cellIs" dxfId="12203" priority="17764" stopIfTrue="1" operator="equal">
      <formula>"Towel"</formula>
    </cfRule>
    <cfRule type="cellIs" dxfId="12202" priority="17765" stopIfTrue="1" operator="equal">
      <formula>"Napkin Hs"</formula>
    </cfRule>
  </conditionalFormatting>
  <conditionalFormatting sqref="C132">
    <cfRule type="cellIs" dxfId="12201" priority="17760" stopIfTrue="1" operator="equal">
      <formula>"Towel"</formula>
    </cfRule>
    <cfRule type="cellIs" dxfId="12200" priority="17761" stopIfTrue="1" operator="equal">
      <formula>"Napkin Hs"</formula>
    </cfRule>
  </conditionalFormatting>
  <conditionalFormatting sqref="B132:C132">
    <cfRule type="cellIs" dxfId="12199" priority="17758" stopIfTrue="1" operator="equal">
      <formula>"Towel"</formula>
    </cfRule>
    <cfRule type="cellIs" dxfId="12198" priority="17759" stopIfTrue="1" operator="equal">
      <formula>"Napkin Hs"</formula>
    </cfRule>
  </conditionalFormatting>
  <conditionalFormatting sqref="C132">
    <cfRule type="cellIs" dxfId="12197" priority="17766" stopIfTrue="1" operator="equal">
      <formula>"Towel"</formula>
    </cfRule>
    <cfRule type="cellIs" dxfId="12196" priority="17767" stopIfTrue="1" operator="equal">
      <formula>"Napkin Hs"</formula>
    </cfRule>
  </conditionalFormatting>
  <conditionalFormatting sqref="C132">
    <cfRule type="cellIs" dxfId="12195" priority="17768" stopIfTrue="1" operator="equal">
      <formula>"Towel"</formula>
    </cfRule>
    <cfRule type="cellIs" dxfId="12194" priority="17769" stopIfTrue="1" operator="equal">
      <formula>"Napkin Hs"</formula>
    </cfRule>
  </conditionalFormatting>
  <conditionalFormatting sqref="B139:C139">
    <cfRule type="cellIs" dxfId="12193" priority="17756" stopIfTrue="1" operator="equal">
      <formula>"Towel"</formula>
    </cfRule>
    <cfRule type="cellIs" dxfId="12192" priority="17757" stopIfTrue="1" operator="equal">
      <formula>"Napkin Hs"</formula>
    </cfRule>
  </conditionalFormatting>
  <conditionalFormatting sqref="C139">
    <cfRule type="cellIs" dxfId="12191" priority="17755" stopIfTrue="1" operator="equal">
      <formula>"Napkin Hs"</formula>
    </cfRule>
  </conditionalFormatting>
  <conditionalFormatting sqref="C139">
    <cfRule type="cellIs" dxfId="12190" priority="17754" stopIfTrue="1" operator="equal">
      <formula>"Towel"</formula>
    </cfRule>
  </conditionalFormatting>
  <conditionalFormatting sqref="C139">
    <cfRule type="cellIs" dxfId="12189" priority="17752" stopIfTrue="1" operator="equal">
      <formula>"Towel"</formula>
    </cfRule>
    <cfRule type="cellIs" dxfId="12188" priority="17753" stopIfTrue="1" operator="equal">
      <formula>"Napkin Hs"</formula>
    </cfRule>
  </conditionalFormatting>
  <conditionalFormatting sqref="B138:C138">
    <cfRule type="cellIs" dxfId="12187" priority="17750" stopIfTrue="1" operator="equal">
      <formula>"Towel"</formula>
    </cfRule>
    <cfRule type="cellIs" dxfId="12186" priority="17751" stopIfTrue="1" operator="equal">
      <formula>"Napkin Hs"</formula>
    </cfRule>
  </conditionalFormatting>
  <conditionalFormatting sqref="C138">
    <cfRule type="cellIs" dxfId="12185" priority="17730" stopIfTrue="1" operator="equal">
      <formula>"Towel"</formula>
    </cfRule>
    <cfRule type="cellIs" dxfId="12184" priority="17731" stopIfTrue="1" operator="equal">
      <formula>"Napkin Hs"</formula>
    </cfRule>
  </conditionalFormatting>
  <conditionalFormatting sqref="B138:C138">
    <cfRule type="cellIs" dxfId="12183" priority="17728" stopIfTrue="1" operator="equal">
      <formula>"Towel"</formula>
    </cfRule>
    <cfRule type="cellIs" dxfId="12182" priority="17729" stopIfTrue="1" operator="equal">
      <formula>"Napkin Hs"</formula>
    </cfRule>
  </conditionalFormatting>
  <conditionalFormatting sqref="C138">
    <cfRule type="cellIs" dxfId="12181" priority="17746" stopIfTrue="1" operator="equal">
      <formula>"Towel"</formula>
    </cfRule>
    <cfRule type="cellIs" dxfId="12180" priority="17747" stopIfTrue="1" operator="equal">
      <formula>"Napkin Hs"</formula>
    </cfRule>
  </conditionalFormatting>
  <conditionalFormatting sqref="C138">
    <cfRule type="cellIs" dxfId="12179" priority="17748" stopIfTrue="1" operator="equal">
      <formula>"Towel"</formula>
    </cfRule>
    <cfRule type="cellIs" dxfId="12178" priority="17749" stopIfTrue="1" operator="equal">
      <formula>"Napkin Hs"</formula>
    </cfRule>
  </conditionalFormatting>
  <conditionalFormatting sqref="B138:C138">
    <cfRule type="cellIs" dxfId="12177" priority="17744" stopIfTrue="1" operator="equal">
      <formula>"Towel"</formula>
    </cfRule>
    <cfRule type="cellIs" dxfId="12176" priority="17745" stopIfTrue="1" operator="equal">
      <formula>"Napkin Hs"</formula>
    </cfRule>
  </conditionalFormatting>
  <conditionalFormatting sqref="C138">
    <cfRule type="cellIs" dxfId="12175" priority="17742" stopIfTrue="1" operator="equal">
      <formula>"Towel"</formula>
    </cfRule>
    <cfRule type="cellIs" dxfId="12174" priority="17743" stopIfTrue="1" operator="equal">
      <formula>"Napkin Hs"</formula>
    </cfRule>
  </conditionalFormatting>
  <conditionalFormatting sqref="C138">
    <cfRule type="cellIs" dxfId="12173" priority="17740" stopIfTrue="1" operator="equal">
      <formula>"Towel"</formula>
    </cfRule>
    <cfRule type="cellIs" dxfId="12172" priority="17741" stopIfTrue="1" operator="equal">
      <formula>"Napkin Hs"</formula>
    </cfRule>
  </conditionalFormatting>
  <conditionalFormatting sqref="C138">
    <cfRule type="cellIs" dxfId="12171" priority="17732" stopIfTrue="1" operator="equal">
      <formula>"Towel"</formula>
    </cfRule>
    <cfRule type="cellIs" dxfId="12170" priority="17733" stopIfTrue="1" operator="equal">
      <formula>"Napkin Hs"</formula>
    </cfRule>
  </conditionalFormatting>
  <conditionalFormatting sqref="B138:C138">
    <cfRule type="cellIs" dxfId="12169" priority="17734" stopIfTrue="1" operator="equal">
      <formula>"Towel"</formula>
    </cfRule>
    <cfRule type="cellIs" dxfId="12168" priority="17735" stopIfTrue="1" operator="equal">
      <formula>"Napkin Hs"</formula>
    </cfRule>
  </conditionalFormatting>
  <conditionalFormatting sqref="C138">
    <cfRule type="cellIs" dxfId="12167" priority="17736" stopIfTrue="1" operator="equal">
      <formula>"Towel"</formula>
    </cfRule>
    <cfRule type="cellIs" dxfId="12166" priority="17737" stopIfTrue="1" operator="equal">
      <formula>"Napkin Hs"</formula>
    </cfRule>
  </conditionalFormatting>
  <conditionalFormatting sqref="C138">
    <cfRule type="cellIs" dxfId="12165" priority="17738" stopIfTrue="1" operator="equal">
      <formula>"Towel"</formula>
    </cfRule>
    <cfRule type="cellIs" dxfId="12164" priority="17739" stopIfTrue="1" operator="equal">
      <formula>"Napkin Hs"</formula>
    </cfRule>
  </conditionalFormatting>
  <conditionalFormatting sqref="B137:C137">
    <cfRule type="cellIs" dxfId="12163" priority="17726" stopIfTrue="1" operator="equal">
      <formula>"Towel"</formula>
    </cfRule>
    <cfRule type="cellIs" dxfId="12162" priority="17727" stopIfTrue="1" operator="equal">
      <formula>"Napkin Hs"</formula>
    </cfRule>
  </conditionalFormatting>
  <conditionalFormatting sqref="C137">
    <cfRule type="cellIs" dxfId="12161" priority="17722" stopIfTrue="1" operator="equal">
      <formula>"Towel"</formula>
    </cfRule>
    <cfRule type="cellIs" dxfId="12160" priority="17723" stopIfTrue="1" operator="equal">
      <formula>"Napkin Hs"</formula>
    </cfRule>
  </conditionalFormatting>
  <conditionalFormatting sqref="C137">
    <cfRule type="cellIs" dxfId="12159" priority="17724" stopIfTrue="1" operator="equal">
      <formula>"Towel"</formula>
    </cfRule>
    <cfRule type="cellIs" dxfId="12158" priority="17725" stopIfTrue="1" operator="equal">
      <formula>"Napkin Hs"</formula>
    </cfRule>
  </conditionalFormatting>
  <conditionalFormatting sqref="B137:C137">
    <cfRule type="cellIs" dxfId="12157" priority="17720" stopIfTrue="1" operator="equal">
      <formula>"Towel"</formula>
    </cfRule>
    <cfRule type="cellIs" dxfId="12156" priority="17721" stopIfTrue="1" operator="equal">
      <formula>"Napkin Hs"</formula>
    </cfRule>
  </conditionalFormatting>
  <conditionalFormatting sqref="C137">
    <cfRule type="cellIs" dxfId="12155" priority="17718" stopIfTrue="1" operator="equal">
      <formula>"Towel"</formula>
    </cfRule>
    <cfRule type="cellIs" dxfId="12154" priority="17719" stopIfTrue="1" operator="equal">
      <formula>"Napkin Hs"</formula>
    </cfRule>
  </conditionalFormatting>
  <conditionalFormatting sqref="C137">
    <cfRule type="cellIs" dxfId="12153" priority="17716" stopIfTrue="1" operator="equal">
      <formula>"Towel"</formula>
    </cfRule>
    <cfRule type="cellIs" dxfId="12152" priority="17717" stopIfTrue="1" operator="equal">
      <formula>"Napkin Hs"</formula>
    </cfRule>
  </conditionalFormatting>
  <conditionalFormatting sqref="C137">
    <cfRule type="cellIs" dxfId="12151" priority="17708" stopIfTrue="1" operator="equal">
      <formula>"Towel"</formula>
    </cfRule>
    <cfRule type="cellIs" dxfId="12150" priority="17709" stopIfTrue="1" operator="equal">
      <formula>"Napkin Hs"</formula>
    </cfRule>
  </conditionalFormatting>
  <conditionalFormatting sqref="B137:C137">
    <cfRule type="cellIs" dxfId="12149" priority="17710" stopIfTrue="1" operator="equal">
      <formula>"Towel"</formula>
    </cfRule>
    <cfRule type="cellIs" dxfId="12148" priority="17711" stopIfTrue="1" operator="equal">
      <formula>"Napkin Hs"</formula>
    </cfRule>
  </conditionalFormatting>
  <conditionalFormatting sqref="C137">
    <cfRule type="cellIs" dxfId="12147" priority="17706" stopIfTrue="1" operator="equal">
      <formula>"Towel"</formula>
    </cfRule>
    <cfRule type="cellIs" dxfId="12146" priority="17707" stopIfTrue="1" operator="equal">
      <formula>"Napkin Hs"</formula>
    </cfRule>
  </conditionalFormatting>
  <conditionalFormatting sqref="B137:C137">
    <cfRule type="cellIs" dxfId="12145" priority="17704" stopIfTrue="1" operator="equal">
      <formula>"Towel"</formula>
    </cfRule>
    <cfRule type="cellIs" dxfId="12144" priority="17705" stopIfTrue="1" operator="equal">
      <formula>"Napkin Hs"</formula>
    </cfRule>
  </conditionalFormatting>
  <conditionalFormatting sqref="C137">
    <cfRule type="cellIs" dxfId="12143" priority="17712" stopIfTrue="1" operator="equal">
      <formula>"Towel"</formula>
    </cfRule>
    <cfRule type="cellIs" dxfId="12142" priority="17713" stopIfTrue="1" operator="equal">
      <formula>"Napkin Hs"</formula>
    </cfRule>
  </conditionalFormatting>
  <conditionalFormatting sqref="C137">
    <cfRule type="cellIs" dxfId="12141" priority="17714" stopIfTrue="1" operator="equal">
      <formula>"Towel"</formula>
    </cfRule>
    <cfRule type="cellIs" dxfId="12140" priority="17715" stopIfTrue="1" operator="equal">
      <formula>"Napkin Hs"</formula>
    </cfRule>
  </conditionalFormatting>
  <conditionalFormatting sqref="B136:C136">
    <cfRule type="cellIs" dxfId="12139" priority="17672" stopIfTrue="1" operator="equal">
      <formula>"Towel"</formula>
    </cfRule>
    <cfRule type="cellIs" dxfId="12138" priority="17673" stopIfTrue="1" operator="equal">
      <formula>"Napkin Hs"</formula>
    </cfRule>
  </conditionalFormatting>
  <conditionalFormatting sqref="C136">
    <cfRule type="cellIs" dxfId="12137" priority="17670" stopIfTrue="1" operator="equal">
      <formula>"Towel"</formula>
    </cfRule>
    <cfRule type="cellIs" dxfId="12136" priority="17671" stopIfTrue="1" operator="equal">
      <formula>"Napkin Hs"</formula>
    </cfRule>
  </conditionalFormatting>
  <conditionalFormatting sqref="C136">
    <cfRule type="cellIs" dxfId="12135" priority="17668" stopIfTrue="1" operator="equal">
      <formula>"Towel"</formula>
    </cfRule>
    <cfRule type="cellIs" dxfId="12134" priority="17669" stopIfTrue="1" operator="equal">
      <formula>"Napkin Hs"</formula>
    </cfRule>
  </conditionalFormatting>
  <conditionalFormatting sqref="B136:C136">
    <cfRule type="cellIs" dxfId="12133" priority="17666" stopIfTrue="1" operator="equal">
      <formula>"Towel"</formula>
    </cfRule>
    <cfRule type="cellIs" dxfId="12132" priority="17667" stopIfTrue="1" operator="equal">
      <formula>"Napkin Hs"</formula>
    </cfRule>
  </conditionalFormatting>
  <conditionalFormatting sqref="C136">
    <cfRule type="cellIs" dxfId="12131" priority="17664" stopIfTrue="1" operator="equal">
      <formula>"Towel"</formula>
    </cfRule>
    <cfRule type="cellIs" dxfId="12130" priority="17665" stopIfTrue="1" operator="equal">
      <formula>"Napkin Hs"</formula>
    </cfRule>
  </conditionalFormatting>
  <conditionalFormatting sqref="C136">
    <cfRule type="cellIs" dxfId="12129" priority="17662" stopIfTrue="1" operator="equal">
      <formula>"Towel"</formula>
    </cfRule>
    <cfRule type="cellIs" dxfId="12128" priority="17663" stopIfTrue="1" operator="equal">
      <formula>"Napkin Hs"</formula>
    </cfRule>
  </conditionalFormatting>
  <conditionalFormatting sqref="C136">
    <cfRule type="cellIs" dxfId="12127" priority="17654" stopIfTrue="1" operator="equal">
      <formula>"Towel"</formula>
    </cfRule>
    <cfRule type="cellIs" dxfId="12126" priority="17655" stopIfTrue="1" operator="equal">
      <formula>"Napkin Hs"</formula>
    </cfRule>
  </conditionalFormatting>
  <conditionalFormatting sqref="B136:C136">
    <cfRule type="cellIs" dxfId="12125" priority="17656" stopIfTrue="1" operator="equal">
      <formula>"Towel"</formula>
    </cfRule>
    <cfRule type="cellIs" dxfId="12124" priority="17657" stopIfTrue="1" operator="equal">
      <formula>"Napkin Hs"</formula>
    </cfRule>
  </conditionalFormatting>
  <conditionalFormatting sqref="C136">
    <cfRule type="cellIs" dxfId="12123" priority="17652" stopIfTrue="1" operator="equal">
      <formula>"Towel"</formula>
    </cfRule>
    <cfRule type="cellIs" dxfId="12122" priority="17653" stopIfTrue="1" operator="equal">
      <formula>"Napkin Hs"</formula>
    </cfRule>
  </conditionalFormatting>
  <conditionalFormatting sqref="B136:C136">
    <cfRule type="cellIs" dxfId="12121" priority="17650" stopIfTrue="1" operator="equal">
      <formula>"Towel"</formula>
    </cfRule>
    <cfRule type="cellIs" dxfId="12120" priority="17651" stopIfTrue="1" operator="equal">
      <formula>"Napkin Hs"</formula>
    </cfRule>
  </conditionalFormatting>
  <conditionalFormatting sqref="C136">
    <cfRule type="cellIs" dxfId="12119" priority="17658" stopIfTrue="1" operator="equal">
      <formula>"Towel"</formula>
    </cfRule>
    <cfRule type="cellIs" dxfId="12118" priority="17659" stopIfTrue="1" operator="equal">
      <formula>"Napkin Hs"</formula>
    </cfRule>
  </conditionalFormatting>
  <conditionalFormatting sqref="C136">
    <cfRule type="cellIs" dxfId="12117" priority="17660" stopIfTrue="1" operator="equal">
      <formula>"Towel"</formula>
    </cfRule>
    <cfRule type="cellIs" dxfId="12116" priority="17661" stopIfTrue="1" operator="equal">
      <formula>"Napkin Hs"</formula>
    </cfRule>
  </conditionalFormatting>
  <conditionalFormatting sqref="B161:C161">
    <cfRule type="cellIs" dxfId="12115" priority="17444" stopIfTrue="1" operator="equal">
      <formula>"Towel"</formula>
    </cfRule>
    <cfRule type="cellIs" dxfId="12114" priority="17445" stopIfTrue="1" operator="equal">
      <formula>"Napkin Hs"</formula>
    </cfRule>
  </conditionalFormatting>
  <conditionalFormatting sqref="C161">
    <cfRule type="cellIs" dxfId="12113" priority="17443" stopIfTrue="1" operator="equal">
      <formula>"Napkin Hs"</formula>
    </cfRule>
  </conditionalFormatting>
  <conditionalFormatting sqref="C161">
    <cfRule type="cellIs" dxfId="12112" priority="17442" stopIfTrue="1" operator="equal">
      <formula>"Towel"</formula>
    </cfRule>
  </conditionalFormatting>
  <conditionalFormatting sqref="C161">
    <cfRule type="cellIs" dxfId="12111" priority="17440" stopIfTrue="1" operator="equal">
      <formula>"Towel"</formula>
    </cfRule>
    <cfRule type="cellIs" dxfId="12110" priority="17441" stopIfTrue="1" operator="equal">
      <formula>"Napkin Hs"</formula>
    </cfRule>
  </conditionalFormatting>
  <conditionalFormatting sqref="B12:C12">
    <cfRule type="cellIs" dxfId="12109" priority="14551" stopIfTrue="1" operator="equal">
      <formula>"Towel"</formula>
    </cfRule>
  </conditionalFormatting>
  <conditionalFormatting sqref="B9:C9">
    <cfRule type="cellIs" dxfId="12108" priority="14896" stopIfTrue="1" operator="equal">
      <formula>"Towel"</formula>
    </cfRule>
    <cfRule type="cellIs" dxfId="12107" priority="14897" stopIfTrue="1" operator="equal">
      <formula>"Napkin Hs"</formula>
    </cfRule>
  </conditionalFormatting>
  <conditionalFormatting sqref="C9">
    <cfRule type="cellIs" dxfId="12106" priority="14892" stopIfTrue="1" operator="equal">
      <formula>"Towel"</formula>
    </cfRule>
    <cfRule type="cellIs" dxfId="12105" priority="14893" stopIfTrue="1" operator="equal">
      <formula>"Napkin Hs"</formula>
    </cfRule>
  </conditionalFormatting>
  <conditionalFormatting sqref="C9">
    <cfRule type="cellIs" dxfId="12104" priority="14894" stopIfTrue="1" operator="equal">
      <formula>"Towel"</formula>
    </cfRule>
    <cfRule type="cellIs" dxfId="12103" priority="14895" stopIfTrue="1" operator="equal">
      <formula>"Napkin Hs"</formula>
    </cfRule>
  </conditionalFormatting>
  <conditionalFormatting sqref="B9:C9">
    <cfRule type="cellIs" dxfId="12102" priority="14890" stopIfTrue="1" operator="equal">
      <formula>"Towel"</formula>
    </cfRule>
    <cfRule type="cellIs" dxfId="12101" priority="14891" stopIfTrue="1" operator="equal">
      <formula>"Napkin Hs"</formula>
    </cfRule>
  </conditionalFormatting>
  <conditionalFormatting sqref="C9">
    <cfRule type="cellIs" dxfId="12100" priority="14888" stopIfTrue="1" operator="equal">
      <formula>"Towel"</formula>
    </cfRule>
    <cfRule type="cellIs" dxfId="12099" priority="14889" stopIfTrue="1" operator="equal">
      <formula>"Napkin Hs"</formula>
    </cfRule>
  </conditionalFormatting>
  <conditionalFormatting sqref="C9">
    <cfRule type="cellIs" dxfId="12098" priority="14886" stopIfTrue="1" operator="equal">
      <formula>"Towel"</formula>
    </cfRule>
    <cfRule type="cellIs" dxfId="12097" priority="14887" stopIfTrue="1" operator="equal">
      <formula>"Napkin Hs"</formula>
    </cfRule>
  </conditionalFormatting>
  <conditionalFormatting sqref="C9">
    <cfRule type="cellIs" dxfId="12096" priority="14878" stopIfTrue="1" operator="equal">
      <formula>"Towel"</formula>
    </cfRule>
    <cfRule type="cellIs" dxfId="12095" priority="14879" stopIfTrue="1" operator="equal">
      <formula>"Napkin Hs"</formula>
    </cfRule>
  </conditionalFormatting>
  <conditionalFormatting sqref="B9:C9">
    <cfRule type="cellIs" dxfId="12094" priority="14880" stopIfTrue="1" operator="equal">
      <formula>"Towel"</formula>
    </cfRule>
    <cfRule type="cellIs" dxfId="12093" priority="14881" stopIfTrue="1" operator="equal">
      <formula>"Napkin Hs"</formula>
    </cfRule>
  </conditionalFormatting>
  <conditionalFormatting sqref="C9">
    <cfRule type="cellIs" dxfId="12092" priority="14876" stopIfTrue="1" operator="equal">
      <formula>"Towel"</formula>
    </cfRule>
    <cfRule type="cellIs" dxfId="12091" priority="14877" stopIfTrue="1" operator="equal">
      <formula>"Napkin Hs"</formula>
    </cfRule>
  </conditionalFormatting>
  <conditionalFormatting sqref="B9:C9">
    <cfRule type="cellIs" dxfId="12090" priority="14874" stopIfTrue="1" operator="equal">
      <formula>"Towel"</formula>
    </cfRule>
    <cfRule type="cellIs" dxfId="12089" priority="14875" stopIfTrue="1" operator="equal">
      <formula>"Napkin Hs"</formula>
    </cfRule>
  </conditionalFormatting>
  <conditionalFormatting sqref="C9">
    <cfRule type="cellIs" dxfId="12088" priority="14882" stopIfTrue="1" operator="equal">
      <formula>"Towel"</formula>
    </cfRule>
    <cfRule type="cellIs" dxfId="12087" priority="14883" stopIfTrue="1" operator="equal">
      <formula>"Napkin Hs"</formula>
    </cfRule>
  </conditionalFormatting>
  <conditionalFormatting sqref="C9">
    <cfRule type="cellIs" dxfId="12086" priority="14884" stopIfTrue="1" operator="equal">
      <formula>"Towel"</formula>
    </cfRule>
    <cfRule type="cellIs" dxfId="12085" priority="14885" stopIfTrue="1" operator="equal">
      <formula>"Napkin Hs"</formula>
    </cfRule>
  </conditionalFormatting>
  <conditionalFormatting sqref="B9:C9">
    <cfRule type="cellIs" dxfId="12084" priority="14872" stopIfTrue="1" operator="equal">
      <formula>"Towel"</formula>
    </cfRule>
    <cfRule type="cellIs" dxfId="12083" priority="14873" stopIfTrue="1" operator="equal">
      <formula>"Napkin Hs"</formula>
    </cfRule>
  </conditionalFormatting>
  <conditionalFormatting sqref="C9">
    <cfRule type="cellIs" dxfId="12082" priority="14868" stopIfTrue="1" operator="equal">
      <formula>"Towel"</formula>
    </cfRule>
    <cfRule type="cellIs" dxfId="12081" priority="14869" stopIfTrue="1" operator="equal">
      <formula>"Napkin Hs"</formula>
    </cfRule>
  </conditionalFormatting>
  <conditionalFormatting sqref="C9">
    <cfRule type="cellIs" dxfId="12080" priority="14870" stopIfTrue="1" operator="equal">
      <formula>"Towel"</formula>
    </cfRule>
    <cfRule type="cellIs" dxfId="12079" priority="14871" stopIfTrue="1" operator="equal">
      <formula>"Napkin Hs"</formula>
    </cfRule>
  </conditionalFormatting>
  <conditionalFormatting sqref="B9:C9">
    <cfRule type="cellIs" dxfId="12078" priority="14866" stopIfTrue="1" operator="equal">
      <formula>"Towel"</formula>
    </cfRule>
    <cfRule type="cellIs" dxfId="12077" priority="14867" stopIfTrue="1" operator="equal">
      <formula>"Napkin Hs"</formula>
    </cfRule>
  </conditionalFormatting>
  <conditionalFormatting sqref="C9">
    <cfRule type="cellIs" dxfId="12076" priority="14864" stopIfTrue="1" operator="equal">
      <formula>"Towel"</formula>
    </cfRule>
    <cfRule type="cellIs" dxfId="12075" priority="14865" stopIfTrue="1" operator="equal">
      <formula>"Napkin Hs"</formula>
    </cfRule>
  </conditionalFormatting>
  <conditionalFormatting sqref="C9">
    <cfRule type="cellIs" dxfId="12074" priority="14862" stopIfTrue="1" operator="equal">
      <formula>"Towel"</formula>
    </cfRule>
    <cfRule type="cellIs" dxfId="12073" priority="14863" stopIfTrue="1" operator="equal">
      <formula>"Napkin Hs"</formula>
    </cfRule>
  </conditionalFormatting>
  <conditionalFormatting sqref="C9">
    <cfRule type="cellIs" dxfId="12072" priority="14854" stopIfTrue="1" operator="equal">
      <formula>"Towel"</formula>
    </cfRule>
    <cfRule type="cellIs" dxfId="12071" priority="14855" stopIfTrue="1" operator="equal">
      <formula>"Napkin Hs"</formula>
    </cfRule>
  </conditionalFormatting>
  <conditionalFormatting sqref="B9:C9">
    <cfRule type="cellIs" dxfId="12070" priority="14856" stopIfTrue="1" operator="equal">
      <formula>"Towel"</formula>
    </cfRule>
    <cfRule type="cellIs" dxfId="12069" priority="14857" stopIfTrue="1" operator="equal">
      <formula>"Napkin Hs"</formula>
    </cfRule>
  </conditionalFormatting>
  <conditionalFormatting sqref="C9">
    <cfRule type="cellIs" dxfId="12068" priority="14852" stopIfTrue="1" operator="equal">
      <formula>"Towel"</formula>
    </cfRule>
    <cfRule type="cellIs" dxfId="12067" priority="14853" stopIfTrue="1" operator="equal">
      <formula>"Napkin Hs"</formula>
    </cfRule>
  </conditionalFormatting>
  <conditionalFormatting sqref="B9:C9">
    <cfRule type="cellIs" dxfId="12066" priority="14850" stopIfTrue="1" operator="equal">
      <formula>"Towel"</formula>
    </cfRule>
    <cfRule type="cellIs" dxfId="12065" priority="14851" stopIfTrue="1" operator="equal">
      <formula>"Napkin Hs"</formula>
    </cfRule>
  </conditionalFormatting>
  <conditionalFormatting sqref="C9">
    <cfRule type="cellIs" dxfId="12064" priority="14858" stopIfTrue="1" operator="equal">
      <formula>"Towel"</formula>
    </cfRule>
    <cfRule type="cellIs" dxfId="12063" priority="14859" stopIfTrue="1" operator="equal">
      <formula>"Napkin Hs"</formula>
    </cfRule>
  </conditionalFormatting>
  <conditionalFormatting sqref="C9">
    <cfRule type="cellIs" dxfId="12062" priority="14860" stopIfTrue="1" operator="equal">
      <formula>"Towel"</formula>
    </cfRule>
    <cfRule type="cellIs" dxfId="12061" priority="14861" stopIfTrue="1" operator="equal">
      <formula>"Napkin Hs"</formula>
    </cfRule>
  </conditionalFormatting>
  <conditionalFormatting sqref="B6:C6">
    <cfRule type="cellIs" dxfId="12060" priority="14848" stopIfTrue="1" operator="equal">
      <formula>"Towel"</formula>
    </cfRule>
    <cfRule type="cellIs" dxfId="12059" priority="14849" stopIfTrue="1" operator="equal">
      <formula>"Napkin Hs"</formula>
    </cfRule>
  </conditionalFormatting>
  <conditionalFormatting sqref="C6">
    <cfRule type="cellIs" dxfId="12058" priority="14844" stopIfTrue="1" operator="equal">
      <formula>"Towel"</formula>
    </cfRule>
    <cfRule type="cellIs" dxfId="12057" priority="14845" stopIfTrue="1" operator="equal">
      <formula>"Napkin Hs"</formula>
    </cfRule>
  </conditionalFormatting>
  <conditionalFormatting sqref="C6">
    <cfRule type="cellIs" dxfId="12056" priority="14846" stopIfTrue="1" operator="equal">
      <formula>"Towel"</formula>
    </cfRule>
    <cfRule type="cellIs" dxfId="12055" priority="14847" stopIfTrue="1" operator="equal">
      <formula>"Napkin Hs"</formula>
    </cfRule>
  </conditionalFormatting>
  <conditionalFormatting sqref="B6:C6">
    <cfRule type="cellIs" dxfId="12054" priority="14842" stopIfTrue="1" operator="equal">
      <formula>"Towel"</formula>
    </cfRule>
    <cfRule type="cellIs" dxfId="12053" priority="14843" stopIfTrue="1" operator="equal">
      <formula>"Napkin Hs"</formula>
    </cfRule>
  </conditionalFormatting>
  <conditionalFormatting sqref="C6">
    <cfRule type="cellIs" dxfId="12052" priority="14840" stopIfTrue="1" operator="equal">
      <formula>"Towel"</formula>
    </cfRule>
    <cfRule type="cellIs" dxfId="12051" priority="14841" stopIfTrue="1" operator="equal">
      <formula>"Napkin Hs"</formula>
    </cfRule>
  </conditionalFormatting>
  <conditionalFormatting sqref="C6">
    <cfRule type="cellIs" dxfId="12050" priority="14838" stopIfTrue="1" operator="equal">
      <formula>"Towel"</formula>
    </cfRule>
    <cfRule type="cellIs" dxfId="12049" priority="14839" stopIfTrue="1" operator="equal">
      <formula>"Napkin Hs"</formula>
    </cfRule>
  </conditionalFormatting>
  <conditionalFormatting sqref="C6">
    <cfRule type="cellIs" dxfId="12048" priority="14830" stopIfTrue="1" operator="equal">
      <formula>"Towel"</formula>
    </cfRule>
    <cfRule type="cellIs" dxfId="12047" priority="14831" stopIfTrue="1" operator="equal">
      <formula>"Napkin Hs"</formula>
    </cfRule>
  </conditionalFormatting>
  <conditionalFormatting sqref="B6:C6">
    <cfRule type="cellIs" dxfId="12046" priority="14832" stopIfTrue="1" operator="equal">
      <formula>"Towel"</formula>
    </cfRule>
    <cfRule type="cellIs" dxfId="12045" priority="14833" stopIfTrue="1" operator="equal">
      <formula>"Napkin Hs"</formula>
    </cfRule>
  </conditionalFormatting>
  <conditionalFormatting sqref="C6">
    <cfRule type="cellIs" dxfId="12044" priority="14828" stopIfTrue="1" operator="equal">
      <formula>"Towel"</formula>
    </cfRule>
    <cfRule type="cellIs" dxfId="12043" priority="14829" stopIfTrue="1" operator="equal">
      <formula>"Napkin Hs"</formula>
    </cfRule>
  </conditionalFormatting>
  <conditionalFormatting sqref="B6:C6">
    <cfRule type="cellIs" dxfId="12042" priority="14826" stopIfTrue="1" operator="equal">
      <formula>"Towel"</formula>
    </cfRule>
    <cfRule type="cellIs" dxfId="12041" priority="14827" stopIfTrue="1" operator="equal">
      <formula>"Napkin Hs"</formula>
    </cfRule>
  </conditionalFormatting>
  <conditionalFormatting sqref="C6">
    <cfRule type="cellIs" dxfId="12040" priority="14834" stopIfTrue="1" operator="equal">
      <formula>"Towel"</formula>
    </cfRule>
    <cfRule type="cellIs" dxfId="12039" priority="14835" stopIfTrue="1" operator="equal">
      <formula>"Napkin Hs"</formula>
    </cfRule>
  </conditionalFormatting>
  <conditionalFormatting sqref="C6">
    <cfRule type="cellIs" dxfId="12038" priority="14836" stopIfTrue="1" operator="equal">
      <formula>"Towel"</formula>
    </cfRule>
    <cfRule type="cellIs" dxfId="12037" priority="14837" stopIfTrue="1" operator="equal">
      <formula>"Napkin Hs"</formula>
    </cfRule>
  </conditionalFormatting>
  <conditionalFormatting sqref="B6:C6">
    <cfRule type="cellIs" dxfId="12036" priority="14822" stopIfTrue="1" operator="equal">
      <formula>"Towel"</formula>
    </cfRule>
    <cfRule type="cellIs" dxfId="12035" priority="14823" stopIfTrue="1" operator="equal">
      <formula>"Napkin Hs"</formula>
    </cfRule>
  </conditionalFormatting>
  <conditionalFormatting sqref="C6">
    <cfRule type="cellIs" dxfId="12034" priority="14824" stopIfTrue="1" operator="equal">
      <formula>"Towel"</formula>
    </cfRule>
    <cfRule type="cellIs" dxfId="12033" priority="14825" stopIfTrue="1" operator="equal">
      <formula>"Napkin Hs"</formula>
    </cfRule>
  </conditionalFormatting>
  <conditionalFormatting sqref="C6">
    <cfRule type="cellIs" dxfId="12032" priority="14820" stopIfTrue="1" operator="equal">
      <formula>"Towel"</formula>
    </cfRule>
    <cfRule type="cellIs" dxfId="12031" priority="14821" stopIfTrue="1" operator="equal">
      <formula>"Napkin Hs"</formula>
    </cfRule>
  </conditionalFormatting>
  <conditionalFormatting sqref="B6:C6">
    <cfRule type="cellIs" dxfId="12030" priority="14818" stopIfTrue="1" operator="equal">
      <formula>"Towel"</formula>
    </cfRule>
    <cfRule type="cellIs" dxfId="12029" priority="14819" stopIfTrue="1" operator="equal">
      <formula>"Napkin Hs"</formula>
    </cfRule>
  </conditionalFormatting>
  <conditionalFormatting sqref="C6">
    <cfRule type="cellIs" dxfId="12028" priority="14814" stopIfTrue="1" operator="equal">
      <formula>"Towel"</formula>
    </cfRule>
    <cfRule type="cellIs" dxfId="12027" priority="14815" stopIfTrue="1" operator="equal">
      <formula>"Napkin Hs"</formula>
    </cfRule>
  </conditionalFormatting>
  <conditionalFormatting sqref="C6">
    <cfRule type="cellIs" dxfId="12026" priority="14816" stopIfTrue="1" operator="equal">
      <formula>"Towel"</formula>
    </cfRule>
    <cfRule type="cellIs" dxfId="12025" priority="14817" stopIfTrue="1" operator="equal">
      <formula>"Napkin Hs"</formula>
    </cfRule>
  </conditionalFormatting>
  <conditionalFormatting sqref="B7:C7">
    <cfRule type="cellIs" dxfId="12024" priority="14810" stopIfTrue="1" operator="equal">
      <formula>"Towel"</formula>
    </cfRule>
    <cfRule type="cellIs" dxfId="12023" priority="14811" stopIfTrue="1" operator="equal">
      <formula>"Napkin Hs"</formula>
    </cfRule>
  </conditionalFormatting>
  <conditionalFormatting sqref="C7">
    <cfRule type="cellIs" dxfId="12022" priority="14812" stopIfTrue="1" operator="equal">
      <formula>"Towel"</formula>
    </cfRule>
    <cfRule type="cellIs" dxfId="12021" priority="14813" stopIfTrue="1" operator="equal">
      <formula>"Napkin Hs"</formula>
    </cfRule>
  </conditionalFormatting>
  <conditionalFormatting sqref="C7">
    <cfRule type="cellIs" dxfId="12020" priority="14808" stopIfTrue="1" operator="equal">
      <formula>"Towel"</formula>
    </cfRule>
    <cfRule type="cellIs" dxfId="12019" priority="14809" stopIfTrue="1" operator="equal">
      <formula>"Napkin Hs"</formula>
    </cfRule>
  </conditionalFormatting>
  <conditionalFormatting sqref="B7:C7">
    <cfRule type="cellIs" dxfId="12018" priority="14806" stopIfTrue="1" operator="equal">
      <formula>"Towel"</formula>
    </cfRule>
    <cfRule type="cellIs" dxfId="12017" priority="14807" stopIfTrue="1" operator="equal">
      <formula>"Napkin Hs"</formula>
    </cfRule>
  </conditionalFormatting>
  <conditionalFormatting sqref="C7">
    <cfRule type="cellIs" dxfId="12016" priority="14802" stopIfTrue="1" operator="equal">
      <formula>"Towel"</formula>
    </cfRule>
    <cfRule type="cellIs" dxfId="12015" priority="14803" stopIfTrue="1" operator="equal">
      <formula>"Napkin Hs"</formula>
    </cfRule>
  </conditionalFormatting>
  <conditionalFormatting sqref="C7">
    <cfRule type="cellIs" dxfId="12014" priority="14804" stopIfTrue="1" operator="equal">
      <formula>"Towel"</formula>
    </cfRule>
    <cfRule type="cellIs" dxfId="12013" priority="14805" stopIfTrue="1" operator="equal">
      <formula>"Napkin Hs"</formula>
    </cfRule>
  </conditionalFormatting>
  <conditionalFormatting sqref="B8:C8">
    <cfRule type="cellIs" dxfId="12012" priority="14798" stopIfTrue="1" operator="equal">
      <formula>"Towel"</formula>
    </cfRule>
    <cfRule type="cellIs" dxfId="12011" priority="14799" stopIfTrue="1" operator="equal">
      <formula>"Napkin Hs"</formula>
    </cfRule>
  </conditionalFormatting>
  <conditionalFormatting sqref="C8">
    <cfRule type="cellIs" dxfId="12010" priority="14800" stopIfTrue="1" operator="equal">
      <formula>"Towel"</formula>
    </cfRule>
    <cfRule type="cellIs" dxfId="12009" priority="14801" stopIfTrue="1" operator="equal">
      <formula>"Napkin Hs"</formula>
    </cfRule>
  </conditionalFormatting>
  <conditionalFormatting sqref="C8">
    <cfRule type="cellIs" dxfId="12008" priority="14796" stopIfTrue="1" operator="equal">
      <formula>"Towel"</formula>
    </cfRule>
    <cfRule type="cellIs" dxfId="12007" priority="14797" stopIfTrue="1" operator="equal">
      <formula>"Napkin Hs"</formula>
    </cfRule>
  </conditionalFormatting>
  <conditionalFormatting sqref="B8:C8">
    <cfRule type="cellIs" dxfId="12006" priority="14794" stopIfTrue="1" operator="equal">
      <formula>"Towel"</formula>
    </cfRule>
    <cfRule type="cellIs" dxfId="12005" priority="14795" stopIfTrue="1" operator="equal">
      <formula>"Napkin Hs"</formula>
    </cfRule>
  </conditionalFormatting>
  <conditionalFormatting sqref="C8">
    <cfRule type="cellIs" dxfId="12004" priority="14790" stopIfTrue="1" operator="equal">
      <formula>"Towel"</formula>
    </cfRule>
    <cfRule type="cellIs" dxfId="12003" priority="14791" stopIfTrue="1" operator="equal">
      <formula>"Napkin Hs"</formula>
    </cfRule>
  </conditionalFormatting>
  <conditionalFormatting sqref="C8">
    <cfRule type="cellIs" dxfId="12002" priority="14792" stopIfTrue="1" operator="equal">
      <formula>"Towel"</formula>
    </cfRule>
    <cfRule type="cellIs" dxfId="12001" priority="14793" stopIfTrue="1" operator="equal">
      <formula>"Napkin Hs"</formula>
    </cfRule>
  </conditionalFormatting>
  <conditionalFormatting sqref="B9:C9">
    <cfRule type="cellIs" dxfId="12000" priority="14788" stopIfTrue="1" operator="equal">
      <formula>"Towel"</formula>
    </cfRule>
    <cfRule type="cellIs" dxfId="11999" priority="14789" stopIfTrue="1" operator="equal">
      <formula>"Napkin Hs"</formula>
    </cfRule>
  </conditionalFormatting>
  <conditionalFormatting sqref="C9">
    <cfRule type="cellIs" dxfId="11998" priority="14784" stopIfTrue="1" operator="equal">
      <formula>"Towel"</formula>
    </cfRule>
    <cfRule type="cellIs" dxfId="11997" priority="14785" stopIfTrue="1" operator="equal">
      <formula>"Napkin Hs"</formula>
    </cfRule>
  </conditionalFormatting>
  <conditionalFormatting sqref="C9">
    <cfRule type="cellIs" dxfId="11996" priority="14786" stopIfTrue="1" operator="equal">
      <formula>"Towel"</formula>
    </cfRule>
    <cfRule type="cellIs" dxfId="11995" priority="14787" stopIfTrue="1" operator="equal">
      <formula>"Napkin Hs"</formula>
    </cfRule>
  </conditionalFormatting>
  <conditionalFormatting sqref="B9:C9">
    <cfRule type="cellIs" dxfId="11994" priority="14782" stopIfTrue="1" operator="equal">
      <formula>"Towel"</formula>
    </cfRule>
    <cfRule type="cellIs" dxfId="11993" priority="14783" stopIfTrue="1" operator="equal">
      <formula>"Napkin Hs"</formula>
    </cfRule>
  </conditionalFormatting>
  <conditionalFormatting sqref="C9">
    <cfRule type="cellIs" dxfId="11992" priority="14780" stopIfTrue="1" operator="equal">
      <formula>"Towel"</formula>
    </cfRule>
    <cfRule type="cellIs" dxfId="11991" priority="14781" stopIfTrue="1" operator="equal">
      <formula>"Napkin Hs"</formula>
    </cfRule>
  </conditionalFormatting>
  <conditionalFormatting sqref="C9">
    <cfRule type="cellIs" dxfId="11990" priority="14778" stopIfTrue="1" operator="equal">
      <formula>"Towel"</formula>
    </cfRule>
    <cfRule type="cellIs" dxfId="11989" priority="14779" stopIfTrue="1" operator="equal">
      <formula>"Napkin Hs"</formula>
    </cfRule>
  </conditionalFormatting>
  <conditionalFormatting sqref="C9">
    <cfRule type="cellIs" dxfId="11988" priority="14770" stopIfTrue="1" operator="equal">
      <formula>"Towel"</formula>
    </cfRule>
    <cfRule type="cellIs" dxfId="11987" priority="14771" stopIfTrue="1" operator="equal">
      <formula>"Napkin Hs"</formula>
    </cfRule>
  </conditionalFormatting>
  <conditionalFormatting sqref="B9:C9">
    <cfRule type="cellIs" dxfId="11986" priority="14772" stopIfTrue="1" operator="equal">
      <formula>"Towel"</formula>
    </cfRule>
    <cfRule type="cellIs" dxfId="11985" priority="14773" stopIfTrue="1" operator="equal">
      <formula>"Napkin Hs"</formula>
    </cfRule>
  </conditionalFormatting>
  <conditionalFormatting sqref="C9">
    <cfRule type="cellIs" dxfId="11984" priority="14768" stopIfTrue="1" operator="equal">
      <formula>"Towel"</formula>
    </cfRule>
    <cfRule type="cellIs" dxfId="11983" priority="14769" stopIfTrue="1" operator="equal">
      <formula>"Napkin Hs"</formula>
    </cfRule>
  </conditionalFormatting>
  <conditionalFormatting sqref="B9:C9">
    <cfRule type="cellIs" dxfId="11982" priority="14766" stopIfTrue="1" operator="equal">
      <formula>"Towel"</formula>
    </cfRule>
    <cfRule type="cellIs" dxfId="11981" priority="14767" stopIfTrue="1" operator="equal">
      <formula>"Napkin Hs"</formula>
    </cfRule>
  </conditionalFormatting>
  <conditionalFormatting sqref="C9">
    <cfRule type="cellIs" dxfId="11980" priority="14774" stopIfTrue="1" operator="equal">
      <formula>"Towel"</formula>
    </cfRule>
    <cfRule type="cellIs" dxfId="11979" priority="14775" stopIfTrue="1" operator="equal">
      <formula>"Napkin Hs"</formula>
    </cfRule>
  </conditionalFormatting>
  <conditionalFormatting sqref="C9">
    <cfRule type="cellIs" dxfId="11978" priority="14776" stopIfTrue="1" operator="equal">
      <formula>"Towel"</formula>
    </cfRule>
    <cfRule type="cellIs" dxfId="11977" priority="14777" stopIfTrue="1" operator="equal">
      <formula>"Napkin Hs"</formula>
    </cfRule>
  </conditionalFormatting>
  <conditionalFormatting sqref="B9:C9">
    <cfRule type="cellIs" dxfId="11976" priority="14764" stopIfTrue="1" operator="equal">
      <formula>"Towel"</formula>
    </cfRule>
    <cfRule type="cellIs" dxfId="11975" priority="14765" stopIfTrue="1" operator="equal">
      <formula>"Napkin Hs"</formula>
    </cfRule>
  </conditionalFormatting>
  <conditionalFormatting sqref="C9">
    <cfRule type="cellIs" dxfId="11974" priority="14760" stopIfTrue="1" operator="equal">
      <formula>"Towel"</formula>
    </cfRule>
    <cfRule type="cellIs" dxfId="11973" priority="14761" stopIfTrue="1" operator="equal">
      <formula>"Napkin Hs"</formula>
    </cfRule>
  </conditionalFormatting>
  <conditionalFormatting sqref="C9">
    <cfRule type="cellIs" dxfId="11972" priority="14762" stopIfTrue="1" operator="equal">
      <formula>"Towel"</formula>
    </cfRule>
    <cfRule type="cellIs" dxfId="11971" priority="14763" stopIfTrue="1" operator="equal">
      <formula>"Napkin Hs"</formula>
    </cfRule>
  </conditionalFormatting>
  <conditionalFormatting sqref="B9:C9">
    <cfRule type="cellIs" dxfId="11970" priority="14758" stopIfTrue="1" operator="equal">
      <formula>"Towel"</formula>
    </cfRule>
    <cfRule type="cellIs" dxfId="11969" priority="14759" stopIfTrue="1" operator="equal">
      <formula>"Napkin Hs"</formula>
    </cfRule>
  </conditionalFormatting>
  <conditionalFormatting sqref="C9">
    <cfRule type="cellIs" dxfId="11968" priority="14756" stopIfTrue="1" operator="equal">
      <formula>"Towel"</formula>
    </cfRule>
    <cfRule type="cellIs" dxfId="11967" priority="14757" stopIfTrue="1" operator="equal">
      <formula>"Napkin Hs"</formula>
    </cfRule>
  </conditionalFormatting>
  <conditionalFormatting sqref="C9">
    <cfRule type="cellIs" dxfId="11966" priority="14754" stopIfTrue="1" operator="equal">
      <formula>"Towel"</formula>
    </cfRule>
    <cfRule type="cellIs" dxfId="11965" priority="14755" stopIfTrue="1" operator="equal">
      <formula>"Napkin Hs"</formula>
    </cfRule>
  </conditionalFormatting>
  <conditionalFormatting sqref="C9">
    <cfRule type="cellIs" dxfId="11964" priority="14746" stopIfTrue="1" operator="equal">
      <formula>"Towel"</formula>
    </cfRule>
    <cfRule type="cellIs" dxfId="11963" priority="14747" stopIfTrue="1" operator="equal">
      <formula>"Napkin Hs"</formula>
    </cfRule>
  </conditionalFormatting>
  <conditionalFormatting sqref="B9:C9">
    <cfRule type="cellIs" dxfId="11962" priority="14748" stopIfTrue="1" operator="equal">
      <formula>"Towel"</formula>
    </cfRule>
    <cfRule type="cellIs" dxfId="11961" priority="14749" stopIfTrue="1" operator="equal">
      <formula>"Napkin Hs"</formula>
    </cfRule>
  </conditionalFormatting>
  <conditionalFormatting sqref="C9">
    <cfRule type="cellIs" dxfId="11960" priority="14744" stopIfTrue="1" operator="equal">
      <formula>"Towel"</formula>
    </cfRule>
    <cfRule type="cellIs" dxfId="11959" priority="14745" stopIfTrue="1" operator="equal">
      <formula>"Napkin Hs"</formula>
    </cfRule>
  </conditionalFormatting>
  <conditionalFormatting sqref="B9:C9">
    <cfRule type="cellIs" dxfId="11958" priority="14742" stopIfTrue="1" operator="equal">
      <formula>"Towel"</formula>
    </cfRule>
    <cfRule type="cellIs" dxfId="11957" priority="14743" stopIfTrue="1" operator="equal">
      <formula>"Napkin Hs"</formula>
    </cfRule>
  </conditionalFormatting>
  <conditionalFormatting sqref="C9">
    <cfRule type="cellIs" dxfId="11956" priority="14750" stopIfTrue="1" operator="equal">
      <formula>"Towel"</formula>
    </cfRule>
    <cfRule type="cellIs" dxfId="11955" priority="14751" stopIfTrue="1" operator="equal">
      <formula>"Napkin Hs"</formula>
    </cfRule>
  </conditionalFormatting>
  <conditionalFormatting sqref="C9">
    <cfRule type="cellIs" dxfId="11954" priority="14752" stopIfTrue="1" operator="equal">
      <formula>"Towel"</formula>
    </cfRule>
    <cfRule type="cellIs" dxfId="11953" priority="14753" stopIfTrue="1" operator="equal">
      <formula>"Napkin Hs"</formula>
    </cfRule>
  </conditionalFormatting>
  <conditionalFormatting sqref="B7:C7">
    <cfRule type="cellIs" dxfId="11952" priority="14738" stopIfTrue="1" operator="equal">
      <formula>"Towel"</formula>
    </cfRule>
    <cfRule type="cellIs" dxfId="11951" priority="14739" stopIfTrue="1" operator="equal">
      <formula>"Napkin Hs"</formula>
    </cfRule>
  </conditionalFormatting>
  <conditionalFormatting sqref="C7">
    <cfRule type="cellIs" dxfId="11950" priority="14740" stopIfTrue="1" operator="equal">
      <formula>"Towel"</formula>
    </cfRule>
    <cfRule type="cellIs" dxfId="11949" priority="14741" stopIfTrue="1" operator="equal">
      <formula>"Napkin Hs"</formula>
    </cfRule>
  </conditionalFormatting>
  <conditionalFormatting sqref="C7">
    <cfRule type="cellIs" dxfId="11948" priority="14736" stopIfTrue="1" operator="equal">
      <formula>"Towel"</formula>
    </cfRule>
    <cfRule type="cellIs" dxfId="11947" priority="14737" stopIfTrue="1" operator="equal">
      <formula>"Napkin Hs"</formula>
    </cfRule>
  </conditionalFormatting>
  <conditionalFormatting sqref="B7:C7">
    <cfRule type="cellIs" dxfId="11946" priority="14734" stopIfTrue="1" operator="equal">
      <formula>"Towel"</formula>
    </cfRule>
    <cfRule type="cellIs" dxfId="11945" priority="14735" stopIfTrue="1" operator="equal">
      <formula>"Napkin Hs"</formula>
    </cfRule>
  </conditionalFormatting>
  <conditionalFormatting sqref="C7">
    <cfRule type="cellIs" dxfId="11944" priority="14730" stopIfTrue="1" operator="equal">
      <formula>"Towel"</formula>
    </cfRule>
    <cfRule type="cellIs" dxfId="11943" priority="14731" stopIfTrue="1" operator="equal">
      <formula>"Napkin Hs"</formula>
    </cfRule>
  </conditionalFormatting>
  <conditionalFormatting sqref="C7">
    <cfRule type="cellIs" dxfId="11942" priority="14732" stopIfTrue="1" operator="equal">
      <formula>"Towel"</formula>
    </cfRule>
    <cfRule type="cellIs" dxfId="11941" priority="14733" stopIfTrue="1" operator="equal">
      <formula>"Napkin Hs"</formula>
    </cfRule>
  </conditionalFormatting>
  <conditionalFormatting sqref="B8:C8">
    <cfRule type="cellIs" dxfId="11940" priority="14726" stopIfTrue="1" operator="equal">
      <formula>"Towel"</formula>
    </cfRule>
    <cfRule type="cellIs" dxfId="11939" priority="14727" stopIfTrue="1" operator="equal">
      <formula>"Napkin Hs"</formula>
    </cfRule>
  </conditionalFormatting>
  <conditionalFormatting sqref="C8">
    <cfRule type="cellIs" dxfId="11938" priority="14728" stopIfTrue="1" operator="equal">
      <formula>"Towel"</formula>
    </cfRule>
    <cfRule type="cellIs" dxfId="11937" priority="14729" stopIfTrue="1" operator="equal">
      <formula>"Napkin Hs"</formula>
    </cfRule>
  </conditionalFormatting>
  <conditionalFormatting sqref="C8">
    <cfRule type="cellIs" dxfId="11936" priority="14724" stopIfTrue="1" operator="equal">
      <formula>"Towel"</formula>
    </cfRule>
    <cfRule type="cellIs" dxfId="11935" priority="14725" stopIfTrue="1" operator="equal">
      <formula>"Napkin Hs"</formula>
    </cfRule>
  </conditionalFormatting>
  <conditionalFormatting sqref="B8:C8">
    <cfRule type="cellIs" dxfId="11934" priority="14722" stopIfTrue="1" operator="equal">
      <formula>"Towel"</formula>
    </cfRule>
    <cfRule type="cellIs" dxfId="11933" priority="14723" stopIfTrue="1" operator="equal">
      <formula>"Napkin Hs"</formula>
    </cfRule>
  </conditionalFormatting>
  <conditionalFormatting sqref="C8">
    <cfRule type="cellIs" dxfId="11932" priority="14718" stopIfTrue="1" operator="equal">
      <formula>"Towel"</formula>
    </cfRule>
    <cfRule type="cellIs" dxfId="11931" priority="14719" stopIfTrue="1" operator="equal">
      <formula>"Napkin Hs"</formula>
    </cfRule>
  </conditionalFormatting>
  <conditionalFormatting sqref="C8">
    <cfRule type="cellIs" dxfId="11930" priority="14720" stopIfTrue="1" operator="equal">
      <formula>"Towel"</formula>
    </cfRule>
    <cfRule type="cellIs" dxfId="11929" priority="14721" stopIfTrue="1" operator="equal">
      <formula>"Napkin Hs"</formula>
    </cfRule>
  </conditionalFormatting>
  <conditionalFormatting sqref="B6:C6">
    <cfRule type="cellIs" dxfId="11928" priority="14714" stopIfTrue="1" operator="equal">
      <formula>"Towel"</formula>
    </cfRule>
    <cfRule type="cellIs" dxfId="11927" priority="14715" stopIfTrue="1" operator="equal">
      <formula>"Napkin Hs"</formula>
    </cfRule>
  </conditionalFormatting>
  <conditionalFormatting sqref="C6">
    <cfRule type="cellIs" dxfId="11926" priority="14716" stopIfTrue="1" operator="equal">
      <formula>"Towel"</formula>
    </cfRule>
    <cfRule type="cellIs" dxfId="11925" priority="14717" stopIfTrue="1" operator="equal">
      <formula>"Napkin Hs"</formula>
    </cfRule>
  </conditionalFormatting>
  <conditionalFormatting sqref="C6">
    <cfRule type="cellIs" dxfId="11924" priority="14712" stopIfTrue="1" operator="equal">
      <formula>"Towel"</formula>
    </cfRule>
    <cfRule type="cellIs" dxfId="11923" priority="14713" stopIfTrue="1" operator="equal">
      <formula>"Napkin Hs"</formula>
    </cfRule>
  </conditionalFormatting>
  <conditionalFormatting sqref="B6:C6">
    <cfRule type="cellIs" dxfId="11922" priority="14710" stopIfTrue="1" operator="equal">
      <formula>"Towel"</formula>
    </cfRule>
    <cfRule type="cellIs" dxfId="11921" priority="14711" stopIfTrue="1" operator="equal">
      <formula>"Napkin Hs"</formula>
    </cfRule>
  </conditionalFormatting>
  <conditionalFormatting sqref="C6">
    <cfRule type="cellIs" dxfId="11920" priority="14706" stopIfTrue="1" operator="equal">
      <formula>"Towel"</formula>
    </cfRule>
    <cfRule type="cellIs" dxfId="11919" priority="14707" stopIfTrue="1" operator="equal">
      <formula>"Napkin Hs"</formula>
    </cfRule>
  </conditionalFormatting>
  <conditionalFormatting sqref="C6">
    <cfRule type="cellIs" dxfId="11918" priority="14708" stopIfTrue="1" operator="equal">
      <formula>"Towel"</formula>
    </cfRule>
    <cfRule type="cellIs" dxfId="11917" priority="14709" stopIfTrue="1" operator="equal">
      <formula>"Napkin Hs"</formula>
    </cfRule>
  </conditionalFormatting>
  <conditionalFormatting sqref="C10">
    <cfRule type="cellIs" dxfId="11916" priority="14906" stopIfTrue="1" operator="equal">
      <formula>"Towel"</formula>
    </cfRule>
    <cfRule type="cellIs" dxfId="11915" priority="14907" stopIfTrue="1" operator="equal">
      <formula>"Napkin Hs"</formula>
    </cfRule>
  </conditionalFormatting>
  <conditionalFormatting sqref="C10">
    <cfRule type="cellIs" dxfId="11914" priority="14908" stopIfTrue="1" operator="equal">
      <formula>"Towel"</formula>
    </cfRule>
    <cfRule type="cellIs" dxfId="11913" priority="14909" stopIfTrue="1" operator="equal">
      <formula>"Napkin Hs"</formula>
    </cfRule>
  </conditionalFormatting>
  <conditionalFormatting sqref="B10:C10">
    <cfRule type="cellIs" dxfId="11912" priority="14904" stopIfTrue="1" operator="equal">
      <formula>"Towel"</formula>
    </cfRule>
    <cfRule type="cellIs" dxfId="11911" priority="14905" stopIfTrue="1" operator="equal">
      <formula>"Napkin Hs"</formula>
    </cfRule>
  </conditionalFormatting>
  <conditionalFormatting sqref="B10:C10">
    <cfRule type="cellIs" dxfId="11910" priority="14898" stopIfTrue="1" operator="equal">
      <formula>"Towel"</formula>
    </cfRule>
    <cfRule type="cellIs" dxfId="11909" priority="14899" stopIfTrue="1" operator="equal">
      <formula>"Napkin Hs"</formula>
    </cfRule>
  </conditionalFormatting>
  <conditionalFormatting sqref="C10">
    <cfRule type="cellIs" dxfId="11908" priority="14900" stopIfTrue="1" operator="equal">
      <formula>"Towel"</formula>
    </cfRule>
    <cfRule type="cellIs" dxfId="11907" priority="14901" stopIfTrue="1" operator="equal">
      <formula>"Napkin Hs"</formula>
    </cfRule>
  </conditionalFormatting>
  <conditionalFormatting sqref="C10">
    <cfRule type="cellIs" dxfId="11906" priority="14902" stopIfTrue="1" operator="equal">
      <formula>"Towel"</formula>
    </cfRule>
    <cfRule type="cellIs" dxfId="11905" priority="14903" stopIfTrue="1" operator="equal">
      <formula>"Napkin Hs"</formula>
    </cfRule>
  </conditionalFormatting>
  <conditionalFormatting sqref="C11">
    <cfRule type="cellIs" dxfId="11904" priority="14700" stopIfTrue="1" operator="equal">
      <formula>"Towel"</formula>
    </cfRule>
    <cfRule type="cellIs" dxfId="11903" priority="14701" stopIfTrue="1" operator="equal">
      <formula>"Napkin Hs"</formula>
    </cfRule>
  </conditionalFormatting>
  <conditionalFormatting sqref="C11">
    <cfRule type="cellIs" dxfId="11902" priority="14704" stopIfTrue="1" operator="equal">
      <formula>"Towel"</formula>
    </cfRule>
    <cfRule type="cellIs" dxfId="11901" priority="14705" stopIfTrue="1" operator="equal">
      <formula>"Napkin Hs"</formula>
    </cfRule>
  </conditionalFormatting>
  <conditionalFormatting sqref="B11">
    <cfRule type="cellIs" dxfId="11900" priority="14690" stopIfTrue="1" operator="equal">
      <formula>"Towel"</formula>
    </cfRule>
    <cfRule type="cellIs" dxfId="11899" priority="14691" stopIfTrue="1" operator="equal">
      <formula>"Napkin Hs"</formula>
    </cfRule>
  </conditionalFormatting>
  <conditionalFormatting sqref="C11">
    <cfRule type="cellIs" dxfId="11898" priority="14702" stopIfTrue="1" operator="equal">
      <formula>"Towel"</formula>
    </cfRule>
    <cfRule type="cellIs" dxfId="11897" priority="14703" stopIfTrue="1" operator="equal">
      <formula>"Napkin Hs"</formula>
    </cfRule>
  </conditionalFormatting>
  <conditionalFormatting sqref="C11">
    <cfRule type="cellIs" dxfId="11896" priority="14694" stopIfTrue="1" operator="equal">
      <formula>"Towel"</formula>
    </cfRule>
    <cfRule type="cellIs" dxfId="11895" priority="14695" stopIfTrue="1" operator="equal">
      <formula>"Napkin Hs"</formula>
    </cfRule>
  </conditionalFormatting>
  <conditionalFormatting sqref="C11">
    <cfRule type="cellIs" dxfId="11894" priority="14696" stopIfTrue="1" operator="equal">
      <formula>"Towel"</formula>
    </cfRule>
    <cfRule type="cellIs" dxfId="11893" priority="14697" stopIfTrue="1" operator="equal">
      <formula>"Napkin Hs"</formula>
    </cfRule>
  </conditionalFormatting>
  <conditionalFormatting sqref="C11">
    <cfRule type="cellIs" dxfId="11892" priority="14698" stopIfTrue="1" operator="equal">
      <formula>"Towel"</formula>
    </cfRule>
    <cfRule type="cellIs" dxfId="11891" priority="14699" stopIfTrue="1" operator="equal">
      <formula>"Napkin Hs"</formula>
    </cfRule>
  </conditionalFormatting>
  <conditionalFormatting sqref="B11">
    <cfRule type="cellIs" dxfId="11890" priority="14692" stopIfTrue="1" operator="equal">
      <formula>"Towel"</formula>
    </cfRule>
    <cfRule type="cellIs" dxfId="11889" priority="14693" stopIfTrue="1" operator="equal">
      <formula>"Napkin Hs"</formula>
    </cfRule>
  </conditionalFormatting>
  <conditionalFormatting sqref="C15">
    <cfRule type="cellIs" dxfId="11888" priority="14682" stopIfTrue="1" operator="equal">
      <formula>"Towel"</formula>
    </cfRule>
    <cfRule type="cellIs" dxfId="11887" priority="14683" stopIfTrue="1" operator="equal">
      <formula>"Napkin Hs"</formula>
    </cfRule>
  </conditionalFormatting>
  <conditionalFormatting sqref="C15">
    <cfRule type="cellIs" dxfId="11886" priority="14678" stopIfTrue="1" operator="equal">
      <formula>"Towel"</formula>
    </cfRule>
    <cfRule type="cellIs" dxfId="11885" priority="14679" stopIfTrue="1" operator="equal">
      <formula>"Napkin Hs"</formula>
    </cfRule>
  </conditionalFormatting>
  <conditionalFormatting sqref="C15">
    <cfRule type="cellIs" dxfId="11884" priority="14681" stopIfTrue="1" operator="equal">
      <formula>"Napkin Hs"</formula>
    </cfRule>
  </conditionalFormatting>
  <conditionalFormatting sqref="C15">
    <cfRule type="cellIs" dxfId="11883" priority="14680" stopIfTrue="1" operator="equal">
      <formula>"Towel"</formula>
    </cfRule>
  </conditionalFormatting>
  <conditionalFormatting sqref="B12:C12">
    <cfRule type="cellIs" dxfId="11882" priority="14654" stopIfTrue="1" operator="equal">
      <formula>"Towel"</formula>
    </cfRule>
  </conditionalFormatting>
  <conditionalFormatting sqref="B12:C12">
    <cfRule type="cellIs" dxfId="11881" priority="14655" stopIfTrue="1" operator="equal">
      <formula>"Napkin Hs"</formula>
    </cfRule>
    <cfRule type="cellIs" dxfId="11880" priority="14660" stopIfTrue="1" operator="equal">
      <formula>"Towel"</formula>
    </cfRule>
    <cfRule type="cellIs" dxfId="11879" priority="14661" stopIfTrue="1" operator="equal">
      <formula>"Napkin Hs"</formula>
    </cfRule>
    <cfRule type="cellIs" dxfId="11878" priority="14670" stopIfTrue="1" operator="equal">
      <formula>"Towel"</formula>
    </cfRule>
    <cfRule type="cellIs" dxfId="11877" priority="14671" stopIfTrue="1" operator="equal">
      <formula>"Napkin Hs"</formula>
    </cfRule>
    <cfRule type="cellIs" dxfId="11876" priority="14676" stopIfTrue="1" operator="equal">
      <formula>"Towel"</formula>
    </cfRule>
    <cfRule type="cellIs" dxfId="11875" priority="14677" stopIfTrue="1" operator="equal">
      <formula>"Napkin Hs"</formula>
    </cfRule>
  </conditionalFormatting>
  <conditionalFormatting sqref="C12">
    <cfRule type="cellIs" dxfId="11874" priority="14656" stopIfTrue="1" operator="equal">
      <formula>"Towel"</formula>
    </cfRule>
    <cfRule type="cellIs" dxfId="11873" priority="14657" stopIfTrue="1" operator="equal">
      <formula>"Napkin Hs"</formula>
    </cfRule>
    <cfRule type="cellIs" dxfId="11872" priority="14658" stopIfTrue="1" operator="equal">
      <formula>"Towel"</formula>
    </cfRule>
    <cfRule type="cellIs" dxfId="11871" priority="14659" stopIfTrue="1" operator="equal">
      <formula>"Napkin Hs"</formula>
    </cfRule>
    <cfRule type="cellIs" dxfId="11870" priority="14662" stopIfTrue="1" operator="equal">
      <formula>"Towel"</formula>
    </cfRule>
    <cfRule type="cellIs" dxfId="11869" priority="14663" stopIfTrue="1" operator="equal">
      <formula>"Napkin Hs"</formula>
    </cfRule>
    <cfRule type="cellIs" dxfId="11868" priority="14664" stopIfTrue="1" operator="equal">
      <formula>"Towel"</formula>
    </cfRule>
    <cfRule type="cellIs" dxfId="11867" priority="14665" stopIfTrue="1" operator="equal">
      <formula>"Napkin Hs"</formula>
    </cfRule>
    <cfRule type="cellIs" dxfId="11866" priority="14666" stopIfTrue="1" operator="equal">
      <formula>"Towel"</formula>
    </cfRule>
    <cfRule type="cellIs" dxfId="11865" priority="14667" stopIfTrue="1" operator="equal">
      <formula>"Napkin Hs"</formula>
    </cfRule>
    <cfRule type="cellIs" dxfId="11864" priority="14668" stopIfTrue="1" operator="equal">
      <formula>"Towel"</formula>
    </cfRule>
    <cfRule type="cellIs" dxfId="11863" priority="14669" stopIfTrue="1" operator="equal">
      <formula>"Napkin Hs"</formula>
    </cfRule>
    <cfRule type="cellIs" dxfId="11862" priority="14672" stopIfTrue="1" operator="equal">
      <formula>"Towel"</formula>
    </cfRule>
    <cfRule type="cellIs" dxfId="11861" priority="14673" stopIfTrue="1" operator="equal">
      <formula>"Napkin Hs"</formula>
    </cfRule>
    <cfRule type="cellIs" dxfId="11860" priority="14675" stopIfTrue="1" operator="equal">
      <formula>"Napkin Hs"</formula>
    </cfRule>
  </conditionalFormatting>
  <conditionalFormatting sqref="C12">
    <cfRule type="cellIs" dxfId="11859" priority="14674" stopIfTrue="1" operator="equal">
      <formula>"Towel"</formula>
    </cfRule>
  </conditionalFormatting>
  <conditionalFormatting sqref="B12:C12">
    <cfRule type="cellIs" dxfId="11858" priority="14652" stopIfTrue="1" operator="equal">
      <formula>"Towel"</formula>
    </cfRule>
    <cfRule type="cellIs" dxfId="11857" priority="14653" stopIfTrue="1" operator="equal">
      <formula>"Napkin Hs"</formula>
    </cfRule>
  </conditionalFormatting>
  <conditionalFormatting sqref="C12">
    <cfRule type="cellIs" dxfId="11856" priority="14651" stopIfTrue="1" operator="equal">
      <formula>"Napkin Hs"</formula>
    </cfRule>
  </conditionalFormatting>
  <conditionalFormatting sqref="C12">
    <cfRule type="cellIs" dxfId="11855" priority="14650" stopIfTrue="1" operator="equal">
      <formula>"Towel"</formula>
    </cfRule>
  </conditionalFormatting>
  <conditionalFormatting sqref="C12">
    <cfRule type="cellIs" dxfId="11854" priority="14648" stopIfTrue="1" operator="equal">
      <formula>"Towel"</formula>
    </cfRule>
  </conditionalFormatting>
  <conditionalFormatting sqref="C12">
    <cfRule type="cellIs" dxfId="11853" priority="14649" stopIfTrue="1" operator="equal">
      <formula>"Napkin Hs"</formula>
    </cfRule>
  </conditionalFormatting>
  <conditionalFormatting sqref="B12">
    <cfRule type="cellIs" dxfId="11852" priority="14552" stopIfTrue="1" operator="equal">
      <formula>"Napkin Hs"</formula>
    </cfRule>
  </conditionalFormatting>
  <conditionalFormatting sqref="B12:C12">
    <cfRule type="cellIs" dxfId="11851" priority="14562" stopIfTrue="1" operator="equal">
      <formula>"Towel"</formula>
    </cfRule>
    <cfRule type="cellIs" dxfId="11850" priority="14563" stopIfTrue="1" operator="equal">
      <formula>"Napkin Hs"</formula>
    </cfRule>
    <cfRule type="cellIs" dxfId="11849" priority="14568" stopIfTrue="1" operator="equal">
      <formula>"Towel"</formula>
    </cfRule>
    <cfRule type="cellIs" dxfId="11848" priority="14569" stopIfTrue="1" operator="equal">
      <formula>"Napkin Hs"</formula>
    </cfRule>
    <cfRule type="cellIs" dxfId="11847" priority="14574" stopIfTrue="1" operator="equal">
      <formula>"Towel"</formula>
    </cfRule>
    <cfRule type="cellIs" dxfId="11846" priority="14575" stopIfTrue="1" operator="equal">
      <formula>"Napkin Hs"</formula>
    </cfRule>
    <cfRule type="cellIs" dxfId="11845" priority="14576" stopIfTrue="1" operator="equal">
      <formula>"Towel"</formula>
    </cfRule>
    <cfRule type="cellIs" dxfId="11844" priority="14577" stopIfTrue="1" operator="equal">
      <formula>"Napkin Hs"</formula>
    </cfRule>
    <cfRule type="cellIs" dxfId="11843" priority="14582" stopIfTrue="1" operator="equal">
      <formula>"Towel"</formula>
    </cfRule>
    <cfRule type="cellIs" dxfId="11842" priority="14583" stopIfTrue="1" operator="equal">
      <formula>"Napkin Hs"</formula>
    </cfRule>
    <cfRule type="cellIs" dxfId="11841" priority="14592" stopIfTrue="1" operator="equal">
      <formula>"Towel"</formula>
    </cfRule>
    <cfRule type="cellIs" dxfId="11840" priority="14593" stopIfTrue="1" operator="equal">
      <formula>"Napkin Hs"</formula>
    </cfRule>
    <cfRule type="cellIs" dxfId="11839" priority="14598" stopIfTrue="1" operator="equal">
      <formula>"Towel"</formula>
    </cfRule>
    <cfRule type="cellIs" dxfId="11838" priority="14599" stopIfTrue="1" operator="equal">
      <formula>"Napkin Hs"</formula>
    </cfRule>
    <cfRule type="cellIs" dxfId="11837" priority="14600" stopIfTrue="1" operator="equal">
      <formula>"Towel"</formula>
    </cfRule>
    <cfRule type="cellIs" dxfId="11836" priority="14601" stopIfTrue="1" operator="equal">
      <formula>"Napkin Hs"</formula>
    </cfRule>
    <cfRule type="cellIs" dxfId="11835" priority="14606" stopIfTrue="1" operator="equal">
      <formula>"Towel"</formula>
    </cfRule>
    <cfRule type="cellIs" dxfId="11834" priority="14607" stopIfTrue="1" operator="equal">
      <formula>"Napkin Hs"</formula>
    </cfRule>
    <cfRule type="cellIs" dxfId="11833" priority="14616" stopIfTrue="1" operator="equal">
      <formula>"Towel"</formula>
    </cfRule>
    <cfRule type="cellIs" dxfId="11832" priority="14617" stopIfTrue="1" operator="equal">
      <formula>"Napkin Hs"</formula>
    </cfRule>
    <cfRule type="cellIs" dxfId="11831" priority="14618" stopIfTrue="1" operator="equal">
      <formula>"Towel"</formula>
    </cfRule>
    <cfRule type="cellIs" dxfId="11830" priority="14619" stopIfTrue="1" operator="equal">
      <formula>"Napkin Hs"</formula>
    </cfRule>
    <cfRule type="cellIs" dxfId="11829" priority="14624" stopIfTrue="1" operator="equal">
      <formula>"Towel"</formula>
    </cfRule>
    <cfRule type="cellIs" dxfId="11828" priority="14625" stopIfTrue="1" operator="equal">
      <formula>"Napkin Hs"</formula>
    </cfRule>
    <cfRule type="cellIs" dxfId="11827" priority="14634" stopIfTrue="1" operator="equal">
      <formula>"Towel"</formula>
    </cfRule>
    <cfRule type="cellIs" dxfId="11826" priority="14635" stopIfTrue="1" operator="equal">
      <formula>"Napkin Hs"</formula>
    </cfRule>
    <cfRule type="cellIs" dxfId="11825" priority="14636" stopIfTrue="1" operator="equal">
      <formula>"Towel"</formula>
    </cfRule>
    <cfRule type="cellIs" dxfId="11824" priority="14637" stopIfTrue="1" operator="equal">
      <formula>"Napkin Hs"</formula>
    </cfRule>
    <cfRule type="cellIs" dxfId="11823" priority="14643" stopIfTrue="1" operator="equal">
      <formula>"Napkin Hs"</formula>
    </cfRule>
  </conditionalFormatting>
  <conditionalFormatting sqref="B12:C12">
    <cfRule type="cellIs" dxfId="11822" priority="14642" stopIfTrue="1" operator="equal">
      <formula>"Towel"</formula>
    </cfRule>
  </conditionalFormatting>
  <conditionalFormatting sqref="C12">
    <cfRule type="cellIs" dxfId="11821" priority="14553" stopIfTrue="1" operator="equal">
      <formula>"Napkin Hs"</formula>
    </cfRule>
    <cfRule type="cellIs" dxfId="11820" priority="14554" stopIfTrue="1" operator="equal">
      <formula>"Towel"</formula>
    </cfRule>
    <cfRule type="cellIs" dxfId="11819" priority="14555" stopIfTrue="1" operator="equal">
      <formula>"Napkin Hs"</formula>
    </cfRule>
    <cfRule type="cellIs" dxfId="11818" priority="14556" stopIfTrue="1" operator="equal">
      <formula>"Towel"</formula>
    </cfRule>
    <cfRule type="cellIs" dxfId="11817" priority="14557" stopIfTrue="1" operator="equal">
      <formula>"Napkin Hs"</formula>
    </cfRule>
    <cfRule type="cellIs" dxfId="11816" priority="14558" stopIfTrue="1" operator="equal">
      <formula>"Towel"</formula>
    </cfRule>
    <cfRule type="cellIs" dxfId="11815" priority="14559" stopIfTrue="1" operator="equal">
      <formula>"Napkin Hs"</formula>
    </cfRule>
    <cfRule type="cellIs" dxfId="11814" priority="14560" stopIfTrue="1" operator="equal">
      <formula>"Towel"</formula>
    </cfRule>
    <cfRule type="cellIs" dxfId="11813" priority="14561" stopIfTrue="1" operator="equal">
      <formula>"Napkin Hs"</formula>
    </cfRule>
    <cfRule type="cellIs" dxfId="11812" priority="14564" stopIfTrue="1" operator="equal">
      <formula>"Towel"</formula>
    </cfRule>
    <cfRule type="cellIs" dxfId="11811" priority="14565" stopIfTrue="1" operator="equal">
      <formula>"Napkin Hs"</formula>
    </cfRule>
    <cfRule type="cellIs" dxfId="11810" priority="14566" stopIfTrue="1" operator="equal">
      <formula>"Towel"</formula>
    </cfRule>
    <cfRule type="cellIs" dxfId="11809" priority="14567" stopIfTrue="1" operator="equal">
      <formula>"Napkin Hs"</formula>
    </cfRule>
    <cfRule type="cellIs" dxfId="11808" priority="14570" stopIfTrue="1" operator="equal">
      <formula>"Towel"</formula>
    </cfRule>
    <cfRule type="cellIs" dxfId="11807" priority="14571" stopIfTrue="1" operator="equal">
      <formula>"Napkin Hs"</formula>
    </cfRule>
    <cfRule type="cellIs" dxfId="11806" priority="14572" stopIfTrue="1" operator="equal">
      <formula>"Towel"</formula>
    </cfRule>
    <cfRule type="cellIs" dxfId="11805" priority="14573" stopIfTrue="1" operator="equal">
      <formula>"Napkin Hs"</formula>
    </cfRule>
    <cfRule type="cellIs" dxfId="11804" priority="14578" stopIfTrue="1" operator="equal">
      <formula>"Towel"</formula>
    </cfRule>
    <cfRule type="cellIs" dxfId="11803" priority="14579" stopIfTrue="1" operator="equal">
      <formula>"Napkin Hs"</formula>
    </cfRule>
    <cfRule type="cellIs" dxfId="11802" priority="14580" stopIfTrue="1" operator="equal">
      <formula>"Towel"</formula>
    </cfRule>
    <cfRule type="cellIs" dxfId="11801" priority="14581" stopIfTrue="1" operator="equal">
      <formula>"Napkin Hs"</formula>
    </cfRule>
    <cfRule type="cellIs" dxfId="11800" priority="14584" stopIfTrue="1" operator="equal">
      <formula>"Towel"</formula>
    </cfRule>
    <cfRule type="cellIs" dxfId="11799" priority="14585" stopIfTrue="1" operator="equal">
      <formula>"Napkin Hs"</formula>
    </cfRule>
    <cfRule type="cellIs" dxfId="11798" priority="14586" stopIfTrue="1" operator="equal">
      <formula>"Towel"</formula>
    </cfRule>
    <cfRule type="cellIs" dxfId="11797" priority="14587" stopIfTrue="1" operator="equal">
      <formula>"Napkin Hs"</formula>
    </cfRule>
    <cfRule type="cellIs" dxfId="11796" priority="14588" stopIfTrue="1" operator="equal">
      <formula>"Towel"</formula>
    </cfRule>
    <cfRule type="cellIs" dxfId="11795" priority="14589" stopIfTrue="1" operator="equal">
      <formula>"Napkin Hs"</formula>
    </cfRule>
    <cfRule type="cellIs" dxfId="11794" priority="14590" stopIfTrue="1" operator="equal">
      <formula>"Towel"</formula>
    </cfRule>
    <cfRule type="cellIs" dxfId="11793" priority="14591" stopIfTrue="1" operator="equal">
      <formula>"Napkin Hs"</formula>
    </cfRule>
    <cfRule type="cellIs" dxfId="11792" priority="14594" stopIfTrue="1" operator="equal">
      <formula>"Towel"</formula>
    </cfRule>
    <cfRule type="cellIs" dxfId="11791" priority="14595" stopIfTrue="1" operator="equal">
      <formula>"Napkin Hs"</formula>
    </cfRule>
    <cfRule type="cellIs" dxfId="11790" priority="14596" stopIfTrue="1" operator="equal">
      <formula>"Towel"</formula>
    </cfRule>
    <cfRule type="cellIs" dxfId="11789" priority="14597" stopIfTrue="1" operator="equal">
      <formula>"Napkin Hs"</formula>
    </cfRule>
    <cfRule type="cellIs" dxfId="11788" priority="14602" stopIfTrue="1" operator="equal">
      <formula>"Towel"</formula>
    </cfRule>
    <cfRule type="cellIs" dxfId="11787" priority="14603" stopIfTrue="1" operator="equal">
      <formula>"Napkin Hs"</formula>
    </cfRule>
    <cfRule type="cellIs" dxfId="11786" priority="14604" stopIfTrue="1" operator="equal">
      <formula>"Towel"</formula>
    </cfRule>
    <cfRule type="cellIs" dxfId="11785" priority="14605" stopIfTrue="1" operator="equal">
      <formula>"Napkin Hs"</formula>
    </cfRule>
    <cfRule type="cellIs" dxfId="11784" priority="14608" stopIfTrue="1" operator="equal">
      <formula>"Towel"</formula>
    </cfRule>
    <cfRule type="cellIs" dxfId="11783" priority="14609" stopIfTrue="1" operator="equal">
      <formula>"Napkin Hs"</formula>
    </cfRule>
    <cfRule type="cellIs" dxfId="11782" priority="14610" stopIfTrue="1" operator="equal">
      <formula>"Towel"</formula>
    </cfRule>
    <cfRule type="cellIs" dxfId="11781" priority="14611" stopIfTrue="1" operator="equal">
      <formula>"Napkin Hs"</formula>
    </cfRule>
    <cfRule type="cellIs" dxfId="11780" priority="14612" stopIfTrue="1" operator="equal">
      <formula>"Towel"</formula>
    </cfRule>
    <cfRule type="cellIs" dxfId="11779" priority="14613" stopIfTrue="1" operator="equal">
      <formula>"Napkin Hs"</formula>
    </cfRule>
    <cfRule type="cellIs" dxfId="11778" priority="14614" stopIfTrue="1" operator="equal">
      <formula>"Towel"</formula>
    </cfRule>
    <cfRule type="cellIs" dxfId="11777" priority="14615" stopIfTrue="1" operator="equal">
      <formula>"Napkin Hs"</formula>
    </cfRule>
    <cfRule type="cellIs" dxfId="11776" priority="14620" stopIfTrue="1" operator="equal">
      <formula>"Towel"</formula>
    </cfRule>
    <cfRule type="cellIs" dxfId="11775" priority="14621" stopIfTrue="1" operator="equal">
      <formula>"Napkin Hs"</formula>
    </cfRule>
    <cfRule type="cellIs" dxfId="11774" priority="14622" stopIfTrue="1" operator="equal">
      <formula>"Towel"</formula>
    </cfRule>
    <cfRule type="cellIs" dxfId="11773" priority="14623" stopIfTrue="1" operator="equal">
      <formula>"Napkin Hs"</formula>
    </cfRule>
    <cfRule type="cellIs" dxfId="11772" priority="14626" stopIfTrue="1" operator="equal">
      <formula>"Towel"</formula>
    </cfRule>
    <cfRule type="cellIs" dxfId="11771" priority="14627" stopIfTrue="1" operator="equal">
      <formula>"Napkin Hs"</formula>
    </cfRule>
    <cfRule type="cellIs" dxfId="11770" priority="14628" stopIfTrue="1" operator="equal">
      <formula>"Towel"</formula>
    </cfRule>
    <cfRule type="cellIs" dxfId="11769" priority="14629" stopIfTrue="1" operator="equal">
      <formula>"Napkin Hs"</formula>
    </cfRule>
    <cfRule type="cellIs" dxfId="11768" priority="14630" stopIfTrue="1" operator="equal">
      <formula>"Towel"</formula>
    </cfRule>
    <cfRule type="cellIs" dxfId="11767" priority="14631" stopIfTrue="1" operator="equal">
      <formula>"Napkin Hs"</formula>
    </cfRule>
    <cfRule type="cellIs" dxfId="11766" priority="14632" stopIfTrue="1" operator="equal">
      <formula>"Towel"</formula>
    </cfRule>
    <cfRule type="cellIs" dxfId="11765" priority="14633" stopIfTrue="1" operator="equal">
      <formula>"Napkin Hs"</formula>
    </cfRule>
    <cfRule type="cellIs" dxfId="11764" priority="14638" stopIfTrue="1" operator="equal">
      <formula>"Towel"</formula>
    </cfRule>
    <cfRule type="cellIs" dxfId="11763" priority="14639" stopIfTrue="1" operator="equal">
      <formula>"Napkin Hs"</formula>
    </cfRule>
    <cfRule type="cellIs" dxfId="11762" priority="14640" stopIfTrue="1" operator="equal">
      <formula>"Towel"</formula>
    </cfRule>
    <cfRule type="cellIs" dxfId="11761" priority="14641" stopIfTrue="1" operator="equal">
      <formula>"Napkin Hs"</formula>
    </cfRule>
    <cfRule type="cellIs" dxfId="11760" priority="14644" stopIfTrue="1" operator="equal">
      <formula>"Towel"</formula>
    </cfRule>
    <cfRule type="cellIs" dxfId="11759" priority="14645" stopIfTrue="1" operator="equal">
      <formula>"Napkin Hs"</formula>
    </cfRule>
    <cfRule type="cellIs" dxfId="11758" priority="14646" stopIfTrue="1" operator="equal">
      <formula>"Towel"</formula>
    </cfRule>
    <cfRule type="cellIs" dxfId="11757" priority="14647" stopIfTrue="1" operator="equal">
      <formula>"Napkin Hs"</formula>
    </cfRule>
  </conditionalFormatting>
  <conditionalFormatting sqref="B13:C14">
    <cfRule type="cellIs" dxfId="11756" priority="14527" stopIfTrue="1" operator="equal">
      <formula>"Towel"</formula>
    </cfRule>
  </conditionalFormatting>
  <conditionalFormatting sqref="B13:C14">
    <cfRule type="cellIs" dxfId="11755" priority="14528" stopIfTrue="1" operator="equal">
      <formula>"Napkin Hs"</formula>
    </cfRule>
    <cfRule type="cellIs" dxfId="11754" priority="14533" stopIfTrue="1" operator="equal">
      <formula>"Towel"</formula>
    </cfRule>
    <cfRule type="cellIs" dxfId="11753" priority="14534" stopIfTrue="1" operator="equal">
      <formula>"Napkin Hs"</formula>
    </cfRule>
    <cfRule type="cellIs" dxfId="11752" priority="14543" stopIfTrue="1" operator="equal">
      <formula>"Towel"</formula>
    </cfRule>
    <cfRule type="cellIs" dxfId="11751" priority="14544" stopIfTrue="1" operator="equal">
      <formula>"Napkin Hs"</formula>
    </cfRule>
    <cfRule type="cellIs" dxfId="11750" priority="14549" stopIfTrue="1" operator="equal">
      <formula>"Towel"</formula>
    </cfRule>
    <cfRule type="cellIs" dxfId="11749" priority="14550" stopIfTrue="1" operator="equal">
      <formula>"Napkin Hs"</formula>
    </cfRule>
  </conditionalFormatting>
  <conditionalFormatting sqref="C13:C14">
    <cfRule type="cellIs" dxfId="11748" priority="14529" stopIfTrue="1" operator="equal">
      <formula>"Towel"</formula>
    </cfRule>
    <cfRule type="cellIs" dxfId="11747" priority="14530" stopIfTrue="1" operator="equal">
      <formula>"Napkin Hs"</formula>
    </cfRule>
    <cfRule type="cellIs" dxfId="11746" priority="14531" stopIfTrue="1" operator="equal">
      <formula>"Towel"</formula>
    </cfRule>
    <cfRule type="cellIs" dxfId="11745" priority="14532" stopIfTrue="1" operator="equal">
      <formula>"Napkin Hs"</formula>
    </cfRule>
    <cfRule type="cellIs" dxfId="11744" priority="14535" stopIfTrue="1" operator="equal">
      <formula>"Towel"</formula>
    </cfRule>
    <cfRule type="cellIs" dxfId="11743" priority="14536" stopIfTrue="1" operator="equal">
      <formula>"Napkin Hs"</formula>
    </cfRule>
    <cfRule type="cellIs" dxfId="11742" priority="14537" stopIfTrue="1" operator="equal">
      <formula>"Towel"</formula>
    </cfRule>
    <cfRule type="cellIs" dxfId="11741" priority="14538" stopIfTrue="1" operator="equal">
      <formula>"Napkin Hs"</formula>
    </cfRule>
    <cfRule type="cellIs" dxfId="11740" priority="14539" stopIfTrue="1" operator="equal">
      <formula>"Towel"</formula>
    </cfRule>
    <cfRule type="cellIs" dxfId="11739" priority="14540" stopIfTrue="1" operator="equal">
      <formula>"Napkin Hs"</formula>
    </cfRule>
    <cfRule type="cellIs" dxfId="11738" priority="14541" stopIfTrue="1" operator="equal">
      <formula>"Towel"</formula>
    </cfRule>
    <cfRule type="cellIs" dxfId="11737" priority="14542" stopIfTrue="1" operator="equal">
      <formula>"Napkin Hs"</formula>
    </cfRule>
    <cfRule type="cellIs" dxfId="11736" priority="14545" stopIfTrue="1" operator="equal">
      <formula>"Towel"</formula>
    </cfRule>
    <cfRule type="cellIs" dxfId="11735" priority="14546" stopIfTrue="1" operator="equal">
      <formula>"Napkin Hs"</formula>
    </cfRule>
    <cfRule type="cellIs" dxfId="11734" priority="14548" stopIfTrue="1" operator="equal">
      <formula>"Napkin Hs"</formula>
    </cfRule>
  </conditionalFormatting>
  <conditionalFormatting sqref="C13:C14">
    <cfRule type="cellIs" dxfId="11733" priority="14547" stopIfTrue="1" operator="equal">
      <formula>"Towel"</formula>
    </cfRule>
  </conditionalFormatting>
  <conditionalFormatting sqref="B13:C14">
    <cfRule type="cellIs" dxfId="11732" priority="14525" stopIfTrue="1" operator="equal">
      <formula>"Towel"</formula>
    </cfRule>
    <cfRule type="cellIs" dxfId="11731" priority="14526" stopIfTrue="1" operator="equal">
      <formula>"Napkin Hs"</formula>
    </cfRule>
  </conditionalFormatting>
  <conditionalFormatting sqref="C13:C14">
    <cfRule type="cellIs" dxfId="11730" priority="14524" stopIfTrue="1" operator="equal">
      <formula>"Napkin Hs"</formula>
    </cfRule>
  </conditionalFormatting>
  <conditionalFormatting sqref="C13:C14">
    <cfRule type="cellIs" dxfId="11729" priority="14523" stopIfTrue="1" operator="equal">
      <formula>"Towel"</formula>
    </cfRule>
  </conditionalFormatting>
  <conditionalFormatting sqref="C13:C14">
    <cfRule type="cellIs" dxfId="11728" priority="14521" stopIfTrue="1" operator="equal">
      <formula>"Towel"</formula>
    </cfRule>
  </conditionalFormatting>
  <conditionalFormatting sqref="C13:C14">
    <cfRule type="cellIs" dxfId="11727" priority="14522" stopIfTrue="1" operator="equal">
      <formula>"Napkin Hs"</formula>
    </cfRule>
  </conditionalFormatting>
  <conditionalFormatting sqref="B13:B14">
    <cfRule type="cellIs" dxfId="11726" priority="14425" stopIfTrue="1" operator="equal">
      <formula>"Napkin Hs"</formula>
    </cfRule>
  </conditionalFormatting>
  <conditionalFormatting sqref="B13:C14">
    <cfRule type="cellIs" dxfId="11725" priority="14424" stopIfTrue="1" operator="equal">
      <formula>"Towel"</formula>
    </cfRule>
  </conditionalFormatting>
  <conditionalFormatting sqref="B13:C14">
    <cfRule type="cellIs" dxfId="11724" priority="14435" stopIfTrue="1" operator="equal">
      <formula>"Towel"</formula>
    </cfRule>
    <cfRule type="cellIs" dxfId="11723" priority="14436" stopIfTrue="1" operator="equal">
      <formula>"Napkin Hs"</formula>
    </cfRule>
    <cfRule type="cellIs" dxfId="11722" priority="14441" stopIfTrue="1" operator="equal">
      <formula>"Towel"</formula>
    </cfRule>
    <cfRule type="cellIs" dxfId="11721" priority="14442" stopIfTrue="1" operator="equal">
      <formula>"Napkin Hs"</formula>
    </cfRule>
    <cfRule type="cellIs" dxfId="11720" priority="14447" stopIfTrue="1" operator="equal">
      <formula>"Towel"</formula>
    </cfRule>
    <cfRule type="cellIs" dxfId="11719" priority="14448" stopIfTrue="1" operator="equal">
      <formula>"Napkin Hs"</formula>
    </cfRule>
    <cfRule type="cellIs" dxfId="11718" priority="14449" stopIfTrue="1" operator="equal">
      <formula>"Towel"</formula>
    </cfRule>
    <cfRule type="cellIs" dxfId="11717" priority="14450" stopIfTrue="1" operator="equal">
      <formula>"Napkin Hs"</formula>
    </cfRule>
    <cfRule type="cellIs" dxfId="11716" priority="14455" stopIfTrue="1" operator="equal">
      <formula>"Towel"</formula>
    </cfRule>
    <cfRule type="cellIs" dxfId="11715" priority="14456" stopIfTrue="1" operator="equal">
      <formula>"Napkin Hs"</formula>
    </cfRule>
    <cfRule type="cellIs" dxfId="11714" priority="14465" stopIfTrue="1" operator="equal">
      <formula>"Towel"</formula>
    </cfRule>
    <cfRule type="cellIs" dxfId="11713" priority="14466" stopIfTrue="1" operator="equal">
      <formula>"Napkin Hs"</formula>
    </cfRule>
    <cfRule type="cellIs" dxfId="11712" priority="14471" stopIfTrue="1" operator="equal">
      <formula>"Towel"</formula>
    </cfRule>
    <cfRule type="cellIs" dxfId="11711" priority="14472" stopIfTrue="1" operator="equal">
      <formula>"Napkin Hs"</formula>
    </cfRule>
    <cfRule type="cellIs" dxfId="11710" priority="14473" stopIfTrue="1" operator="equal">
      <formula>"Towel"</formula>
    </cfRule>
    <cfRule type="cellIs" dxfId="11709" priority="14474" stopIfTrue="1" operator="equal">
      <formula>"Napkin Hs"</formula>
    </cfRule>
    <cfRule type="cellIs" dxfId="11708" priority="14479" stopIfTrue="1" operator="equal">
      <formula>"Towel"</formula>
    </cfRule>
    <cfRule type="cellIs" dxfId="11707" priority="14480" stopIfTrue="1" operator="equal">
      <formula>"Napkin Hs"</formula>
    </cfRule>
    <cfRule type="cellIs" dxfId="11706" priority="14489" stopIfTrue="1" operator="equal">
      <formula>"Towel"</formula>
    </cfRule>
    <cfRule type="cellIs" dxfId="11705" priority="14490" stopIfTrue="1" operator="equal">
      <formula>"Napkin Hs"</formula>
    </cfRule>
    <cfRule type="cellIs" dxfId="11704" priority="14491" stopIfTrue="1" operator="equal">
      <formula>"Towel"</formula>
    </cfRule>
    <cfRule type="cellIs" dxfId="11703" priority="14492" stopIfTrue="1" operator="equal">
      <formula>"Napkin Hs"</formula>
    </cfRule>
    <cfRule type="cellIs" dxfId="11702" priority="14497" stopIfTrue="1" operator="equal">
      <formula>"Towel"</formula>
    </cfRule>
    <cfRule type="cellIs" dxfId="11701" priority="14498" stopIfTrue="1" operator="equal">
      <formula>"Napkin Hs"</formula>
    </cfRule>
    <cfRule type="cellIs" dxfId="11700" priority="14507" stopIfTrue="1" operator="equal">
      <formula>"Towel"</formula>
    </cfRule>
    <cfRule type="cellIs" dxfId="11699" priority="14508" stopIfTrue="1" operator="equal">
      <formula>"Napkin Hs"</formula>
    </cfRule>
    <cfRule type="cellIs" dxfId="11698" priority="14509" stopIfTrue="1" operator="equal">
      <formula>"Towel"</formula>
    </cfRule>
    <cfRule type="cellIs" dxfId="11697" priority="14510" stopIfTrue="1" operator="equal">
      <formula>"Napkin Hs"</formula>
    </cfRule>
    <cfRule type="cellIs" dxfId="11696" priority="14516" stopIfTrue="1" operator="equal">
      <formula>"Napkin Hs"</formula>
    </cfRule>
  </conditionalFormatting>
  <conditionalFormatting sqref="B13:C14">
    <cfRule type="cellIs" dxfId="11695" priority="14515" stopIfTrue="1" operator="equal">
      <formula>"Towel"</formula>
    </cfRule>
  </conditionalFormatting>
  <conditionalFormatting sqref="C13:C14">
    <cfRule type="cellIs" dxfId="11694" priority="14426" stopIfTrue="1" operator="equal">
      <formula>"Napkin Hs"</formula>
    </cfRule>
    <cfRule type="cellIs" dxfId="11693" priority="14427" stopIfTrue="1" operator="equal">
      <formula>"Towel"</formula>
    </cfRule>
    <cfRule type="cellIs" dxfId="11692" priority="14428" stopIfTrue="1" operator="equal">
      <formula>"Napkin Hs"</formula>
    </cfRule>
    <cfRule type="cellIs" dxfId="11691" priority="14429" stopIfTrue="1" operator="equal">
      <formula>"Towel"</formula>
    </cfRule>
    <cfRule type="cellIs" dxfId="11690" priority="14430" stopIfTrue="1" operator="equal">
      <formula>"Napkin Hs"</formula>
    </cfRule>
    <cfRule type="cellIs" dxfId="11689" priority="14431" stopIfTrue="1" operator="equal">
      <formula>"Towel"</formula>
    </cfRule>
    <cfRule type="cellIs" dxfId="11688" priority="14432" stopIfTrue="1" operator="equal">
      <formula>"Napkin Hs"</formula>
    </cfRule>
    <cfRule type="cellIs" dxfId="11687" priority="14433" stopIfTrue="1" operator="equal">
      <formula>"Towel"</formula>
    </cfRule>
    <cfRule type="cellIs" dxfId="11686" priority="14434" stopIfTrue="1" operator="equal">
      <formula>"Napkin Hs"</formula>
    </cfRule>
    <cfRule type="cellIs" dxfId="11685" priority="14437" stopIfTrue="1" operator="equal">
      <formula>"Towel"</formula>
    </cfRule>
    <cfRule type="cellIs" dxfId="11684" priority="14438" stopIfTrue="1" operator="equal">
      <formula>"Napkin Hs"</formula>
    </cfRule>
    <cfRule type="cellIs" dxfId="11683" priority="14439" stopIfTrue="1" operator="equal">
      <formula>"Towel"</formula>
    </cfRule>
    <cfRule type="cellIs" dxfId="11682" priority="14440" stopIfTrue="1" operator="equal">
      <formula>"Napkin Hs"</formula>
    </cfRule>
    <cfRule type="cellIs" dxfId="11681" priority="14443" stopIfTrue="1" operator="equal">
      <formula>"Towel"</formula>
    </cfRule>
    <cfRule type="cellIs" dxfId="11680" priority="14444" stopIfTrue="1" operator="equal">
      <formula>"Napkin Hs"</formula>
    </cfRule>
    <cfRule type="cellIs" dxfId="11679" priority="14445" stopIfTrue="1" operator="equal">
      <formula>"Towel"</formula>
    </cfRule>
    <cfRule type="cellIs" dxfId="11678" priority="14446" stopIfTrue="1" operator="equal">
      <formula>"Napkin Hs"</formula>
    </cfRule>
    <cfRule type="cellIs" dxfId="11677" priority="14451" stopIfTrue="1" operator="equal">
      <formula>"Towel"</formula>
    </cfRule>
    <cfRule type="cellIs" dxfId="11676" priority="14452" stopIfTrue="1" operator="equal">
      <formula>"Napkin Hs"</formula>
    </cfRule>
    <cfRule type="cellIs" dxfId="11675" priority="14453" stopIfTrue="1" operator="equal">
      <formula>"Towel"</formula>
    </cfRule>
    <cfRule type="cellIs" dxfId="11674" priority="14454" stopIfTrue="1" operator="equal">
      <formula>"Napkin Hs"</formula>
    </cfRule>
    <cfRule type="cellIs" dxfId="11673" priority="14457" stopIfTrue="1" operator="equal">
      <formula>"Towel"</formula>
    </cfRule>
    <cfRule type="cellIs" dxfId="11672" priority="14458" stopIfTrue="1" operator="equal">
      <formula>"Napkin Hs"</formula>
    </cfRule>
    <cfRule type="cellIs" dxfId="11671" priority="14459" stopIfTrue="1" operator="equal">
      <formula>"Towel"</formula>
    </cfRule>
    <cfRule type="cellIs" dxfId="11670" priority="14460" stopIfTrue="1" operator="equal">
      <formula>"Napkin Hs"</formula>
    </cfRule>
    <cfRule type="cellIs" dxfId="11669" priority="14461" stopIfTrue="1" operator="equal">
      <formula>"Towel"</formula>
    </cfRule>
    <cfRule type="cellIs" dxfId="11668" priority="14462" stopIfTrue="1" operator="equal">
      <formula>"Napkin Hs"</formula>
    </cfRule>
    <cfRule type="cellIs" dxfId="11667" priority="14463" stopIfTrue="1" operator="equal">
      <formula>"Towel"</formula>
    </cfRule>
    <cfRule type="cellIs" dxfId="11666" priority="14464" stopIfTrue="1" operator="equal">
      <formula>"Napkin Hs"</formula>
    </cfRule>
    <cfRule type="cellIs" dxfId="11665" priority="14467" stopIfTrue="1" operator="equal">
      <formula>"Towel"</formula>
    </cfRule>
    <cfRule type="cellIs" dxfId="11664" priority="14468" stopIfTrue="1" operator="equal">
      <formula>"Napkin Hs"</formula>
    </cfRule>
    <cfRule type="cellIs" dxfId="11663" priority="14469" stopIfTrue="1" operator="equal">
      <formula>"Towel"</formula>
    </cfRule>
    <cfRule type="cellIs" dxfId="11662" priority="14470" stopIfTrue="1" operator="equal">
      <formula>"Napkin Hs"</formula>
    </cfRule>
    <cfRule type="cellIs" dxfId="11661" priority="14475" stopIfTrue="1" operator="equal">
      <formula>"Towel"</formula>
    </cfRule>
    <cfRule type="cellIs" dxfId="11660" priority="14476" stopIfTrue="1" operator="equal">
      <formula>"Napkin Hs"</formula>
    </cfRule>
    <cfRule type="cellIs" dxfId="11659" priority="14477" stopIfTrue="1" operator="equal">
      <formula>"Towel"</formula>
    </cfRule>
    <cfRule type="cellIs" dxfId="11658" priority="14478" stopIfTrue="1" operator="equal">
      <formula>"Napkin Hs"</formula>
    </cfRule>
    <cfRule type="cellIs" dxfId="11657" priority="14481" stopIfTrue="1" operator="equal">
      <formula>"Towel"</formula>
    </cfRule>
    <cfRule type="cellIs" dxfId="11656" priority="14482" stopIfTrue="1" operator="equal">
      <formula>"Napkin Hs"</formula>
    </cfRule>
    <cfRule type="cellIs" dxfId="11655" priority="14483" stopIfTrue="1" operator="equal">
      <formula>"Towel"</formula>
    </cfRule>
    <cfRule type="cellIs" dxfId="11654" priority="14484" stopIfTrue="1" operator="equal">
      <formula>"Napkin Hs"</formula>
    </cfRule>
    <cfRule type="cellIs" dxfId="11653" priority="14485" stopIfTrue="1" operator="equal">
      <formula>"Towel"</formula>
    </cfRule>
    <cfRule type="cellIs" dxfId="11652" priority="14486" stopIfTrue="1" operator="equal">
      <formula>"Napkin Hs"</formula>
    </cfRule>
    <cfRule type="cellIs" dxfId="11651" priority="14487" stopIfTrue="1" operator="equal">
      <formula>"Towel"</formula>
    </cfRule>
    <cfRule type="cellIs" dxfId="11650" priority="14488" stopIfTrue="1" operator="equal">
      <formula>"Napkin Hs"</formula>
    </cfRule>
    <cfRule type="cellIs" dxfId="11649" priority="14493" stopIfTrue="1" operator="equal">
      <formula>"Towel"</formula>
    </cfRule>
    <cfRule type="cellIs" dxfId="11648" priority="14494" stopIfTrue="1" operator="equal">
      <formula>"Napkin Hs"</formula>
    </cfRule>
    <cfRule type="cellIs" dxfId="11647" priority="14495" stopIfTrue="1" operator="equal">
      <formula>"Towel"</formula>
    </cfRule>
    <cfRule type="cellIs" dxfId="11646" priority="14496" stopIfTrue="1" operator="equal">
      <formula>"Napkin Hs"</formula>
    </cfRule>
    <cfRule type="cellIs" dxfId="11645" priority="14499" stopIfTrue="1" operator="equal">
      <formula>"Towel"</formula>
    </cfRule>
    <cfRule type="cellIs" dxfId="11644" priority="14500" stopIfTrue="1" operator="equal">
      <formula>"Napkin Hs"</formula>
    </cfRule>
    <cfRule type="cellIs" dxfId="11643" priority="14501" stopIfTrue="1" operator="equal">
      <formula>"Towel"</formula>
    </cfRule>
    <cfRule type="cellIs" dxfId="11642" priority="14502" stopIfTrue="1" operator="equal">
      <formula>"Napkin Hs"</formula>
    </cfRule>
    <cfRule type="cellIs" dxfId="11641" priority="14503" stopIfTrue="1" operator="equal">
      <formula>"Towel"</formula>
    </cfRule>
    <cfRule type="cellIs" dxfId="11640" priority="14504" stopIfTrue="1" operator="equal">
      <formula>"Napkin Hs"</formula>
    </cfRule>
    <cfRule type="cellIs" dxfId="11639" priority="14505" stopIfTrue="1" operator="equal">
      <formula>"Towel"</formula>
    </cfRule>
    <cfRule type="cellIs" dxfId="11638" priority="14506" stopIfTrue="1" operator="equal">
      <formula>"Napkin Hs"</formula>
    </cfRule>
    <cfRule type="cellIs" dxfId="11637" priority="14511" stopIfTrue="1" operator="equal">
      <formula>"Towel"</formula>
    </cfRule>
    <cfRule type="cellIs" dxfId="11636" priority="14512" stopIfTrue="1" operator="equal">
      <formula>"Napkin Hs"</formula>
    </cfRule>
    <cfRule type="cellIs" dxfId="11635" priority="14513" stopIfTrue="1" operator="equal">
      <formula>"Towel"</formula>
    </cfRule>
    <cfRule type="cellIs" dxfId="11634" priority="14514" stopIfTrue="1" operator="equal">
      <formula>"Napkin Hs"</formula>
    </cfRule>
    <cfRule type="cellIs" dxfId="11633" priority="14517" stopIfTrue="1" operator="equal">
      <formula>"Towel"</formula>
    </cfRule>
    <cfRule type="cellIs" dxfId="11632" priority="14518" stopIfTrue="1" operator="equal">
      <formula>"Napkin Hs"</formula>
    </cfRule>
    <cfRule type="cellIs" dxfId="11631" priority="14519" stopIfTrue="1" operator="equal">
      <formula>"Towel"</formula>
    </cfRule>
    <cfRule type="cellIs" dxfId="11630" priority="14520" stopIfTrue="1" operator="equal">
      <formula>"Napkin Hs"</formula>
    </cfRule>
  </conditionalFormatting>
  <conditionalFormatting sqref="B15">
    <cfRule type="cellIs" dxfId="11629" priority="14416" stopIfTrue="1" operator="equal">
      <formula>"Towel"</formula>
    </cfRule>
  </conditionalFormatting>
  <conditionalFormatting sqref="B15">
    <cfRule type="cellIs" dxfId="11628" priority="14417" stopIfTrue="1" operator="equal">
      <formula>"Napkin Hs"</formula>
    </cfRule>
    <cfRule type="cellIs" dxfId="11627" priority="14418" stopIfTrue="1" operator="equal">
      <formula>"Towel"</formula>
    </cfRule>
    <cfRule type="cellIs" dxfId="11626" priority="14419" stopIfTrue="1" operator="equal">
      <formula>"Napkin Hs"</formula>
    </cfRule>
    <cfRule type="cellIs" dxfId="11625" priority="14420" stopIfTrue="1" operator="equal">
      <formula>"Towel"</formula>
    </cfRule>
    <cfRule type="cellIs" dxfId="11624" priority="14421" stopIfTrue="1" operator="equal">
      <formula>"Napkin Hs"</formula>
    </cfRule>
    <cfRule type="cellIs" dxfId="11623" priority="14422" stopIfTrue="1" operator="equal">
      <formula>"Towel"</formula>
    </cfRule>
    <cfRule type="cellIs" dxfId="11622" priority="14423" stopIfTrue="1" operator="equal">
      <formula>"Napkin Hs"</formula>
    </cfRule>
  </conditionalFormatting>
  <conditionalFormatting sqref="B15">
    <cfRule type="cellIs" dxfId="11621" priority="14414" stopIfTrue="1" operator="equal">
      <formula>"Towel"</formula>
    </cfRule>
    <cfRule type="cellIs" dxfId="11620" priority="14415" stopIfTrue="1" operator="equal">
      <formula>"Napkin Hs"</formula>
    </cfRule>
  </conditionalFormatting>
  <conditionalFormatting sqref="B15">
    <cfRule type="cellIs" dxfId="11619" priority="14383" stopIfTrue="1" operator="equal">
      <formula>"Napkin Hs"</formula>
    </cfRule>
  </conditionalFormatting>
  <conditionalFormatting sqref="B15">
    <cfRule type="cellIs" dxfId="11618" priority="14382" stopIfTrue="1" operator="equal">
      <formula>"Towel"</formula>
    </cfRule>
  </conditionalFormatting>
  <conditionalFormatting sqref="B15">
    <cfRule type="cellIs" dxfId="11617" priority="14384" stopIfTrue="1" operator="equal">
      <formula>"Towel"</formula>
    </cfRule>
    <cfRule type="cellIs" dxfId="11616" priority="14385" stopIfTrue="1" operator="equal">
      <formula>"Napkin Hs"</formula>
    </cfRule>
    <cfRule type="cellIs" dxfId="11615" priority="14386" stopIfTrue="1" operator="equal">
      <formula>"Towel"</formula>
    </cfRule>
    <cfRule type="cellIs" dxfId="11614" priority="14387" stopIfTrue="1" operator="equal">
      <formula>"Napkin Hs"</formula>
    </cfRule>
    <cfRule type="cellIs" dxfId="11613" priority="14388" stopIfTrue="1" operator="equal">
      <formula>"Towel"</formula>
    </cfRule>
    <cfRule type="cellIs" dxfId="11612" priority="14389" stopIfTrue="1" operator="equal">
      <formula>"Napkin Hs"</formula>
    </cfRule>
    <cfRule type="cellIs" dxfId="11611" priority="14390" stopIfTrue="1" operator="equal">
      <formula>"Towel"</formula>
    </cfRule>
    <cfRule type="cellIs" dxfId="11610" priority="14391" stopIfTrue="1" operator="equal">
      <formula>"Napkin Hs"</formula>
    </cfRule>
    <cfRule type="cellIs" dxfId="11609" priority="14392" stopIfTrue="1" operator="equal">
      <formula>"Towel"</formula>
    </cfRule>
    <cfRule type="cellIs" dxfId="11608" priority="14393" stopIfTrue="1" operator="equal">
      <formula>"Napkin Hs"</formula>
    </cfRule>
    <cfRule type="cellIs" dxfId="11607" priority="14394" stopIfTrue="1" operator="equal">
      <formula>"Towel"</formula>
    </cfRule>
    <cfRule type="cellIs" dxfId="11606" priority="14395" stopIfTrue="1" operator="equal">
      <formula>"Napkin Hs"</formula>
    </cfRule>
    <cfRule type="cellIs" dxfId="11605" priority="14396" stopIfTrue="1" operator="equal">
      <formula>"Towel"</formula>
    </cfRule>
    <cfRule type="cellIs" dxfId="11604" priority="14397" stopIfTrue="1" operator="equal">
      <formula>"Napkin Hs"</formula>
    </cfRule>
    <cfRule type="cellIs" dxfId="11603" priority="14398" stopIfTrue="1" operator="equal">
      <formula>"Towel"</formula>
    </cfRule>
    <cfRule type="cellIs" dxfId="11602" priority="14399" stopIfTrue="1" operator="equal">
      <formula>"Napkin Hs"</formula>
    </cfRule>
    <cfRule type="cellIs" dxfId="11601" priority="14400" stopIfTrue="1" operator="equal">
      <formula>"Towel"</formula>
    </cfRule>
    <cfRule type="cellIs" dxfId="11600" priority="14401" stopIfTrue="1" operator="equal">
      <formula>"Napkin Hs"</formula>
    </cfRule>
    <cfRule type="cellIs" dxfId="11599" priority="14402" stopIfTrue="1" operator="equal">
      <formula>"Towel"</formula>
    </cfRule>
    <cfRule type="cellIs" dxfId="11598" priority="14403" stopIfTrue="1" operator="equal">
      <formula>"Napkin Hs"</formula>
    </cfRule>
    <cfRule type="cellIs" dxfId="11597" priority="14404" stopIfTrue="1" operator="equal">
      <formula>"Towel"</formula>
    </cfRule>
    <cfRule type="cellIs" dxfId="11596" priority="14405" stopIfTrue="1" operator="equal">
      <formula>"Napkin Hs"</formula>
    </cfRule>
    <cfRule type="cellIs" dxfId="11595" priority="14406" stopIfTrue="1" operator="equal">
      <formula>"Towel"</formula>
    </cfRule>
    <cfRule type="cellIs" dxfId="11594" priority="14407" stopIfTrue="1" operator="equal">
      <formula>"Napkin Hs"</formula>
    </cfRule>
    <cfRule type="cellIs" dxfId="11593" priority="14408" stopIfTrue="1" operator="equal">
      <formula>"Towel"</formula>
    </cfRule>
    <cfRule type="cellIs" dxfId="11592" priority="14409" stopIfTrue="1" operator="equal">
      <formula>"Napkin Hs"</formula>
    </cfRule>
    <cfRule type="cellIs" dxfId="11591" priority="14410" stopIfTrue="1" operator="equal">
      <formula>"Towel"</formula>
    </cfRule>
    <cfRule type="cellIs" dxfId="11590" priority="14411" stopIfTrue="1" operator="equal">
      <formula>"Napkin Hs"</formula>
    </cfRule>
    <cfRule type="cellIs" dxfId="11589" priority="14413" stopIfTrue="1" operator="equal">
      <formula>"Napkin Hs"</formula>
    </cfRule>
  </conditionalFormatting>
  <conditionalFormatting sqref="B15">
    <cfRule type="cellIs" dxfId="11588" priority="14412" stopIfTrue="1" operator="equal">
      <formula>"Towel"</formula>
    </cfRule>
  </conditionalFormatting>
  <conditionalFormatting sqref="C15">
    <cfRule type="cellIs" dxfId="11587" priority="14112" stopIfTrue="1" operator="equal">
      <formula>"Towel"</formula>
    </cfRule>
    <cfRule type="cellIs" dxfId="11586" priority="14113" stopIfTrue="1" operator="equal">
      <formula>"Napkin Hs"</formula>
    </cfRule>
  </conditionalFormatting>
  <conditionalFormatting sqref="C15">
    <cfRule type="cellIs" dxfId="11585" priority="14114" stopIfTrue="1" operator="equal">
      <formula>"Towel"</formula>
    </cfRule>
    <cfRule type="cellIs" dxfId="11584" priority="14115" stopIfTrue="1" operator="equal">
      <formula>"Napkin Hs"</formula>
    </cfRule>
  </conditionalFormatting>
  <conditionalFormatting sqref="B15:C15">
    <cfRule type="cellIs" dxfId="11583" priority="14110" stopIfTrue="1" operator="equal">
      <formula>"Towel"</formula>
    </cfRule>
    <cfRule type="cellIs" dxfId="11582" priority="14111" stopIfTrue="1" operator="equal">
      <formula>"Napkin Hs"</formula>
    </cfRule>
  </conditionalFormatting>
  <conditionalFormatting sqref="B15:C15">
    <cfRule type="cellIs" dxfId="11581" priority="14104" stopIfTrue="1" operator="equal">
      <formula>"Towel"</formula>
    </cfRule>
    <cfRule type="cellIs" dxfId="11580" priority="14105" stopIfTrue="1" operator="equal">
      <formula>"Napkin Hs"</formula>
    </cfRule>
  </conditionalFormatting>
  <conditionalFormatting sqref="C15">
    <cfRule type="cellIs" dxfId="11579" priority="14106" stopIfTrue="1" operator="equal">
      <formula>"Towel"</formula>
    </cfRule>
    <cfRule type="cellIs" dxfId="11578" priority="14107" stopIfTrue="1" operator="equal">
      <formula>"Napkin Hs"</formula>
    </cfRule>
  </conditionalFormatting>
  <conditionalFormatting sqref="C15">
    <cfRule type="cellIs" dxfId="11577" priority="14108" stopIfTrue="1" operator="equal">
      <formula>"Towel"</formula>
    </cfRule>
    <cfRule type="cellIs" dxfId="11576" priority="14109" stopIfTrue="1" operator="equal">
      <formula>"Napkin Hs"</formula>
    </cfRule>
  </conditionalFormatting>
  <conditionalFormatting sqref="B14:C14">
    <cfRule type="cellIs" dxfId="11575" priority="13971" stopIfTrue="1" operator="equal">
      <formula>"Towel"</formula>
    </cfRule>
    <cfRule type="cellIs" dxfId="11574" priority="13972" stopIfTrue="1" operator="equal">
      <formula>"Napkin Hs"</formula>
    </cfRule>
  </conditionalFormatting>
  <conditionalFormatting sqref="C14">
    <cfRule type="cellIs" dxfId="11573" priority="13967" stopIfTrue="1" operator="equal">
      <formula>"Towel"</formula>
    </cfRule>
    <cfRule type="cellIs" dxfId="11572" priority="13968" stopIfTrue="1" operator="equal">
      <formula>"Napkin Hs"</formula>
    </cfRule>
  </conditionalFormatting>
  <conditionalFormatting sqref="C14">
    <cfRule type="cellIs" dxfId="11571" priority="13969" stopIfTrue="1" operator="equal">
      <formula>"Towel"</formula>
    </cfRule>
    <cfRule type="cellIs" dxfId="11570" priority="13970" stopIfTrue="1" operator="equal">
      <formula>"Napkin Hs"</formula>
    </cfRule>
  </conditionalFormatting>
  <conditionalFormatting sqref="B14:C14">
    <cfRule type="cellIs" dxfId="11569" priority="13965" stopIfTrue="1" operator="equal">
      <formula>"Towel"</formula>
    </cfRule>
    <cfRule type="cellIs" dxfId="11568" priority="13966" stopIfTrue="1" operator="equal">
      <formula>"Napkin Hs"</formula>
    </cfRule>
  </conditionalFormatting>
  <conditionalFormatting sqref="C14">
    <cfRule type="cellIs" dxfId="11567" priority="13963" stopIfTrue="1" operator="equal">
      <formula>"Towel"</formula>
    </cfRule>
    <cfRule type="cellIs" dxfId="11566" priority="13964" stopIfTrue="1" operator="equal">
      <formula>"Napkin Hs"</formula>
    </cfRule>
  </conditionalFormatting>
  <conditionalFormatting sqref="C14">
    <cfRule type="cellIs" dxfId="11565" priority="13961" stopIfTrue="1" operator="equal">
      <formula>"Towel"</formula>
    </cfRule>
    <cfRule type="cellIs" dxfId="11564" priority="13962" stopIfTrue="1" operator="equal">
      <formula>"Napkin Hs"</formula>
    </cfRule>
  </conditionalFormatting>
  <conditionalFormatting sqref="C14">
    <cfRule type="cellIs" dxfId="11563" priority="13953" stopIfTrue="1" operator="equal">
      <formula>"Towel"</formula>
    </cfRule>
    <cfRule type="cellIs" dxfId="11562" priority="13954" stopIfTrue="1" operator="equal">
      <formula>"Napkin Hs"</formula>
    </cfRule>
  </conditionalFormatting>
  <conditionalFormatting sqref="B14:C14">
    <cfRule type="cellIs" dxfId="11561" priority="13955" stopIfTrue="1" operator="equal">
      <formula>"Towel"</formula>
    </cfRule>
    <cfRule type="cellIs" dxfId="11560" priority="13956" stopIfTrue="1" operator="equal">
      <formula>"Napkin Hs"</formula>
    </cfRule>
  </conditionalFormatting>
  <conditionalFormatting sqref="C14">
    <cfRule type="cellIs" dxfId="11559" priority="13951" stopIfTrue="1" operator="equal">
      <formula>"Towel"</formula>
    </cfRule>
    <cfRule type="cellIs" dxfId="11558" priority="13952" stopIfTrue="1" operator="equal">
      <formula>"Napkin Hs"</formula>
    </cfRule>
  </conditionalFormatting>
  <conditionalFormatting sqref="B14:C14">
    <cfRule type="cellIs" dxfId="11557" priority="13949" stopIfTrue="1" operator="equal">
      <formula>"Towel"</formula>
    </cfRule>
    <cfRule type="cellIs" dxfId="11556" priority="13950" stopIfTrue="1" operator="equal">
      <formula>"Napkin Hs"</formula>
    </cfRule>
  </conditionalFormatting>
  <conditionalFormatting sqref="C14">
    <cfRule type="cellIs" dxfId="11555" priority="13957" stopIfTrue="1" operator="equal">
      <formula>"Towel"</formula>
    </cfRule>
    <cfRule type="cellIs" dxfId="11554" priority="13958" stopIfTrue="1" operator="equal">
      <formula>"Napkin Hs"</formula>
    </cfRule>
  </conditionalFormatting>
  <conditionalFormatting sqref="C14">
    <cfRule type="cellIs" dxfId="11553" priority="13959" stopIfTrue="1" operator="equal">
      <formula>"Towel"</formula>
    </cfRule>
    <cfRule type="cellIs" dxfId="11552" priority="13960" stopIfTrue="1" operator="equal">
      <formula>"Napkin Hs"</formula>
    </cfRule>
  </conditionalFormatting>
  <conditionalFormatting sqref="B14:C14">
    <cfRule type="cellIs" dxfId="11551" priority="13947" stopIfTrue="1" operator="equal">
      <formula>"Towel"</formula>
    </cfRule>
    <cfRule type="cellIs" dxfId="11550" priority="13948" stopIfTrue="1" operator="equal">
      <formula>"Napkin Hs"</formula>
    </cfRule>
  </conditionalFormatting>
  <conditionalFormatting sqref="C14">
    <cfRule type="cellIs" dxfId="11549" priority="13943" stopIfTrue="1" operator="equal">
      <formula>"Towel"</formula>
    </cfRule>
    <cfRule type="cellIs" dxfId="11548" priority="13944" stopIfTrue="1" operator="equal">
      <formula>"Napkin Hs"</formula>
    </cfRule>
  </conditionalFormatting>
  <conditionalFormatting sqref="C14">
    <cfRule type="cellIs" dxfId="11547" priority="13945" stopIfTrue="1" operator="equal">
      <formula>"Towel"</formula>
    </cfRule>
    <cfRule type="cellIs" dxfId="11546" priority="13946" stopIfTrue="1" operator="equal">
      <formula>"Napkin Hs"</formula>
    </cfRule>
  </conditionalFormatting>
  <conditionalFormatting sqref="B14:C14">
    <cfRule type="cellIs" dxfId="11545" priority="13941" stopIfTrue="1" operator="equal">
      <formula>"Towel"</formula>
    </cfRule>
    <cfRule type="cellIs" dxfId="11544" priority="13942" stopIfTrue="1" operator="equal">
      <formula>"Napkin Hs"</formula>
    </cfRule>
  </conditionalFormatting>
  <conditionalFormatting sqref="C14">
    <cfRule type="cellIs" dxfId="11543" priority="13939" stopIfTrue="1" operator="equal">
      <formula>"Towel"</formula>
    </cfRule>
    <cfRule type="cellIs" dxfId="11542" priority="13940" stopIfTrue="1" operator="equal">
      <formula>"Napkin Hs"</formula>
    </cfRule>
  </conditionalFormatting>
  <conditionalFormatting sqref="C14">
    <cfRule type="cellIs" dxfId="11541" priority="13937" stopIfTrue="1" operator="equal">
      <formula>"Towel"</formula>
    </cfRule>
    <cfRule type="cellIs" dxfId="11540" priority="13938" stopIfTrue="1" operator="equal">
      <formula>"Napkin Hs"</formula>
    </cfRule>
  </conditionalFormatting>
  <conditionalFormatting sqref="C14">
    <cfRule type="cellIs" dxfId="11539" priority="13929" stopIfTrue="1" operator="equal">
      <formula>"Towel"</formula>
    </cfRule>
    <cfRule type="cellIs" dxfId="11538" priority="13930" stopIfTrue="1" operator="equal">
      <formula>"Napkin Hs"</formula>
    </cfRule>
  </conditionalFormatting>
  <conditionalFormatting sqref="B14:C14">
    <cfRule type="cellIs" dxfId="11537" priority="13931" stopIfTrue="1" operator="equal">
      <formula>"Towel"</formula>
    </cfRule>
    <cfRule type="cellIs" dxfId="11536" priority="13932" stopIfTrue="1" operator="equal">
      <formula>"Napkin Hs"</formula>
    </cfRule>
  </conditionalFormatting>
  <conditionalFormatting sqref="C14">
    <cfRule type="cellIs" dxfId="11535" priority="13927" stopIfTrue="1" operator="equal">
      <formula>"Towel"</formula>
    </cfRule>
    <cfRule type="cellIs" dxfId="11534" priority="13928" stopIfTrue="1" operator="equal">
      <formula>"Napkin Hs"</formula>
    </cfRule>
  </conditionalFormatting>
  <conditionalFormatting sqref="B14:C14">
    <cfRule type="cellIs" dxfId="11533" priority="13925" stopIfTrue="1" operator="equal">
      <formula>"Towel"</formula>
    </cfRule>
    <cfRule type="cellIs" dxfId="11532" priority="13926" stopIfTrue="1" operator="equal">
      <formula>"Napkin Hs"</formula>
    </cfRule>
  </conditionalFormatting>
  <conditionalFormatting sqref="C14">
    <cfRule type="cellIs" dxfId="11531" priority="13933" stopIfTrue="1" operator="equal">
      <formula>"Towel"</formula>
    </cfRule>
    <cfRule type="cellIs" dxfId="11530" priority="13934" stopIfTrue="1" operator="equal">
      <formula>"Napkin Hs"</formula>
    </cfRule>
  </conditionalFormatting>
  <conditionalFormatting sqref="C14">
    <cfRule type="cellIs" dxfId="11529" priority="13935" stopIfTrue="1" operator="equal">
      <formula>"Towel"</formula>
    </cfRule>
    <cfRule type="cellIs" dxfId="11528" priority="13936" stopIfTrue="1" operator="equal">
      <formula>"Napkin Hs"</formula>
    </cfRule>
  </conditionalFormatting>
  <conditionalFormatting sqref="B11:C11">
    <cfRule type="cellIs" dxfId="11527" priority="13923" stopIfTrue="1" operator="equal">
      <formula>"Towel"</formula>
    </cfRule>
    <cfRule type="cellIs" dxfId="11526" priority="13924" stopIfTrue="1" operator="equal">
      <formula>"Napkin Hs"</formula>
    </cfRule>
  </conditionalFormatting>
  <conditionalFormatting sqref="C11">
    <cfRule type="cellIs" dxfId="11525" priority="13919" stopIfTrue="1" operator="equal">
      <formula>"Towel"</formula>
    </cfRule>
    <cfRule type="cellIs" dxfId="11524" priority="13920" stopIfTrue="1" operator="equal">
      <formula>"Napkin Hs"</formula>
    </cfRule>
  </conditionalFormatting>
  <conditionalFormatting sqref="C11">
    <cfRule type="cellIs" dxfId="11523" priority="13921" stopIfTrue="1" operator="equal">
      <formula>"Towel"</formula>
    </cfRule>
    <cfRule type="cellIs" dxfId="11522" priority="13922" stopIfTrue="1" operator="equal">
      <formula>"Napkin Hs"</formula>
    </cfRule>
  </conditionalFormatting>
  <conditionalFormatting sqref="B11:C11">
    <cfRule type="cellIs" dxfId="11521" priority="13917" stopIfTrue="1" operator="equal">
      <formula>"Towel"</formula>
    </cfRule>
    <cfRule type="cellIs" dxfId="11520" priority="13918" stopIfTrue="1" operator="equal">
      <formula>"Napkin Hs"</formula>
    </cfRule>
  </conditionalFormatting>
  <conditionalFormatting sqref="C11">
    <cfRule type="cellIs" dxfId="11519" priority="13915" stopIfTrue="1" operator="equal">
      <formula>"Towel"</formula>
    </cfRule>
    <cfRule type="cellIs" dxfId="11518" priority="13916" stopIfTrue="1" operator="equal">
      <formula>"Napkin Hs"</formula>
    </cfRule>
  </conditionalFormatting>
  <conditionalFormatting sqref="C11">
    <cfRule type="cellIs" dxfId="11517" priority="13913" stopIfTrue="1" operator="equal">
      <formula>"Towel"</formula>
    </cfRule>
    <cfRule type="cellIs" dxfId="11516" priority="13914" stopIfTrue="1" operator="equal">
      <formula>"Napkin Hs"</formula>
    </cfRule>
  </conditionalFormatting>
  <conditionalFormatting sqref="C11">
    <cfRule type="cellIs" dxfId="11515" priority="13905" stopIfTrue="1" operator="equal">
      <formula>"Towel"</formula>
    </cfRule>
    <cfRule type="cellIs" dxfId="11514" priority="13906" stopIfTrue="1" operator="equal">
      <formula>"Napkin Hs"</formula>
    </cfRule>
  </conditionalFormatting>
  <conditionalFormatting sqref="B11:C11">
    <cfRule type="cellIs" dxfId="11513" priority="13907" stopIfTrue="1" operator="equal">
      <formula>"Towel"</formula>
    </cfRule>
    <cfRule type="cellIs" dxfId="11512" priority="13908" stopIfTrue="1" operator="equal">
      <formula>"Napkin Hs"</formula>
    </cfRule>
  </conditionalFormatting>
  <conditionalFormatting sqref="C11">
    <cfRule type="cellIs" dxfId="11511" priority="13903" stopIfTrue="1" operator="equal">
      <formula>"Towel"</formula>
    </cfRule>
    <cfRule type="cellIs" dxfId="11510" priority="13904" stopIfTrue="1" operator="equal">
      <formula>"Napkin Hs"</formula>
    </cfRule>
  </conditionalFormatting>
  <conditionalFormatting sqref="B11:C11">
    <cfRule type="cellIs" dxfId="11509" priority="13901" stopIfTrue="1" operator="equal">
      <formula>"Towel"</formula>
    </cfRule>
    <cfRule type="cellIs" dxfId="11508" priority="13902" stopIfTrue="1" operator="equal">
      <formula>"Napkin Hs"</formula>
    </cfRule>
  </conditionalFormatting>
  <conditionalFormatting sqref="C11">
    <cfRule type="cellIs" dxfId="11507" priority="13909" stopIfTrue="1" operator="equal">
      <formula>"Towel"</formula>
    </cfRule>
    <cfRule type="cellIs" dxfId="11506" priority="13910" stopIfTrue="1" operator="equal">
      <formula>"Napkin Hs"</formula>
    </cfRule>
  </conditionalFormatting>
  <conditionalFormatting sqref="C11">
    <cfRule type="cellIs" dxfId="11505" priority="13911" stopIfTrue="1" operator="equal">
      <formula>"Towel"</formula>
    </cfRule>
    <cfRule type="cellIs" dxfId="11504" priority="13912" stopIfTrue="1" operator="equal">
      <formula>"Napkin Hs"</formula>
    </cfRule>
  </conditionalFormatting>
  <conditionalFormatting sqref="B11:C11">
    <cfRule type="cellIs" dxfId="11503" priority="13897" stopIfTrue="1" operator="equal">
      <formula>"Towel"</formula>
    </cfRule>
    <cfRule type="cellIs" dxfId="11502" priority="13898" stopIfTrue="1" operator="equal">
      <formula>"Napkin Hs"</formula>
    </cfRule>
  </conditionalFormatting>
  <conditionalFormatting sqref="C11">
    <cfRule type="cellIs" dxfId="11501" priority="13899" stopIfTrue="1" operator="equal">
      <formula>"Towel"</formula>
    </cfRule>
    <cfRule type="cellIs" dxfId="11500" priority="13900" stopIfTrue="1" operator="equal">
      <formula>"Napkin Hs"</formula>
    </cfRule>
  </conditionalFormatting>
  <conditionalFormatting sqref="C11">
    <cfRule type="cellIs" dxfId="11499" priority="13895" stopIfTrue="1" operator="equal">
      <formula>"Towel"</formula>
    </cfRule>
    <cfRule type="cellIs" dxfId="11498" priority="13896" stopIfTrue="1" operator="equal">
      <formula>"Napkin Hs"</formula>
    </cfRule>
  </conditionalFormatting>
  <conditionalFormatting sqref="B11:C11">
    <cfRule type="cellIs" dxfId="11497" priority="13893" stopIfTrue="1" operator="equal">
      <formula>"Towel"</formula>
    </cfRule>
    <cfRule type="cellIs" dxfId="11496" priority="13894" stopIfTrue="1" operator="equal">
      <formula>"Napkin Hs"</formula>
    </cfRule>
  </conditionalFormatting>
  <conditionalFormatting sqref="C11">
    <cfRule type="cellIs" dxfId="11495" priority="13889" stopIfTrue="1" operator="equal">
      <formula>"Towel"</formula>
    </cfRule>
    <cfRule type="cellIs" dxfId="11494" priority="13890" stopIfTrue="1" operator="equal">
      <formula>"Napkin Hs"</formula>
    </cfRule>
  </conditionalFormatting>
  <conditionalFormatting sqref="C11">
    <cfRule type="cellIs" dxfId="11493" priority="13891" stopIfTrue="1" operator="equal">
      <formula>"Towel"</formula>
    </cfRule>
    <cfRule type="cellIs" dxfId="11492" priority="13892" stopIfTrue="1" operator="equal">
      <formula>"Napkin Hs"</formula>
    </cfRule>
  </conditionalFormatting>
  <conditionalFormatting sqref="B12:C12">
    <cfRule type="cellIs" dxfId="11491" priority="13885" stopIfTrue="1" operator="equal">
      <formula>"Towel"</formula>
    </cfRule>
    <cfRule type="cellIs" dxfId="11490" priority="13886" stopIfTrue="1" operator="equal">
      <formula>"Napkin Hs"</formula>
    </cfRule>
  </conditionalFormatting>
  <conditionalFormatting sqref="C12">
    <cfRule type="cellIs" dxfId="11489" priority="13887" stopIfTrue="1" operator="equal">
      <formula>"Towel"</formula>
    </cfRule>
    <cfRule type="cellIs" dxfId="11488" priority="13888" stopIfTrue="1" operator="equal">
      <formula>"Napkin Hs"</formula>
    </cfRule>
  </conditionalFormatting>
  <conditionalFormatting sqref="C12">
    <cfRule type="cellIs" dxfId="11487" priority="13883" stopIfTrue="1" operator="equal">
      <formula>"Towel"</formula>
    </cfRule>
    <cfRule type="cellIs" dxfId="11486" priority="13884" stopIfTrue="1" operator="equal">
      <formula>"Napkin Hs"</formula>
    </cfRule>
  </conditionalFormatting>
  <conditionalFormatting sqref="B12:C12">
    <cfRule type="cellIs" dxfId="11485" priority="13881" stopIfTrue="1" operator="equal">
      <formula>"Towel"</formula>
    </cfRule>
    <cfRule type="cellIs" dxfId="11484" priority="13882" stopIfTrue="1" operator="equal">
      <formula>"Napkin Hs"</formula>
    </cfRule>
  </conditionalFormatting>
  <conditionalFormatting sqref="C12">
    <cfRule type="cellIs" dxfId="11483" priority="13877" stopIfTrue="1" operator="equal">
      <formula>"Towel"</formula>
    </cfRule>
    <cfRule type="cellIs" dxfId="11482" priority="13878" stopIfTrue="1" operator="equal">
      <formula>"Napkin Hs"</formula>
    </cfRule>
  </conditionalFormatting>
  <conditionalFormatting sqref="C12">
    <cfRule type="cellIs" dxfId="11481" priority="13879" stopIfTrue="1" operator="equal">
      <formula>"Towel"</formula>
    </cfRule>
    <cfRule type="cellIs" dxfId="11480" priority="13880" stopIfTrue="1" operator="equal">
      <formula>"Napkin Hs"</formula>
    </cfRule>
  </conditionalFormatting>
  <conditionalFormatting sqref="B13:C13">
    <cfRule type="cellIs" dxfId="11479" priority="13873" stopIfTrue="1" operator="equal">
      <formula>"Towel"</formula>
    </cfRule>
    <cfRule type="cellIs" dxfId="11478" priority="13874" stopIfTrue="1" operator="equal">
      <formula>"Napkin Hs"</formula>
    </cfRule>
  </conditionalFormatting>
  <conditionalFormatting sqref="C13">
    <cfRule type="cellIs" dxfId="11477" priority="13875" stopIfTrue="1" operator="equal">
      <formula>"Towel"</formula>
    </cfRule>
    <cfRule type="cellIs" dxfId="11476" priority="13876" stopIfTrue="1" operator="equal">
      <formula>"Napkin Hs"</formula>
    </cfRule>
  </conditionalFormatting>
  <conditionalFormatting sqref="C13">
    <cfRule type="cellIs" dxfId="11475" priority="13871" stopIfTrue="1" operator="equal">
      <formula>"Towel"</formula>
    </cfRule>
    <cfRule type="cellIs" dxfId="11474" priority="13872" stopIfTrue="1" operator="equal">
      <formula>"Napkin Hs"</formula>
    </cfRule>
  </conditionalFormatting>
  <conditionalFormatting sqref="B13:C13">
    <cfRule type="cellIs" dxfId="11473" priority="13869" stopIfTrue="1" operator="equal">
      <formula>"Towel"</formula>
    </cfRule>
    <cfRule type="cellIs" dxfId="11472" priority="13870" stopIfTrue="1" operator="equal">
      <formula>"Napkin Hs"</formula>
    </cfRule>
  </conditionalFormatting>
  <conditionalFormatting sqref="C13">
    <cfRule type="cellIs" dxfId="11471" priority="13865" stopIfTrue="1" operator="equal">
      <formula>"Towel"</formula>
    </cfRule>
    <cfRule type="cellIs" dxfId="11470" priority="13866" stopIfTrue="1" operator="equal">
      <formula>"Napkin Hs"</formula>
    </cfRule>
  </conditionalFormatting>
  <conditionalFormatting sqref="C13">
    <cfRule type="cellIs" dxfId="11469" priority="13867" stopIfTrue="1" operator="equal">
      <formula>"Towel"</formula>
    </cfRule>
    <cfRule type="cellIs" dxfId="11468" priority="13868" stopIfTrue="1" operator="equal">
      <formula>"Napkin Hs"</formula>
    </cfRule>
  </conditionalFormatting>
  <conditionalFormatting sqref="B14:C14">
    <cfRule type="cellIs" dxfId="11467" priority="13863" stopIfTrue="1" operator="equal">
      <formula>"Towel"</formula>
    </cfRule>
    <cfRule type="cellIs" dxfId="11466" priority="13864" stopIfTrue="1" operator="equal">
      <formula>"Napkin Hs"</formula>
    </cfRule>
  </conditionalFormatting>
  <conditionalFormatting sqref="C14">
    <cfRule type="cellIs" dxfId="11465" priority="13859" stopIfTrue="1" operator="equal">
      <formula>"Towel"</formula>
    </cfRule>
    <cfRule type="cellIs" dxfId="11464" priority="13860" stopIfTrue="1" operator="equal">
      <formula>"Napkin Hs"</formula>
    </cfRule>
  </conditionalFormatting>
  <conditionalFormatting sqref="C14">
    <cfRule type="cellIs" dxfId="11463" priority="13861" stopIfTrue="1" operator="equal">
      <formula>"Towel"</formula>
    </cfRule>
    <cfRule type="cellIs" dxfId="11462" priority="13862" stopIfTrue="1" operator="equal">
      <formula>"Napkin Hs"</formula>
    </cfRule>
  </conditionalFormatting>
  <conditionalFormatting sqref="B14:C14">
    <cfRule type="cellIs" dxfId="11461" priority="13857" stopIfTrue="1" operator="equal">
      <formula>"Towel"</formula>
    </cfRule>
    <cfRule type="cellIs" dxfId="11460" priority="13858" stopIfTrue="1" operator="equal">
      <formula>"Napkin Hs"</formula>
    </cfRule>
  </conditionalFormatting>
  <conditionalFormatting sqref="C14">
    <cfRule type="cellIs" dxfId="11459" priority="13855" stopIfTrue="1" operator="equal">
      <formula>"Towel"</formula>
    </cfRule>
    <cfRule type="cellIs" dxfId="11458" priority="13856" stopIfTrue="1" operator="equal">
      <formula>"Napkin Hs"</formula>
    </cfRule>
  </conditionalFormatting>
  <conditionalFormatting sqref="C14">
    <cfRule type="cellIs" dxfId="11457" priority="13853" stopIfTrue="1" operator="equal">
      <formula>"Towel"</formula>
    </cfRule>
    <cfRule type="cellIs" dxfId="11456" priority="13854" stopIfTrue="1" operator="equal">
      <formula>"Napkin Hs"</formula>
    </cfRule>
  </conditionalFormatting>
  <conditionalFormatting sqref="C14">
    <cfRule type="cellIs" dxfId="11455" priority="13845" stopIfTrue="1" operator="equal">
      <formula>"Towel"</formula>
    </cfRule>
    <cfRule type="cellIs" dxfId="11454" priority="13846" stopIfTrue="1" operator="equal">
      <formula>"Napkin Hs"</formula>
    </cfRule>
  </conditionalFormatting>
  <conditionalFormatting sqref="B14:C14">
    <cfRule type="cellIs" dxfId="11453" priority="13847" stopIfTrue="1" operator="equal">
      <formula>"Towel"</formula>
    </cfRule>
    <cfRule type="cellIs" dxfId="11452" priority="13848" stopIfTrue="1" operator="equal">
      <formula>"Napkin Hs"</formula>
    </cfRule>
  </conditionalFormatting>
  <conditionalFormatting sqref="C14">
    <cfRule type="cellIs" dxfId="11451" priority="13843" stopIfTrue="1" operator="equal">
      <formula>"Towel"</formula>
    </cfRule>
    <cfRule type="cellIs" dxfId="11450" priority="13844" stopIfTrue="1" operator="equal">
      <formula>"Napkin Hs"</formula>
    </cfRule>
  </conditionalFormatting>
  <conditionalFormatting sqref="B14:C14">
    <cfRule type="cellIs" dxfId="11449" priority="13841" stopIfTrue="1" operator="equal">
      <formula>"Towel"</formula>
    </cfRule>
    <cfRule type="cellIs" dxfId="11448" priority="13842" stopIfTrue="1" operator="equal">
      <formula>"Napkin Hs"</formula>
    </cfRule>
  </conditionalFormatting>
  <conditionalFormatting sqref="C14">
    <cfRule type="cellIs" dxfId="11447" priority="13849" stopIfTrue="1" operator="equal">
      <formula>"Towel"</formula>
    </cfRule>
    <cfRule type="cellIs" dxfId="11446" priority="13850" stopIfTrue="1" operator="equal">
      <formula>"Napkin Hs"</formula>
    </cfRule>
  </conditionalFormatting>
  <conditionalFormatting sqref="C14">
    <cfRule type="cellIs" dxfId="11445" priority="13851" stopIfTrue="1" operator="equal">
      <formula>"Towel"</formula>
    </cfRule>
    <cfRule type="cellIs" dxfId="11444" priority="13852" stopIfTrue="1" operator="equal">
      <formula>"Napkin Hs"</formula>
    </cfRule>
  </conditionalFormatting>
  <conditionalFormatting sqref="B14:C14">
    <cfRule type="cellIs" dxfId="11443" priority="13839" stopIfTrue="1" operator="equal">
      <formula>"Towel"</formula>
    </cfRule>
    <cfRule type="cellIs" dxfId="11442" priority="13840" stopIfTrue="1" operator="equal">
      <formula>"Napkin Hs"</formula>
    </cfRule>
  </conditionalFormatting>
  <conditionalFormatting sqref="C14">
    <cfRule type="cellIs" dxfId="11441" priority="13835" stopIfTrue="1" operator="equal">
      <formula>"Towel"</formula>
    </cfRule>
    <cfRule type="cellIs" dxfId="11440" priority="13836" stopIfTrue="1" operator="equal">
      <formula>"Napkin Hs"</formula>
    </cfRule>
  </conditionalFormatting>
  <conditionalFormatting sqref="C14">
    <cfRule type="cellIs" dxfId="11439" priority="13837" stopIfTrue="1" operator="equal">
      <formula>"Towel"</formula>
    </cfRule>
    <cfRule type="cellIs" dxfId="11438" priority="13838" stopIfTrue="1" operator="equal">
      <formula>"Napkin Hs"</formula>
    </cfRule>
  </conditionalFormatting>
  <conditionalFormatting sqref="B14:C14">
    <cfRule type="cellIs" dxfId="11437" priority="13833" stopIfTrue="1" operator="equal">
      <formula>"Towel"</formula>
    </cfRule>
    <cfRule type="cellIs" dxfId="11436" priority="13834" stopIfTrue="1" operator="equal">
      <formula>"Napkin Hs"</formula>
    </cfRule>
  </conditionalFormatting>
  <conditionalFormatting sqref="C14">
    <cfRule type="cellIs" dxfId="11435" priority="13831" stopIfTrue="1" operator="equal">
      <formula>"Towel"</formula>
    </cfRule>
    <cfRule type="cellIs" dxfId="11434" priority="13832" stopIfTrue="1" operator="equal">
      <formula>"Napkin Hs"</formula>
    </cfRule>
  </conditionalFormatting>
  <conditionalFormatting sqref="C14">
    <cfRule type="cellIs" dxfId="11433" priority="13829" stopIfTrue="1" operator="equal">
      <formula>"Towel"</formula>
    </cfRule>
    <cfRule type="cellIs" dxfId="11432" priority="13830" stopIfTrue="1" operator="equal">
      <formula>"Napkin Hs"</formula>
    </cfRule>
  </conditionalFormatting>
  <conditionalFormatting sqref="C14">
    <cfRule type="cellIs" dxfId="11431" priority="13821" stopIfTrue="1" operator="equal">
      <formula>"Towel"</formula>
    </cfRule>
    <cfRule type="cellIs" dxfId="11430" priority="13822" stopIfTrue="1" operator="equal">
      <formula>"Napkin Hs"</formula>
    </cfRule>
  </conditionalFormatting>
  <conditionalFormatting sqref="B14:C14">
    <cfRule type="cellIs" dxfId="11429" priority="13823" stopIfTrue="1" operator="equal">
      <formula>"Towel"</formula>
    </cfRule>
    <cfRule type="cellIs" dxfId="11428" priority="13824" stopIfTrue="1" operator="equal">
      <formula>"Napkin Hs"</formula>
    </cfRule>
  </conditionalFormatting>
  <conditionalFormatting sqref="C14">
    <cfRule type="cellIs" dxfId="11427" priority="13819" stopIfTrue="1" operator="equal">
      <formula>"Towel"</formula>
    </cfRule>
    <cfRule type="cellIs" dxfId="11426" priority="13820" stopIfTrue="1" operator="equal">
      <formula>"Napkin Hs"</formula>
    </cfRule>
  </conditionalFormatting>
  <conditionalFormatting sqref="B14:C14">
    <cfRule type="cellIs" dxfId="11425" priority="13817" stopIfTrue="1" operator="equal">
      <formula>"Towel"</formula>
    </cfRule>
    <cfRule type="cellIs" dxfId="11424" priority="13818" stopIfTrue="1" operator="equal">
      <formula>"Napkin Hs"</formula>
    </cfRule>
  </conditionalFormatting>
  <conditionalFormatting sqref="C14">
    <cfRule type="cellIs" dxfId="11423" priority="13825" stopIfTrue="1" operator="equal">
      <formula>"Towel"</formula>
    </cfRule>
    <cfRule type="cellIs" dxfId="11422" priority="13826" stopIfTrue="1" operator="equal">
      <formula>"Napkin Hs"</formula>
    </cfRule>
  </conditionalFormatting>
  <conditionalFormatting sqref="C14">
    <cfRule type="cellIs" dxfId="11421" priority="13827" stopIfTrue="1" operator="equal">
      <formula>"Towel"</formula>
    </cfRule>
    <cfRule type="cellIs" dxfId="11420" priority="13828" stopIfTrue="1" operator="equal">
      <formula>"Napkin Hs"</formula>
    </cfRule>
  </conditionalFormatting>
  <conditionalFormatting sqref="B12:C12">
    <cfRule type="cellIs" dxfId="11419" priority="13813" stopIfTrue="1" operator="equal">
      <formula>"Towel"</formula>
    </cfRule>
    <cfRule type="cellIs" dxfId="11418" priority="13814" stopIfTrue="1" operator="equal">
      <formula>"Napkin Hs"</formula>
    </cfRule>
  </conditionalFormatting>
  <conditionalFormatting sqref="C12">
    <cfRule type="cellIs" dxfId="11417" priority="13815" stopIfTrue="1" operator="equal">
      <formula>"Towel"</formula>
    </cfRule>
    <cfRule type="cellIs" dxfId="11416" priority="13816" stopIfTrue="1" operator="equal">
      <formula>"Napkin Hs"</formula>
    </cfRule>
  </conditionalFormatting>
  <conditionalFormatting sqref="C12">
    <cfRule type="cellIs" dxfId="11415" priority="13811" stopIfTrue="1" operator="equal">
      <formula>"Towel"</formula>
    </cfRule>
    <cfRule type="cellIs" dxfId="11414" priority="13812" stopIfTrue="1" operator="equal">
      <formula>"Napkin Hs"</formula>
    </cfRule>
  </conditionalFormatting>
  <conditionalFormatting sqref="B12:C12">
    <cfRule type="cellIs" dxfId="11413" priority="13809" stopIfTrue="1" operator="equal">
      <formula>"Towel"</formula>
    </cfRule>
    <cfRule type="cellIs" dxfId="11412" priority="13810" stopIfTrue="1" operator="equal">
      <formula>"Napkin Hs"</formula>
    </cfRule>
  </conditionalFormatting>
  <conditionalFormatting sqref="C12">
    <cfRule type="cellIs" dxfId="11411" priority="13805" stopIfTrue="1" operator="equal">
      <formula>"Towel"</formula>
    </cfRule>
    <cfRule type="cellIs" dxfId="11410" priority="13806" stopIfTrue="1" operator="equal">
      <formula>"Napkin Hs"</formula>
    </cfRule>
  </conditionalFormatting>
  <conditionalFormatting sqref="C12">
    <cfRule type="cellIs" dxfId="11409" priority="13807" stopIfTrue="1" operator="equal">
      <formula>"Towel"</formula>
    </cfRule>
    <cfRule type="cellIs" dxfId="11408" priority="13808" stopIfTrue="1" operator="equal">
      <formula>"Napkin Hs"</formula>
    </cfRule>
  </conditionalFormatting>
  <conditionalFormatting sqref="B13:C13">
    <cfRule type="cellIs" dxfId="11407" priority="13801" stopIfTrue="1" operator="equal">
      <formula>"Towel"</formula>
    </cfRule>
    <cfRule type="cellIs" dxfId="11406" priority="13802" stopIfTrue="1" operator="equal">
      <formula>"Napkin Hs"</formula>
    </cfRule>
  </conditionalFormatting>
  <conditionalFormatting sqref="C13">
    <cfRule type="cellIs" dxfId="11405" priority="13803" stopIfTrue="1" operator="equal">
      <formula>"Towel"</formula>
    </cfRule>
    <cfRule type="cellIs" dxfId="11404" priority="13804" stopIfTrue="1" operator="equal">
      <formula>"Napkin Hs"</formula>
    </cfRule>
  </conditionalFormatting>
  <conditionalFormatting sqref="C13">
    <cfRule type="cellIs" dxfId="11403" priority="13799" stopIfTrue="1" operator="equal">
      <formula>"Towel"</formula>
    </cfRule>
    <cfRule type="cellIs" dxfId="11402" priority="13800" stopIfTrue="1" operator="equal">
      <formula>"Napkin Hs"</formula>
    </cfRule>
  </conditionalFormatting>
  <conditionalFormatting sqref="B13:C13">
    <cfRule type="cellIs" dxfId="11401" priority="13797" stopIfTrue="1" operator="equal">
      <formula>"Towel"</formula>
    </cfRule>
    <cfRule type="cellIs" dxfId="11400" priority="13798" stopIfTrue="1" operator="equal">
      <formula>"Napkin Hs"</formula>
    </cfRule>
  </conditionalFormatting>
  <conditionalFormatting sqref="C13">
    <cfRule type="cellIs" dxfId="11399" priority="13793" stopIfTrue="1" operator="equal">
      <formula>"Towel"</formula>
    </cfRule>
    <cfRule type="cellIs" dxfId="11398" priority="13794" stopIfTrue="1" operator="equal">
      <formula>"Napkin Hs"</formula>
    </cfRule>
  </conditionalFormatting>
  <conditionalFormatting sqref="C13">
    <cfRule type="cellIs" dxfId="11397" priority="13795" stopIfTrue="1" operator="equal">
      <formula>"Towel"</formula>
    </cfRule>
    <cfRule type="cellIs" dxfId="11396" priority="13796" stopIfTrue="1" operator="equal">
      <formula>"Napkin Hs"</formula>
    </cfRule>
  </conditionalFormatting>
  <conditionalFormatting sqref="B11:C11">
    <cfRule type="cellIs" dxfId="11395" priority="13789" stopIfTrue="1" operator="equal">
      <formula>"Towel"</formula>
    </cfRule>
    <cfRule type="cellIs" dxfId="11394" priority="13790" stopIfTrue="1" operator="equal">
      <formula>"Napkin Hs"</formula>
    </cfRule>
  </conditionalFormatting>
  <conditionalFormatting sqref="C11">
    <cfRule type="cellIs" dxfId="11393" priority="13791" stopIfTrue="1" operator="equal">
      <formula>"Towel"</formula>
    </cfRule>
    <cfRule type="cellIs" dxfId="11392" priority="13792" stopIfTrue="1" operator="equal">
      <formula>"Napkin Hs"</formula>
    </cfRule>
  </conditionalFormatting>
  <conditionalFormatting sqref="C11">
    <cfRule type="cellIs" dxfId="11391" priority="13787" stopIfTrue="1" operator="equal">
      <formula>"Towel"</formula>
    </cfRule>
    <cfRule type="cellIs" dxfId="11390" priority="13788" stopIfTrue="1" operator="equal">
      <formula>"Napkin Hs"</formula>
    </cfRule>
  </conditionalFormatting>
  <conditionalFormatting sqref="B11:C11">
    <cfRule type="cellIs" dxfId="11389" priority="13785" stopIfTrue="1" operator="equal">
      <formula>"Towel"</formula>
    </cfRule>
    <cfRule type="cellIs" dxfId="11388" priority="13786" stopIfTrue="1" operator="equal">
      <formula>"Napkin Hs"</formula>
    </cfRule>
  </conditionalFormatting>
  <conditionalFormatting sqref="C11">
    <cfRule type="cellIs" dxfId="11387" priority="13781" stopIfTrue="1" operator="equal">
      <formula>"Towel"</formula>
    </cfRule>
    <cfRule type="cellIs" dxfId="11386" priority="13782" stopIfTrue="1" operator="equal">
      <formula>"Napkin Hs"</formula>
    </cfRule>
  </conditionalFormatting>
  <conditionalFormatting sqref="C11">
    <cfRule type="cellIs" dxfId="11385" priority="13783" stopIfTrue="1" operator="equal">
      <formula>"Towel"</formula>
    </cfRule>
    <cfRule type="cellIs" dxfId="11384" priority="13784" stopIfTrue="1" operator="equal">
      <formula>"Napkin Hs"</formula>
    </cfRule>
  </conditionalFormatting>
  <conditionalFormatting sqref="B16:C16">
    <cfRule type="cellIs" dxfId="11383" priority="13779" stopIfTrue="1" operator="equal">
      <formula>"Towel"</formula>
    </cfRule>
    <cfRule type="cellIs" dxfId="11382" priority="13780" stopIfTrue="1" operator="equal">
      <formula>"Napkin Hs"</formula>
    </cfRule>
  </conditionalFormatting>
  <conditionalFormatting sqref="C16">
    <cfRule type="cellIs" dxfId="11381" priority="13775" stopIfTrue="1" operator="equal">
      <formula>"Towel"</formula>
    </cfRule>
    <cfRule type="cellIs" dxfId="11380" priority="13776" stopIfTrue="1" operator="equal">
      <formula>"Napkin Hs"</formula>
    </cfRule>
  </conditionalFormatting>
  <conditionalFormatting sqref="C16">
    <cfRule type="cellIs" dxfId="11379" priority="13778" stopIfTrue="1" operator="equal">
      <formula>"Napkin Hs"</formula>
    </cfRule>
  </conditionalFormatting>
  <conditionalFormatting sqref="C16">
    <cfRule type="cellIs" dxfId="11378" priority="13777" stopIfTrue="1" operator="equal">
      <formula>"Towel"</formula>
    </cfRule>
  </conditionalFormatting>
  <conditionalFormatting sqref="B20:C20">
    <cfRule type="cellIs" dxfId="11377" priority="13773" stopIfTrue="1" operator="equal">
      <formula>"Towel"</formula>
    </cfRule>
    <cfRule type="cellIs" dxfId="11376" priority="13774" stopIfTrue="1" operator="equal">
      <formula>"Napkin Hs"</formula>
    </cfRule>
  </conditionalFormatting>
  <conditionalFormatting sqref="C20">
    <cfRule type="cellIs" dxfId="11375" priority="13769" stopIfTrue="1" operator="equal">
      <formula>"Towel"</formula>
    </cfRule>
    <cfRule type="cellIs" dxfId="11374" priority="13770" stopIfTrue="1" operator="equal">
      <formula>"Napkin Hs"</formula>
    </cfRule>
  </conditionalFormatting>
  <conditionalFormatting sqref="C20">
    <cfRule type="cellIs" dxfId="11373" priority="13772" stopIfTrue="1" operator="equal">
      <formula>"Napkin Hs"</formula>
    </cfRule>
  </conditionalFormatting>
  <conditionalFormatting sqref="C20">
    <cfRule type="cellIs" dxfId="11372" priority="13771" stopIfTrue="1" operator="equal">
      <formula>"Towel"</formula>
    </cfRule>
  </conditionalFormatting>
  <conditionalFormatting sqref="B18:C19">
    <cfRule type="cellIs" dxfId="11371" priority="13737" stopIfTrue="1" operator="equal">
      <formula>"Towel"</formula>
    </cfRule>
  </conditionalFormatting>
  <conditionalFormatting sqref="B18:C19">
    <cfRule type="cellIs" dxfId="11370" priority="13738" stopIfTrue="1" operator="equal">
      <formula>"Napkin Hs"</formula>
    </cfRule>
    <cfRule type="cellIs" dxfId="11369" priority="13743" stopIfTrue="1" operator="equal">
      <formula>"Towel"</formula>
    </cfRule>
    <cfRule type="cellIs" dxfId="11368" priority="13744" stopIfTrue="1" operator="equal">
      <formula>"Napkin Hs"</formula>
    </cfRule>
    <cfRule type="cellIs" dxfId="11367" priority="13753" stopIfTrue="1" operator="equal">
      <formula>"Towel"</formula>
    </cfRule>
    <cfRule type="cellIs" dxfId="11366" priority="13754" stopIfTrue="1" operator="equal">
      <formula>"Napkin Hs"</formula>
    </cfRule>
    <cfRule type="cellIs" dxfId="11365" priority="13759" stopIfTrue="1" operator="equal">
      <formula>"Towel"</formula>
    </cfRule>
    <cfRule type="cellIs" dxfId="11364" priority="13760" stopIfTrue="1" operator="equal">
      <formula>"Napkin Hs"</formula>
    </cfRule>
  </conditionalFormatting>
  <conditionalFormatting sqref="C18:C19">
    <cfRule type="cellIs" dxfId="11363" priority="13739" stopIfTrue="1" operator="equal">
      <formula>"Towel"</formula>
    </cfRule>
    <cfRule type="cellIs" dxfId="11362" priority="13740" stopIfTrue="1" operator="equal">
      <formula>"Napkin Hs"</formula>
    </cfRule>
    <cfRule type="cellIs" dxfId="11361" priority="13741" stopIfTrue="1" operator="equal">
      <formula>"Towel"</formula>
    </cfRule>
    <cfRule type="cellIs" dxfId="11360" priority="13742" stopIfTrue="1" operator="equal">
      <formula>"Napkin Hs"</formula>
    </cfRule>
    <cfRule type="cellIs" dxfId="11359" priority="13745" stopIfTrue="1" operator="equal">
      <formula>"Towel"</formula>
    </cfRule>
    <cfRule type="cellIs" dxfId="11358" priority="13746" stopIfTrue="1" operator="equal">
      <formula>"Napkin Hs"</formula>
    </cfRule>
    <cfRule type="cellIs" dxfId="11357" priority="13747" stopIfTrue="1" operator="equal">
      <formula>"Towel"</formula>
    </cfRule>
    <cfRule type="cellIs" dxfId="11356" priority="13748" stopIfTrue="1" operator="equal">
      <formula>"Napkin Hs"</formula>
    </cfRule>
    <cfRule type="cellIs" dxfId="11355" priority="13749" stopIfTrue="1" operator="equal">
      <formula>"Towel"</formula>
    </cfRule>
    <cfRule type="cellIs" dxfId="11354" priority="13750" stopIfTrue="1" operator="equal">
      <formula>"Napkin Hs"</formula>
    </cfRule>
    <cfRule type="cellIs" dxfId="11353" priority="13751" stopIfTrue="1" operator="equal">
      <formula>"Towel"</formula>
    </cfRule>
    <cfRule type="cellIs" dxfId="11352" priority="13752" stopIfTrue="1" operator="equal">
      <formula>"Napkin Hs"</formula>
    </cfRule>
    <cfRule type="cellIs" dxfId="11351" priority="13755" stopIfTrue="1" operator="equal">
      <formula>"Towel"</formula>
    </cfRule>
    <cfRule type="cellIs" dxfId="11350" priority="13756" stopIfTrue="1" operator="equal">
      <formula>"Napkin Hs"</formula>
    </cfRule>
    <cfRule type="cellIs" dxfId="11349" priority="13758" stopIfTrue="1" operator="equal">
      <formula>"Napkin Hs"</formula>
    </cfRule>
  </conditionalFormatting>
  <conditionalFormatting sqref="C18:C19">
    <cfRule type="cellIs" dxfId="11348" priority="13757" stopIfTrue="1" operator="equal">
      <formula>"Towel"</formula>
    </cfRule>
  </conditionalFormatting>
  <conditionalFormatting sqref="B18:C19">
    <cfRule type="cellIs" dxfId="11347" priority="13735" stopIfTrue="1" operator="equal">
      <formula>"Towel"</formula>
    </cfRule>
    <cfRule type="cellIs" dxfId="11346" priority="13736" stopIfTrue="1" operator="equal">
      <formula>"Napkin Hs"</formula>
    </cfRule>
  </conditionalFormatting>
  <conditionalFormatting sqref="C18:C19">
    <cfRule type="cellIs" dxfId="11345" priority="13734" stopIfTrue="1" operator="equal">
      <formula>"Napkin Hs"</formula>
    </cfRule>
  </conditionalFormatting>
  <conditionalFormatting sqref="C18:C19">
    <cfRule type="cellIs" dxfId="11344" priority="13733" stopIfTrue="1" operator="equal">
      <formula>"Towel"</formula>
    </cfRule>
  </conditionalFormatting>
  <conditionalFormatting sqref="C18:C19">
    <cfRule type="cellIs" dxfId="11343" priority="13731" stopIfTrue="1" operator="equal">
      <formula>"Towel"</formula>
    </cfRule>
  </conditionalFormatting>
  <conditionalFormatting sqref="C18:C19">
    <cfRule type="cellIs" dxfId="11342" priority="13732" stopIfTrue="1" operator="equal">
      <formula>"Napkin Hs"</formula>
    </cfRule>
  </conditionalFormatting>
  <conditionalFormatting sqref="B18:B19">
    <cfRule type="cellIs" dxfId="11341" priority="13635" stopIfTrue="1" operator="equal">
      <formula>"Napkin Hs"</formula>
    </cfRule>
  </conditionalFormatting>
  <conditionalFormatting sqref="B18:C19">
    <cfRule type="cellIs" dxfId="11340" priority="13634" stopIfTrue="1" operator="equal">
      <formula>"Towel"</formula>
    </cfRule>
  </conditionalFormatting>
  <conditionalFormatting sqref="B18:C19">
    <cfRule type="cellIs" dxfId="11339" priority="13645" stopIfTrue="1" operator="equal">
      <formula>"Towel"</formula>
    </cfRule>
    <cfRule type="cellIs" dxfId="11338" priority="13646" stopIfTrue="1" operator="equal">
      <formula>"Napkin Hs"</formula>
    </cfRule>
    <cfRule type="cellIs" dxfId="11337" priority="13651" stopIfTrue="1" operator="equal">
      <formula>"Towel"</formula>
    </cfRule>
    <cfRule type="cellIs" dxfId="11336" priority="13652" stopIfTrue="1" operator="equal">
      <formula>"Napkin Hs"</formula>
    </cfRule>
    <cfRule type="cellIs" dxfId="11335" priority="13657" stopIfTrue="1" operator="equal">
      <formula>"Towel"</formula>
    </cfRule>
    <cfRule type="cellIs" dxfId="11334" priority="13658" stopIfTrue="1" operator="equal">
      <formula>"Napkin Hs"</formula>
    </cfRule>
    <cfRule type="cellIs" dxfId="11333" priority="13659" stopIfTrue="1" operator="equal">
      <formula>"Towel"</formula>
    </cfRule>
    <cfRule type="cellIs" dxfId="11332" priority="13660" stopIfTrue="1" operator="equal">
      <formula>"Napkin Hs"</formula>
    </cfRule>
    <cfRule type="cellIs" dxfId="11331" priority="13665" stopIfTrue="1" operator="equal">
      <formula>"Towel"</formula>
    </cfRule>
    <cfRule type="cellIs" dxfId="11330" priority="13666" stopIfTrue="1" operator="equal">
      <formula>"Napkin Hs"</formula>
    </cfRule>
    <cfRule type="cellIs" dxfId="11329" priority="13675" stopIfTrue="1" operator="equal">
      <formula>"Towel"</formula>
    </cfRule>
    <cfRule type="cellIs" dxfId="11328" priority="13676" stopIfTrue="1" operator="equal">
      <formula>"Napkin Hs"</formula>
    </cfRule>
    <cfRule type="cellIs" dxfId="11327" priority="13681" stopIfTrue="1" operator="equal">
      <formula>"Towel"</formula>
    </cfRule>
    <cfRule type="cellIs" dxfId="11326" priority="13682" stopIfTrue="1" operator="equal">
      <formula>"Napkin Hs"</formula>
    </cfRule>
    <cfRule type="cellIs" dxfId="11325" priority="13683" stopIfTrue="1" operator="equal">
      <formula>"Towel"</formula>
    </cfRule>
    <cfRule type="cellIs" dxfId="11324" priority="13684" stopIfTrue="1" operator="equal">
      <formula>"Napkin Hs"</formula>
    </cfRule>
    <cfRule type="cellIs" dxfId="11323" priority="13689" stopIfTrue="1" operator="equal">
      <formula>"Towel"</formula>
    </cfRule>
    <cfRule type="cellIs" dxfId="11322" priority="13690" stopIfTrue="1" operator="equal">
      <formula>"Napkin Hs"</formula>
    </cfRule>
    <cfRule type="cellIs" dxfId="11321" priority="13699" stopIfTrue="1" operator="equal">
      <formula>"Towel"</formula>
    </cfRule>
    <cfRule type="cellIs" dxfId="11320" priority="13700" stopIfTrue="1" operator="equal">
      <formula>"Napkin Hs"</formula>
    </cfRule>
    <cfRule type="cellIs" dxfId="11319" priority="13701" stopIfTrue="1" operator="equal">
      <formula>"Towel"</formula>
    </cfRule>
    <cfRule type="cellIs" dxfId="11318" priority="13702" stopIfTrue="1" operator="equal">
      <formula>"Napkin Hs"</formula>
    </cfRule>
    <cfRule type="cellIs" dxfId="11317" priority="13707" stopIfTrue="1" operator="equal">
      <formula>"Towel"</formula>
    </cfRule>
    <cfRule type="cellIs" dxfId="11316" priority="13708" stopIfTrue="1" operator="equal">
      <formula>"Napkin Hs"</formula>
    </cfRule>
    <cfRule type="cellIs" dxfId="11315" priority="13717" stopIfTrue="1" operator="equal">
      <formula>"Towel"</formula>
    </cfRule>
    <cfRule type="cellIs" dxfId="11314" priority="13718" stopIfTrue="1" operator="equal">
      <formula>"Napkin Hs"</formula>
    </cfRule>
    <cfRule type="cellIs" dxfId="11313" priority="13719" stopIfTrue="1" operator="equal">
      <formula>"Towel"</formula>
    </cfRule>
    <cfRule type="cellIs" dxfId="11312" priority="13720" stopIfTrue="1" operator="equal">
      <formula>"Napkin Hs"</formula>
    </cfRule>
    <cfRule type="cellIs" dxfId="11311" priority="13726" stopIfTrue="1" operator="equal">
      <formula>"Napkin Hs"</formula>
    </cfRule>
  </conditionalFormatting>
  <conditionalFormatting sqref="B18:C19">
    <cfRule type="cellIs" dxfId="11310" priority="13725" stopIfTrue="1" operator="equal">
      <formula>"Towel"</formula>
    </cfRule>
  </conditionalFormatting>
  <conditionalFormatting sqref="C18:C19">
    <cfRule type="cellIs" dxfId="11309" priority="13636" stopIfTrue="1" operator="equal">
      <formula>"Napkin Hs"</formula>
    </cfRule>
    <cfRule type="cellIs" dxfId="11308" priority="13637" stopIfTrue="1" operator="equal">
      <formula>"Towel"</formula>
    </cfRule>
    <cfRule type="cellIs" dxfId="11307" priority="13638" stopIfTrue="1" operator="equal">
      <formula>"Napkin Hs"</formula>
    </cfRule>
    <cfRule type="cellIs" dxfId="11306" priority="13639" stopIfTrue="1" operator="equal">
      <formula>"Towel"</formula>
    </cfRule>
    <cfRule type="cellIs" dxfId="11305" priority="13640" stopIfTrue="1" operator="equal">
      <formula>"Napkin Hs"</formula>
    </cfRule>
    <cfRule type="cellIs" dxfId="11304" priority="13641" stopIfTrue="1" operator="equal">
      <formula>"Towel"</formula>
    </cfRule>
    <cfRule type="cellIs" dxfId="11303" priority="13642" stopIfTrue="1" operator="equal">
      <formula>"Napkin Hs"</formula>
    </cfRule>
    <cfRule type="cellIs" dxfId="11302" priority="13643" stopIfTrue="1" operator="equal">
      <formula>"Towel"</formula>
    </cfRule>
    <cfRule type="cellIs" dxfId="11301" priority="13644" stopIfTrue="1" operator="equal">
      <formula>"Napkin Hs"</formula>
    </cfRule>
    <cfRule type="cellIs" dxfId="11300" priority="13647" stopIfTrue="1" operator="equal">
      <formula>"Towel"</formula>
    </cfRule>
    <cfRule type="cellIs" dxfId="11299" priority="13648" stopIfTrue="1" operator="equal">
      <formula>"Napkin Hs"</formula>
    </cfRule>
    <cfRule type="cellIs" dxfId="11298" priority="13649" stopIfTrue="1" operator="equal">
      <formula>"Towel"</formula>
    </cfRule>
    <cfRule type="cellIs" dxfId="11297" priority="13650" stopIfTrue="1" operator="equal">
      <formula>"Napkin Hs"</formula>
    </cfRule>
    <cfRule type="cellIs" dxfId="11296" priority="13653" stopIfTrue="1" operator="equal">
      <formula>"Towel"</formula>
    </cfRule>
    <cfRule type="cellIs" dxfId="11295" priority="13654" stopIfTrue="1" operator="equal">
      <formula>"Napkin Hs"</formula>
    </cfRule>
    <cfRule type="cellIs" dxfId="11294" priority="13655" stopIfTrue="1" operator="equal">
      <formula>"Towel"</formula>
    </cfRule>
    <cfRule type="cellIs" dxfId="11293" priority="13656" stopIfTrue="1" operator="equal">
      <formula>"Napkin Hs"</formula>
    </cfRule>
    <cfRule type="cellIs" dxfId="11292" priority="13661" stopIfTrue="1" operator="equal">
      <formula>"Towel"</formula>
    </cfRule>
    <cfRule type="cellIs" dxfId="11291" priority="13662" stopIfTrue="1" operator="equal">
      <formula>"Napkin Hs"</formula>
    </cfRule>
    <cfRule type="cellIs" dxfId="11290" priority="13663" stopIfTrue="1" operator="equal">
      <formula>"Towel"</formula>
    </cfRule>
    <cfRule type="cellIs" dxfId="11289" priority="13664" stopIfTrue="1" operator="equal">
      <formula>"Napkin Hs"</formula>
    </cfRule>
    <cfRule type="cellIs" dxfId="11288" priority="13667" stopIfTrue="1" operator="equal">
      <formula>"Towel"</formula>
    </cfRule>
    <cfRule type="cellIs" dxfId="11287" priority="13668" stopIfTrue="1" operator="equal">
      <formula>"Napkin Hs"</formula>
    </cfRule>
    <cfRule type="cellIs" dxfId="11286" priority="13669" stopIfTrue="1" operator="equal">
      <formula>"Towel"</formula>
    </cfRule>
    <cfRule type="cellIs" dxfId="11285" priority="13670" stopIfTrue="1" operator="equal">
      <formula>"Napkin Hs"</formula>
    </cfRule>
    <cfRule type="cellIs" dxfId="11284" priority="13671" stopIfTrue="1" operator="equal">
      <formula>"Towel"</formula>
    </cfRule>
    <cfRule type="cellIs" dxfId="11283" priority="13672" stopIfTrue="1" operator="equal">
      <formula>"Napkin Hs"</formula>
    </cfRule>
    <cfRule type="cellIs" dxfId="11282" priority="13673" stopIfTrue="1" operator="equal">
      <formula>"Towel"</formula>
    </cfRule>
    <cfRule type="cellIs" dxfId="11281" priority="13674" stopIfTrue="1" operator="equal">
      <formula>"Napkin Hs"</formula>
    </cfRule>
    <cfRule type="cellIs" dxfId="11280" priority="13677" stopIfTrue="1" operator="equal">
      <formula>"Towel"</formula>
    </cfRule>
    <cfRule type="cellIs" dxfId="11279" priority="13678" stopIfTrue="1" operator="equal">
      <formula>"Napkin Hs"</formula>
    </cfRule>
    <cfRule type="cellIs" dxfId="11278" priority="13679" stopIfTrue="1" operator="equal">
      <formula>"Towel"</formula>
    </cfRule>
    <cfRule type="cellIs" dxfId="11277" priority="13680" stopIfTrue="1" operator="equal">
      <formula>"Napkin Hs"</formula>
    </cfRule>
    <cfRule type="cellIs" dxfId="11276" priority="13685" stopIfTrue="1" operator="equal">
      <formula>"Towel"</formula>
    </cfRule>
    <cfRule type="cellIs" dxfId="11275" priority="13686" stopIfTrue="1" operator="equal">
      <formula>"Napkin Hs"</formula>
    </cfRule>
    <cfRule type="cellIs" dxfId="11274" priority="13687" stopIfTrue="1" operator="equal">
      <formula>"Towel"</formula>
    </cfRule>
    <cfRule type="cellIs" dxfId="11273" priority="13688" stopIfTrue="1" operator="equal">
      <formula>"Napkin Hs"</formula>
    </cfRule>
    <cfRule type="cellIs" dxfId="11272" priority="13691" stopIfTrue="1" operator="equal">
      <formula>"Towel"</formula>
    </cfRule>
    <cfRule type="cellIs" dxfId="11271" priority="13692" stopIfTrue="1" operator="equal">
      <formula>"Napkin Hs"</formula>
    </cfRule>
    <cfRule type="cellIs" dxfId="11270" priority="13693" stopIfTrue="1" operator="equal">
      <formula>"Towel"</formula>
    </cfRule>
    <cfRule type="cellIs" dxfId="11269" priority="13694" stopIfTrue="1" operator="equal">
      <formula>"Napkin Hs"</formula>
    </cfRule>
    <cfRule type="cellIs" dxfId="11268" priority="13695" stopIfTrue="1" operator="equal">
      <formula>"Towel"</formula>
    </cfRule>
    <cfRule type="cellIs" dxfId="11267" priority="13696" stopIfTrue="1" operator="equal">
      <formula>"Napkin Hs"</formula>
    </cfRule>
    <cfRule type="cellIs" dxfId="11266" priority="13697" stopIfTrue="1" operator="equal">
      <formula>"Towel"</formula>
    </cfRule>
    <cfRule type="cellIs" dxfId="11265" priority="13698" stopIfTrue="1" operator="equal">
      <formula>"Napkin Hs"</formula>
    </cfRule>
    <cfRule type="cellIs" dxfId="11264" priority="13703" stopIfTrue="1" operator="equal">
      <formula>"Towel"</formula>
    </cfRule>
    <cfRule type="cellIs" dxfId="11263" priority="13704" stopIfTrue="1" operator="equal">
      <formula>"Napkin Hs"</formula>
    </cfRule>
    <cfRule type="cellIs" dxfId="11262" priority="13705" stopIfTrue="1" operator="equal">
      <formula>"Towel"</formula>
    </cfRule>
    <cfRule type="cellIs" dxfId="11261" priority="13706" stopIfTrue="1" operator="equal">
      <formula>"Napkin Hs"</formula>
    </cfRule>
    <cfRule type="cellIs" dxfId="11260" priority="13709" stopIfTrue="1" operator="equal">
      <formula>"Towel"</formula>
    </cfRule>
    <cfRule type="cellIs" dxfId="11259" priority="13710" stopIfTrue="1" operator="equal">
      <formula>"Napkin Hs"</formula>
    </cfRule>
    <cfRule type="cellIs" dxfId="11258" priority="13711" stopIfTrue="1" operator="equal">
      <formula>"Towel"</formula>
    </cfRule>
    <cfRule type="cellIs" dxfId="11257" priority="13712" stopIfTrue="1" operator="equal">
      <formula>"Napkin Hs"</formula>
    </cfRule>
    <cfRule type="cellIs" dxfId="11256" priority="13713" stopIfTrue="1" operator="equal">
      <formula>"Towel"</formula>
    </cfRule>
    <cfRule type="cellIs" dxfId="11255" priority="13714" stopIfTrue="1" operator="equal">
      <formula>"Napkin Hs"</formula>
    </cfRule>
    <cfRule type="cellIs" dxfId="11254" priority="13715" stopIfTrue="1" operator="equal">
      <formula>"Towel"</formula>
    </cfRule>
    <cfRule type="cellIs" dxfId="11253" priority="13716" stopIfTrue="1" operator="equal">
      <formula>"Napkin Hs"</formula>
    </cfRule>
    <cfRule type="cellIs" dxfId="11252" priority="13721" stopIfTrue="1" operator="equal">
      <formula>"Towel"</formula>
    </cfRule>
    <cfRule type="cellIs" dxfId="11251" priority="13722" stopIfTrue="1" operator="equal">
      <formula>"Napkin Hs"</formula>
    </cfRule>
    <cfRule type="cellIs" dxfId="11250" priority="13723" stopIfTrue="1" operator="equal">
      <formula>"Towel"</formula>
    </cfRule>
    <cfRule type="cellIs" dxfId="11249" priority="13724" stopIfTrue="1" operator="equal">
      <formula>"Napkin Hs"</formula>
    </cfRule>
    <cfRule type="cellIs" dxfId="11248" priority="13727" stopIfTrue="1" operator="equal">
      <formula>"Towel"</formula>
    </cfRule>
    <cfRule type="cellIs" dxfId="11247" priority="13728" stopIfTrue="1" operator="equal">
      <formula>"Napkin Hs"</formula>
    </cfRule>
    <cfRule type="cellIs" dxfId="11246" priority="13729" stopIfTrue="1" operator="equal">
      <formula>"Towel"</formula>
    </cfRule>
    <cfRule type="cellIs" dxfId="11245" priority="13730" stopIfTrue="1" operator="equal">
      <formula>"Napkin Hs"</formula>
    </cfRule>
  </conditionalFormatting>
  <conditionalFormatting sqref="B19:C19">
    <cfRule type="cellIs" dxfId="11244" priority="13632" stopIfTrue="1" operator="equal">
      <formula>"Towel"</formula>
    </cfRule>
    <cfRule type="cellIs" dxfId="11243" priority="13633" stopIfTrue="1" operator="equal">
      <formula>"Napkin Hs"</formula>
    </cfRule>
  </conditionalFormatting>
  <conditionalFormatting sqref="C19">
    <cfRule type="cellIs" dxfId="11242" priority="13628" stopIfTrue="1" operator="equal">
      <formula>"Towel"</formula>
    </cfRule>
    <cfRule type="cellIs" dxfId="11241" priority="13629" stopIfTrue="1" operator="equal">
      <formula>"Napkin Hs"</formula>
    </cfRule>
  </conditionalFormatting>
  <conditionalFormatting sqref="C19">
    <cfRule type="cellIs" dxfId="11240" priority="13631" stopIfTrue="1" operator="equal">
      <formula>"Napkin Hs"</formula>
    </cfRule>
  </conditionalFormatting>
  <conditionalFormatting sqref="C19">
    <cfRule type="cellIs" dxfId="11239" priority="13630" stopIfTrue="1" operator="equal">
      <formula>"Towel"</formula>
    </cfRule>
  </conditionalFormatting>
  <conditionalFormatting sqref="C16">
    <cfRule type="cellIs" dxfId="11238" priority="13622" stopIfTrue="1" operator="equal">
      <formula>"Towel"</formula>
    </cfRule>
    <cfRule type="cellIs" dxfId="11237" priority="13623" stopIfTrue="1" operator="equal">
      <formula>"Napkin Hs"</formula>
    </cfRule>
  </conditionalFormatting>
  <conditionalFormatting sqref="C16">
    <cfRule type="cellIs" dxfId="11236" priority="13626" stopIfTrue="1" operator="equal">
      <formula>"Towel"</formula>
    </cfRule>
    <cfRule type="cellIs" dxfId="11235" priority="13627" stopIfTrue="1" operator="equal">
      <formula>"Napkin Hs"</formula>
    </cfRule>
  </conditionalFormatting>
  <conditionalFormatting sqref="B16">
    <cfRule type="cellIs" dxfId="11234" priority="13612" stopIfTrue="1" operator="equal">
      <formula>"Towel"</formula>
    </cfRule>
    <cfRule type="cellIs" dxfId="11233" priority="13613" stopIfTrue="1" operator="equal">
      <formula>"Napkin Hs"</formula>
    </cfRule>
  </conditionalFormatting>
  <conditionalFormatting sqref="C16">
    <cfRule type="cellIs" dxfId="11232" priority="13624" stopIfTrue="1" operator="equal">
      <formula>"Towel"</formula>
    </cfRule>
    <cfRule type="cellIs" dxfId="11231" priority="13625" stopIfTrue="1" operator="equal">
      <formula>"Napkin Hs"</formula>
    </cfRule>
  </conditionalFormatting>
  <conditionalFormatting sqref="C16">
    <cfRule type="cellIs" dxfId="11230" priority="13616" stopIfTrue="1" operator="equal">
      <formula>"Towel"</formula>
    </cfRule>
    <cfRule type="cellIs" dxfId="11229" priority="13617" stopIfTrue="1" operator="equal">
      <formula>"Napkin Hs"</formula>
    </cfRule>
  </conditionalFormatting>
  <conditionalFormatting sqref="C16">
    <cfRule type="cellIs" dxfId="11228" priority="13618" stopIfTrue="1" operator="equal">
      <formula>"Towel"</formula>
    </cfRule>
    <cfRule type="cellIs" dxfId="11227" priority="13619" stopIfTrue="1" operator="equal">
      <formula>"Napkin Hs"</formula>
    </cfRule>
  </conditionalFormatting>
  <conditionalFormatting sqref="C16">
    <cfRule type="cellIs" dxfId="11226" priority="13620" stopIfTrue="1" operator="equal">
      <formula>"Towel"</formula>
    </cfRule>
    <cfRule type="cellIs" dxfId="11225" priority="13621" stopIfTrue="1" operator="equal">
      <formula>"Napkin Hs"</formula>
    </cfRule>
  </conditionalFormatting>
  <conditionalFormatting sqref="B16">
    <cfRule type="cellIs" dxfId="11224" priority="13614" stopIfTrue="1" operator="equal">
      <formula>"Towel"</formula>
    </cfRule>
    <cfRule type="cellIs" dxfId="11223" priority="13615" stopIfTrue="1" operator="equal">
      <formula>"Napkin Hs"</formula>
    </cfRule>
  </conditionalFormatting>
  <conditionalFormatting sqref="C16">
    <cfRule type="cellIs" dxfId="11222" priority="13606" stopIfTrue="1" operator="equal">
      <formula>"Towel"</formula>
    </cfRule>
    <cfRule type="cellIs" dxfId="11221" priority="13607" stopIfTrue="1" operator="equal">
      <formula>"Napkin Hs"</formula>
    </cfRule>
  </conditionalFormatting>
  <conditionalFormatting sqref="C16">
    <cfRule type="cellIs" dxfId="11220" priority="13610" stopIfTrue="1" operator="equal">
      <formula>"Towel"</formula>
    </cfRule>
    <cfRule type="cellIs" dxfId="11219" priority="13611" stopIfTrue="1" operator="equal">
      <formula>"Napkin Hs"</formula>
    </cfRule>
  </conditionalFormatting>
  <conditionalFormatting sqref="B16">
    <cfRule type="cellIs" dxfId="11218" priority="13596" stopIfTrue="1" operator="equal">
      <formula>"Towel"</formula>
    </cfRule>
    <cfRule type="cellIs" dxfId="11217" priority="13597" stopIfTrue="1" operator="equal">
      <formula>"Napkin Hs"</formula>
    </cfRule>
  </conditionalFormatting>
  <conditionalFormatting sqref="C16">
    <cfRule type="cellIs" dxfId="11216" priority="13608" stopIfTrue="1" operator="equal">
      <formula>"Towel"</formula>
    </cfRule>
    <cfRule type="cellIs" dxfId="11215" priority="13609" stopIfTrue="1" operator="equal">
      <formula>"Napkin Hs"</formula>
    </cfRule>
  </conditionalFormatting>
  <conditionalFormatting sqref="C16">
    <cfRule type="cellIs" dxfId="11214" priority="13600" stopIfTrue="1" operator="equal">
      <formula>"Towel"</formula>
    </cfRule>
    <cfRule type="cellIs" dxfId="11213" priority="13601" stopIfTrue="1" operator="equal">
      <formula>"Napkin Hs"</formula>
    </cfRule>
  </conditionalFormatting>
  <conditionalFormatting sqref="C16">
    <cfRule type="cellIs" dxfId="11212" priority="13602" stopIfTrue="1" operator="equal">
      <formula>"Towel"</formula>
    </cfRule>
    <cfRule type="cellIs" dxfId="11211" priority="13603" stopIfTrue="1" operator="equal">
      <formula>"Napkin Hs"</formula>
    </cfRule>
  </conditionalFormatting>
  <conditionalFormatting sqref="C16">
    <cfRule type="cellIs" dxfId="11210" priority="13604" stopIfTrue="1" operator="equal">
      <formula>"Towel"</formula>
    </cfRule>
    <cfRule type="cellIs" dxfId="11209" priority="13605" stopIfTrue="1" operator="equal">
      <formula>"Napkin Hs"</formula>
    </cfRule>
  </conditionalFormatting>
  <conditionalFormatting sqref="B16">
    <cfRule type="cellIs" dxfId="11208" priority="13598" stopIfTrue="1" operator="equal">
      <formula>"Towel"</formula>
    </cfRule>
    <cfRule type="cellIs" dxfId="11207" priority="13599" stopIfTrue="1" operator="equal">
      <formula>"Napkin Hs"</formula>
    </cfRule>
  </conditionalFormatting>
  <conditionalFormatting sqref="C20">
    <cfRule type="cellIs" dxfId="11206" priority="13588" stopIfTrue="1" operator="equal">
      <formula>"Towel"</formula>
    </cfRule>
    <cfRule type="cellIs" dxfId="11205" priority="13589" stopIfTrue="1" operator="equal">
      <formula>"Napkin Hs"</formula>
    </cfRule>
  </conditionalFormatting>
  <conditionalFormatting sqref="C20">
    <cfRule type="cellIs" dxfId="11204" priority="13584" stopIfTrue="1" operator="equal">
      <formula>"Towel"</formula>
    </cfRule>
    <cfRule type="cellIs" dxfId="11203" priority="13585" stopIfTrue="1" operator="equal">
      <formula>"Napkin Hs"</formula>
    </cfRule>
  </conditionalFormatting>
  <conditionalFormatting sqref="C20">
    <cfRule type="cellIs" dxfId="11202" priority="13587" stopIfTrue="1" operator="equal">
      <formula>"Napkin Hs"</formula>
    </cfRule>
  </conditionalFormatting>
  <conditionalFormatting sqref="C20">
    <cfRule type="cellIs" dxfId="11201" priority="13586" stopIfTrue="1" operator="equal">
      <formula>"Towel"</formula>
    </cfRule>
  </conditionalFormatting>
  <conditionalFormatting sqref="B18:C19">
    <cfRule type="cellIs" dxfId="11200" priority="13560" stopIfTrue="1" operator="equal">
      <formula>"Towel"</formula>
    </cfRule>
  </conditionalFormatting>
  <conditionalFormatting sqref="B18:C19">
    <cfRule type="cellIs" dxfId="11199" priority="13561" stopIfTrue="1" operator="equal">
      <formula>"Napkin Hs"</formula>
    </cfRule>
    <cfRule type="cellIs" dxfId="11198" priority="13566" stopIfTrue="1" operator="equal">
      <formula>"Towel"</formula>
    </cfRule>
    <cfRule type="cellIs" dxfId="11197" priority="13567" stopIfTrue="1" operator="equal">
      <formula>"Napkin Hs"</formula>
    </cfRule>
    <cfRule type="cellIs" dxfId="11196" priority="13576" stopIfTrue="1" operator="equal">
      <formula>"Towel"</formula>
    </cfRule>
    <cfRule type="cellIs" dxfId="11195" priority="13577" stopIfTrue="1" operator="equal">
      <formula>"Napkin Hs"</formula>
    </cfRule>
    <cfRule type="cellIs" dxfId="11194" priority="13582" stopIfTrue="1" operator="equal">
      <formula>"Towel"</formula>
    </cfRule>
    <cfRule type="cellIs" dxfId="11193" priority="13583" stopIfTrue="1" operator="equal">
      <formula>"Napkin Hs"</formula>
    </cfRule>
  </conditionalFormatting>
  <conditionalFormatting sqref="C18:C19">
    <cfRule type="cellIs" dxfId="11192" priority="13562" stopIfTrue="1" operator="equal">
      <formula>"Towel"</formula>
    </cfRule>
    <cfRule type="cellIs" dxfId="11191" priority="13563" stopIfTrue="1" operator="equal">
      <formula>"Napkin Hs"</formula>
    </cfRule>
    <cfRule type="cellIs" dxfId="11190" priority="13564" stopIfTrue="1" operator="equal">
      <formula>"Towel"</formula>
    </cfRule>
    <cfRule type="cellIs" dxfId="11189" priority="13565" stopIfTrue="1" operator="equal">
      <formula>"Napkin Hs"</formula>
    </cfRule>
    <cfRule type="cellIs" dxfId="11188" priority="13568" stopIfTrue="1" operator="equal">
      <formula>"Towel"</formula>
    </cfRule>
    <cfRule type="cellIs" dxfId="11187" priority="13569" stopIfTrue="1" operator="equal">
      <formula>"Napkin Hs"</formula>
    </cfRule>
    <cfRule type="cellIs" dxfId="11186" priority="13570" stopIfTrue="1" operator="equal">
      <formula>"Towel"</formula>
    </cfRule>
    <cfRule type="cellIs" dxfId="11185" priority="13571" stopIfTrue="1" operator="equal">
      <formula>"Napkin Hs"</formula>
    </cfRule>
    <cfRule type="cellIs" dxfId="11184" priority="13572" stopIfTrue="1" operator="equal">
      <formula>"Towel"</formula>
    </cfRule>
    <cfRule type="cellIs" dxfId="11183" priority="13573" stopIfTrue="1" operator="equal">
      <formula>"Napkin Hs"</formula>
    </cfRule>
    <cfRule type="cellIs" dxfId="11182" priority="13574" stopIfTrue="1" operator="equal">
      <formula>"Towel"</formula>
    </cfRule>
    <cfRule type="cellIs" dxfId="11181" priority="13575" stopIfTrue="1" operator="equal">
      <formula>"Napkin Hs"</formula>
    </cfRule>
    <cfRule type="cellIs" dxfId="11180" priority="13578" stopIfTrue="1" operator="equal">
      <formula>"Towel"</formula>
    </cfRule>
    <cfRule type="cellIs" dxfId="11179" priority="13579" stopIfTrue="1" operator="equal">
      <formula>"Napkin Hs"</formula>
    </cfRule>
    <cfRule type="cellIs" dxfId="11178" priority="13581" stopIfTrue="1" operator="equal">
      <formula>"Napkin Hs"</formula>
    </cfRule>
  </conditionalFormatting>
  <conditionalFormatting sqref="C18:C19">
    <cfRule type="cellIs" dxfId="11177" priority="13580" stopIfTrue="1" operator="equal">
      <formula>"Towel"</formula>
    </cfRule>
  </conditionalFormatting>
  <conditionalFormatting sqref="B18:C19">
    <cfRule type="cellIs" dxfId="11176" priority="13558" stopIfTrue="1" operator="equal">
      <formula>"Towel"</formula>
    </cfRule>
    <cfRule type="cellIs" dxfId="11175" priority="13559" stopIfTrue="1" operator="equal">
      <formula>"Napkin Hs"</formula>
    </cfRule>
  </conditionalFormatting>
  <conditionalFormatting sqref="C18:C19">
    <cfRule type="cellIs" dxfId="11174" priority="13557" stopIfTrue="1" operator="equal">
      <formula>"Napkin Hs"</formula>
    </cfRule>
  </conditionalFormatting>
  <conditionalFormatting sqref="C18:C19">
    <cfRule type="cellIs" dxfId="11173" priority="13556" stopIfTrue="1" operator="equal">
      <formula>"Towel"</formula>
    </cfRule>
  </conditionalFormatting>
  <conditionalFormatting sqref="C18:C19">
    <cfRule type="cellIs" dxfId="11172" priority="13554" stopIfTrue="1" operator="equal">
      <formula>"Towel"</formula>
    </cfRule>
  </conditionalFormatting>
  <conditionalFormatting sqref="C18:C19">
    <cfRule type="cellIs" dxfId="11171" priority="13555" stopIfTrue="1" operator="equal">
      <formula>"Napkin Hs"</formula>
    </cfRule>
  </conditionalFormatting>
  <conditionalFormatting sqref="B18:B19">
    <cfRule type="cellIs" dxfId="11170" priority="13458" stopIfTrue="1" operator="equal">
      <formula>"Napkin Hs"</formula>
    </cfRule>
  </conditionalFormatting>
  <conditionalFormatting sqref="B18:C19">
    <cfRule type="cellIs" dxfId="11169" priority="13457" stopIfTrue="1" operator="equal">
      <formula>"Towel"</formula>
    </cfRule>
  </conditionalFormatting>
  <conditionalFormatting sqref="B18:C19">
    <cfRule type="cellIs" dxfId="11168" priority="13468" stopIfTrue="1" operator="equal">
      <formula>"Towel"</formula>
    </cfRule>
    <cfRule type="cellIs" dxfId="11167" priority="13469" stopIfTrue="1" operator="equal">
      <formula>"Napkin Hs"</formula>
    </cfRule>
    <cfRule type="cellIs" dxfId="11166" priority="13474" stopIfTrue="1" operator="equal">
      <formula>"Towel"</formula>
    </cfRule>
    <cfRule type="cellIs" dxfId="11165" priority="13475" stopIfTrue="1" operator="equal">
      <formula>"Napkin Hs"</formula>
    </cfRule>
    <cfRule type="cellIs" dxfId="11164" priority="13480" stopIfTrue="1" operator="equal">
      <formula>"Towel"</formula>
    </cfRule>
    <cfRule type="cellIs" dxfId="11163" priority="13481" stopIfTrue="1" operator="equal">
      <formula>"Napkin Hs"</formula>
    </cfRule>
    <cfRule type="cellIs" dxfId="11162" priority="13482" stopIfTrue="1" operator="equal">
      <formula>"Towel"</formula>
    </cfRule>
    <cfRule type="cellIs" dxfId="11161" priority="13483" stopIfTrue="1" operator="equal">
      <formula>"Napkin Hs"</formula>
    </cfRule>
    <cfRule type="cellIs" dxfId="11160" priority="13488" stopIfTrue="1" operator="equal">
      <formula>"Towel"</formula>
    </cfRule>
    <cfRule type="cellIs" dxfId="11159" priority="13489" stopIfTrue="1" operator="equal">
      <formula>"Napkin Hs"</formula>
    </cfRule>
    <cfRule type="cellIs" dxfId="11158" priority="13498" stopIfTrue="1" operator="equal">
      <formula>"Towel"</formula>
    </cfRule>
    <cfRule type="cellIs" dxfId="11157" priority="13499" stopIfTrue="1" operator="equal">
      <formula>"Napkin Hs"</formula>
    </cfRule>
    <cfRule type="cellIs" dxfId="11156" priority="13504" stopIfTrue="1" operator="equal">
      <formula>"Towel"</formula>
    </cfRule>
    <cfRule type="cellIs" dxfId="11155" priority="13505" stopIfTrue="1" operator="equal">
      <formula>"Napkin Hs"</formula>
    </cfRule>
    <cfRule type="cellIs" dxfId="11154" priority="13506" stopIfTrue="1" operator="equal">
      <formula>"Towel"</formula>
    </cfRule>
    <cfRule type="cellIs" dxfId="11153" priority="13507" stopIfTrue="1" operator="equal">
      <formula>"Napkin Hs"</formula>
    </cfRule>
    <cfRule type="cellIs" dxfId="11152" priority="13512" stopIfTrue="1" operator="equal">
      <formula>"Towel"</formula>
    </cfRule>
    <cfRule type="cellIs" dxfId="11151" priority="13513" stopIfTrue="1" operator="equal">
      <formula>"Napkin Hs"</formula>
    </cfRule>
    <cfRule type="cellIs" dxfId="11150" priority="13522" stopIfTrue="1" operator="equal">
      <formula>"Towel"</formula>
    </cfRule>
    <cfRule type="cellIs" dxfId="11149" priority="13523" stopIfTrue="1" operator="equal">
      <formula>"Napkin Hs"</formula>
    </cfRule>
    <cfRule type="cellIs" dxfId="11148" priority="13524" stopIfTrue="1" operator="equal">
      <formula>"Towel"</formula>
    </cfRule>
    <cfRule type="cellIs" dxfId="11147" priority="13525" stopIfTrue="1" operator="equal">
      <formula>"Napkin Hs"</formula>
    </cfRule>
    <cfRule type="cellIs" dxfId="11146" priority="13530" stopIfTrue="1" operator="equal">
      <formula>"Towel"</formula>
    </cfRule>
    <cfRule type="cellIs" dxfId="11145" priority="13531" stopIfTrue="1" operator="equal">
      <formula>"Napkin Hs"</formula>
    </cfRule>
    <cfRule type="cellIs" dxfId="11144" priority="13540" stopIfTrue="1" operator="equal">
      <formula>"Towel"</formula>
    </cfRule>
    <cfRule type="cellIs" dxfId="11143" priority="13541" stopIfTrue="1" operator="equal">
      <formula>"Napkin Hs"</formula>
    </cfRule>
    <cfRule type="cellIs" dxfId="11142" priority="13542" stopIfTrue="1" operator="equal">
      <formula>"Towel"</formula>
    </cfRule>
    <cfRule type="cellIs" dxfId="11141" priority="13543" stopIfTrue="1" operator="equal">
      <formula>"Napkin Hs"</formula>
    </cfRule>
    <cfRule type="cellIs" dxfId="11140" priority="13549" stopIfTrue="1" operator="equal">
      <formula>"Napkin Hs"</formula>
    </cfRule>
  </conditionalFormatting>
  <conditionalFormatting sqref="B18:C19">
    <cfRule type="cellIs" dxfId="11139" priority="13548" stopIfTrue="1" operator="equal">
      <formula>"Towel"</formula>
    </cfRule>
  </conditionalFormatting>
  <conditionalFormatting sqref="C18:C19">
    <cfRule type="cellIs" dxfId="11138" priority="13459" stopIfTrue="1" operator="equal">
      <formula>"Napkin Hs"</formula>
    </cfRule>
    <cfRule type="cellIs" dxfId="11137" priority="13460" stopIfTrue="1" operator="equal">
      <formula>"Towel"</formula>
    </cfRule>
    <cfRule type="cellIs" dxfId="11136" priority="13461" stopIfTrue="1" operator="equal">
      <formula>"Napkin Hs"</formula>
    </cfRule>
    <cfRule type="cellIs" dxfId="11135" priority="13462" stopIfTrue="1" operator="equal">
      <formula>"Towel"</formula>
    </cfRule>
    <cfRule type="cellIs" dxfId="11134" priority="13463" stopIfTrue="1" operator="equal">
      <formula>"Napkin Hs"</formula>
    </cfRule>
    <cfRule type="cellIs" dxfId="11133" priority="13464" stopIfTrue="1" operator="equal">
      <formula>"Towel"</formula>
    </cfRule>
    <cfRule type="cellIs" dxfId="11132" priority="13465" stopIfTrue="1" operator="equal">
      <formula>"Napkin Hs"</formula>
    </cfRule>
    <cfRule type="cellIs" dxfId="11131" priority="13466" stopIfTrue="1" operator="equal">
      <formula>"Towel"</formula>
    </cfRule>
    <cfRule type="cellIs" dxfId="11130" priority="13467" stopIfTrue="1" operator="equal">
      <formula>"Napkin Hs"</formula>
    </cfRule>
    <cfRule type="cellIs" dxfId="11129" priority="13470" stopIfTrue="1" operator="equal">
      <formula>"Towel"</formula>
    </cfRule>
    <cfRule type="cellIs" dxfId="11128" priority="13471" stopIfTrue="1" operator="equal">
      <formula>"Napkin Hs"</formula>
    </cfRule>
    <cfRule type="cellIs" dxfId="11127" priority="13472" stopIfTrue="1" operator="equal">
      <formula>"Towel"</formula>
    </cfRule>
    <cfRule type="cellIs" dxfId="11126" priority="13473" stopIfTrue="1" operator="equal">
      <formula>"Napkin Hs"</formula>
    </cfRule>
    <cfRule type="cellIs" dxfId="11125" priority="13476" stopIfTrue="1" operator="equal">
      <formula>"Towel"</formula>
    </cfRule>
    <cfRule type="cellIs" dxfId="11124" priority="13477" stopIfTrue="1" operator="equal">
      <formula>"Napkin Hs"</formula>
    </cfRule>
    <cfRule type="cellIs" dxfId="11123" priority="13478" stopIfTrue="1" operator="equal">
      <formula>"Towel"</formula>
    </cfRule>
    <cfRule type="cellIs" dxfId="11122" priority="13479" stopIfTrue="1" operator="equal">
      <formula>"Napkin Hs"</formula>
    </cfRule>
    <cfRule type="cellIs" dxfId="11121" priority="13484" stopIfTrue="1" operator="equal">
      <formula>"Towel"</formula>
    </cfRule>
    <cfRule type="cellIs" dxfId="11120" priority="13485" stopIfTrue="1" operator="equal">
      <formula>"Napkin Hs"</formula>
    </cfRule>
    <cfRule type="cellIs" dxfId="11119" priority="13486" stopIfTrue="1" operator="equal">
      <formula>"Towel"</formula>
    </cfRule>
    <cfRule type="cellIs" dxfId="11118" priority="13487" stopIfTrue="1" operator="equal">
      <formula>"Napkin Hs"</formula>
    </cfRule>
    <cfRule type="cellIs" dxfId="11117" priority="13490" stopIfTrue="1" operator="equal">
      <formula>"Towel"</formula>
    </cfRule>
    <cfRule type="cellIs" dxfId="11116" priority="13491" stopIfTrue="1" operator="equal">
      <formula>"Napkin Hs"</formula>
    </cfRule>
    <cfRule type="cellIs" dxfId="11115" priority="13492" stopIfTrue="1" operator="equal">
      <formula>"Towel"</formula>
    </cfRule>
    <cfRule type="cellIs" dxfId="11114" priority="13493" stopIfTrue="1" operator="equal">
      <formula>"Napkin Hs"</formula>
    </cfRule>
    <cfRule type="cellIs" dxfId="11113" priority="13494" stopIfTrue="1" operator="equal">
      <formula>"Towel"</formula>
    </cfRule>
    <cfRule type="cellIs" dxfId="11112" priority="13495" stopIfTrue="1" operator="equal">
      <formula>"Napkin Hs"</formula>
    </cfRule>
    <cfRule type="cellIs" dxfId="11111" priority="13496" stopIfTrue="1" operator="equal">
      <formula>"Towel"</formula>
    </cfRule>
    <cfRule type="cellIs" dxfId="11110" priority="13497" stopIfTrue="1" operator="equal">
      <formula>"Napkin Hs"</formula>
    </cfRule>
    <cfRule type="cellIs" dxfId="11109" priority="13500" stopIfTrue="1" operator="equal">
      <formula>"Towel"</formula>
    </cfRule>
    <cfRule type="cellIs" dxfId="11108" priority="13501" stopIfTrue="1" operator="equal">
      <formula>"Napkin Hs"</formula>
    </cfRule>
    <cfRule type="cellIs" dxfId="11107" priority="13502" stopIfTrue="1" operator="equal">
      <formula>"Towel"</formula>
    </cfRule>
    <cfRule type="cellIs" dxfId="11106" priority="13503" stopIfTrue="1" operator="equal">
      <formula>"Napkin Hs"</formula>
    </cfRule>
    <cfRule type="cellIs" dxfId="11105" priority="13508" stopIfTrue="1" operator="equal">
      <formula>"Towel"</formula>
    </cfRule>
    <cfRule type="cellIs" dxfId="11104" priority="13509" stopIfTrue="1" operator="equal">
      <formula>"Napkin Hs"</formula>
    </cfRule>
    <cfRule type="cellIs" dxfId="11103" priority="13510" stopIfTrue="1" operator="equal">
      <formula>"Towel"</formula>
    </cfRule>
    <cfRule type="cellIs" dxfId="11102" priority="13511" stopIfTrue="1" operator="equal">
      <formula>"Napkin Hs"</formula>
    </cfRule>
    <cfRule type="cellIs" dxfId="11101" priority="13514" stopIfTrue="1" operator="equal">
      <formula>"Towel"</formula>
    </cfRule>
    <cfRule type="cellIs" dxfId="11100" priority="13515" stopIfTrue="1" operator="equal">
      <formula>"Napkin Hs"</formula>
    </cfRule>
    <cfRule type="cellIs" dxfId="11099" priority="13516" stopIfTrue="1" operator="equal">
      <formula>"Towel"</formula>
    </cfRule>
    <cfRule type="cellIs" dxfId="11098" priority="13517" stopIfTrue="1" operator="equal">
      <formula>"Napkin Hs"</formula>
    </cfRule>
    <cfRule type="cellIs" dxfId="11097" priority="13518" stopIfTrue="1" operator="equal">
      <formula>"Towel"</formula>
    </cfRule>
    <cfRule type="cellIs" dxfId="11096" priority="13519" stopIfTrue="1" operator="equal">
      <formula>"Napkin Hs"</formula>
    </cfRule>
    <cfRule type="cellIs" dxfId="11095" priority="13520" stopIfTrue="1" operator="equal">
      <formula>"Towel"</formula>
    </cfRule>
    <cfRule type="cellIs" dxfId="11094" priority="13521" stopIfTrue="1" operator="equal">
      <formula>"Napkin Hs"</formula>
    </cfRule>
    <cfRule type="cellIs" dxfId="11093" priority="13526" stopIfTrue="1" operator="equal">
      <formula>"Towel"</formula>
    </cfRule>
    <cfRule type="cellIs" dxfId="11092" priority="13527" stopIfTrue="1" operator="equal">
      <formula>"Napkin Hs"</formula>
    </cfRule>
    <cfRule type="cellIs" dxfId="11091" priority="13528" stopIfTrue="1" operator="equal">
      <formula>"Towel"</formula>
    </cfRule>
    <cfRule type="cellIs" dxfId="11090" priority="13529" stopIfTrue="1" operator="equal">
      <formula>"Napkin Hs"</formula>
    </cfRule>
    <cfRule type="cellIs" dxfId="11089" priority="13532" stopIfTrue="1" operator="equal">
      <formula>"Towel"</formula>
    </cfRule>
    <cfRule type="cellIs" dxfId="11088" priority="13533" stopIfTrue="1" operator="equal">
      <formula>"Napkin Hs"</formula>
    </cfRule>
    <cfRule type="cellIs" dxfId="11087" priority="13534" stopIfTrue="1" operator="equal">
      <formula>"Towel"</formula>
    </cfRule>
    <cfRule type="cellIs" dxfId="11086" priority="13535" stopIfTrue="1" operator="equal">
      <formula>"Napkin Hs"</formula>
    </cfRule>
    <cfRule type="cellIs" dxfId="11085" priority="13536" stopIfTrue="1" operator="equal">
      <formula>"Towel"</formula>
    </cfRule>
    <cfRule type="cellIs" dxfId="11084" priority="13537" stopIfTrue="1" operator="equal">
      <formula>"Napkin Hs"</formula>
    </cfRule>
    <cfRule type="cellIs" dxfId="11083" priority="13538" stopIfTrue="1" operator="equal">
      <formula>"Towel"</formula>
    </cfRule>
    <cfRule type="cellIs" dxfId="11082" priority="13539" stopIfTrue="1" operator="equal">
      <formula>"Napkin Hs"</formula>
    </cfRule>
    <cfRule type="cellIs" dxfId="11081" priority="13544" stopIfTrue="1" operator="equal">
      <formula>"Towel"</formula>
    </cfRule>
    <cfRule type="cellIs" dxfId="11080" priority="13545" stopIfTrue="1" operator="equal">
      <formula>"Napkin Hs"</formula>
    </cfRule>
    <cfRule type="cellIs" dxfId="11079" priority="13546" stopIfTrue="1" operator="equal">
      <formula>"Towel"</formula>
    </cfRule>
    <cfRule type="cellIs" dxfId="11078" priority="13547" stopIfTrue="1" operator="equal">
      <formula>"Napkin Hs"</formula>
    </cfRule>
    <cfRule type="cellIs" dxfId="11077" priority="13550" stopIfTrue="1" operator="equal">
      <formula>"Towel"</formula>
    </cfRule>
    <cfRule type="cellIs" dxfId="11076" priority="13551" stopIfTrue="1" operator="equal">
      <formula>"Napkin Hs"</formula>
    </cfRule>
    <cfRule type="cellIs" dxfId="11075" priority="13552" stopIfTrue="1" operator="equal">
      <formula>"Towel"</formula>
    </cfRule>
    <cfRule type="cellIs" dxfId="11074" priority="13553" stopIfTrue="1" operator="equal">
      <formula>"Napkin Hs"</formula>
    </cfRule>
  </conditionalFormatting>
  <conditionalFormatting sqref="B20">
    <cfRule type="cellIs" dxfId="11073" priority="13449" stopIfTrue="1" operator="equal">
      <formula>"Towel"</formula>
    </cfRule>
  </conditionalFormatting>
  <conditionalFormatting sqref="B20">
    <cfRule type="cellIs" dxfId="11072" priority="13450" stopIfTrue="1" operator="equal">
      <formula>"Napkin Hs"</formula>
    </cfRule>
    <cfRule type="cellIs" dxfId="11071" priority="13451" stopIfTrue="1" operator="equal">
      <formula>"Towel"</formula>
    </cfRule>
    <cfRule type="cellIs" dxfId="11070" priority="13452" stopIfTrue="1" operator="equal">
      <formula>"Napkin Hs"</formula>
    </cfRule>
    <cfRule type="cellIs" dxfId="11069" priority="13453" stopIfTrue="1" operator="equal">
      <formula>"Towel"</formula>
    </cfRule>
    <cfRule type="cellIs" dxfId="11068" priority="13454" stopIfTrue="1" operator="equal">
      <formula>"Napkin Hs"</formula>
    </cfRule>
    <cfRule type="cellIs" dxfId="11067" priority="13455" stopIfTrue="1" operator="equal">
      <formula>"Towel"</formula>
    </cfRule>
    <cfRule type="cellIs" dxfId="11066" priority="13456" stopIfTrue="1" operator="equal">
      <formula>"Napkin Hs"</formula>
    </cfRule>
  </conditionalFormatting>
  <conditionalFormatting sqref="B20">
    <cfRule type="cellIs" dxfId="11065" priority="13447" stopIfTrue="1" operator="equal">
      <formula>"Towel"</formula>
    </cfRule>
    <cfRule type="cellIs" dxfId="11064" priority="13448" stopIfTrue="1" operator="equal">
      <formula>"Napkin Hs"</formula>
    </cfRule>
  </conditionalFormatting>
  <conditionalFormatting sqref="B20">
    <cfRule type="cellIs" dxfId="11063" priority="13416" stopIfTrue="1" operator="equal">
      <formula>"Napkin Hs"</formula>
    </cfRule>
  </conditionalFormatting>
  <conditionalFormatting sqref="B20">
    <cfRule type="cellIs" dxfId="11062" priority="13415" stopIfTrue="1" operator="equal">
      <formula>"Towel"</formula>
    </cfRule>
  </conditionalFormatting>
  <conditionalFormatting sqref="B20">
    <cfRule type="cellIs" dxfId="11061" priority="13417" stopIfTrue="1" operator="equal">
      <formula>"Towel"</formula>
    </cfRule>
    <cfRule type="cellIs" dxfId="11060" priority="13418" stopIfTrue="1" operator="equal">
      <formula>"Napkin Hs"</formula>
    </cfRule>
    <cfRule type="cellIs" dxfId="11059" priority="13419" stopIfTrue="1" operator="equal">
      <formula>"Towel"</formula>
    </cfRule>
    <cfRule type="cellIs" dxfId="11058" priority="13420" stopIfTrue="1" operator="equal">
      <formula>"Napkin Hs"</formula>
    </cfRule>
    <cfRule type="cellIs" dxfId="11057" priority="13421" stopIfTrue="1" operator="equal">
      <formula>"Towel"</formula>
    </cfRule>
    <cfRule type="cellIs" dxfId="11056" priority="13422" stopIfTrue="1" operator="equal">
      <formula>"Napkin Hs"</formula>
    </cfRule>
    <cfRule type="cellIs" dxfId="11055" priority="13423" stopIfTrue="1" operator="equal">
      <formula>"Towel"</formula>
    </cfRule>
    <cfRule type="cellIs" dxfId="11054" priority="13424" stopIfTrue="1" operator="equal">
      <formula>"Napkin Hs"</formula>
    </cfRule>
    <cfRule type="cellIs" dxfId="11053" priority="13425" stopIfTrue="1" operator="equal">
      <formula>"Towel"</formula>
    </cfRule>
    <cfRule type="cellIs" dxfId="11052" priority="13426" stopIfTrue="1" operator="equal">
      <formula>"Napkin Hs"</formula>
    </cfRule>
    <cfRule type="cellIs" dxfId="11051" priority="13427" stopIfTrue="1" operator="equal">
      <formula>"Towel"</formula>
    </cfRule>
    <cfRule type="cellIs" dxfId="11050" priority="13428" stopIfTrue="1" operator="equal">
      <formula>"Napkin Hs"</formula>
    </cfRule>
    <cfRule type="cellIs" dxfId="11049" priority="13429" stopIfTrue="1" operator="equal">
      <formula>"Towel"</formula>
    </cfRule>
    <cfRule type="cellIs" dxfId="11048" priority="13430" stopIfTrue="1" operator="equal">
      <formula>"Napkin Hs"</formula>
    </cfRule>
    <cfRule type="cellIs" dxfId="11047" priority="13431" stopIfTrue="1" operator="equal">
      <formula>"Towel"</formula>
    </cfRule>
    <cfRule type="cellIs" dxfId="11046" priority="13432" stopIfTrue="1" operator="equal">
      <formula>"Napkin Hs"</formula>
    </cfRule>
    <cfRule type="cellIs" dxfId="11045" priority="13433" stopIfTrue="1" operator="equal">
      <formula>"Towel"</formula>
    </cfRule>
    <cfRule type="cellIs" dxfId="11044" priority="13434" stopIfTrue="1" operator="equal">
      <formula>"Napkin Hs"</formula>
    </cfRule>
    <cfRule type="cellIs" dxfId="11043" priority="13435" stopIfTrue="1" operator="equal">
      <formula>"Towel"</formula>
    </cfRule>
    <cfRule type="cellIs" dxfId="11042" priority="13436" stopIfTrue="1" operator="equal">
      <formula>"Napkin Hs"</formula>
    </cfRule>
    <cfRule type="cellIs" dxfId="11041" priority="13437" stopIfTrue="1" operator="equal">
      <formula>"Towel"</formula>
    </cfRule>
    <cfRule type="cellIs" dxfId="11040" priority="13438" stopIfTrue="1" operator="equal">
      <formula>"Napkin Hs"</formula>
    </cfRule>
    <cfRule type="cellIs" dxfId="11039" priority="13439" stopIfTrue="1" operator="equal">
      <formula>"Towel"</formula>
    </cfRule>
    <cfRule type="cellIs" dxfId="11038" priority="13440" stopIfTrue="1" operator="equal">
      <formula>"Napkin Hs"</formula>
    </cfRule>
    <cfRule type="cellIs" dxfId="11037" priority="13441" stopIfTrue="1" operator="equal">
      <formula>"Towel"</formula>
    </cfRule>
    <cfRule type="cellIs" dxfId="11036" priority="13442" stopIfTrue="1" operator="equal">
      <formula>"Napkin Hs"</formula>
    </cfRule>
    <cfRule type="cellIs" dxfId="11035" priority="13443" stopIfTrue="1" operator="equal">
      <formula>"Towel"</formula>
    </cfRule>
    <cfRule type="cellIs" dxfId="11034" priority="13444" stopIfTrue="1" operator="equal">
      <formula>"Napkin Hs"</formula>
    </cfRule>
    <cfRule type="cellIs" dxfId="11033" priority="13446" stopIfTrue="1" operator="equal">
      <formula>"Napkin Hs"</formula>
    </cfRule>
  </conditionalFormatting>
  <conditionalFormatting sqref="B20">
    <cfRule type="cellIs" dxfId="11032" priority="13445" stopIfTrue="1" operator="equal">
      <formula>"Towel"</formula>
    </cfRule>
  </conditionalFormatting>
  <conditionalFormatting sqref="C20">
    <cfRule type="cellIs" dxfId="11031" priority="13399" stopIfTrue="1" operator="equal">
      <formula>"Towel"</formula>
    </cfRule>
    <cfRule type="cellIs" dxfId="11030" priority="13400" stopIfTrue="1" operator="equal">
      <formula>"Napkin Hs"</formula>
    </cfRule>
  </conditionalFormatting>
  <conditionalFormatting sqref="C20">
    <cfRule type="cellIs" dxfId="11029" priority="13401" stopIfTrue="1" operator="equal">
      <formula>"Towel"</formula>
    </cfRule>
    <cfRule type="cellIs" dxfId="11028" priority="13402" stopIfTrue="1" operator="equal">
      <formula>"Napkin Hs"</formula>
    </cfRule>
  </conditionalFormatting>
  <conditionalFormatting sqref="B20:C20">
    <cfRule type="cellIs" dxfId="11027" priority="13397" stopIfTrue="1" operator="equal">
      <formula>"Towel"</formula>
    </cfRule>
    <cfRule type="cellIs" dxfId="11026" priority="13398" stopIfTrue="1" operator="equal">
      <formula>"Napkin Hs"</formula>
    </cfRule>
  </conditionalFormatting>
  <conditionalFormatting sqref="B20:C20">
    <cfRule type="cellIs" dxfId="11025" priority="13391" stopIfTrue="1" operator="equal">
      <formula>"Towel"</formula>
    </cfRule>
    <cfRule type="cellIs" dxfId="11024" priority="13392" stopIfTrue="1" operator="equal">
      <formula>"Napkin Hs"</formula>
    </cfRule>
  </conditionalFormatting>
  <conditionalFormatting sqref="C20">
    <cfRule type="cellIs" dxfId="11023" priority="13393" stopIfTrue="1" operator="equal">
      <formula>"Towel"</formula>
    </cfRule>
    <cfRule type="cellIs" dxfId="11022" priority="13394" stopIfTrue="1" operator="equal">
      <formula>"Napkin Hs"</formula>
    </cfRule>
  </conditionalFormatting>
  <conditionalFormatting sqref="C20">
    <cfRule type="cellIs" dxfId="11021" priority="13395" stopIfTrue="1" operator="equal">
      <formula>"Towel"</formula>
    </cfRule>
    <cfRule type="cellIs" dxfId="11020" priority="13396" stopIfTrue="1" operator="equal">
      <formula>"Napkin Hs"</formula>
    </cfRule>
  </conditionalFormatting>
  <conditionalFormatting sqref="B19:C19">
    <cfRule type="cellIs" dxfId="11019" priority="13385" stopIfTrue="1" operator="equal">
      <formula>"Towel"</formula>
    </cfRule>
    <cfRule type="cellIs" dxfId="11018" priority="13386" stopIfTrue="1" operator="equal">
      <formula>"Napkin Hs"</formula>
    </cfRule>
  </conditionalFormatting>
  <conditionalFormatting sqref="C19">
    <cfRule type="cellIs" dxfId="11017" priority="13381" stopIfTrue="1" operator="equal">
      <formula>"Towel"</formula>
    </cfRule>
    <cfRule type="cellIs" dxfId="11016" priority="13382" stopIfTrue="1" operator="equal">
      <formula>"Napkin Hs"</formula>
    </cfRule>
  </conditionalFormatting>
  <conditionalFormatting sqref="C19">
    <cfRule type="cellIs" dxfId="11015" priority="13383" stopIfTrue="1" operator="equal">
      <formula>"Towel"</formula>
    </cfRule>
    <cfRule type="cellIs" dxfId="11014" priority="13384" stopIfTrue="1" operator="equal">
      <formula>"Napkin Hs"</formula>
    </cfRule>
  </conditionalFormatting>
  <conditionalFormatting sqref="B19:C19">
    <cfRule type="cellIs" dxfId="11013" priority="13379" stopIfTrue="1" operator="equal">
      <formula>"Towel"</formula>
    </cfRule>
    <cfRule type="cellIs" dxfId="11012" priority="13380" stopIfTrue="1" operator="equal">
      <formula>"Napkin Hs"</formula>
    </cfRule>
  </conditionalFormatting>
  <conditionalFormatting sqref="C19">
    <cfRule type="cellIs" dxfId="11011" priority="13377" stopIfTrue="1" operator="equal">
      <formula>"Towel"</formula>
    </cfRule>
    <cfRule type="cellIs" dxfId="11010" priority="13378" stopIfTrue="1" operator="equal">
      <formula>"Napkin Hs"</formula>
    </cfRule>
  </conditionalFormatting>
  <conditionalFormatting sqref="C19">
    <cfRule type="cellIs" dxfId="11009" priority="13375" stopIfTrue="1" operator="equal">
      <formula>"Towel"</formula>
    </cfRule>
    <cfRule type="cellIs" dxfId="11008" priority="13376" stopIfTrue="1" operator="equal">
      <formula>"Napkin Hs"</formula>
    </cfRule>
  </conditionalFormatting>
  <conditionalFormatting sqref="C19">
    <cfRule type="cellIs" dxfId="11007" priority="13367" stopIfTrue="1" operator="equal">
      <formula>"Towel"</formula>
    </cfRule>
    <cfRule type="cellIs" dxfId="11006" priority="13368" stopIfTrue="1" operator="equal">
      <formula>"Napkin Hs"</formula>
    </cfRule>
  </conditionalFormatting>
  <conditionalFormatting sqref="B19:C19">
    <cfRule type="cellIs" dxfId="11005" priority="13369" stopIfTrue="1" operator="equal">
      <formula>"Towel"</formula>
    </cfRule>
    <cfRule type="cellIs" dxfId="11004" priority="13370" stopIfTrue="1" operator="equal">
      <formula>"Napkin Hs"</formula>
    </cfRule>
  </conditionalFormatting>
  <conditionalFormatting sqref="C19">
    <cfRule type="cellIs" dxfId="11003" priority="13365" stopIfTrue="1" operator="equal">
      <formula>"Towel"</formula>
    </cfRule>
    <cfRule type="cellIs" dxfId="11002" priority="13366" stopIfTrue="1" operator="equal">
      <formula>"Napkin Hs"</formula>
    </cfRule>
  </conditionalFormatting>
  <conditionalFormatting sqref="B19:C19">
    <cfRule type="cellIs" dxfId="11001" priority="13363" stopIfTrue="1" operator="equal">
      <formula>"Towel"</formula>
    </cfRule>
    <cfRule type="cellIs" dxfId="11000" priority="13364" stopIfTrue="1" operator="equal">
      <formula>"Napkin Hs"</formula>
    </cfRule>
  </conditionalFormatting>
  <conditionalFormatting sqref="C19">
    <cfRule type="cellIs" dxfId="10999" priority="13371" stopIfTrue="1" operator="equal">
      <formula>"Towel"</formula>
    </cfRule>
    <cfRule type="cellIs" dxfId="10998" priority="13372" stopIfTrue="1" operator="equal">
      <formula>"Napkin Hs"</formula>
    </cfRule>
  </conditionalFormatting>
  <conditionalFormatting sqref="C19">
    <cfRule type="cellIs" dxfId="10997" priority="13373" stopIfTrue="1" operator="equal">
      <formula>"Towel"</formula>
    </cfRule>
    <cfRule type="cellIs" dxfId="10996" priority="13374" stopIfTrue="1" operator="equal">
      <formula>"Napkin Hs"</formula>
    </cfRule>
  </conditionalFormatting>
  <conditionalFormatting sqref="B19:C19">
    <cfRule type="cellIs" dxfId="10995" priority="13361" stopIfTrue="1" operator="equal">
      <formula>"Towel"</formula>
    </cfRule>
    <cfRule type="cellIs" dxfId="10994" priority="13362" stopIfTrue="1" operator="equal">
      <formula>"Napkin Hs"</formula>
    </cfRule>
  </conditionalFormatting>
  <conditionalFormatting sqref="C19">
    <cfRule type="cellIs" dxfId="10993" priority="13357" stopIfTrue="1" operator="equal">
      <formula>"Towel"</formula>
    </cfRule>
    <cfRule type="cellIs" dxfId="10992" priority="13358" stopIfTrue="1" operator="equal">
      <formula>"Napkin Hs"</formula>
    </cfRule>
  </conditionalFormatting>
  <conditionalFormatting sqref="C19">
    <cfRule type="cellIs" dxfId="10991" priority="13359" stopIfTrue="1" operator="equal">
      <formula>"Towel"</formula>
    </cfRule>
    <cfRule type="cellIs" dxfId="10990" priority="13360" stopIfTrue="1" operator="equal">
      <formula>"Napkin Hs"</formula>
    </cfRule>
  </conditionalFormatting>
  <conditionalFormatting sqref="B19:C19">
    <cfRule type="cellIs" dxfId="10989" priority="13355" stopIfTrue="1" operator="equal">
      <formula>"Towel"</formula>
    </cfRule>
    <cfRule type="cellIs" dxfId="10988" priority="13356" stopIfTrue="1" operator="equal">
      <formula>"Napkin Hs"</formula>
    </cfRule>
  </conditionalFormatting>
  <conditionalFormatting sqref="C19">
    <cfRule type="cellIs" dxfId="10987" priority="13353" stopIfTrue="1" operator="equal">
      <formula>"Towel"</formula>
    </cfRule>
    <cfRule type="cellIs" dxfId="10986" priority="13354" stopIfTrue="1" operator="equal">
      <formula>"Napkin Hs"</formula>
    </cfRule>
  </conditionalFormatting>
  <conditionalFormatting sqref="C19">
    <cfRule type="cellIs" dxfId="10985" priority="13351" stopIfTrue="1" operator="equal">
      <formula>"Towel"</formula>
    </cfRule>
    <cfRule type="cellIs" dxfId="10984" priority="13352" stopIfTrue="1" operator="equal">
      <formula>"Napkin Hs"</formula>
    </cfRule>
  </conditionalFormatting>
  <conditionalFormatting sqref="C19">
    <cfRule type="cellIs" dxfId="10983" priority="13343" stopIfTrue="1" operator="equal">
      <formula>"Towel"</formula>
    </cfRule>
    <cfRule type="cellIs" dxfId="10982" priority="13344" stopIfTrue="1" operator="equal">
      <formula>"Napkin Hs"</formula>
    </cfRule>
  </conditionalFormatting>
  <conditionalFormatting sqref="B19:C19">
    <cfRule type="cellIs" dxfId="10981" priority="13345" stopIfTrue="1" operator="equal">
      <formula>"Towel"</formula>
    </cfRule>
    <cfRule type="cellIs" dxfId="10980" priority="13346" stopIfTrue="1" operator="equal">
      <formula>"Napkin Hs"</formula>
    </cfRule>
  </conditionalFormatting>
  <conditionalFormatting sqref="C19">
    <cfRule type="cellIs" dxfId="10979" priority="13341" stopIfTrue="1" operator="equal">
      <formula>"Towel"</formula>
    </cfRule>
    <cfRule type="cellIs" dxfId="10978" priority="13342" stopIfTrue="1" operator="equal">
      <formula>"Napkin Hs"</formula>
    </cfRule>
  </conditionalFormatting>
  <conditionalFormatting sqref="B19:C19">
    <cfRule type="cellIs" dxfId="10977" priority="13339" stopIfTrue="1" operator="equal">
      <formula>"Towel"</formula>
    </cfRule>
    <cfRule type="cellIs" dxfId="10976" priority="13340" stopIfTrue="1" operator="equal">
      <formula>"Napkin Hs"</formula>
    </cfRule>
  </conditionalFormatting>
  <conditionalFormatting sqref="C19">
    <cfRule type="cellIs" dxfId="10975" priority="13347" stopIfTrue="1" operator="equal">
      <formula>"Towel"</formula>
    </cfRule>
    <cfRule type="cellIs" dxfId="10974" priority="13348" stopIfTrue="1" operator="equal">
      <formula>"Napkin Hs"</formula>
    </cfRule>
  </conditionalFormatting>
  <conditionalFormatting sqref="C19">
    <cfRule type="cellIs" dxfId="10973" priority="13349" stopIfTrue="1" operator="equal">
      <formula>"Towel"</formula>
    </cfRule>
    <cfRule type="cellIs" dxfId="10972" priority="13350" stopIfTrue="1" operator="equal">
      <formula>"Napkin Hs"</formula>
    </cfRule>
  </conditionalFormatting>
  <conditionalFormatting sqref="B16:C16">
    <cfRule type="cellIs" dxfId="10971" priority="13337" stopIfTrue="1" operator="equal">
      <formula>"Towel"</formula>
    </cfRule>
    <cfRule type="cellIs" dxfId="10970" priority="13338" stopIfTrue="1" operator="equal">
      <formula>"Napkin Hs"</formula>
    </cfRule>
  </conditionalFormatting>
  <conditionalFormatting sqref="C16">
    <cfRule type="cellIs" dxfId="10969" priority="13333" stopIfTrue="1" operator="equal">
      <formula>"Towel"</formula>
    </cfRule>
    <cfRule type="cellIs" dxfId="10968" priority="13334" stopIfTrue="1" operator="equal">
      <formula>"Napkin Hs"</formula>
    </cfRule>
  </conditionalFormatting>
  <conditionalFormatting sqref="C16">
    <cfRule type="cellIs" dxfId="10967" priority="13335" stopIfTrue="1" operator="equal">
      <formula>"Towel"</formula>
    </cfRule>
    <cfRule type="cellIs" dxfId="10966" priority="13336" stopIfTrue="1" operator="equal">
      <formula>"Napkin Hs"</formula>
    </cfRule>
  </conditionalFormatting>
  <conditionalFormatting sqref="B16:C16">
    <cfRule type="cellIs" dxfId="10965" priority="13331" stopIfTrue="1" operator="equal">
      <formula>"Towel"</formula>
    </cfRule>
    <cfRule type="cellIs" dxfId="10964" priority="13332" stopIfTrue="1" operator="equal">
      <formula>"Napkin Hs"</formula>
    </cfRule>
  </conditionalFormatting>
  <conditionalFormatting sqref="C16">
    <cfRule type="cellIs" dxfId="10963" priority="13329" stopIfTrue="1" operator="equal">
      <formula>"Towel"</formula>
    </cfRule>
    <cfRule type="cellIs" dxfId="10962" priority="13330" stopIfTrue="1" operator="equal">
      <formula>"Napkin Hs"</formula>
    </cfRule>
  </conditionalFormatting>
  <conditionalFormatting sqref="C16">
    <cfRule type="cellIs" dxfId="10961" priority="13327" stopIfTrue="1" operator="equal">
      <formula>"Towel"</formula>
    </cfRule>
    <cfRule type="cellIs" dxfId="10960" priority="13328" stopIfTrue="1" operator="equal">
      <formula>"Napkin Hs"</formula>
    </cfRule>
  </conditionalFormatting>
  <conditionalFormatting sqref="C16">
    <cfRule type="cellIs" dxfId="10959" priority="13319" stopIfTrue="1" operator="equal">
      <formula>"Towel"</formula>
    </cfRule>
    <cfRule type="cellIs" dxfId="10958" priority="13320" stopIfTrue="1" operator="equal">
      <formula>"Napkin Hs"</formula>
    </cfRule>
  </conditionalFormatting>
  <conditionalFormatting sqref="B16:C16">
    <cfRule type="cellIs" dxfId="10957" priority="13321" stopIfTrue="1" operator="equal">
      <formula>"Towel"</formula>
    </cfRule>
    <cfRule type="cellIs" dxfId="10956" priority="13322" stopIfTrue="1" operator="equal">
      <formula>"Napkin Hs"</formula>
    </cfRule>
  </conditionalFormatting>
  <conditionalFormatting sqref="C16">
    <cfRule type="cellIs" dxfId="10955" priority="13317" stopIfTrue="1" operator="equal">
      <formula>"Towel"</formula>
    </cfRule>
    <cfRule type="cellIs" dxfId="10954" priority="13318" stopIfTrue="1" operator="equal">
      <formula>"Napkin Hs"</formula>
    </cfRule>
  </conditionalFormatting>
  <conditionalFormatting sqref="B16:C16">
    <cfRule type="cellIs" dxfId="10953" priority="13315" stopIfTrue="1" operator="equal">
      <formula>"Towel"</formula>
    </cfRule>
    <cfRule type="cellIs" dxfId="10952" priority="13316" stopIfTrue="1" operator="equal">
      <formula>"Napkin Hs"</formula>
    </cfRule>
  </conditionalFormatting>
  <conditionalFormatting sqref="C16">
    <cfRule type="cellIs" dxfId="10951" priority="13323" stopIfTrue="1" operator="equal">
      <formula>"Towel"</formula>
    </cfRule>
    <cfRule type="cellIs" dxfId="10950" priority="13324" stopIfTrue="1" operator="equal">
      <formula>"Napkin Hs"</formula>
    </cfRule>
  </conditionalFormatting>
  <conditionalFormatting sqref="C16">
    <cfRule type="cellIs" dxfId="10949" priority="13325" stopIfTrue="1" operator="equal">
      <formula>"Towel"</formula>
    </cfRule>
    <cfRule type="cellIs" dxfId="10948" priority="13326" stopIfTrue="1" operator="equal">
      <formula>"Napkin Hs"</formula>
    </cfRule>
  </conditionalFormatting>
  <conditionalFormatting sqref="B16:C16">
    <cfRule type="cellIs" dxfId="10947" priority="13311" stopIfTrue="1" operator="equal">
      <formula>"Towel"</formula>
    </cfRule>
    <cfRule type="cellIs" dxfId="10946" priority="13312" stopIfTrue="1" operator="equal">
      <formula>"Napkin Hs"</formula>
    </cfRule>
  </conditionalFormatting>
  <conditionalFormatting sqref="C16">
    <cfRule type="cellIs" dxfId="10945" priority="13313" stopIfTrue="1" operator="equal">
      <formula>"Towel"</formula>
    </cfRule>
    <cfRule type="cellIs" dxfId="10944" priority="13314" stopIfTrue="1" operator="equal">
      <formula>"Napkin Hs"</formula>
    </cfRule>
  </conditionalFormatting>
  <conditionalFormatting sqref="C16">
    <cfRule type="cellIs" dxfId="10943" priority="13309" stopIfTrue="1" operator="equal">
      <formula>"Towel"</formula>
    </cfRule>
    <cfRule type="cellIs" dxfId="10942" priority="13310" stopIfTrue="1" operator="equal">
      <formula>"Napkin Hs"</formula>
    </cfRule>
  </conditionalFormatting>
  <conditionalFormatting sqref="B16:C16">
    <cfRule type="cellIs" dxfId="10941" priority="13307" stopIfTrue="1" operator="equal">
      <formula>"Towel"</formula>
    </cfRule>
    <cfRule type="cellIs" dxfId="10940" priority="13308" stopIfTrue="1" operator="equal">
      <formula>"Napkin Hs"</formula>
    </cfRule>
  </conditionalFormatting>
  <conditionalFormatting sqref="C16">
    <cfRule type="cellIs" dxfId="10939" priority="13303" stopIfTrue="1" operator="equal">
      <formula>"Towel"</formula>
    </cfRule>
    <cfRule type="cellIs" dxfId="10938" priority="13304" stopIfTrue="1" operator="equal">
      <formula>"Napkin Hs"</formula>
    </cfRule>
  </conditionalFormatting>
  <conditionalFormatting sqref="C16">
    <cfRule type="cellIs" dxfId="10937" priority="13305" stopIfTrue="1" operator="equal">
      <formula>"Towel"</formula>
    </cfRule>
    <cfRule type="cellIs" dxfId="10936" priority="13306" stopIfTrue="1" operator="equal">
      <formula>"Napkin Hs"</formula>
    </cfRule>
  </conditionalFormatting>
  <conditionalFormatting sqref="B18:C18">
    <cfRule type="cellIs" dxfId="10935" priority="13299" stopIfTrue="1" operator="equal">
      <formula>"Towel"</formula>
    </cfRule>
    <cfRule type="cellIs" dxfId="10934" priority="13300" stopIfTrue="1" operator="equal">
      <formula>"Napkin Hs"</formula>
    </cfRule>
  </conditionalFormatting>
  <conditionalFormatting sqref="C18">
    <cfRule type="cellIs" dxfId="10933" priority="13301" stopIfTrue="1" operator="equal">
      <formula>"Towel"</formula>
    </cfRule>
    <cfRule type="cellIs" dxfId="10932" priority="13302" stopIfTrue="1" operator="equal">
      <formula>"Napkin Hs"</formula>
    </cfRule>
  </conditionalFormatting>
  <conditionalFormatting sqref="C18">
    <cfRule type="cellIs" dxfId="10931" priority="13297" stopIfTrue="1" operator="equal">
      <formula>"Towel"</formula>
    </cfRule>
    <cfRule type="cellIs" dxfId="10930" priority="13298" stopIfTrue="1" operator="equal">
      <formula>"Napkin Hs"</formula>
    </cfRule>
  </conditionalFormatting>
  <conditionalFormatting sqref="B18:C18">
    <cfRule type="cellIs" dxfId="10929" priority="13295" stopIfTrue="1" operator="equal">
      <formula>"Towel"</formula>
    </cfRule>
    <cfRule type="cellIs" dxfId="10928" priority="13296" stopIfTrue="1" operator="equal">
      <formula>"Napkin Hs"</formula>
    </cfRule>
  </conditionalFormatting>
  <conditionalFormatting sqref="C18">
    <cfRule type="cellIs" dxfId="10927" priority="13291" stopIfTrue="1" operator="equal">
      <formula>"Towel"</formula>
    </cfRule>
    <cfRule type="cellIs" dxfId="10926" priority="13292" stopIfTrue="1" operator="equal">
      <formula>"Napkin Hs"</formula>
    </cfRule>
  </conditionalFormatting>
  <conditionalFormatting sqref="C18">
    <cfRule type="cellIs" dxfId="10925" priority="13293" stopIfTrue="1" operator="equal">
      <formula>"Towel"</formula>
    </cfRule>
    <cfRule type="cellIs" dxfId="10924" priority="13294" stopIfTrue="1" operator="equal">
      <formula>"Napkin Hs"</formula>
    </cfRule>
  </conditionalFormatting>
  <conditionalFormatting sqref="B19:C19">
    <cfRule type="cellIs" dxfId="10923" priority="13289" stopIfTrue="1" operator="equal">
      <formula>"Towel"</formula>
    </cfRule>
    <cfRule type="cellIs" dxfId="10922" priority="13290" stopIfTrue="1" operator="equal">
      <formula>"Napkin Hs"</formula>
    </cfRule>
  </conditionalFormatting>
  <conditionalFormatting sqref="C19">
    <cfRule type="cellIs" dxfId="10921" priority="13285" stopIfTrue="1" operator="equal">
      <formula>"Towel"</formula>
    </cfRule>
    <cfRule type="cellIs" dxfId="10920" priority="13286" stopIfTrue="1" operator="equal">
      <formula>"Napkin Hs"</formula>
    </cfRule>
  </conditionalFormatting>
  <conditionalFormatting sqref="C19">
    <cfRule type="cellIs" dxfId="10919" priority="13287" stopIfTrue="1" operator="equal">
      <formula>"Towel"</formula>
    </cfRule>
    <cfRule type="cellIs" dxfId="10918" priority="13288" stopIfTrue="1" operator="equal">
      <formula>"Napkin Hs"</formula>
    </cfRule>
  </conditionalFormatting>
  <conditionalFormatting sqref="B19:C19">
    <cfRule type="cellIs" dxfId="10917" priority="13283" stopIfTrue="1" operator="equal">
      <formula>"Towel"</formula>
    </cfRule>
    <cfRule type="cellIs" dxfId="10916" priority="13284" stopIfTrue="1" operator="equal">
      <formula>"Napkin Hs"</formula>
    </cfRule>
  </conditionalFormatting>
  <conditionalFormatting sqref="C19">
    <cfRule type="cellIs" dxfId="10915" priority="13281" stopIfTrue="1" operator="equal">
      <formula>"Towel"</formula>
    </cfRule>
    <cfRule type="cellIs" dxfId="10914" priority="13282" stopIfTrue="1" operator="equal">
      <formula>"Napkin Hs"</formula>
    </cfRule>
  </conditionalFormatting>
  <conditionalFormatting sqref="C19">
    <cfRule type="cellIs" dxfId="10913" priority="13279" stopIfTrue="1" operator="equal">
      <formula>"Towel"</formula>
    </cfRule>
    <cfRule type="cellIs" dxfId="10912" priority="13280" stopIfTrue="1" operator="equal">
      <formula>"Napkin Hs"</formula>
    </cfRule>
  </conditionalFormatting>
  <conditionalFormatting sqref="C19">
    <cfRule type="cellIs" dxfId="10911" priority="13271" stopIfTrue="1" operator="equal">
      <formula>"Towel"</formula>
    </cfRule>
    <cfRule type="cellIs" dxfId="10910" priority="13272" stopIfTrue="1" operator="equal">
      <formula>"Napkin Hs"</formula>
    </cfRule>
  </conditionalFormatting>
  <conditionalFormatting sqref="B19:C19">
    <cfRule type="cellIs" dxfId="10909" priority="13273" stopIfTrue="1" operator="equal">
      <formula>"Towel"</formula>
    </cfRule>
    <cfRule type="cellIs" dxfId="10908" priority="13274" stopIfTrue="1" operator="equal">
      <formula>"Napkin Hs"</formula>
    </cfRule>
  </conditionalFormatting>
  <conditionalFormatting sqref="C19">
    <cfRule type="cellIs" dxfId="10907" priority="13269" stopIfTrue="1" operator="equal">
      <formula>"Towel"</formula>
    </cfRule>
    <cfRule type="cellIs" dxfId="10906" priority="13270" stopIfTrue="1" operator="equal">
      <formula>"Napkin Hs"</formula>
    </cfRule>
  </conditionalFormatting>
  <conditionalFormatting sqref="B19:C19">
    <cfRule type="cellIs" dxfId="10905" priority="13267" stopIfTrue="1" operator="equal">
      <formula>"Towel"</formula>
    </cfRule>
    <cfRule type="cellIs" dxfId="10904" priority="13268" stopIfTrue="1" operator="equal">
      <formula>"Napkin Hs"</formula>
    </cfRule>
  </conditionalFormatting>
  <conditionalFormatting sqref="C19">
    <cfRule type="cellIs" dxfId="10903" priority="13275" stopIfTrue="1" operator="equal">
      <formula>"Towel"</formula>
    </cfRule>
    <cfRule type="cellIs" dxfId="10902" priority="13276" stopIfTrue="1" operator="equal">
      <formula>"Napkin Hs"</formula>
    </cfRule>
  </conditionalFormatting>
  <conditionalFormatting sqref="C19">
    <cfRule type="cellIs" dxfId="10901" priority="13277" stopIfTrue="1" operator="equal">
      <formula>"Towel"</formula>
    </cfRule>
    <cfRule type="cellIs" dxfId="10900" priority="13278" stopIfTrue="1" operator="equal">
      <formula>"Napkin Hs"</formula>
    </cfRule>
  </conditionalFormatting>
  <conditionalFormatting sqref="B19:C19">
    <cfRule type="cellIs" dxfId="10899" priority="13265" stopIfTrue="1" operator="equal">
      <formula>"Towel"</formula>
    </cfRule>
    <cfRule type="cellIs" dxfId="10898" priority="13266" stopIfTrue="1" operator="equal">
      <formula>"Napkin Hs"</formula>
    </cfRule>
  </conditionalFormatting>
  <conditionalFormatting sqref="C19">
    <cfRule type="cellIs" dxfId="10897" priority="13261" stopIfTrue="1" operator="equal">
      <formula>"Towel"</formula>
    </cfRule>
    <cfRule type="cellIs" dxfId="10896" priority="13262" stopIfTrue="1" operator="equal">
      <formula>"Napkin Hs"</formula>
    </cfRule>
  </conditionalFormatting>
  <conditionalFormatting sqref="C19">
    <cfRule type="cellIs" dxfId="10895" priority="13263" stopIfTrue="1" operator="equal">
      <formula>"Towel"</formula>
    </cfRule>
    <cfRule type="cellIs" dxfId="10894" priority="13264" stopIfTrue="1" operator="equal">
      <formula>"Napkin Hs"</formula>
    </cfRule>
  </conditionalFormatting>
  <conditionalFormatting sqref="B19:C19">
    <cfRule type="cellIs" dxfId="10893" priority="13259" stopIfTrue="1" operator="equal">
      <formula>"Towel"</formula>
    </cfRule>
    <cfRule type="cellIs" dxfId="10892" priority="13260" stopIfTrue="1" operator="equal">
      <formula>"Napkin Hs"</formula>
    </cfRule>
  </conditionalFormatting>
  <conditionalFormatting sqref="C19">
    <cfRule type="cellIs" dxfId="10891" priority="13257" stopIfTrue="1" operator="equal">
      <formula>"Towel"</formula>
    </cfRule>
    <cfRule type="cellIs" dxfId="10890" priority="13258" stopIfTrue="1" operator="equal">
      <formula>"Napkin Hs"</formula>
    </cfRule>
  </conditionalFormatting>
  <conditionalFormatting sqref="C19">
    <cfRule type="cellIs" dxfId="10889" priority="13255" stopIfTrue="1" operator="equal">
      <formula>"Towel"</formula>
    </cfRule>
    <cfRule type="cellIs" dxfId="10888" priority="13256" stopIfTrue="1" operator="equal">
      <formula>"Napkin Hs"</formula>
    </cfRule>
  </conditionalFormatting>
  <conditionalFormatting sqref="C19">
    <cfRule type="cellIs" dxfId="10887" priority="13247" stopIfTrue="1" operator="equal">
      <formula>"Towel"</formula>
    </cfRule>
    <cfRule type="cellIs" dxfId="10886" priority="13248" stopIfTrue="1" operator="equal">
      <formula>"Napkin Hs"</formula>
    </cfRule>
  </conditionalFormatting>
  <conditionalFormatting sqref="B19:C19">
    <cfRule type="cellIs" dxfId="10885" priority="13249" stopIfTrue="1" operator="equal">
      <formula>"Towel"</formula>
    </cfRule>
    <cfRule type="cellIs" dxfId="10884" priority="13250" stopIfTrue="1" operator="equal">
      <formula>"Napkin Hs"</formula>
    </cfRule>
  </conditionalFormatting>
  <conditionalFormatting sqref="C19">
    <cfRule type="cellIs" dxfId="10883" priority="13245" stopIfTrue="1" operator="equal">
      <formula>"Towel"</formula>
    </cfRule>
    <cfRule type="cellIs" dxfId="10882" priority="13246" stopIfTrue="1" operator="equal">
      <formula>"Napkin Hs"</formula>
    </cfRule>
  </conditionalFormatting>
  <conditionalFormatting sqref="B19:C19">
    <cfRule type="cellIs" dxfId="10881" priority="13243" stopIfTrue="1" operator="equal">
      <formula>"Towel"</formula>
    </cfRule>
    <cfRule type="cellIs" dxfId="10880" priority="13244" stopIfTrue="1" operator="equal">
      <formula>"Napkin Hs"</formula>
    </cfRule>
  </conditionalFormatting>
  <conditionalFormatting sqref="C19">
    <cfRule type="cellIs" dxfId="10879" priority="13251" stopIfTrue="1" operator="equal">
      <formula>"Towel"</formula>
    </cfRule>
    <cfRule type="cellIs" dxfId="10878" priority="13252" stopIfTrue="1" operator="equal">
      <formula>"Napkin Hs"</formula>
    </cfRule>
  </conditionalFormatting>
  <conditionalFormatting sqref="C19">
    <cfRule type="cellIs" dxfId="10877" priority="13253" stopIfTrue="1" operator="equal">
      <formula>"Towel"</formula>
    </cfRule>
    <cfRule type="cellIs" dxfId="10876" priority="13254" stopIfTrue="1" operator="equal">
      <formula>"Napkin Hs"</formula>
    </cfRule>
  </conditionalFormatting>
  <conditionalFormatting sqref="B18:C18">
    <cfRule type="cellIs" dxfId="10875" priority="13239" stopIfTrue="1" operator="equal">
      <formula>"Towel"</formula>
    </cfRule>
    <cfRule type="cellIs" dxfId="10874" priority="13240" stopIfTrue="1" operator="equal">
      <formula>"Napkin Hs"</formula>
    </cfRule>
  </conditionalFormatting>
  <conditionalFormatting sqref="C18">
    <cfRule type="cellIs" dxfId="10873" priority="13241" stopIfTrue="1" operator="equal">
      <formula>"Towel"</formula>
    </cfRule>
    <cfRule type="cellIs" dxfId="10872" priority="13242" stopIfTrue="1" operator="equal">
      <formula>"Napkin Hs"</formula>
    </cfRule>
  </conditionalFormatting>
  <conditionalFormatting sqref="C18">
    <cfRule type="cellIs" dxfId="10871" priority="13237" stopIfTrue="1" operator="equal">
      <formula>"Towel"</formula>
    </cfRule>
    <cfRule type="cellIs" dxfId="10870" priority="13238" stopIfTrue="1" operator="equal">
      <formula>"Napkin Hs"</formula>
    </cfRule>
  </conditionalFormatting>
  <conditionalFormatting sqref="B18:C18">
    <cfRule type="cellIs" dxfId="10869" priority="13235" stopIfTrue="1" operator="equal">
      <formula>"Towel"</formula>
    </cfRule>
    <cfRule type="cellIs" dxfId="10868" priority="13236" stopIfTrue="1" operator="equal">
      <formula>"Napkin Hs"</formula>
    </cfRule>
  </conditionalFormatting>
  <conditionalFormatting sqref="C18">
    <cfRule type="cellIs" dxfId="10867" priority="13231" stopIfTrue="1" operator="equal">
      <formula>"Towel"</formula>
    </cfRule>
    <cfRule type="cellIs" dxfId="10866" priority="13232" stopIfTrue="1" operator="equal">
      <formula>"Napkin Hs"</formula>
    </cfRule>
  </conditionalFormatting>
  <conditionalFormatting sqref="C18">
    <cfRule type="cellIs" dxfId="10865" priority="13233" stopIfTrue="1" operator="equal">
      <formula>"Towel"</formula>
    </cfRule>
    <cfRule type="cellIs" dxfId="10864" priority="13234" stopIfTrue="1" operator="equal">
      <formula>"Napkin Hs"</formula>
    </cfRule>
  </conditionalFormatting>
  <conditionalFormatting sqref="B16:C16">
    <cfRule type="cellIs" dxfId="10863" priority="13227" stopIfTrue="1" operator="equal">
      <formula>"Towel"</formula>
    </cfRule>
    <cfRule type="cellIs" dxfId="10862" priority="13228" stopIfTrue="1" operator="equal">
      <formula>"Napkin Hs"</formula>
    </cfRule>
  </conditionalFormatting>
  <conditionalFormatting sqref="C16">
    <cfRule type="cellIs" dxfId="10861" priority="13229" stopIfTrue="1" operator="equal">
      <formula>"Towel"</formula>
    </cfRule>
    <cfRule type="cellIs" dxfId="10860" priority="13230" stopIfTrue="1" operator="equal">
      <formula>"Napkin Hs"</formula>
    </cfRule>
  </conditionalFormatting>
  <conditionalFormatting sqref="C16">
    <cfRule type="cellIs" dxfId="10859" priority="13225" stopIfTrue="1" operator="equal">
      <formula>"Towel"</formula>
    </cfRule>
    <cfRule type="cellIs" dxfId="10858" priority="13226" stopIfTrue="1" operator="equal">
      <formula>"Napkin Hs"</formula>
    </cfRule>
  </conditionalFormatting>
  <conditionalFormatting sqref="B16:C16">
    <cfRule type="cellIs" dxfId="10857" priority="13223" stopIfTrue="1" operator="equal">
      <formula>"Towel"</formula>
    </cfRule>
    <cfRule type="cellIs" dxfId="10856" priority="13224" stopIfTrue="1" operator="equal">
      <formula>"Napkin Hs"</formula>
    </cfRule>
  </conditionalFormatting>
  <conditionalFormatting sqref="C16">
    <cfRule type="cellIs" dxfId="10855" priority="13219" stopIfTrue="1" operator="equal">
      <formula>"Towel"</formula>
    </cfRule>
    <cfRule type="cellIs" dxfId="10854" priority="13220" stopIfTrue="1" operator="equal">
      <formula>"Napkin Hs"</formula>
    </cfRule>
  </conditionalFormatting>
  <conditionalFormatting sqref="C16">
    <cfRule type="cellIs" dxfId="10853" priority="13221" stopIfTrue="1" operator="equal">
      <formula>"Towel"</formula>
    </cfRule>
    <cfRule type="cellIs" dxfId="10852" priority="13222" stopIfTrue="1" operator="equal">
      <formula>"Napkin Hs"</formula>
    </cfRule>
  </conditionalFormatting>
  <conditionalFormatting sqref="B17:C17">
    <cfRule type="cellIs" dxfId="10851" priority="13217" stopIfTrue="1" operator="equal">
      <formula>"Towel"</formula>
    </cfRule>
    <cfRule type="cellIs" dxfId="10850" priority="13218" stopIfTrue="1" operator="equal">
      <formula>"Napkin Hs"</formula>
    </cfRule>
  </conditionalFormatting>
  <conditionalFormatting sqref="C17">
    <cfRule type="cellIs" dxfId="10849" priority="13213" stopIfTrue="1" operator="equal">
      <formula>"Towel"</formula>
    </cfRule>
    <cfRule type="cellIs" dxfId="10848" priority="13214" stopIfTrue="1" operator="equal">
      <formula>"Napkin Hs"</formula>
    </cfRule>
  </conditionalFormatting>
  <conditionalFormatting sqref="C17">
    <cfRule type="cellIs" dxfId="10847" priority="13216" stopIfTrue="1" operator="equal">
      <formula>"Napkin Hs"</formula>
    </cfRule>
  </conditionalFormatting>
  <conditionalFormatting sqref="C17">
    <cfRule type="cellIs" dxfId="10846" priority="13215" stopIfTrue="1" operator="equal">
      <formula>"Towel"</formula>
    </cfRule>
  </conditionalFormatting>
  <conditionalFormatting sqref="C17">
    <cfRule type="cellIs" dxfId="10845" priority="13207" stopIfTrue="1" operator="equal">
      <formula>"Towel"</formula>
    </cfRule>
    <cfRule type="cellIs" dxfId="10844" priority="13208" stopIfTrue="1" operator="equal">
      <formula>"Napkin Hs"</formula>
    </cfRule>
  </conditionalFormatting>
  <conditionalFormatting sqref="C17">
    <cfRule type="cellIs" dxfId="10843" priority="13211" stopIfTrue="1" operator="equal">
      <formula>"Towel"</formula>
    </cfRule>
    <cfRule type="cellIs" dxfId="10842" priority="13212" stopIfTrue="1" operator="equal">
      <formula>"Napkin Hs"</formula>
    </cfRule>
  </conditionalFormatting>
  <conditionalFormatting sqref="B17">
    <cfRule type="cellIs" dxfId="10841" priority="13197" stopIfTrue="1" operator="equal">
      <formula>"Towel"</formula>
    </cfRule>
    <cfRule type="cellIs" dxfId="10840" priority="13198" stopIfTrue="1" operator="equal">
      <formula>"Napkin Hs"</formula>
    </cfRule>
  </conditionalFormatting>
  <conditionalFormatting sqref="C17">
    <cfRule type="cellIs" dxfId="10839" priority="13209" stopIfTrue="1" operator="equal">
      <formula>"Towel"</formula>
    </cfRule>
    <cfRule type="cellIs" dxfId="10838" priority="13210" stopIfTrue="1" operator="equal">
      <formula>"Napkin Hs"</formula>
    </cfRule>
  </conditionalFormatting>
  <conditionalFormatting sqref="C17">
    <cfRule type="cellIs" dxfId="10837" priority="13201" stopIfTrue="1" operator="equal">
      <formula>"Towel"</formula>
    </cfRule>
    <cfRule type="cellIs" dxfId="10836" priority="13202" stopIfTrue="1" operator="equal">
      <formula>"Napkin Hs"</formula>
    </cfRule>
  </conditionalFormatting>
  <conditionalFormatting sqref="C17">
    <cfRule type="cellIs" dxfId="10835" priority="13203" stopIfTrue="1" operator="equal">
      <formula>"Towel"</formula>
    </cfRule>
    <cfRule type="cellIs" dxfId="10834" priority="13204" stopIfTrue="1" operator="equal">
      <formula>"Napkin Hs"</formula>
    </cfRule>
  </conditionalFormatting>
  <conditionalFormatting sqref="C17">
    <cfRule type="cellIs" dxfId="10833" priority="13205" stopIfTrue="1" operator="equal">
      <formula>"Towel"</formula>
    </cfRule>
    <cfRule type="cellIs" dxfId="10832" priority="13206" stopIfTrue="1" operator="equal">
      <formula>"Napkin Hs"</formula>
    </cfRule>
  </conditionalFormatting>
  <conditionalFormatting sqref="B17">
    <cfRule type="cellIs" dxfId="10831" priority="13199" stopIfTrue="1" operator="equal">
      <formula>"Towel"</formula>
    </cfRule>
    <cfRule type="cellIs" dxfId="10830" priority="13200" stopIfTrue="1" operator="equal">
      <formula>"Napkin Hs"</formula>
    </cfRule>
  </conditionalFormatting>
  <conditionalFormatting sqref="C17">
    <cfRule type="cellIs" dxfId="10829" priority="13191" stopIfTrue="1" operator="equal">
      <formula>"Towel"</formula>
    </cfRule>
    <cfRule type="cellIs" dxfId="10828" priority="13192" stopIfTrue="1" operator="equal">
      <formula>"Napkin Hs"</formula>
    </cfRule>
  </conditionalFormatting>
  <conditionalFormatting sqref="C17">
    <cfRule type="cellIs" dxfId="10827" priority="13195" stopIfTrue="1" operator="equal">
      <formula>"Towel"</formula>
    </cfRule>
    <cfRule type="cellIs" dxfId="10826" priority="13196" stopIfTrue="1" operator="equal">
      <formula>"Napkin Hs"</formula>
    </cfRule>
  </conditionalFormatting>
  <conditionalFormatting sqref="B17">
    <cfRule type="cellIs" dxfId="10825" priority="13181" stopIfTrue="1" operator="equal">
      <formula>"Towel"</formula>
    </cfRule>
    <cfRule type="cellIs" dxfId="10824" priority="13182" stopIfTrue="1" operator="equal">
      <formula>"Napkin Hs"</formula>
    </cfRule>
  </conditionalFormatting>
  <conditionalFormatting sqref="C17">
    <cfRule type="cellIs" dxfId="10823" priority="13193" stopIfTrue="1" operator="equal">
      <formula>"Towel"</formula>
    </cfRule>
    <cfRule type="cellIs" dxfId="10822" priority="13194" stopIfTrue="1" operator="equal">
      <formula>"Napkin Hs"</formula>
    </cfRule>
  </conditionalFormatting>
  <conditionalFormatting sqref="C17">
    <cfRule type="cellIs" dxfId="10821" priority="13185" stopIfTrue="1" operator="equal">
      <formula>"Towel"</formula>
    </cfRule>
    <cfRule type="cellIs" dxfId="10820" priority="13186" stopIfTrue="1" operator="equal">
      <formula>"Napkin Hs"</formula>
    </cfRule>
  </conditionalFormatting>
  <conditionalFormatting sqref="C17">
    <cfRule type="cellIs" dxfId="10819" priority="13187" stopIfTrue="1" operator="equal">
      <formula>"Towel"</formula>
    </cfRule>
    <cfRule type="cellIs" dxfId="10818" priority="13188" stopIfTrue="1" operator="equal">
      <formula>"Napkin Hs"</formula>
    </cfRule>
  </conditionalFormatting>
  <conditionalFormatting sqref="C17">
    <cfRule type="cellIs" dxfId="10817" priority="13189" stopIfTrue="1" operator="equal">
      <formula>"Towel"</formula>
    </cfRule>
    <cfRule type="cellIs" dxfId="10816" priority="13190" stopIfTrue="1" operator="equal">
      <formula>"Napkin Hs"</formula>
    </cfRule>
  </conditionalFormatting>
  <conditionalFormatting sqref="B17">
    <cfRule type="cellIs" dxfId="10815" priority="13183" stopIfTrue="1" operator="equal">
      <formula>"Towel"</formula>
    </cfRule>
    <cfRule type="cellIs" dxfId="10814" priority="13184" stopIfTrue="1" operator="equal">
      <formula>"Napkin Hs"</formula>
    </cfRule>
  </conditionalFormatting>
  <conditionalFormatting sqref="B17:C17">
    <cfRule type="cellIs" dxfId="10813" priority="13179" stopIfTrue="1" operator="equal">
      <formula>"Towel"</formula>
    </cfRule>
    <cfRule type="cellIs" dxfId="10812" priority="13180" stopIfTrue="1" operator="equal">
      <formula>"Napkin Hs"</formula>
    </cfRule>
  </conditionalFormatting>
  <conditionalFormatting sqref="C17">
    <cfRule type="cellIs" dxfId="10811" priority="13175" stopIfTrue="1" operator="equal">
      <formula>"Towel"</formula>
    </cfRule>
    <cfRule type="cellIs" dxfId="10810" priority="13176" stopIfTrue="1" operator="equal">
      <formula>"Napkin Hs"</formula>
    </cfRule>
  </conditionalFormatting>
  <conditionalFormatting sqref="C17">
    <cfRule type="cellIs" dxfId="10809" priority="13177" stopIfTrue="1" operator="equal">
      <formula>"Towel"</formula>
    </cfRule>
    <cfRule type="cellIs" dxfId="10808" priority="13178" stopIfTrue="1" operator="equal">
      <formula>"Napkin Hs"</formula>
    </cfRule>
  </conditionalFormatting>
  <conditionalFormatting sqref="B17:C17">
    <cfRule type="cellIs" dxfId="10807" priority="13173" stopIfTrue="1" operator="equal">
      <formula>"Towel"</formula>
    </cfRule>
    <cfRule type="cellIs" dxfId="10806" priority="13174" stopIfTrue="1" operator="equal">
      <formula>"Napkin Hs"</formula>
    </cfRule>
  </conditionalFormatting>
  <conditionalFormatting sqref="C17">
    <cfRule type="cellIs" dxfId="10805" priority="13171" stopIfTrue="1" operator="equal">
      <formula>"Towel"</formula>
    </cfRule>
    <cfRule type="cellIs" dxfId="10804" priority="13172" stopIfTrue="1" operator="equal">
      <formula>"Napkin Hs"</formula>
    </cfRule>
  </conditionalFormatting>
  <conditionalFormatting sqref="C17">
    <cfRule type="cellIs" dxfId="10803" priority="13169" stopIfTrue="1" operator="equal">
      <formula>"Towel"</formula>
    </cfRule>
    <cfRule type="cellIs" dxfId="10802" priority="13170" stopIfTrue="1" operator="equal">
      <formula>"Napkin Hs"</formula>
    </cfRule>
  </conditionalFormatting>
  <conditionalFormatting sqref="C17">
    <cfRule type="cellIs" dxfId="10801" priority="13161" stopIfTrue="1" operator="equal">
      <formula>"Towel"</formula>
    </cfRule>
    <cfRule type="cellIs" dxfId="10800" priority="13162" stopIfTrue="1" operator="equal">
      <formula>"Napkin Hs"</formula>
    </cfRule>
  </conditionalFormatting>
  <conditionalFormatting sqref="B17:C17">
    <cfRule type="cellIs" dxfId="10799" priority="13163" stopIfTrue="1" operator="equal">
      <formula>"Towel"</formula>
    </cfRule>
    <cfRule type="cellIs" dxfId="10798" priority="13164" stopIfTrue="1" operator="equal">
      <formula>"Napkin Hs"</formula>
    </cfRule>
  </conditionalFormatting>
  <conditionalFormatting sqref="C17">
    <cfRule type="cellIs" dxfId="10797" priority="13159" stopIfTrue="1" operator="equal">
      <formula>"Towel"</formula>
    </cfRule>
    <cfRule type="cellIs" dxfId="10796" priority="13160" stopIfTrue="1" operator="equal">
      <formula>"Napkin Hs"</formula>
    </cfRule>
  </conditionalFormatting>
  <conditionalFormatting sqref="B17:C17">
    <cfRule type="cellIs" dxfId="10795" priority="13157" stopIfTrue="1" operator="equal">
      <formula>"Towel"</formula>
    </cfRule>
    <cfRule type="cellIs" dxfId="10794" priority="13158" stopIfTrue="1" operator="equal">
      <formula>"Napkin Hs"</formula>
    </cfRule>
  </conditionalFormatting>
  <conditionalFormatting sqref="C17">
    <cfRule type="cellIs" dxfId="10793" priority="13165" stopIfTrue="1" operator="equal">
      <formula>"Towel"</formula>
    </cfRule>
    <cfRule type="cellIs" dxfId="10792" priority="13166" stopIfTrue="1" operator="equal">
      <formula>"Napkin Hs"</formula>
    </cfRule>
  </conditionalFormatting>
  <conditionalFormatting sqref="C17">
    <cfRule type="cellIs" dxfId="10791" priority="13167" stopIfTrue="1" operator="equal">
      <formula>"Towel"</formula>
    </cfRule>
    <cfRule type="cellIs" dxfId="10790" priority="13168" stopIfTrue="1" operator="equal">
      <formula>"Napkin Hs"</formula>
    </cfRule>
  </conditionalFormatting>
  <conditionalFormatting sqref="B17:C17">
    <cfRule type="cellIs" dxfId="10789" priority="13153" stopIfTrue="1" operator="equal">
      <formula>"Towel"</formula>
    </cfRule>
    <cfRule type="cellIs" dxfId="10788" priority="13154" stopIfTrue="1" operator="equal">
      <formula>"Napkin Hs"</formula>
    </cfRule>
  </conditionalFormatting>
  <conditionalFormatting sqref="C17">
    <cfRule type="cellIs" dxfId="10787" priority="13155" stopIfTrue="1" operator="equal">
      <formula>"Towel"</formula>
    </cfRule>
    <cfRule type="cellIs" dxfId="10786" priority="13156" stopIfTrue="1" operator="equal">
      <formula>"Napkin Hs"</formula>
    </cfRule>
  </conditionalFormatting>
  <conditionalFormatting sqref="C17">
    <cfRule type="cellIs" dxfId="10785" priority="13151" stopIfTrue="1" operator="equal">
      <formula>"Towel"</formula>
    </cfRule>
    <cfRule type="cellIs" dxfId="10784" priority="13152" stopIfTrue="1" operator="equal">
      <formula>"Napkin Hs"</formula>
    </cfRule>
  </conditionalFormatting>
  <conditionalFormatting sqref="B17:C17">
    <cfRule type="cellIs" dxfId="10783" priority="13149" stopIfTrue="1" operator="equal">
      <formula>"Towel"</formula>
    </cfRule>
    <cfRule type="cellIs" dxfId="10782" priority="13150" stopIfTrue="1" operator="equal">
      <formula>"Napkin Hs"</formula>
    </cfRule>
  </conditionalFormatting>
  <conditionalFormatting sqref="C17">
    <cfRule type="cellIs" dxfId="10781" priority="13145" stopIfTrue="1" operator="equal">
      <formula>"Towel"</formula>
    </cfRule>
    <cfRule type="cellIs" dxfId="10780" priority="13146" stopIfTrue="1" operator="equal">
      <formula>"Napkin Hs"</formula>
    </cfRule>
  </conditionalFormatting>
  <conditionalFormatting sqref="C17">
    <cfRule type="cellIs" dxfId="10779" priority="13147" stopIfTrue="1" operator="equal">
      <formula>"Towel"</formula>
    </cfRule>
    <cfRule type="cellIs" dxfId="10778" priority="13148" stopIfTrue="1" operator="equal">
      <formula>"Napkin Hs"</formula>
    </cfRule>
  </conditionalFormatting>
  <conditionalFormatting sqref="B17:C17">
    <cfRule type="cellIs" dxfId="10777" priority="13141" stopIfTrue="1" operator="equal">
      <formula>"Towel"</formula>
    </cfRule>
    <cfRule type="cellIs" dxfId="10776" priority="13142" stopIfTrue="1" operator="equal">
      <formula>"Napkin Hs"</formula>
    </cfRule>
  </conditionalFormatting>
  <conditionalFormatting sqref="C17">
    <cfRule type="cellIs" dxfId="10775" priority="13143" stopIfTrue="1" operator="equal">
      <formula>"Towel"</formula>
    </cfRule>
    <cfRule type="cellIs" dxfId="10774" priority="13144" stopIfTrue="1" operator="equal">
      <formula>"Napkin Hs"</formula>
    </cfRule>
  </conditionalFormatting>
  <conditionalFormatting sqref="C17">
    <cfRule type="cellIs" dxfId="10773" priority="13139" stopIfTrue="1" operator="equal">
      <formula>"Towel"</formula>
    </cfRule>
    <cfRule type="cellIs" dxfId="10772" priority="13140" stopIfTrue="1" operator="equal">
      <formula>"Napkin Hs"</formula>
    </cfRule>
  </conditionalFormatting>
  <conditionalFormatting sqref="B17:C17">
    <cfRule type="cellIs" dxfId="10771" priority="13137" stopIfTrue="1" operator="equal">
      <formula>"Towel"</formula>
    </cfRule>
    <cfRule type="cellIs" dxfId="10770" priority="13138" stopIfTrue="1" operator="equal">
      <formula>"Napkin Hs"</formula>
    </cfRule>
  </conditionalFormatting>
  <conditionalFormatting sqref="C17">
    <cfRule type="cellIs" dxfId="10769" priority="13133" stopIfTrue="1" operator="equal">
      <formula>"Towel"</formula>
    </cfRule>
    <cfRule type="cellIs" dxfId="10768" priority="13134" stopIfTrue="1" operator="equal">
      <formula>"Napkin Hs"</formula>
    </cfRule>
  </conditionalFormatting>
  <conditionalFormatting sqref="C17">
    <cfRule type="cellIs" dxfId="10767" priority="13135" stopIfTrue="1" operator="equal">
      <formula>"Towel"</formula>
    </cfRule>
    <cfRule type="cellIs" dxfId="10766" priority="13136" stopIfTrue="1" operator="equal">
      <formula>"Napkin Hs"</formula>
    </cfRule>
  </conditionalFormatting>
  <conditionalFormatting sqref="B29:C29">
    <cfRule type="cellIs" dxfId="10765" priority="13131" stopIfTrue="1" operator="equal">
      <formula>"Towel"</formula>
    </cfRule>
    <cfRule type="cellIs" dxfId="10764" priority="13132" stopIfTrue="1" operator="equal">
      <formula>"Napkin Hs"</formula>
    </cfRule>
  </conditionalFormatting>
  <conditionalFormatting sqref="C29">
    <cfRule type="cellIs" dxfId="10763" priority="13127" stopIfTrue="1" operator="equal">
      <formula>"Towel"</formula>
    </cfRule>
    <cfRule type="cellIs" dxfId="10762" priority="13128" stopIfTrue="1" operator="equal">
      <formula>"Napkin Hs"</formula>
    </cfRule>
  </conditionalFormatting>
  <conditionalFormatting sqref="C29">
    <cfRule type="cellIs" dxfId="10761" priority="13130" stopIfTrue="1" operator="equal">
      <formula>"Napkin Hs"</formula>
    </cfRule>
  </conditionalFormatting>
  <conditionalFormatting sqref="C29">
    <cfRule type="cellIs" dxfId="10760" priority="13129" stopIfTrue="1" operator="equal">
      <formula>"Towel"</formula>
    </cfRule>
  </conditionalFormatting>
  <conditionalFormatting sqref="C31">
    <cfRule type="cellIs" dxfId="10759" priority="13117" stopIfTrue="1" operator="equal">
      <formula>"Towel"</formula>
    </cfRule>
    <cfRule type="cellIs" dxfId="10758" priority="13118" stopIfTrue="1" operator="equal">
      <formula>"Napkin Hs"</formula>
    </cfRule>
  </conditionalFormatting>
  <conditionalFormatting sqref="C31">
    <cfRule type="cellIs" dxfId="10757" priority="13119" stopIfTrue="1" operator="equal">
      <formula>"Towel"</formula>
    </cfRule>
    <cfRule type="cellIs" dxfId="10756" priority="13120" stopIfTrue="1" operator="equal">
      <formula>"Napkin Hs"</formula>
    </cfRule>
  </conditionalFormatting>
  <conditionalFormatting sqref="C31">
    <cfRule type="cellIs" dxfId="10755" priority="13115" stopIfTrue="1" operator="equal">
      <formula>"Towel"</formula>
    </cfRule>
    <cfRule type="cellIs" dxfId="10754" priority="13116" stopIfTrue="1" operator="equal">
      <formula>"Napkin Hs"</formula>
    </cfRule>
  </conditionalFormatting>
  <conditionalFormatting sqref="B31">
    <cfRule type="cellIs" dxfId="10753" priority="13113" stopIfTrue="1" operator="equal">
      <formula>"Towel"</formula>
    </cfRule>
    <cfRule type="cellIs" dxfId="10752" priority="13114" stopIfTrue="1" operator="equal">
      <formula>"Napkin Hs"</formula>
    </cfRule>
  </conditionalFormatting>
  <conditionalFormatting sqref="C30">
    <cfRule type="cellIs" dxfId="10751" priority="13109" stopIfTrue="1" operator="equal">
      <formula>"Towel"</formula>
    </cfRule>
    <cfRule type="cellIs" dxfId="10750" priority="13110" stopIfTrue="1" operator="equal">
      <formula>"Napkin Hs"</formula>
    </cfRule>
  </conditionalFormatting>
  <conditionalFormatting sqref="C30">
    <cfRule type="cellIs" dxfId="10749" priority="13111" stopIfTrue="1" operator="equal">
      <formula>"Towel"</formula>
    </cfRule>
    <cfRule type="cellIs" dxfId="10748" priority="13112" stopIfTrue="1" operator="equal">
      <formula>"Napkin Hs"</formula>
    </cfRule>
  </conditionalFormatting>
  <conditionalFormatting sqref="C30">
    <cfRule type="cellIs" dxfId="10747" priority="13107" stopIfTrue="1" operator="equal">
      <formula>"Towel"</formula>
    </cfRule>
    <cfRule type="cellIs" dxfId="10746" priority="13108" stopIfTrue="1" operator="equal">
      <formula>"Napkin Hs"</formula>
    </cfRule>
  </conditionalFormatting>
  <conditionalFormatting sqref="B30">
    <cfRule type="cellIs" dxfId="10745" priority="13105" stopIfTrue="1" operator="equal">
      <formula>"Towel"</formula>
    </cfRule>
    <cfRule type="cellIs" dxfId="10744" priority="13106" stopIfTrue="1" operator="equal">
      <formula>"Napkin Hs"</formula>
    </cfRule>
  </conditionalFormatting>
  <conditionalFormatting sqref="B25:C25">
    <cfRule type="cellIs" dxfId="10743" priority="13103" stopIfTrue="1" operator="equal">
      <formula>"Towel"</formula>
    </cfRule>
    <cfRule type="cellIs" dxfId="10742" priority="13104" stopIfTrue="1" operator="equal">
      <formula>"Napkin Hs"</formula>
    </cfRule>
  </conditionalFormatting>
  <conditionalFormatting sqref="C25">
    <cfRule type="cellIs" dxfId="10741" priority="13099" stopIfTrue="1" operator="equal">
      <formula>"Towel"</formula>
    </cfRule>
    <cfRule type="cellIs" dxfId="10740" priority="13100" stopIfTrue="1" operator="equal">
      <formula>"Napkin Hs"</formula>
    </cfRule>
  </conditionalFormatting>
  <conditionalFormatting sqref="C25">
    <cfRule type="cellIs" dxfId="10739" priority="13102" stopIfTrue="1" operator="equal">
      <formula>"Napkin Hs"</formula>
    </cfRule>
  </conditionalFormatting>
  <conditionalFormatting sqref="C25">
    <cfRule type="cellIs" dxfId="10738" priority="13101" stopIfTrue="1" operator="equal">
      <formula>"Towel"</formula>
    </cfRule>
  </conditionalFormatting>
  <conditionalFormatting sqref="B23:C24">
    <cfRule type="cellIs" dxfId="10737" priority="13075" stopIfTrue="1" operator="equal">
      <formula>"Towel"</formula>
    </cfRule>
  </conditionalFormatting>
  <conditionalFormatting sqref="B23:C24">
    <cfRule type="cellIs" dxfId="10736" priority="13076" stopIfTrue="1" operator="equal">
      <formula>"Napkin Hs"</formula>
    </cfRule>
    <cfRule type="cellIs" dxfId="10735" priority="13081" stopIfTrue="1" operator="equal">
      <formula>"Towel"</formula>
    </cfRule>
    <cfRule type="cellIs" dxfId="10734" priority="13082" stopIfTrue="1" operator="equal">
      <formula>"Napkin Hs"</formula>
    </cfRule>
    <cfRule type="cellIs" dxfId="10733" priority="13091" stopIfTrue="1" operator="equal">
      <formula>"Towel"</formula>
    </cfRule>
    <cfRule type="cellIs" dxfId="10732" priority="13092" stopIfTrue="1" operator="equal">
      <formula>"Napkin Hs"</formula>
    </cfRule>
    <cfRule type="cellIs" dxfId="10731" priority="13097" stopIfTrue="1" operator="equal">
      <formula>"Towel"</formula>
    </cfRule>
    <cfRule type="cellIs" dxfId="10730" priority="13098" stopIfTrue="1" operator="equal">
      <formula>"Napkin Hs"</formula>
    </cfRule>
  </conditionalFormatting>
  <conditionalFormatting sqref="C23:C24">
    <cfRule type="cellIs" dxfId="10729" priority="13077" stopIfTrue="1" operator="equal">
      <formula>"Towel"</formula>
    </cfRule>
    <cfRule type="cellIs" dxfId="10728" priority="13078" stopIfTrue="1" operator="equal">
      <formula>"Napkin Hs"</formula>
    </cfRule>
    <cfRule type="cellIs" dxfId="10727" priority="13079" stopIfTrue="1" operator="equal">
      <formula>"Towel"</formula>
    </cfRule>
    <cfRule type="cellIs" dxfId="10726" priority="13080" stopIfTrue="1" operator="equal">
      <formula>"Napkin Hs"</formula>
    </cfRule>
    <cfRule type="cellIs" dxfId="10725" priority="13083" stopIfTrue="1" operator="equal">
      <formula>"Towel"</formula>
    </cfRule>
    <cfRule type="cellIs" dxfId="10724" priority="13084" stopIfTrue="1" operator="equal">
      <formula>"Napkin Hs"</formula>
    </cfRule>
    <cfRule type="cellIs" dxfId="10723" priority="13085" stopIfTrue="1" operator="equal">
      <formula>"Towel"</formula>
    </cfRule>
    <cfRule type="cellIs" dxfId="10722" priority="13086" stopIfTrue="1" operator="equal">
      <formula>"Napkin Hs"</formula>
    </cfRule>
    <cfRule type="cellIs" dxfId="10721" priority="13087" stopIfTrue="1" operator="equal">
      <formula>"Towel"</formula>
    </cfRule>
    <cfRule type="cellIs" dxfId="10720" priority="13088" stopIfTrue="1" operator="equal">
      <formula>"Napkin Hs"</formula>
    </cfRule>
    <cfRule type="cellIs" dxfId="10719" priority="13089" stopIfTrue="1" operator="equal">
      <formula>"Towel"</formula>
    </cfRule>
    <cfRule type="cellIs" dxfId="10718" priority="13090" stopIfTrue="1" operator="equal">
      <formula>"Napkin Hs"</formula>
    </cfRule>
    <cfRule type="cellIs" dxfId="10717" priority="13093" stopIfTrue="1" operator="equal">
      <formula>"Towel"</formula>
    </cfRule>
    <cfRule type="cellIs" dxfId="10716" priority="13094" stopIfTrue="1" operator="equal">
      <formula>"Napkin Hs"</formula>
    </cfRule>
    <cfRule type="cellIs" dxfId="10715" priority="13096" stopIfTrue="1" operator="equal">
      <formula>"Napkin Hs"</formula>
    </cfRule>
  </conditionalFormatting>
  <conditionalFormatting sqref="C23:C24">
    <cfRule type="cellIs" dxfId="10714" priority="13095" stopIfTrue="1" operator="equal">
      <formula>"Towel"</formula>
    </cfRule>
  </conditionalFormatting>
  <conditionalFormatting sqref="B23:C24">
    <cfRule type="cellIs" dxfId="10713" priority="13073" stopIfTrue="1" operator="equal">
      <formula>"Towel"</formula>
    </cfRule>
    <cfRule type="cellIs" dxfId="10712" priority="13074" stopIfTrue="1" operator="equal">
      <formula>"Napkin Hs"</formula>
    </cfRule>
  </conditionalFormatting>
  <conditionalFormatting sqref="C23:C24">
    <cfRule type="cellIs" dxfId="10711" priority="13072" stopIfTrue="1" operator="equal">
      <formula>"Napkin Hs"</formula>
    </cfRule>
  </conditionalFormatting>
  <conditionalFormatting sqref="C23:C24">
    <cfRule type="cellIs" dxfId="10710" priority="13071" stopIfTrue="1" operator="equal">
      <formula>"Towel"</formula>
    </cfRule>
  </conditionalFormatting>
  <conditionalFormatting sqref="C23:C24">
    <cfRule type="cellIs" dxfId="10709" priority="13069" stopIfTrue="1" operator="equal">
      <formula>"Towel"</formula>
    </cfRule>
  </conditionalFormatting>
  <conditionalFormatting sqref="C23:C24">
    <cfRule type="cellIs" dxfId="10708" priority="13070" stopIfTrue="1" operator="equal">
      <formula>"Napkin Hs"</formula>
    </cfRule>
  </conditionalFormatting>
  <conditionalFormatting sqref="B23:B24">
    <cfRule type="cellIs" dxfId="10707" priority="12973" stopIfTrue="1" operator="equal">
      <formula>"Napkin Hs"</formula>
    </cfRule>
  </conditionalFormatting>
  <conditionalFormatting sqref="B23:C24">
    <cfRule type="cellIs" dxfId="10706" priority="12972" stopIfTrue="1" operator="equal">
      <formula>"Towel"</formula>
    </cfRule>
  </conditionalFormatting>
  <conditionalFormatting sqref="B23:C24">
    <cfRule type="cellIs" dxfId="10705" priority="12983" stopIfTrue="1" operator="equal">
      <formula>"Towel"</formula>
    </cfRule>
    <cfRule type="cellIs" dxfId="10704" priority="12984" stopIfTrue="1" operator="equal">
      <formula>"Napkin Hs"</formula>
    </cfRule>
    <cfRule type="cellIs" dxfId="10703" priority="12989" stopIfTrue="1" operator="equal">
      <formula>"Towel"</formula>
    </cfRule>
    <cfRule type="cellIs" dxfId="10702" priority="12990" stopIfTrue="1" operator="equal">
      <formula>"Napkin Hs"</formula>
    </cfRule>
    <cfRule type="cellIs" dxfId="10701" priority="12995" stopIfTrue="1" operator="equal">
      <formula>"Towel"</formula>
    </cfRule>
    <cfRule type="cellIs" dxfId="10700" priority="12996" stopIfTrue="1" operator="equal">
      <formula>"Napkin Hs"</formula>
    </cfRule>
    <cfRule type="cellIs" dxfId="10699" priority="12997" stopIfTrue="1" operator="equal">
      <formula>"Towel"</formula>
    </cfRule>
    <cfRule type="cellIs" dxfId="10698" priority="12998" stopIfTrue="1" operator="equal">
      <formula>"Napkin Hs"</formula>
    </cfRule>
    <cfRule type="cellIs" dxfId="10697" priority="13003" stopIfTrue="1" operator="equal">
      <formula>"Towel"</formula>
    </cfRule>
    <cfRule type="cellIs" dxfId="10696" priority="13004" stopIfTrue="1" operator="equal">
      <formula>"Napkin Hs"</formula>
    </cfRule>
    <cfRule type="cellIs" dxfId="10695" priority="13013" stopIfTrue="1" operator="equal">
      <formula>"Towel"</formula>
    </cfRule>
    <cfRule type="cellIs" dxfId="10694" priority="13014" stopIfTrue="1" operator="equal">
      <formula>"Napkin Hs"</formula>
    </cfRule>
    <cfRule type="cellIs" dxfId="10693" priority="13019" stopIfTrue="1" operator="equal">
      <formula>"Towel"</formula>
    </cfRule>
    <cfRule type="cellIs" dxfId="10692" priority="13020" stopIfTrue="1" operator="equal">
      <formula>"Napkin Hs"</formula>
    </cfRule>
    <cfRule type="cellIs" dxfId="10691" priority="13021" stopIfTrue="1" operator="equal">
      <formula>"Towel"</formula>
    </cfRule>
    <cfRule type="cellIs" dxfId="10690" priority="13022" stopIfTrue="1" operator="equal">
      <formula>"Napkin Hs"</formula>
    </cfRule>
    <cfRule type="cellIs" dxfId="10689" priority="13027" stopIfTrue="1" operator="equal">
      <formula>"Towel"</formula>
    </cfRule>
    <cfRule type="cellIs" dxfId="10688" priority="13028" stopIfTrue="1" operator="equal">
      <formula>"Napkin Hs"</formula>
    </cfRule>
    <cfRule type="cellIs" dxfId="10687" priority="13037" stopIfTrue="1" operator="equal">
      <formula>"Towel"</formula>
    </cfRule>
    <cfRule type="cellIs" dxfId="10686" priority="13038" stopIfTrue="1" operator="equal">
      <formula>"Napkin Hs"</formula>
    </cfRule>
    <cfRule type="cellIs" dxfId="10685" priority="13039" stopIfTrue="1" operator="equal">
      <formula>"Towel"</formula>
    </cfRule>
    <cfRule type="cellIs" dxfId="10684" priority="13040" stopIfTrue="1" operator="equal">
      <formula>"Napkin Hs"</formula>
    </cfRule>
    <cfRule type="cellIs" dxfId="10683" priority="13045" stopIfTrue="1" operator="equal">
      <formula>"Towel"</formula>
    </cfRule>
    <cfRule type="cellIs" dxfId="10682" priority="13046" stopIfTrue="1" operator="equal">
      <formula>"Napkin Hs"</formula>
    </cfRule>
    <cfRule type="cellIs" dxfId="10681" priority="13055" stopIfTrue="1" operator="equal">
      <formula>"Towel"</formula>
    </cfRule>
    <cfRule type="cellIs" dxfId="10680" priority="13056" stopIfTrue="1" operator="equal">
      <formula>"Napkin Hs"</formula>
    </cfRule>
    <cfRule type="cellIs" dxfId="10679" priority="13057" stopIfTrue="1" operator="equal">
      <formula>"Towel"</formula>
    </cfRule>
    <cfRule type="cellIs" dxfId="10678" priority="13058" stopIfTrue="1" operator="equal">
      <formula>"Napkin Hs"</formula>
    </cfRule>
    <cfRule type="cellIs" dxfId="10677" priority="13064" stopIfTrue="1" operator="equal">
      <formula>"Napkin Hs"</formula>
    </cfRule>
  </conditionalFormatting>
  <conditionalFormatting sqref="B23:C24">
    <cfRule type="cellIs" dxfId="10676" priority="13063" stopIfTrue="1" operator="equal">
      <formula>"Towel"</formula>
    </cfRule>
  </conditionalFormatting>
  <conditionalFormatting sqref="C23:C24">
    <cfRule type="cellIs" dxfId="10675" priority="12974" stopIfTrue="1" operator="equal">
      <formula>"Napkin Hs"</formula>
    </cfRule>
    <cfRule type="cellIs" dxfId="10674" priority="12975" stopIfTrue="1" operator="equal">
      <formula>"Towel"</formula>
    </cfRule>
    <cfRule type="cellIs" dxfId="10673" priority="12976" stopIfTrue="1" operator="equal">
      <formula>"Napkin Hs"</formula>
    </cfRule>
    <cfRule type="cellIs" dxfId="10672" priority="12977" stopIfTrue="1" operator="equal">
      <formula>"Towel"</formula>
    </cfRule>
    <cfRule type="cellIs" dxfId="10671" priority="12978" stopIfTrue="1" operator="equal">
      <formula>"Napkin Hs"</formula>
    </cfRule>
    <cfRule type="cellIs" dxfId="10670" priority="12979" stopIfTrue="1" operator="equal">
      <formula>"Towel"</formula>
    </cfRule>
    <cfRule type="cellIs" dxfId="10669" priority="12980" stopIfTrue="1" operator="equal">
      <formula>"Napkin Hs"</formula>
    </cfRule>
    <cfRule type="cellIs" dxfId="10668" priority="12981" stopIfTrue="1" operator="equal">
      <formula>"Towel"</formula>
    </cfRule>
    <cfRule type="cellIs" dxfId="10667" priority="12982" stopIfTrue="1" operator="equal">
      <formula>"Napkin Hs"</formula>
    </cfRule>
    <cfRule type="cellIs" dxfId="10666" priority="12985" stopIfTrue="1" operator="equal">
      <formula>"Towel"</formula>
    </cfRule>
    <cfRule type="cellIs" dxfId="10665" priority="12986" stopIfTrue="1" operator="equal">
      <formula>"Napkin Hs"</formula>
    </cfRule>
    <cfRule type="cellIs" dxfId="10664" priority="12987" stopIfTrue="1" operator="equal">
      <formula>"Towel"</formula>
    </cfRule>
    <cfRule type="cellIs" dxfId="10663" priority="12988" stopIfTrue="1" operator="equal">
      <formula>"Napkin Hs"</formula>
    </cfRule>
    <cfRule type="cellIs" dxfId="10662" priority="12991" stopIfTrue="1" operator="equal">
      <formula>"Towel"</formula>
    </cfRule>
    <cfRule type="cellIs" dxfId="10661" priority="12992" stopIfTrue="1" operator="equal">
      <formula>"Napkin Hs"</formula>
    </cfRule>
    <cfRule type="cellIs" dxfId="10660" priority="12993" stopIfTrue="1" operator="equal">
      <formula>"Towel"</formula>
    </cfRule>
    <cfRule type="cellIs" dxfId="10659" priority="12994" stopIfTrue="1" operator="equal">
      <formula>"Napkin Hs"</formula>
    </cfRule>
    <cfRule type="cellIs" dxfId="10658" priority="12999" stopIfTrue="1" operator="equal">
      <formula>"Towel"</formula>
    </cfRule>
    <cfRule type="cellIs" dxfId="10657" priority="13000" stopIfTrue="1" operator="equal">
      <formula>"Napkin Hs"</formula>
    </cfRule>
    <cfRule type="cellIs" dxfId="10656" priority="13001" stopIfTrue="1" operator="equal">
      <formula>"Towel"</formula>
    </cfRule>
    <cfRule type="cellIs" dxfId="10655" priority="13002" stopIfTrue="1" operator="equal">
      <formula>"Napkin Hs"</formula>
    </cfRule>
    <cfRule type="cellIs" dxfId="10654" priority="13005" stopIfTrue="1" operator="equal">
      <formula>"Towel"</formula>
    </cfRule>
    <cfRule type="cellIs" dxfId="10653" priority="13006" stopIfTrue="1" operator="equal">
      <formula>"Napkin Hs"</formula>
    </cfRule>
    <cfRule type="cellIs" dxfId="10652" priority="13007" stopIfTrue="1" operator="equal">
      <formula>"Towel"</formula>
    </cfRule>
    <cfRule type="cellIs" dxfId="10651" priority="13008" stopIfTrue="1" operator="equal">
      <formula>"Napkin Hs"</formula>
    </cfRule>
    <cfRule type="cellIs" dxfId="10650" priority="13009" stopIfTrue="1" operator="equal">
      <formula>"Towel"</formula>
    </cfRule>
    <cfRule type="cellIs" dxfId="10649" priority="13010" stopIfTrue="1" operator="equal">
      <formula>"Napkin Hs"</formula>
    </cfRule>
    <cfRule type="cellIs" dxfId="10648" priority="13011" stopIfTrue="1" operator="equal">
      <formula>"Towel"</formula>
    </cfRule>
    <cfRule type="cellIs" dxfId="10647" priority="13012" stopIfTrue="1" operator="equal">
      <formula>"Napkin Hs"</formula>
    </cfRule>
    <cfRule type="cellIs" dxfId="10646" priority="13015" stopIfTrue="1" operator="equal">
      <formula>"Towel"</formula>
    </cfRule>
    <cfRule type="cellIs" dxfId="10645" priority="13016" stopIfTrue="1" operator="equal">
      <formula>"Napkin Hs"</formula>
    </cfRule>
    <cfRule type="cellIs" dxfId="10644" priority="13017" stopIfTrue="1" operator="equal">
      <formula>"Towel"</formula>
    </cfRule>
    <cfRule type="cellIs" dxfId="10643" priority="13018" stopIfTrue="1" operator="equal">
      <formula>"Napkin Hs"</formula>
    </cfRule>
    <cfRule type="cellIs" dxfId="10642" priority="13023" stopIfTrue="1" operator="equal">
      <formula>"Towel"</formula>
    </cfRule>
    <cfRule type="cellIs" dxfId="10641" priority="13024" stopIfTrue="1" operator="equal">
      <formula>"Napkin Hs"</formula>
    </cfRule>
    <cfRule type="cellIs" dxfId="10640" priority="13025" stopIfTrue="1" operator="equal">
      <formula>"Towel"</formula>
    </cfRule>
    <cfRule type="cellIs" dxfId="10639" priority="13026" stopIfTrue="1" operator="equal">
      <formula>"Napkin Hs"</formula>
    </cfRule>
    <cfRule type="cellIs" dxfId="10638" priority="13029" stopIfTrue="1" operator="equal">
      <formula>"Towel"</formula>
    </cfRule>
    <cfRule type="cellIs" dxfId="10637" priority="13030" stopIfTrue="1" operator="equal">
      <formula>"Napkin Hs"</formula>
    </cfRule>
    <cfRule type="cellIs" dxfId="10636" priority="13031" stopIfTrue="1" operator="equal">
      <formula>"Towel"</formula>
    </cfRule>
    <cfRule type="cellIs" dxfId="10635" priority="13032" stopIfTrue="1" operator="equal">
      <formula>"Napkin Hs"</formula>
    </cfRule>
    <cfRule type="cellIs" dxfId="10634" priority="13033" stopIfTrue="1" operator="equal">
      <formula>"Towel"</formula>
    </cfRule>
    <cfRule type="cellIs" dxfId="10633" priority="13034" stopIfTrue="1" operator="equal">
      <formula>"Napkin Hs"</formula>
    </cfRule>
    <cfRule type="cellIs" dxfId="10632" priority="13035" stopIfTrue="1" operator="equal">
      <formula>"Towel"</formula>
    </cfRule>
    <cfRule type="cellIs" dxfId="10631" priority="13036" stopIfTrue="1" operator="equal">
      <formula>"Napkin Hs"</formula>
    </cfRule>
    <cfRule type="cellIs" dxfId="10630" priority="13041" stopIfTrue="1" operator="equal">
      <formula>"Towel"</formula>
    </cfRule>
    <cfRule type="cellIs" dxfId="10629" priority="13042" stopIfTrue="1" operator="equal">
      <formula>"Napkin Hs"</formula>
    </cfRule>
    <cfRule type="cellIs" dxfId="10628" priority="13043" stopIfTrue="1" operator="equal">
      <formula>"Towel"</formula>
    </cfRule>
    <cfRule type="cellIs" dxfId="10627" priority="13044" stopIfTrue="1" operator="equal">
      <formula>"Napkin Hs"</formula>
    </cfRule>
    <cfRule type="cellIs" dxfId="10626" priority="13047" stopIfTrue="1" operator="equal">
      <formula>"Towel"</formula>
    </cfRule>
    <cfRule type="cellIs" dxfId="10625" priority="13048" stopIfTrue="1" operator="equal">
      <formula>"Napkin Hs"</formula>
    </cfRule>
    <cfRule type="cellIs" dxfId="10624" priority="13049" stopIfTrue="1" operator="equal">
      <formula>"Towel"</formula>
    </cfRule>
    <cfRule type="cellIs" dxfId="10623" priority="13050" stopIfTrue="1" operator="equal">
      <formula>"Napkin Hs"</formula>
    </cfRule>
    <cfRule type="cellIs" dxfId="10622" priority="13051" stopIfTrue="1" operator="equal">
      <formula>"Towel"</formula>
    </cfRule>
    <cfRule type="cellIs" dxfId="10621" priority="13052" stopIfTrue="1" operator="equal">
      <formula>"Napkin Hs"</formula>
    </cfRule>
    <cfRule type="cellIs" dxfId="10620" priority="13053" stopIfTrue="1" operator="equal">
      <formula>"Towel"</formula>
    </cfRule>
    <cfRule type="cellIs" dxfId="10619" priority="13054" stopIfTrue="1" operator="equal">
      <formula>"Napkin Hs"</formula>
    </cfRule>
    <cfRule type="cellIs" dxfId="10618" priority="13059" stopIfTrue="1" operator="equal">
      <formula>"Towel"</formula>
    </cfRule>
    <cfRule type="cellIs" dxfId="10617" priority="13060" stopIfTrue="1" operator="equal">
      <formula>"Napkin Hs"</formula>
    </cfRule>
    <cfRule type="cellIs" dxfId="10616" priority="13061" stopIfTrue="1" operator="equal">
      <formula>"Towel"</formula>
    </cfRule>
    <cfRule type="cellIs" dxfId="10615" priority="13062" stopIfTrue="1" operator="equal">
      <formula>"Napkin Hs"</formula>
    </cfRule>
    <cfRule type="cellIs" dxfId="10614" priority="13065" stopIfTrue="1" operator="equal">
      <formula>"Towel"</formula>
    </cfRule>
    <cfRule type="cellIs" dxfId="10613" priority="13066" stopIfTrue="1" operator="equal">
      <formula>"Napkin Hs"</formula>
    </cfRule>
    <cfRule type="cellIs" dxfId="10612" priority="13067" stopIfTrue="1" operator="equal">
      <formula>"Towel"</formula>
    </cfRule>
    <cfRule type="cellIs" dxfId="10611" priority="13068" stopIfTrue="1" operator="equal">
      <formula>"Napkin Hs"</formula>
    </cfRule>
  </conditionalFormatting>
  <conditionalFormatting sqref="B24:C24">
    <cfRule type="cellIs" dxfId="10610" priority="12970" stopIfTrue="1" operator="equal">
      <formula>"Towel"</formula>
    </cfRule>
    <cfRule type="cellIs" dxfId="10609" priority="12971" stopIfTrue="1" operator="equal">
      <formula>"Napkin Hs"</formula>
    </cfRule>
  </conditionalFormatting>
  <conditionalFormatting sqref="C24">
    <cfRule type="cellIs" dxfId="10608" priority="12966" stopIfTrue="1" operator="equal">
      <formula>"Towel"</formula>
    </cfRule>
    <cfRule type="cellIs" dxfId="10607" priority="12967" stopIfTrue="1" operator="equal">
      <formula>"Napkin Hs"</formula>
    </cfRule>
  </conditionalFormatting>
  <conditionalFormatting sqref="C24">
    <cfRule type="cellIs" dxfId="10606" priority="12969" stopIfTrue="1" operator="equal">
      <formula>"Napkin Hs"</formula>
    </cfRule>
  </conditionalFormatting>
  <conditionalFormatting sqref="C24">
    <cfRule type="cellIs" dxfId="10605" priority="12968" stopIfTrue="1" operator="equal">
      <formula>"Towel"</formula>
    </cfRule>
  </conditionalFormatting>
  <conditionalFormatting sqref="C25">
    <cfRule type="cellIs" dxfId="10604" priority="12964" stopIfTrue="1" operator="equal">
      <formula>"Towel"</formula>
    </cfRule>
    <cfRule type="cellIs" dxfId="10603" priority="12965" stopIfTrue="1" operator="equal">
      <formula>"Napkin Hs"</formula>
    </cfRule>
  </conditionalFormatting>
  <conditionalFormatting sqref="C25">
    <cfRule type="cellIs" dxfId="10602" priority="12960" stopIfTrue="1" operator="equal">
      <formula>"Towel"</formula>
    </cfRule>
    <cfRule type="cellIs" dxfId="10601" priority="12961" stopIfTrue="1" operator="equal">
      <formula>"Napkin Hs"</formula>
    </cfRule>
  </conditionalFormatting>
  <conditionalFormatting sqref="C25">
    <cfRule type="cellIs" dxfId="10600" priority="12963" stopIfTrue="1" operator="equal">
      <formula>"Napkin Hs"</formula>
    </cfRule>
  </conditionalFormatting>
  <conditionalFormatting sqref="C25">
    <cfRule type="cellIs" dxfId="10599" priority="12962" stopIfTrue="1" operator="equal">
      <formula>"Towel"</formula>
    </cfRule>
  </conditionalFormatting>
  <conditionalFormatting sqref="B23:C24">
    <cfRule type="cellIs" dxfId="10598" priority="12936" stopIfTrue="1" operator="equal">
      <formula>"Towel"</formula>
    </cfRule>
  </conditionalFormatting>
  <conditionalFormatting sqref="B23:C24">
    <cfRule type="cellIs" dxfId="10597" priority="12937" stopIfTrue="1" operator="equal">
      <formula>"Napkin Hs"</formula>
    </cfRule>
    <cfRule type="cellIs" dxfId="10596" priority="12942" stopIfTrue="1" operator="equal">
      <formula>"Towel"</formula>
    </cfRule>
    <cfRule type="cellIs" dxfId="10595" priority="12943" stopIfTrue="1" operator="equal">
      <formula>"Napkin Hs"</formula>
    </cfRule>
    <cfRule type="cellIs" dxfId="10594" priority="12952" stopIfTrue="1" operator="equal">
      <formula>"Towel"</formula>
    </cfRule>
    <cfRule type="cellIs" dxfId="10593" priority="12953" stopIfTrue="1" operator="equal">
      <formula>"Napkin Hs"</formula>
    </cfRule>
    <cfRule type="cellIs" dxfId="10592" priority="12958" stopIfTrue="1" operator="equal">
      <formula>"Towel"</formula>
    </cfRule>
    <cfRule type="cellIs" dxfId="10591" priority="12959" stopIfTrue="1" operator="equal">
      <formula>"Napkin Hs"</formula>
    </cfRule>
  </conditionalFormatting>
  <conditionalFormatting sqref="C23:C24">
    <cfRule type="cellIs" dxfId="10590" priority="12938" stopIfTrue="1" operator="equal">
      <formula>"Towel"</formula>
    </cfRule>
    <cfRule type="cellIs" dxfId="10589" priority="12939" stopIfTrue="1" operator="equal">
      <formula>"Napkin Hs"</formula>
    </cfRule>
    <cfRule type="cellIs" dxfId="10588" priority="12940" stopIfTrue="1" operator="equal">
      <formula>"Towel"</formula>
    </cfRule>
    <cfRule type="cellIs" dxfId="10587" priority="12941" stopIfTrue="1" operator="equal">
      <formula>"Napkin Hs"</formula>
    </cfRule>
    <cfRule type="cellIs" dxfId="10586" priority="12944" stopIfTrue="1" operator="equal">
      <formula>"Towel"</formula>
    </cfRule>
    <cfRule type="cellIs" dxfId="10585" priority="12945" stopIfTrue="1" operator="equal">
      <formula>"Napkin Hs"</formula>
    </cfRule>
    <cfRule type="cellIs" dxfId="10584" priority="12946" stopIfTrue="1" operator="equal">
      <formula>"Towel"</formula>
    </cfRule>
    <cfRule type="cellIs" dxfId="10583" priority="12947" stopIfTrue="1" operator="equal">
      <formula>"Napkin Hs"</formula>
    </cfRule>
    <cfRule type="cellIs" dxfId="10582" priority="12948" stopIfTrue="1" operator="equal">
      <formula>"Towel"</formula>
    </cfRule>
    <cfRule type="cellIs" dxfId="10581" priority="12949" stopIfTrue="1" operator="equal">
      <formula>"Napkin Hs"</formula>
    </cfRule>
    <cfRule type="cellIs" dxfId="10580" priority="12950" stopIfTrue="1" operator="equal">
      <formula>"Towel"</formula>
    </cfRule>
    <cfRule type="cellIs" dxfId="10579" priority="12951" stopIfTrue="1" operator="equal">
      <formula>"Napkin Hs"</formula>
    </cfRule>
    <cfRule type="cellIs" dxfId="10578" priority="12954" stopIfTrue="1" operator="equal">
      <formula>"Towel"</formula>
    </cfRule>
    <cfRule type="cellIs" dxfId="10577" priority="12955" stopIfTrue="1" operator="equal">
      <formula>"Napkin Hs"</formula>
    </cfRule>
    <cfRule type="cellIs" dxfId="10576" priority="12957" stopIfTrue="1" operator="equal">
      <formula>"Napkin Hs"</formula>
    </cfRule>
  </conditionalFormatting>
  <conditionalFormatting sqref="C23:C24">
    <cfRule type="cellIs" dxfId="10575" priority="12956" stopIfTrue="1" operator="equal">
      <formula>"Towel"</formula>
    </cfRule>
  </conditionalFormatting>
  <conditionalFormatting sqref="B23:C24">
    <cfRule type="cellIs" dxfId="10574" priority="12934" stopIfTrue="1" operator="equal">
      <formula>"Towel"</formula>
    </cfRule>
    <cfRule type="cellIs" dxfId="10573" priority="12935" stopIfTrue="1" operator="equal">
      <formula>"Napkin Hs"</formula>
    </cfRule>
  </conditionalFormatting>
  <conditionalFormatting sqref="C23:C24">
    <cfRule type="cellIs" dxfId="10572" priority="12933" stopIfTrue="1" operator="equal">
      <formula>"Napkin Hs"</formula>
    </cfRule>
  </conditionalFormatting>
  <conditionalFormatting sqref="C23:C24">
    <cfRule type="cellIs" dxfId="10571" priority="12932" stopIfTrue="1" operator="equal">
      <formula>"Towel"</formula>
    </cfRule>
  </conditionalFormatting>
  <conditionalFormatting sqref="C23:C24">
    <cfRule type="cellIs" dxfId="10570" priority="12930" stopIfTrue="1" operator="equal">
      <formula>"Towel"</formula>
    </cfRule>
  </conditionalFormatting>
  <conditionalFormatting sqref="C23:C24">
    <cfRule type="cellIs" dxfId="10569" priority="12931" stopIfTrue="1" operator="equal">
      <formula>"Napkin Hs"</formula>
    </cfRule>
  </conditionalFormatting>
  <conditionalFormatting sqref="B23:B24">
    <cfRule type="cellIs" dxfId="10568" priority="12834" stopIfTrue="1" operator="equal">
      <formula>"Napkin Hs"</formula>
    </cfRule>
  </conditionalFormatting>
  <conditionalFormatting sqref="B23:C24">
    <cfRule type="cellIs" dxfId="10567" priority="12833" stopIfTrue="1" operator="equal">
      <formula>"Towel"</formula>
    </cfRule>
  </conditionalFormatting>
  <conditionalFormatting sqref="B23:C24">
    <cfRule type="cellIs" dxfId="10566" priority="12844" stopIfTrue="1" operator="equal">
      <formula>"Towel"</formula>
    </cfRule>
    <cfRule type="cellIs" dxfId="10565" priority="12845" stopIfTrue="1" operator="equal">
      <formula>"Napkin Hs"</formula>
    </cfRule>
    <cfRule type="cellIs" dxfId="10564" priority="12850" stopIfTrue="1" operator="equal">
      <formula>"Towel"</formula>
    </cfRule>
    <cfRule type="cellIs" dxfId="10563" priority="12851" stopIfTrue="1" operator="equal">
      <formula>"Napkin Hs"</formula>
    </cfRule>
    <cfRule type="cellIs" dxfId="10562" priority="12856" stopIfTrue="1" operator="equal">
      <formula>"Towel"</formula>
    </cfRule>
    <cfRule type="cellIs" dxfId="10561" priority="12857" stopIfTrue="1" operator="equal">
      <formula>"Napkin Hs"</formula>
    </cfRule>
    <cfRule type="cellIs" dxfId="10560" priority="12858" stopIfTrue="1" operator="equal">
      <formula>"Towel"</formula>
    </cfRule>
    <cfRule type="cellIs" dxfId="10559" priority="12859" stopIfTrue="1" operator="equal">
      <formula>"Napkin Hs"</formula>
    </cfRule>
    <cfRule type="cellIs" dxfId="10558" priority="12864" stopIfTrue="1" operator="equal">
      <formula>"Towel"</formula>
    </cfRule>
    <cfRule type="cellIs" dxfId="10557" priority="12865" stopIfTrue="1" operator="equal">
      <formula>"Napkin Hs"</formula>
    </cfRule>
    <cfRule type="cellIs" dxfId="10556" priority="12874" stopIfTrue="1" operator="equal">
      <formula>"Towel"</formula>
    </cfRule>
    <cfRule type="cellIs" dxfId="10555" priority="12875" stopIfTrue="1" operator="equal">
      <formula>"Napkin Hs"</formula>
    </cfRule>
    <cfRule type="cellIs" dxfId="10554" priority="12880" stopIfTrue="1" operator="equal">
      <formula>"Towel"</formula>
    </cfRule>
    <cfRule type="cellIs" dxfId="10553" priority="12881" stopIfTrue="1" operator="equal">
      <formula>"Napkin Hs"</formula>
    </cfRule>
    <cfRule type="cellIs" dxfId="10552" priority="12882" stopIfTrue="1" operator="equal">
      <formula>"Towel"</formula>
    </cfRule>
    <cfRule type="cellIs" dxfId="10551" priority="12883" stopIfTrue="1" operator="equal">
      <formula>"Napkin Hs"</formula>
    </cfRule>
    <cfRule type="cellIs" dxfId="10550" priority="12888" stopIfTrue="1" operator="equal">
      <formula>"Towel"</formula>
    </cfRule>
    <cfRule type="cellIs" dxfId="10549" priority="12889" stopIfTrue="1" operator="equal">
      <formula>"Napkin Hs"</formula>
    </cfRule>
    <cfRule type="cellIs" dxfId="10548" priority="12898" stopIfTrue="1" operator="equal">
      <formula>"Towel"</formula>
    </cfRule>
    <cfRule type="cellIs" dxfId="10547" priority="12899" stopIfTrue="1" operator="equal">
      <formula>"Napkin Hs"</formula>
    </cfRule>
    <cfRule type="cellIs" dxfId="10546" priority="12900" stopIfTrue="1" operator="equal">
      <formula>"Towel"</formula>
    </cfRule>
    <cfRule type="cellIs" dxfId="10545" priority="12901" stopIfTrue="1" operator="equal">
      <formula>"Napkin Hs"</formula>
    </cfRule>
    <cfRule type="cellIs" dxfId="10544" priority="12906" stopIfTrue="1" operator="equal">
      <formula>"Towel"</formula>
    </cfRule>
    <cfRule type="cellIs" dxfId="10543" priority="12907" stopIfTrue="1" operator="equal">
      <formula>"Napkin Hs"</formula>
    </cfRule>
    <cfRule type="cellIs" dxfId="10542" priority="12916" stopIfTrue="1" operator="equal">
      <formula>"Towel"</formula>
    </cfRule>
    <cfRule type="cellIs" dxfId="10541" priority="12917" stopIfTrue="1" operator="equal">
      <formula>"Napkin Hs"</formula>
    </cfRule>
    <cfRule type="cellIs" dxfId="10540" priority="12918" stopIfTrue="1" operator="equal">
      <formula>"Towel"</formula>
    </cfRule>
    <cfRule type="cellIs" dxfId="10539" priority="12919" stopIfTrue="1" operator="equal">
      <formula>"Napkin Hs"</formula>
    </cfRule>
    <cfRule type="cellIs" dxfId="10538" priority="12925" stopIfTrue="1" operator="equal">
      <formula>"Napkin Hs"</formula>
    </cfRule>
  </conditionalFormatting>
  <conditionalFormatting sqref="B23:C24">
    <cfRule type="cellIs" dxfId="10537" priority="12924" stopIfTrue="1" operator="equal">
      <formula>"Towel"</formula>
    </cfRule>
  </conditionalFormatting>
  <conditionalFormatting sqref="C23:C24">
    <cfRule type="cellIs" dxfId="10536" priority="12835" stopIfTrue="1" operator="equal">
      <formula>"Napkin Hs"</formula>
    </cfRule>
    <cfRule type="cellIs" dxfId="10535" priority="12836" stopIfTrue="1" operator="equal">
      <formula>"Towel"</formula>
    </cfRule>
    <cfRule type="cellIs" dxfId="10534" priority="12837" stopIfTrue="1" operator="equal">
      <formula>"Napkin Hs"</formula>
    </cfRule>
    <cfRule type="cellIs" dxfId="10533" priority="12838" stopIfTrue="1" operator="equal">
      <formula>"Towel"</formula>
    </cfRule>
    <cfRule type="cellIs" dxfId="10532" priority="12839" stopIfTrue="1" operator="equal">
      <formula>"Napkin Hs"</formula>
    </cfRule>
    <cfRule type="cellIs" dxfId="10531" priority="12840" stopIfTrue="1" operator="equal">
      <formula>"Towel"</formula>
    </cfRule>
    <cfRule type="cellIs" dxfId="10530" priority="12841" stopIfTrue="1" operator="equal">
      <formula>"Napkin Hs"</formula>
    </cfRule>
    <cfRule type="cellIs" dxfId="10529" priority="12842" stopIfTrue="1" operator="equal">
      <formula>"Towel"</formula>
    </cfRule>
    <cfRule type="cellIs" dxfId="10528" priority="12843" stopIfTrue="1" operator="equal">
      <formula>"Napkin Hs"</formula>
    </cfRule>
    <cfRule type="cellIs" dxfId="10527" priority="12846" stopIfTrue="1" operator="equal">
      <formula>"Towel"</formula>
    </cfRule>
    <cfRule type="cellIs" dxfId="10526" priority="12847" stopIfTrue="1" operator="equal">
      <formula>"Napkin Hs"</formula>
    </cfRule>
    <cfRule type="cellIs" dxfId="10525" priority="12848" stopIfTrue="1" operator="equal">
      <formula>"Towel"</formula>
    </cfRule>
    <cfRule type="cellIs" dxfId="10524" priority="12849" stopIfTrue="1" operator="equal">
      <formula>"Napkin Hs"</formula>
    </cfRule>
    <cfRule type="cellIs" dxfId="10523" priority="12852" stopIfTrue="1" operator="equal">
      <formula>"Towel"</formula>
    </cfRule>
    <cfRule type="cellIs" dxfId="10522" priority="12853" stopIfTrue="1" operator="equal">
      <formula>"Napkin Hs"</formula>
    </cfRule>
    <cfRule type="cellIs" dxfId="10521" priority="12854" stopIfTrue="1" operator="equal">
      <formula>"Towel"</formula>
    </cfRule>
    <cfRule type="cellIs" dxfId="10520" priority="12855" stopIfTrue="1" operator="equal">
      <formula>"Napkin Hs"</formula>
    </cfRule>
    <cfRule type="cellIs" dxfId="10519" priority="12860" stopIfTrue="1" operator="equal">
      <formula>"Towel"</formula>
    </cfRule>
    <cfRule type="cellIs" dxfId="10518" priority="12861" stopIfTrue="1" operator="equal">
      <formula>"Napkin Hs"</formula>
    </cfRule>
    <cfRule type="cellIs" dxfId="10517" priority="12862" stopIfTrue="1" operator="equal">
      <formula>"Towel"</formula>
    </cfRule>
    <cfRule type="cellIs" dxfId="10516" priority="12863" stopIfTrue="1" operator="equal">
      <formula>"Napkin Hs"</formula>
    </cfRule>
    <cfRule type="cellIs" dxfId="10515" priority="12866" stopIfTrue="1" operator="equal">
      <formula>"Towel"</formula>
    </cfRule>
    <cfRule type="cellIs" dxfId="10514" priority="12867" stopIfTrue="1" operator="equal">
      <formula>"Napkin Hs"</formula>
    </cfRule>
    <cfRule type="cellIs" dxfId="10513" priority="12868" stopIfTrue="1" operator="equal">
      <formula>"Towel"</formula>
    </cfRule>
    <cfRule type="cellIs" dxfId="10512" priority="12869" stopIfTrue="1" operator="equal">
      <formula>"Napkin Hs"</formula>
    </cfRule>
    <cfRule type="cellIs" dxfId="10511" priority="12870" stopIfTrue="1" operator="equal">
      <formula>"Towel"</formula>
    </cfRule>
    <cfRule type="cellIs" dxfId="10510" priority="12871" stopIfTrue="1" operator="equal">
      <formula>"Napkin Hs"</formula>
    </cfRule>
    <cfRule type="cellIs" dxfId="10509" priority="12872" stopIfTrue="1" operator="equal">
      <formula>"Towel"</formula>
    </cfRule>
    <cfRule type="cellIs" dxfId="10508" priority="12873" stopIfTrue="1" operator="equal">
      <formula>"Napkin Hs"</formula>
    </cfRule>
    <cfRule type="cellIs" dxfId="10507" priority="12876" stopIfTrue="1" operator="equal">
      <formula>"Towel"</formula>
    </cfRule>
    <cfRule type="cellIs" dxfId="10506" priority="12877" stopIfTrue="1" operator="equal">
      <formula>"Napkin Hs"</formula>
    </cfRule>
    <cfRule type="cellIs" dxfId="10505" priority="12878" stopIfTrue="1" operator="equal">
      <formula>"Towel"</formula>
    </cfRule>
    <cfRule type="cellIs" dxfId="10504" priority="12879" stopIfTrue="1" operator="equal">
      <formula>"Napkin Hs"</formula>
    </cfRule>
    <cfRule type="cellIs" dxfId="10503" priority="12884" stopIfTrue="1" operator="equal">
      <formula>"Towel"</formula>
    </cfRule>
    <cfRule type="cellIs" dxfId="10502" priority="12885" stopIfTrue="1" operator="equal">
      <formula>"Napkin Hs"</formula>
    </cfRule>
    <cfRule type="cellIs" dxfId="10501" priority="12886" stopIfTrue="1" operator="equal">
      <formula>"Towel"</formula>
    </cfRule>
    <cfRule type="cellIs" dxfId="10500" priority="12887" stopIfTrue="1" operator="equal">
      <formula>"Napkin Hs"</formula>
    </cfRule>
    <cfRule type="cellIs" dxfId="10499" priority="12890" stopIfTrue="1" operator="equal">
      <formula>"Towel"</formula>
    </cfRule>
    <cfRule type="cellIs" dxfId="10498" priority="12891" stopIfTrue="1" operator="equal">
      <formula>"Napkin Hs"</formula>
    </cfRule>
    <cfRule type="cellIs" dxfId="10497" priority="12892" stopIfTrue="1" operator="equal">
      <formula>"Towel"</formula>
    </cfRule>
    <cfRule type="cellIs" dxfId="10496" priority="12893" stopIfTrue="1" operator="equal">
      <formula>"Napkin Hs"</formula>
    </cfRule>
    <cfRule type="cellIs" dxfId="10495" priority="12894" stopIfTrue="1" operator="equal">
      <formula>"Towel"</formula>
    </cfRule>
    <cfRule type="cellIs" dxfId="10494" priority="12895" stopIfTrue="1" operator="equal">
      <formula>"Napkin Hs"</formula>
    </cfRule>
    <cfRule type="cellIs" dxfId="10493" priority="12896" stopIfTrue="1" operator="equal">
      <formula>"Towel"</formula>
    </cfRule>
    <cfRule type="cellIs" dxfId="10492" priority="12897" stopIfTrue="1" operator="equal">
      <formula>"Napkin Hs"</formula>
    </cfRule>
    <cfRule type="cellIs" dxfId="10491" priority="12902" stopIfTrue="1" operator="equal">
      <formula>"Towel"</formula>
    </cfRule>
    <cfRule type="cellIs" dxfId="10490" priority="12903" stopIfTrue="1" operator="equal">
      <formula>"Napkin Hs"</formula>
    </cfRule>
    <cfRule type="cellIs" dxfId="10489" priority="12904" stopIfTrue="1" operator="equal">
      <formula>"Towel"</formula>
    </cfRule>
    <cfRule type="cellIs" dxfId="10488" priority="12905" stopIfTrue="1" operator="equal">
      <formula>"Napkin Hs"</formula>
    </cfRule>
    <cfRule type="cellIs" dxfId="10487" priority="12908" stopIfTrue="1" operator="equal">
      <formula>"Towel"</formula>
    </cfRule>
    <cfRule type="cellIs" dxfId="10486" priority="12909" stopIfTrue="1" operator="equal">
      <formula>"Napkin Hs"</formula>
    </cfRule>
    <cfRule type="cellIs" dxfId="10485" priority="12910" stopIfTrue="1" operator="equal">
      <formula>"Towel"</formula>
    </cfRule>
    <cfRule type="cellIs" dxfId="10484" priority="12911" stopIfTrue="1" operator="equal">
      <formula>"Napkin Hs"</formula>
    </cfRule>
    <cfRule type="cellIs" dxfId="10483" priority="12912" stopIfTrue="1" operator="equal">
      <formula>"Towel"</formula>
    </cfRule>
    <cfRule type="cellIs" dxfId="10482" priority="12913" stopIfTrue="1" operator="equal">
      <formula>"Napkin Hs"</formula>
    </cfRule>
    <cfRule type="cellIs" dxfId="10481" priority="12914" stopIfTrue="1" operator="equal">
      <formula>"Towel"</formula>
    </cfRule>
    <cfRule type="cellIs" dxfId="10480" priority="12915" stopIfTrue="1" operator="equal">
      <formula>"Napkin Hs"</formula>
    </cfRule>
    <cfRule type="cellIs" dxfId="10479" priority="12920" stopIfTrue="1" operator="equal">
      <formula>"Towel"</formula>
    </cfRule>
    <cfRule type="cellIs" dxfId="10478" priority="12921" stopIfTrue="1" operator="equal">
      <formula>"Napkin Hs"</formula>
    </cfRule>
    <cfRule type="cellIs" dxfId="10477" priority="12922" stopIfTrue="1" operator="equal">
      <formula>"Towel"</formula>
    </cfRule>
    <cfRule type="cellIs" dxfId="10476" priority="12923" stopIfTrue="1" operator="equal">
      <formula>"Napkin Hs"</formula>
    </cfRule>
    <cfRule type="cellIs" dxfId="10475" priority="12926" stopIfTrue="1" operator="equal">
      <formula>"Towel"</formula>
    </cfRule>
    <cfRule type="cellIs" dxfId="10474" priority="12927" stopIfTrue="1" operator="equal">
      <formula>"Napkin Hs"</formula>
    </cfRule>
    <cfRule type="cellIs" dxfId="10473" priority="12928" stopIfTrue="1" operator="equal">
      <formula>"Towel"</formula>
    </cfRule>
    <cfRule type="cellIs" dxfId="10472" priority="12929" stopIfTrue="1" operator="equal">
      <formula>"Napkin Hs"</formula>
    </cfRule>
  </conditionalFormatting>
  <conditionalFormatting sqref="B25">
    <cfRule type="cellIs" dxfId="10471" priority="12825" stopIfTrue="1" operator="equal">
      <formula>"Towel"</formula>
    </cfRule>
  </conditionalFormatting>
  <conditionalFormatting sqref="B25">
    <cfRule type="cellIs" dxfId="10470" priority="12826" stopIfTrue="1" operator="equal">
      <formula>"Napkin Hs"</formula>
    </cfRule>
    <cfRule type="cellIs" dxfId="10469" priority="12827" stopIfTrue="1" operator="equal">
      <formula>"Towel"</formula>
    </cfRule>
    <cfRule type="cellIs" dxfId="10468" priority="12828" stopIfTrue="1" operator="equal">
      <formula>"Napkin Hs"</formula>
    </cfRule>
    <cfRule type="cellIs" dxfId="10467" priority="12829" stopIfTrue="1" operator="equal">
      <formula>"Towel"</formula>
    </cfRule>
    <cfRule type="cellIs" dxfId="10466" priority="12830" stopIfTrue="1" operator="equal">
      <formula>"Napkin Hs"</formula>
    </cfRule>
    <cfRule type="cellIs" dxfId="10465" priority="12831" stopIfTrue="1" operator="equal">
      <formula>"Towel"</formula>
    </cfRule>
    <cfRule type="cellIs" dxfId="10464" priority="12832" stopIfTrue="1" operator="equal">
      <formula>"Napkin Hs"</formula>
    </cfRule>
  </conditionalFormatting>
  <conditionalFormatting sqref="B25">
    <cfRule type="cellIs" dxfId="10463" priority="12823" stopIfTrue="1" operator="equal">
      <formula>"Towel"</formula>
    </cfRule>
    <cfRule type="cellIs" dxfId="10462" priority="12824" stopIfTrue="1" operator="equal">
      <formula>"Napkin Hs"</formula>
    </cfRule>
  </conditionalFormatting>
  <conditionalFormatting sqref="B25">
    <cfRule type="cellIs" dxfId="10461" priority="12792" stopIfTrue="1" operator="equal">
      <formula>"Napkin Hs"</formula>
    </cfRule>
  </conditionalFormatting>
  <conditionalFormatting sqref="B25">
    <cfRule type="cellIs" dxfId="10460" priority="12791" stopIfTrue="1" operator="equal">
      <formula>"Towel"</formula>
    </cfRule>
  </conditionalFormatting>
  <conditionalFormatting sqref="B25">
    <cfRule type="cellIs" dxfId="10459" priority="12793" stopIfTrue="1" operator="equal">
      <formula>"Towel"</formula>
    </cfRule>
    <cfRule type="cellIs" dxfId="10458" priority="12794" stopIfTrue="1" operator="equal">
      <formula>"Napkin Hs"</formula>
    </cfRule>
    <cfRule type="cellIs" dxfId="10457" priority="12795" stopIfTrue="1" operator="equal">
      <formula>"Towel"</formula>
    </cfRule>
    <cfRule type="cellIs" dxfId="10456" priority="12796" stopIfTrue="1" operator="equal">
      <formula>"Napkin Hs"</formula>
    </cfRule>
    <cfRule type="cellIs" dxfId="10455" priority="12797" stopIfTrue="1" operator="equal">
      <formula>"Towel"</formula>
    </cfRule>
    <cfRule type="cellIs" dxfId="10454" priority="12798" stopIfTrue="1" operator="equal">
      <formula>"Napkin Hs"</formula>
    </cfRule>
    <cfRule type="cellIs" dxfId="10453" priority="12799" stopIfTrue="1" operator="equal">
      <formula>"Towel"</formula>
    </cfRule>
    <cfRule type="cellIs" dxfId="10452" priority="12800" stopIfTrue="1" operator="equal">
      <formula>"Napkin Hs"</formula>
    </cfRule>
    <cfRule type="cellIs" dxfId="10451" priority="12801" stopIfTrue="1" operator="equal">
      <formula>"Towel"</formula>
    </cfRule>
    <cfRule type="cellIs" dxfId="10450" priority="12802" stopIfTrue="1" operator="equal">
      <formula>"Napkin Hs"</formula>
    </cfRule>
    <cfRule type="cellIs" dxfId="10449" priority="12803" stopIfTrue="1" operator="equal">
      <formula>"Towel"</formula>
    </cfRule>
    <cfRule type="cellIs" dxfId="10448" priority="12804" stopIfTrue="1" operator="equal">
      <formula>"Napkin Hs"</formula>
    </cfRule>
    <cfRule type="cellIs" dxfId="10447" priority="12805" stopIfTrue="1" operator="equal">
      <formula>"Towel"</formula>
    </cfRule>
    <cfRule type="cellIs" dxfId="10446" priority="12806" stopIfTrue="1" operator="equal">
      <formula>"Napkin Hs"</formula>
    </cfRule>
    <cfRule type="cellIs" dxfId="10445" priority="12807" stopIfTrue="1" operator="equal">
      <formula>"Towel"</formula>
    </cfRule>
    <cfRule type="cellIs" dxfId="10444" priority="12808" stopIfTrue="1" operator="equal">
      <formula>"Napkin Hs"</formula>
    </cfRule>
    <cfRule type="cellIs" dxfId="10443" priority="12809" stopIfTrue="1" operator="equal">
      <formula>"Towel"</formula>
    </cfRule>
    <cfRule type="cellIs" dxfId="10442" priority="12810" stopIfTrue="1" operator="equal">
      <formula>"Napkin Hs"</formula>
    </cfRule>
    <cfRule type="cellIs" dxfId="10441" priority="12811" stopIfTrue="1" operator="equal">
      <formula>"Towel"</formula>
    </cfRule>
    <cfRule type="cellIs" dxfId="10440" priority="12812" stopIfTrue="1" operator="equal">
      <formula>"Napkin Hs"</formula>
    </cfRule>
    <cfRule type="cellIs" dxfId="10439" priority="12813" stopIfTrue="1" operator="equal">
      <formula>"Towel"</formula>
    </cfRule>
    <cfRule type="cellIs" dxfId="10438" priority="12814" stopIfTrue="1" operator="equal">
      <formula>"Napkin Hs"</formula>
    </cfRule>
    <cfRule type="cellIs" dxfId="10437" priority="12815" stopIfTrue="1" operator="equal">
      <formula>"Towel"</formula>
    </cfRule>
    <cfRule type="cellIs" dxfId="10436" priority="12816" stopIfTrue="1" operator="equal">
      <formula>"Napkin Hs"</formula>
    </cfRule>
    <cfRule type="cellIs" dxfId="10435" priority="12817" stopIfTrue="1" operator="equal">
      <formula>"Towel"</formula>
    </cfRule>
    <cfRule type="cellIs" dxfId="10434" priority="12818" stopIfTrue="1" operator="equal">
      <formula>"Napkin Hs"</formula>
    </cfRule>
    <cfRule type="cellIs" dxfId="10433" priority="12819" stopIfTrue="1" operator="equal">
      <formula>"Towel"</formula>
    </cfRule>
    <cfRule type="cellIs" dxfId="10432" priority="12820" stopIfTrue="1" operator="equal">
      <formula>"Napkin Hs"</formula>
    </cfRule>
    <cfRule type="cellIs" dxfId="10431" priority="12822" stopIfTrue="1" operator="equal">
      <formula>"Napkin Hs"</formula>
    </cfRule>
  </conditionalFormatting>
  <conditionalFormatting sqref="B25">
    <cfRule type="cellIs" dxfId="10430" priority="12821" stopIfTrue="1" operator="equal">
      <formula>"Towel"</formula>
    </cfRule>
  </conditionalFormatting>
  <conditionalFormatting sqref="C25">
    <cfRule type="cellIs" dxfId="10429" priority="12787" stopIfTrue="1" operator="equal">
      <formula>"Towel"</formula>
    </cfRule>
    <cfRule type="cellIs" dxfId="10428" priority="12788" stopIfTrue="1" operator="equal">
      <formula>"Napkin Hs"</formula>
    </cfRule>
  </conditionalFormatting>
  <conditionalFormatting sqref="C25">
    <cfRule type="cellIs" dxfId="10427" priority="12789" stopIfTrue="1" operator="equal">
      <formula>"Towel"</formula>
    </cfRule>
    <cfRule type="cellIs" dxfId="10426" priority="12790" stopIfTrue="1" operator="equal">
      <formula>"Napkin Hs"</formula>
    </cfRule>
  </conditionalFormatting>
  <conditionalFormatting sqref="B25:C25">
    <cfRule type="cellIs" dxfId="10425" priority="12785" stopIfTrue="1" operator="equal">
      <formula>"Towel"</formula>
    </cfRule>
    <cfRule type="cellIs" dxfId="10424" priority="12786" stopIfTrue="1" operator="equal">
      <formula>"Napkin Hs"</formula>
    </cfRule>
  </conditionalFormatting>
  <conditionalFormatting sqref="B25:C25">
    <cfRule type="cellIs" dxfId="10423" priority="12779" stopIfTrue="1" operator="equal">
      <formula>"Towel"</formula>
    </cfRule>
    <cfRule type="cellIs" dxfId="10422" priority="12780" stopIfTrue="1" operator="equal">
      <formula>"Napkin Hs"</formula>
    </cfRule>
  </conditionalFormatting>
  <conditionalFormatting sqref="C25">
    <cfRule type="cellIs" dxfId="10421" priority="12781" stopIfTrue="1" operator="equal">
      <formula>"Towel"</formula>
    </cfRule>
    <cfRule type="cellIs" dxfId="10420" priority="12782" stopIfTrue="1" operator="equal">
      <formula>"Napkin Hs"</formula>
    </cfRule>
  </conditionalFormatting>
  <conditionalFormatting sqref="C25">
    <cfRule type="cellIs" dxfId="10419" priority="12783" stopIfTrue="1" operator="equal">
      <formula>"Towel"</formula>
    </cfRule>
    <cfRule type="cellIs" dxfId="10418" priority="12784" stopIfTrue="1" operator="equal">
      <formula>"Napkin Hs"</formula>
    </cfRule>
  </conditionalFormatting>
  <conditionalFormatting sqref="B24:C24">
    <cfRule type="cellIs" dxfId="10417" priority="12777" stopIfTrue="1" operator="equal">
      <formula>"Towel"</formula>
    </cfRule>
    <cfRule type="cellIs" dxfId="10416" priority="12778" stopIfTrue="1" operator="equal">
      <formula>"Napkin Hs"</formula>
    </cfRule>
  </conditionalFormatting>
  <conditionalFormatting sqref="C24">
    <cfRule type="cellIs" dxfId="10415" priority="12773" stopIfTrue="1" operator="equal">
      <formula>"Towel"</formula>
    </cfRule>
    <cfRule type="cellIs" dxfId="10414" priority="12774" stopIfTrue="1" operator="equal">
      <formula>"Napkin Hs"</formula>
    </cfRule>
  </conditionalFormatting>
  <conditionalFormatting sqref="C24">
    <cfRule type="cellIs" dxfId="10413" priority="12775" stopIfTrue="1" operator="equal">
      <formula>"Towel"</formula>
    </cfRule>
    <cfRule type="cellIs" dxfId="10412" priority="12776" stopIfTrue="1" operator="equal">
      <formula>"Napkin Hs"</formula>
    </cfRule>
  </conditionalFormatting>
  <conditionalFormatting sqref="B24:C24">
    <cfRule type="cellIs" dxfId="10411" priority="12771" stopIfTrue="1" operator="equal">
      <formula>"Towel"</formula>
    </cfRule>
    <cfRule type="cellIs" dxfId="10410" priority="12772" stopIfTrue="1" operator="equal">
      <formula>"Napkin Hs"</formula>
    </cfRule>
  </conditionalFormatting>
  <conditionalFormatting sqref="C24">
    <cfRule type="cellIs" dxfId="10409" priority="12769" stopIfTrue="1" operator="equal">
      <formula>"Towel"</formula>
    </cfRule>
    <cfRule type="cellIs" dxfId="10408" priority="12770" stopIfTrue="1" operator="equal">
      <formula>"Napkin Hs"</formula>
    </cfRule>
  </conditionalFormatting>
  <conditionalFormatting sqref="C24">
    <cfRule type="cellIs" dxfId="10407" priority="12767" stopIfTrue="1" operator="equal">
      <formula>"Towel"</formula>
    </cfRule>
    <cfRule type="cellIs" dxfId="10406" priority="12768" stopIfTrue="1" operator="equal">
      <formula>"Napkin Hs"</formula>
    </cfRule>
  </conditionalFormatting>
  <conditionalFormatting sqref="C24">
    <cfRule type="cellIs" dxfId="10405" priority="12759" stopIfTrue="1" operator="equal">
      <formula>"Towel"</formula>
    </cfRule>
    <cfRule type="cellIs" dxfId="10404" priority="12760" stopIfTrue="1" operator="equal">
      <formula>"Napkin Hs"</formula>
    </cfRule>
  </conditionalFormatting>
  <conditionalFormatting sqref="B24:C24">
    <cfRule type="cellIs" dxfId="10403" priority="12761" stopIfTrue="1" operator="equal">
      <formula>"Towel"</formula>
    </cfRule>
    <cfRule type="cellIs" dxfId="10402" priority="12762" stopIfTrue="1" operator="equal">
      <formula>"Napkin Hs"</formula>
    </cfRule>
  </conditionalFormatting>
  <conditionalFormatting sqref="C24">
    <cfRule type="cellIs" dxfId="10401" priority="12757" stopIfTrue="1" operator="equal">
      <formula>"Towel"</formula>
    </cfRule>
    <cfRule type="cellIs" dxfId="10400" priority="12758" stopIfTrue="1" operator="equal">
      <formula>"Napkin Hs"</formula>
    </cfRule>
  </conditionalFormatting>
  <conditionalFormatting sqref="B24:C24">
    <cfRule type="cellIs" dxfId="10399" priority="12755" stopIfTrue="1" operator="equal">
      <formula>"Towel"</formula>
    </cfRule>
    <cfRule type="cellIs" dxfId="10398" priority="12756" stopIfTrue="1" operator="equal">
      <formula>"Napkin Hs"</formula>
    </cfRule>
  </conditionalFormatting>
  <conditionalFormatting sqref="C24">
    <cfRule type="cellIs" dxfId="10397" priority="12763" stopIfTrue="1" operator="equal">
      <formula>"Towel"</formula>
    </cfRule>
    <cfRule type="cellIs" dxfId="10396" priority="12764" stopIfTrue="1" operator="equal">
      <formula>"Napkin Hs"</formula>
    </cfRule>
  </conditionalFormatting>
  <conditionalFormatting sqref="C24">
    <cfRule type="cellIs" dxfId="10395" priority="12765" stopIfTrue="1" operator="equal">
      <formula>"Towel"</formula>
    </cfRule>
    <cfRule type="cellIs" dxfId="10394" priority="12766" stopIfTrue="1" operator="equal">
      <formula>"Napkin Hs"</formula>
    </cfRule>
  </conditionalFormatting>
  <conditionalFormatting sqref="B24:C24">
    <cfRule type="cellIs" dxfId="10393" priority="12753" stopIfTrue="1" operator="equal">
      <formula>"Towel"</formula>
    </cfRule>
    <cfRule type="cellIs" dxfId="10392" priority="12754" stopIfTrue="1" operator="equal">
      <formula>"Napkin Hs"</formula>
    </cfRule>
  </conditionalFormatting>
  <conditionalFormatting sqref="C24">
    <cfRule type="cellIs" dxfId="10391" priority="12749" stopIfTrue="1" operator="equal">
      <formula>"Towel"</formula>
    </cfRule>
    <cfRule type="cellIs" dxfId="10390" priority="12750" stopIfTrue="1" operator="equal">
      <formula>"Napkin Hs"</formula>
    </cfRule>
  </conditionalFormatting>
  <conditionalFormatting sqref="C24">
    <cfRule type="cellIs" dxfId="10389" priority="12751" stopIfTrue="1" operator="equal">
      <formula>"Towel"</formula>
    </cfRule>
    <cfRule type="cellIs" dxfId="10388" priority="12752" stopIfTrue="1" operator="equal">
      <formula>"Napkin Hs"</formula>
    </cfRule>
  </conditionalFormatting>
  <conditionalFormatting sqref="B24:C24">
    <cfRule type="cellIs" dxfId="10387" priority="12747" stopIfTrue="1" operator="equal">
      <formula>"Towel"</formula>
    </cfRule>
    <cfRule type="cellIs" dxfId="10386" priority="12748" stopIfTrue="1" operator="equal">
      <formula>"Napkin Hs"</formula>
    </cfRule>
  </conditionalFormatting>
  <conditionalFormatting sqref="C24">
    <cfRule type="cellIs" dxfId="10385" priority="12745" stopIfTrue="1" operator="equal">
      <formula>"Towel"</formula>
    </cfRule>
    <cfRule type="cellIs" dxfId="10384" priority="12746" stopIfTrue="1" operator="equal">
      <formula>"Napkin Hs"</formula>
    </cfRule>
  </conditionalFormatting>
  <conditionalFormatting sqref="C24">
    <cfRule type="cellIs" dxfId="10383" priority="12743" stopIfTrue="1" operator="equal">
      <formula>"Towel"</formula>
    </cfRule>
    <cfRule type="cellIs" dxfId="10382" priority="12744" stopIfTrue="1" operator="equal">
      <formula>"Napkin Hs"</formula>
    </cfRule>
  </conditionalFormatting>
  <conditionalFormatting sqref="C24">
    <cfRule type="cellIs" dxfId="10381" priority="12735" stopIfTrue="1" operator="equal">
      <formula>"Towel"</formula>
    </cfRule>
    <cfRule type="cellIs" dxfId="10380" priority="12736" stopIfTrue="1" operator="equal">
      <formula>"Napkin Hs"</formula>
    </cfRule>
  </conditionalFormatting>
  <conditionalFormatting sqref="B24:C24">
    <cfRule type="cellIs" dxfId="10379" priority="12737" stopIfTrue="1" operator="equal">
      <formula>"Towel"</formula>
    </cfRule>
    <cfRule type="cellIs" dxfId="10378" priority="12738" stopIfTrue="1" operator="equal">
      <formula>"Napkin Hs"</formula>
    </cfRule>
  </conditionalFormatting>
  <conditionalFormatting sqref="C24">
    <cfRule type="cellIs" dxfId="10377" priority="12733" stopIfTrue="1" operator="equal">
      <formula>"Towel"</formula>
    </cfRule>
    <cfRule type="cellIs" dxfId="10376" priority="12734" stopIfTrue="1" operator="equal">
      <formula>"Napkin Hs"</formula>
    </cfRule>
  </conditionalFormatting>
  <conditionalFormatting sqref="B24:C24">
    <cfRule type="cellIs" dxfId="10375" priority="12731" stopIfTrue="1" operator="equal">
      <formula>"Towel"</formula>
    </cfRule>
    <cfRule type="cellIs" dxfId="10374" priority="12732" stopIfTrue="1" operator="equal">
      <formula>"Napkin Hs"</formula>
    </cfRule>
  </conditionalFormatting>
  <conditionalFormatting sqref="C24">
    <cfRule type="cellIs" dxfId="10373" priority="12739" stopIfTrue="1" operator="equal">
      <formula>"Towel"</formula>
    </cfRule>
    <cfRule type="cellIs" dxfId="10372" priority="12740" stopIfTrue="1" operator="equal">
      <formula>"Napkin Hs"</formula>
    </cfRule>
  </conditionalFormatting>
  <conditionalFormatting sqref="C24">
    <cfRule type="cellIs" dxfId="10371" priority="12741" stopIfTrue="1" operator="equal">
      <formula>"Towel"</formula>
    </cfRule>
    <cfRule type="cellIs" dxfId="10370" priority="12742" stopIfTrue="1" operator="equal">
      <formula>"Napkin Hs"</formula>
    </cfRule>
  </conditionalFormatting>
  <conditionalFormatting sqref="C23">
    <cfRule type="cellIs" dxfId="10369" priority="12665" stopIfTrue="1" operator="equal">
      <formula>"Towel"</formula>
    </cfRule>
    <cfRule type="cellIs" dxfId="10368" priority="12666" stopIfTrue="1" operator="equal">
      <formula>"Napkin Hs"</formula>
    </cfRule>
  </conditionalFormatting>
  <conditionalFormatting sqref="B23:C23">
    <cfRule type="cellIs" dxfId="10367" priority="12667" stopIfTrue="1" operator="equal">
      <formula>"Towel"</formula>
    </cfRule>
    <cfRule type="cellIs" dxfId="10366" priority="12668" stopIfTrue="1" operator="equal">
      <formula>"Napkin Hs"</formula>
    </cfRule>
  </conditionalFormatting>
  <conditionalFormatting sqref="B23:C23">
    <cfRule type="cellIs" dxfId="10365" priority="12663" stopIfTrue="1" operator="equal">
      <formula>"Towel"</formula>
    </cfRule>
    <cfRule type="cellIs" dxfId="10364" priority="12664" stopIfTrue="1" operator="equal">
      <formula>"Napkin Hs"</formula>
    </cfRule>
  </conditionalFormatting>
  <conditionalFormatting sqref="C23">
    <cfRule type="cellIs" dxfId="10363" priority="12661" stopIfTrue="1" operator="equal">
      <formula>"Towel"</formula>
    </cfRule>
    <cfRule type="cellIs" dxfId="10362" priority="12662" stopIfTrue="1" operator="equal">
      <formula>"Napkin Hs"</formula>
    </cfRule>
  </conditionalFormatting>
  <conditionalFormatting sqref="C23">
    <cfRule type="cellIs" dxfId="10361" priority="12659" stopIfTrue="1" operator="equal">
      <formula>"Towel"</formula>
    </cfRule>
    <cfRule type="cellIs" dxfId="10360" priority="12660" stopIfTrue="1" operator="equal">
      <formula>"Napkin Hs"</formula>
    </cfRule>
  </conditionalFormatting>
  <conditionalFormatting sqref="B23:C23">
    <cfRule type="cellIs" dxfId="10359" priority="12727" stopIfTrue="1" operator="equal">
      <formula>"Towel"</formula>
    </cfRule>
    <cfRule type="cellIs" dxfId="10358" priority="12728" stopIfTrue="1" operator="equal">
      <formula>"Napkin Hs"</formula>
    </cfRule>
  </conditionalFormatting>
  <conditionalFormatting sqref="C23">
    <cfRule type="cellIs" dxfId="10357" priority="12729" stopIfTrue="1" operator="equal">
      <formula>"Towel"</formula>
    </cfRule>
    <cfRule type="cellIs" dxfId="10356" priority="12730" stopIfTrue="1" operator="equal">
      <formula>"Napkin Hs"</formula>
    </cfRule>
  </conditionalFormatting>
  <conditionalFormatting sqref="C23">
    <cfRule type="cellIs" dxfId="10355" priority="12725" stopIfTrue="1" operator="equal">
      <formula>"Towel"</formula>
    </cfRule>
    <cfRule type="cellIs" dxfId="10354" priority="12726" stopIfTrue="1" operator="equal">
      <formula>"Napkin Hs"</formula>
    </cfRule>
  </conditionalFormatting>
  <conditionalFormatting sqref="B23:C23">
    <cfRule type="cellIs" dxfId="10353" priority="12723" stopIfTrue="1" operator="equal">
      <formula>"Towel"</formula>
    </cfRule>
    <cfRule type="cellIs" dxfId="10352" priority="12724" stopIfTrue="1" operator="equal">
      <formula>"Napkin Hs"</formula>
    </cfRule>
  </conditionalFormatting>
  <conditionalFormatting sqref="C23">
    <cfRule type="cellIs" dxfId="10351" priority="12719" stopIfTrue="1" operator="equal">
      <formula>"Towel"</formula>
    </cfRule>
    <cfRule type="cellIs" dxfId="10350" priority="12720" stopIfTrue="1" operator="equal">
      <formula>"Napkin Hs"</formula>
    </cfRule>
  </conditionalFormatting>
  <conditionalFormatting sqref="C23">
    <cfRule type="cellIs" dxfId="10349" priority="12721" stopIfTrue="1" operator="equal">
      <formula>"Towel"</formula>
    </cfRule>
    <cfRule type="cellIs" dxfId="10348" priority="12722" stopIfTrue="1" operator="equal">
      <formula>"Napkin Hs"</formula>
    </cfRule>
  </conditionalFormatting>
  <conditionalFormatting sqref="B24:C24">
    <cfRule type="cellIs" dxfId="10347" priority="12717" stopIfTrue="1" operator="equal">
      <formula>"Towel"</formula>
    </cfRule>
    <cfRule type="cellIs" dxfId="10346" priority="12718" stopIfTrue="1" operator="equal">
      <formula>"Napkin Hs"</formula>
    </cfRule>
  </conditionalFormatting>
  <conditionalFormatting sqref="C24">
    <cfRule type="cellIs" dxfId="10345" priority="12713" stopIfTrue="1" operator="equal">
      <formula>"Towel"</formula>
    </cfRule>
    <cfRule type="cellIs" dxfId="10344" priority="12714" stopIfTrue="1" operator="equal">
      <formula>"Napkin Hs"</formula>
    </cfRule>
  </conditionalFormatting>
  <conditionalFormatting sqref="C24">
    <cfRule type="cellIs" dxfId="10343" priority="12715" stopIfTrue="1" operator="equal">
      <formula>"Towel"</formula>
    </cfRule>
    <cfRule type="cellIs" dxfId="10342" priority="12716" stopIfTrue="1" operator="equal">
      <formula>"Napkin Hs"</formula>
    </cfRule>
  </conditionalFormatting>
  <conditionalFormatting sqref="B24:C24">
    <cfRule type="cellIs" dxfId="10341" priority="12711" stopIfTrue="1" operator="equal">
      <formula>"Towel"</formula>
    </cfRule>
    <cfRule type="cellIs" dxfId="10340" priority="12712" stopIfTrue="1" operator="equal">
      <formula>"Napkin Hs"</formula>
    </cfRule>
  </conditionalFormatting>
  <conditionalFormatting sqref="C24">
    <cfRule type="cellIs" dxfId="10339" priority="12709" stopIfTrue="1" operator="equal">
      <formula>"Towel"</formula>
    </cfRule>
    <cfRule type="cellIs" dxfId="10338" priority="12710" stopIfTrue="1" operator="equal">
      <formula>"Napkin Hs"</formula>
    </cfRule>
  </conditionalFormatting>
  <conditionalFormatting sqref="C24">
    <cfRule type="cellIs" dxfId="10337" priority="12707" stopIfTrue="1" operator="equal">
      <formula>"Towel"</formula>
    </cfRule>
    <cfRule type="cellIs" dxfId="10336" priority="12708" stopIfTrue="1" operator="equal">
      <formula>"Napkin Hs"</formula>
    </cfRule>
  </conditionalFormatting>
  <conditionalFormatting sqref="C24">
    <cfRule type="cellIs" dxfId="10335" priority="12699" stopIfTrue="1" operator="equal">
      <formula>"Towel"</formula>
    </cfRule>
    <cfRule type="cellIs" dxfId="10334" priority="12700" stopIfTrue="1" operator="equal">
      <formula>"Napkin Hs"</formula>
    </cfRule>
  </conditionalFormatting>
  <conditionalFormatting sqref="B24:C24">
    <cfRule type="cellIs" dxfId="10333" priority="12701" stopIfTrue="1" operator="equal">
      <formula>"Towel"</formula>
    </cfRule>
    <cfRule type="cellIs" dxfId="10332" priority="12702" stopIfTrue="1" operator="equal">
      <formula>"Napkin Hs"</formula>
    </cfRule>
  </conditionalFormatting>
  <conditionalFormatting sqref="C24">
    <cfRule type="cellIs" dxfId="10331" priority="12697" stopIfTrue="1" operator="equal">
      <formula>"Towel"</formula>
    </cfRule>
    <cfRule type="cellIs" dxfId="10330" priority="12698" stopIfTrue="1" operator="equal">
      <formula>"Napkin Hs"</formula>
    </cfRule>
  </conditionalFormatting>
  <conditionalFormatting sqref="B24:C24">
    <cfRule type="cellIs" dxfId="10329" priority="12695" stopIfTrue="1" operator="equal">
      <formula>"Towel"</formula>
    </cfRule>
    <cfRule type="cellIs" dxfId="10328" priority="12696" stopIfTrue="1" operator="equal">
      <formula>"Napkin Hs"</formula>
    </cfRule>
  </conditionalFormatting>
  <conditionalFormatting sqref="C24">
    <cfRule type="cellIs" dxfId="10327" priority="12703" stopIfTrue="1" operator="equal">
      <formula>"Towel"</formula>
    </cfRule>
    <cfRule type="cellIs" dxfId="10326" priority="12704" stopIfTrue="1" operator="equal">
      <formula>"Napkin Hs"</formula>
    </cfRule>
  </conditionalFormatting>
  <conditionalFormatting sqref="C24">
    <cfRule type="cellIs" dxfId="10325" priority="12705" stopIfTrue="1" operator="equal">
      <formula>"Towel"</formula>
    </cfRule>
    <cfRule type="cellIs" dxfId="10324" priority="12706" stopIfTrue="1" operator="equal">
      <formula>"Napkin Hs"</formula>
    </cfRule>
  </conditionalFormatting>
  <conditionalFormatting sqref="B24:C24">
    <cfRule type="cellIs" dxfId="10323" priority="12693" stopIfTrue="1" operator="equal">
      <formula>"Towel"</formula>
    </cfRule>
    <cfRule type="cellIs" dxfId="10322" priority="12694" stopIfTrue="1" operator="equal">
      <formula>"Napkin Hs"</formula>
    </cfRule>
  </conditionalFormatting>
  <conditionalFormatting sqref="C24">
    <cfRule type="cellIs" dxfId="10321" priority="12689" stopIfTrue="1" operator="equal">
      <formula>"Towel"</formula>
    </cfRule>
    <cfRule type="cellIs" dxfId="10320" priority="12690" stopIfTrue="1" operator="equal">
      <formula>"Napkin Hs"</formula>
    </cfRule>
  </conditionalFormatting>
  <conditionalFormatting sqref="C24">
    <cfRule type="cellIs" dxfId="10319" priority="12691" stopIfTrue="1" operator="equal">
      <formula>"Towel"</formula>
    </cfRule>
    <cfRule type="cellIs" dxfId="10318" priority="12692" stopIfTrue="1" operator="equal">
      <formula>"Napkin Hs"</formula>
    </cfRule>
  </conditionalFormatting>
  <conditionalFormatting sqref="B24:C24">
    <cfRule type="cellIs" dxfId="10317" priority="12687" stopIfTrue="1" operator="equal">
      <formula>"Towel"</formula>
    </cfRule>
    <cfRule type="cellIs" dxfId="10316" priority="12688" stopIfTrue="1" operator="equal">
      <formula>"Napkin Hs"</formula>
    </cfRule>
  </conditionalFormatting>
  <conditionalFormatting sqref="C24">
    <cfRule type="cellIs" dxfId="10315" priority="12685" stopIfTrue="1" operator="equal">
      <formula>"Towel"</formula>
    </cfRule>
    <cfRule type="cellIs" dxfId="10314" priority="12686" stopIfTrue="1" operator="equal">
      <formula>"Napkin Hs"</formula>
    </cfRule>
  </conditionalFormatting>
  <conditionalFormatting sqref="C24">
    <cfRule type="cellIs" dxfId="10313" priority="12683" stopIfTrue="1" operator="equal">
      <formula>"Towel"</formula>
    </cfRule>
    <cfRule type="cellIs" dxfId="10312" priority="12684" stopIfTrue="1" operator="equal">
      <formula>"Napkin Hs"</formula>
    </cfRule>
  </conditionalFormatting>
  <conditionalFormatting sqref="C24">
    <cfRule type="cellIs" dxfId="10311" priority="12675" stopIfTrue="1" operator="equal">
      <formula>"Towel"</formula>
    </cfRule>
    <cfRule type="cellIs" dxfId="10310" priority="12676" stopIfTrue="1" operator="equal">
      <formula>"Napkin Hs"</formula>
    </cfRule>
  </conditionalFormatting>
  <conditionalFormatting sqref="B24:C24">
    <cfRule type="cellIs" dxfId="10309" priority="12677" stopIfTrue="1" operator="equal">
      <formula>"Towel"</formula>
    </cfRule>
    <cfRule type="cellIs" dxfId="10308" priority="12678" stopIfTrue="1" operator="equal">
      <formula>"Napkin Hs"</formula>
    </cfRule>
  </conditionalFormatting>
  <conditionalFormatting sqref="C24">
    <cfRule type="cellIs" dxfId="10307" priority="12673" stopIfTrue="1" operator="equal">
      <formula>"Towel"</formula>
    </cfRule>
    <cfRule type="cellIs" dxfId="10306" priority="12674" stopIfTrue="1" operator="equal">
      <formula>"Napkin Hs"</formula>
    </cfRule>
  </conditionalFormatting>
  <conditionalFormatting sqref="B24:C24">
    <cfRule type="cellIs" dxfId="10305" priority="12671" stopIfTrue="1" operator="equal">
      <formula>"Towel"</formula>
    </cfRule>
    <cfRule type="cellIs" dxfId="10304" priority="12672" stopIfTrue="1" operator="equal">
      <formula>"Napkin Hs"</formula>
    </cfRule>
  </conditionalFormatting>
  <conditionalFormatting sqref="C24">
    <cfRule type="cellIs" dxfId="10303" priority="12679" stopIfTrue="1" operator="equal">
      <formula>"Towel"</formula>
    </cfRule>
    <cfRule type="cellIs" dxfId="10302" priority="12680" stopIfTrue="1" operator="equal">
      <formula>"Napkin Hs"</formula>
    </cfRule>
  </conditionalFormatting>
  <conditionalFormatting sqref="C24">
    <cfRule type="cellIs" dxfId="10301" priority="12681" stopIfTrue="1" operator="equal">
      <formula>"Towel"</formula>
    </cfRule>
    <cfRule type="cellIs" dxfId="10300" priority="12682" stopIfTrue="1" operator="equal">
      <formula>"Napkin Hs"</formula>
    </cfRule>
  </conditionalFormatting>
  <conditionalFormatting sqref="C22">
    <cfRule type="cellIs" dxfId="10299" priority="12605" stopIfTrue="1" operator="equal">
      <formula>"Towel"</formula>
    </cfRule>
    <cfRule type="cellIs" dxfId="10298" priority="12606" stopIfTrue="1" operator="equal">
      <formula>"Napkin Hs"</formula>
    </cfRule>
  </conditionalFormatting>
  <conditionalFormatting sqref="C22">
    <cfRule type="cellIs" dxfId="10297" priority="12607" stopIfTrue="1" operator="equal">
      <formula>"Towel"</formula>
    </cfRule>
    <cfRule type="cellIs" dxfId="10296" priority="12608" stopIfTrue="1" operator="equal">
      <formula>"Napkin Hs"</formula>
    </cfRule>
  </conditionalFormatting>
  <conditionalFormatting sqref="B22:C22">
    <cfRule type="cellIs" dxfId="10295" priority="12603" stopIfTrue="1" operator="equal">
      <formula>"Towel"</formula>
    </cfRule>
    <cfRule type="cellIs" dxfId="10294" priority="12604" stopIfTrue="1" operator="equal">
      <formula>"Napkin Hs"</formula>
    </cfRule>
  </conditionalFormatting>
  <conditionalFormatting sqref="C22">
    <cfRule type="cellIs" dxfId="10293" priority="12601" stopIfTrue="1" operator="equal">
      <formula>"Towel"</formula>
    </cfRule>
    <cfRule type="cellIs" dxfId="10292" priority="12602" stopIfTrue="1" operator="equal">
      <formula>"Napkin Hs"</formula>
    </cfRule>
  </conditionalFormatting>
  <conditionalFormatting sqref="B22:C22">
    <cfRule type="cellIs" dxfId="10291" priority="12597" stopIfTrue="1" operator="equal">
      <formula>"Towel"</formula>
    </cfRule>
    <cfRule type="cellIs" dxfId="10290" priority="12598" stopIfTrue="1" operator="equal">
      <formula>"Napkin Hs"</formula>
    </cfRule>
  </conditionalFormatting>
  <conditionalFormatting sqref="C22">
    <cfRule type="cellIs" dxfId="10289" priority="12599" stopIfTrue="1" operator="equal">
      <formula>"Towel"</formula>
    </cfRule>
    <cfRule type="cellIs" dxfId="10288" priority="12600" stopIfTrue="1" operator="equal">
      <formula>"Napkin Hs"</formula>
    </cfRule>
  </conditionalFormatting>
  <conditionalFormatting sqref="C23">
    <cfRule type="cellIs" dxfId="10287" priority="12669" stopIfTrue="1" operator="equal">
      <formula>"Towel"</formula>
    </cfRule>
    <cfRule type="cellIs" dxfId="10286" priority="12670" stopIfTrue="1" operator="equal">
      <formula>"Napkin Hs"</formula>
    </cfRule>
  </conditionalFormatting>
  <conditionalFormatting sqref="B22:C22">
    <cfRule type="cellIs" dxfId="10285" priority="12657" stopIfTrue="1" operator="equal">
      <formula>"Towel"</formula>
    </cfRule>
    <cfRule type="cellIs" dxfId="10284" priority="12658" stopIfTrue="1" operator="equal">
      <formula>"Napkin Hs"</formula>
    </cfRule>
  </conditionalFormatting>
  <conditionalFormatting sqref="C22">
    <cfRule type="cellIs" dxfId="10283" priority="12653" stopIfTrue="1" operator="equal">
      <formula>"Towel"</formula>
    </cfRule>
    <cfRule type="cellIs" dxfId="10282" priority="12654" stopIfTrue="1" operator="equal">
      <formula>"Napkin Hs"</formula>
    </cfRule>
  </conditionalFormatting>
  <conditionalFormatting sqref="C22">
    <cfRule type="cellIs" dxfId="10281" priority="12656" stopIfTrue="1" operator="equal">
      <formula>"Napkin Hs"</formula>
    </cfRule>
  </conditionalFormatting>
  <conditionalFormatting sqref="C22">
    <cfRule type="cellIs" dxfId="10280" priority="12655" stopIfTrue="1" operator="equal">
      <formula>"Towel"</formula>
    </cfRule>
  </conditionalFormatting>
  <conditionalFormatting sqref="C22">
    <cfRule type="cellIs" dxfId="10279" priority="12647" stopIfTrue="1" operator="equal">
      <formula>"Towel"</formula>
    </cfRule>
    <cfRule type="cellIs" dxfId="10278" priority="12648" stopIfTrue="1" operator="equal">
      <formula>"Napkin Hs"</formula>
    </cfRule>
  </conditionalFormatting>
  <conditionalFormatting sqref="C22">
    <cfRule type="cellIs" dxfId="10277" priority="12651" stopIfTrue="1" operator="equal">
      <formula>"Towel"</formula>
    </cfRule>
    <cfRule type="cellIs" dxfId="10276" priority="12652" stopIfTrue="1" operator="equal">
      <formula>"Napkin Hs"</formula>
    </cfRule>
  </conditionalFormatting>
  <conditionalFormatting sqref="B22">
    <cfRule type="cellIs" dxfId="10275" priority="12637" stopIfTrue="1" operator="equal">
      <formula>"Towel"</formula>
    </cfRule>
    <cfRule type="cellIs" dxfId="10274" priority="12638" stopIfTrue="1" operator="equal">
      <formula>"Napkin Hs"</formula>
    </cfRule>
  </conditionalFormatting>
  <conditionalFormatting sqref="C22">
    <cfRule type="cellIs" dxfId="10273" priority="12649" stopIfTrue="1" operator="equal">
      <formula>"Towel"</formula>
    </cfRule>
    <cfRule type="cellIs" dxfId="10272" priority="12650" stopIfTrue="1" operator="equal">
      <formula>"Napkin Hs"</formula>
    </cfRule>
  </conditionalFormatting>
  <conditionalFormatting sqref="C22">
    <cfRule type="cellIs" dxfId="10271" priority="12641" stopIfTrue="1" operator="equal">
      <formula>"Towel"</formula>
    </cfRule>
    <cfRule type="cellIs" dxfId="10270" priority="12642" stopIfTrue="1" operator="equal">
      <formula>"Napkin Hs"</formula>
    </cfRule>
  </conditionalFormatting>
  <conditionalFormatting sqref="C22">
    <cfRule type="cellIs" dxfId="10269" priority="12643" stopIfTrue="1" operator="equal">
      <formula>"Towel"</formula>
    </cfRule>
    <cfRule type="cellIs" dxfId="10268" priority="12644" stopIfTrue="1" operator="equal">
      <formula>"Napkin Hs"</formula>
    </cfRule>
  </conditionalFormatting>
  <conditionalFormatting sqref="C22">
    <cfRule type="cellIs" dxfId="10267" priority="12645" stopIfTrue="1" operator="equal">
      <formula>"Towel"</formula>
    </cfRule>
    <cfRule type="cellIs" dxfId="10266" priority="12646" stopIfTrue="1" operator="equal">
      <formula>"Napkin Hs"</formula>
    </cfRule>
  </conditionalFormatting>
  <conditionalFormatting sqref="B22">
    <cfRule type="cellIs" dxfId="10265" priority="12639" stopIfTrue="1" operator="equal">
      <formula>"Towel"</formula>
    </cfRule>
    <cfRule type="cellIs" dxfId="10264" priority="12640" stopIfTrue="1" operator="equal">
      <formula>"Napkin Hs"</formula>
    </cfRule>
  </conditionalFormatting>
  <conditionalFormatting sqref="C22">
    <cfRule type="cellIs" dxfId="10263" priority="12631" stopIfTrue="1" operator="equal">
      <formula>"Towel"</formula>
    </cfRule>
    <cfRule type="cellIs" dxfId="10262" priority="12632" stopIfTrue="1" operator="equal">
      <formula>"Napkin Hs"</formula>
    </cfRule>
  </conditionalFormatting>
  <conditionalFormatting sqref="C22">
    <cfRule type="cellIs" dxfId="10261" priority="12635" stopIfTrue="1" operator="equal">
      <formula>"Towel"</formula>
    </cfRule>
    <cfRule type="cellIs" dxfId="10260" priority="12636" stopIfTrue="1" operator="equal">
      <formula>"Napkin Hs"</formula>
    </cfRule>
  </conditionalFormatting>
  <conditionalFormatting sqref="B22">
    <cfRule type="cellIs" dxfId="10259" priority="12621" stopIfTrue="1" operator="equal">
      <formula>"Towel"</formula>
    </cfRule>
    <cfRule type="cellIs" dxfId="10258" priority="12622" stopIfTrue="1" operator="equal">
      <formula>"Napkin Hs"</formula>
    </cfRule>
  </conditionalFormatting>
  <conditionalFormatting sqref="C22">
    <cfRule type="cellIs" dxfId="10257" priority="12633" stopIfTrue="1" operator="equal">
      <formula>"Towel"</formula>
    </cfRule>
    <cfRule type="cellIs" dxfId="10256" priority="12634" stopIfTrue="1" operator="equal">
      <formula>"Napkin Hs"</formula>
    </cfRule>
  </conditionalFormatting>
  <conditionalFormatting sqref="C22">
    <cfRule type="cellIs" dxfId="10255" priority="12625" stopIfTrue="1" operator="equal">
      <formula>"Towel"</formula>
    </cfRule>
    <cfRule type="cellIs" dxfId="10254" priority="12626" stopIfTrue="1" operator="equal">
      <formula>"Napkin Hs"</formula>
    </cfRule>
  </conditionalFormatting>
  <conditionalFormatting sqref="C22">
    <cfRule type="cellIs" dxfId="10253" priority="12627" stopIfTrue="1" operator="equal">
      <formula>"Towel"</formula>
    </cfRule>
    <cfRule type="cellIs" dxfId="10252" priority="12628" stopIfTrue="1" operator="equal">
      <formula>"Napkin Hs"</formula>
    </cfRule>
  </conditionalFormatting>
  <conditionalFormatting sqref="C22">
    <cfRule type="cellIs" dxfId="10251" priority="12629" stopIfTrue="1" operator="equal">
      <formula>"Towel"</formula>
    </cfRule>
    <cfRule type="cellIs" dxfId="10250" priority="12630" stopIfTrue="1" operator="equal">
      <formula>"Napkin Hs"</formula>
    </cfRule>
  </conditionalFormatting>
  <conditionalFormatting sqref="B22">
    <cfRule type="cellIs" dxfId="10249" priority="12623" stopIfTrue="1" operator="equal">
      <formula>"Towel"</formula>
    </cfRule>
    <cfRule type="cellIs" dxfId="10248" priority="12624" stopIfTrue="1" operator="equal">
      <formula>"Napkin Hs"</formula>
    </cfRule>
  </conditionalFormatting>
  <conditionalFormatting sqref="B22:C22">
    <cfRule type="cellIs" dxfId="10247" priority="12619" stopIfTrue="1" operator="equal">
      <formula>"Towel"</formula>
    </cfRule>
    <cfRule type="cellIs" dxfId="10246" priority="12620" stopIfTrue="1" operator="equal">
      <formula>"Napkin Hs"</formula>
    </cfRule>
  </conditionalFormatting>
  <conditionalFormatting sqref="C22">
    <cfRule type="cellIs" dxfId="10245" priority="12615" stopIfTrue="1" operator="equal">
      <formula>"Towel"</formula>
    </cfRule>
    <cfRule type="cellIs" dxfId="10244" priority="12616" stopIfTrue="1" operator="equal">
      <formula>"Napkin Hs"</formula>
    </cfRule>
  </conditionalFormatting>
  <conditionalFormatting sqref="C22">
    <cfRule type="cellIs" dxfId="10243" priority="12617" stopIfTrue="1" operator="equal">
      <formula>"Towel"</formula>
    </cfRule>
    <cfRule type="cellIs" dxfId="10242" priority="12618" stopIfTrue="1" operator="equal">
      <formula>"Napkin Hs"</formula>
    </cfRule>
  </conditionalFormatting>
  <conditionalFormatting sqref="B22:C22">
    <cfRule type="cellIs" dxfId="10241" priority="12613" stopIfTrue="1" operator="equal">
      <formula>"Towel"</formula>
    </cfRule>
    <cfRule type="cellIs" dxfId="10240" priority="12614" stopIfTrue="1" operator="equal">
      <formula>"Napkin Hs"</formula>
    </cfRule>
  </conditionalFormatting>
  <conditionalFormatting sqref="C22">
    <cfRule type="cellIs" dxfId="10239" priority="12611" stopIfTrue="1" operator="equal">
      <formula>"Towel"</formula>
    </cfRule>
    <cfRule type="cellIs" dxfId="10238" priority="12612" stopIfTrue="1" operator="equal">
      <formula>"Napkin Hs"</formula>
    </cfRule>
  </conditionalFormatting>
  <conditionalFormatting sqref="C22">
    <cfRule type="cellIs" dxfId="10237" priority="12609" stopIfTrue="1" operator="equal">
      <formula>"Towel"</formula>
    </cfRule>
    <cfRule type="cellIs" dxfId="10236" priority="12610" stopIfTrue="1" operator="equal">
      <formula>"Napkin Hs"</formula>
    </cfRule>
  </conditionalFormatting>
  <conditionalFormatting sqref="B22:C22">
    <cfRule type="cellIs" dxfId="10235" priority="12593" stopIfTrue="1" operator="equal">
      <formula>"Towel"</formula>
    </cfRule>
    <cfRule type="cellIs" dxfId="10234" priority="12594" stopIfTrue="1" operator="equal">
      <formula>"Napkin Hs"</formula>
    </cfRule>
  </conditionalFormatting>
  <conditionalFormatting sqref="C22">
    <cfRule type="cellIs" dxfId="10233" priority="12595" stopIfTrue="1" operator="equal">
      <formula>"Towel"</formula>
    </cfRule>
    <cfRule type="cellIs" dxfId="10232" priority="12596" stopIfTrue="1" operator="equal">
      <formula>"Napkin Hs"</formula>
    </cfRule>
  </conditionalFormatting>
  <conditionalFormatting sqref="C22">
    <cfRule type="cellIs" dxfId="10231" priority="12591" stopIfTrue="1" operator="equal">
      <formula>"Towel"</formula>
    </cfRule>
    <cfRule type="cellIs" dxfId="10230" priority="12592" stopIfTrue="1" operator="equal">
      <formula>"Napkin Hs"</formula>
    </cfRule>
  </conditionalFormatting>
  <conditionalFormatting sqref="B22:C22">
    <cfRule type="cellIs" dxfId="10229" priority="12589" stopIfTrue="1" operator="equal">
      <formula>"Towel"</formula>
    </cfRule>
    <cfRule type="cellIs" dxfId="10228" priority="12590" stopIfTrue="1" operator="equal">
      <formula>"Napkin Hs"</formula>
    </cfRule>
  </conditionalFormatting>
  <conditionalFormatting sqref="C22">
    <cfRule type="cellIs" dxfId="10227" priority="12585" stopIfTrue="1" operator="equal">
      <formula>"Towel"</formula>
    </cfRule>
    <cfRule type="cellIs" dxfId="10226" priority="12586" stopIfTrue="1" operator="equal">
      <formula>"Napkin Hs"</formula>
    </cfRule>
  </conditionalFormatting>
  <conditionalFormatting sqref="C22">
    <cfRule type="cellIs" dxfId="10225" priority="12587" stopIfTrue="1" operator="equal">
      <formula>"Towel"</formula>
    </cfRule>
    <cfRule type="cellIs" dxfId="10224" priority="12588" stopIfTrue="1" operator="equal">
      <formula>"Napkin Hs"</formula>
    </cfRule>
  </conditionalFormatting>
  <conditionalFormatting sqref="B22:C22">
    <cfRule type="cellIs" dxfId="10223" priority="12581" stopIfTrue="1" operator="equal">
      <formula>"Towel"</formula>
    </cfRule>
    <cfRule type="cellIs" dxfId="10222" priority="12582" stopIfTrue="1" operator="equal">
      <formula>"Napkin Hs"</formula>
    </cfRule>
  </conditionalFormatting>
  <conditionalFormatting sqref="C22">
    <cfRule type="cellIs" dxfId="10221" priority="12583" stopIfTrue="1" operator="equal">
      <formula>"Towel"</formula>
    </cfRule>
    <cfRule type="cellIs" dxfId="10220" priority="12584" stopIfTrue="1" operator="equal">
      <formula>"Napkin Hs"</formula>
    </cfRule>
  </conditionalFormatting>
  <conditionalFormatting sqref="C22">
    <cfRule type="cellIs" dxfId="10219" priority="12579" stopIfTrue="1" operator="equal">
      <formula>"Towel"</formula>
    </cfRule>
    <cfRule type="cellIs" dxfId="10218" priority="12580" stopIfTrue="1" operator="equal">
      <formula>"Napkin Hs"</formula>
    </cfRule>
  </conditionalFormatting>
  <conditionalFormatting sqref="B22:C22">
    <cfRule type="cellIs" dxfId="10217" priority="12577" stopIfTrue="1" operator="equal">
      <formula>"Towel"</formula>
    </cfRule>
    <cfRule type="cellIs" dxfId="10216" priority="12578" stopIfTrue="1" operator="equal">
      <formula>"Napkin Hs"</formula>
    </cfRule>
  </conditionalFormatting>
  <conditionalFormatting sqref="C22">
    <cfRule type="cellIs" dxfId="10215" priority="12573" stopIfTrue="1" operator="equal">
      <formula>"Towel"</formula>
    </cfRule>
    <cfRule type="cellIs" dxfId="10214" priority="12574" stopIfTrue="1" operator="equal">
      <formula>"Napkin Hs"</formula>
    </cfRule>
  </conditionalFormatting>
  <conditionalFormatting sqref="C22">
    <cfRule type="cellIs" dxfId="10213" priority="12575" stopIfTrue="1" operator="equal">
      <formula>"Towel"</formula>
    </cfRule>
    <cfRule type="cellIs" dxfId="10212" priority="12576" stopIfTrue="1" operator="equal">
      <formula>"Napkin Hs"</formula>
    </cfRule>
  </conditionalFormatting>
  <conditionalFormatting sqref="C21">
    <cfRule type="cellIs" dxfId="10211" priority="12519" stopIfTrue="1" operator="equal">
      <formula>"Towel"</formula>
    </cfRule>
    <cfRule type="cellIs" dxfId="10210" priority="12520" stopIfTrue="1" operator="equal">
      <formula>"Napkin Hs"</formula>
    </cfRule>
  </conditionalFormatting>
  <conditionalFormatting sqref="C21">
    <cfRule type="cellIs" dxfId="10209" priority="12521" stopIfTrue="1" operator="equal">
      <formula>"Towel"</formula>
    </cfRule>
    <cfRule type="cellIs" dxfId="10208" priority="12522" stopIfTrue="1" operator="equal">
      <formula>"Napkin Hs"</formula>
    </cfRule>
  </conditionalFormatting>
  <conditionalFormatting sqref="B21:C21">
    <cfRule type="cellIs" dxfId="10207" priority="12517" stopIfTrue="1" operator="equal">
      <formula>"Towel"</formula>
    </cfRule>
    <cfRule type="cellIs" dxfId="10206" priority="12518" stopIfTrue="1" operator="equal">
      <formula>"Napkin Hs"</formula>
    </cfRule>
  </conditionalFormatting>
  <conditionalFormatting sqref="C21">
    <cfRule type="cellIs" dxfId="10205" priority="12515" stopIfTrue="1" operator="equal">
      <formula>"Towel"</formula>
    </cfRule>
    <cfRule type="cellIs" dxfId="10204" priority="12516" stopIfTrue="1" operator="equal">
      <formula>"Napkin Hs"</formula>
    </cfRule>
  </conditionalFormatting>
  <conditionalFormatting sqref="B21:C21">
    <cfRule type="cellIs" dxfId="10203" priority="12511" stopIfTrue="1" operator="equal">
      <formula>"Towel"</formula>
    </cfRule>
    <cfRule type="cellIs" dxfId="10202" priority="12512" stopIfTrue="1" operator="equal">
      <formula>"Napkin Hs"</formula>
    </cfRule>
  </conditionalFormatting>
  <conditionalFormatting sqref="C21">
    <cfRule type="cellIs" dxfId="10201" priority="12513" stopIfTrue="1" operator="equal">
      <formula>"Towel"</formula>
    </cfRule>
    <cfRule type="cellIs" dxfId="10200" priority="12514" stopIfTrue="1" operator="equal">
      <formula>"Napkin Hs"</formula>
    </cfRule>
  </conditionalFormatting>
  <conditionalFormatting sqref="B21:C21">
    <cfRule type="cellIs" dxfId="10199" priority="12571" stopIfTrue="1" operator="equal">
      <formula>"Towel"</formula>
    </cfRule>
    <cfRule type="cellIs" dxfId="10198" priority="12572" stopIfTrue="1" operator="equal">
      <formula>"Napkin Hs"</formula>
    </cfRule>
  </conditionalFormatting>
  <conditionalFormatting sqref="C21">
    <cfRule type="cellIs" dxfId="10197" priority="12567" stopIfTrue="1" operator="equal">
      <formula>"Towel"</formula>
    </cfRule>
    <cfRule type="cellIs" dxfId="10196" priority="12568" stopIfTrue="1" operator="equal">
      <formula>"Napkin Hs"</formula>
    </cfRule>
  </conditionalFormatting>
  <conditionalFormatting sqref="C21">
    <cfRule type="cellIs" dxfId="10195" priority="12570" stopIfTrue="1" operator="equal">
      <formula>"Napkin Hs"</formula>
    </cfRule>
  </conditionalFormatting>
  <conditionalFormatting sqref="C21">
    <cfRule type="cellIs" dxfId="10194" priority="12569" stopIfTrue="1" operator="equal">
      <formula>"Towel"</formula>
    </cfRule>
  </conditionalFormatting>
  <conditionalFormatting sqref="C21">
    <cfRule type="cellIs" dxfId="10193" priority="12561" stopIfTrue="1" operator="equal">
      <formula>"Towel"</formula>
    </cfRule>
    <cfRule type="cellIs" dxfId="10192" priority="12562" stopIfTrue="1" operator="equal">
      <formula>"Napkin Hs"</formula>
    </cfRule>
  </conditionalFormatting>
  <conditionalFormatting sqref="C21">
    <cfRule type="cellIs" dxfId="10191" priority="12565" stopIfTrue="1" operator="equal">
      <formula>"Towel"</formula>
    </cfRule>
    <cfRule type="cellIs" dxfId="10190" priority="12566" stopIfTrue="1" operator="equal">
      <formula>"Napkin Hs"</formula>
    </cfRule>
  </conditionalFormatting>
  <conditionalFormatting sqref="B21">
    <cfRule type="cellIs" dxfId="10189" priority="12551" stopIfTrue="1" operator="equal">
      <formula>"Towel"</formula>
    </cfRule>
    <cfRule type="cellIs" dxfId="10188" priority="12552" stopIfTrue="1" operator="equal">
      <formula>"Napkin Hs"</formula>
    </cfRule>
  </conditionalFormatting>
  <conditionalFormatting sqref="C21">
    <cfRule type="cellIs" dxfId="10187" priority="12563" stopIfTrue="1" operator="equal">
      <formula>"Towel"</formula>
    </cfRule>
    <cfRule type="cellIs" dxfId="10186" priority="12564" stopIfTrue="1" operator="equal">
      <formula>"Napkin Hs"</formula>
    </cfRule>
  </conditionalFormatting>
  <conditionalFormatting sqref="C21">
    <cfRule type="cellIs" dxfId="10185" priority="12555" stopIfTrue="1" operator="equal">
      <formula>"Towel"</formula>
    </cfRule>
    <cfRule type="cellIs" dxfId="10184" priority="12556" stopIfTrue="1" operator="equal">
      <formula>"Napkin Hs"</formula>
    </cfRule>
  </conditionalFormatting>
  <conditionalFormatting sqref="C21">
    <cfRule type="cellIs" dxfId="10183" priority="12557" stopIfTrue="1" operator="equal">
      <formula>"Towel"</formula>
    </cfRule>
    <cfRule type="cellIs" dxfId="10182" priority="12558" stopIfTrue="1" operator="equal">
      <formula>"Napkin Hs"</formula>
    </cfRule>
  </conditionalFormatting>
  <conditionalFormatting sqref="C21">
    <cfRule type="cellIs" dxfId="10181" priority="12559" stopIfTrue="1" operator="equal">
      <formula>"Towel"</formula>
    </cfRule>
    <cfRule type="cellIs" dxfId="10180" priority="12560" stopIfTrue="1" operator="equal">
      <formula>"Napkin Hs"</formula>
    </cfRule>
  </conditionalFormatting>
  <conditionalFormatting sqref="B21">
    <cfRule type="cellIs" dxfId="10179" priority="12553" stopIfTrue="1" operator="equal">
      <formula>"Towel"</formula>
    </cfRule>
    <cfRule type="cellIs" dxfId="10178" priority="12554" stopIfTrue="1" operator="equal">
      <formula>"Napkin Hs"</formula>
    </cfRule>
  </conditionalFormatting>
  <conditionalFormatting sqref="C21">
    <cfRule type="cellIs" dxfId="10177" priority="12545" stopIfTrue="1" operator="equal">
      <formula>"Towel"</formula>
    </cfRule>
    <cfRule type="cellIs" dxfId="10176" priority="12546" stopIfTrue="1" operator="equal">
      <formula>"Napkin Hs"</formula>
    </cfRule>
  </conditionalFormatting>
  <conditionalFormatting sqref="C21">
    <cfRule type="cellIs" dxfId="10175" priority="12549" stopIfTrue="1" operator="equal">
      <formula>"Towel"</formula>
    </cfRule>
    <cfRule type="cellIs" dxfId="10174" priority="12550" stopIfTrue="1" operator="equal">
      <formula>"Napkin Hs"</formula>
    </cfRule>
  </conditionalFormatting>
  <conditionalFormatting sqref="B21">
    <cfRule type="cellIs" dxfId="10173" priority="12535" stopIfTrue="1" operator="equal">
      <formula>"Towel"</formula>
    </cfRule>
    <cfRule type="cellIs" dxfId="10172" priority="12536" stopIfTrue="1" operator="equal">
      <formula>"Napkin Hs"</formula>
    </cfRule>
  </conditionalFormatting>
  <conditionalFormatting sqref="C21">
    <cfRule type="cellIs" dxfId="10171" priority="12547" stopIfTrue="1" operator="equal">
      <formula>"Towel"</formula>
    </cfRule>
    <cfRule type="cellIs" dxfId="10170" priority="12548" stopIfTrue="1" operator="equal">
      <formula>"Napkin Hs"</formula>
    </cfRule>
  </conditionalFormatting>
  <conditionalFormatting sqref="C21">
    <cfRule type="cellIs" dxfId="10169" priority="12539" stopIfTrue="1" operator="equal">
      <formula>"Towel"</formula>
    </cfRule>
    <cfRule type="cellIs" dxfId="10168" priority="12540" stopIfTrue="1" operator="equal">
      <formula>"Napkin Hs"</formula>
    </cfRule>
  </conditionalFormatting>
  <conditionalFormatting sqref="C21">
    <cfRule type="cellIs" dxfId="10167" priority="12541" stopIfTrue="1" operator="equal">
      <formula>"Towel"</formula>
    </cfRule>
    <cfRule type="cellIs" dxfId="10166" priority="12542" stopIfTrue="1" operator="equal">
      <formula>"Napkin Hs"</formula>
    </cfRule>
  </conditionalFormatting>
  <conditionalFormatting sqref="C21">
    <cfRule type="cellIs" dxfId="10165" priority="12543" stopIfTrue="1" operator="equal">
      <formula>"Towel"</formula>
    </cfRule>
    <cfRule type="cellIs" dxfId="10164" priority="12544" stopIfTrue="1" operator="equal">
      <formula>"Napkin Hs"</formula>
    </cfRule>
  </conditionalFormatting>
  <conditionalFormatting sqref="B21">
    <cfRule type="cellIs" dxfId="10163" priority="12537" stopIfTrue="1" operator="equal">
      <formula>"Towel"</formula>
    </cfRule>
    <cfRule type="cellIs" dxfId="10162" priority="12538" stopIfTrue="1" operator="equal">
      <formula>"Napkin Hs"</formula>
    </cfRule>
  </conditionalFormatting>
  <conditionalFormatting sqref="B21:C21">
    <cfRule type="cellIs" dxfId="10161" priority="12533" stopIfTrue="1" operator="equal">
      <formula>"Towel"</formula>
    </cfRule>
    <cfRule type="cellIs" dxfId="10160" priority="12534" stopIfTrue="1" operator="equal">
      <formula>"Napkin Hs"</formula>
    </cfRule>
  </conditionalFormatting>
  <conditionalFormatting sqref="C21">
    <cfRule type="cellIs" dxfId="10159" priority="12529" stopIfTrue="1" operator="equal">
      <formula>"Towel"</formula>
    </cfRule>
    <cfRule type="cellIs" dxfId="10158" priority="12530" stopIfTrue="1" operator="equal">
      <formula>"Napkin Hs"</formula>
    </cfRule>
  </conditionalFormatting>
  <conditionalFormatting sqref="C21">
    <cfRule type="cellIs" dxfId="10157" priority="12531" stopIfTrue="1" operator="equal">
      <formula>"Towel"</formula>
    </cfRule>
    <cfRule type="cellIs" dxfId="10156" priority="12532" stopIfTrue="1" operator="equal">
      <formula>"Napkin Hs"</formula>
    </cfRule>
  </conditionalFormatting>
  <conditionalFormatting sqref="B21:C21">
    <cfRule type="cellIs" dxfId="10155" priority="12527" stopIfTrue="1" operator="equal">
      <formula>"Towel"</formula>
    </cfRule>
    <cfRule type="cellIs" dxfId="10154" priority="12528" stopIfTrue="1" operator="equal">
      <formula>"Napkin Hs"</formula>
    </cfRule>
  </conditionalFormatting>
  <conditionalFormatting sqref="C21">
    <cfRule type="cellIs" dxfId="10153" priority="12525" stopIfTrue="1" operator="equal">
      <formula>"Towel"</formula>
    </cfRule>
    <cfRule type="cellIs" dxfId="10152" priority="12526" stopIfTrue="1" operator="equal">
      <formula>"Napkin Hs"</formula>
    </cfRule>
  </conditionalFormatting>
  <conditionalFormatting sqref="C21">
    <cfRule type="cellIs" dxfId="10151" priority="12523" stopIfTrue="1" operator="equal">
      <formula>"Towel"</formula>
    </cfRule>
    <cfRule type="cellIs" dxfId="10150" priority="12524" stopIfTrue="1" operator="equal">
      <formula>"Napkin Hs"</formula>
    </cfRule>
  </conditionalFormatting>
  <conditionalFormatting sqref="B21:C21">
    <cfRule type="cellIs" dxfId="10149" priority="12507" stopIfTrue="1" operator="equal">
      <formula>"Towel"</formula>
    </cfRule>
    <cfRule type="cellIs" dxfId="10148" priority="12508" stopIfTrue="1" operator="equal">
      <formula>"Napkin Hs"</formula>
    </cfRule>
  </conditionalFormatting>
  <conditionalFormatting sqref="C21">
    <cfRule type="cellIs" dxfId="10147" priority="12509" stopIfTrue="1" operator="equal">
      <formula>"Towel"</formula>
    </cfRule>
    <cfRule type="cellIs" dxfId="10146" priority="12510" stopIfTrue="1" operator="equal">
      <formula>"Napkin Hs"</formula>
    </cfRule>
  </conditionalFormatting>
  <conditionalFormatting sqref="C21">
    <cfRule type="cellIs" dxfId="10145" priority="12505" stopIfTrue="1" operator="equal">
      <formula>"Towel"</formula>
    </cfRule>
    <cfRule type="cellIs" dxfId="10144" priority="12506" stopIfTrue="1" operator="equal">
      <formula>"Napkin Hs"</formula>
    </cfRule>
  </conditionalFormatting>
  <conditionalFormatting sqref="B21:C21">
    <cfRule type="cellIs" dxfId="10143" priority="12503" stopIfTrue="1" operator="equal">
      <formula>"Towel"</formula>
    </cfRule>
    <cfRule type="cellIs" dxfId="10142" priority="12504" stopIfTrue="1" operator="equal">
      <formula>"Napkin Hs"</formula>
    </cfRule>
  </conditionalFormatting>
  <conditionalFormatting sqref="C21">
    <cfRule type="cellIs" dxfId="10141" priority="12499" stopIfTrue="1" operator="equal">
      <formula>"Towel"</formula>
    </cfRule>
    <cfRule type="cellIs" dxfId="10140" priority="12500" stopIfTrue="1" operator="equal">
      <formula>"Napkin Hs"</formula>
    </cfRule>
  </conditionalFormatting>
  <conditionalFormatting sqref="C21">
    <cfRule type="cellIs" dxfId="10139" priority="12501" stopIfTrue="1" operator="equal">
      <formula>"Towel"</formula>
    </cfRule>
    <cfRule type="cellIs" dxfId="10138" priority="12502" stopIfTrue="1" operator="equal">
      <formula>"Napkin Hs"</formula>
    </cfRule>
  </conditionalFormatting>
  <conditionalFormatting sqref="B21:C21">
    <cfRule type="cellIs" dxfId="10137" priority="12495" stopIfTrue="1" operator="equal">
      <formula>"Towel"</formula>
    </cfRule>
    <cfRule type="cellIs" dxfId="10136" priority="12496" stopIfTrue="1" operator="equal">
      <formula>"Napkin Hs"</formula>
    </cfRule>
  </conditionalFormatting>
  <conditionalFormatting sqref="C21">
    <cfRule type="cellIs" dxfId="10135" priority="12497" stopIfTrue="1" operator="equal">
      <formula>"Towel"</formula>
    </cfRule>
    <cfRule type="cellIs" dxfId="10134" priority="12498" stopIfTrue="1" operator="equal">
      <formula>"Napkin Hs"</formula>
    </cfRule>
  </conditionalFormatting>
  <conditionalFormatting sqref="C21">
    <cfRule type="cellIs" dxfId="10133" priority="12493" stopIfTrue="1" operator="equal">
      <formula>"Towel"</formula>
    </cfRule>
    <cfRule type="cellIs" dxfId="10132" priority="12494" stopIfTrue="1" operator="equal">
      <formula>"Napkin Hs"</formula>
    </cfRule>
  </conditionalFormatting>
  <conditionalFormatting sqref="B21:C21">
    <cfRule type="cellIs" dxfId="10131" priority="12491" stopIfTrue="1" operator="equal">
      <formula>"Towel"</formula>
    </cfRule>
    <cfRule type="cellIs" dxfId="10130" priority="12492" stopIfTrue="1" operator="equal">
      <formula>"Napkin Hs"</formula>
    </cfRule>
  </conditionalFormatting>
  <conditionalFormatting sqref="C21">
    <cfRule type="cellIs" dxfId="10129" priority="12487" stopIfTrue="1" operator="equal">
      <formula>"Towel"</formula>
    </cfRule>
    <cfRule type="cellIs" dxfId="10128" priority="12488" stopIfTrue="1" operator="equal">
      <formula>"Napkin Hs"</formula>
    </cfRule>
  </conditionalFormatting>
  <conditionalFormatting sqref="C21">
    <cfRule type="cellIs" dxfId="10127" priority="12489" stopIfTrue="1" operator="equal">
      <formula>"Towel"</formula>
    </cfRule>
    <cfRule type="cellIs" dxfId="10126" priority="12490" stopIfTrue="1" operator="equal">
      <formula>"Napkin Hs"</formula>
    </cfRule>
  </conditionalFormatting>
  <conditionalFormatting sqref="B28:C28">
    <cfRule type="cellIs" dxfId="10125" priority="12463" stopIfTrue="1" operator="equal">
      <formula>"Towel"</formula>
    </cfRule>
  </conditionalFormatting>
  <conditionalFormatting sqref="B28:C28">
    <cfRule type="cellIs" dxfId="10124" priority="12464" stopIfTrue="1" operator="equal">
      <formula>"Napkin Hs"</formula>
    </cfRule>
    <cfRule type="cellIs" dxfId="10123" priority="12469" stopIfTrue="1" operator="equal">
      <formula>"Towel"</formula>
    </cfRule>
    <cfRule type="cellIs" dxfId="10122" priority="12470" stopIfTrue="1" operator="equal">
      <formula>"Napkin Hs"</formula>
    </cfRule>
    <cfRule type="cellIs" dxfId="10121" priority="12479" stopIfTrue="1" operator="equal">
      <formula>"Towel"</formula>
    </cfRule>
    <cfRule type="cellIs" dxfId="10120" priority="12480" stopIfTrue="1" operator="equal">
      <formula>"Napkin Hs"</formula>
    </cfRule>
    <cfRule type="cellIs" dxfId="10119" priority="12485" stopIfTrue="1" operator="equal">
      <formula>"Towel"</formula>
    </cfRule>
    <cfRule type="cellIs" dxfId="10118" priority="12486" stopIfTrue="1" operator="equal">
      <formula>"Napkin Hs"</formula>
    </cfRule>
  </conditionalFormatting>
  <conditionalFormatting sqref="C28">
    <cfRule type="cellIs" dxfId="10117" priority="12465" stopIfTrue="1" operator="equal">
      <formula>"Towel"</formula>
    </cfRule>
    <cfRule type="cellIs" dxfId="10116" priority="12466" stopIfTrue="1" operator="equal">
      <formula>"Napkin Hs"</formula>
    </cfRule>
    <cfRule type="cellIs" dxfId="10115" priority="12467" stopIfTrue="1" operator="equal">
      <formula>"Towel"</formula>
    </cfRule>
    <cfRule type="cellIs" dxfId="10114" priority="12468" stopIfTrue="1" operator="equal">
      <formula>"Napkin Hs"</formula>
    </cfRule>
    <cfRule type="cellIs" dxfId="10113" priority="12471" stopIfTrue="1" operator="equal">
      <formula>"Towel"</formula>
    </cfRule>
    <cfRule type="cellIs" dxfId="10112" priority="12472" stopIfTrue="1" operator="equal">
      <formula>"Napkin Hs"</formula>
    </cfRule>
    <cfRule type="cellIs" dxfId="10111" priority="12473" stopIfTrue="1" operator="equal">
      <formula>"Towel"</formula>
    </cfRule>
    <cfRule type="cellIs" dxfId="10110" priority="12474" stopIfTrue="1" operator="equal">
      <formula>"Napkin Hs"</formula>
    </cfRule>
    <cfRule type="cellIs" dxfId="10109" priority="12475" stopIfTrue="1" operator="equal">
      <formula>"Towel"</formula>
    </cfRule>
    <cfRule type="cellIs" dxfId="10108" priority="12476" stopIfTrue="1" operator="equal">
      <formula>"Napkin Hs"</formula>
    </cfRule>
    <cfRule type="cellIs" dxfId="10107" priority="12477" stopIfTrue="1" operator="equal">
      <formula>"Towel"</formula>
    </cfRule>
    <cfRule type="cellIs" dxfId="10106" priority="12478" stopIfTrue="1" operator="equal">
      <formula>"Napkin Hs"</formula>
    </cfRule>
    <cfRule type="cellIs" dxfId="10105" priority="12481" stopIfTrue="1" operator="equal">
      <formula>"Towel"</formula>
    </cfRule>
    <cfRule type="cellIs" dxfId="10104" priority="12482" stopIfTrue="1" operator="equal">
      <formula>"Napkin Hs"</formula>
    </cfRule>
    <cfRule type="cellIs" dxfId="10103" priority="12484" stopIfTrue="1" operator="equal">
      <formula>"Napkin Hs"</formula>
    </cfRule>
  </conditionalFormatting>
  <conditionalFormatting sqref="C28">
    <cfRule type="cellIs" dxfId="10102" priority="12483" stopIfTrue="1" operator="equal">
      <formula>"Towel"</formula>
    </cfRule>
  </conditionalFormatting>
  <conditionalFormatting sqref="B28:C28">
    <cfRule type="cellIs" dxfId="10101" priority="12461" stopIfTrue="1" operator="equal">
      <formula>"Towel"</formula>
    </cfRule>
    <cfRule type="cellIs" dxfId="10100" priority="12462" stopIfTrue="1" operator="equal">
      <formula>"Napkin Hs"</formula>
    </cfRule>
  </conditionalFormatting>
  <conditionalFormatting sqref="C28">
    <cfRule type="cellIs" dxfId="10099" priority="12460" stopIfTrue="1" operator="equal">
      <formula>"Napkin Hs"</formula>
    </cfRule>
  </conditionalFormatting>
  <conditionalFormatting sqref="C28">
    <cfRule type="cellIs" dxfId="10098" priority="12459" stopIfTrue="1" operator="equal">
      <formula>"Towel"</formula>
    </cfRule>
  </conditionalFormatting>
  <conditionalFormatting sqref="C28">
    <cfRule type="cellIs" dxfId="10097" priority="12457" stopIfTrue="1" operator="equal">
      <formula>"Towel"</formula>
    </cfRule>
  </conditionalFormatting>
  <conditionalFormatting sqref="C28">
    <cfRule type="cellIs" dxfId="10096" priority="12458" stopIfTrue="1" operator="equal">
      <formula>"Napkin Hs"</formula>
    </cfRule>
  </conditionalFormatting>
  <conditionalFormatting sqref="B28">
    <cfRule type="cellIs" dxfId="10095" priority="12361" stopIfTrue="1" operator="equal">
      <formula>"Napkin Hs"</formula>
    </cfRule>
  </conditionalFormatting>
  <conditionalFormatting sqref="B28:C28">
    <cfRule type="cellIs" dxfId="10094" priority="12360" stopIfTrue="1" operator="equal">
      <formula>"Towel"</formula>
    </cfRule>
  </conditionalFormatting>
  <conditionalFormatting sqref="B28:C28">
    <cfRule type="cellIs" dxfId="10093" priority="12371" stopIfTrue="1" operator="equal">
      <formula>"Towel"</formula>
    </cfRule>
    <cfRule type="cellIs" dxfId="10092" priority="12372" stopIfTrue="1" operator="equal">
      <formula>"Napkin Hs"</formula>
    </cfRule>
    <cfRule type="cellIs" dxfId="10091" priority="12377" stopIfTrue="1" operator="equal">
      <formula>"Towel"</formula>
    </cfRule>
    <cfRule type="cellIs" dxfId="10090" priority="12378" stopIfTrue="1" operator="equal">
      <formula>"Napkin Hs"</formula>
    </cfRule>
    <cfRule type="cellIs" dxfId="10089" priority="12383" stopIfTrue="1" operator="equal">
      <formula>"Towel"</formula>
    </cfRule>
    <cfRule type="cellIs" dxfId="10088" priority="12384" stopIfTrue="1" operator="equal">
      <formula>"Napkin Hs"</formula>
    </cfRule>
    <cfRule type="cellIs" dxfId="10087" priority="12385" stopIfTrue="1" operator="equal">
      <formula>"Towel"</formula>
    </cfRule>
    <cfRule type="cellIs" dxfId="10086" priority="12386" stopIfTrue="1" operator="equal">
      <formula>"Napkin Hs"</formula>
    </cfRule>
    <cfRule type="cellIs" dxfId="10085" priority="12391" stopIfTrue="1" operator="equal">
      <formula>"Towel"</formula>
    </cfRule>
    <cfRule type="cellIs" dxfId="10084" priority="12392" stopIfTrue="1" operator="equal">
      <formula>"Napkin Hs"</formula>
    </cfRule>
    <cfRule type="cellIs" dxfId="10083" priority="12401" stopIfTrue="1" operator="equal">
      <formula>"Towel"</formula>
    </cfRule>
    <cfRule type="cellIs" dxfId="10082" priority="12402" stopIfTrue="1" operator="equal">
      <formula>"Napkin Hs"</formula>
    </cfRule>
    <cfRule type="cellIs" dxfId="10081" priority="12407" stopIfTrue="1" operator="equal">
      <formula>"Towel"</formula>
    </cfRule>
    <cfRule type="cellIs" dxfId="10080" priority="12408" stopIfTrue="1" operator="equal">
      <formula>"Napkin Hs"</formula>
    </cfRule>
    <cfRule type="cellIs" dxfId="10079" priority="12409" stopIfTrue="1" operator="equal">
      <formula>"Towel"</formula>
    </cfRule>
    <cfRule type="cellIs" dxfId="10078" priority="12410" stopIfTrue="1" operator="equal">
      <formula>"Napkin Hs"</formula>
    </cfRule>
    <cfRule type="cellIs" dxfId="10077" priority="12415" stopIfTrue="1" operator="equal">
      <formula>"Towel"</formula>
    </cfRule>
    <cfRule type="cellIs" dxfId="10076" priority="12416" stopIfTrue="1" operator="equal">
      <formula>"Napkin Hs"</formula>
    </cfRule>
    <cfRule type="cellIs" dxfId="10075" priority="12425" stopIfTrue="1" operator="equal">
      <formula>"Towel"</formula>
    </cfRule>
    <cfRule type="cellIs" dxfId="10074" priority="12426" stopIfTrue="1" operator="equal">
      <formula>"Napkin Hs"</formula>
    </cfRule>
    <cfRule type="cellIs" dxfId="10073" priority="12427" stopIfTrue="1" operator="equal">
      <formula>"Towel"</formula>
    </cfRule>
    <cfRule type="cellIs" dxfId="10072" priority="12428" stopIfTrue="1" operator="equal">
      <formula>"Napkin Hs"</formula>
    </cfRule>
    <cfRule type="cellIs" dxfId="10071" priority="12433" stopIfTrue="1" operator="equal">
      <formula>"Towel"</formula>
    </cfRule>
    <cfRule type="cellIs" dxfId="10070" priority="12434" stopIfTrue="1" operator="equal">
      <formula>"Napkin Hs"</formula>
    </cfRule>
    <cfRule type="cellIs" dxfId="10069" priority="12443" stopIfTrue="1" operator="equal">
      <formula>"Towel"</formula>
    </cfRule>
    <cfRule type="cellIs" dxfId="10068" priority="12444" stopIfTrue="1" operator="equal">
      <formula>"Napkin Hs"</formula>
    </cfRule>
    <cfRule type="cellIs" dxfId="10067" priority="12445" stopIfTrue="1" operator="equal">
      <formula>"Towel"</formula>
    </cfRule>
    <cfRule type="cellIs" dxfId="10066" priority="12446" stopIfTrue="1" operator="equal">
      <formula>"Napkin Hs"</formula>
    </cfRule>
    <cfRule type="cellIs" dxfId="10065" priority="12452" stopIfTrue="1" operator="equal">
      <formula>"Napkin Hs"</formula>
    </cfRule>
  </conditionalFormatting>
  <conditionalFormatting sqref="B28:C28">
    <cfRule type="cellIs" dxfId="10064" priority="12451" stopIfTrue="1" operator="equal">
      <formula>"Towel"</formula>
    </cfRule>
  </conditionalFormatting>
  <conditionalFormatting sqref="C28">
    <cfRule type="cellIs" dxfId="10063" priority="12362" stopIfTrue="1" operator="equal">
      <formula>"Napkin Hs"</formula>
    </cfRule>
    <cfRule type="cellIs" dxfId="10062" priority="12363" stopIfTrue="1" operator="equal">
      <formula>"Towel"</formula>
    </cfRule>
    <cfRule type="cellIs" dxfId="10061" priority="12364" stopIfTrue="1" operator="equal">
      <formula>"Napkin Hs"</formula>
    </cfRule>
    <cfRule type="cellIs" dxfId="10060" priority="12365" stopIfTrue="1" operator="equal">
      <formula>"Towel"</formula>
    </cfRule>
    <cfRule type="cellIs" dxfId="10059" priority="12366" stopIfTrue="1" operator="equal">
      <formula>"Napkin Hs"</formula>
    </cfRule>
    <cfRule type="cellIs" dxfId="10058" priority="12367" stopIfTrue="1" operator="equal">
      <formula>"Towel"</formula>
    </cfRule>
    <cfRule type="cellIs" dxfId="10057" priority="12368" stopIfTrue="1" operator="equal">
      <formula>"Napkin Hs"</formula>
    </cfRule>
    <cfRule type="cellIs" dxfId="10056" priority="12369" stopIfTrue="1" operator="equal">
      <formula>"Towel"</formula>
    </cfRule>
    <cfRule type="cellIs" dxfId="10055" priority="12370" stopIfTrue="1" operator="equal">
      <formula>"Napkin Hs"</formula>
    </cfRule>
    <cfRule type="cellIs" dxfId="10054" priority="12373" stopIfTrue="1" operator="equal">
      <formula>"Towel"</formula>
    </cfRule>
    <cfRule type="cellIs" dxfId="10053" priority="12374" stopIfTrue="1" operator="equal">
      <formula>"Napkin Hs"</formula>
    </cfRule>
    <cfRule type="cellIs" dxfId="10052" priority="12375" stopIfTrue="1" operator="equal">
      <formula>"Towel"</formula>
    </cfRule>
    <cfRule type="cellIs" dxfId="10051" priority="12376" stopIfTrue="1" operator="equal">
      <formula>"Napkin Hs"</formula>
    </cfRule>
    <cfRule type="cellIs" dxfId="10050" priority="12379" stopIfTrue="1" operator="equal">
      <formula>"Towel"</formula>
    </cfRule>
    <cfRule type="cellIs" dxfId="10049" priority="12380" stopIfTrue="1" operator="equal">
      <formula>"Napkin Hs"</formula>
    </cfRule>
    <cfRule type="cellIs" dxfId="10048" priority="12381" stopIfTrue="1" operator="equal">
      <formula>"Towel"</formula>
    </cfRule>
    <cfRule type="cellIs" dxfId="10047" priority="12382" stopIfTrue="1" operator="equal">
      <formula>"Napkin Hs"</formula>
    </cfRule>
    <cfRule type="cellIs" dxfId="10046" priority="12387" stopIfTrue="1" operator="equal">
      <formula>"Towel"</formula>
    </cfRule>
    <cfRule type="cellIs" dxfId="10045" priority="12388" stopIfTrue="1" operator="equal">
      <formula>"Napkin Hs"</formula>
    </cfRule>
    <cfRule type="cellIs" dxfId="10044" priority="12389" stopIfTrue="1" operator="equal">
      <formula>"Towel"</formula>
    </cfRule>
    <cfRule type="cellIs" dxfId="10043" priority="12390" stopIfTrue="1" operator="equal">
      <formula>"Napkin Hs"</formula>
    </cfRule>
    <cfRule type="cellIs" dxfId="10042" priority="12393" stopIfTrue="1" operator="equal">
      <formula>"Towel"</formula>
    </cfRule>
    <cfRule type="cellIs" dxfId="10041" priority="12394" stopIfTrue="1" operator="equal">
      <formula>"Napkin Hs"</formula>
    </cfRule>
    <cfRule type="cellIs" dxfId="10040" priority="12395" stopIfTrue="1" operator="equal">
      <formula>"Towel"</formula>
    </cfRule>
    <cfRule type="cellIs" dxfId="10039" priority="12396" stopIfTrue="1" operator="equal">
      <formula>"Napkin Hs"</formula>
    </cfRule>
    <cfRule type="cellIs" dxfId="10038" priority="12397" stopIfTrue="1" operator="equal">
      <formula>"Towel"</formula>
    </cfRule>
    <cfRule type="cellIs" dxfId="10037" priority="12398" stopIfTrue="1" operator="equal">
      <formula>"Napkin Hs"</formula>
    </cfRule>
    <cfRule type="cellIs" dxfId="10036" priority="12399" stopIfTrue="1" operator="equal">
      <formula>"Towel"</formula>
    </cfRule>
    <cfRule type="cellIs" dxfId="10035" priority="12400" stopIfTrue="1" operator="equal">
      <formula>"Napkin Hs"</formula>
    </cfRule>
    <cfRule type="cellIs" dxfId="10034" priority="12403" stopIfTrue="1" operator="equal">
      <formula>"Towel"</formula>
    </cfRule>
    <cfRule type="cellIs" dxfId="10033" priority="12404" stopIfTrue="1" operator="equal">
      <formula>"Napkin Hs"</formula>
    </cfRule>
    <cfRule type="cellIs" dxfId="10032" priority="12405" stopIfTrue="1" operator="equal">
      <formula>"Towel"</formula>
    </cfRule>
    <cfRule type="cellIs" dxfId="10031" priority="12406" stopIfTrue="1" operator="equal">
      <formula>"Napkin Hs"</formula>
    </cfRule>
    <cfRule type="cellIs" dxfId="10030" priority="12411" stopIfTrue="1" operator="equal">
      <formula>"Towel"</formula>
    </cfRule>
    <cfRule type="cellIs" dxfId="10029" priority="12412" stopIfTrue="1" operator="equal">
      <formula>"Napkin Hs"</formula>
    </cfRule>
    <cfRule type="cellIs" dxfId="10028" priority="12413" stopIfTrue="1" operator="equal">
      <formula>"Towel"</formula>
    </cfRule>
    <cfRule type="cellIs" dxfId="10027" priority="12414" stopIfTrue="1" operator="equal">
      <formula>"Napkin Hs"</formula>
    </cfRule>
    <cfRule type="cellIs" dxfId="10026" priority="12417" stopIfTrue="1" operator="equal">
      <formula>"Towel"</formula>
    </cfRule>
    <cfRule type="cellIs" dxfId="10025" priority="12418" stopIfTrue="1" operator="equal">
      <formula>"Napkin Hs"</formula>
    </cfRule>
    <cfRule type="cellIs" dxfId="10024" priority="12419" stopIfTrue="1" operator="equal">
      <formula>"Towel"</formula>
    </cfRule>
    <cfRule type="cellIs" dxfId="10023" priority="12420" stopIfTrue="1" operator="equal">
      <formula>"Napkin Hs"</formula>
    </cfRule>
    <cfRule type="cellIs" dxfId="10022" priority="12421" stopIfTrue="1" operator="equal">
      <formula>"Towel"</formula>
    </cfRule>
    <cfRule type="cellIs" dxfId="10021" priority="12422" stopIfTrue="1" operator="equal">
      <formula>"Napkin Hs"</formula>
    </cfRule>
    <cfRule type="cellIs" dxfId="10020" priority="12423" stopIfTrue="1" operator="equal">
      <formula>"Towel"</formula>
    </cfRule>
    <cfRule type="cellIs" dxfId="10019" priority="12424" stopIfTrue="1" operator="equal">
      <formula>"Napkin Hs"</formula>
    </cfRule>
    <cfRule type="cellIs" dxfId="10018" priority="12429" stopIfTrue="1" operator="equal">
      <formula>"Towel"</formula>
    </cfRule>
    <cfRule type="cellIs" dxfId="10017" priority="12430" stopIfTrue="1" operator="equal">
      <formula>"Napkin Hs"</formula>
    </cfRule>
    <cfRule type="cellIs" dxfId="10016" priority="12431" stopIfTrue="1" operator="equal">
      <formula>"Towel"</formula>
    </cfRule>
    <cfRule type="cellIs" dxfId="10015" priority="12432" stopIfTrue="1" operator="equal">
      <formula>"Napkin Hs"</formula>
    </cfRule>
    <cfRule type="cellIs" dxfId="10014" priority="12435" stopIfTrue="1" operator="equal">
      <formula>"Towel"</formula>
    </cfRule>
    <cfRule type="cellIs" dxfId="10013" priority="12436" stopIfTrue="1" operator="equal">
      <formula>"Napkin Hs"</formula>
    </cfRule>
    <cfRule type="cellIs" dxfId="10012" priority="12437" stopIfTrue="1" operator="equal">
      <formula>"Towel"</formula>
    </cfRule>
    <cfRule type="cellIs" dxfId="10011" priority="12438" stopIfTrue="1" operator="equal">
      <formula>"Napkin Hs"</formula>
    </cfRule>
    <cfRule type="cellIs" dxfId="10010" priority="12439" stopIfTrue="1" operator="equal">
      <formula>"Towel"</formula>
    </cfRule>
    <cfRule type="cellIs" dxfId="10009" priority="12440" stopIfTrue="1" operator="equal">
      <formula>"Napkin Hs"</formula>
    </cfRule>
    <cfRule type="cellIs" dxfId="10008" priority="12441" stopIfTrue="1" operator="equal">
      <formula>"Towel"</formula>
    </cfRule>
    <cfRule type="cellIs" dxfId="10007" priority="12442" stopIfTrue="1" operator="equal">
      <formula>"Napkin Hs"</formula>
    </cfRule>
    <cfRule type="cellIs" dxfId="10006" priority="12447" stopIfTrue="1" operator="equal">
      <formula>"Towel"</formula>
    </cfRule>
    <cfRule type="cellIs" dxfId="10005" priority="12448" stopIfTrue="1" operator="equal">
      <formula>"Napkin Hs"</formula>
    </cfRule>
    <cfRule type="cellIs" dxfId="10004" priority="12449" stopIfTrue="1" operator="equal">
      <formula>"Towel"</formula>
    </cfRule>
    <cfRule type="cellIs" dxfId="10003" priority="12450" stopIfTrue="1" operator="equal">
      <formula>"Napkin Hs"</formula>
    </cfRule>
    <cfRule type="cellIs" dxfId="10002" priority="12453" stopIfTrue="1" operator="equal">
      <formula>"Towel"</formula>
    </cfRule>
    <cfRule type="cellIs" dxfId="10001" priority="12454" stopIfTrue="1" operator="equal">
      <formula>"Napkin Hs"</formula>
    </cfRule>
    <cfRule type="cellIs" dxfId="10000" priority="12455" stopIfTrue="1" operator="equal">
      <formula>"Towel"</formula>
    </cfRule>
    <cfRule type="cellIs" dxfId="9999" priority="12456" stopIfTrue="1" operator="equal">
      <formula>"Napkin Hs"</formula>
    </cfRule>
  </conditionalFormatting>
  <conditionalFormatting sqref="B28:C28">
    <cfRule type="cellIs" dxfId="9998" priority="12336" stopIfTrue="1" operator="equal">
      <formula>"Towel"</formula>
    </cfRule>
  </conditionalFormatting>
  <conditionalFormatting sqref="B28:C28">
    <cfRule type="cellIs" dxfId="9997" priority="12337" stopIfTrue="1" operator="equal">
      <formula>"Napkin Hs"</formula>
    </cfRule>
    <cfRule type="cellIs" dxfId="9996" priority="12342" stopIfTrue="1" operator="equal">
      <formula>"Towel"</formula>
    </cfRule>
    <cfRule type="cellIs" dxfId="9995" priority="12343" stopIfTrue="1" operator="equal">
      <formula>"Napkin Hs"</formula>
    </cfRule>
    <cfRule type="cellIs" dxfId="9994" priority="12352" stopIfTrue="1" operator="equal">
      <formula>"Towel"</formula>
    </cfRule>
    <cfRule type="cellIs" dxfId="9993" priority="12353" stopIfTrue="1" operator="equal">
      <formula>"Napkin Hs"</formula>
    </cfRule>
    <cfRule type="cellIs" dxfId="9992" priority="12358" stopIfTrue="1" operator="equal">
      <formula>"Towel"</formula>
    </cfRule>
    <cfRule type="cellIs" dxfId="9991" priority="12359" stopIfTrue="1" operator="equal">
      <formula>"Napkin Hs"</formula>
    </cfRule>
  </conditionalFormatting>
  <conditionalFormatting sqref="C28">
    <cfRule type="cellIs" dxfId="9990" priority="12338" stopIfTrue="1" operator="equal">
      <formula>"Towel"</formula>
    </cfRule>
    <cfRule type="cellIs" dxfId="9989" priority="12339" stopIfTrue="1" operator="equal">
      <formula>"Napkin Hs"</formula>
    </cfRule>
    <cfRule type="cellIs" dxfId="9988" priority="12340" stopIfTrue="1" operator="equal">
      <formula>"Towel"</formula>
    </cfRule>
    <cfRule type="cellIs" dxfId="9987" priority="12341" stopIfTrue="1" operator="equal">
      <formula>"Napkin Hs"</formula>
    </cfRule>
    <cfRule type="cellIs" dxfId="9986" priority="12344" stopIfTrue="1" operator="equal">
      <formula>"Towel"</formula>
    </cfRule>
    <cfRule type="cellIs" dxfId="9985" priority="12345" stopIfTrue="1" operator="equal">
      <formula>"Napkin Hs"</formula>
    </cfRule>
    <cfRule type="cellIs" dxfId="9984" priority="12346" stopIfTrue="1" operator="equal">
      <formula>"Towel"</formula>
    </cfRule>
    <cfRule type="cellIs" dxfId="9983" priority="12347" stopIfTrue="1" operator="equal">
      <formula>"Napkin Hs"</formula>
    </cfRule>
    <cfRule type="cellIs" dxfId="9982" priority="12348" stopIfTrue="1" operator="equal">
      <formula>"Towel"</formula>
    </cfRule>
    <cfRule type="cellIs" dxfId="9981" priority="12349" stopIfTrue="1" operator="equal">
      <formula>"Napkin Hs"</formula>
    </cfRule>
    <cfRule type="cellIs" dxfId="9980" priority="12350" stopIfTrue="1" operator="equal">
      <formula>"Towel"</formula>
    </cfRule>
    <cfRule type="cellIs" dxfId="9979" priority="12351" stopIfTrue="1" operator="equal">
      <formula>"Napkin Hs"</formula>
    </cfRule>
    <cfRule type="cellIs" dxfId="9978" priority="12354" stopIfTrue="1" operator="equal">
      <formula>"Towel"</formula>
    </cfRule>
    <cfRule type="cellIs" dxfId="9977" priority="12355" stopIfTrue="1" operator="equal">
      <formula>"Napkin Hs"</formula>
    </cfRule>
    <cfRule type="cellIs" dxfId="9976" priority="12357" stopIfTrue="1" operator="equal">
      <formula>"Napkin Hs"</formula>
    </cfRule>
  </conditionalFormatting>
  <conditionalFormatting sqref="C28">
    <cfRule type="cellIs" dxfId="9975" priority="12356" stopIfTrue="1" operator="equal">
      <formula>"Towel"</formula>
    </cfRule>
  </conditionalFormatting>
  <conditionalFormatting sqref="B28:C28">
    <cfRule type="cellIs" dxfId="9974" priority="12334" stopIfTrue="1" operator="equal">
      <formula>"Towel"</formula>
    </cfRule>
    <cfRule type="cellIs" dxfId="9973" priority="12335" stopIfTrue="1" operator="equal">
      <formula>"Napkin Hs"</formula>
    </cfRule>
  </conditionalFormatting>
  <conditionalFormatting sqref="C28">
    <cfRule type="cellIs" dxfId="9972" priority="12333" stopIfTrue="1" operator="equal">
      <formula>"Napkin Hs"</formula>
    </cfRule>
  </conditionalFormatting>
  <conditionalFormatting sqref="C28">
    <cfRule type="cellIs" dxfId="9971" priority="12332" stopIfTrue="1" operator="equal">
      <formula>"Towel"</formula>
    </cfRule>
  </conditionalFormatting>
  <conditionalFormatting sqref="C28">
    <cfRule type="cellIs" dxfId="9970" priority="12330" stopIfTrue="1" operator="equal">
      <formula>"Towel"</formula>
    </cfRule>
  </conditionalFormatting>
  <conditionalFormatting sqref="C28">
    <cfRule type="cellIs" dxfId="9969" priority="12331" stopIfTrue="1" operator="equal">
      <formula>"Napkin Hs"</formula>
    </cfRule>
  </conditionalFormatting>
  <conditionalFormatting sqref="B28">
    <cfRule type="cellIs" dxfId="9968" priority="12234" stopIfTrue="1" operator="equal">
      <formula>"Napkin Hs"</formula>
    </cfRule>
  </conditionalFormatting>
  <conditionalFormatting sqref="B28:C28">
    <cfRule type="cellIs" dxfId="9967" priority="12233" stopIfTrue="1" operator="equal">
      <formula>"Towel"</formula>
    </cfRule>
  </conditionalFormatting>
  <conditionalFormatting sqref="B28:C28">
    <cfRule type="cellIs" dxfId="9966" priority="12244" stopIfTrue="1" operator="equal">
      <formula>"Towel"</formula>
    </cfRule>
    <cfRule type="cellIs" dxfId="9965" priority="12245" stopIfTrue="1" operator="equal">
      <formula>"Napkin Hs"</formula>
    </cfRule>
    <cfRule type="cellIs" dxfId="9964" priority="12250" stopIfTrue="1" operator="equal">
      <formula>"Towel"</formula>
    </cfRule>
    <cfRule type="cellIs" dxfId="9963" priority="12251" stopIfTrue="1" operator="equal">
      <formula>"Napkin Hs"</formula>
    </cfRule>
    <cfRule type="cellIs" dxfId="9962" priority="12256" stopIfTrue="1" operator="equal">
      <formula>"Towel"</formula>
    </cfRule>
    <cfRule type="cellIs" dxfId="9961" priority="12257" stopIfTrue="1" operator="equal">
      <formula>"Napkin Hs"</formula>
    </cfRule>
    <cfRule type="cellIs" dxfId="9960" priority="12258" stopIfTrue="1" operator="equal">
      <formula>"Towel"</formula>
    </cfRule>
    <cfRule type="cellIs" dxfId="9959" priority="12259" stopIfTrue="1" operator="equal">
      <formula>"Napkin Hs"</formula>
    </cfRule>
    <cfRule type="cellIs" dxfId="9958" priority="12264" stopIfTrue="1" operator="equal">
      <formula>"Towel"</formula>
    </cfRule>
    <cfRule type="cellIs" dxfId="9957" priority="12265" stopIfTrue="1" operator="equal">
      <formula>"Napkin Hs"</formula>
    </cfRule>
    <cfRule type="cellIs" dxfId="9956" priority="12274" stopIfTrue="1" operator="equal">
      <formula>"Towel"</formula>
    </cfRule>
    <cfRule type="cellIs" dxfId="9955" priority="12275" stopIfTrue="1" operator="equal">
      <formula>"Napkin Hs"</formula>
    </cfRule>
    <cfRule type="cellIs" dxfId="9954" priority="12280" stopIfTrue="1" operator="equal">
      <formula>"Towel"</formula>
    </cfRule>
    <cfRule type="cellIs" dxfId="9953" priority="12281" stopIfTrue="1" operator="equal">
      <formula>"Napkin Hs"</formula>
    </cfRule>
    <cfRule type="cellIs" dxfId="9952" priority="12282" stopIfTrue="1" operator="equal">
      <formula>"Towel"</formula>
    </cfRule>
    <cfRule type="cellIs" dxfId="9951" priority="12283" stopIfTrue="1" operator="equal">
      <formula>"Napkin Hs"</formula>
    </cfRule>
    <cfRule type="cellIs" dxfId="9950" priority="12288" stopIfTrue="1" operator="equal">
      <formula>"Towel"</formula>
    </cfRule>
    <cfRule type="cellIs" dxfId="9949" priority="12289" stopIfTrue="1" operator="equal">
      <formula>"Napkin Hs"</formula>
    </cfRule>
    <cfRule type="cellIs" dxfId="9948" priority="12298" stopIfTrue="1" operator="equal">
      <formula>"Towel"</formula>
    </cfRule>
    <cfRule type="cellIs" dxfId="9947" priority="12299" stopIfTrue="1" operator="equal">
      <formula>"Napkin Hs"</formula>
    </cfRule>
    <cfRule type="cellIs" dxfId="9946" priority="12300" stopIfTrue="1" operator="equal">
      <formula>"Towel"</formula>
    </cfRule>
    <cfRule type="cellIs" dxfId="9945" priority="12301" stopIfTrue="1" operator="equal">
      <formula>"Napkin Hs"</formula>
    </cfRule>
    <cfRule type="cellIs" dxfId="9944" priority="12306" stopIfTrue="1" operator="equal">
      <formula>"Towel"</formula>
    </cfRule>
    <cfRule type="cellIs" dxfId="9943" priority="12307" stopIfTrue="1" operator="equal">
      <formula>"Napkin Hs"</formula>
    </cfRule>
    <cfRule type="cellIs" dxfId="9942" priority="12316" stopIfTrue="1" operator="equal">
      <formula>"Towel"</formula>
    </cfRule>
    <cfRule type="cellIs" dxfId="9941" priority="12317" stopIfTrue="1" operator="equal">
      <formula>"Napkin Hs"</formula>
    </cfRule>
    <cfRule type="cellIs" dxfId="9940" priority="12318" stopIfTrue="1" operator="equal">
      <formula>"Towel"</formula>
    </cfRule>
    <cfRule type="cellIs" dxfId="9939" priority="12319" stopIfTrue="1" operator="equal">
      <formula>"Napkin Hs"</formula>
    </cfRule>
    <cfRule type="cellIs" dxfId="9938" priority="12325" stopIfTrue="1" operator="equal">
      <formula>"Napkin Hs"</formula>
    </cfRule>
  </conditionalFormatting>
  <conditionalFormatting sqref="B28:C28">
    <cfRule type="cellIs" dxfId="9937" priority="12324" stopIfTrue="1" operator="equal">
      <formula>"Towel"</formula>
    </cfRule>
  </conditionalFormatting>
  <conditionalFormatting sqref="C28">
    <cfRule type="cellIs" dxfId="9936" priority="12235" stopIfTrue="1" operator="equal">
      <formula>"Napkin Hs"</formula>
    </cfRule>
    <cfRule type="cellIs" dxfId="9935" priority="12236" stopIfTrue="1" operator="equal">
      <formula>"Towel"</formula>
    </cfRule>
    <cfRule type="cellIs" dxfId="9934" priority="12237" stopIfTrue="1" operator="equal">
      <formula>"Napkin Hs"</formula>
    </cfRule>
    <cfRule type="cellIs" dxfId="9933" priority="12238" stopIfTrue="1" operator="equal">
      <formula>"Towel"</formula>
    </cfRule>
    <cfRule type="cellIs" dxfId="9932" priority="12239" stopIfTrue="1" operator="equal">
      <formula>"Napkin Hs"</formula>
    </cfRule>
    <cfRule type="cellIs" dxfId="9931" priority="12240" stopIfTrue="1" operator="equal">
      <formula>"Towel"</formula>
    </cfRule>
    <cfRule type="cellIs" dxfId="9930" priority="12241" stopIfTrue="1" operator="equal">
      <formula>"Napkin Hs"</formula>
    </cfRule>
    <cfRule type="cellIs" dxfId="9929" priority="12242" stopIfTrue="1" operator="equal">
      <formula>"Towel"</formula>
    </cfRule>
    <cfRule type="cellIs" dxfId="9928" priority="12243" stopIfTrue="1" operator="equal">
      <formula>"Napkin Hs"</formula>
    </cfRule>
    <cfRule type="cellIs" dxfId="9927" priority="12246" stopIfTrue="1" operator="equal">
      <formula>"Towel"</formula>
    </cfRule>
    <cfRule type="cellIs" dxfId="9926" priority="12247" stopIfTrue="1" operator="equal">
      <formula>"Napkin Hs"</formula>
    </cfRule>
    <cfRule type="cellIs" dxfId="9925" priority="12248" stopIfTrue="1" operator="equal">
      <formula>"Towel"</formula>
    </cfRule>
    <cfRule type="cellIs" dxfId="9924" priority="12249" stopIfTrue="1" operator="equal">
      <formula>"Napkin Hs"</formula>
    </cfRule>
    <cfRule type="cellIs" dxfId="9923" priority="12252" stopIfTrue="1" operator="equal">
      <formula>"Towel"</formula>
    </cfRule>
    <cfRule type="cellIs" dxfId="9922" priority="12253" stopIfTrue="1" operator="equal">
      <formula>"Napkin Hs"</formula>
    </cfRule>
    <cfRule type="cellIs" dxfId="9921" priority="12254" stopIfTrue="1" operator="equal">
      <formula>"Towel"</formula>
    </cfRule>
    <cfRule type="cellIs" dxfId="9920" priority="12255" stopIfTrue="1" operator="equal">
      <formula>"Napkin Hs"</formula>
    </cfRule>
    <cfRule type="cellIs" dxfId="9919" priority="12260" stopIfTrue="1" operator="equal">
      <formula>"Towel"</formula>
    </cfRule>
    <cfRule type="cellIs" dxfId="9918" priority="12261" stopIfTrue="1" operator="equal">
      <formula>"Napkin Hs"</formula>
    </cfRule>
    <cfRule type="cellIs" dxfId="9917" priority="12262" stopIfTrue="1" operator="equal">
      <formula>"Towel"</formula>
    </cfRule>
    <cfRule type="cellIs" dxfId="9916" priority="12263" stopIfTrue="1" operator="equal">
      <formula>"Napkin Hs"</formula>
    </cfRule>
    <cfRule type="cellIs" dxfId="9915" priority="12266" stopIfTrue="1" operator="equal">
      <formula>"Towel"</formula>
    </cfRule>
    <cfRule type="cellIs" dxfId="9914" priority="12267" stopIfTrue="1" operator="equal">
      <formula>"Napkin Hs"</formula>
    </cfRule>
    <cfRule type="cellIs" dxfId="9913" priority="12268" stopIfTrue="1" operator="equal">
      <formula>"Towel"</formula>
    </cfRule>
    <cfRule type="cellIs" dxfId="9912" priority="12269" stopIfTrue="1" operator="equal">
      <formula>"Napkin Hs"</formula>
    </cfRule>
    <cfRule type="cellIs" dxfId="9911" priority="12270" stopIfTrue="1" operator="equal">
      <formula>"Towel"</formula>
    </cfRule>
    <cfRule type="cellIs" dxfId="9910" priority="12271" stopIfTrue="1" operator="equal">
      <formula>"Napkin Hs"</formula>
    </cfRule>
    <cfRule type="cellIs" dxfId="9909" priority="12272" stopIfTrue="1" operator="equal">
      <formula>"Towel"</formula>
    </cfRule>
    <cfRule type="cellIs" dxfId="9908" priority="12273" stopIfTrue="1" operator="equal">
      <formula>"Napkin Hs"</formula>
    </cfRule>
    <cfRule type="cellIs" dxfId="9907" priority="12276" stopIfTrue="1" operator="equal">
      <formula>"Towel"</formula>
    </cfRule>
    <cfRule type="cellIs" dxfId="9906" priority="12277" stopIfTrue="1" operator="equal">
      <formula>"Napkin Hs"</formula>
    </cfRule>
    <cfRule type="cellIs" dxfId="9905" priority="12278" stopIfTrue="1" operator="equal">
      <formula>"Towel"</formula>
    </cfRule>
    <cfRule type="cellIs" dxfId="9904" priority="12279" stopIfTrue="1" operator="equal">
      <formula>"Napkin Hs"</formula>
    </cfRule>
    <cfRule type="cellIs" dxfId="9903" priority="12284" stopIfTrue="1" operator="equal">
      <formula>"Towel"</formula>
    </cfRule>
    <cfRule type="cellIs" dxfId="9902" priority="12285" stopIfTrue="1" operator="equal">
      <formula>"Napkin Hs"</formula>
    </cfRule>
    <cfRule type="cellIs" dxfId="9901" priority="12286" stopIfTrue="1" operator="equal">
      <formula>"Towel"</formula>
    </cfRule>
    <cfRule type="cellIs" dxfId="9900" priority="12287" stopIfTrue="1" operator="equal">
      <formula>"Napkin Hs"</formula>
    </cfRule>
    <cfRule type="cellIs" dxfId="9899" priority="12290" stopIfTrue="1" operator="equal">
      <formula>"Towel"</formula>
    </cfRule>
    <cfRule type="cellIs" dxfId="9898" priority="12291" stopIfTrue="1" operator="equal">
      <formula>"Napkin Hs"</formula>
    </cfRule>
    <cfRule type="cellIs" dxfId="9897" priority="12292" stopIfTrue="1" operator="equal">
      <formula>"Towel"</formula>
    </cfRule>
    <cfRule type="cellIs" dxfId="9896" priority="12293" stopIfTrue="1" operator="equal">
      <formula>"Napkin Hs"</formula>
    </cfRule>
    <cfRule type="cellIs" dxfId="9895" priority="12294" stopIfTrue="1" operator="equal">
      <formula>"Towel"</formula>
    </cfRule>
    <cfRule type="cellIs" dxfId="9894" priority="12295" stopIfTrue="1" operator="equal">
      <formula>"Napkin Hs"</formula>
    </cfRule>
    <cfRule type="cellIs" dxfId="9893" priority="12296" stopIfTrue="1" operator="equal">
      <formula>"Towel"</formula>
    </cfRule>
    <cfRule type="cellIs" dxfId="9892" priority="12297" stopIfTrue="1" operator="equal">
      <formula>"Napkin Hs"</formula>
    </cfRule>
    <cfRule type="cellIs" dxfId="9891" priority="12302" stopIfTrue="1" operator="equal">
      <formula>"Towel"</formula>
    </cfRule>
    <cfRule type="cellIs" dxfId="9890" priority="12303" stopIfTrue="1" operator="equal">
      <formula>"Napkin Hs"</formula>
    </cfRule>
    <cfRule type="cellIs" dxfId="9889" priority="12304" stopIfTrue="1" operator="equal">
      <formula>"Towel"</formula>
    </cfRule>
    <cfRule type="cellIs" dxfId="9888" priority="12305" stopIfTrue="1" operator="equal">
      <formula>"Napkin Hs"</formula>
    </cfRule>
    <cfRule type="cellIs" dxfId="9887" priority="12308" stopIfTrue="1" operator="equal">
      <formula>"Towel"</formula>
    </cfRule>
    <cfRule type="cellIs" dxfId="9886" priority="12309" stopIfTrue="1" operator="equal">
      <formula>"Napkin Hs"</formula>
    </cfRule>
    <cfRule type="cellIs" dxfId="9885" priority="12310" stopIfTrue="1" operator="equal">
      <formula>"Towel"</formula>
    </cfRule>
    <cfRule type="cellIs" dxfId="9884" priority="12311" stopIfTrue="1" operator="equal">
      <formula>"Napkin Hs"</formula>
    </cfRule>
    <cfRule type="cellIs" dxfId="9883" priority="12312" stopIfTrue="1" operator="equal">
      <formula>"Towel"</formula>
    </cfRule>
    <cfRule type="cellIs" dxfId="9882" priority="12313" stopIfTrue="1" operator="equal">
      <formula>"Napkin Hs"</formula>
    </cfRule>
    <cfRule type="cellIs" dxfId="9881" priority="12314" stopIfTrue="1" operator="equal">
      <formula>"Towel"</formula>
    </cfRule>
    <cfRule type="cellIs" dxfId="9880" priority="12315" stopIfTrue="1" operator="equal">
      <formula>"Napkin Hs"</formula>
    </cfRule>
    <cfRule type="cellIs" dxfId="9879" priority="12320" stopIfTrue="1" operator="equal">
      <formula>"Towel"</formula>
    </cfRule>
    <cfRule type="cellIs" dxfId="9878" priority="12321" stopIfTrue="1" operator="equal">
      <formula>"Napkin Hs"</formula>
    </cfRule>
    <cfRule type="cellIs" dxfId="9877" priority="12322" stopIfTrue="1" operator="equal">
      <formula>"Towel"</formula>
    </cfRule>
    <cfRule type="cellIs" dxfId="9876" priority="12323" stopIfTrue="1" operator="equal">
      <formula>"Napkin Hs"</formula>
    </cfRule>
    <cfRule type="cellIs" dxfId="9875" priority="12326" stopIfTrue="1" operator="equal">
      <formula>"Towel"</formula>
    </cfRule>
    <cfRule type="cellIs" dxfId="9874" priority="12327" stopIfTrue="1" operator="equal">
      <formula>"Napkin Hs"</formula>
    </cfRule>
    <cfRule type="cellIs" dxfId="9873" priority="12328" stopIfTrue="1" operator="equal">
      <formula>"Towel"</formula>
    </cfRule>
    <cfRule type="cellIs" dxfId="9872" priority="12329" stopIfTrue="1" operator="equal">
      <formula>"Napkin Hs"</formula>
    </cfRule>
  </conditionalFormatting>
  <conditionalFormatting sqref="C28">
    <cfRule type="cellIs" dxfId="9871" priority="12215" stopIfTrue="1" operator="equal">
      <formula>"Towel"</formula>
    </cfRule>
    <cfRule type="cellIs" dxfId="9870" priority="12216" stopIfTrue="1" operator="equal">
      <formula>"Napkin Hs"</formula>
    </cfRule>
  </conditionalFormatting>
  <conditionalFormatting sqref="B28:C28">
    <cfRule type="cellIs" dxfId="9869" priority="12217" stopIfTrue="1" operator="equal">
      <formula>"Towel"</formula>
    </cfRule>
    <cfRule type="cellIs" dxfId="9868" priority="12218" stopIfTrue="1" operator="equal">
      <formula>"Napkin Hs"</formula>
    </cfRule>
  </conditionalFormatting>
  <conditionalFormatting sqref="B28:C28">
    <cfRule type="cellIs" dxfId="9867" priority="12213" stopIfTrue="1" operator="equal">
      <formula>"Towel"</formula>
    </cfRule>
    <cfRule type="cellIs" dxfId="9866" priority="12214" stopIfTrue="1" operator="equal">
      <formula>"Napkin Hs"</formula>
    </cfRule>
  </conditionalFormatting>
  <conditionalFormatting sqref="C28">
    <cfRule type="cellIs" dxfId="9865" priority="12211" stopIfTrue="1" operator="equal">
      <formula>"Towel"</formula>
    </cfRule>
    <cfRule type="cellIs" dxfId="9864" priority="12212" stopIfTrue="1" operator="equal">
      <formula>"Napkin Hs"</formula>
    </cfRule>
  </conditionalFormatting>
  <conditionalFormatting sqref="C28">
    <cfRule type="cellIs" dxfId="9863" priority="12209" stopIfTrue="1" operator="equal">
      <formula>"Towel"</formula>
    </cfRule>
    <cfRule type="cellIs" dxfId="9862" priority="12210" stopIfTrue="1" operator="equal">
      <formula>"Napkin Hs"</formula>
    </cfRule>
  </conditionalFormatting>
  <conditionalFormatting sqref="B28:C28">
    <cfRule type="cellIs" dxfId="9861" priority="12229" stopIfTrue="1" operator="equal">
      <formula>"Towel"</formula>
    </cfRule>
    <cfRule type="cellIs" dxfId="9860" priority="12230" stopIfTrue="1" operator="equal">
      <formula>"Napkin Hs"</formula>
    </cfRule>
  </conditionalFormatting>
  <conditionalFormatting sqref="C28">
    <cfRule type="cellIs" dxfId="9859" priority="12231" stopIfTrue="1" operator="equal">
      <formula>"Towel"</formula>
    </cfRule>
    <cfRule type="cellIs" dxfId="9858" priority="12232" stopIfTrue="1" operator="equal">
      <formula>"Napkin Hs"</formula>
    </cfRule>
  </conditionalFormatting>
  <conditionalFormatting sqref="C28">
    <cfRule type="cellIs" dxfId="9857" priority="12227" stopIfTrue="1" operator="equal">
      <formula>"Towel"</formula>
    </cfRule>
    <cfRule type="cellIs" dxfId="9856" priority="12228" stopIfTrue="1" operator="equal">
      <formula>"Napkin Hs"</formula>
    </cfRule>
  </conditionalFormatting>
  <conditionalFormatting sqref="B28:C28">
    <cfRule type="cellIs" dxfId="9855" priority="12225" stopIfTrue="1" operator="equal">
      <formula>"Towel"</formula>
    </cfRule>
    <cfRule type="cellIs" dxfId="9854" priority="12226" stopIfTrue="1" operator="equal">
      <formula>"Napkin Hs"</formula>
    </cfRule>
  </conditionalFormatting>
  <conditionalFormatting sqref="C28">
    <cfRule type="cellIs" dxfId="9853" priority="12221" stopIfTrue="1" operator="equal">
      <formula>"Towel"</formula>
    </cfRule>
    <cfRule type="cellIs" dxfId="9852" priority="12222" stopIfTrue="1" operator="equal">
      <formula>"Napkin Hs"</formula>
    </cfRule>
  </conditionalFormatting>
  <conditionalFormatting sqref="C28">
    <cfRule type="cellIs" dxfId="9851" priority="12223" stopIfTrue="1" operator="equal">
      <formula>"Towel"</formula>
    </cfRule>
    <cfRule type="cellIs" dxfId="9850" priority="12224" stopIfTrue="1" operator="equal">
      <formula>"Napkin Hs"</formula>
    </cfRule>
  </conditionalFormatting>
  <conditionalFormatting sqref="C28">
    <cfRule type="cellIs" dxfId="9849" priority="12219" stopIfTrue="1" operator="equal">
      <formula>"Towel"</formula>
    </cfRule>
    <cfRule type="cellIs" dxfId="9848" priority="12220" stopIfTrue="1" operator="equal">
      <formula>"Napkin Hs"</formula>
    </cfRule>
  </conditionalFormatting>
  <conditionalFormatting sqref="C26">
    <cfRule type="cellIs" dxfId="9847" priority="12155" stopIfTrue="1" operator="equal">
      <formula>"Towel"</formula>
    </cfRule>
    <cfRule type="cellIs" dxfId="9846" priority="12156" stopIfTrue="1" operator="equal">
      <formula>"Napkin Hs"</formula>
    </cfRule>
  </conditionalFormatting>
  <conditionalFormatting sqref="C26">
    <cfRule type="cellIs" dxfId="9845" priority="12157" stopIfTrue="1" operator="equal">
      <formula>"Towel"</formula>
    </cfRule>
    <cfRule type="cellIs" dxfId="9844" priority="12158" stopIfTrue="1" operator="equal">
      <formula>"Napkin Hs"</formula>
    </cfRule>
  </conditionalFormatting>
  <conditionalFormatting sqref="B26:C26">
    <cfRule type="cellIs" dxfId="9843" priority="12153" stopIfTrue="1" operator="equal">
      <formula>"Towel"</formula>
    </cfRule>
    <cfRule type="cellIs" dxfId="9842" priority="12154" stopIfTrue="1" operator="equal">
      <formula>"Napkin Hs"</formula>
    </cfRule>
  </conditionalFormatting>
  <conditionalFormatting sqref="C26">
    <cfRule type="cellIs" dxfId="9841" priority="12151" stopIfTrue="1" operator="equal">
      <formula>"Towel"</formula>
    </cfRule>
    <cfRule type="cellIs" dxfId="9840" priority="12152" stopIfTrue="1" operator="equal">
      <formula>"Napkin Hs"</formula>
    </cfRule>
  </conditionalFormatting>
  <conditionalFormatting sqref="B26:C26">
    <cfRule type="cellIs" dxfId="9839" priority="12147" stopIfTrue="1" operator="equal">
      <formula>"Towel"</formula>
    </cfRule>
    <cfRule type="cellIs" dxfId="9838" priority="12148" stopIfTrue="1" operator="equal">
      <formula>"Napkin Hs"</formula>
    </cfRule>
  </conditionalFormatting>
  <conditionalFormatting sqref="C26">
    <cfRule type="cellIs" dxfId="9837" priority="12149" stopIfTrue="1" operator="equal">
      <formula>"Towel"</formula>
    </cfRule>
    <cfRule type="cellIs" dxfId="9836" priority="12150" stopIfTrue="1" operator="equal">
      <formula>"Napkin Hs"</formula>
    </cfRule>
  </conditionalFormatting>
  <conditionalFormatting sqref="B26:C26">
    <cfRule type="cellIs" dxfId="9835" priority="12207" stopIfTrue="1" operator="equal">
      <formula>"Towel"</formula>
    </cfRule>
    <cfRule type="cellIs" dxfId="9834" priority="12208" stopIfTrue="1" operator="equal">
      <formula>"Napkin Hs"</formula>
    </cfRule>
  </conditionalFormatting>
  <conditionalFormatting sqref="C26">
    <cfRule type="cellIs" dxfId="9833" priority="12203" stopIfTrue="1" operator="equal">
      <formula>"Towel"</formula>
    </cfRule>
    <cfRule type="cellIs" dxfId="9832" priority="12204" stopIfTrue="1" operator="equal">
      <formula>"Napkin Hs"</formula>
    </cfRule>
  </conditionalFormatting>
  <conditionalFormatting sqref="C26">
    <cfRule type="cellIs" dxfId="9831" priority="12206" stopIfTrue="1" operator="equal">
      <formula>"Napkin Hs"</formula>
    </cfRule>
  </conditionalFormatting>
  <conditionalFormatting sqref="C26">
    <cfRule type="cellIs" dxfId="9830" priority="12205" stopIfTrue="1" operator="equal">
      <formula>"Towel"</formula>
    </cfRule>
  </conditionalFormatting>
  <conditionalFormatting sqref="C26">
    <cfRule type="cellIs" dxfId="9829" priority="12197" stopIfTrue="1" operator="equal">
      <formula>"Towel"</formula>
    </cfRule>
    <cfRule type="cellIs" dxfId="9828" priority="12198" stopIfTrue="1" operator="equal">
      <formula>"Napkin Hs"</formula>
    </cfRule>
  </conditionalFormatting>
  <conditionalFormatting sqref="C26">
    <cfRule type="cellIs" dxfId="9827" priority="12201" stopIfTrue="1" operator="equal">
      <formula>"Towel"</formula>
    </cfRule>
    <cfRule type="cellIs" dxfId="9826" priority="12202" stopIfTrue="1" operator="equal">
      <formula>"Napkin Hs"</formula>
    </cfRule>
  </conditionalFormatting>
  <conditionalFormatting sqref="B26">
    <cfRule type="cellIs" dxfId="9825" priority="12187" stopIfTrue="1" operator="equal">
      <formula>"Towel"</formula>
    </cfRule>
    <cfRule type="cellIs" dxfId="9824" priority="12188" stopIfTrue="1" operator="equal">
      <formula>"Napkin Hs"</formula>
    </cfRule>
  </conditionalFormatting>
  <conditionalFormatting sqref="C26">
    <cfRule type="cellIs" dxfId="9823" priority="12199" stopIfTrue="1" operator="equal">
      <formula>"Towel"</formula>
    </cfRule>
    <cfRule type="cellIs" dxfId="9822" priority="12200" stopIfTrue="1" operator="equal">
      <formula>"Napkin Hs"</formula>
    </cfRule>
  </conditionalFormatting>
  <conditionalFormatting sqref="C26">
    <cfRule type="cellIs" dxfId="9821" priority="12191" stopIfTrue="1" operator="equal">
      <formula>"Towel"</formula>
    </cfRule>
    <cfRule type="cellIs" dxfId="9820" priority="12192" stopIfTrue="1" operator="equal">
      <formula>"Napkin Hs"</formula>
    </cfRule>
  </conditionalFormatting>
  <conditionalFormatting sqref="C26">
    <cfRule type="cellIs" dxfId="9819" priority="12193" stopIfTrue="1" operator="equal">
      <formula>"Towel"</formula>
    </cfRule>
    <cfRule type="cellIs" dxfId="9818" priority="12194" stopIfTrue="1" operator="equal">
      <formula>"Napkin Hs"</formula>
    </cfRule>
  </conditionalFormatting>
  <conditionalFormatting sqref="C26">
    <cfRule type="cellIs" dxfId="9817" priority="12195" stopIfTrue="1" operator="equal">
      <formula>"Towel"</formula>
    </cfRule>
    <cfRule type="cellIs" dxfId="9816" priority="12196" stopIfTrue="1" operator="equal">
      <formula>"Napkin Hs"</formula>
    </cfRule>
  </conditionalFormatting>
  <conditionalFormatting sqref="B26">
    <cfRule type="cellIs" dxfId="9815" priority="12189" stopIfTrue="1" operator="equal">
      <formula>"Towel"</formula>
    </cfRule>
    <cfRule type="cellIs" dxfId="9814" priority="12190" stopIfTrue="1" operator="equal">
      <formula>"Napkin Hs"</formula>
    </cfRule>
  </conditionalFormatting>
  <conditionalFormatting sqref="C26">
    <cfRule type="cellIs" dxfId="9813" priority="12181" stopIfTrue="1" operator="equal">
      <formula>"Towel"</formula>
    </cfRule>
    <cfRule type="cellIs" dxfId="9812" priority="12182" stopIfTrue="1" operator="equal">
      <formula>"Napkin Hs"</formula>
    </cfRule>
  </conditionalFormatting>
  <conditionalFormatting sqref="C26">
    <cfRule type="cellIs" dxfId="9811" priority="12185" stopIfTrue="1" operator="equal">
      <formula>"Towel"</formula>
    </cfRule>
    <cfRule type="cellIs" dxfId="9810" priority="12186" stopIfTrue="1" operator="equal">
      <formula>"Napkin Hs"</formula>
    </cfRule>
  </conditionalFormatting>
  <conditionalFormatting sqref="B26">
    <cfRule type="cellIs" dxfId="9809" priority="12171" stopIfTrue="1" operator="equal">
      <formula>"Towel"</formula>
    </cfRule>
    <cfRule type="cellIs" dxfId="9808" priority="12172" stopIfTrue="1" operator="equal">
      <formula>"Napkin Hs"</formula>
    </cfRule>
  </conditionalFormatting>
  <conditionalFormatting sqref="C26">
    <cfRule type="cellIs" dxfId="9807" priority="12183" stopIfTrue="1" operator="equal">
      <formula>"Towel"</formula>
    </cfRule>
    <cfRule type="cellIs" dxfId="9806" priority="12184" stopIfTrue="1" operator="equal">
      <formula>"Napkin Hs"</formula>
    </cfRule>
  </conditionalFormatting>
  <conditionalFormatting sqref="C26">
    <cfRule type="cellIs" dxfId="9805" priority="12175" stopIfTrue="1" operator="equal">
      <formula>"Towel"</formula>
    </cfRule>
    <cfRule type="cellIs" dxfId="9804" priority="12176" stopIfTrue="1" operator="equal">
      <formula>"Napkin Hs"</formula>
    </cfRule>
  </conditionalFormatting>
  <conditionalFormatting sqref="C26">
    <cfRule type="cellIs" dxfId="9803" priority="12177" stopIfTrue="1" operator="equal">
      <formula>"Towel"</formula>
    </cfRule>
    <cfRule type="cellIs" dxfId="9802" priority="12178" stopIfTrue="1" operator="equal">
      <formula>"Napkin Hs"</formula>
    </cfRule>
  </conditionalFormatting>
  <conditionalFormatting sqref="C26">
    <cfRule type="cellIs" dxfId="9801" priority="12179" stopIfTrue="1" operator="equal">
      <formula>"Towel"</formula>
    </cfRule>
    <cfRule type="cellIs" dxfId="9800" priority="12180" stopIfTrue="1" operator="equal">
      <formula>"Napkin Hs"</formula>
    </cfRule>
  </conditionalFormatting>
  <conditionalFormatting sqref="B26">
    <cfRule type="cellIs" dxfId="9799" priority="12173" stopIfTrue="1" operator="equal">
      <formula>"Towel"</formula>
    </cfRule>
    <cfRule type="cellIs" dxfId="9798" priority="12174" stopIfTrue="1" operator="equal">
      <formula>"Napkin Hs"</formula>
    </cfRule>
  </conditionalFormatting>
  <conditionalFormatting sqref="B26:C26">
    <cfRule type="cellIs" dxfId="9797" priority="12169" stopIfTrue="1" operator="equal">
      <formula>"Towel"</formula>
    </cfRule>
    <cfRule type="cellIs" dxfId="9796" priority="12170" stopIfTrue="1" operator="equal">
      <formula>"Napkin Hs"</formula>
    </cfRule>
  </conditionalFormatting>
  <conditionalFormatting sqref="C26">
    <cfRule type="cellIs" dxfId="9795" priority="12165" stopIfTrue="1" operator="equal">
      <formula>"Towel"</formula>
    </cfRule>
    <cfRule type="cellIs" dxfId="9794" priority="12166" stopIfTrue="1" operator="equal">
      <formula>"Napkin Hs"</formula>
    </cfRule>
  </conditionalFormatting>
  <conditionalFormatting sqref="C26">
    <cfRule type="cellIs" dxfId="9793" priority="12167" stopIfTrue="1" operator="equal">
      <formula>"Towel"</formula>
    </cfRule>
    <cfRule type="cellIs" dxfId="9792" priority="12168" stopIfTrue="1" operator="equal">
      <formula>"Napkin Hs"</formula>
    </cfRule>
  </conditionalFormatting>
  <conditionalFormatting sqref="B26:C26">
    <cfRule type="cellIs" dxfId="9791" priority="12163" stopIfTrue="1" operator="equal">
      <formula>"Towel"</formula>
    </cfRule>
    <cfRule type="cellIs" dxfId="9790" priority="12164" stopIfTrue="1" operator="equal">
      <formula>"Napkin Hs"</formula>
    </cfRule>
  </conditionalFormatting>
  <conditionalFormatting sqref="C26">
    <cfRule type="cellIs" dxfId="9789" priority="12161" stopIfTrue="1" operator="equal">
      <formula>"Towel"</formula>
    </cfRule>
    <cfRule type="cellIs" dxfId="9788" priority="12162" stopIfTrue="1" operator="equal">
      <formula>"Napkin Hs"</formula>
    </cfRule>
  </conditionalFormatting>
  <conditionalFormatting sqref="C26">
    <cfRule type="cellIs" dxfId="9787" priority="12159" stopIfTrue="1" operator="equal">
      <formula>"Towel"</formula>
    </cfRule>
    <cfRule type="cellIs" dxfId="9786" priority="12160" stopIfTrue="1" operator="equal">
      <formula>"Napkin Hs"</formula>
    </cfRule>
  </conditionalFormatting>
  <conditionalFormatting sqref="B26:C26">
    <cfRule type="cellIs" dxfId="9785" priority="12143" stopIfTrue="1" operator="equal">
      <formula>"Towel"</formula>
    </cfRule>
    <cfRule type="cellIs" dxfId="9784" priority="12144" stopIfTrue="1" operator="equal">
      <formula>"Napkin Hs"</formula>
    </cfRule>
  </conditionalFormatting>
  <conditionalFormatting sqref="C26">
    <cfRule type="cellIs" dxfId="9783" priority="12145" stopIfTrue="1" operator="equal">
      <formula>"Towel"</formula>
    </cfRule>
    <cfRule type="cellIs" dxfId="9782" priority="12146" stopIfTrue="1" operator="equal">
      <formula>"Napkin Hs"</formula>
    </cfRule>
  </conditionalFormatting>
  <conditionalFormatting sqref="C26">
    <cfRule type="cellIs" dxfId="9781" priority="12141" stopIfTrue="1" operator="equal">
      <formula>"Towel"</formula>
    </cfRule>
    <cfRule type="cellIs" dxfId="9780" priority="12142" stopIfTrue="1" operator="equal">
      <formula>"Napkin Hs"</formula>
    </cfRule>
  </conditionalFormatting>
  <conditionalFormatting sqref="B26:C26">
    <cfRule type="cellIs" dxfId="9779" priority="12139" stopIfTrue="1" operator="equal">
      <formula>"Towel"</formula>
    </cfRule>
    <cfRule type="cellIs" dxfId="9778" priority="12140" stopIfTrue="1" operator="equal">
      <formula>"Napkin Hs"</formula>
    </cfRule>
  </conditionalFormatting>
  <conditionalFormatting sqref="C26">
    <cfRule type="cellIs" dxfId="9777" priority="12135" stopIfTrue="1" operator="equal">
      <formula>"Towel"</formula>
    </cfRule>
    <cfRule type="cellIs" dxfId="9776" priority="12136" stopIfTrue="1" operator="equal">
      <formula>"Napkin Hs"</formula>
    </cfRule>
  </conditionalFormatting>
  <conditionalFormatting sqref="C26">
    <cfRule type="cellIs" dxfId="9775" priority="12137" stopIfTrue="1" operator="equal">
      <formula>"Towel"</formula>
    </cfRule>
    <cfRule type="cellIs" dxfId="9774" priority="12138" stopIfTrue="1" operator="equal">
      <formula>"Napkin Hs"</formula>
    </cfRule>
  </conditionalFormatting>
  <conditionalFormatting sqref="B26:C26">
    <cfRule type="cellIs" dxfId="9773" priority="12131" stopIfTrue="1" operator="equal">
      <formula>"Towel"</formula>
    </cfRule>
    <cfRule type="cellIs" dxfId="9772" priority="12132" stopIfTrue="1" operator="equal">
      <formula>"Napkin Hs"</formula>
    </cfRule>
  </conditionalFormatting>
  <conditionalFormatting sqref="C26">
    <cfRule type="cellIs" dxfId="9771" priority="12133" stopIfTrue="1" operator="equal">
      <formula>"Towel"</formula>
    </cfRule>
    <cfRule type="cellIs" dxfId="9770" priority="12134" stopIfTrue="1" operator="equal">
      <formula>"Napkin Hs"</formula>
    </cfRule>
  </conditionalFormatting>
  <conditionalFormatting sqref="C26">
    <cfRule type="cellIs" dxfId="9769" priority="12129" stopIfTrue="1" operator="equal">
      <formula>"Towel"</formula>
    </cfRule>
    <cfRule type="cellIs" dxfId="9768" priority="12130" stopIfTrue="1" operator="equal">
      <formula>"Napkin Hs"</formula>
    </cfRule>
  </conditionalFormatting>
  <conditionalFormatting sqref="B26:C26">
    <cfRule type="cellIs" dxfId="9767" priority="12127" stopIfTrue="1" operator="equal">
      <formula>"Towel"</formula>
    </cfRule>
    <cfRule type="cellIs" dxfId="9766" priority="12128" stopIfTrue="1" operator="equal">
      <formula>"Napkin Hs"</formula>
    </cfRule>
  </conditionalFormatting>
  <conditionalFormatting sqref="C26">
    <cfRule type="cellIs" dxfId="9765" priority="12123" stopIfTrue="1" operator="equal">
      <formula>"Towel"</formula>
    </cfRule>
    <cfRule type="cellIs" dxfId="9764" priority="12124" stopIfTrue="1" operator="equal">
      <formula>"Napkin Hs"</formula>
    </cfRule>
  </conditionalFormatting>
  <conditionalFormatting sqref="C26">
    <cfRule type="cellIs" dxfId="9763" priority="12125" stopIfTrue="1" operator="equal">
      <formula>"Towel"</formula>
    </cfRule>
    <cfRule type="cellIs" dxfId="9762" priority="12126" stopIfTrue="1" operator="equal">
      <formula>"Napkin Hs"</formula>
    </cfRule>
  </conditionalFormatting>
  <conditionalFormatting sqref="C27">
    <cfRule type="cellIs" dxfId="9761" priority="12069" stopIfTrue="1" operator="equal">
      <formula>"Towel"</formula>
    </cfRule>
    <cfRule type="cellIs" dxfId="9760" priority="12070" stopIfTrue="1" operator="equal">
      <formula>"Napkin Hs"</formula>
    </cfRule>
  </conditionalFormatting>
  <conditionalFormatting sqref="C27">
    <cfRule type="cellIs" dxfId="9759" priority="12071" stopIfTrue="1" operator="equal">
      <formula>"Towel"</formula>
    </cfRule>
    <cfRule type="cellIs" dxfId="9758" priority="12072" stopIfTrue="1" operator="equal">
      <formula>"Napkin Hs"</formula>
    </cfRule>
  </conditionalFormatting>
  <conditionalFormatting sqref="B27:C27">
    <cfRule type="cellIs" dxfId="9757" priority="12067" stopIfTrue="1" operator="equal">
      <formula>"Towel"</formula>
    </cfRule>
    <cfRule type="cellIs" dxfId="9756" priority="12068" stopIfTrue="1" operator="equal">
      <formula>"Napkin Hs"</formula>
    </cfRule>
  </conditionalFormatting>
  <conditionalFormatting sqref="C27">
    <cfRule type="cellIs" dxfId="9755" priority="12065" stopIfTrue="1" operator="equal">
      <formula>"Towel"</formula>
    </cfRule>
    <cfRule type="cellIs" dxfId="9754" priority="12066" stopIfTrue="1" operator="equal">
      <formula>"Napkin Hs"</formula>
    </cfRule>
  </conditionalFormatting>
  <conditionalFormatting sqref="B27:C27">
    <cfRule type="cellIs" dxfId="9753" priority="12061" stopIfTrue="1" operator="equal">
      <formula>"Towel"</formula>
    </cfRule>
    <cfRule type="cellIs" dxfId="9752" priority="12062" stopIfTrue="1" operator="equal">
      <formula>"Napkin Hs"</formula>
    </cfRule>
  </conditionalFormatting>
  <conditionalFormatting sqref="C27">
    <cfRule type="cellIs" dxfId="9751" priority="12063" stopIfTrue="1" operator="equal">
      <formula>"Towel"</formula>
    </cfRule>
    <cfRule type="cellIs" dxfId="9750" priority="12064" stopIfTrue="1" operator="equal">
      <formula>"Napkin Hs"</formula>
    </cfRule>
  </conditionalFormatting>
  <conditionalFormatting sqref="B27:C27">
    <cfRule type="cellIs" dxfId="9749" priority="12121" stopIfTrue="1" operator="equal">
      <formula>"Towel"</formula>
    </cfRule>
    <cfRule type="cellIs" dxfId="9748" priority="12122" stopIfTrue="1" operator="equal">
      <formula>"Napkin Hs"</formula>
    </cfRule>
  </conditionalFormatting>
  <conditionalFormatting sqref="C27">
    <cfRule type="cellIs" dxfId="9747" priority="12117" stopIfTrue="1" operator="equal">
      <formula>"Towel"</formula>
    </cfRule>
    <cfRule type="cellIs" dxfId="9746" priority="12118" stopIfTrue="1" operator="equal">
      <formula>"Napkin Hs"</formula>
    </cfRule>
  </conditionalFormatting>
  <conditionalFormatting sqref="C27">
    <cfRule type="cellIs" dxfId="9745" priority="12120" stopIfTrue="1" operator="equal">
      <formula>"Napkin Hs"</formula>
    </cfRule>
  </conditionalFormatting>
  <conditionalFormatting sqref="C27">
    <cfRule type="cellIs" dxfId="9744" priority="12119" stopIfTrue="1" operator="equal">
      <formula>"Towel"</formula>
    </cfRule>
  </conditionalFormatting>
  <conditionalFormatting sqref="C27">
    <cfRule type="cellIs" dxfId="9743" priority="12111" stopIfTrue="1" operator="equal">
      <formula>"Towel"</formula>
    </cfRule>
    <cfRule type="cellIs" dxfId="9742" priority="12112" stopIfTrue="1" operator="equal">
      <formula>"Napkin Hs"</formula>
    </cfRule>
  </conditionalFormatting>
  <conditionalFormatting sqref="C27">
    <cfRule type="cellIs" dxfId="9741" priority="12115" stopIfTrue="1" operator="equal">
      <formula>"Towel"</formula>
    </cfRule>
    <cfRule type="cellIs" dxfId="9740" priority="12116" stopIfTrue="1" operator="equal">
      <formula>"Napkin Hs"</formula>
    </cfRule>
  </conditionalFormatting>
  <conditionalFormatting sqref="B27">
    <cfRule type="cellIs" dxfId="9739" priority="12101" stopIfTrue="1" operator="equal">
      <formula>"Towel"</formula>
    </cfRule>
    <cfRule type="cellIs" dxfId="9738" priority="12102" stopIfTrue="1" operator="equal">
      <formula>"Napkin Hs"</formula>
    </cfRule>
  </conditionalFormatting>
  <conditionalFormatting sqref="C27">
    <cfRule type="cellIs" dxfId="9737" priority="12113" stopIfTrue="1" operator="equal">
      <formula>"Towel"</formula>
    </cfRule>
    <cfRule type="cellIs" dxfId="9736" priority="12114" stopIfTrue="1" operator="equal">
      <formula>"Napkin Hs"</formula>
    </cfRule>
  </conditionalFormatting>
  <conditionalFormatting sqref="C27">
    <cfRule type="cellIs" dxfId="9735" priority="12105" stopIfTrue="1" operator="equal">
      <formula>"Towel"</formula>
    </cfRule>
    <cfRule type="cellIs" dxfId="9734" priority="12106" stopIfTrue="1" operator="equal">
      <formula>"Napkin Hs"</formula>
    </cfRule>
  </conditionalFormatting>
  <conditionalFormatting sqref="C27">
    <cfRule type="cellIs" dxfId="9733" priority="12107" stopIfTrue="1" operator="equal">
      <formula>"Towel"</formula>
    </cfRule>
    <cfRule type="cellIs" dxfId="9732" priority="12108" stopIfTrue="1" operator="equal">
      <formula>"Napkin Hs"</formula>
    </cfRule>
  </conditionalFormatting>
  <conditionalFormatting sqref="C27">
    <cfRule type="cellIs" dxfId="9731" priority="12109" stopIfTrue="1" operator="equal">
      <formula>"Towel"</formula>
    </cfRule>
    <cfRule type="cellIs" dxfId="9730" priority="12110" stopIfTrue="1" operator="equal">
      <formula>"Napkin Hs"</formula>
    </cfRule>
  </conditionalFormatting>
  <conditionalFormatting sqref="B27">
    <cfRule type="cellIs" dxfId="9729" priority="12103" stopIfTrue="1" operator="equal">
      <formula>"Towel"</formula>
    </cfRule>
    <cfRule type="cellIs" dxfId="9728" priority="12104" stopIfTrue="1" operator="equal">
      <formula>"Napkin Hs"</formula>
    </cfRule>
  </conditionalFormatting>
  <conditionalFormatting sqref="C27">
    <cfRule type="cellIs" dxfId="9727" priority="12095" stopIfTrue="1" operator="equal">
      <formula>"Towel"</formula>
    </cfRule>
    <cfRule type="cellIs" dxfId="9726" priority="12096" stopIfTrue="1" operator="equal">
      <formula>"Napkin Hs"</formula>
    </cfRule>
  </conditionalFormatting>
  <conditionalFormatting sqref="C27">
    <cfRule type="cellIs" dxfId="9725" priority="12099" stopIfTrue="1" operator="equal">
      <formula>"Towel"</formula>
    </cfRule>
    <cfRule type="cellIs" dxfId="9724" priority="12100" stopIfTrue="1" operator="equal">
      <formula>"Napkin Hs"</formula>
    </cfRule>
  </conditionalFormatting>
  <conditionalFormatting sqref="B27">
    <cfRule type="cellIs" dxfId="9723" priority="12085" stopIfTrue="1" operator="equal">
      <formula>"Towel"</formula>
    </cfRule>
    <cfRule type="cellIs" dxfId="9722" priority="12086" stopIfTrue="1" operator="equal">
      <formula>"Napkin Hs"</formula>
    </cfRule>
  </conditionalFormatting>
  <conditionalFormatting sqref="C27">
    <cfRule type="cellIs" dxfId="9721" priority="12097" stopIfTrue="1" operator="equal">
      <formula>"Towel"</formula>
    </cfRule>
    <cfRule type="cellIs" dxfId="9720" priority="12098" stopIfTrue="1" operator="equal">
      <formula>"Napkin Hs"</formula>
    </cfRule>
  </conditionalFormatting>
  <conditionalFormatting sqref="C27">
    <cfRule type="cellIs" dxfId="9719" priority="12089" stopIfTrue="1" operator="equal">
      <formula>"Towel"</formula>
    </cfRule>
    <cfRule type="cellIs" dxfId="9718" priority="12090" stopIfTrue="1" operator="equal">
      <formula>"Napkin Hs"</formula>
    </cfRule>
  </conditionalFormatting>
  <conditionalFormatting sqref="C27">
    <cfRule type="cellIs" dxfId="9717" priority="12091" stopIfTrue="1" operator="equal">
      <formula>"Towel"</formula>
    </cfRule>
    <cfRule type="cellIs" dxfId="9716" priority="12092" stopIfTrue="1" operator="equal">
      <formula>"Napkin Hs"</formula>
    </cfRule>
  </conditionalFormatting>
  <conditionalFormatting sqref="C27">
    <cfRule type="cellIs" dxfId="9715" priority="12093" stopIfTrue="1" operator="equal">
      <formula>"Towel"</formula>
    </cfRule>
    <cfRule type="cellIs" dxfId="9714" priority="12094" stopIfTrue="1" operator="equal">
      <formula>"Napkin Hs"</formula>
    </cfRule>
  </conditionalFormatting>
  <conditionalFormatting sqref="B27">
    <cfRule type="cellIs" dxfId="9713" priority="12087" stopIfTrue="1" operator="equal">
      <formula>"Towel"</formula>
    </cfRule>
    <cfRule type="cellIs" dxfId="9712" priority="12088" stopIfTrue="1" operator="equal">
      <formula>"Napkin Hs"</formula>
    </cfRule>
  </conditionalFormatting>
  <conditionalFormatting sqref="B27:C27">
    <cfRule type="cellIs" dxfId="9711" priority="12083" stopIfTrue="1" operator="equal">
      <formula>"Towel"</formula>
    </cfRule>
    <cfRule type="cellIs" dxfId="9710" priority="12084" stopIfTrue="1" operator="equal">
      <formula>"Napkin Hs"</formula>
    </cfRule>
  </conditionalFormatting>
  <conditionalFormatting sqref="C27">
    <cfRule type="cellIs" dxfId="9709" priority="12079" stopIfTrue="1" operator="equal">
      <formula>"Towel"</formula>
    </cfRule>
    <cfRule type="cellIs" dxfId="9708" priority="12080" stopIfTrue="1" operator="equal">
      <formula>"Napkin Hs"</formula>
    </cfRule>
  </conditionalFormatting>
  <conditionalFormatting sqref="C27">
    <cfRule type="cellIs" dxfId="9707" priority="12081" stopIfTrue="1" operator="equal">
      <formula>"Towel"</formula>
    </cfRule>
    <cfRule type="cellIs" dxfId="9706" priority="12082" stopIfTrue="1" operator="equal">
      <formula>"Napkin Hs"</formula>
    </cfRule>
  </conditionalFormatting>
  <conditionalFormatting sqref="B27:C27">
    <cfRule type="cellIs" dxfId="9705" priority="12077" stopIfTrue="1" operator="equal">
      <formula>"Towel"</formula>
    </cfRule>
    <cfRule type="cellIs" dxfId="9704" priority="12078" stopIfTrue="1" operator="equal">
      <formula>"Napkin Hs"</formula>
    </cfRule>
  </conditionalFormatting>
  <conditionalFormatting sqref="C27">
    <cfRule type="cellIs" dxfId="9703" priority="12075" stopIfTrue="1" operator="equal">
      <formula>"Towel"</formula>
    </cfRule>
    <cfRule type="cellIs" dxfId="9702" priority="12076" stopIfTrue="1" operator="equal">
      <formula>"Napkin Hs"</formula>
    </cfRule>
  </conditionalFormatting>
  <conditionalFormatting sqref="C27">
    <cfRule type="cellIs" dxfId="9701" priority="12073" stopIfTrue="1" operator="equal">
      <formula>"Towel"</formula>
    </cfRule>
    <cfRule type="cellIs" dxfId="9700" priority="12074" stopIfTrue="1" operator="equal">
      <formula>"Napkin Hs"</formula>
    </cfRule>
  </conditionalFormatting>
  <conditionalFormatting sqref="B27:C27">
    <cfRule type="cellIs" dxfId="9699" priority="12057" stopIfTrue="1" operator="equal">
      <formula>"Towel"</formula>
    </cfRule>
    <cfRule type="cellIs" dxfId="9698" priority="12058" stopIfTrue="1" operator="equal">
      <formula>"Napkin Hs"</formula>
    </cfRule>
  </conditionalFormatting>
  <conditionalFormatting sqref="C27">
    <cfRule type="cellIs" dxfId="9697" priority="12059" stopIfTrue="1" operator="equal">
      <formula>"Towel"</formula>
    </cfRule>
    <cfRule type="cellIs" dxfId="9696" priority="12060" stopIfTrue="1" operator="equal">
      <formula>"Napkin Hs"</formula>
    </cfRule>
  </conditionalFormatting>
  <conditionalFormatting sqref="C27">
    <cfRule type="cellIs" dxfId="9695" priority="12055" stopIfTrue="1" operator="equal">
      <formula>"Towel"</formula>
    </cfRule>
    <cfRule type="cellIs" dxfId="9694" priority="12056" stopIfTrue="1" operator="equal">
      <formula>"Napkin Hs"</formula>
    </cfRule>
  </conditionalFormatting>
  <conditionalFormatting sqref="B27:C27">
    <cfRule type="cellIs" dxfId="9693" priority="12053" stopIfTrue="1" operator="equal">
      <formula>"Towel"</formula>
    </cfRule>
    <cfRule type="cellIs" dxfId="9692" priority="12054" stopIfTrue="1" operator="equal">
      <formula>"Napkin Hs"</formula>
    </cfRule>
  </conditionalFormatting>
  <conditionalFormatting sqref="C27">
    <cfRule type="cellIs" dxfId="9691" priority="12049" stopIfTrue="1" operator="equal">
      <formula>"Towel"</formula>
    </cfRule>
    <cfRule type="cellIs" dxfId="9690" priority="12050" stopIfTrue="1" operator="equal">
      <formula>"Napkin Hs"</formula>
    </cfRule>
  </conditionalFormatting>
  <conditionalFormatting sqref="C27">
    <cfRule type="cellIs" dxfId="9689" priority="12051" stopIfTrue="1" operator="equal">
      <formula>"Towel"</formula>
    </cfRule>
    <cfRule type="cellIs" dxfId="9688" priority="12052" stopIfTrue="1" operator="equal">
      <formula>"Napkin Hs"</formula>
    </cfRule>
  </conditionalFormatting>
  <conditionalFormatting sqref="B27:C27">
    <cfRule type="cellIs" dxfId="9687" priority="12045" stopIfTrue="1" operator="equal">
      <formula>"Towel"</formula>
    </cfRule>
    <cfRule type="cellIs" dxfId="9686" priority="12046" stopIfTrue="1" operator="equal">
      <formula>"Napkin Hs"</formula>
    </cfRule>
  </conditionalFormatting>
  <conditionalFormatting sqref="C27">
    <cfRule type="cellIs" dxfId="9685" priority="12047" stopIfTrue="1" operator="equal">
      <formula>"Towel"</formula>
    </cfRule>
    <cfRule type="cellIs" dxfId="9684" priority="12048" stopIfTrue="1" operator="equal">
      <formula>"Napkin Hs"</formula>
    </cfRule>
  </conditionalFormatting>
  <conditionalFormatting sqref="C27">
    <cfRule type="cellIs" dxfId="9683" priority="12043" stopIfTrue="1" operator="equal">
      <formula>"Towel"</formula>
    </cfRule>
    <cfRule type="cellIs" dxfId="9682" priority="12044" stopIfTrue="1" operator="equal">
      <formula>"Napkin Hs"</formula>
    </cfRule>
  </conditionalFormatting>
  <conditionalFormatting sqref="B27:C27">
    <cfRule type="cellIs" dxfId="9681" priority="12041" stopIfTrue="1" operator="equal">
      <formula>"Towel"</formula>
    </cfRule>
    <cfRule type="cellIs" dxfId="9680" priority="12042" stopIfTrue="1" operator="equal">
      <formula>"Napkin Hs"</formula>
    </cfRule>
  </conditionalFormatting>
  <conditionalFormatting sqref="C27">
    <cfRule type="cellIs" dxfId="9679" priority="12037" stopIfTrue="1" operator="equal">
      <formula>"Towel"</formula>
    </cfRule>
    <cfRule type="cellIs" dxfId="9678" priority="12038" stopIfTrue="1" operator="equal">
      <formula>"Napkin Hs"</formula>
    </cfRule>
  </conditionalFormatting>
  <conditionalFormatting sqref="C27">
    <cfRule type="cellIs" dxfId="9677" priority="12039" stopIfTrue="1" operator="equal">
      <formula>"Towel"</formula>
    </cfRule>
    <cfRule type="cellIs" dxfId="9676" priority="12040" stopIfTrue="1" operator="equal">
      <formula>"Napkin Hs"</formula>
    </cfRule>
  </conditionalFormatting>
  <conditionalFormatting sqref="B35:C35">
    <cfRule type="cellIs" dxfId="9675" priority="12035" stopIfTrue="1" operator="equal">
      <formula>"Towel"</formula>
    </cfRule>
    <cfRule type="cellIs" dxfId="9674" priority="12036" stopIfTrue="1" operator="equal">
      <formula>"Napkin Hs"</formula>
    </cfRule>
  </conditionalFormatting>
  <conditionalFormatting sqref="C35">
    <cfRule type="cellIs" dxfId="9673" priority="12031" stopIfTrue="1" operator="equal">
      <formula>"Towel"</formula>
    </cfRule>
    <cfRule type="cellIs" dxfId="9672" priority="12032" stopIfTrue="1" operator="equal">
      <formula>"Napkin Hs"</formula>
    </cfRule>
  </conditionalFormatting>
  <conditionalFormatting sqref="C35">
    <cfRule type="cellIs" dxfId="9671" priority="12034" stopIfTrue="1" operator="equal">
      <formula>"Napkin Hs"</formula>
    </cfRule>
  </conditionalFormatting>
  <conditionalFormatting sqref="C35">
    <cfRule type="cellIs" dxfId="9670" priority="12033" stopIfTrue="1" operator="equal">
      <formula>"Towel"</formula>
    </cfRule>
  </conditionalFormatting>
  <conditionalFormatting sqref="C36">
    <cfRule type="cellIs" dxfId="9669" priority="12027" stopIfTrue="1" operator="equal">
      <formula>"Towel"</formula>
    </cfRule>
    <cfRule type="cellIs" dxfId="9668" priority="12028" stopIfTrue="1" operator="equal">
      <formula>"Napkin Hs"</formula>
    </cfRule>
  </conditionalFormatting>
  <conditionalFormatting sqref="C36">
    <cfRule type="cellIs" dxfId="9667" priority="12029" stopIfTrue="1" operator="equal">
      <formula>"Towel"</formula>
    </cfRule>
    <cfRule type="cellIs" dxfId="9666" priority="12030" stopIfTrue="1" operator="equal">
      <formula>"Napkin Hs"</formula>
    </cfRule>
  </conditionalFormatting>
  <conditionalFormatting sqref="C36">
    <cfRule type="cellIs" dxfId="9665" priority="12025" stopIfTrue="1" operator="equal">
      <formula>"Towel"</formula>
    </cfRule>
    <cfRule type="cellIs" dxfId="9664" priority="12026" stopIfTrue="1" operator="equal">
      <formula>"Napkin Hs"</formula>
    </cfRule>
  </conditionalFormatting>
  <conditionalFormatting sqref="B36">
    <cfRule type="cellIs" dxfId="9663" priority="12023" stopIfTrue="1" operator="equal">
      <formula>"Towel"</formula>
    </cfRule>
    <cfRule type="cellIs" dxfId="9662" priority="12024" stopIfTrue="1" operator="equal">
      <formula>"Napkin Hs"</formula>
    </cfRule>
  </conditionalFormatting>
  <conditionalFormatting sqref="C34">
    <cfRule type="cellIs" dxfId="9661" priority="11999" stopIfTrue="1" operator="equal">
      <formula>"Towel"</formula>
    </cfRule>
  </conditionalFormatting>
  <conditionalFormatting sqref="C34">
    <cfRule type="cellIs" dxfId="9660" priority="12000" stopIfTrue="1" operator="equal">
      <formula>"Napkin Hs"</formula>
    </cfRule>
    <cfRule type="cellIs" dxfId="9659" priority="12005" stopIfTrue="1" operator="equal">
      <formula>"Towel"</formula>
    </cfRule>
    <cfRule type="cellIs" dxfId="9658" priority="12006" stopIfTrue="1" operator="equal">
      <formula>"Napkin Hs"</formula>
    </cfRule>
    <cfRule type="cellIs" dxfId="9657" priority="12015" stopIfTrue="1" operator="equal">
      <formula>"Towel"</formula>
    </cfRule>
    <cfRule type="cellIs" dxfId="9656" priority="12016" stopIfTrue="1" operator="equal">
      <formula>"Napkin Hs"</formula>
    </cfRule>
    <cfRule type="cellIs" dxfId="9655" priority="12021" stopIfTrue="1" operator="equal">
      <formula>"Towel"</formula>
    </cfRule>
    <cfRule type="cellIs" dxfId="9654" priority="12022" stopIfTrue="1" operator="equal">
      <formula>"Napkin Hs"</formula>
    </cfRule>
  </conditionalFormatting>
  <conditionalFormatting sqref="C34">
    <cfRule type="cellIs" dxfId="9653" priority="12001" stopIfTrue="1" operator="equal">
      <formula>"Towel"</formula>
    </cfRule>
    <cfRule type="cellIs" dxfId="9652" priority="12002" stopIfTrue="1" operator="equal">
      <formula>"Napkin Hs"</formula>
    </cfRule>
    <cfRule type="cellIs" dxfId="9651" priority="12003" stopIfTrue="1" operator="equal">
      <formula>"Towel"</formula>
    </cfRule>
    <cfRule type="cellIs" dxfId="9650" priority="12004" stopIfTrue="1" operator="equal">
      <formula>"Napkin Hs"</formula>
    </cfRule>
    <cfRule type="cellIs" dxfId="9649" priority="12007" stopIfTrue="1" operator="equal">
      <formula>"Towel"</formula>
    </cfRule>
    <cfRule type="cellIs" dxfId="9648" priority="12008" stopIfTrue="1" operator="equal">
      <formula>"Napkin Hs"</formula>
    </cfRule>
    <cfRule type="cellIs" dxfId="9647" priority="12009" stopIfTrue="1" operator="equal">
      <formula>"Towel"</formula>
    </cfRule>
    <cfRule type="cellIs" dxfId="9646" priority="12010" stopIfTrue="1" operator="equal">
      <formula>"Napkin Hs"</formula>
    </cfRule>
    <cfRule type="cellIs" dxfId="9645" priority="12011" stopIfTrue="1" operator="equal">
      <formula>"Towel"</formula>
    </cfRule>
    <cfRule type="cellIs" dxfId="9644" priority="12012" stopIfTrue="1" operator="equal">
      <formula>"Napkin Hs"</formula>
    </cfRule>
    <cfRule type="cellIs" dxfId="9643" priority="12013" stopIfTrue="1" operator="equal">
      <formula>"Towel"</formula>
    </cfRule>
    <cfRule type="cellIs" dxfId="9642" priority="12014" stopIfTrue="1" operator="equal">
      <formula>"Napkin Hs"</formula>
    </cfRule>
    <cfRule type="cellIs" dxfId="9641" priority="12017" stopIfTrue="1" operator="equal">
      <formula>"Towel"</formula>
    </cfRule>
    <cfRule type="cellIs" dxfId="9640" priority="12018" stopIfTrue="1" operator="equal">
      <formula>"Napkin Hs"</formula>
    </cfRule>
    <cfRule type="cellIs" dxfId="9639" priority="12020" stopIfTrue="1" operator="equal">
      <formula>"Napkin Hs"</formula>
    </cfRule>
  </conditionalFormatting>
  <conditionalFormatting sqref="C34">
    <cfRule type="cellIs" dxfId="9638" priority="12019" stopIfTrue="1" operator="equal">
      <formula>"Towel"</formula>
    </cfRule>
  </conditionalFormatting>
  <conditionalFormatting sqref="C34">
    <cfRule type="cellIs" dxfId="9637" priority="11997" stopIfTrue="1" operator="equal">
      <formula>"Towel"</formula>
    </cfRule>
    <cfRule type="cellIs" dxfId="9636" priority="11998" stopIfTrue="1" operator="equal">
      <formula>"Napkin Hs"</formula>
    </cfRule>
  </conditionalFormatting>
  <conditionalFormatting sqref="C34">
    <cfRule type="cellIs" dxfId="9635" priority="11996" stopIfTrue="1" operator="equal">
      <formula>"Napkin Hs"</formula>
    </cfRule>
  </conditionalFormatting>
  <conditionalFormatting sqref="C34">
    <cfRule type="cellIs" dxfId="9634" priority="11995" stopIfTrue="1" operator="equal">
      <formula>"Towel"</formula>
    </cfRule>
  </conditionalFormatting>
  <conditionalFormatting sqref="C34">
    <cfRule type="cellIs" dxfId="9633" priority="11993" stopIfTrue="1" operator="equal">
      <formula>"Towel"</formula>
    </cfRule>
  </conditionalFormatting>
  <conditionalFormatting sqref="C34">
    <cfRule type="cellIs" dxfId="9632" priority="11994" stopIfTrue="1" operator="equal">
      <formula>"Napkin Hs"</formula>
    </cfRule>
  </conditionalFormatting>
  <conditionalFormatting sqref="C34">
    <cfRule type="cellIs" dxfId="9631" priority="11897" stopIfTrue="1" operator="equal">
      <formula>"Towel"</formula>
    </cfRule>
  </conditionalFormatting>
  <conditionalFormatting sqref="C34">
    <cfRule type="cellIs" dxfId="9630" priority="11907" stopIfTrue="1" operator="equal">
      <formula>"Towel"</formula>
    </cfRule>
    <cfRule type="cellIs" dxfId="9629" priority="11908" stopIfTrue="1" operator="equal">
      <formula>"Napkin Hs"</formula>
    </cfRule>
    <cfRule type="cellIs" dxfId="9628" priority="11913" stopIfTrue="1" operator="equal">
      <formula>"Towel"</formula>
    </cfRule>
    <cfRule type="cellIs" dxfId="9627" priority="11914" stopIfTrue="1" operator="equal">
      <formula>"Napkin Hs"</formula>
    </cfRule>
    <cfRule type="cellIs" dxfId="9626" priority="11919" stopIfTrue="1" operator="equal">
      <formula>"Towel"</formula>
    </cfRule>
    <cfRule type="cellIs" dxfId="9625" priority="11920" stopIfTrue="1" operator="equal">
      <formula>"Napkin Hs"</formula>
    </cfRule>
    <cfRule type="cellIs" dxfId="9624" priority="11921" stopIfTrue="1" operator="equal">
      <formula>"Towel"</formula>
    </cfRule>
    <cfRule type="cellIs" dxfId="9623" priority="11922" stopIfTrue="1" operator="equal">
      <formula>"Napkin Hs"</formula>
    </cfRule>
    <cfRule type="cellIs" dxfId="9622" priority="11927" stopIfTrue="1" operator="equal">
      <formula>"Towel"</formula>
    </cfRule>
    <cfRule type="cellIs" dxfId="9621" priority="11928" stopIfTrue="1" operator="equal">
      <formula>"Napkin Hs"</formula>
    </cfRule>
    <cfRule type="cellIs" dxfId="9620" priority="11937" stopIfTrue="1" operator="equal">
      <formula>"Towel"</formula>
    </cfRule>
    <cfRule type="cellIs" dxfId="9619" priority="11938" stopIfTrue="1" operator="equal">
      <formula>"Napkin Hs"</formula>
    </cfRule>
    <cfRule type="cellIs" dxfId="9618" priority="11943" stopIfTrue="1" operator="equal">
      <formula>"Towel"</formula>
    </cfRule>
    <cfRule type="cellIs" dxfId="9617" priority="11944" stopIfTrue="1" operator="equal">
      <formula>"Napkin Hs"</formula>
    </cfRule>
    <cfRule type="cellIs" dxfId="9616" priority="11945" stopIfTrue="1" operator="equal">
      <formula>"Towel"</formula>
    </cfRule>
    <cfRule type="cellIs" dxfId="9615" priority="11946" stopIfTrue="1" operator="equal">
      <formula>"Napkin Hs"</formula>
    </cfRule>
    <cfRule type="cellIs" dxfId="9614" priority="11951" stopIfTrue="1" operator="equal">
      <formula>"Towel"</formula>
    </cfRule>
    <cfRule type="cellIs" dxfId="9613" priority="11952" stopIfTrue="1" operator="equal">
      <formula>"Napkin Hs"</formula>
    </cfRule>
    <cfRule type="cellIs" dxfId="9612" priority="11961" stopIfTrue="1" operator="equal">
      <formula>"Towel"</formula>
    </cfRule>
    <cfRule type="cellIs" dxfId="9611" priority="11962" stopIfTrue="1" operator="equal">
      <formula>"Napkin Hs"</formula>
    </cfRule>
    <cfRule type="cellIs" dxfId="9610" priority="11963" stopIfTrue="1" operator="equal">
      <formula>"Towel"</formula>
    </cfRule>
    <cfRule type="cellIs" dxfId="9609" priority="11964" stopIfTrue="1" operator="equal">
      <formula>"Napkin Hs"</formula>
    </cfRule>
    <cfRule type="cellIs" dxfId="9608" priority="11969" stopIfTrue="1" operator="equal">
      <formula>"Towel"</formula>
    </cfRule>
    <cfRule type="cellIs" dxfId="9607" priority="11970" stopIfTrue="1" operator="equal">
      <formula>"Napkin Hs"</formula>
    </cfRule>
    <cfRule type="cellIs" dxfId="9606" priority="11979" stopIfTrue="1" operator="equal">
      <formula>"Towel"</formula>
    </cfRule>
    <cfRule type="cellIs" dxfId="9605" priority="11980" stopIfTrue="1" operator="equal">
      <formula>"Napkin Hs"</formula>
    </cfRule>
    <cfRule type="cellIs" dxfId="9604" priority="11981" stopIfTrue="1" operator="equal">
      <formula>"Towel"</formula>
    </cfRule>
    <cfRule type="cellIs" dxfId="9603" priority="11982" stopIfTrue="1" operator="equal">
      <formula>"Napkin Hs"</formula>
    </cfRule>
    <cfRule type="cellIs" dxfId="9602" priority="11988" stopIfTrue="1" operator="equal">
      <formula>"Napkin Hs"</formula>
    </cfRule>
  </conditionalFormatting>
  <conditionalFormatting sqref="C34">
    <cfRule type="cellIs" dxfId="9601" priority="11987" stopIfTrue="1" operator="equal">
      <formula>"Towel"</formula>
    </cfRule>
  </conditionalFormatting>
  <conditionalFormatting sqref="C34">
    <cfRule type="cellIs" dxfId="9600" priority="11898" stopIfTrue="1" operator="equal">
      <formula>"Napkin Hs"</formula>
    </cfRule>
    <cfRule type="cellIs" dxfId="9599" priority="11899" stopIfTrue="1" operator="equal">
      <formula>"Towel"</formula>
    </cfRule>
    <cfRule type="cellIs" dxfId="9598" priority="11900" stopIfTrue="1" operator="equal">
      <formula>"Napkin Hs"</formula>
    </cfRule>
    <cfRule type="cellIs" dxfId="9597" priority="11901" stopIfTrue="1" operator="equal">
      <formula>"Towel"</formula>
    </cfRule>
    <cfRule type="cellIs" dxfId="9596" priority="11902" stopIfTrue="1" operator="equal">
      <formula>"Napkin Hs"</formula>
    </cfRule>
    <cfRule type="cellIs" dxfId="9595" priority="11903" stopIfTrue="1" operator="equal">
      <formula>"Towel"</formula>
    </cfRule>
    <cfRule type="cellIs" dxfId="9594" priority="11904" stopIfTrue="1" operator="equal">
      <formula>"Napkin Hs"</formula>
    </cfRule>
    <cfRule type="cellIs" dxfId="9593" priority="11905" stopIfTrue="1" operator="equal">
      <formula>"Towel"</formula>
    </cfRule>
    <cfRule type="cellIs" dxfId="9592" priority="11906" stopIfTrue="1" operator="equal">
      <formula>"Napkin Hs"</formula>
    </cfRule>
    <cfRule type="cellIs" dxfId="9591" priority="11909" stopIfTrue="1" operator="equal">
      <formula>"Towel"</formula>
    </cfRule>
    <cfRule type="cellIs" dxfId="9590" priority="11910" stopIfTrue="1" operator="equal">
      <formula>"Napkin Hs"</formula>
    </cfRule>
    <cfRule type="cellIs" dxfId="9589" priority="11911" stopIfTrue="1" operator="equal">
      <formula>"Towel"</formula>
    </cfRule>
    <cfRule type="cellIs" dxfId="9588" priority="11912" stopIfTrue="1" operator="equal">
      <formula>"Napkin Hs"</formula>
    </cfRule>
    <cfRule type="cellIs" dxfId="9587" priority="11915" stopIfTrue="1" operator="equal">
      <formula>"Towel"</formula>
    </cfRule>
    <cfRule type="cellIs" dxfId="9586" priority="11916" stopIfTrue="1" operator="equal">
      <formula>"Napkin Hs"</formula>
    </cfRule>
    <cfRule type="cellIs" dxfId="9585" priority="11917" stopIfTrue="1" operator="equal">
      <formula>"Towel"</formula>
    </cfRule>
    <cfRule type="cellIs" dxfId="9584" priority="11918" stopIfTrue="1" operator="equal">
      <formula>"Napkin Hs"</formula>
    </cfRule>
    <cfRule type="cellIs" dxfId="9583" priority="11923" stopIfTrue="1" operator="equal">
      <formula>"Towel"</formula>
    </cfRule>
    <cfRule type="cellIs" dxfId="9582" priority="11924" stopIfTrue="1" operator="equal">
      <formula>"Napkin Hs"</formula>
    </cfRule>
    <cfRule type="cellIs" dxfId="9581" priority="11925" stopIfTrue="1" operator="equal">
      <formula>"Towel"</formula>
    </cfRule>
    <cfRule type="cellIs" dxfId="9580" priority="11926" stopIfTrue="1" operator="equal">
      <formula>"Napkin Hs"</formula>
    </cfRule>
    <cfRule type="cellIs" dxfId="9579" priority="11929" stopIfTrue="1" operator="equal">
      <formula>"Towel"</formula>
    </cfRule>
    <cfRule type="cellIs" dxfId="9578" priority="11930" stopIfTrue="1" operator="equal">
      <formula>"Napkin Hs"</formula>
    </cfRule>
    <cfRule type="cellIs" dxfId="9577" priority="11931" stopIfTrue="1" operator="equal">
      <formula>"Towel"</formula>
    </cfRule>
    <cfRule type="cellIs" dxfId="9576" priority="11932" stopIfTrue="1" operator="equal">
      <formula>"Napkin Hs"</formula>
    </cfRule>
    <cfRule type="cellIs" dxfId="9575" priority="11933" stopIfTrue="1" operator="equal">
      <formula>"Towel"</formula>
    </cfRule>
    <cfRule type="cellIs" dxfId="9574" priority="11934" stopIfTrue="1" operator="equal">
      <formula>"Napkin Hs"</formula>
    </cfRule>
    <cfRule type="cellIs" dxfId="9573" priority="11935" stopIfTrue="1" operator="equal">
      <formula>"Towel"</formula>
    </cfRule>
    <cfRule type="cellIs" dxfId="9572" priority="11936" stopIfTrue="1" operator="equal">
      <formula>"Napkin Hs"</formula>
    </cfRule>
    <cfRule type="cellIs" dxfId="9571" priority="11939" stopIfTrue="1" operator="equal">
      <formula>"Towel"</formula>
    </cfRule>
    <cfRule type="cellIs" dxfId="9570" priority="11940" stopIfTrue="1" operator="equal">
      <formula>"Napkin Hs"</formula>
    </cfRule>
    <cfRule type="cellIs" dxfId="9569" priority="11941" stopIfTrue="1" operator="equal">
      <formula>"Towel"</formula>
    </cfRule>
    <cfRule type="cellIs" dxfId="9568" priority="11942" stopIfTrue="1" operator="equal">
      <formula>"Napkin Hs"</formula>
    </cfRule>
    <cfRule type="cellIs" dxfId="9567" priority="11947" stopIfTrue="1" operator="equal">
      <formula>"Towel"</formula>
    </cfRule>
    <cfRule type="cellIs" dxfId="9566" priority="11948" stopIfTrue="1" operator="equal">
      <formula>"Napkin Hs"</formula>
    </cfRule>
    <cfRule type="cellIs" dxfId="9565" priority="11949" stopIfTrue="1" operator="equal">
      <formula>"Towel"</formula>
    </cfRule>
    <cfRule type="cellIs" dxfId="9564" priority="11950" stopIfTrue="1" operator="equal">
      <formula>"Napkin Hs"</formula>
    </cfRule>
    <cfRule type="cellIs" dxfId="9563" priority="11953" stopIfTrue="1" operator="equal">
      <formula>"Towel"</formula>
    </cfRule>
    <cfRule type="cellIs" dxfId="9562" priority="11954" stopIfTrue="1" operator="equal">
      <formula>"Napkin Hs"</formula>
    </cfRule>
    <cfRule type="cellIs" dxfId="9561" priority="11955" stopIfTrue="1" operator="equal">
      <formula>"Towel"</formula>
    </cfRule>
    <cfRule type="cellIs" dxfId="9560" priority="11956" stopIfTrue="1" operator="equal">
      <formula>"Napkin Hs"</formula>
    </cfRule>
    <cfRule type="cellIs" dxfId="9559" priority="11957" stopIfTrue="1" operator="equal">
      <formula>"Towel"</formula>
    </cfRule>
    <cfRule type="cellIs" dxfId="9558" priority="11958" stopIfTrue="1" operator="equal">
      <formula>"Napkin Hs"</formula>
    </cfRule>
    <cfRule type="cellIs" dxfId="9557" priority="11959" stopIfTrue="1" operator="equal">
      <formula>"Towel"</formula>
    </cfRule>
    <cfRule type="cellIs" dxfId="9556" priority="11960" stopIfTrue="1" operator="equal">
      <formula>"Napkin Hs"</formula>
    </cfRule>
    <cfRule type="cellIs" dxfId="9555" priority="11965" stopIfTrue="1" operator="equal">
      <formula>"Towel"</formula>
    </cfRule>
    <cfRule type="cellIs" dxfId="9554" priority="11966" stopIfTrue="1" operator="equal">
      <formula>"Napkin Hs"</formula>
    </cfRule>
    <cfRule type="cellIs" dxfId="9553" priority="11967" stopIfTrue="1" operator="equal">
      <formula>"Towel"</formula>
    </cfRule>
    <cfRule type="cellIs" dxfId="9552" priority="11968" stopIfTrue="1" operator="equal">
      <formula>"Napkin Hs"</formula>
    </cfRule>
    <cfRule type="cellIs" dxfId="9551" priority="11971" stopIfTrue="1" operator="equal">
      <formula>"Towel"</formula>
    </cfRule>
    <cfRule type="cellIs" dxfId="9550" priority="11972" stopIfTrue="1" operator="equal">
      <formula>"Napkin Hs"</formula>
    </cfRule>
    <cfRule type="cellIs" dxfId="9549" priority="11973" stopIfTrue="1" operator="equal">
      <formula>"Towel"</formula>
    </cfRule>
    <cfRule type="cellIs" dxfId="9548" priority="11974" stopIfTrue="1" operator="equal">
      <formula>"Napkin Hs"</formula>
    </cfRule>
    <cfRule type="cellIs" dxfId="9547" priority="11975" stopIfTrue="1" operator="equal">
      <formula>"Towel"</formula>
    </cfRule>
    <cfRule type="cellIs" dxfId="9546" priority="11976" stopIfTrue="1" operator="equal">
      <formula>"Napkin Hs"</formula>
    </cfRule>
    <cfRule type="cellIs" dxfId="9545" priority="11977" stopIfTrue="1" operator="equal">
      <formula>"Towel"</formula>
    </cfRule>
    <cfRule type="cellIs" dxfId="9544" priority="11978" stopIfTrue="1" operator="equal">
      <formula>"Napkin Hs"</formula>
    </cfRule>
    <cfRule type="cellIs" dxfId="9543" priority="11983" stopIfTrue="1" operator="equal">
      <formula>"Towel"</formula>
    </cfRule>
    <cfRule type="cellIs" dxfId="9542" priority="11984" stopIfTrue="1" operator="equal">
      <formula>"Napkin Hs"</formula>
    </cfRule>
    <cfRule type="cellIs" dxfId="9541" priority="11985" stopIfTrue="1" operator="equal">
      <formula>"Towel"</formula>
    </cfRule>
    <cfRule type="cellIs" dxfId="9540" priority="11986" stopIfTrue="1" operator="equal">
      <formula>"Napkin Hs"</formula>
    </cfRule>
    <cfRule type="cellIs" dxfId="9539" priority="11989" stopIfTrue="1" operator="equal">
      <formula>"Towel"</formula>
    </cfRule>
    <cfRule type="cellIs" dxfId="9538" priority="11990" stopIfTrue="1" operator="equal">
      <formula>"Napkin Hs"</formula>
    </cfRule>
    <cfRule type="cellIs" dxfId="9537" priority="11991" stopIfTrue="1" operator="equal">
      <formula>"Towel"</formula>
    </cfRule>
    <cfRule type="cellIs" dxfId="9536" priority="11992" stopIfTrue="1" operator="equal">
      <formula>"Napkin Hs"</formula>
    </cfRule>
  </conditionalFormatting>
  <conditionalFormatting sqref="C34">
    <cfRule type="cellIs" dxfId="9535" priority="11873" stopIfTrue="1" operator="equal">
      <formula>"Towel"</formula>
    </cfRule>
  </conditionalFormatting>
  <conditionalFormatting sqref="C34">
    <cfRule type="cellIs" dxfId="9534" priority="11874" stopIfTrue="1" operator="equal">
      <formula>"Napkin Hs"</formula>
    </cfRule>
    <cfRule type="cellIs" dxfId="9533" priority="11879" stopIfTrue="1" operator="equal">
      <formula>"Towel"</formula>
    </cfRule>
    <cfRule type="cellIs" dxfId="9532" priority="11880" stopIfTrue="1" operator="equal">
      <formula>"Napkin Hs"</formula>
    </cfRule>
    <cfRule type="cellIs" dxfId="9531" priority="11889" stopIfTrue="1" operator="equal">
      <formula>"Towel"</formula>
    </cfRule>
    <cfRule type="cellIs" dxfId="9530" priority="11890" stopIfTrue="1" operator="equal">
      <formula>"Napkin Hs"</formula>
    </cfRule>
    <cfRule type="cellIs" dxfId="9529" priority="11895" stopIfTrue="1" operator="equal">
      <formula>"Towel"</formula>
    </cfRule>
    <cfRule type="cellIs" dxfId="9528" priority="11896" stopIfTrue="1" operator="equal">
      <formula>"Napkin Hs"</formula>
    </cfRule>
  </conditionalFormatting>
  <conditionalFormatting sqref="C34">
    <cfRule type="cellIs" dxfId="9527" priority="11875" stopIfTrue="1" operator="equal">
      <formula>"Towel"</formula>
    </cfRule>
    <cfRule type="cellIs" dxfId="9526" priority="11876" stopIfTrue="1" operator="equal">
      <formula>"Napkin Hs"</formula>
    </cfRule>
    <cfRule type="cellIs" dxfId="9525" priority="11877" stopIfTrue="1" operator="equal">
      <formula>"Towel"</formula>
    </cfRule>
    <cfRule type="cellIs" dxfId="9524" priority="11878" stopIfTrue="1" operator="equal">
      <formula>"Napkin Hs"</formula>
    </cfRule>
    <cfRule type="cellIs" dxfId="9523" priority="11881" stopIfTrue="1" operator="equal">
      <formula>"Towel"</formula>
    </cfRule>
    <cfRule type="cellIs" dxfId="9522" priority="11882" stopIfTrue="1" operator="equal">
      <formula>"Napkin Hs"</formula>
    </cfRule>
    <cfRule type="cellIs" dxfId="9521" priority="11883" stopIfTrue="1" operator="equal">
      <formula>"Towel"</formula>
    </cfRule>
    <cfRule type="cellIs" dxfId="9520" priority="11884" stopIfTrue="1" operator="equal">
      <formula>"Napkin Hs"</formula>
    </cfRule>
    <cfRule type="cellIs" dxfId="9519" priority="11885" stopIfTrue="1" operator="equal">
      <formula>"Towel"</formula>
    </cfRule>
    <cfRule type="cellIs" dxfId="9518" priority="11886" stopIfTrue="1" operator="equal">
      <formula>"Napkin Hs"</formula>
    </cfRule>
    <cfRule type="cellIs" dxfId="9517" priority="11887" stopIfTrue="1" operator="equal">
      <formula>"Towel"</formula>
    </cfRule>
    <cfRule type="cellIs" dxfId="9516" priority="11888" stopIfTrue="1" operator="equal">
      <formula>"Napkin Hs"</formula>
    </cfRule>
    <cfRule type="cellIs" dxfId="9515" priority="11891" stopIfTrue="1" operator="equal">
      <formula>"Towel"</formula>
    </cfRule>
    <cfRule type="cellIs" dxfId="9514" priority="11892" stopIfTrue="1" operator="equal">
      <formula>"Napkin Hs"</formula>
    </cfRule>
    <cfRule type="cellIs" dxfId="9513" priority="11894" stopIfTrue="1" operator="equal">
      <formula>"Napkin Hs"</formula>
    </cfRule>
  </conditionalFormatting>
  <conditionalFormatting sqref="C34">
    <cfRule type="cellIs" dxfId="9512" priority="11893" stopIfTrue="1" operator="equal">
      <formula>"Towel"</formula>
    </cfRule>
  </conditionalFormatting>
  <conditionalFormatting sqref="C34">
    <cfRule type="cellIs" dxfId="9511" priority="11871" stopIfTrue="1" operator="equal">
      <formula>"Towel"</formula>
    </cfRule>
    <cfRule type="cellIs" dxfId="9510" priority="11872" stopIfTrue="1" operator="equal">
      <formula>"Napkin Hs"</formula>
    </cfRule>
  </conditionalFormatting>
  <conditionalFormatting sqref="C34">
    <cfRule type="cellIs" dxfId="9509" priority="11870" stopIfTrue="1" operator="equal">
      <formula>"Napkin Hs"</formula>
    </cfRule>
  </conditionalFormatting>
  <conditionalFormatting sqref="C34">
    <cfRule type="cellIs" dxfId="9508" priority="11869" stopIfTrue="1" operator="equal">
      <formula>"Towel"</formula>
    </cfRule>
  </conditionalFormatting>
  <conditionalFormatting sqref="C34">
    <cfRule type="cellIs" dxfId="9507" priority="11867" stopIfTrue="1" operator="equal">
      <formula>"Towel"</formula>
    </cfRule>
  </conditionalFormatting>
  <conditionalFormatting sqref="C34">
    <cfRule type="cellIs" dxfId="9506" priority="11868" stopIfTrue="1" operator="equal">
      <formula>"Napkin Hs"</formula>
    </cfRule>
  </conditionalFormatting>
  <conditionalFormatting sqref="C34">
    <cfRule type="cellIs" dxfId="9505" priority="11771" stopIfTrue="1" operator="equal">
      <formula>"Towel"</formula>
    </cfRule>
  </conditionalFormatting>
  <conditionalFormatting sqref="C34">
    <cfRule type="cellIs" dxfId="9504" priority="11781" stopIfTrue="1" operator="equal">
      <formula>"Towel"</formula>
    </cfRule>
    <cfRule type="cellIs" dxfId="9503" priority="11782" stopIfTrue="1" operator="equal">
      <formula>"Napkin Hs"</formula>
    </cfRule>
    <cfRule type="cellIs" dxfId="9502" priority="11787" stopIfTrue="1" operator="equal">
      <formula>"Towel"</formula>
    </cfRule>
    <cfRule type="cellIs" dxfId="9501" priority="11788" stopIfTrue="1" operator="equal">
      <formula>"Napkin Hs"</formula>
    </cfRule>
    <cfRule type="cellIs" dxfId="9500" priority="11793" stopIfTrue="1" operator="equal">
      <formula>"Towel"</formula>
    </cfRule>
    <cfRule type="cellIs" dxfId="9499" priority="11794" stopIfTrue="1" operator="equal">
      <formula>"Napkin Hs"</formula>
    </cfRule>
    <cfRule type="cellIs" dxfId="9498" priority="11795" stopIfTrue="1" operator="equal">
      <formula>"Towel"</formula>
    </cfRule>
    <cfRule type="cellIs" dxfId="9497" priority="11796" stopIfTrue="1" operator="equal">
      <formula>"Napkin Hs"</formula>
    </cfRule>
    <cfRule type="cellIs" dxfId="9496" priority="11801" stopIfTrue="1" operator="equal">
      <formula>"Towel"</formula>
    </cfRule>
    <cfRule type="cellIs" dxfId="9495" priority="11802" stopIfTrue="1" operator="equal">
      <formula>"Napkin Hs"</formula>
    </cfRule>
    <cfRule type="cellIs" dxfId="9494" priority="11811" stopIfTrue="1" operator="equal">
      <formula>"Towel"</formula>
    </cfRule>
    <cfRule type="cellIs" dxfId="9493" priority="11812" stopIfTrue="1" operator="equal">
      <formula>"Napkin Hs"</formula>
    </cfRule>
    <cfRule type="cellIs" dxfId="9492" priority="11817" stopIfTrue="1" operator="equal">
      <formula>"Towel"</formula>
    </cfRule>
    <cfRule type="cellIs" dxfId="9491" priority="11818" stopIfTrue="1" operator="equal">
      <formula>"Napkin Hs"</formula>
    </cfRule>
    <cfRule type="cellIs" dxfId="9490" priority="11819" stopIfTrue="1" operator="equal">
      <formula>"Towel"</formula>
    </cfRule>
    <cfRule type="cellIs" dxfId="9489" priority="11820" stopIfTrue="1" operator="equal">
      <formula>"Napkin Hs"</formula>
    </cfRule>
    <cfRule type="cellIs" dxfId="9488" priority="11825" stopIfTrue="1" operator="equal">
      <formula>"Towel"</formula>
    </cfRule>
    <cfRule type="cellIs" dxfId="9487" priority="11826" stopIfTrue="1" operator="equal">
      <formula>"Napkin Hs"</formula>
    </cfRule>
    <cfRule type="cellIs" dxfId="9486" priority="11835" stopIfTrue="1" operator="equal">
      <formula>"Towel"</formula>
    </cfRule>
    <cfRule type="cellIs" dxfId="9485" priority="11836" stopIfTrue="1" operator="equal">
      <formula>"Napkin Hs"</formula>
    </cfRule>
    <cfRule type="cellIs" dxfId="9484" priority="11837" stopIfTrue="1" operator="equal">
      <formula>"Towel"</formula>
    </cfRule>
    <cfRule type="cellIs" dxfId="9483" priority="11838" stopIfTrue="1" operator="equal">
      <formula>"Napkin Hs"</formula>
    </cfRule>
    <cfRule type="cellIs" dxfId="9482" priority="11843" stopIfTrue="1" operator="equal">
      <formula>"Towel"</formula>
    </cfRule>
    <cfRule type="cellIs" dxfId="9481" priority="11844" stopIfTrue="1" operator="equal">
      <formula>"Napkin Hs"</formula>
    </cfRule>
    <cfRule type="cellIs" dxfId="9480" priority="11853" stopIfTrue="1" operator="equal">
      <formula>"Towel"</formula>
    </cfRule>
    <cfRule type="cellIs" dxfId="9479" priority="11854" stopIfTrue="1" operator="equal">
      <formula>"Napkin Hs"</formula>
    </cfRule>
    <cfRule type="cellIs" dxfId="9478" priority="11855" stopIfTrue="1" operator="equal">
      <formula>"Towel"</formula>
    </cfRule>
    <cfRule type="cellIs" dxfId="9477" priority="11856" stopIfTrue="1" operator="equal">
      <formula>"Napkin Hs"</formula>
    </cfRule>
    <cfRule type="cellIs" dxfId="9476" priority="11862" stopIfTrue="1" operator="equal">
      <formula>"Napkin Hs"</formula>
    </cfRule>
  </conditionalFormatting>
  <conditionalFormatting sqref="C34">
    <cfRule type="cellIs" dxfId="9475" priority="11861" stopIfTrue="1" operator="equal">
      <formula>"Towel"</formula>
    </cfRule>
  </conditionalFormatting>
  <conditionalFormatting sqref="C34">
    <cfRule type="cellIs" dxfId="9474" priority="11772" stopIfTrue="1" operator="equal">
      <formula>"Napkin Hs"</formula>
    </cfRule>
    <cfRule type="cellIs" dxfId="9473" priority="11773" stopIfTrue="1" operator="equal">
      <formula>"Towel"</formula>
    </cfRule>
    <cfRule type="cellIs" dxfId="9472" priority="11774" stopIfTrue="1" operator="equal">
      <formula>"Napkin Hs"</formula>
    </cfRule>
    <cfRule type="cellIs" dxfId="9471" priority="11775" stopIfTrue="1" operator="equal">
      <formula>"Towel"</formula>
    </cfRule>
    <cfRule type="cellIs" dxfId="9470" priority="11776" stopIfTrue="1" operator="equal">
      <formula>"Napkin Hs"</formula>
    </cfRule>
    <cfRule type="cellIs" dxfId="9469" priority="11777" stopIfTrue="1" operator="equal">
      <formula>"Towel"</formula>
    </cfRule>
    <cfRule type="cellIs" dxfId="9468" priority="11778" stopIfTrue="1" operator="equal">
      <formula>"Napkin Hs"</formula>
    </cfRule>
    <cfRule type="cellIs" dxfId="9467" priority="11779" stopIfTrue="1" operator="equal">
      <formula>"Towel"</formula>
    </cfRule>
    <cfRule type="cellIs" dxfId="9466" priority="11780" stopIfTrue="1" operator="equal">
      <formula>"Napkin Hs"</formula>
    </cfRule>
    <cfRule type="cellIs" dxfId="9465" priority="11783" stopIfTrue="1" operator="equal">
      <formula>"Towel"</formula>
    </cfRule>
    <cfRule type="cellIs" dxfId="9464" priority="11784" stopIfTrue="1" operator="equal">
      <formula>"Napkin Hs"</formula>
    </cfRule>
    <cfRule type="cellIs" dxfId="9463" priority="11785" stopIfTrue="1" operator="equal">
      <formula>"Towel"</formula>
    </cfRule>
    <cfRule type="cellIs" dxfId="9462" priority="11786" stopIfTrue="1" operator="equal">
      <formula>"Napkin Hs"</formula>
    </cfRule>
    <cfRule type="cellIs" dxfId="9461" priority="11789" stopIfTrue="1" operator="equal">
      <formula>"Towel"</formula>
    </cfRule>
    <cfRule type="cellIs" dxfId="9460" priority="11790" stopIfTrue="1" operator="equal">
      <formula>"Napkin Hs"</formula>
    </cfRule>
    <cfRule type="cellIs" dxfId="9459" priority="11791" stopIfTrue="1" operator="equal">
      <formula>"Towel"</formula>
    </cfRule>
    <cfRule type="cellIs" dxfId="9458" priority="11792" stopIfTrue="1" operator="equal">
      <formula>"Napkin Hs"</formula>
    </cfRule>
    <cfRule type="cellIs" dxfId="9457" priority="11797" stopIfTrue="1" operator="equal">
      <formula>"Towel"</formula>
    </cfRule>
    <cfRule type="cellIs" dxfId="9456" priority="11798" stopIfTrue="1" operator="equal">
      <formula>"Napkin Hs"</formula>
    </cfRule>
    <cfRule type="cellIs" dxfId="9455" priority="11799" stopIfTrue="1" operator="equal">
      <formula>"Towel"</formula>
    </cfRule>
    <cfRule type="cellIs" dxfId="9454" priority="11800" stopIfTrue="1" operator="equal">
      <formula>"Napkin Hs"</formula>
    </cfRule>
    <cfRule type="cellIs" dxfId="9453" priority="11803" stopIfTrue="1" operator="equal">
      <formula>"Towel"</formula>
    </cfRule>
    <cfRule type="cellIs" dxfId="9452" priority="11804" stopIfTrue="1" operator="equal">
      <formula>"Napkin Hs"</formula>
    </cfRule>
    <cfRule type="cellIs" dxfId="9451" priority="11805" stopIfTrue="1" operator="equal">
      <formula>"Towel"</formula>
    </cfRule>
    <cfRule type="cellIs" dxfId="9450" priority="11806" stopIfTrue="1" operator="equal">
      <formula>"Napkin Hs"</formula>
    </cfRule>
    <cfRule type="cellIs" dxfId="9449" priority="11807" stopIfTrue="1" operator="equal">
      <formula>"Towel"</formula>
    </cfRule>
    <cfRule type="cellIs" dxfId="9448" priority="11808" stopIfTrue="1" operator="equal">
      <formula>"Napkin Hs"</formula>
    </cfRule>
    <cfRule type="cellIs" dxfId="9447" priority="11809" stopIfTrue="1" operator="equal">
      <formula>"Towel"</formula>
    </cfRule>
    <cfRule type="cellIs" dxfId="9446" priority="11810" stopIfTrue="1" operator="equal">
      <formula>"Napkin Hs"</formula>
    </cfRule>
    <cfRule type="cellIs" dxfId="9445" priority="11813" stopIfTrue="1" operator="equal">
      <formula>"Towel"</formula>
    </cfRule>
    <cfRule type="cellIs" dxfId="9444" priority="11814" stopIfTrue="1" operator="equal">
      <formula>"Napkin Hs"</formula>
    </cfRule>
    <cfRule type="cellIs" dxfId="9443" priority="11815" stopIfTrue="1" operator="equal">
      <formula>"Towel"</formula>
    </cfRule>
    <cfRule type="cellIs" dxfId="9442" priority="11816" stopIfTrue="1" operator="equal">
      <formula>"Napkin Hs"</formula>
    </cfRule>
    <cfRule type="cellIs" dxfId="9441" priority="11821" stopIfTrue="1" operator="equal">
      <formula>"Towel"</formula>
    </cfRule>
    <cfRule type="cellIs" dxfId="9440" priority="11822" stopIfTrue="1" operator="equal">
      <formula>"Napkin Hs"</formula>
    </cfRule>
    <cfRule type="cellIs" dxfId="9439" priority="11823" stopIfTrue="1" operator="equal">
      <formula>"Towel"</formula>
    </cfRule>
    <cfRule type="cellIs" dxfId="9438" priority="11824" stopIfTrue="1" operator="equal">
      <formula>"Napkin Hs"</formula>
    </cfRule>
    <cfRule type="cellIs" dxfId="9437" priority="11827" stopIfTrue="1" operator="equal">
      <formula>"Towel"</formula>
    </cfRule>
    <cfRule type="cellIs" dxfId="9436" priority="11828" stopIfTrue="1" operator="equal">
      <formula>"Napkin Hs"</formula>
    </cfRule>
    <cfRule type="cellIs" dxfId="9435" priority="11829" stopIfTrue="1" operator="equal">
      <formula>"Towel"</formula>
    </cfRule>
    <cfRule type="cellIs" dxfId="9434" priority="11830" stopIfTrue="1" operator="equal">
      <formula>"Napkin Hs"</formula>
    </cfRule>
    <cfRule type="cellIs" dxfId="9433" priority="11831" stopIfTrue="1" operator="equal">
      <formula>"Towel"</formula>
    </cfRule>
    <cfRule type="cellIs" dxfId="9432" priority="11832" stopIfTrue="1" operator="equal">
      <formula>"Napkin Hs"</formula>
    </cfRule>
    <cfRule type="cellIs" dxfId="9431" priority="11833" stopIfTrue="1" operator="equal">
      <formula>"Towel"</formula>
    </cfRule>
    <cfRule type="cellIs" dxfId="9430" priority="11834" stopIfTrue="1" operator="equal">
      <formula>"Napkin Hs"</formula>
    </cfRule>
    <cfRule type="cellIs" dxfId="9429" priority="11839" stopIfTrue="1" operator="equal">
      <formula>"Towel"</formula>
    </cfRule>
    <cfRule type="cellIs" dxfId="9428" priority="11840" stopIfTrue="1" operator="equal">
      <formula>"Napkin Hs"</formula>
    </cfRule>
    <cfRule type="cellIs" dxfId="9427" priority="11841" stopIfTrue="1" operator="equal">
      <formula>"Towel"</formula>
    </cfRule>
    <cfRule type="cellIs" dxfId="9426" priority="11842" stopIfTrue="1" operator="equal">
      <formula>"Napkin Hs"</formula>
    </cfRule>
    <cfRule type="cellIs" dxfId="9425" priority="11845" stopIfTrue="1" operator="equal">
      <formula>"Towel"</formula>
    </cfRule>
    <cfRule type="cellIs" dxfId="9424" priority="11846" stopIfTrue="1" operator="equal">
      <formula>"Napkin Hs"</formula>
    </cfRule>
    <cfRule type="cellIs" dxfId="9423" priority="11847" stopIfTrue="1" operator="equal">
      <formula>"Towel"</formula>
    </cfRule>
    <cfRule type="cellIs" dxfId="9422" priority="11848" stopIfTrue="1" operator="equal">
      <formula>"Napkin Hs"</formula>
    </cfRule>
    <cfRule type="cellIs" dxfId="9421" priority="11849" stopIfTrue="1" operator="equal">
      <formula>"Towel"</formula>
    </cfRule>
    <cfRule type="cellIs" dxfId="9420" priority="11850" stopIfTrue="1" operator="equal">
      <formula>"Napkin Hs"</formula>
    </cfRule>
    <cfRule type="cellIs" dxfId="9419" priority="11851" stopIfTrue="1" operator="equal">
      <formula>"Towel"</formula>
    </cfRule>
    <cfRule type="cellIs" dxfId="9418" priority="11852" stopIfTrue="1" operator="equal">
      <formula>"Napkin Hs"</formula>
    </cfRule>
    <cfRule type="cellIs" dxfId="9417" priority="11857" stopIfTrue="1" operator="equal">
      <formula>"Towel"</formula>
    </cfRule>
    <cfRule type="cellIs" dxfId="9416" priority="11858" stopIfTrue="1" operator="equal">
      <formula>"Napkin Hs"</formula>
    </cfRule>
    <cfRule type="cellIs" dxfId="9415" priority="11859" stopIfTrue="1" operator="equal">
      <formula>"Towel"</formula>
    </cfRule>
    <cfRule type="cellIs" dxfId="9414" priority="11860" stopIfTrue="1" operator="equal">
      <formula>"Napkin Hs"</formula>
    </cfRule>
    <cfRule type="cellIs" dxfId="9413" priority="11863" stopIfTrue="1" operator="equal">
      <formula>"Towel"</formula>
    </cfRule>
    <cfRule type="cellIs" dxfId="9412" priority="11864" stopIfTrue="1" operator="equal">
      <formula>"Napkin Hs"</formula>
    </cfRule>
    <cfRule type="cellIs" dxfId="9411" priority="11865" stopIfTrue="1" operator="equal">
      <formula>"Towel"</formula>
    </cfRule>
    <cfRule type="cellIs" dxfId="9410" priority="11866" stopIfTrue="1" operator="equal">
      <formula>"Napkin Hs"</formula>
    </cfRule>
  </conditionalFormatting>
  <conditionalFormatting sqref="C34">
    <cfRule type="cellIs" dxfId="9409" priority="11753" stopIfTrue="1" operator="equal">
      <formula>"Towel"</formula>
    </cfRule>
    <cfRule type="cellIs" dxfId="9408" priority="11754" stopIfTrue="1" operator="equal">
      <formula>"Napkin Hs"</formula>
    </cfRule>
  </conditionalFormatting>
  <conditionalFormatting sqref="C34">
    <cfRule type="cellIs" dxfId="9407" priority="11755" stopIfTrue="1" operator="equal">
      <formula>"Towel"</formula>
    </cfRule>
    <cfRule type="cellIs" dxfId="9406" priority="11756" stopIfTrue="1" operator="equal">
      <formula>"Napkin Hs"</formula>
    </cfRule>
  </conditionalFormatting>
  <conditionalFormatting sqref="C34">
    <cfRule type="cellIs" dxfId="9405" priority="11751" stopIfTrue="1" operator="equal">
      <formula>"Towel"</formula>
    </cfRule>
    <cfRule type="cellIs" dxfId="9404" priority="11752" stopIfTrue="1" operator="equal">
      <formula>"Napkin Hs"</formula>
    </cfRule>
  </conditionalFormatting>
  <conditionalFormatting sqref="C34">
    <cfRule type="cellIs" dxfId="9403" priority="11749" stopIfTrue="1" operator="equal">
      <formula>"Towel"</formula>
    </cfRule>
    <cfRule type="cellIs" dxfId="9402" priority="11750" stopIfTrue="1" operator="equal">
      <formula>"Napkin Hs"</formula>
    </cfRule>
  </conditionalFormatting>
  <conditionalFormatting sqref="C34">
    <cfRule type="cellIs" dxfId="9401" priority="11747" stopIfTrue="1" operator="equal">
      <formula>"Towel"</formula>
    </cfRule>
    <cfRule type="cellIs" dxfId="9400" priority="11748" stopIfTrue="1" operator="equal">
      <formula>"Napkin Hs"</formula>
    </cfRule>
  </conditionalFormatting>
  <conditionalFormatting sqref="C34">
    <cfRule type="cellIs" dxfId="9399" priority="11767" stopIfTrue="1" operator="equal">
      <formula>"Towel"</formula>
    </cfRule>
    <cfRule type="cellIs" dxfId="9398" priority="11768" stopIfTrue="1" operator="equal">
      <formula>"Napkin Hs"</formula>
    </cfRule>
  </conditionalFormatting>
  <conditionalFormatting sqref="C34">
    <cfRule type="cellIs" dxfId="9397" priority="11769" stopIfTrue="1" operator="equal">
      <formula>"Towel"</formula>
    </cfRule>
    <cfRule type="cellIs" dxfId="9396" priority="11770" stopIfTrue="1" operator="equal">
      <formula>"Napkin Hs"</formula>
    </cfRule>
  </conditionalFormatting>
  <conditionalFormatting sqref="C34">
    <cfRule type="cellIs" dxfId="9395" priority="11765" stopIfTrue="1" operator="equal">
      <formula>"Towel"</formula>
    </cfRule>
    <cfRule type="cellIs" dxfId="9394" priority="11766" stopIfTrue="1" operator="equal">
      <formula>"Napkin Hs"</formula>
    </cfRule>
  </conditionalFormatting>
  <conditionalFormatting sqref="C34">
    <cfRule type="cellIs" dxfId="9393" priority="11763" stopIfTrue="1" operator="equal">
      <formula>"Towel"</formula>
    </cfRule>
    <cfRule type="cellIs" dxfId="9392" priority="11764" stopIfTrue="1" operator="equal">
      <formula>"Napkin Hs"</formula>
    </cfRule>
  </conditionalFormatting>
  <conditionalFormatting sqref="C34">
    <cfRule type="cellIs" dxfId="9391" priority="11759" stopIfTrue="1" operator="equal">
      <formula>"Towel"</formula>
    </cfRule>
    <cfRule type="cellIs" dxfId="9390" priority="11760" stopIfTrue="1" operator="equal">
      <formula>"Napkin Hs"</formula>
    </cfRule>
  </conditionalFormatting>
  <conditionalFormatting sqref="C34">
    <cfRule type="cellIs" dxfId="9389" priority="11761" stopIfTrue="1" operator="equal">
      <formula>"Towel"</formula>
    </cfRule>
    <cfRule type="cellIs" dxfId="9388" priority="11762" stopIfTrue="1" operator="equal">
      <formula>"Napkin Hs"</formula>
    </cfRule>
  </conditionalFormatting>
  <conditionalFormatting sqref="C34">
    <cfRule type="cellIs" dxfId="9387" priority="11757" stopIfTrue="1" operator="equal">
      <formula>"Towel"</formula>
    </cfRule>
    <cfRule type="cellIs" dxfId="9386" priority="11758" stopIfTrue="1" operator="equal">
      <formula>"Napkin Hs"</formula>
    </cfRule>
  </conditionalFormatting>
  <conditionalFormatting sqref="C33:C35">
    <cfRule type="cellIs" dxfId="9385" priority="11693" stopIfTrue="1" operator="equal">
      <formula>"Towel"</formula>
    </cfRule>
    <cfRule type="cellIs" dxfId="9384" priority="11694" stopIfTrue="1" operator="equal">
      <formula>"Napkin Hs"</formula>
    </cfRule>
  </conditionalFormatting>
  <conditionalFormatting sqref="C33:C35">
    <cfRule type="cellIs" dxfId="9383" priority="11695" stopIfTrue="1" operator="equal">
      <formula>"Towel"</formula>
    </cfRule>
    <cfRule type="cellIs" dxfId="9382" priority="11696" stopIfTrue="1" operator="equal">
      <formula>"Napkin Hs"</formula>
    </cfRule>
  </conditionalFormatting>
  <conditionalFormatting sqref="B33:C35">
    <cfRule type="cellIs" dxfId="9381" priority="11691" stopIfTrue="1" operator="equal">
      <formula>"Towel"</formula>
    </cfRule>
    <cfRule type="cellIs" dxfId="9380" priority="11692" stopIfTrue="1" operator="equal">
      <formula>"Napkin Hs"</formula>
    </cfRule>
  </conditionalFormatting>
  <conditionalFormatting sqref="C33:C35">
    <cfRule type="cellIs" dxfId="9379" priority="11689" stopIfTrue="1" operator="equal">
      <formula>"Towel"</formula>
    </cfRule>
    <cfRule type="cellIs" dxfId="9378" priority="11690" stopIfTrue="1" operator="equal">
      <formula>"Napkin Hs"</formula>
    </cfRule>
  </conditionalFormatting>
  <conditionalFormatting sqref="B33:C35">
    <cfRule type="cellIs" dxfId="9377" priority="11685" stopIfTrue="1" operator="equal">
      <formula>"Towel"</formula>
    </cfRule>
    <cfRule type="cellIs" dxfId="9376" priority="11686" stopIfTrue="1" operator="equal">
      <formula>"Napkin Hs"</formula>
    </cfRule>
  </conditionalFormatting>
  <conditionalFormatting sqref="C33:C35">
    <cfRule type="cellIs" dxfId="9375" priority="11687" stopIfTrue="1" operator="equal">
      <formula>"Towel"</formula>
    </cfRule>
    <cfRule type="cellIs" dxfId="9374" priority="11688" stopIfTrue="1" operator="equal">
      <formula>"Napkin Hs"</formula>
    </cfRule>
  </conditionalFormatting>
  <conditionalFormatting sqref="B33:C35">
    <cfRule type="cellIs" dxfId="9373" priority="11745" stopIfTrue="1" operator="equal">
      <formula>"Towel"</formula>
    </cfRule>
    <cfRule type="cellIs" dxfId="9372" priority="11746" stopIfTrue="1" operator="equal">
      <formula>"Napkin Hs"</formula>
    </cfRule>
  </conditionalFormatting>
  <conditionalFormatting sqref="C33:C35">
    <cfRule type="cellIs" dxfId="9371" priority="11741" stopIfTrue="1" operator="equal">
      <formula>"Towel"</formula>
    </cfRule>
    <cfRule type="cellIs" dxfId="9370" priority="11742" stopIfTrue="1" operator="equal">
      <formula>"Napkin Hs"</formula>
    </cfRule>
  </conditionalFormatting>
  <conditionalFormatting sqref="C33:C35">
    <cfRule type="cellIs" dxfId="9369" priority="11744" stopIfTrue="1" operator="equal">
      <formula>"Napkin Hs"</formula>
    </cfRule>
  </conditionalFormatting>
  <conditionalFormatting sqref="C33:C35">
    <cfRule type="cellIs" dxfId="9368" priority="11743" stopIfTrue="1" operator="equal">
      <formula>"Towel"</formula>
    </cfRule>
  </conditionalFormatting>
  <conditionalFormatting sqref="C33:C35">
    <cfRule type="cellIs" dxfId="9367" priority="11735" stopIfTrue="1" operator="equal">
      <formula>"Towel"</formula>
    </cfRule>
    <cfRule type="cellIs" dxfId="9366" priority="11736" stopIfTrue="1" operator="equal">
      <formula>"Napkin Hs"</formula>
    </cfRule>
  </conditionalFormatting>
  <conditionalFormatting sqref="C33:C35">
    <cfRule type="cellIs" dxfId="9365" priority="11739" stopIfTrue="1" operator="equal">
      <formula>"Towel"</formula>
    </cfRule>
    <cfRule type="cellIs" dxfId="9364" priority="11740" stopIfTrue="1" operator="equal">
      <formula>"Napkin Hs"</formula>
    </cfRule>
  </conditionalFormatting>
  <conditionalFormatting sqref="B33:B35">
    <cfRule type="cellIs" dxfId="9363" priority="11725" stopIfTrue="1" operator="equal">
      <formula>"Towel"</formula>
    </cfRule>
    <cfRule type="cellIs" dxfId="9362" priority="11726" stopIfTrue="1" operator="equal">
      <formula>"Napkin Hs"</formula>
    </cfRule>
  </conditionalFormatting>
  <conditionalFormatting sqref="C33:C35">
    <cfRule type="cellIs" dxfId="9361" priority="11737" stopIfTrue="1" operator="equal">
      <formula>"Towel"</formula>
    </cfRule>
    <cfRule type="cellIs" dxfId="9360" priority="11738" stopIfTrue="1" operator="equal">
      <formula>"Napkin Hs"</formula>
    </cfRule>
  </conditionalFormatting>
  <conditionalFormatting sqref="C33:C35">
    <cfRule type="cellIs" dxfId="9359" priority="11729" stopIfTrue="1" operator="equal">
      <formula>"Towel"</formula>
    </cfRule>
    <cfRule type="cellIs" dxfId="9358" priority="11730" stopIfTrue="1" operator="equal">
      <formula>"Napkin Hs"</formula>
    </cfRule>
  </conditionalFormatting>
  <conditionalFormatting sqref="C33:C35">
    <cfRule type="cellIs" dxfId="9357" priority="11731" stopIfTrue="1" operator="equal">
      <formula>"Towel"</formula>
    </cfRule>
    <cfRule type="cellIs" dxfId="9356" priority="11732" stopIfTrue="1" operator="equal">
      <formula>"Napkin Hs"</formula>
    </cfRule>
  </conditionalFormatting>
  <conditionalFormatting sqref="C33:C35">
    <cfRule type="cellIs" dxfId="9355" priority="11733" stopIfTrue="1" operator="equal">
      <formula>"Towel"</formula>
    </cfRule>
    <cfRule type="cellIs" dxfId="9354" priority="11734" stopIfTrue="1" operator="equal">
      <formula>"Napkin Hs"</formula>
    </cfRule>
  </conditionalFormatting>
  <conditionalFormatting sqref="B33:B35">
    <cfRule type="cellIs" dxfId="9353" priority="11727" stopIfTrue="1" operator="equal">
      <formula>"Towel"</formula>
    </cfRule>
    <cfRule type="cellIs" dxfId="9352" priority="11728" stopIfTrue="1" operator="equal">
      <formula>"Napkin Hs"</formula>
    </cfRule>
  </conditionalFormatting>
  <conditionalFormatting sqref="C33:C35">
    <cfRule type="cellIs" dxfId="9351" priority="11719" stopIfTrue="1" operator="equal">
      <formula>"Towel"</formula>
    </cfRule>
    <cfRule type="cellIs" dxfId="9350" priority="11720" stopIfTrue="1" operator="equal">
      <formula>"Napkin Hs"</formula>
    </cfRule>
  </conditionalFormatting>
  <conditionalFormatting sqref="C33:C35">
    <cfRule type="cellIs" dxfId="9349" priority="11723" stopIfTrue="1" operator="equal">
      <formula>"Towel"</formula>
    </cfRule>
    <cfRule type="cellIs" dxfId="9348" priority="11724" stopIfTrue="1" operator="equal">
      <formula>"Napkin Hs"</formula>
    </cfRule>
  </conditionalFormatting>
  <conditionalFormatting sqref="B33:B35">
    <cfRule type="cellIs" dxfId="9347" priority="11709" stopIfTrue="1" operator="equal">
      <formula>"Towel"</formula>
    </cfRule>
    <cfRule type="cellIs" dxfId="9346" priority="11710" stopIfTrue="1" operator="equal">
      <formula>"Napkin Hs"</formula>
    </cfRule>
  </conditionalFormatting>
  <conditionalFormatting sqref="C33:C35">
    <cfRule type="cellIs" dxfId="9345" priority="11721" stopIfTrue="1" operator="equal">
      <formula>"Towel"</formula>
    </cfRule>
    <cfRule type="cellIs" dxfId="9344" priority="11722" stopIfTrue="1" operator="equal">
      <formula>"Napkin Hs"</formula>
    </cfRule>
  </conditionalFormatting>
  <conditionalFormatting sqref="C33:C35">
    <cfRule type="cellIs" dxfId="9343" priority="11713" stopIfTrue="1" operator="equal">
      <formula>"Towel"</formula>
    </cfRule>
    <cfRule type="cellIs" dxfId="9342" priority="11714" stopIfTrue="1" operator="equal">
      <formula>"Napkin Hs"</formula>
    </cfRule>
  </conditionalFormatting>
  <conditionalFormatting sqref="C33:C35">
    <cfRule type="cellIs" dxfId="9341" priority="11715" stopIfTrue="1" operator="equal">
      <formula>"Towel"</formula>
    </cfRule>
    <cfRule type="cellIs" dxfId="9340" priority="11716" stopIfTrue="1" operator="equal">
      <formula>"Napkin Hs"</formula>
    </cfRule>
  </conditionalFormatting>
  <conditionalFormatting sqref="C33:C35">
    <cfRule type="cellIs" dxfId="9339" priority="11717" stopIfTrue="1" operator="equal">
      <formula>"Towel"</formula>
    </cfRule>
    <cfRule type="cellIs" dxfId="9338" priority="11718" stopIfTrue="1" operator="equal">
      <formula>"Napkin Hs"</formula>
    </cfRule>
  </conditionalFormatting>
  <conditionalFormatting sqref="B33:B35">
    <cfRule type="cellIs" dxfId="9337" priority="11711" stopIfTrue="1" operator="equal">
      <formula>"Towel"</formula>
    </cfRule>
    <cfRule type="cellIs" dxfId="9336" priority="11712" stopIfTrue="1" operator="equal">
      <formula>"Napkin Hs"</formula>
    </cfRule>
  </conditionalFormatting>
  <conditionalFormatting sqref="B33:C35">
    <cfRule type="cellIs" dxfId="9335" priority="11707" stopIfTrue="1" operator="equal">
      <formula>"Towel"</formula>
    </cfRule>
    <cfRule type="cellIs" dxfId="9334" priority="11708" stopIfTrue="1" operator="equal">
      <formula>"Napkin Hs"</formula>
    </cfRule>
  </conditionalFormatting>
  <conditionalFormatting sqref="C33:C35">
    <cfRule type="cellIs" dxfId="9333" priority="11703" stopIfTrue="1" operator="equal">
      <formula>"Towel"</formula>
    </cfRule>
    <cfRule type="cellIs" dxfId="9332" priority="11704" stopIfTrue="1" operator="equal">
      <formula>"Napkin Hs"</formula>
    </cfRule>
  </conditionalFormatting>
  <conditionalFormatting sqref="C33:C35">
    <cfRule type="cellIs" dxfId="9331" priority="11705" stopIfTrue="1" operator="equal">
      <formula>"Towel"</formula>
    </cfRule>
    <cfRule type="cellIs" dxfId="9330" priority="11706" stopIfTrue="1" operator="equal">
      <formula>"Napkin Hs"</formula>
    </cfRule>
  </conditionalFormatting>
  <conditionalFormatting sqref="B33:C35">
    <cfRule type="cellIs" dxfId="9329" priority="11701" stopIfTrue="1" operator="equal">
      <formula>"Towel"</formula>
    </cfRule>
    <cfRule type="cellIs" dxfId="9328" priority="11702" stopIfTrue="1" operator="equal">
      <formula>"Napkin Hs"</formula>
    </cfRule>
  </conditionalFormatting>
  <conditionalFormatting sqref="C33:C35">
    <cfRule type="cellIs" dxfId="9327" priority="11699" stopIfTrue="1" operator="equal">
      <formula>"Towel"</formula>
    </cfRule>
    <cfRule type="cellIs" dxfId="9326" priority="11700" stopIfTrue="1" operator="equal">
      <formula>"Napkin Hs"</formula>
    </cfRule>
  </conditionalFormatting>
  <conditionalFormatting sqref="C33:C35">
    <cfRule type="cellIs" dxfId="9325" priority="11697" stopIfTrue="1" operator="equal">
      <formula>"Towel"</formula>
    </cfRule>
    <cfRule type="cellIs" dxfId="9324" priority="11698" stopIfTrue="1" operator="equal">
      <formula>"Napkin Hs"</formula>
    </cfRule>
  </conditionalFormatting>
  <conditionalFormatting sqref="B33:C35">
    <cfRule type="cellIs" dxfId="9323" priority="11681" stopIfTrue="1" operator="equal">
      <formula>"Towel"</formula>
    </cfRule>
    <cfRule type="cellIs" dxfId="9322" priority="11682" stopIfTrue="1" operator="equal">
      <formula>"Napkin Hs"</formula>
    </cfRule>
  </conditionalFormatting>
  <conditionalFormatting sqref="C33:C35">
    <cfRule type="cellIs" dxfId="9321" priority="11683" stopIfTrue="1" operator="equal">
      <formula>"Towel"</formula>
    </cfRule>
    <cfRule type="cellIs" dxfId="9320" priority="11684" stopIfTrue="1" operator="equal">
      <formula>"Napkin Hs"</formula>
    </cfRule>
  </conditionalFormatting>
  <conditionalFormatting sqref="C33:C35">
    <cfRule type="cellIs" dxfId="9319" priority="11679" stopIfTrue="1" operator="equal">
      <formula>"Towel"</formula>
    </cfRule>
    <cfRule type="cellIs" dxfId="9318" priority="11680" stopIfTrue="1" operator="equal">
      <formula>"Napkin Hs"</formula>
    </cfRule>
  </conditionalFormatting>
  <conditionalFormatting sqref="B33:C35">
    <cfRule type="cellIs" dxfId="9317" priority="11677" stopIfTrue="1" operator="equal">
      <formula>"Towel"</formula>
    </cfRule>
    <cfRule type="cellIs" dxfId="9316" priority="11678" stopIfTrue="1" operator="equal">
      <formula>"Napkin Hs"</formula>
    </cfRule>
  </conditionalFormatting>
  <conditionalFormatting sqref="C33:C35">
    <cfRule type="cellIs" dxfId="9315" priority="11673" stopIfTrue="1" operator="equal">
      <formula>"Towel"</formula>
    </cfRule>
    <cfRule type="cellIs" dxfId="9314" priority="11674" stopIfTrue="1" operator="equal">
      <formula>"Napkin Hs"</formula>
    </cfRule>
  </conditionalFormatting>
  <conditionalFormatting sqref="C33:C35">
    <cfRule type="cellIs" dxfId="9313" priority="11675" stopIfTrue="1" operator="equal">
      <formula>"Towel"</formula>
    </cfRule>
    <cfRule type="cellIs" dxfId="9312" priority="11676" stopIfTrue="1" operator="equal">
      <formula>"Napkin Hs"</formula>
    </cfRule>
  </conditionalFormatting>
  <conditionalFormatting sqref="B33:C35">
    <cfRule type="cellIs" dxfId="9311" priority="11669" stopIfTrue="1" operator="equal">
      <formula>"Towel"</formula>
    </cfRule>
    <cfRule type="cellIs" dxfId="9310" priority="11670" stopIfTrue="1" operator="equal">
      <formula>"Napkin Hs"</formula>
    </cfRule>
  </conditionalFormatting>
  <conditionalFormatting sqref="C33:C35">
    <cfRule type="cellIs" dxfId="9309" priority="11671" stopIfTrue="1" operator="equal">
      <formula>"Towel"</formula>
    </cfRule>
    <cfRule type="cellIs" dxfId="9308" priority="11672" stopIfTrue="1" operator="equal">
      <formula>"Napkin Hs"</formula>
    </cfRule>
  </conditionalFormatting>
  <conditionalFormatting sqref="C33:C35">
    <cfRule type="cellIs" dxfId="9307" priority="11667" stopIfTrue="1" operator="equal">
      <formula>"Towel"</formula>
    </cfRule>
    <cfRule type="cellIs" dxfId="9306" priority="11668" stopIfTrue="1" operator="equal">
      <formula>"Napkin Hs"</formula>
    </cfRule>
  </conditionalFormatting>
  <conditionalFormatting sqref="B33:C35">
    <cfRule type="cellIs" dxfId="9305" priority="11665" stopIfTrue="1" operator="equal">
      <formula>"Towel"</formula>
    </cfRule>
    <cfRule type="cellIs" dxfId="9304" priority="11666" stopIfTrue="1" operator="equal">
      <formula>"Napkin Hs"</formula>
    </cfRule>
  </conditionalFormatting>
  <conditionalFormatting sqref="C33:C35">
    <cfRule type="cellIs" dxfId="9303" priority="11661" stopIfTrue="1" operator="equal">
      <formula>"Towel"</formula>
    </cfRule>
    <cfRule type="cellIs" dxfId="9302" priority="11662" stopIfTrue="1" operator="equal">
      <formula>"Napkin Hs"</formula>
    </cfRule>
  </conditionalFormatting>
  <conditionalFormatting sqref="C33:C35">
    <cfRule type="cellIs" dxfId="9301" priority="11663" stopIfTrue="1" operator="equal">
      <formula>"Towel"</formula>
    </cfRule>
    <cfRule type="cellIs" dxfId="9300" priority="11664" stopIfTrue="1" operator="equal">
      <formula>"Napkin Hs"</formula>
    </cfRule>
  </conditionalFormatting>
  <conditionalFormatting sqref="C32">
    <cfRule type="cellIs" dxfId="9299" priority="11607" stopIfTrue="1" operator="equal">
      <formula>"Towel"</formula>
    </cfRule>
    <cfRule type="cellIs" dxfId="9298" priority="11608" stopIfTrue="1" operator="equal">
      <formula>"Napkin Hs"</formula>
    </cfRule>
  </conditionalFormatting>
  <conditionalFormatting sqref="C32">
    <cfRule type="cellIs" dxfId="9297" priority="11609" stopIfTrue="1" operator="equal">
      <formula>"Towel"</formula>
    </cfRule>
    <cfRule type="cellIs" dxfId="9296" priority="11610" stopIfTrue="1" operator="equal">
      <formula>"Napkin Hs"</formula>
    </cfRule>
  </conditionalFormatting>
  <conditionalFormatting sqref="B32:C32">
    <cfRule type="cellIs" dxfId="9295" priority="11605" stopIfTrue="1" operator="equal">
      <formula>"Towel"</formula>
    </cfRule>
    <cfRule type="cellIs" dxfId="9294" priority="11606" stopIfTrue="1" operator="equal">
      <formula>"Napkin Hs"</formula>
    </cfRule>
  </conditionalFormatting>
  <conditionalFormatting sqref="C32">
    <cfRule type="cellIs" dxfId="9293" priority="11603" stopIfTrue="1" operator="equal">
      <formula>"Towel"</formula>
    </cfRule>
    <cfRule type="cellIs" dxfId="9292" priority="11604" stopIfTrue="1" operator="equal">
      <formula>"Napkin Hs"</formula>
    </cfRule>
  </conditionalFormatting>
  <conditionalFormatting sqref="B32:C32">
    <cfRule type="cellIs" dxfId="9291" priority="11599" stopIfTrue="1" operator="equal">
      <formula>"Towel"</formula>
    </cfRule>
    <cfRule type="cellIs" dxfId="9290" priority="11600" stopIfTrue="1" operator="equal">
      <formula>"Napkin Hs"</formula>
    </cfRule>
  </conditionalFormatting>
  <conditionalFormatting sqref="C32">
    <cfRule type="cellIs" dxfId="9289" priority="11601" stopIfTrue="1" operator="equal">
      <formula>"Towel"</formula>
    </cfRule>
    <cfRule type="cellIs" dxfId="9288" priority="11602" stopIfTrue="1" operator="equal">
      <formula>"Napkin Hs"</formula>
    </cfRule>
  </conditionalFormatting>
  <conditionalFormatting sqref="B32:C32">
    <cfRule type="cellIs" dxfId="9287" priority="11659" stopIfTrue="1" operator="equal">
      <formula>"Towel"</formula>
    </cfRule>
    <cfRule type="cellIs" dxfId="9286" priority="11660" stopIfTrue="1" operator="equal">
      <formula>"Napkin Hs"</formula>
    </cfRule>
  </conditionalFormatting>
  <conditionalFormatting sqref="C32">
    <cfRule type="cellIs" dxfId="9285" priority="11655" stopIfTrue="1" operator="equal">
      <formula>"Towel"</formula>
    </cfRule>
    <cfRule type="cellIs" dxfId="9284" priority="11656" stopIfTrue="1" operator="equal">
      <formula>"Napkin Hs"</formula>
    </cfRule>
  </conditionalFormatting>
  <conditionalFormatting sqref="C32">
    <cfRule type="cellIs" dxfId="9283" priority="11658" stopIfTrue="1" operator="equal">
      <formula>"Napkin Hs"</formula>
    </cfRule>
  </conditionalFormatting>
  <conditionalFormatting sqref="C32">
    <cfRule type="cellIs" dxfId="9282" priority="11657" stopIfTrue="1" operator="equal">
      <formula>"Towel"</formula>
    </cfRule>
  </conditionalFormatting>
  <conditionalFormatting sqref="C32">
    <cfRule type="cellIs" dxfId="9281" priority="11649" stopIfTrue="1" operator="equal">
      <formula>"Towel"</formula>
    </cfRule>
    <cfRule type="cellIs" dxfId="9280" priority="11650" stopIfTrue="1" operator="equal">
      <formula>"Napkin Hs"</formula>
    </cfRule>
  </conditionalFormatting>
  <conditionalFormatting sqref="C32">
    <cfRule type="cellIs" dxfId="9279" priority="11653" stopIfTrue="1" operator="equal">
      <formula>"Towel"</formula>
    </cfRule>
    <cfRule type="cellIs" dxfId="9278" priority="11654" stopIfTrue="1" operator="equal">
      <formula>"Napkin Hs"</formula>
    </cfRule>
  </conditionalFormatting>
  <conditionalFormatting sqref="B32">
    <cfRule type="cellIs" dxfId="9277" priority="11639" stopIfTrue="1" operator="equal">
      <formula>"Towel"</formula>
    </cfRule>
    <cfRule type="cellIs" dxfId="9276" priority="11640" stopIfTrue="1" operator="equal">
      <formula>"Napkin Hs"</formula>
    </cfRule>
  </conditionalFormatting>
  <conditionalFormatting sqref="C32">
    <cfRule type="cellIs" dxfId="9275" priority="11651" stopIfTrue="1" operator="equal">
      <formula>"Towel"</formula>
    </cfRule>
    <cfRule type="cellIs" dxfId="9274" priority="11652" stopIfTrue="1" operator="equal">
      <formula>"Napkin Hs"</formula>
    </cfRule>
  </conditionalFormatting>
  <conditionalFormatting sqref="C32">
    <cfRule type="cellIs" dxfId="9273" priority="11643" stopIfTrue="1" operator="equal">
      <formula>"Towel"</formula>
    </cfRule>
    <cfRule type="cellIs" dxfId="9272" priority="11644" stopIfTrue="1" operator="equal">
      <formula>"Napkin Hs"</formula>
    </cfRule>
  </conditionalFormatting>
  <conditionalFormatting sqref="C32">
    <cfRule type="cellIs" dxfId="9271" priority="11645" stopIfTrue="1" operator="equal">
      <formula>"Towel"</formula>
    </cfRule>
    <cfRule type="cellIs" dxfId="9270" priority="11646" stopIfTrue="1" operator="equal">
      <formula>"Napkin Hs"</formula>
    </cfRule>
  </conditionalFormatting>
  <conditionalFormatting sqref="C32">
    <cfRule type="cellIs" dxfId="9269" priority="11647" stopIfTrue="1" operator="equal">
      <formula>"Towel"</formula>
    </cfRule>
    <cfRule type="cellIs" dxfId="9268" priority="11648" stopIfTrue="1" operator="equal">
      <formula>"Napkin Hs"</formula>
    </cfRule>
  </conditionalFormatting>
  <conditionalFormatting sqref="B32">
    <cfRule type="cellIs" dxfId="9267" priority="11641" stopIfTrue="1" operator="equal">
      <formula>"Towel"</formula>
    </cfRule>
    <cfRule type="cellIs" dxfId="9266" priority="11642" stopIfTrue="1" operator="equal">
      <formula>"Napkin Hs"</formula>
    </cfRule>
  </conditionalFormatting>
  <conditionalFormatting sqref="C32">
    <cfRule type="cellIs" dxfId="9265" priority="11633" stopIfTrue="1" operator="equal">
      <formula>"Towel"</formula>
    </cfRule>
    <cfRule type="cellIs" dxfId="9264" priority="11634" stopIfTrue="1" operator="equal">
      <formula>"Napkin Hs"</formula>
    </cfRule>
  </conditionalFormatting>
  <conditionalFormatting sqref="C32">
    <cfRule type="cellIs" dxfId="9263" priority="11637" stopIfTrue="1" operator="equal">
      <formula>"Towel"</formula>
    </cfRule>
    <cfRule type="cellIs" dxfId="9262" priority="11638" stopIfTrue="1" operator="equal">
      <formula>"Napkin Hs"</formula>
    </cfRule>
  </conditionalFormatting>
  <conditionalFormatting sqref="B32">
    <cfRule type="cellIs" dxfId="9261" priority="11623" stopIfTrue="1" operator="equal">
      <formula>"Towel"</formula>
    </cfRule>
    <cfRule type="cellIs" dxfId="9260" priority="11624" stopIfTrue="1" operator="equal">
      <formula>"Napkin Hs"</formula>
    </cfRule>
  </conditionalFormatting>
  <conditionalFormatting sqref="C32">
    <cfRule type="cellIs" dxfId="9259" priority="11635" stopIfTrue="1" operator="equal">
      <formula>"Towel"</formula>
    </cfRule>
    <cfRule type="cellIs" dxfId="9258" priority="11636" stopIfTrue="1" operator="equal">
      <formula>"Napkin Hs"</formula>
    </cfRule>
  </conditionalFormatting>
  <conditionalFormatting sqref="C32">
    <cfRule type="cellIs" dxfId="9257" priority="11627" stopIfTrue="1" operator="equal">
      <formula>"Towel"</formula>
    </cfRule>
    <cfRule type="cellIs" dxfId="9256" priority="11628" stopIfTrue="1" operator="equal">
      <formula>"Napkin Hs"</formula>
    </cfRule>
  </conditionalFormatting>
  <conditionalFormatting sqref="C32">
    <cfRule type="cellIs" dxfId="9255" priority="11629" stopIfTrue="1" operator="equal">
      <formula>"Towel"</formula>
    </cfRule>
    <cfRule type="cellIs" dxfId="9254" priority="11630" stopIfTrue="1" operator="equal">
      <formula>"Napkin Hs"</formula>
    </cfRule>
  </conditionalFormatting>
  <conditionalFormatting sqref="C32">
    <cfRule type="cellIs" dxfId="9253" priority="11631" stopIfTrue="1" operator="equal">
      <formula>"Towel"</formula>
    </cfRule>
    <cfRule type="cellIs" dxfId="9252" priority="11632" stopIfTrue="1" operator="equal">
      <formula>"Napkin Hs"</formula>
    </cfRule>
  </conditionalFormatting>
  <conditionalFormatting sqref="B32">
    <cfRule type="cellIs" dxfId="9251" priority="11625" stopIfTrue="1" operator="equal">
      <formula>"Towel"</formula>
    </cfRule>
    <cfRule type="cellIs" dxfId="9250" priority="11626" stopIfTrue="1" operator="equal">
      <formula>"Napkin Hs"</formula>
    </cfRule>
  </conditionalFormatting>
  <conditionalFormatting sqref="B32:C32">
    <cfRule type="cellIs" dxfId="9249" priority="11621" stopIfTrue="1" operator="equal">
      <formula>"Towel"</formula>
    </cfRule>
    <cfRule type="cellIs" dxfId="9248" priority="11622" stopIfTrue="1" operator="equal">
      <formula>"Napkin Hs"</formula>
    </cfRule>
  </conditionalFormatting>
  <conditionalFormatting sqref="C32">
    <cfRule type="cellIs" dxfId="9247" priority="11617" stopIfTrue="1" operator="equal">
      <formula>"Towel"</formula>
    </cfRule>
    <cfRule type="cellIs" dxfId="9246" priority="11618" stopIfTrue="1" operator="equal">
      <formula>"Napkin Hs"</formula>
    </cfRule>
  </conditionalFormatting>
  <conditionalFormatting sqref="C32">
    <cfRule type="cellIs" dxfId="9245" priority="11619" stopIfTrue="1" operator="equal">
      <formula>"Towel"</formula>
    </cfRule>
    <cfRule type="cellIs" dxfId="9244" priority="11620" stopIfTrue="1" operator="equal">
      <formula>"Napkin Hs"</formula>
    </cfRule>
  </conditionalFormatting>
  <conditionalFormatting sqref="B32:C32">
    <cfRule type="cellIs" dxfId="9243" priority="11615" stopIfTrue="1" operator="equal">
      <formula>"Towel"</formula>
    </cfRule>
    <cfRule type="cellIs" dxfId="9242" priority="11616" stopIfTrue="1" operator="equal">
      <formula>"Napkin Hs"</formula>
    </cfRule>
  </conditionalFormatting>
  <conditionalFormatting sqref="C32">
    <cfRule type="cellIs" dxfId="9241" priority="11613" stopIfTrue="1" operator="equal">
      <formula>"Towel"</formula>
    </cfRule>
    <cfRule type="cellIs" dxfId="9240" priority="11614" stopIfTrue="1" operator="equal">
      <formula>"Napkin Hs"</formula>
    </cfRule>
  </conditionalFormatting>
  <conditionalFormatting sqref="C32">
    <cfRule type="cellIs" dxfId="9239" priority="11611" stopIfTrue="1" operator="equal">
      <formula>"Towel"</formula>
    </cfRule>
    <cfRule type="cellIs" dxfId="9238" priority="11612" stopIfTrue="1" operator="equal">
      <formula>"Napkin Hs"</formula>
    </cfRule>
  </conditionalFormatting>
  <conditionalFormatting sqref="B32:C32">
    <cfRule type="cellIs" dxfId="9237" priority="11595" stopIfTrue="1" operator="equal">
      <formula>"Towel"</formula>
    </cfRule>
    <cfRule type="cellIs" dxfId="9236" priority="11596" stopIfTrue="1" operator="equal">
      <formula>"Napkin Hs"</formula>
    </cfRule>
  </conditionalFormatting>
  <conditionalFormatting sqref="C32">
    <cfRule type="cellIs" dxfId="9235" priority="11597" stopIfTrue="1" operator="equal">
      <formula>"Towel"</formula>
    </cfRule>
    <cfRule type="cellIs" dxfId="9234" priority="11598" stopIfTrue="1" operator="equal">
      <formula>"Napkin Hs"</formula>
    </cfRule>
  </conditionalFormatting>
  <conditionalFormatting sqref="C32">
    <cfRule type="cellIs" dxfId="9233" priority="11593" stopIfTrue="1" operator="equal">
      <formula>"Towel"</formula>
    </cfRule>
    <cfRule type="cellIs" dxfId="9232" priority="11594" stopIfTrue="1" operator="equal">
      <formula>"Napkin Hs"</formula>
    </cfRule>
  </conditionalFormatting>
  <conditionalFormatting sqref="B32:C32">
    <cfRule type="cellIs" dxfId="9231" priority="11591" stopIfTrue="1" operator="equal">
      <formula>"Towel"</formula>
    </cfRule>
    <cfRule type="cellIs" dxfId="9230" priority="11592" stopIfTrue="1" operator="equal">
      <formula>"Napkin Hs"</formula>
    </cfRule>
  </conditionalFormatting>
  <conditionalFormatting sqref="C32">
    <cfRule type="cellIs" dxfId="9229" priority="11587" stopIfTrue="1" operator="equal">
      <formula>"Towel"</formula>
    </cfRule>
    <cfRule type="cellIs" dxfId="9228" priority="11588" stopIfTrue="1" operator="equal">
      <formula>"Napkin Hs"</formula>
    </cfRule>
  </conditionalFormatting>
  <conditionalFormatting sqref="C32">
    <cfRule type="cellIs" dxfId="9227" priority="11589" stopIfTrue="1" operator="equal">
      <formula>"Towel"</formula>
    </cfRule>
    <cfRule type="cellIs" dxfId="9226" priority="11590" stopIfTrue="1" operator="equal">
      <formula>"Napkin Hs"</formula>
    </cfRule>
  </conditionalFormatting>
  <conditionalFormatting sqref="B32:C32">
    <cfRule type="cellIs" dxfId="9225" priority="11583" stopIfTrue="1" operator="equal">
      <formula>"Towel"</formula>
    </cfRule>
    <cfRule type="cellIs" dxfId="9224" priority="11584" stopIfTrue="1" operator="equal">
      <formula>"Napkin Hs"</formula>
    </cfRule>
  </conditionalFormatting>
  <conditionalFormatting sqref="C32">
    <cfRule type="cellIs" dxfId="9223" priority="11585" stopIfTrue="1" operator="equal">
      <formula>"Towel"</formula>
    </cfRule>
    <cfRule type="cellIs" dxfId="9222" priority="11586" stopIfTrue="1" operator="equal">
      <formula>"Napkin Hs"</formula>
    </cfRule>
  </conditionalFormatting>
  <conditionalFormatting sqref="C32">
    <cfRule type="cellIs" dxfId="9221" priority="11581" stopIfTrue="1" operator="equal">
      <formula>"Towel"</formula>
    </cfRule>
    <cfRule type="cellIs" dxfId="9220" priority="11582" stopIfTrue="1" operator="equal">
      <formula>"Napkin Hs"</formula>
    </cfRule>
  </conditionalFormatting>
  <conditionalFormatting sqref="B32:C32">
    <cfRule type="cellIs" dxfId="9219" priority="11579" stopIfTrue="1" operator="equal">
      <formula>"Towel"</formula>
    </cfRule>
    <cfRule type="cellIs" dxfId="9218" priority="11580" stopIfTrue="1" operator="equal">
      <formula>"Napkin Hs"</formula>
    </cfRule>
  </conditionalFormatting>
  <conditionalFormatting sqref="C32">
    <cfRule type="cellIs" dxfId="9217" priority="11575" stopIfTrue="1" operator="equal">
      <formula>"Towel"</formula>
    </cfRule>
    <cfRule type="cellIs" dxfId="9216" priority="11576" stopIfTrue="1" operator="equal">
      <formula>"Napkin Hs"</formula>
    </cfRule>
  </conditionalFormatting>
  <conditionalFormatting sqref="C32">
    <cfRule type="cellIs" dxfId="9215" priority="11577" stopIfTrue="1" operator="equal">
      <formula>"Towel"</formula>
    </cfRule>
    <cfRule type="cellIs" dxfId="9214" priority="11578" stopIfTrue="1" operator="equal">
      <formula>"Napkin Hs"</formula>
    </cfRule>
  </conditionalFormatting>
  <conditionalFormatting sqref="B40:C40">
    <cfRule type="cellIs" dxfId="9213" priority="11573" stopIfTrue="1" operator="equal">
      <formula>"Towel"</formula>
    </cfRule>
    <cfRule type="cellIs" dxfId="9212" priority="11574" stopIfTrue="1" operator="equal">
      <formula>"Napkin Hs"</formula>
    </cfRule>
  </conditionalFormatting>
  <conditionalFormatting sqref="C40">
    <cfRule type="cellIs" dxfId="9211" priority="11571" stopIfTrue="1" operator="equal">
      <formula>"Towel"</formula>
    </cfRule>
    <cfRule type="cellIs" dxfId="9210" priority="11572" stopIfTrue="1" operator="equal">
      <formula>"Napkin Hs"</formula>
    </cfRule>
  </conditionalFormatting>
  <conditionalFormatting sqref="C40">
    <cfRule type="cellIs" dxfId="9209" priority="11569" stopIfTrue="1" operator="equal">
      <formula>"Towel"</formula>
    </cfRule>
    <cfRule type="cellIs" dxfId="9208" priority="11570" stopIfTrue="1" operator="equal">
      <formula>"Napkin Hs"</formula>
    </cfRule>
  </conditionalFormatting>
  <conditionalFormatting sqref="B39:C39">
    <cfRule type="cellIs" dxfId="9207" priority="11567" stopIfTrue="1" operator="equal">
      <formula>"Towel"</formula>
    </cfRule>
    <cfRule type="cellIs" dxfId="9206" priority="11568" stopIfTrue="1" operator="equal">
      <formula>"Napkin Hs"</formula>
    </cfRule>
  </conditionalFormatting>
  <conditionalFormatting sqref="C39">
    <cfRule type="cellIs" dxfId="9205" priority="11563" stopIfTrue="1" operator="equal">
      <formula>"Towel"</formula>
    </cfRule>
    <cfRule type="cellIs" dxfId="9204" priority="11564" stopIfTrue="1" operator="equal">
      <formula>"Napkin Hs"</formula>
    </cfRule>
  </conditionalFormatting>
  <conditionalFormatting sqref="C39">
    <cfRule type="cellIs" dxfId="9203" priority="11565" stopIfTrue="1" operator="equal">
      <formula>"Towel"</formula>
    </cfRule>
    <cfRule type="cellIs" dxfId="9202" priority="11566" stopIfTrue="1" operator="equal">
      <formula>"Napkin Hs"</formula>
    </cfRule>
  </conditionalFormatting>
  <conditionalFormatting sqref="C38">
    <cfRule type="cellIs" dxfId="9201" priority="11559" stopIfTrue="1" operator="equal">
      <formula>"Towel"</formula>
    </cfRule>
    <cfRule type="cellIs" dxfId="9200" priority="11560" stopIfTrue="1" operator="equal">
      <formula>"Napkin Hs"</formula>
    </cfRule>
  </conditionalFormatting>
  <conditionalFormatting sqref="C38">
    <cfRule type="cellIs" dxfId="9199" priority="11561" stopIfTrue="1" operator="equal">
      <formula>"Towel"</formula>
    </cfRule>
    <cfRule type="cellIs" dxfId="9198" priority="11562" stopIfTrue="1" operator="equal">
      <formula>"Napkin Hs"</formula>
    </cfRule>
  </conditionalFormatting>
  <conditionalFormatting sqref="B38:C38">
    <cfRule type="cellIs" dxfId="9197" priority="11557" stopIfTrue="1" operator="equal">
      <formula>"Towel"</formula>
    </cfRule>
    <cfRule type="cellIs" dxfId="9196" priority="11558" stopIfTrue="1" operator="equal">
      <formula>"Napkin Hs"</formula>
    </cfRule>
  </conditionalFormatting>
  <conditionalFormatting sqref="B38:C38">
    <cfRule type="cellIs" dxfId="9195" priority="11551" stopIfTrue="1" operator="equal">
      <formula>"Towel"</formula>
    </cfRule>
    <cfRule type="cellIs" dxfId="9194" priority="11552" stopIfTrue="1" operator="equal">
      <formula>"Napkin Hs"</formula>
    </cfRule>
  </conditionalFormatting>
  <conditionalFormatting sqref="C38">
    <cfRule type="cellIs" dxfId="9193" priority="11553" stopIfTrue="1" operator="equal">
      <formula>"Towel"</formula>
    </cfRule>
    <cfRule type="cellIs" dxfId="9192" priority="11554" stopIfTrue="1" operator="equal">
      <formula>"Napkin Hs"</formula>
    </cfRule>
  </conditionalFormatting>
  <conditionalFormatting sqref="C38">
    <cfRule type="cellIs" dxfId="9191" priority="11555" stopIfTrue="1" operator="equal">
      <formula>"Towel"</formula>
    </cfRule>
    <cfRule type="cellIs" dxfId="9190" priority="11556" stopIfTrue="1" operator="equal">
      <formula>"Napkin Hs"</formula>
    </cfRule>
  </conditionalFormatting>
  <conditionalFormatting sqref="C41">
    <cfRule type="cellIs" dxfId="9189" priority="11543" stopIfTrue="1" operator="equal">
      <formula>"Towel"</formula>
    </cfRule>
    <cfRule type="cellIs" dxfId="9188" priority="11544" stopIfTrue="1" operator="equal">
      <formula>"Napkin Hs"</formula>
    </cfRule>
  </conditionalFormatting>
  <conditionalFormatting sqref="B41:C41">
    <cfRule type="cellIs" dxfId="9187" priority="11545" stopIfTrue="1" operator="equal">
      <formula>"Towel"</formula>
    </cfRule>
    <cfRule type="cellIs" dxfId="9186" priority="11546" stopIfTrue="1" operator="equal">
      <formula>"Napkin Hs"</formula>
    </cfRule>
  </conditionalFormatting>
  <conditionalFormatting sqref="C41">
    <cfRule type="cellIs" dxfId="9185" priority="11541" stopIfTrue="1" operator="equal">
      <formula>"Towel"</formula>
    </cfRule>
    <cfRule type="cellIs" dxfId="9184" priority="11542" stopIfTrue="1" operator="equal">
      <formula>"Napkin Hs"</formula>
    </cfRule>
  </conditionalFormatting>
  <conditionalFormatting sqref="B41:C41">
    <cfRule type="cellIs" dxfId="9183" priority="11539" stopIfTrue="1" operator="equal">
      <formula>"Towel"</formula>
    </cfRule>
    <cfRule type="cellIs" dxfId="9182" priority="11540" stopIfTrue="1" operator="equal">
      <formula>"Napkin Hs"</formula>
    </cfRule>
  </conditionalFormatting>
  <conditionalFormatting sqref="C41">
    <cfRule type="cellIs" dxfId="9181" priority="11547" stopIfTrue="1" operator="equal">
      <formula>"Towel"</formula>
    </cfRule>
    <cfRule type="cellIs" dxfId="9180" priority="11548" stopIfTrue="1" operator="equal">
      <formula>"Napkin Hs"</formula>
    </cfRule>
  </conditionalFormatting>
  <conditionalFormatting sqref="C41">
    <cfRule type="cellIs" dxfId="9179" priority="11549" stopIfTrue="1" operator="equal">
      <formula>"Towel"</formula>
    </cfRule>
    <cfRule type="cellIs" dxfId="9178" priority="11550" stopIfTrue="1" operator="equal">
      <formula>"Napkin Hs"</formula>
    </cfRule>
  </conditionalFormatting>
  <conditionalFormatting sqref="C41">
    <cfRule type="cellIs" dxfId="9177" priority="11507" stopIfTrue="1" operator="equal">
      <formula>"Towel"</formula>
    </cfRule>
    <cfRule type="cellIs" dxfId="9176" priority="11508" stopIfTrue="1" operator="equal">
      <formula>"Napkin Hs"</formula>
    </cfRule>
  </conditionalFormatting>
  <conditionalFormatting sqref="B41:C41">
    <cfRule type="cellIs" dxfId="9175" priority="11509" stopIfTrue="1" operator="equal">
      <formula>"Towel"</formula>
    </cfRule>
    <cfRule type="cellIs" dxfId="9174" priority="11510" stopIfTrue="1" operator="equal">
      <formula>"Napkin Hs"</formula>
    </cfRule>
  </conditionalFormatting>
  <conditionalFormatting sqref="C41">
    <cfRule type="cellIs" dxfId="9173" priority="11505" stopIfTrue="1" operator="equal">
      <formula>"Towel"</formula>
    </cfRule>
    <cfRule type="cellIs" dxfId="9172" priority="11506" stopIfTrue="1" operator="equal">
      <formula>"Napkin Hs"</formula>
    </cfRule>
  </conditionalFormatting>
  <conditionalFormatting sqref="B41:C41">
    <cfRule type="cellIs" dxfId="9171" priority="11503" stopIfTrue="1" operator="equal">
      <formula>"Towel"</formula>
    </cfRule>
    <cfRule type="cellIs" dxfId="9170" priority="11504" stopIfTrue="1" operator="equal">
      <formula>"Napkin Hs"</formula>
    </cfRule>
  </conditionalFormatting>
  <conditionalFormatting sqref="C41">
    <cfRule type="cellIs" dxfId="9169" priority="11511" stopIfTrue="1" operator="equal">
      <formula>"Towel"</formula>
    </cfRule>
    <cfRule type="cellIs" dxfId="9168" priority="11512" stopIfTrue="1" operator="equal">
      <formula>"Napkin Hs"</formula>
    </cfRule>
  </conditionalFormatting>
  <conditionalFormatting sqref="C41">
    <cfRule type="cellIs" dxfId="9167" priority="11513" stopIfTrue="1" operator="equal">
      <formula>"Towel"</formula>
    </cfRule>
    <cfRule type="cellIs" dxfId="9166" priority="11514" stopIfTrue="1" operator="equal">
      <formula>"Napkin Hs"</formula>
    </cfRule>
  </conditionalFormatting>
  <conditionalFormatting sqref="B40:C40">
    <cfRule type="cellIs" dxfId="9165" priority="11477" stopIfTrue="1" operator="equal">
      <formula>"Towel"</formula>
    </cfRule>
    <cfRule type="cellIs" dxfId="9164" priority="11478" stopIfTrue="1" operator="equal">
      <formula>"Napkin Hs"</formula>
    </cfRule>
  </conditionalFormatting>
  <conditionalFormatting sqref="C40">
    <cfRule type="cellIs" dxfId="9163" priority="11473" stopIfTrue="1" operator="equal">
      <formula>"Towel"</formula>
    </cfRule>
    <cfRule type="cellIs" dxfId="9162" priority="11474" stopIfTrue="1" operator="equal">
      <formula>"Napkin Hs"</formula>
    </cfRule>
  </conditionalFormatting>
  <conditionalFormatting sqref="C40">
    <cfRule type="cellIs" dxfId="9161" priority="11476" stopIfTrue="1" operator="equal">
      <formula>"Napkin Hs"</formula>
    </cfRule>
  </conditionalFormatting>
  <conditionalFormatting sqref="C40">
    <cfRule type="cellIs" dxfId="9160" priority="11475" stopIfTrue="1" operator="equal">
      <formula>"Towel"</formula>
    </cfRule>
  </conditionalFormatting>
  <conditionalFormatting sqref="C41">
    <cfRule type="cellIs" dxfId="9159" priority="11469" stopIfTrue="1" operator="equal">
      <formula>"Towel"</formula>
    </cfRule>
    <cfRule type="cellIs" dxfId="9158" priority="11470" stopIfTrue="1" operator="equal">
      <formula>"Napkin Hs"</formula>
    </cfRule>
  </conditionalFormatting>
  <conditionalFormatting sqref="C41">
    <cfRule type="cellIs" dxfId="9157" priority="11471" stopIfTrue="1" operator="equal">
      <formula>"Towel"</formula>
    </cfRule>
    <cfRule type="cellIs" dxfId="9156" priority="11472" stopIfTrue="1" operator="equal">
      <formula>"Napkin Hs"</formula>
    </cfRule>
  </conditionalFormatting>
  <conditionalFormatting sqref="C41">
    <cfRule type="cellIs" dxfId="9155" priority="11467" stopIfTrue="1" operator="equal">
      <formula>"Towel"</formula>
    </cfRule>
    <cfRule type="cellIs" dxfId="9154" priority="11468" stopIfTrue="1" operator="equal">
      <formula>"Napkin Hs"</formula>
    </cfRule>
  </conditionalFormatting>
  <conditionalFormatting sqref="B41">
    <cfRule type="cellIs" dxfId="9153" priority="11465" stopIfTrue="1" operator="equal">
      <formula>"Towel"</formula>
    </cfRule>
    <cfRule type="cellIs" dxfId="9152" priority="11466" stopIfTrue="1" operator="equal">
      <formula>"Napkin Hs"</formula>
    </cfRule>
  </conditionalFormatting>
  <conditionalFormatting sqref="C39">
    <cfRule type="cellIs" dxfId="9151" priority="11441" stopIfTrue="1" operator="equal">
      <formula>"Towel"</formula>
    </cfRule>
  </conditionalFormatting>
  <conditionalFormatting sqref="C39">
    <cfRule type="cellIs" dxfId="9150" priority="11442" stopIfTrue="1" operator="equal">
      <formula>"Napkin Hs"</formula>
    </cfRule>
    <cfRule type="cellIs" dxfId="9149" priority="11447" stopIfTrue="1" operator="equal">
      <formula>"Towel"</formula>
    </cfRule>
    <cfRule type="cellIs" dxfId="9148" priority="11448" stopIfTrue="1" operator="equal">
      <formula>"Napkin Hs"</formula>
    </cfRule>
    <cfRule type="cellIs" dxfId="9147" priority="11457" stopIfTrue="1" operator="equal">
      <formula>"Towel"</formula>
    </cfRule>
    <cfRule type="cellIs" dxfId="9146" priority="11458" stopIfTrue="1" operator="equal">
      <formula>"Napkin Hs"</formula>
    </cfRule>
    <cfRule type="cellIs" dxfId="9145" priority="11463" stopIfTrue="1" operator="equal">
      <formula>"Towel"</formula>
    </cfRule>
    <cfRule type="cellIs" dxfId="9144" priority="11464" stopIfTrue="1" operator="equal">
      <formula>"Napkin Hs"</formula>
    </cfRule>
  </conditionalFormatting>
  <conditionalFormatting sqref="C39">
    <cfRule type="cellIs" dxfId="9143" priority="11443" stopIfTrue="1" operator="equal">
      <formula>"Towel"</formula>
    </cfRule>
    <cfRule type="cellIs" dxfId="9142" priority="11444" stopIfTrue="1" operator="equal">
      <formula>"Napkin Hs"</formula>
    </cfRule>
    <cfRule type="cellIs" dxfId="9141" priority="11445" stopIfTrue="1" operator="equal">
      <formula>"Towel"</formula>
    </cfRule>
    <cfRule type="cellIs" dxfId="9140" priority="11446" stopIfTrue="1" operator="equal">
      <formula>"Napkin Hs"</formula>
    </cfRule>
    <cfRule type="cellIs" dxfId="9139" priority="11449" stopIfTrue="1" operator="equal">
      <formula>"Towel"</formula>
    </cfRule>
    <cfRule type="cellIs" dxfId="9138" priority="11450" stopIfTrue="1" operator="equal">
      <formula>"Napkin Hs"</formula>
    </cfRule>
    <cfRule type="cellIs" dxfId="9137" priority="11451" stopIfTrue="1" operator="equal">
      <formula>"Towel"</formula>
    </cfRule>
    <cfRule type="cellIs" dxfId="9136" priority="11452" stopIfTrue="1" operator="equal">
      <formula>"Napkin Hs"</formula>
    </cfRule>
    <cfRule type="cellIs" dxfId="9135" priority="11453" stopIfTrue="1" operator="equal">
      <formula>"Towel"</formula>
    </cfRule>
    <cfRule type="cellIs" dxfId="9134" priority="11454" stopIfTrue="1" operator="equal">
      <formula>"Napkin Hs"</formula>
    </cfRule>
    <cfRule type="cellIs" dxfId="9133" priority="11455" stopIfTrue="1" operator="equal">
      <formula>"Towel"</formula>
    </cfRule>
    <cfRule type="cellIs" dxfId="9132" priority="11456" stopIfTrue="1" operator="equal">
      <formula>"Napkin Hs"</formula>
    </cfRule>
    <cfRule type="cellIs" dxfId="9131" priority="11459" stopIfTrue="1" operator="equal">
      <formula>"Towel"</formula>
    </cfRule>
    <cfRule type="cellIs" dxfId="9130" priority="11460" stopIfTrue="1" operator="equal">
      <formula>"Napkin Hs"</formula>
    </cfRule>
    <cfRule type="cellIs" dxfId="9129" priority="11462" stopIfTrue="1" operator="equal">
      <formula>"Napkin Hs"</formula>
    </cfRule>
  </conditionalFormatting>
  <conditionalFormatting sqref="C39">
    <cfRule type="cellIs" dxfId="9128" priority="11461" stopIfTrue="1" operator="equal">
      <formula>"Towel"</formula>
    </cfRule>
  </conditionalFormatting>
  <conditionalFormatting sqref="C39">
    <cfRule type="cellIs" dxfId="9127" priority="11439" stopIfTrue="1" operator="equal">
      <formula>"Towel"</formula>
    </cfRule>
    <cfRule type="cellIs" dxfId="9126" priority="11440" stopIfTrue="1" operator="equal">
      <formula>"Napkin Hs"</formula>
    </cfRule>
  </conditionalFormatting>
  <conditionalFormatting sqref="C39">
    <cfRule type="cellIs" dxfId="9125" priority="11438" stopIfTrue="1" operator="equal">
      <formula>"Napkin Hs"</formula>
    </cfRule>
  </conditionalFormatting>
  <conditionalFormatting sqref="C39">
    <cfRule type="cellIs" dxfId="9124" priority="11437" stopIfTrue="1" operator="equal">
      <formula>"Towel"</formula>
    </cfRule>
  </conditionalFormatting>
  <conditionalFormatting sqref="C39">
    <cfRule type="cellIs" dxfId="9123" priority="11435" stopIfTrue="1" operator="equal">
      <formula>"Towel"</formula>
    </cfRule>
  </conditionalFormatting>
  <conditionalFormatting sqref="C39">
    <cfRule type="cellIs" dxfId="9122" priority="11436" stopIfTrue="1" operator="equal">
      <formula>"Napkin Hs"</formula>
    </cfRule>
  </conditionalFormatting>
  <conditionalFormatting sqref="C39">
    <cfRule type="cellIs" dxfId="9121" priority="11339" stopIfTrue="1" operator="equal">
      <formula>"Towel"</formula>
    </cfRule>
  </conditionalFormatting>
  <conditionalFormatting sqref="C39">
    <cfRule type="cellIs" dxfId="9120" priority="11349" stopIfTrue="1" operator="equal">
      <formula>"Towel"</formula>
    </cfRule>
    <cfRule type="cellIs" dxfId="9119" priority="11350" stopIfTrue="1" operator="equal">
      <formula>"Napkin Hs"</formula>
    </cfRule>
    <cfRule type="cellIs" dxfId="9118" priority="11355" stopIfTrue="1" operator="equal">
      <formula>"Towel"</formula>
    </cfRule>
    <cfRule type="cellIs" dxfId="9117" priority="11356" stopIfTrue="1" operator="equal">
      <formula>"Napkin Hs"</formula>
    </cfRule>
    <cfRule type="cellIs" dxfId="9116" priority="11361" stopIfTrue="1" operator="equal">
      <formula>"Towel"</formula>
    </cfRule>
    <cfRule type="cellIs" dxfId="9115" priority="11362" stopIfTrue="1" operator="equal">
      <formula>"Napkin Hs"</formula>
    </cfRule>
    <cfRule type="cellIs" dxfId="9114" priority="11363" stopIfTrue="1" operator="equal">
      <formula>"Towel"</formula>
    </cfRule>
    <cfRule type="cellIs" dxfId="9113" priority="11364" stopIfTrue="1" operator="equal">
      <formula>"Napkin Hs"</formula>
    </cfRule>
    <cfRule type="cellIs" dxfId="9112" priority="11369" stopIfTrue="1" operator="equal">
      <formula>"Towel"</formula>
    </cfRule>
    <cfRule type="cellIs" dxfId="9111" priority="11370" stopIfTrue="1" operator="equal">
      <formula>"Napkin Hs"</formula>
    </cfRule>
    <cfRule type="cellIs" dxfId="9110" priority="11379" stopIfTrue="1" operator="equal">
      <formula>"Towel"</formula>
    </cfRule>
    <cfRule type="cellIs" dxfId="9109" priority="11380" stopIfTrue="1" operator="equal">
      <formula>"Napkin Hs"</formula>
    </cfRule>
    <cfRule type="cellIs" dxfId="9108" priority="11385" stopIfTrue="1" operator="equal">
      <formula>"Towel"</formula>
    </cfRule>
    <cfRule type="cellIs" dxfId="9107" priority="11386" stopIfTrue="1" operator="equal">
      <formula>"Napkin Hs"</formula>
    </cfRule>
    <cfRule type="cellIs" dxfId="9106" priority="11387" stopIfTrue="1" operator="equal">
      <formula>"Towel"</formula>
    </cfRule>
    <cfRule type="cellIs" dxfId="9105" priority="11388" stopIfTrue="1" operator="equal">
      <formula>"Napkin Hs"</formula>
    </cfRule>
    <cfRule type="cellIs" dxfId="9104" priority="11393" stopIfTrue="1" operator="equal">
      <formula>"Towel"</formula>
    </cfRule>
    <cfRule type="cellIs" dxfId="9103" priority="11394" stopIfTrue="1" operator="equal">
      <formula>"Napkin Hs"</formula>
    </cfRule>
    <cfRule type="cellIs" dxfId="9102" priority="11403" stopIfTrue="1" operator="equal">
      <formula>"Towel"</formula>
    </cfRule>
    <cfRule type="cellIs" dxfId="9101" priority="11404" stopIfTrue="1" operator="equal">
      <formula>"Napkin Hs"</formula>
    </cfRule>
    <cfRule type="cellIs" dxfId="9100" priority="11405" stopIfTrue="1" operator="equal">
      <formula>"Towel"</formula>
    </cfRule>
    <cfRule type="cellIs" dxfId="9099" priority="11406" stopIfTrue="1" operator="equal">
      <formula>"Napkin Hs"</formula>
    </cfRule>
    <cfRule type="cellIs" dxfId="9098" priority="11411" stopIfTrue="1" operator="equal">
      <formula>"Towel"</formula>
    </cfRule>
    <cfRule type="cellIs" dxfId="9097" priority="11412" stopIfTrue="1" operator="equal">
      <formula>"Napkin Hs"</formula>
    </cfRule>
    <cfRule type="cellIs" dxfId="9096" priority="11421" stopIfTrue="1" operator="equal">
      <formula>"Towel"</formula>
    </cfRule>
    <cfRule type="cellIs" dxfId="9095" priority="11422" stopIfTrue="1" operator="equal">
      <formula>"Napkin Hs"</formula>
    </cfRule>
    <cfRule type="cellIs" dxfId="9094" priority="11423" stopIfTrue="1" operator="equal">
      <formula>"Towel"</formula>
    </cfRule>
    <cfRule type="cellIs" dxfId="9093" priority="11424" stopIfTrue="1" operator="equal">
      <formula>"Napkin Hs"</formula>
    </cfRule>
    <cfRule type="cellIs" dxfId="9092" priority="11430" stopIfTrue="1" operator="equal">
      <formula>"Napkin Hs"</formula>
    </cfRule>
  </conditionalFormatting>
  <conditionalFormatting sqref="C39">
    <cfRule type="cellIs" dxfId="9091" priority="11429" stopIfTrue="1" operator="equal">
      <formula>"Towel"</formula>
    </cfRule>
  </conditionalFormatting>
  <conditionalFormatting sqref="C39">
    <cfRule type="cellIs" dxfId="9090" priority="11340" stopIfTrue="1" operator="equal">
      <formula>"Napkin Hs"</formula>
    </cfRule>
    <cfRule type="cellIs" dxfId="9089" priority="11341" stopIfTrue="1" operator="equal">
      <formula>"Towel"</formula>
    </cfRule>
    <cfRule type="cellIs" dxfId="9088" priority="11342" stopIfTrue="1" operator="equal">
      <formula>"Napkin Hs"</formula>
    </cfRule>
    <cfRule type="cellIs" dxfId="9087" priority="11343" stopIfTrue="1" operator="equal">
      <formula>"Towel"</formula>
    </cfRule>
    <cfRule type="cellIs" dxfId="9086" priority="11344" stopIfTrue="1" operator="equal">
      <formula>"Napkin Hs"</formula>
    </cfRule>
    <cfRule type="cellIs" dxfId="9085" priority="11345" stopIfTrue="1" operator="equal">
      <formula>"Towel"</formula>
    </cfRule>
    <cfRule type="cellIs" dxfId="9084" priority="11346" stopIfTrue="1" operator="equal">
      <formula>"Napkin Hs"</formula>
    </cfRule>
    <cfRule type="cellIs" dxfId="9083" priority="11347" stopIfTrue="1" operator="equal">
      <formula>"Towel"</formula>
    </cfRule>
    <cfRule type="cellIs" dxfId="9082" priority="11348" stopIfTrue="1" operator="equal">
      <formula>"Napkin Hs"</formula>
    </cfRule>
    <cfRule type="cellIs" dxfId="9081" priority="11351" stopIfTrue="1" operator="equal">
      <formula>"Towel"</formula>
    </cfRule>
    <cfRule type="cellIs" dxfId="9080" priority="11352" stopIfTrue="1" operator="equal">
      <formula>"Napkin Hs"</formula>
    </cfRule>
    <cfRule type="cellIs" dxfId="9079" priority="11353" stopIfTrue="1" operator="equal">
      <formula>"Towel"</formula>
    </cfRule>
    <cfRule type="cellIs" dxfId="9078" priority="11354" stopIfTrue="1" operator="equal">
      <formula>"Napkin Hs"</formula>
    </cfRule>
    <cfRule type="cellIs" dxfId="9077" priority="11357" stopIfTrue="1" operator="equal">
      <formula>"Towel"</formula>
    </cfRule>
    <cfRule type="cellIs" dxfId="9076" priority="11358" stopIfTrue="1" operator="equal">
      <formula>"Napkin Hs"</formula>
    </cfRule>
    <cfRule type="cellIs" dxfId="9075" priority="11359" stopIfTrue="1" operator="equal">
      <formula>"Towel"</formula>
    </cfRule>
    <cfRule type="cellIs" dxfId="9074" priority="11360" stopIfTrue="1" operator="equal">
      <formula>"Napkin Hs"</formula>
    </cfRule>
    <cfRule type="cellIs" dxfId="9073" priority="11365" stopIfTrue="1" operator="equal">
      <formula>"Towel"</formula>
    </cfRule>
    <cfRule type="cellIs" dxfId="9072" priority="11366" stopIfTrue="1" operator="equal">
      <formula>"Napkin Hs"</formula>
    </cfRule>
    <cfRule type="cellIs" dxfId="9071" priority="11367" stopIfTrue="1" operator="equal">
      <formula>"Towel"</formula>
    </cfRule>
    <cfRule type="cellIs" dxfId="9070" priority="11368" stopIfTrue="1" operator="equal">
      <formula>"Napkin Hs"</formula>
    </cfRule>
    <cfRule type="cellIs" dxfId="9069" priority="11371" stopIfTrue="1" operator="equal">
      <formula>"Towel"</formula>
    </cfRule>
    <cfRule type="cellIs" dxfId="9068" priority="11372" stopIfTrue="1" operator="equal">
      <formula>"Napkin Hs"</formula>
    </cfRule>
    <cfRule type="cellIs" dxfId="9067" priority="11373" stopIfTrue="1" operator="equal">
      <formula>"Towel"</formula>
    </cfRule>
    <cfRule type="cellIs" dxfId="9066" priority="11374" stopIfTrue="1" operator="equal">
      <formula>"Napkin Hs"</formula>
    </cfRule>
    <cfRule type="cellIs" dxfId="9065" priority="11375" stopIfTrue="1" operator="equal">
      <formula>"Towel"</formula>
    </cfRule>
    <cfRule type="cellIs" dxfId="9064" priority="11376" stopIfTrue="1" operator="equal">
      <formula>"Napkin Hs"</formula>
    </cfRule>
    <cfRule type="cellIs" dxfId="9063" priority="11377" stopIfTrue="1" operator="equal">
      <formula>"Towel"</formula>
    </cfRule>
    <cfRule type="cellIs" dxfId="9062" priority="11378" stopIfTrue="1" operator="equal">
      <formula>"Napkin Hs"</formula>
    </cfRule>
    <cfRule type="cellIs" dxfId="9061" priority="11381" stopIfTrue="1" operator="equal">
      <formula>"Towel"</formula>
    </cfRule>
    <cfRule type="cellIs" dxfId="9060" priority="11382" stopIfTrue="1" operator="equal">
      <formula>"Napkin Hs"</formula>
    </cfRule>
    <cfRule type="cellIs" dxfId="9059" priority="11383" stopIfTrue="1" operator="equal">
      <formula>"Towel"</formula>
    </cfRule>
    <cfRule type="cellIs" dxfId="9058" priority="11384" stopIfTrue="1" operator="equal">
      <formula>"Napkin Hs"</formula>
    </cfRule>
    <cfRule type="cellIs" dxfId="9057" priority="11389" stopIfTrue="1" operator="equal">
      <formula>"Towel"</formula>
    </cfRule>
    <cfRule type="cellIs" dxfId="9056" priority="11390" stopIfTrue="1" operator="equal">
      <formula>"Napkin Hs"</formula>
    </cfRule>
    <cfRule type="cellIs" dxfId="9055" priority="11391" stopIfTrue="1" operator="equal">
      <formula>"Towel"</formula>
    </cfRule>
    <cfRule type="cellIs" dxfId="9054" priority="11392" stopIfTrue="1" operator="equal">
      <formula>"Napkin Hs"</formula>
    </cfRule>
    <cfRule type="cellIs" dxfId="9053" priority="11395" stopIfTrue="1" operator="equal">
      <formula>"Towel"</formula>
    </cfRule>
    <cfRule type="cellIs" dxfId="9052" priority="11396" stopIfTrue="1" operator="equal">
      <formula>"Napkin Hs"</formula>
    </cfRule>
    <cfRule type="cellIs" dxfId="9051" priority="11397" stopIfTrue="1" operator="equal">
      <formula>"Towel"</formula>
    </cfRule>
    <cfRule type="cellIs" dxfId="9050" priority="11398" stopIfTrue="1" operator="equal">
      <formula>"Napkin Hs"</formula>
    </cfRule>
    <cfRule type="cellIs" dxfId="9049" priority="11399" stopIfTrue="1" operator="equal">
      <formula>"Towel"</formula>
    </cfRule>
    <cfRule type="cellIs" dxfId="9048" priority="11400" stopIfTrue="1" operator="equal">
      <formula>"Napkin Hs"</formula>
    </cfRule>
    <cfRule type="cellIs" dxfId="9047" priority="11401" stopIfTrue="1" operator="equal">
      <formula>"Towel"</formula>
    </cfRule>
    <cfRule type="cellIs" dxfId="9046" priority="11402" stopIfTrue="1" operator="equal">
      <formula>"Napkin Hs"</formula>
    </cfRule>
    <cfRule type="cellIs" dxfId="9045" priority="11407" stopIfTrue="1" operator="equal">
      <formula>"Towel"</formula>
    </cfRule>
    <cfRule type="cellIs" dxfId="9044" priority="11408" stopIfTrue="1" operator="equal">
      <formula>"Napkin Hs"</formula>
    </cfRule>
    <cfRule type="cellIs" dxfId="9043" priority="11409" stopIfTrue="1" operator="equal">
      <formula>"Towel"</formula>
    </cfRule>
    <cfRule type="cellIs" dxfId="9042" priority="11410" stopIfTrue="1" operator="equal">
      <formula>"Napkin Hs"</formula>
    </cfRule>
    <cfRule type="cellIs" dxfId="9041" priority="11413" stopIfTrue="1" operator="equal">
      <formula>"Towel"</formula>
    </cfRule>
    <cfRule type="cellIs" dxfId="9040" priority="11414" stopIfTrue="1" operator="equal">
      <formula>"Napkin Hs"</formula>
    </cfRule>
    <cfRule type="cellIs" dxfId="9039" priority="11415" stopIfTrue="1" operator="equal">
      <formula>"Towel"</formula>
    </cfRule>
    <cfRule type="cellIs" dxfId="9038" priority="11416" stopIfTrue="1" operator="equal">
      <formula>"Napkin Hs"</formula>
    </cfRule>
    <cfRule type="cellIs" dxfId="9037" priority="11417" stopIfTrue="1" operator="equal">
      <formula>"Towel"</formula>
    </cfRule>
    <cfRule type="cellIs" dxfId="9036" priority="11418" stopIfTrue="1" operator="equal">
      <formula>"Napkin Hs"</formula>
    </cfRule>
    <cfRule type="cellIs" dxfId="9035" priority="11419" stopIfTrue="1" operator="equal">
      <formula>"Towel"</formula>
    </cfRule>
    <cfRule type="cellIs" dxfId="9034" priority="11420" stopIfTrue="1" operator="equal">
      <formula>"Napkin Hs"</formula>
    </cfRule>
    <cfRule type="cellIs" dxfId="9033" priority="11425" stopIfTrue="1" operator="equal">
      <formula>"Towel"</formula>
    </cfRule>
    <cfRule type="cellIs" dxfId="9032" priority="11426" stopIfTrue="1" operator="equal">
      <formula>"Napkin Hs"</formula>
    </cfRule>
    <cfRule type="cellIs" dxfId="9031" priority="11427" stopIfTrue="1" operator="equal">
      <formula>"Towel"</formula>
    </cfRule>
    <cfRule type="cellIs" dxfId="9030" priority="11428" stopIfTrue="1" operator="equal">
      <formula>"Napkin Hs"</formula>
    </cfRule>
    <cfRule type="cellIs" dxfId="9029" priority="11431" stopIfTrue="1" operator="equal">
      <formula>"Towel"</formula>
    </cfRule>
    <cfRule type="cellIs" dxfId="9028" priority="11432" stopIfTrue="1" operator="equal">
      <formula>"Napkin Hs"</formula>
    </cfRule>
    <cfRule type="cellIs" dxfId="9027" priority="11433" stopIfTrue="1" operator="equal">
      <formula>"Towel"</formula>
    </cfRule>
    <cfRule type="cellIs" dxfId="9026" priority="11434" stopIfTrue="1" operator="equal">
      <formula>"Napkin Hs"</formula>
    </cfRule>
  </conditionalFormatting>
  <conditionalFormatting sqref="C39">
    <cfRule type="cellIs" dxfId="9025" priority="11315" stopIfTrue="1" operator="equal">
      <formula>"Towel"</formula>
    </cfRule>
  </conditionalFormatting>
  <conditionalFormatting sqref="C39">
    <cfRule type="cellIs" dxfId="9024" priority="11316" stopIfTrue="1" operator="equal">
      <formula>"Napkin Hs"</formula>
    </cfRule>
    <cfRule type="cellIs" dxfId="9023" priority="11321" stopIfTrue="1" operator="equal">
      <formula>"Towel"</formula>
    </cfRule>
    <cfRule type="cellIs" dxfId="9022" priority="11322" stopIfTrue="1" operator="equal">
      <formula>"Napkin Hs"</formula>
    </cfRule>
    <cfRule type="cellIs" dxfId="9021" priority="11331" stopIfTrue="1" operator="equal">
      <formula>"Towel"</formula>
    </cfRule>
    <cfRule type="cellIs" dxfId="9020" priority="11332" stopIfTrue="1" operator="equal">
      <formula>"Napkin Hs"</formula>
    </cfRule>
    <cfRule type="cellIs" dxfId="9019" priority="11337" stopIfTrue="1" operator="equal">
      <formula>"Towel"</formula>
    </cfRule>
    <cfRule type="cellIs" dxfId="9018" priority="11338" stopIfTrue="1" operator="equal">
      <formula>"Napkin Hs"</formula>
    </cfRule>
  </conditionalFormatting>
  <conditionalFormatting sqref="C39">
    <cfRule type="cellIs" dxfId="9017" priority="11317" stopIfTrue="1" operator="equal">
      <formula>"Towel"</formula>
    </cfRule>
    <cfRule type="cellIs" dxfId="9016" priority="11318" stopIfTrue="1" operator="equal">
      <formula>"Napkin Hs"</formula>
    </cfRule>
    <cfRule type="cellIs" dxfId="9015" priority="11319" stopIfTrue="1" operator="equal">
      <formula>"Towel"</formula>
    </cfRule>
    <cfRule type="cellIs" dxfId="9014" priority="11320" stopIfTrue="1" operator="equal">
      <formula>"Napkin Hs"</formula>
    </cfRule>
    <cfRule type="cellIs" dxfId="9013" priority="11323" stopIfTrue="1" operator="equal">
      <formula>"Towel"</formula>
    </cfRule>
    <cfRule type="cellIs" dxfId="9012" priority="11324" stopIfTrue="1" operator="equal">
      <formula>"Napkin Hs"</formula>
    </cfRule>
    <cfRule type="cellIs" dxfId="9011" priority="11325" stopIfTrue="1" operator="equal">
      <formula>"Towel"</formula>
    </cfRule>
    <cfRule type="cellIs" dxfId="9010" priority="11326" stopIfTrue="1" operator="equal">
      <formula>"Napkin Hs"</formula>
    </cfRule>
    <cfRule type="cellIs" dxfId="9009" priority="11327" stopIfTrue="1" operator="equal">
      <formula>"Towel"</formula>
    </cfRule>
    <cfRule type="cellIs" dxfId="9008" priority="11328" stopIfTrue="1" operator="equal">
      <formula>"Napkin Hs"</formula>
    </cfRule>
    <cfRule type="cellIs" dxfId="9007" priority="11329" stopIfTrue="1" operator="equal">
      <formula>"Towel"</formula>
    </cfRule>
    <cfRule type="cellIs" dxfId="9006" priority="11330" stopIfTrue="1" operator="equal">
      <formula>"Napkin Hs"</formula>
    </cfRule>
    <cfRule type="cellIs" dxfId="9005" priority="11333" stopIfTrue="1" operator="equal">
      <formula>"Towel"</formula>
    </cfRule>
    <cfRule type="cellIs" dxfId="9004" priority="11334" stopIfTrue="1" operator="equal">
      <formula>"Napkin Hs"</formula>
    </cfRule>
    <cfRule type="cellIs" dxfId="9003" priority="11336" stopIfTrue="1" operator="equal">
      <formula>"Napkin Hs"</formula>
    </cfRule>
  </conditionalFormatting>
  <conditionalFormatting sqref="C39">
    <cfRule type="cellIs" dxfId="9002" priority="11335" stopIfTrue="1" operator="equal">
      <formula>"Towel"</formula>
    </cfRule>
  </conditionalFormatting>
  <conditionalFormatting sqref="C39">
    <cfRule type="cellIs" dxfId="9001" priority="11313" stopIfTrue="1" operator="equal">
      <formula>"Towel"</formula>
    </cfRule>
    <cfRule type="cellIs" dxfId="9000" priority="11314" stopIfTrue="1" operator="equal">
      <formula>"Napkin Hs"</formula>
    </cfRule>
  </conditionalFormatting>
  <conditionalFormatting sqref="C39">
    <cfRule type="cellIs" dxfId="8999" priority="11312" stopIfTrue="1" operator="equal">
      <formula>"Napkin Hs"</formula>
    </cfRule>
  </conditionalFormatting>
  <conditionalFormatting sqref="C39">
    <cfRule type="cellIs" dxfId="8998" priority="11311" stopIfTrue="1" operator="equal">
      <formula>"Towel"</formula>
    </cfRule>
  </conditionalFormatting>
  <conditionalFormatting sqref="C39">
    <cfRule type="cellIs" dxfId="8997" priority="11309" stopIfTrue="1" operator="equal">
      <formula>"Towel"</formula>
    </cfRule>
  </conditionalFormatting>
  <conditionalFormatting sqref="C39">
    <cfRule type="cellIs" dxfId="8996" priority="11310" stopIfTrue="1" operator="equal">
      <formula>"Napkin Hs"</formula>
    </cfRule>
  </conditionalFormatting>
  <conditionalFormatting sqref="C39">
    <cfRule type="cellIs" dxfId="8995" priority="11213" stopIfTrue="1" operator="equal">
      <formula>"Towel"</formula>
    </cfRule>
  </conditionalFormatting>
  <conditionalFormatting sqref="C39">
    <cfRule type="cellIs" dxfId="8994" priority="11223" stopIfTrue="1" operator="equal">
      <formula>"Towel"</formula>
    </cfRule>
    <cfRule type="cellIs" dxfId="8993" priority="11224" stopIfTrue="1" operator="equal">
      <formula>"Napkin Hs"</formula>
    </cfRule>
    <cfRule type="cellIs" dxfId="8992" priority="11229" stopIfTrue="1" operator="equal">
      <formula>"Towel"</formula>
    </cfRule>
    <cfRule type="cellIs" dxfId="8991" priority="11230" stopIfTrue="1" operator="equal">
      <formula>"Napkin Hs"</formula>
    </cfRule>
    <cfRule type="cellIs" dxfId="8990" priority="11235" stopIfTrue="1" operator="equal">
      <formula>"Towel"</formula>
    </cfRule>
    <cfRule type="cellIs" dxfId="8989" priority="11236" stopIfTrue="1" operator="equal">
      <formula>"Napkin Hs"</formula>
    </cfRule>
    <cfRule type="cellIs" dxfId="8988" priority="11237" stopIfTrue="1" operator="equal">
      <formula>"Towel"</formula>
    </cfRule>
    <cfRule type="cellIs" dxfId="8987" priority="11238" stopIfTrue="1" operator="equal">
      <formula>"Napkin Hs"</formula>
    </cfRule>
    <cfRule type="cellIs" dxfId="8986" priority="11243" stopIfTrue="1" operator="equal">
      <formula>"Towel"</formula>
    </cfRule>
    <cfRule type="cellIs" dxfId="8985" priority="11244" stopIfTrue="1" operator="equal">
      <formula>"Napkin Hs"</formula>
    </cfRule>
    <cfRule type="cellIs" dxfId="8984" priority="11253" stopIfTrue="1" operator="equal">
      <formula>"Towel"</formula>
    </cfRule>
    <cfRule type="cellIs" dxfId="8983" priority="11254" stopIfTrue="1" operator="equal">
      <formula>"Napkin Hs"</formula>
    </cfRule>
    <cfRule type="cellIs" dxfId="8982" priority="11259" stopIfTrue="1" operator="equal">
      <formula>"Towel"</formula>
    </cfRule>
    <cfRule type="cellIs" dxfId="8981" priority="11260" stopIfTrue="1" operator="equal">
      <formula>"Napkin Hs"</formula>
    </cfRule>
    <cfRule type="cellIs" dxfId="8980" priority="11261" stopIfTrue="1" operator="equal">
      <formula>"Towel"</formula>
    </cfRule>
    <cfRule type="cellIs" dxfId="8979" priority="11262" stopIfTrue="1" operator="equal">
      <formula>"Napkin Hs"</formula>
    </cfRule>
    <cfRule type="cellIs" dxfId="8978" priority="11267" stopIfTrue="1" operator="equal">
      <formula>"Towel"</formula>
    </cfRule>
    <cfRule type="cellIs" dxfId="8977" priority="11268" stopIfTrue="1" operator="equal">
      <formula>"Napkin Hs"</formula>
    </cfRule>
    <cfRule type="cellIs" dxfId="8976" priority="11277" stopIfTrue="1" operator="equal">
      <formula>"Towel"</formula>
    </cfRule>
    <cfRule type="cellIs" dxfId="8975" priority="11278" stopIfTrue="1" operator="equal">
      <formula>"Napkin Hs"</formula>
    </cfRule>
    <cfRule type="cellIs" dxfId="8974" priority="11279" stopIfTrue="1" operator="equal">
      <formula>"Towel"</formula>
    </cfRule>
    <cfRule type="cellIs" dxfId="8973" priority="11280" stopIfTrue="1" operator="equal">
      <formula>"Napkin Hs"</formula>
    </cfRule>
    <cfRule type="cellIs" dxfId="8972" priority="11285" stopIfTrue="1" operator="equal">
      <formula>"Towel"</formula>
    </cfRule>
    <cfRule type="cellIs" dxfId="8971" priority="11286" stopIfTrue="1" operator="equal">
      <formula>"Napkin Hs"</formula>
    </cfRule>
    <cfRule type="cellIs" dxfId="8970" priority="11295" stopIfTrue="1" operator="equal">
      <formula>"Towel"</formula>
    </cfRule>
    <cfRule type="cellIs" dxfId="8969" priority="11296" stopIfTrue="1" operator="equal">
      <formula>"Napkin Hs"</formula>
    </cfRule>
    <cfRule type="cellIs" dxfId="8968" priority="11297" stopIfTrue="1" operator="equal">
      <formula>"Towel"</formula>
    </cfRule>
    <cfRule type="cellIs" dxfId="8967" priority="11298" stopIfTrue="1" operator="equal">
      <formula>"Napkin Hs"</formula>
    </cfRule>
    <cfRule type="cellIs" dxfId="8966" priority="11304" stopIfTrue="1" operator="equal">
      <formula>"Napkin Hs"</formula>
    </cfRule>
  </conditionalFormatting>
  <conditionalFormatting sqref="C39">
    <cfRule type="cellIs" dxfId="8965" priority="11303" stopIfTrue="1" operator="equal">
      <formula>"Towel"</formula>
    </cfRule>
  </conditionalFormatting>
  <conditionalFormatting sqref="C39">
    <cfRule type="cellIs" dxfId="8964" priority="11214" stopIfTrue="1" operator="equal">
      <formula>"Napkin Hs"</formula>
    </cfRule>
    <cfRule type="cellIs" dxfId="8963" priority="11215" stopIfTrue="1" operator="equal">
      <formula>"Towel"</formula>
    </cfRule>
    <cfRule type="cellIs" dxfId="8962" priority="11216" stopIfTrue="1" operator="equal">
      <formula>"Napkin Hs"</formula>
    </cfRule>
    <cfRule type="cellIs" dxfId="8961" priority="11217" stopIfTrue="1" operator="equal">
      <formula>"Towel"</formula>
    </cfRule>
    <cfRule type="cellIs" dxfId="8960" priority="11218" stopIfTrue="1" operator="equal">
      <formula>"Napkin Hs"</formula>
    </cfRule>
    <cfRule type="cellIs" dxfId="8959" priority="11219" stopIfTrue="1" operator="equal">
      <formula>"Towel"</formula>
    </cfRule>
    <cfRule type="cellIs" dxfId="8958" priority="11220" stopIfTrue="1" operator="equal">
      <formula>"Napkin Hs"</formula>
    </cfRule>
    <cfRule type="cellIs" dxfId="8957" priority="11221" stopIfTrue="1" operator="equal">
      <formula>"Towel"</formula>
    </cfRule>
    <cfRule type="cellIs" dxfId="8956" priority="11222" stopIfTrue="1" operator="equal">
      <formula>"Napkin Hs"</formula>
    </cfRule>
    <cfRule type="cellIs" dxfId="8955" priority="11225" stopIfTrue="1" operator="equal">
      <formula>"Towel"</formula>
    </cfRule>
    <cfRule type="cellIs" dxfId="8954" priority="11226" stopIfTrue="1" operator="equal">
      <formula>"Napkin Hs"</formula>
    </cfRule>
    <cfRule type="cellIs" dxfId="8953" priority="11227" stopIfTrue="1" operator="equal">
      <formula>"Towel"</formula>
    </cfRule>
    <cfRule type="cellIs" dxfId="8952" priority="11228" stopIfTrue="1" operator="equal">
      <formula>"Napkin Hs"</formula>
    </cfRule>
    <cfRule type="cellIs" dxfId="8951" priority="11231" stopIfTrue="1" operator="equal">
      <formula>"Towel"</formula>
    </cfRule>
    <cfRule type="cellIs" dxfId="8950" priority="11232" stopIfTrue="1" operator="equal">
      <formula>"Napkin Hs"</formula>
    </cfRule>
    <cfRule type="cellIs" dxfId="8949" priority="11233" stopIfTrue="1" operator="equal">
      <formula>"Towel"</formula>
    </cfRule>
    <cfRule type="cellIs" dxfId="8948" priority="11234" stopIfTrue="1" operator="equal">
      <formula>"Napkin Hs"</formula>
    </cfRule>
    <cfRule type="cellIs" dxfId="8947" priority="11239" stopIfTrue="1" operator="equal">
      <formula>"Towel"</formula>
    </cfRule>
    <cfRule type="cellIs" dxfId="8946" priority="11240" stopIfTrue="1" operator="equal">
      <formula>"Napkin Hs"</formula>
    </cfRule>
    <cfRule type="cellIs" dxfId="8945" priority="11241" stopIfTrue="1" operator="equal">
      <formula>"Towel"</formula>
    </cfRule>
    <cfRule type="cellIs" dxfId="8944" priority="11242" stopIfTrue="1" operator="equal">
      <formula>"Napkin Hs"</formula>
    </cfRule>
    <cfRule type="cellIs" dxfId="8943" priority="11245" stopIfTrue="1" operator="equal">
      <formula>"Towel"</formula>
    </cfRule>
    <cfRule type="cellIs" dxfId="8942" priority="11246" stopIfTrue="1" operator="equal">
      <formula>"Napkin Hs"</formula>
    </cfRule>
    <cfRule type="cellIs" dxfId="8941" priority="11247" stopIfTrue="1" operator="equal">
      <formula>"Towel"</formula>
    </cfRule>
    <cfRule type="cellIs" dxfId="8940" priority="11248" stopIfTrue="1" operator="equal">
      <formula>"Napkin Hs"</formula>
    </cfRule>
    <cfRule type="cellIs" dxfId="8939" priority="11249" stopIfTrue="1" operator="equal">
      <formula>"Towel"</formula>
    </cfRule>
    <cfRule type="cellIs" dxfId="8938" priority="11250" stopIfTrue="1" operator="equal">
      <formula>"Napkin Hs"</formula>
    </cfRule>
    <cfRule type="cellIs" dxfId="8937" priority="11251" stopIfTrue="1" operator="equal">
      <formula>"Towel"</formula>
    </cfRule>
    <cfRule type="cellIs" dxfId="8936" priority="11252" stopIfTrue="1" operator="equal">
      <formula>"Napkin Hs"</formula>
    </cfRule>
    <cfRule type="cellIs" dxfId="8935" priority="11255" stopIfTrue="1" operator="equal">
      <formula>"Towel"</formula>
    </cfRule>
    <cfRule type="cellIs" dxfId="8934" priority="11256" stopIfTrue="1" operator="equal">
      <formula>"Napkin Hs"</formula>
    </cfRule>
    <cfRule type="cellIs" dxfId="8933" priority="11257" stopIfTrue="1" operator="equal">
      <formula>"Towel"</formula>
    </cfRule>
    <cfRule type="cellIs" dxfId="8932" priority="11258" stopIfTrue="1" operator="equal">
      <formula>"Napkin Hs"</formula>
    </cfRule>
    <cfRule type="cellIs" dxfId="8931" priority="11263" stopIfTrue="1" operator="equal">
      <formula>"Towel"</formula>
    </cfRule>
    <cfRule type="cellIs" dxfId="8930" priority="11264" stopIfTrue="1" operator="equal">
      <formula>"Napkin Hs"</formula>
    </cfRule>
    <cfRule type="cellIs" dxfId="8929" priority="11265" stopIfTrue="1" operator="equal">
      <formula>"Towel"</formula>
    </cfRule>
    <cfRule type="cellIs" dxfId="8928" priority="11266" stopIfTrue="1" operator="equal">
      <formula>"Napkin Hs"</formula>
    </cfRule>
    <cfRule type="cellIs" dxfId="8927" priority="11269" stopIfTrue="1" operator="equal">
      <formula>"Towel"</formula>
    </cfRule>
    <cfRule type="cellIs" dxfId="8926" priority="11270" stopIfTrue="1" operator="equal">
      <formula>"Napkin Hs"</formula>
    </cfRule>
    <cfRule type="cellIs" dxfId="8925" priority="11271" stopIfTrue="1" operator="equal">
      <formula>"Towel"</formula>
    </cfRule>
    <cfRule type="cellIs" dxfId="8924" priority="11272" stopIfTrue="1" operator="equal">
      <formula>"Napkin Hs"</formula>
    </cfRule>
    <cfRule type="cellIs" dxfId="8923" priority="11273" stopIfTrue="1" operator="equal">
      <formula>"Towel"</formula>
    </cfRule>
    <cfRule type="cellIs" dxfId="8922" priority="11274" stopIfTrue="1" operator="equal">
      <formula>"Napkin Hs"</formula>
    </cfRule>
    <cfRule type="cellIs" dxfId="8921" priority="11275" stopIfTrue="1" operator="equal">
      <formula>"Towel"</formula>
    </cfRule>
    <cfRule type="cellIs" dxfId="8920" priority="11276" stopIfTrue="1" operator="equal">
      <formula>"Napkin Hs"</formula>
    </cfRule>
    <cfRule type="cellIs" dxfId="8919" priority="11281" stopIfTrue="1" operator="equal">
      <formula>"Towel"</formula>
    </cfRule>
    <cfRule type="cellIs" dxfId="8918" priority="11282" stopIfTrue="1" operator="equal">
      <formula>"Napkin Hs"</formula>
    </cfRule>
    <cfRule type="cellIs" dxfId="8917" priority="11283" stopIfTrue="1" operator="equal">
      <formula>"Towel"</formula>
    </cfRule>
    <cfRule type="cellIs" dxfId="8916" priority="11284" stopIfTrue="1" operator="equal">
      <formula>"Napkin Hs"</formula>
    </cfRule>
    <cfRule type="cellIs" dxfId="8915" priority="11287" stopIfTrue="1" operator="equal">
      <formula>"Towel"</formula>
    </cfRule>
    <cfRule type="cellIs" dxfId="8914" priority="11288" stopIfTrue="1" operator="equal">
      <formula>"Napkin Hs"</formula>
    </cfRule>
    <cfRule type="cellIs" dxfId="8913" priority="11289" stopIfTrue="1" operator="equal">
      <formula>"Towel"</formula>
    </cfRule>
    <cfRule type="cellIs" dxfId="8912" priority="11290" stopIfTrue="1" operator="equal">
      <formula>"Napkin Hs"</formula>
    </cfRule>
    <cfRule type="cellIs" dxfId="8911" priority="11291" stopIfTrue="1" operator="equal">
      <formula>"Towel"</formula>
    </cfRule>
    <cfRule type="cellIs" dxfId="8910" priority="11292" stopIfTrue="1" operator="equal">
      <formula>"Napkin Hs"</formula>
    </cfRule>
    <cfRule type="cellIs" dxfId="8909" priority="11293" stopIfTrue="1" operator="equal">
      <formula>"Towel"</formula>
    </cfRule>
    <cfRule type="cellIs" dxfId="8908" priority="11294" stopIfTrue="1" operator="equal">
      <formula>"Napkin Hs"</formula>
    </cfRule>
    <cfRule type="cellIs" dxfId="8907" priority="11299" stopIfTrue="1" operator="equal">
      <formula>"Towel"</formula>
    </cfRule>
    <cfRule type="cellIs" dxfId="8906" priority="11300" stopIfTrue="1" operator="equal">
      <formula>"Napkin Hs"</formula>
    </cfRule>
    <cfRule type="cellIs" dxfId="8905" priority="11301" stopIfTrue="1" operator="equal">
      <formula>"Towel"</formula>
    </cfRule>
    <cfRule type="cellIs" dxfId="8904" priority="11302" stopIfTrue="1" operator="equal">
      <formula>"Napkin Hs"</formula>
    </cfRule>
    <cfRule type="cellIs" dxfId="8903" priority="11305" stopIfTrue="1" operator="equal">
      <formula>"Towel"</formula>
    </cfRule>
    <cfRule type="cellIs" dxfId="8902" priority="11306" stopIfTrue="1" operator="equal">
      <formula>"Napkin Hs"</formula>
    </cfRule>
    <cfRule type="cellIs" dxfId="8901" priority="11307" stopIfTrue="1" operator="equal">
      <formula>"Towel"</formula>
    </cfRule>
    <cfRule type="cellIs" dxfId="8900" priority="11308" stopIfTrue="1" operator="equal">
      <formula>"Napkin Hs"</formula>
    </cfRule>
  </conditionalFormatting>
  <conditionalFormatting sqref="C39">
    <cfRule type="cellIs" dxfId="8899" priority="11195" stopIfTrue="1" operator="equal">
      <formula>"Towel"</formula>
    </cfRule>
    <cfRule type="cellIs" dxfId="8898" priority="11196" stopIfTrue="1" operator="equal">
      <formula>"Napkin Hs"</formula>
    </cfRule>
  </conditionalFormatting>
  <conditionalFormatting sqref="C39">
    <cfRule type="cellIs" dxfId="8897" priority="11197" stopIfTrue="1" operator="equal">
      <formula>"Towel"</formula>
    </cfRule>
    <cfRule type="cellIs" dxfId="8896" priority="11198" stopIfTrue="1" operator="equal">
      <formula>"Napkin Hs"</formula>
    </cfRule>
  </conditionalFormatting>
  <conditionalFormatting sqref="C39">
    <cfRule type="cellIs" dxfId="8895" priority="11193" stopIfTrue="1" operator="equal">
      <formula>"Towel"</formula>
    </cfRule>
    <cfRule type="cellIs" dxfId="8894" priority="11194" stopIfTrue="1" operator="equal">
      <formula>"Napkin Hs"</formula>
    </cfRule>
  </conditionalFormatting>
  <conditionalFormatting sqref="C39">
    <cfRule type="cellIs" dxfId="8893" priority="11191" stopIfTrue="1" operator="equal">
      <formula>"Towel"</formula>
    </cfRule>
    <cfRule type="cellIs" dxfId="8892" priority="11192" stopIfTrue="1" operator="equal">
      <formula>"Napkin Hs"</formula>
    </cfRule>
  </conditionalFormatting>
  <conditionalFormatting sqref="C39">
    <cfRule type="cellIs" dxfId="8891" priority="11189" stopIfTrue="1" operator="equal">
      <formula>"Towel"</formula>
    </cfRule>
    <cfRule type="cellIs" dxfId="8890" priority="11190" stopIfTrue="1" operator="equal">
      <formula>"Napkin Hs"</formula>
    </cfRule>
  </conditionalFormatting>
  <conditionalFormatting sqref="C39">
    <cfRule type="cellIs" dxfId="8889" priority="11209" stopIfTrue="1" operator="equal">
      <formula>"Towel"</formula>
    </cfRule>
    <cfRule type="cellIs" dxfId="8888" priority="11210" stopIfTrue="1" operator="equal">
      <formula>"Napkin Hs"</formula>
    </cfRule>
  </conditionalFormatting>
  <conditionalFormatting sqref="C39">
    <cfRule type="cellIs" dxfId="8887" priority="11211" stopIfTrue="1" operator="equal">
      <formula>"Towel"</formula>
    </cfRule>
    <cfRule type="cellIs" dxfId="8886" priority="11212" stopIfTrue="1" operator="equal">
      <formula>"Napkin Hs"</formula>
    </cfRule>
  </conditionalFormatting>
  <conditionalFormatting sqref="C39">
    <cfRule type="cellIs" dxfId="8885" priority="11207" stopIfTrue="1" operator="equal">
      <formula>"Towel"</formula>
    </cfRule>
    <cfRule type="cellIs" dxfId="8884" priority="11208" stopIfTrue="1" operator="equal">
      <formula>"Napkin Hs"</formula>
    </cfRule>
  </conditionalFormatting>
  <conditionalFormatting sqref="C39">
    <cfRule type="cellIs" dxfId="8883" priority="11205" stopIfTrue="1" operator="equal">
      <formula>"Towel"</formula>
    </cfRule>
    <cfRule type="cellIs" dxfId="8882" priority="11206" stopIfTrue="1" operator="equal">
      <formula>"Napkin Hs"</formula>
    </cfRule>
  </conditionalFormatting>
  <conditionalFormatting sqref="C39">
    <cfRule type="cellIs" dxfId="8881" priority="11201" stopIfTrue="1" operator="equal">
      <formula>"Towel"</formula>
    </cfRule>
    <cfRule type="cellIs" dxfId="8880" priority="11202" stopIfTrue="1" operator="equal">
      <formula>"Napkin Hs"</formula>
    </cfRule>
  </conditionalFormatting>
  <conditionalFormatting sqref="C39">
    <cfRule type="cellIs" dxfId="8879" priority="11203" stopIfTrue="1" operator="equal">
      <formula>"Towel"</formula>
    </cfRule>
    <cfRule type="cellIs" dxfId="8878" priority="11204" stopIfTrue="1" operator="equal">
      <formula>"Napkin Hs"</formula>
    </cfRule>
  </conditionalFormatting>
  <conditionalFormatting sqref="C39">
    <cfRule type="cellIs" dxfId="8877" priority="11199" stopIfTrue="1" operator="equal">
      <formula>"Towel"</formula>
    </cfRule>
    <cfRule type="cellIs" dxfId="8876" priority="11200" stopIfTrue="1" operator="equal">
      <formula>"Napkin Hs"</formula>
    </cfRule>
  </conditionalFormatting>
  <conditionalFormatting sqref="C38:C40">
    <cfRule type="cellIs" dxfId="8875" priority="11135" stopIfTrue="1" operator="equal">
      <formula>"Towel"</formula>
    </cfRule>
    <cfRule type="cellIs" dxfId="8874" priority="11136" stopIfTrue="1" operator="equal">
      <formula>"Napkin Hs"</formula>
    </cfRule>
  </conditionalFormatting>
  <conditionalFormatting sqref="C38:C40">
    <cfRule type="cellIs" dxfId="8873" priority="11137" stopIfTrue="1" operator="equal">
      <formula>"Towel"</formula>
    </cfRule>
    <cfRule type="cellIs" dxfId="8872" priority="11138" stopIfTrue="1" operator="equal">
      <formula>"Napkin Hs"</formula>
    </cfRule>
  </conditionalFormatting>
  <conditionalFormatting sqref="B38:C40">
    <cfRule type="cellIs" dxfId="8871" priority="11133" stopIfTrue="1" operator="equal">
      <formula>"Towel"</formula>
    </cfRule>
    <cfRule type="cellIs" dxfId="8870" priority="11134" stopIfTrue="1" operator="equal">
      <formula>"Napkin Hs"</formula>
    </cfRule>
  </conditionalFormatting>
  <conditionalFormatting sqref="C38:C40">
    <cfRule type="cellIs" dxfId="8869" priority="11131" stopIfTrue="1" operator="equal">
      <formula>"Towel"</formula>
    </cfRule>
    <cfRule type="cellIs" dxfId="8868" priority="11132" stopIfTrue="1" operator="equal">
      <formula>"Napkin Hs"</formula>
    </cfRule>
  </conditionalFormatting>
  <conditionalFormatting sqref="B38:C40">
    <cfRule type="cellIs" dxfId="8867" priority="11127" stopIfTrue="1" operator="equal">
      <formula>"Towel"</formula>
    </cfRule>
    <cfRule type="cellIs" dxfId="8866" priority="11128" stopIfTrue="1" operator="equal">
      <formula>"Napkin Hs"</formula>
    </cfRule>
  </conditionalFormatting>
  <conditionalFormatting sqref="C38:C40">
    <cfRule type="cellIs" dxfId="8865" priority="11129" stopIfTrue="1" operator="equal">
      <formula>"Towel"</formula>
    </cfRule>
    <cfRule type="cellIs" dxfId="8864" priority="11130" stopIfTrue="1" operator="equal">
      <formula>"Napkin Hs"</formula>
    </cfRule>
  </conditionalFormatting>
  <conditionalFormatting sqref="B38:C40">
    <cfRule type="cellIs" dxfId="8863" priority="11187" stopIfTrue="1" operator="equal">
      <formula>"Towel"</formula>
    </cfRule>
    <cfRule type="cellIs" dxfId="8862" priority="11188" stopIfTrue="1" operator="equal">
      <formula>"Napkin Hs"</formula>
    </cfRule>
  </conditionalFormatting>
  <conditionalFormatting sqref="C38:C40">
    <cfRule type="cellIs" dxfId="8861" priority="11183" stopIfTrue="1" operator="equal">
      <formula>"Towel"</formula>
    </cfRule>
    <cfRule type="cellIs" dxfId="8860" priority="11184" stopIfTrue="1" operator="equal">
      <formula>"Napkin Hs"</formula>
    </cfRule>
  </conditionalFormatting>
  <conditionalFormatting sqref="C38:C40">
    <cfRule type="cellIs" dxfId="8859" priority="11186" stopIfTrue="1" operator="equal">
      <formula>"Napkin Hs"</formula>
    </cfRule>
  </conditionalFormatting>
  <conditionalFormatting sqref="C38:C40">
    <cfRule type="cellIs" dxfId="8858" priority="11185" stopIfTrue="1" operator="equal">
      <formula>"Towel"</formula>
    </cfRule>
  </conditionalFormatting>
  <conditionalFormatting sqref="C38:C40">
    <cfRule type="cellIs" dxfId="8857" priority="11177" stopIfTrue="1" operator="equal">
      <formula>"Towel"</formula>
    </cfRule>
    <cfRule type="cellIs" dxfId="8856" priority="11178" stopIfTrue="1" operator="equal">
      <formula>"Napkin Hs"</formula>
    </cfRule>
  </conditionalFormatting>
  <conditionalFormatting sqref="C38:C40">
    <cfRule type="cellIs" dxfId="8855" priority="11181" stopIfTrue="1" operator="equal">
      <formula>"Towel"</formula>
    </cfRule>
    <cfRule type="cellIs" dxfId="8854" priority="11182" stopIfTrue="1" operator="equal">
      <formula>"Napkin Hs"</formula>
    </cfRule>
  </conditionalFormatting>
  <conditionalFormatting sqref="B38:B40">
    <cfRule type="cellIs" dxfId="8853" priority="11167" stopIfTrue="1" operator="equal">
      <formula>"Towel"</formula>
    </cfRule>
    <cfRule type="cellIs" dxfId="8852" priority="11168" stopIfTrue="1" operator="equal">
      <formula>"Napkin Hs"</formula>
    </cfRule>
  </conditionalFormatting>
  <conditionalFormatting sqref="C38:C40">
    <cfRule type="cellIs" dxfId="8851" priority="11179" stopIfTrue="1" operator="equal">
      <formula>"Towel"</formula>
    </cfRule>
    <cfRule type="cellIs" dxfId="8850" priority="11180" stopIfTrue="1" operator="equal">
      <formula>"Napkin Hs"</formula>
    </cfRule>
  </conditionalFormatting>
  <conditionalFormatting sqref="C38:C40">
    <cfRule type="cellIs" dxfId="8849" priority="11171" stopIfTrue="1" operator="equal">
      <formula>"Towel"</formula>
    </cfRule>
    <cfRule type="cellIs" dxfId="8848" priority="11172" stopIfTrue="1" operator="equal">
      <formula>"Napkin Hs"</formula>
    </cfRule>
  </conditionalFormatting>
  <conditionalFormatting sqref="C38:C40">
    <cfRule type="cellIs" dxfId="8847" priority="11173" stopIfTrue="1" operator="equal">
      <formula>"Towel"</formula>
    </cfRule>
    <cfRule type="cellIs" dxfId="8846" priority="11174" stopIfTrue="1" operator="equal">
      <formula>"Napkin Hs"</formula>
    </cfRule>
  </conditionalFormatting>
  <conditionalFormatting sqref="C38:C40">
    <cfRule type="cellIs" dxfId="8845" priority="11175" stopIfTrue="1" operator="equal">
      <formula>"Towel"</formula>
    </cfRule>
    <cfRule type="cellIs" dxfId="8844" priority="11176" stopIfTrue="1" operator="equal">
      <formula>"Napkin Hs"</formula>
    </cfRule>
  </conditionalFormatting>
  <conditionalFormatting sqref="B38:B40">
    <cfRule type="cellIs" dxfId="8843" priority="11169" stopIfTrue="1" operator="equal">
      <formula>"Towel"</formula>
    </cfRule>
    <cfRule type="cellIs" dxfId="8842" priority="11170" stopIfTrue="1" operator="equal">
      <formula>"Napkin Hs"</formula>
    </cfRule>
  </conditionalFormatting>
  <conditionalFormatting sqref="C38:C40">
    <cfRule type="cellIs" dxfId="8841" priority="11161" stopIfTrue="1" operator="equal">
      <formula>"Towel"</formula>
    </cfRule>
    <cfRule type="cellIs" dxfId="8840" priority="11162" stopIfTrue="1" operator="equal">
      <formula>"Napkin Hs"</formula>
    </cfRule>
  </conditionalFormatting>
  <conditionalFormatting sqref="C38:C40">
    <cfRule type="cellIs" dxfId="8839" priority="11165" stopIfTrue="1" operator="equal">
      <formula>"Towel"</formula>
    </cfRule>
    <cfRule type="cellIs" dxfId="8838" priority="11166" stopIfTrue="1" operator="equal">
      <formula>"Napkin Hs"</formula>
    </cfRule>
  </conditionalFormatting>
  <conditionalFormatting sqref="B38:B40">
    <cfRule type="cellIs" dxfId="8837" priority="11151" stopIfTrue="1" operator="equal">
      <formula>"Towel"</formula>
    </cfRule>
    <cfRule type="cellIs" dxfId="8836" priority="11152" stopIfTrue="1" operator="equal">
      <formula>"Napkin Hs"</formula>
    </cfRule>
  </conditionalFormatting>
  <conditionalFormatting sqref="C38:C40">
    <cfRule type="cellIs" dxfId="8835" priority="11163" stopIfTrue="1" operator="equal">
      <formula>"Towel"</formula>
    </cfRule>
    <cfRule type="cellIs" dxfId="8834" priority="11164" stopIfTrue="1" operator="equal">
      <formula>"Napkin Hs"</formula>
    </cfRule>
  </conditionalFormatting>
  <conditionalFormatting sqref="C38:C40">
    <cfRule type="cellIs" dxfId="8833" priority="11155" stopIfTrue="1" operator="equal">
      <formula>"Towel"</formula>
    </cfRule>
    <cfRule type="cellIs" dxfId="8832" priority="11156" stopIfTrue="1" operator="equal">
      <formula>"Napkin Hs"</formula>
    </cfRule>
  </conditionalFormatting>
  <conditionalFormatting sqref="C38:C40">
    <cfRule type="cellIs" dxfId="8831" priority="11157" stopIfTrue="1" operator="equal">
      <formula>"Towel"</formula>
    </cfRule>
    <cfRule type="cellIs" dxfId="8830" priority="11158" stopIfTrue="1" operator="equal">
      <formula>"Napkin Hs"</formula>
    </cfRule>
  </conditionalFormatting>
  <conditionalFormatting sqref="C38:C40">
    <cfRule type="cellIs" dxfId="8829" priority="11159" stopIfTrue="1" operator="equal">
      <formula>"Towel"</formula>
    </cfRule>
    <cfRule type="cellIs" dxfId="8828" priority="11160" stopIfTrue="1" operator="equal">
      <formula>"Napkin Hs"</formula>
    </cfRule>
  </conditionalFormatting>
  <conditionalFormatting sqref="B38:B40">
    <cfRule type="cellIs" dxfId="8827" priority="11153" stopIfTrue="1" operator="equal">
      <formula>"Towel"</formula>
    </cfRule>
    <cfRule type="cellIs" dxfId="8826" priority="11154" stopIfTrue="1" operator="equal">
      <formula>"Napkin Hs"</formula>
    </cfRule>
  </conditionalFormatting>
  <conditionalFormatting sqref="B38:C40">
    <cfRule type="cellIs" dxfId="8825" priority="11149" stopIfTrue="1" operator="equal">
      <formula>"Towel"</formula>
    </cfRule>
    <cfRule type="cellIs" dxfId="8824" priority="11150" stopIfTrue="1" operator="equal">
      <formula>"Napkin Hs"</formula>
    </cfRule>
  </conditionalFormatting>
  <conditionalFormatting sqref="C38:C40">
    <cfRule type="cellIs" dxfId="8823" priority="11145" stopIfTrue="1" operator="equal">
      <formula>"Towel"</formula>
    </cfRule>
    <cfRule type="cellIs" dxfId="8822" priority="11146" stopIfTrue="1" operator="equal">
      <formula>"Napkin Hs"</formula>
    </cfRule>
  </conditionalFormatting>
  <conditionalFormatting sqref="C38:C40">
    <cfRule type="cellIs" dxfId="8821" priority="11147" stopIfTrue="1" operator="equal">
      <formula>"Towel"</formula>
    </cfRule>
    <cfRule type="cellIs" dxfId="8820" priority="11148" stopIfTrue="1" operator="equal">
      <formula>"Napkin Hs"</formula>
    </cfRule>
  </conditionalFormatting>
  <conditionalFormatting sqref="B38:C40">
    <cfRule type="cellIs" dxfId="8819" priority="11143" stopIfTrue="1" operator="equal">
      <formula>"Towel"</formula>
    </cfRule>
    <cfRule type="cellIs" dxfId="8818" priority="11144" stopIfTrue="1" operator="equal">
      <formula>"Napkin Hs"</formula>
    </cfRule>
  </conditionalFormatting>
  <conditionalFormatting sqref="C38:C40">
    <cfRule type="cellIs" dxfId="8817" priority="11141" stopIfTrue="1" operator="equal">
      <formula>"Towel"</formula>
    </cfRule>
    <cfRule type="cellIs" dxfId="8816" priority="11142" stopIfTrue="1" operator="equal">
      <formula>"Napkin Hs"</formula>
    </cfRule>
  </conditionalFormatting>
  <conditionalFormatting sqref="C38:C40">
    <cfRule type="cellIs" dxfId="8815" priority="11139" stopIfTrue="1" operator="equal">
      <formula>"Towel"</formula>
    </cfRule>
    <cfRule type="cellIs" dxfId="8814" priority="11140" stopIfTrue="1" operator="equal">
      <formula>"Napkin Hs"</formula>
    </cfRule>
  </conditionalFormatting>
  <conditionalFormatting sqref="B38:C40">
    <cfRule type="cellIs" dxfId="8813" priority="11123" stopIfTrue="1" operator="equal">
      <formula>"Towel"</formula>
    </cfRule>
    <cfRule type="cellIs" dxfId="8812" priority="11124" stopIfTrue="1" operator="equal">
      <formula>"Napkin Hs"</formula>
    </cfRule>
  </conditionalFormatting>
  <conditionalFormatting sqref="C38:C40">
    <cfRule type="cellIs" dxfId="8811" priority="11125" stopIfTrue="1" operator="equal">
      <formula>"Towel"</formula>
    </cfRule>
    <cfRule type="cellIs" dxfId="8810" priority="11126" stopIfTrue="1" operator="equal">
      <formula>"Napkin Hs"</formula>
    </cfRule>
  </conditionalFormatting>
  <conditionalFormatting sqref="C38:C40">
    <cfRule type="cellIs" dxfId="8809" priority="11121" stopIfTrue="1" operator="equal">
      <formula>"Towel"</formula>
    </cfRule>
    <cfRule type="cellIs" dxfId="8808" priority="11122" stopIfTrue="1" operator="equal">
      <formula>"Napkin Hs"</formula>
    </cfRule>
  </conditionalFormatting>
  <conditionalFormatting sqref="B38:C40">
    <cfRule type="cellIs" dxfId="8807" priority="11119" stopIfTrue="1" operator="equal">
      <formula>"Towel"</formula>
    </cfRule>
    <cfRule type="cellIs" dxfId="8806" priority="11120" stopIfTrue="1" operator="equal">
      <formula>"Napkin Hs"</formula>
    </cfRule>
  </conditionalFormatting>
  <conditionalFormatting sqref="C38:C40">
    <cfRule type="cellIs" dxfId="8805" priority="11115" stopIfTrue="1" operator="equal">
      <formula>"Towel"</formula>
    </cfRule>
    <cfRule type="cellIs" dxfId="8804" priority="11116" stopIfTrue="1" operator="equal">
      <formula>"Napkin Hs"</formula>
    </cfRule>
  </conditionalFormatting>
  <conditionalFormatting sqref="C38:C40">
    <cfRule type="cellIs" dxfId="8803" priority="11117" stopIfTrue="1" operator="equal">
      <formula>"Towel"</formula>
    </cfRule>
    <cfRule type="cellIs" dxfId="8802" priority="11118" stopIfTrue="1" operator="equal">
      <formula>"Napkin Hs"</formula>
    </cfRule>
  </conditionalFormatting>
  <conditionalFormatting sqref="B38:C40">
    <cfRule type="cellIs" dxfId="8801" priority="11111" stopIfTrue="1" operator="equal">
      <formula>"Towel"</formula>
    </cfRule>
    <cfRule type="cellIs" dxfId="8800" priority="11112" stopIfTrue="1" operator="equal">
      <formula>"Napkin Hs"</formula>
    </cfRule>
  </conditionalFormatting>
  <conditionalFormatting sqref="C38:C40">
    <cfRule type="cellIs" dxfId="8799" priority="11113" stopIfTrue="1" operator="equal">
      <formula>"Towel"</formula>
    </cfRule>
    <cfRule type="cellIs" dxfId="8798" priority="11114" stopIfTrue="1" operator="equal">
      <formula>"Napkin Hs"</formula>
    </cfRule>
  </conditionalFormatting>
  <conditionalFormatting sqref="C38:C40">
    <cfRule type="cellIs" dxfId="8797" priority="11109" stopIfTrue="1" operator="equal">
      <formula>"Towel"</formula>
    </cfRule>
    <cfRule type="cellIs" dxfId="8796" priority="11110" stopIfTrue="1" operator="equal">
      <formula>"Napkin Hs"</formula>
    </cfRule>
  </conditionalFormatting>
  <conditionalFormatting sqref="B38:C40">
    <cfRule type="cellIs" dxfId="8795" priority="11107" stopIfTrue="1" operator="equal">
      <formula>"Towel"</formula>
    </cfRule>
    <cfRule type="cellIs" dxfId="8794" priority="11108" stopIfTrue="1" operator="equal">
      <formula>"Napkin Hs"</formula>
    </cfRule>
  </conditionalFormatting>
  <conditionalFormatting sqref="C38:C40">
    <cfRule type="cellIs" dxfId="8793" priority="11103" stopIfTrue="1" operator="equal">
      <formula>"Towel"</formula>
    </cfRule>
    <cfRule type="cellIs" dxfId="8792" priority="11104" stopIfTrue="1" operator="equal">
      <formula>"Napkin Hs"</formula>
    </cfRule>
  </conditionalFormatting>
  <conditionalFormatting sqref="C38:C40">
    <cfRule type="cellIs" dxfId="8791" priority="11105" stopIfTrue="1" operator="equal">
      <formula>"Towel"</formula>
    </cfRule>
    <cfRule type="cellIs" dxfId="8790" priority="11106" stopIfTrue="1" operator="equal">
      <formula>"Napkin Hs"</formula>
    </cfRule>
  </conditionalFormatting>
  <conditionalFormatting sqref="B37:C37">
    <cfRule type="cellIs" dxfId="8789" priority="11101" stopIfTrue="1" operator="equal">
      <formula>"Towel"</formula>
    </cfRule>
    <cfRule type="cellIs" dxfId="8788" priority="11102" stopIfTrue="1" operator="equal">
      <formula>"Napkin Hs"</formula>
    </cfRule>
  </conditionalFormatting>
  <conditionalFormatting sqref="C37">
    <cfRule type="cellIs" dxfId="8787" priority="11099" stopIfTrue="1" operator="equal">
      <formula>"Towel"</formula>
    </cfRule>
    <cfRule type="cellIs" dxfId="8786" priority="11100" stopIfTrue="1" operator="equal">
      <formula>"Napkin Hs"</formula>
    </cfRule>
  </conditionalFormatting>
  <conditionalFormatting sqref="C37">
    <cfRule type="cellIs" dxfId="8785" priority="11097" stopIfTrue="1" operator="equal">
      <formula>"Towel"</formula>
    </cfRule>
    <cfRule type="cellIs" dxfId="8784" priority="11098" stopIfTrue="1" operator="equal">
      <formula>"Napkin Hs"</formula>
    </cfRule>
  </conditionalFormatting>
  <conditionalFormatting sqref="B37:C37">
    <cfRule type="cellIs" dxfId="8783" priority="11095" stopIfTrue="1" operator="equal">
      <formula>"Towel"</formula>
    </cfRule>
    <cfRule type="cellIs" dxfId="8782" priority="11096" stopIfTrue="1" operator="equal">
      <formula>"Napkin Hs"</formula>
    </cfRule>
  </conditionalFormatting>
  <conditionalFormatting sqref="C37">
    <cfRule type="cellIs" dxfId="8781" priority="11091" stopIfTrue="1" operator="equal">
      <formula>"Towel"</formula>
    </cfRule>
    <cfRule type="cellIs" dxfId="8780" priority="11092" stopIfTrue="1" operator="equal">
      <formula>"Napkin Hs"</formula>
    </cfRule>
  </conditionalFormatting>
  <conditionalFormatting sqref="C37">
    <cfRule type="cellIs" dxfId="8779" priority="11094" stopIfTrue="1" operator="equal">
      <formula>"Napkin Hs"</formula>
    </cfRule>
  </conditionalFormatting>
  <conditionalFormatting sqref="C37">
    <cfRule type="cellIs" dxfId="8778" priority="11093" stopIfTrue="1" operator="equal">
      <formula>"Towel"</formula>
    </cfRule>
  </conditionalFormatting>
  <conditionalFormatting sqref="C37">
    <cfRule type="cellIs" dxfId="8777" priority="11037" stopIfTrue="1" operator="equal">
      <formula>"Towel"</formula>
    </cfRule>
    <cfRule type="cellIs" dxfId="8776" priority="11038" stopIfTrue="1" operator="equal">
      <formula>"Napkin Hs"</formula>
    </cfRule>
  </conditionalFormatting>
  <conditionalFormatting sqref="C37">
    <cfRule type="cellIs" dxfId="8775" priority="11039" stopIfTrue="1" operator="equal">
      <formula>"Towel"</formula>
    </cfRule>
    <cfRule type="cellIs" dxfId="8774" priority="11040" stopIfTrue="1" operator="equal">
      <formula>"Napkin Hs"</formula>
    </cfRule>
  </conditionalFormatting>
  <conditionalFormatting sqref="B37:C37">
    <cfRule type="cellIs" dxfId="8773" priority="11035" stopIfTrue="1" operator="equal">
      <formula>"Towel"</formula>
    </cfRule>
    <cfRule type="cellIs" dxfId="8772" priority="11036" stopIfTrue="1" operator="equal">
      <formula>"Napkin Hs"</formula>
    </cfRule>
  </conditionalFormatting>
  <conditionalFormatting sqref="C37">
    <cfRule type="cellIs" dxfId="8771" priority="11033" stopIfTrue="1" operator="equal">
      <formula>"Towel"</formula>
    </cfRule>
    <cfRule type="cellIs" dxfId="8770" priority="11034" stopIfTrue="1" operator="equal">
      <formula>"Napkin Hs"</formula>
    </cfRule>
  </conditionalFormatting>
  <conditionalFormatting sqref="B37:C37">
    <cfRule type="cellIs" dxfId="8769" priority="11029" stopIfTrue="1" operator="equal">
      <formula>"Towel"</formula>
    </cfRule>
    <cfRule type="cellIs" dxfId="8768" priority="11030" stopIfTrue="1" operator="equal">
      <formula>"Napkin Hs"</formula>
    </cfRule>
  </conditionalFormatting>
  <conditionalFormatting sqref="C37">
    <cfRule type="cellIs" dxfId="8767" priority="11031" stopIfTrue="1" operator="equal">
      <formula>"Towel"</formula>
    </cfRule>
    <cfRule type="cellIs" dxfId="8766" priority="11032" stopIfTrue="1" operator="equal">
      <formula>"Napkin Hs"</formula>
    </cfRule>
  </conditionalFormatting>
  <conditionalFormatting sqref="B37:C37">
    <cfRule type="cellIs" dxfId="8765" priority="11089" stopIfTrue="1" operator="equal">
      <formula>"Towel"</formula>
    </cfRule>
    <cfRule type="cellIs" dxfId="8764" priority="11090" stopIfTrue="1" operator="equal">
      <formula>"Napkin Hs"</formula>
    </cfRule>
  </conditionalFormatting>
  <conditionalFormatting sqref="C37">
    <cfRule type="cellIs" dxfId="8763" priority="11085" stopIfTrue="1" operator="equal">
      <formula>"Towel"</formula>
    </cfRule>
    <cfRule type="cellIs" dxfId="8762" priority="11086" stopIfTrue="1" operator="equal">
      <formula>"Napkin Hs"</formula>
    </cfRule>
  </conditionalFormatting>
  <conditionalFormatting sqref="C37">
    <cfRule type="cellIs" dxfId="8761" priority="11088" stopIfTrue="1" operator="equal">
      <formula>"Napkin Hs"</formula>
    </cfRule>
  </conditionalFormatting>
  <conditionalFormatting sqref="C37">
    <cfRule type="cellIs" dxfId="8760" priority="11087" stopIfTrue="1" operator="equal">
      <formula>"Towel"</formula>
    </cfRule>
  </conditionalFormatting>
  <conditionalFormatting sqref="C37">
    <cfRule type="cellIs" dxfId="8759" priority="11079" stopIfTrue="1" operator="equal">
      <formula>"Towel"</formula>
    </cfRule>
    <cfRule type="cellIs" dxfId="8758" priority="11080" stopIfTrue="1" operator="equal">
      <formula>"Napkin Hs"</formula>
    </cfRule>
  </conditionalFormatting>
  <conditionalFormatting sqref="C37">
    <cfRule type="cellIs" dxfId="8757" priority="11083" stopIfTrue="1" operator="equal">
      <formula>"Towel"</formula>
    </cfRule>
    <cfRule type="cellIs" dxfId="8756" priority="11084" stopIfTrue="1" operator="equal">
      <formula>"Napkin Hs"</formula>
    </cfRule>
  </conditionalFormatting>
  <conditionalFormatting sqref="B37">
    <cfRule type="cellIs" dxfId="8755" priority="11069" stopIfTrue="1" operator="equal">
      <formula>"Towel"</formula>
    </cfRule>
    <cfRule type="cellIs" dxfId="8754" priority="11070" stopIfTrue="1" operator="equal">
      <formula>"Napkin Hs"</formula>
    </cfRule>
  </conditionalFormatting>
  <conditionalFormatting sqref="C37">
    <cfRule type="cellIs" dxfId="8753" priority="11081" stopIfTrue="1" operator="equal">
      <formula>"Towel"</formula>
    </cfRule>
    <cfRule type="cellIs" dxfId="8752" priority="11082" stopIfTrue="1" operator="equal">
      <formula>"Napkin Hs"</formula>
    </cfRule>
  </conditionalFormatting>
  <conditionalFormatting sqref="C37">
    <cfRule type="cellIs" dxfId="8751" priority="11073" stopIfTrue="1" operator="equal">
      <formula>"Towel"</formula>
    </cfRule>
    <cfRule type="cellIs" dxfId="8750" priority="11074" stopIfTrue="1" operator="equal">
      <formula>"Napkin Hs"</formula>
    </cfRule>
  </conditionalFormatting>
  <conditionalFormatting sqref="C37">
    <cfRule type="cellIs" dxfId="8749" priority="11075" stopIfTrue="1" operator="equal">
      <formula>"Towel"</formula>
    </cfRule>
    <cfRule type="cellIs" dxfId="8748" priority="11076" stopIfTrue="1" operator="equal">
      <formula>"Napkin Hs"</formula>
    </cfRule>
  </conditionalFormatting>
  <conditionalFormatting sqref="C37">
    <cfRule type="cellIs" dxfId="8747" priority="11077" stopIfTrue="1" operator="equal">
      <formula>"Towel"</formula>
    </cfRule>
    <cfRule type="cellIs" dxfId="8746" priority="11078" stopIfTrue="1" operator="equal">
      <formula>"Napkin Hs"</formula>
    </cfRule>
  </conditionalFormatting>
  <conditionalFormatting sqref="B37">
    <cfRule type="cellIs" dxfId="8745" priority="11071" stopIfTrue="1" operator="equal">
      <formula>"Towel"</formula>
    </cfRule>
    <cfRule type="cellIs" dxfId="8744" priority="11072" stopIfTrue="1" operator="equal">
      <formula>"Napkin Hs"</formula>
    </cfRule>
  </conditionalFormatting>
  <conditionalFormatting sqref="C37">
    <cfRule type="cellIs" dxfId="8743" priority="11063" stopIfTrue="1" operator="equal">
      <formula>"Towel"</formula>
    </cfRule>
    <cfRule type="cellIs" dxfId="8742" priority="11064" stopIfTrue="1" operator="equal">
      <formula>"Napkin Hs"</formula>
    </cfRule>
  </conditionalFormatting>
  <conditionalFormatting sqref="C37">
    <cfRule type="cellIs" dxfId="8741" priority="11067" stopIfTrue="1" operator="equal">
      <formula>"Towel"</formula>
    </cfRule>
    <cfRule type="cellIs" dxfId="8740" priority="11068" stopIfTrue="1" operator="equal">
      <formula>"Napkin Hs"</formula>
    </cfRule>
  </conditionalFormatting>
  <conditionalFormatting sqref="B37">
    <cfRule type="cellIs" dxfId="8739" priority="11053" stopIfTrue="1" operator="equal">
      <formula>"Towel"</formula>
    </cfRule>
    <cfRule type="cellIs" dxfId="8738" priority="11054" stopIfTrue="1" operator="equal">
      <formula>"Napkin Hs"</formula>
    </cfRule>
  </conditionalFormatting>
  <conditionalFormatting sqref="C37">
    <cfRule type="cellIs" dxfId="8737" priority="11065" stopIfTrue="1" operator="equal">
      <formula>"Towel"</formula>
    </cfRule>
    <cfRule type="cellIs" dxfId="8736" priority="11066" stopIfTrue="1" operator="equal">
      <formula>"Napkin Hs"</formula>
    </cfRule>
  </conditionalFormatting>
  <conditionalFormatting sqref="C37">
    <cfRule type="cellIs" dxfId="8735" priority="11057" stopIfTrue="1" operator="equal">
      <formula>"Towel"</formula>
    </cfRule>
    <cfRule type="cellIs" dxfId="8734" priority="11058" stopIfTrue="1" operator="equal">
      <formula>"Napkin Hs"</formula>
    </cfRule>
  </conditionalFormatting>
  <conditionalFormatting sqref="C37">
    <cfRule type="cellIs" dxfId="8733" priority="11059" stopIfTrue="1" operator="equal">
      <formula>"Towel"</formula>
    </cfRule>
    <cfRule type="cellIs" dxfId="8732" priority="11060" stopIfTrue="1" operator="equal">
      <formula>"Napkin Hs"</formula>
    </cfRule>
  </conditionalFormatting>
  <conditionalFormatting sqref="C37">
    <cfRule type="cellIs" dxfId="8731" priority="11061" stopIfTrue="1" operator="equal">
      <formula>"Towel"</formula>
    </cfRule>
    <cfRule type="cellIs" dxfId="8730" priority="11062" stopIfTrue="1" operator="equal">
      <formula>"Napkin Hs"</formula>
    </cfRule>
  </conditionalFormatting>
  <conditionalFormatting sqref="B37">
    <cfRule type="cellIs" dxfId="8729" priority="11055" stopIfTrue="1" operator="equal">
      <formula>"Towel"</formula>
    </cfRule>
    <cfRule type="cellIs" dxfId="8728" priority="11056" stopIfTrue="1" operator="equal">
      <formula>"Napkin Hs"</formula>
    </cfRule>
  </conditionalFormatting>
  <conditionalFormatting sqref="B37:C37">
    <cfRule type="cellIs" dxfId="8727" priority="11051" stopIfTrue="1" operator="equal">
      <formula>"Towel"</formula>
    </cfRule>
    <cfRule type="cellIs" dxfId="8726" priority="11052" stopIfTrue="1" operator="equal">
      <formula>"Napkin Hs"</formula>
    </cfRule>
  </conditionalFormatting>
  <conditionalFormatting sqref="C37">
    <cfRule type="cellIs" dxfId="8725" priority="11047" stopIfTrue="1" operator="equal">
      <formula>"Towel"</formula>
    </cfRule>
    <cfRule type="cellIs" dxfId="8724" priority="11048" stopIfTrue="1" operator="equal">
      <formula>"Napkin Hs"</formula>
    </cfRule>
  </conditionalFormatting>
  <conditionalFormatting sqref="C37">
    <cfRule type="cellIs" dxfId="8723" priority="11049" stopIfTrue="1" operator="equal">
      <formula>"Towel"</formula>
    </cfRule>
    <cfRule type="cellIs" dxfId="8722" priority="11050" stopIfTrue="1" operator="equal">
      <formula>"Napkin Hs"</formula>
    </cfRule>
  </conditionalFormatting>
  <conditionalFormatting sqref="B37:C37">
    <cfRule type="cellIs" dxfId="8721" priority="11045" stopIfTrue="1" operator="equal">
      <formula>"Towel"</formula>
    </cfRule>
    <cfRule type="cellIs" dxfId="8720" priority="11046" stopIfTrue="1" operator="equal">
      <formula>"Napkin Hs"</formula>
    </cfRule>
  </conditionalFormatting>
  <conditionalFormatting sqref="C37">
    <cfRule type="cellIs" dxfId="8719" priority="11043" stopIfTrue="1" operator="equal">
      <formula>"Towel"</formula>
    </cfRule>
    <cfRule type="cellIs" dxfId="8718" priority="11044" stopIfTrue="1" operator="equal">
      <formula>"Napkin Hs"</formula>
    </cfRule>
  </conditionalFormatting>
  <conditionalFormatting sqref="C37">
    <cfRule type="cellIs" dxfId="8717" priority="11041" stopIfTrue="1" operator="equal">
      <formula>"Towel"</formula>
    </cfRule>
    <cfRule type="cellIs" dxfId="8716" priority="11042" stopIfTrue="1" operator="equal">
      <formula>"Napkin Hs"</formula>
    </cfRule>
  </conditionalFormatting>
  <conditionalFormatting sqref="B37:C37">
    <cfRule type="cellIs" dxfId="8715" priority="11025" stopIfTrue="1" operator="equal">
      <formula>"Towel"</formula>
    </cfRule>
    <cfRule type="cellIs" dxfId="8714" priority="11026" stopIfTrue="1" operator="equal">
      <formula>"Napkin Hs"</formula>
    </cfRule>
  </conditionalFormatting>
  <conditionalFormatting sqref="C37">
    <cfRule type="cellIs" dxfId="8713" priority="11027" stopIfTrue="1" operator="equal">
      <formula>"Towel"</formula>
    </cfRule>
    <cfRule type="cellIs" dxfId="8712" priority="11028" stopIfTrue="1" operator="equal">
      <formula>"Napkin Hs"</formula>
    </cfRule>
  </conditionalFormatting>
  <conditionalFormatting sqref="C37">
    <cfRule type="cellIs" dxfId="8711" priority="11023" stopIfTrue="1" operator="equal">
      <formula>"Towel"</formula>
    </cfRule>
    <cfRule type="cellIs" dxfId="8710" priority="11024" stopIfTrue="1" operator="equal">
      <formula>"Napkin Hs"</formula>
    </cfRule>
  </conditionalFormatting>
  <conditionalFormatting sqref="B37:C37">
    <cfRule type="cellIs" dxfId="8709" priority="11021" stopIfTrue="1" operator="equal">
      <formula>"Towel"</formula>
    </cfRule>
    <cfRule type="cellIs" dxfId="8708" priority="11022" stopIfTrue="1" operator="equal">
      <formula>"Napkin Hs"</formula>
    </cfRule>
  </conditionalFormatting>
  <conditionalFormatting sqref="C37">
    <cfRule type="cellIs" dxfId="8707" priority="11017" stopIfTrue="1" operator="equal">
      <formula>"Towel"</formula>
    </cfRule>
    <cfRule type="cellIs" dxfId="8706" priority="11018" stopIfTrue="1" operator="equal">
      <formula>"Napkin Hs"</formula>
    </cfRule>
  </conditionalFormatting>
  <conditionalFormatting sqref="C37">
    <cfRule type="cellIs" dxfId="8705" priority="11019" stopIfTrue="1" operator="equal">
      <formula>"Towel"</formula>
    </cfRule>
    <cfRule type="cellIs" dxfId="8704" priority="11020" stopIfTrue="1" operator="equal">
      <formula>"Napkin Hs"</formula>
    </cfRule>
  </conditionalFormatting>
  <conditionalFormatting sqref="B37:C37">
    <cfRule type="cellIs" dxfId="8703" priority="11013" stopIfTrue="1" operator="equal">
      <formula>"Towel"</formula>
    </cfRule>
    <cfRule type="cellIs" dxfId="8702" priority="11014" stopIfTrue="1" operator="equal">
      <formula>"Napkin Hs"</formula>
    </cfRule>
  </conditionalFormatting>
  <conditionalFormatting sqref="C37">
    <cfRule type="cellIs" dxfId="8701" priority="11015" stopIfTrue="1" operator="equal">
      <formula>"Towel"</formula>
    </cfRule>
    <cfRule type="cellIs" dxfId="8700" priority="11016" stopIfTrue="1" operator="equal">
      <formula>"Napkin Hs"</formula>
    </cfRule>
  </conditionalFormatting>
  <conditionalFormatting sqref="C37">
    <cfRule type="cellIs" dxfId="8699" priority="11011" stopIfTrue="1" operator="equal">
      <formula>"Towel"</formula>
    </cfRule>
    <cfRule type="cellIs" dxfId="8698" priority="11012" stopIfTrue="1" operator="equal">
      <formula>"Napkin Hs"</formula>
    </cfRule>
  </conditionalFormatting>
  <conditionalFormatting sqref="B37:C37">
    <cfRule type="cellIs" dxfId="8697" priority="11009" stopIfTrue="1" operator="equal">
      <formula>"Towel"</formula>
    </cfRule>
    <cfRule type="cellIs" dxfId="8696" priority="11010" stopIfTrue="1" operator="equal">
      <formula>"Napkin Hs"</formula>
    </cfRule>
  </conditionalFormatting>
  <conditionalFormatting sqref="C37">
    <cfRule type="cellIs" dxfId="8695" priority="11005" stopIfTrue="1" operator="equal">
      <formula>"Towel"</formula>
    </cfRule>
    <cfRule type="cellIs" dxfId="8694" priority="11006" stopIfTrue="1" operator="equal">
      <formula>"Napkin Hs"</formula>
    </cfRule>
  </conditionalFormatting>
  <conditionalFormatting sqref="C37">
    <cfRule type="cellIs" dxfId="8693" priority="11007" stopIfTrue="1" operator="equal">
      <formula>"Towel"</formula>
    </cfRule>
    <cfRule type="cellIs" dxfId="8692" priority="11008" stopIfTrue="1" operator="equal">
      <formula>"Napkin Hs"</formula>
    </cfRule>
  </conditionalFormatting>
  <conditionalFormatting sqref="C46">
    <cfRule type="cellIs" dxfId="8691" priority="10641" stopIfTrue="1" operator="equal">
      <formula>"Towel"</formula>
    </cfRule>
    <cfRule type="cellIs" dxfId="8690" priority="10642" stopIfTrue="1" operator="equal">
      <formula>"Napkin Hs"</formula>
    </cfRule>
  </conditionalFormatting>
  <conditionalFormatting sqref="B46:C46">
    <cfRule type="cellIs" dxfId="8689" priority="10643" stopIfTrue="1" operator="equal">
      <formula>"Towel"</formula>
    </cfRule>
    <cfRule type="cellIs" dxfId="8688" priority="10644" stopIfTrue="1" operator="equal">
      <formula>"Napkin Hs"</formula>
    </cfRule>
  </conditionalFormatting>
  <conditionalFormatting sqref="C46">
    <cfRule type="cellIs" dxfId="8687" priority="10639" stopIfTrue="1" operator="equal">
      <formula>"Towel"</formula>
    </cfRule>
    <cfRule type="cellIs" dxfId="8686" priority="10640" stopIfTrue="1" operator="equal">
      <formula>"Napkin Hs"</formula>
    </cfRule>
  </conditionalFormatting>
  <conditionalFormatting sqref="B46:C46">
    <cfRule type="cellIs" dxfId="8685" priority="10637" stopIfTrue="1" operator="equal">
      <formula>"Towel"</formula>
    </cfRule>
    <cfRule type="cellIs" dxfId="8684" priority="10638" stopIfTrue="1" operator="equal">
      <formula>"Napkin Hs"</formula>
    </cfRule>
  </conditionalFormatting>
  <conditionalFormatting sqref="C46">
    <cfRule type="cellIs" dxfId="8683" priority="10645" stopIfTrue="1" operator="equal">
      <formula>"Towel"</formula>
    </cfRule>
    <cfRule type="cellIs" dxfId="8682" priority="10646" stopIfTrue="1" operator="equal">
      <formula>"Napkin Hs"</formula>
    </cfRule>
  </conditionalFormatting>
  <conditionalFormatting sqref="C46">
    <cfRule type="cellIs" dxfId="8681" priority="10647" stopIfTrue="1" operator="equal">
      <formula>"Towel"</formula>
    </cfRule>
    <cfRule type="cellIs" dxfId="8680" priority="10648" stopIfTrue="1" operator="equal">
      <formula>"Napkin Hs"</formula>
    </cfRule>
  </conditionalFormatting>
  <conditionalFormatting sqref="C46">
    <cfRule type="cellIs" dxfId="8679" priority="10629" stopIfTrue="1" operator="equal">
      <formula>"Towel"</formula>
    </cfRule>
    <cfRule type="cellIs" dxfId="8678" priority="10630" stopIfTrue="1" operator="equal">
      <formula>"Napkin Hs"</formula>
    </cfRule>
  </conditionalFormatting>
  <conditionalFormatting sqref="B46:C46">
    <cfRule type="cellIs" dxfId="8677" priority="10631" stopIfTrue="1" operator="equal">
      <formula>"Towel"</formula>
    </cfRule>
    <cfRule type="cellIs" dxfId="8676" priority="10632" stopIfTrue="1" operator="equal">
      <formula>"Napkin Hs"</formula>
    </cfRule>
  </conditionalFormatting>
  <conditionalFormatting sqref="C46">
    <cfRule type="cellIs" dxfId="8675" priority="10627" stopIfTrue="1" operator="equal">
      <formula>"Towel"</formula>
    </cfRule>
    <cfRule type="cellIs" dxfId="8674" priority="10628" stopIfTrue="1" operator="equal">
      <formula>"Napkin Hs"</formula>
    </cfRule>
  </conditionalFormatting>
  <conditionalFormatting sqref="B46:C46">
    <cfRule type="cellIs" dxfId="8673" priority="10625" stopIfTrue="1" operator="equal">
      <formula>"Towel"</formula>
    </cfRule>
    <cfRule type="cellIs" dxfId="8672" priority="10626" stopIfTrue="1" operator="equal">
      <formula>"Napkin Hs"</formula>
    </cfRule>
  </conditionalFormatting>
  <conditionalFormatting sqref="C46">
    <cfRule type="cellIs" dxfId="8671" priority="10633" stopIfTrue="1" operator="equal">
      <formula>"Towel"</formula>
    </cfRule>
    <cfRule type="cellIs" dxfId="8670" priority="10634" stopIfTrue="1" operator="equal">
      <formula>"Napkin Hs"</formula>
    </cfRule>
  </conditionalFormatting>
  <conditionalFormatting sqref="C46">
    <cfRule type="cellIs" dxfId="8669" priority="10635" stopIfTrue="1" operator="equal">
      <formula>"Towel"</formula>
    </cfRule>
    <cfRule type="cellIs" dxfId="8668" priority="10636" stopIfTrue="1" operator="equal">
      <formula>"Napkin Hs"</formula>
    </cfRule>
  </conditionalFormatting>
  <conditionalFormatting sqref="C46">
    <cfRule type="cellIs" dxfId="8667" priority="10617" stopIfTrue="1" operator="equal">
      <formula>"Towel"</formula>
    </cfRule>
    <cfRule type="cellIs" dxfId="8666" priority="10618" stopIfTrue="1" operator="equal">
      <formula>"Napkin Hs"</formula>
    </cfRule>
  </conditionalFormatting>
  <conditionalFormatting sqref="B46:C46">
    <cfRule type="cellIs" dxfId="8665" priority="10619" stopIfTrue="1" operator="equal">
      <formula>"Towel"</formula>
    </cfRule>
    <cfRule type="cellIs" dxfId="8664" priority="10620" stopIfTrue="1" operator="equal">
      <formula>"Napkin Hs"</formula>
    </cfRule>
  </conditionalFormatting>
  <conditionalFormatting sqref="C46">
    <cfRule type="cellIs" dxfId="8663" priority="10615" stopIfTrue="1" operator="equal">
      <formula>"Towel"</formula>
    </cfRule>
    <cfRule type="cellIs" dxfId="8662" priority="10616" stopIfTrue="1" operator="equal">
      <formula>"Napkin Hs"</formula>
    </cfRule>
  </conditionalFormatting>
  <conditionalFormatting sqref="B46:C46">
    <cfRule type="cellIs" dxfId="8661" priority="10613" stopIfTrue="1" operator="equal">
      <formula>"Towel"</formula>
    </cfRule>
    <cfRule type="cellIs" dxfId="8660" priority="10614" stopIfTrue="1" operator="equal">
      <formula>"Napkin Hs"</formula>
    </cfRule>
  </conditionalFormatting>
  <conditionalFormatting sqref="C46">
    <cfRule type="cellIs" dxfId="8659" priority="10621" stopIfTrue="1" operator="equal">
      <formula>"Towel"</formula>
    </cfRule>
    <cfRule type="cellIs" dxfId="8658" priority="10622" stopIfTrue="1" operator="equal">
      <formula>"Napkin Hs"</formula>
    </cfRule>
  </conditionalFormatting>
  <conditionalFormatting sqref="C46">
    <cfRule type="cellIs" dxfId="8657" priority="10623" stopIfTrue="1" operator="equal">
      <formula>"Towel"</formula>
    </cfRule>
    <cfRule type="cellIs" dxfId="8656" priority="10624" stopIfTrue="1" operator="equal">
      <formula>"Napkin Hs"</formula>
    </cfRule>
  </conditionalFormatting>
  <conditionalFormatting sqref="C46">
    <cfRule type="cellIs" dxfId="8655" priority="10609" stopIfTrue="1" operator="equal">
      <formula>"Towel"</formula>
    </cfRule>
    <cfRule type="cellIs" dxfId="8654" priority="10610" stopIfTrue="1" operator="equal">
      <formula>"Napkin Hs"</formula>
    </cfRule>
  </conditionalFormatting>
  <conditionalFormatting sqref="C46">
    <cfRule type="cellIs" dxfId="8653" priority="10611" stopIfTrue="1" operator="equal">
      <formula>"Towel"</formula>
    </cfRule>
    <cfRule type="cellIs" dxfId="8652" priority="10612" stopIfTrue="1" operator="equal">
      <formula>"Napkin Hs"</formula>
    </cfRule>
  </conditionalFormatting>
  <conditionalFormatting sqref="C46">
    <cfRule type="cellIs" dxfId="8651" priority="10607" stopIfTrue="1" operator="equal">
      <formula>"Towel"</formula>
    </cfRule>
    <cfRule type="cellIs" dxfId="8650" priority="10608" stopIfTrue="1" operator="equal">
      <formula>"Napkin Hs"</formula>
    </cfRule>
  </conditionalFormatting>
  <conditionalFormatting sqref="B46">
    <cfRule type="cellIs" dxfId="8649" priority="10605" stopIfTrue="1" operator="equal">
      <formula>"Towel"</formula>
    </cfRule>
    <cfRule type="cellIs" dxfId="8648" priority="10606" stopIfTrue="1" operator="equal">
      <formula>"Napkin Hs"</formula>
    </cfRule>
  </conditionalFormatting>
  <conditionalFormatting sqref="C50">
    <cfRule type="cellIs" dxfId="8647" priority="10313" stopIfTrue="1" operator="equal">
      <formula>"Towel"</formula>
    </cfRule>
    <cfRule type="cellIs" dxfId="8646" priority="10314" stopIfTrue="1" operator="equal">
      <formula>"Napkin Hs"</formula>
    </cfRule>
  </conditionalFormatting>
  <conditionalFormatting sqref="C50">
    <cfRule type="cellIs" dxfId="8645" priority="10311" stopIfTrue="1" operator="equal">
      <formula>"Towel"</formula>
    </cfRule>
    <cfRule type="cellIs" dxfId="8644" priority="10312" stopIfTrue="1" operator="equal">
      <formula>"Napkin Hs"</formula>
    </cfRule>
  </conditionalFormatting>
  <conditionalFormatting sqref="C50">
    <cfRule type="cellIs" dxfId="8643" priority="10331" stopIfTrue="1" operator="equal">
      <formula>"Towel"</formula>
    </cfRule>
    <cfRule type="cellIs" dxfId="8642" priority="10332" stopIfTrue="1" operator="equal">
      <formula>"Napkin Hs"</formula>
    </cfRule>
  </conditionalFormatting>
  <conditionalFormatting sqref="B50:C50">
    <cfRule type="cellIs" dxfId="8641" priority="10333" stopIfTrue="1" operator="equal">
      <formula>"Towel"</formula>
    </cfRule>
    <cfRule type="cellIs" dxfId="8640" priority="10334" stopIfTrue="1" operator="equal">
      <formula>"Napkin Hs"</formula>
    </cfRule>
  </conditionalFormatting>
  <conditionalFormatting sqref="C50">
    <cfRule type="cellIs" dxfId="8639" priority="10329" stopIfTrue="1" operator="equal">
      <formula>"Towel"</formula>
    </cfRule>
    <cfRule type="cellIs" dxfId="8638" priority="10330" stopIfTrue="1" operator="equal">
      <formula>"Napkin Hs"</formula>
    </cfRule>
  </conditionalFormatting>
  <conditionalFormatting sqref="B50:C50">
    <cfRule type="cellIs" dxfId="8637" priority="10327" stopIfTrue="1" operator="equal">
      <formula>"Towel"</formula>
    </cfRule>
    <cfRule type="cellIs" dxfId="8636" priority="10328" stopIfTrue="1" operator="equal">
      <formula>"Napkin Hs"</formula>
    </cfRule>
  </conditionalFormatting>
  <conditionalFormatting sqref="C50">
    <cfRule type="cellIs" dxfId="8635" priority="10335" stopIfTrue="1" operator="equal">
      <formula>"Towel"</formula>
    </cfRule>
    <cfRule type="cellIs" dxfId="8634" priority="10336" stopIfTrue="1" operator="equal">
      <formula>"Napkin Hs"</formula>
    </cfRule>
  </conditionalFormatting>
  <conditionalFormatting sqref="C50">
    <cfRule type="cellIs" dxfId="8633" priority="10337" stopIfTrue="1" operator="equal">
      <formula>"Towel"</formula>
    </cfRule>
    <cfRule type="cellIs" dxfId="8632" priority="10338" stopIfTrue="1" operator="equal">
      <formula>"Napkin Hs"</formula>
    </cfRule>
  </conditionalFormatting>
  <conditionalFormatting sqref="C51">
    <cfRule type="cellIs" dxfId="8631" priority="10319" stopIfTrue="1" operator="equal">
      <formula>"Towel"</formula>
    </cfRule>
    <cfRule type="cellIs" dxfId="8630" priority="10320" stopIfTrue="1" operator="equal">
      <formula>"Napkin Hs"</formula>
    </cfRule>
  </conditionalFormatting>
  <conditionalFormatting sqref="B51:C51">
    <cfRule type="cellIs" dxfId="8629" priority="10321" stopIfTrue="1" operator="equal">
      <formula>"Towel"</formula>
    </cfRule>
    <cfRule type="cellIs" dxfId="8628" priority="10322" stopIfTrue="1" operator="equal">
      <formula>"Napkin Hs"</formula>
    </cfRule>
  </conditionalFormatting>
  <conditionalFormatting sqref="C51">
    <cfRule type="cellIs" dxfId="8627" priority="10317" stopIfTrue="1" operator="equal">
      <formula>"Towel"</formula>
    </cfRule>
    <cfRule type="cellIs" dxfId="8626" priority="10318" stopIfTrue="1" operator="equal">
      <formula>"Napkin Hs"</formula>
    </cfRule>
  </conditionalFormatting>
  <conditionalFormatting sqref="B51:C51">
    <cfRule type="cellIs" dxfId="8625" priority="10315" stopIfTrue="1" operator="equal">
      <formula>"Towel"</formula>
    </cfRule>
    <cfRule type="cellIs" dxfId="8624" priority="10316" stopIfTrue="1" operator="equal">
      <formula>"Napkin Hs"</formula>
    </cfRule>
  </conditionalFormatting>
  <conditionalFormatting sqref="C51">
    <cfRule type="cellIs" dxfId="8623" priority="10323" stopIfTrue="1" operator="equal">
      <formula>"Towel"</formula>
    </cfRule>
    <cfRule type="cellIs" dxfId="8622" priority="10324" stopIfTrue="1" operator="equal">
      <formula>"Napkin Hs"</formula>
    </cfRule>
  </conditionalFormatting>
  <conditionalFormatting sqref="C51">
    <cfRule type="cellIs" dxfId="8621" priority="10325" stopIfTrue="1" operator="equal">
      <formula>"Towel"</formula>
    </cfRule>
    <cfRule type="cellIs" dxfId="8620" priority="10326" stopIfTrue="1" operator="equal">
      <formula>"Napkin Hs"</formula>
    </cfRule>
  </conditionalFormatting>
  <conditionalFormatting sqref="C50">
    <cfRule type="cellIs" dxfId="8619" priority="10307" stopIfTrue="1" operator="equal">
      <formula>"Towel"</formula>
    </cfRule>
    <cfRule type="cellIs" dxfId="8618" priority="10308" stopIfTrue="1" operator="equal">
      <formula>"Napkin Hs"</formula>
    </cfRule>
  </conditionalFormatting>
  <conditionalFormatting sqref="B50:C50">
    <cfRule type="cellIs" dxfId="8617" priority="10309" stopIfTrue="1" operator="equal">
      <formula>"Towel"</formula>
    </cfRule>
    <cfRule type="cellIs" dxfId="8616" priority="10310" stopIfTrue="1" operator="equal">
      <formula>"Napkin Hs"</formula>
    </cfRule>
  </conditionalFormatting>
  <conditionalFormatting sqref="C50">
    <cfRule type="cellIs" dxfId="8615" priority="10305" stopIfTrue="1" operator="equal">
      <formula>"Towel"</formula>
    </cfRule>
    <cfRule type="cellIs" dxfId="8614" priority="10306" stopIfTrue="1" operator="equal">
      <formula>"Napkin Hs"</formula>
    </cfRule>
  </conditionalFormatting>
  <conditionalFormatting sqref="B50:C50">
    <cfRule type="cellIs" dxfId="8613" priority="10303" stopIfTrue="1" operator="equal">
      <formula>"Towel"</formula>
    </cfRule>
    <cfRule type="cellIs" dxfId="8612" priority="10304" stopIfTrue="1" operator="equal">
      <formula>"Napkin Hs"</formula>
    </cfRule>
  </conditionalFormatting>
  <conditionalFormatting sqref="C51">
    <cfRule type="cellIs" dxfId="8611" priority="10295" stopIfTrue="1" operator="equal">
      <formula>"Towel"</formula>
    </cfRule>
    <cfRule type="cellIs" dxfId="8610" priority="10296" stopIfTrue="1" operator="equal">
      <formula>"Napkin Hs"</formula>
    </cfRule>
  </conditionalFormatting>
  <conditionalFormatting sqref="B51:C51">
    <cfRule type="cellIs" dxfId="8609" priority="10297" stopIfTrue="1" operator="equal">
      <formula>"Towel"</formula>
    </cfRule>
    <cfRule type="cellIs" dxfId="8608" priority="10298" stopIfTrue="1" operator="equal">
      <formula>"Napkin Hs"</formula>
    </cfRule>
  </conditionalFormatting>
  <conditionalFormatting sqref="C51">
    <cfRule type="cellIs" dxfId="8607" priority="10293" stopIfTrue="1" operator="equal">
      <formula>"Towel"</formula>
    </cfRule>
    <cfRule type="cellIs" dxfId="8606" priority="10294" stopIfTrue="1" operator="equal">
      <formula>"Napkin Hs"</formula>
    </cfRule>
  </conditionalFormatting>
  <conditionalFormatting sqref="B51:C51">
    <cfRule type="cellIs" dxfId="8605" priority="10291" stopIfTrue="1" operator="equal">
      <formula>"Towel"</formula>
    </cfRule>
    <cfRule type="cellIs" dxfId="8604" priority="10292" stopIfTrue="1" operator="equal">
      <formula>"Napkin Hs"</formula>
    </cfRule>
  </conditionalFormatting>
  <conditionalFormatting sqref="C51">
    <cfRule type="cellIs" dxfId="8603" priority="10299" stopIfTrue="1" operator="equal">
      <formula>"Towel"</formula>
    </cfRule>
    <cfRule type="cellIs" dxfId="8602" priority="10300" stopIfTrue="1" operator="equal">
      <formula>"Napkin Hs"</formula>
    </cfRule>
  </conditionalFormatting>
  <conditionalFormatting sqref="C51">
    <cfRule type="cellIs" dxfId="8601" priority="10301" stopIfTrue="1" operator="equal">
      <formula>"Towel"</formula>
    </cfRule>
    <cfRule type="cellIs" dxfId="8600" priority="10302" stopIfTrue="1" operator="equal">
      <formula>"Napkin Hs"</formula>
    </cfRule>
  </conditionalFormatting>
  <conditionalFormatting sqref="C51">
    <cfRule type="cellIs" dxfId="8599" priority="10269" stopIfTrue="1" operator="equal">
      <formula>"Towel"</formula>
    </cfRule>
    <cfRule type="cellIs" dxfId="8598" priority="10270" stopIfTrue="1" operator="equal">
      <formula>"Napkin Hs"</formula>
    </cfRule>
  </conditionalFormatting>
  <conditionalFormatting sqref="B51:C51">
    <cfRule type="cellIs" dxfId="8597" priority="10271" stopIfTrue="1" operator="equal">
      <formula>"Towel"</formula>
    </cfRule>
    <cfRule type="cellIs" dxfId="8596" priority="10272" stopIfTrue="1" operator="equal">
      <formula>"Napkin Hs"</formula>
    </cfRule>
  </conditionalFormatting>
  <conditionalFormatting sqref="C51">
    <cfRule type="cellIs" dxfId="8595" priority="10267" stopIfTrue="1" operator="equal">
      <formula>"Towel"</formula>
    </cfRule>
    <cfRule type="cellIs" dxfId="8594" priority="10268" stopIfTrue="1" operator="equal">
      <formula>"Napkin Hs"</formula>
    </cfRule>
  </conditionalFormatting>
  <conditionalFormatting sqref="B51:C51">
    <cfRule type="cellIs" dxfId="8593" priority="10265" stopIfTrue="1" operator="equal">
      <formula>"Towel"</formula>
    </cfRule>
    <cfRule type="cellIs" dxfId="8592" priority="10266" stopIfTrue="1" operator="equal">
      <formula>"Napkin Hs"</formula>
    </cfRule>
  </conditionalFormatting>
  <conditionalFormatting sqref="C51">
    <cfRule type="cellIs" dxfId="8591" priority="10273" stopIfTrue="1" operator="equal">
      <formula>"Towel"</formula>
    </cfRule>
    <cfRule type="cellIs" dxfId="8590" priority="10274" stopIfTrue="1" operator="equal">
      <formula>"Napkin Hs"</formula>
    </cfRule>
  </conditionalFormatting>
  <conditionalFormatting sqref="C51">
    <cfRule type="cellIs" dxfId="8589" priority="10275" stopIfTrue="1" operator="equal">
      <formula>"Towel"</formula>
    </cfRule>
    <cfRule type="cellIs" dxfId="8588" priority="10276" stopIfTrue="1" operator="equal">
      <formula>"Napkin Hs"</formula>
    </cfRule>
  </conditionalFormatting>
  <conditionalFormatting sqref="C51">
    <cfRule type="cellIs" dxfId="8587" priority="10241" stopIfTrue="1" operator="equal">
      <formula>"Towel"</formula>
    </cfRule>
    <cfRule type="cellIs" dxfId="8586" priority="10242" stopIfTrue="1" operator="equal">
      <formula>"Napkin Hs"</formula>
    </cfRule>
  </conditionalFormatting>
  <conditionalFormatting sqref="B51:C51">
    <cfRule type="cellIs" dxfId="8585" priority="10243" stopIfTrue="1" operator="equal">
      <formula>"Towel"</formula>
    </cfRule>
    <cfRule type="cellIs" dxfId="8584" priority="10244" stopIfTrue="1" operator="equal">
      <formula>"Napkin Hs"</formula>
    </cfRule>
  </conditionalFormatting>
  <conditionalFormatting sqref="C51">
    <cfRule type="cellIs" dxfId="8583" priority="10239" stopIfTrue="1" operator="equal">
      <formula>"Towel"</formula>
    </cfRule>
    <cfRule type="cellIs" dxfId="8582" priority="10240" stopIfTrue="1" operator="equal">
      <formula>"Napkin Hs"</formula>
    </cfRule>
  </conditionalFormatting>
  <conditionalFormatting sqref="B51:C51">
    <cfRule type="cellIs" dxfId="8581" priority="10237" stopIfTrue="1" operator="equal">
      <formula>"Towel"</formula>
    </cfRule>
    <cfRule type="cellIs" dxfId="8580" priority="10238" stopIfTrue="1" operator="equal">
      <formula>"Napkin Hs"</formula>
    </cfRule>
  </conditionalFormatting>
  <conditionalFormatting sqref="C51">
    <cfRule type="cellIs" dxfId="8579" priority="10245" stopIfTrue="1" operator="equal">
      <formula>"Towel"</formula>
    </cfRule>
    <cfRule type="cellIs" dxfId="8578" priority="10246" stopIfTrue="1" operator="equal">
      <formula>"Napkin Hs"</formula>
    </cfRule>
  </conditionalFormatting>
  <conditionalFormatting sqref="C51">
    <cfRule type="cellIs" dxfId="8577" priority="10247" stopIfTrue="1" operator="equal">
      <formula>"Towel"</formula>
    </cfRule>
    <cfRule type="cellIs" dxfId="8576" priority="10248" stopIfTrue="1" operator="equal">
      <formula>"Napkin Hs"</formula>
    </cfRule>
  </conditionalFormatting>
  <conditionalFormatting sqref="C51">
    <cfRule type="cellIs" dxfId="8575" priority="10217" stopIfTrue="1" operator="equal">
      <formula>"Towel"</formula>
    </cfRule>
    <cfRule type="cellIs" dxfId="8574" priority="10218" stopIfTrue="1" operator="equal">
      <formula>"Napkin Hs"</formula>
    </cfRule>
  </conditionalFormatting>
  <conditionalFormatting sqref="B51:C51">
    <cfRule type="cellIs" dxfId="8573" priority="10219" stopIfTrue="1" operator="equal">
      <formula>"Towel"</formula>
    </cfRule>
    <cfRule type="cellIs" dxfId="8572" priority="10220" stopIfTrue="1" operator="equal">
      <formula>"Napkin Hs"</formula>
    </cfRule>
  </conditionalFormatting>
  <conditionalFormatting sqref="C51">
    <cfRule type="cellIs" dxfId="8571" priority="10215" stopIfTrue="1" operator="equal">
      <formula>"Towel"</formula>
    </cfRule>
    <cfRule type="cellIs" dxfId="8570" priority="10216" stopIfTrue="1" operator="equal">
      <formula>"Napkin Hs"</formula>
    </cfRule>
  </conditionalFormatting>
  <conditionalFormatting sqref="B51:C51">
    <cfRule type="cellIs" dxfId="8569" priority="10213" stopIfTrue="1" operator="equal">
      <formula>"Towel"</formula>
    </cfRule>
    <cfRule type="cellIs" dxfId="8568" priority="10214" stopIfTrue="1" operator="equal">
      <formula>"Napkin Hs"</formula>
    </cfRule>
  </conditionalFormatting>
  <conditionalFormatting sqref="C51">
    <cfRule type="cellIs" dxfId="8567" priority="10221" stopIfTrue="1" operator="equal">
      <formula>"Towel"</formula>
    </cfRule>
    <cfRule type="cellIs" dxfId="8566" priority="10222" stopIfTrue="1" operator="equal">
      <formula>"Napkin Hs"</formula>
    </cfRule>
  </conditionalFormatting>
  <conditionalFormatting sqref="C51">
    <cfRule type="cellIs" dxfId="8565" priority="10223" stopIfTrue="1" operator="equal">
      <formula>"Towel"</formula>
    </cfRule>
    <cfRule type="cellIs" dxfId="8564" priority="10224" stopIfTrue="1" operator="equal">
      <formula>"Napkin Hs"</formula>
    </cfRule>
  </conditionalFormatting>
  <conditionalFormatting sqref="C51">
    <cfRule type="cellIs" dxfId="8563" priority="10185" stopIfTrue="1" operator="equal">
      <formula>"Towel"</formula>
    </cfRule>
    <cfRule type="cellIs" dxfId="8562" priority="10186" stopIfTrue="1" operator="equal">
      <formula>"Napkin Hs"</formula>
    </cfRule>
  </conditionalFormatting>
  <conditionalFormatting sqref="C51">
    <cfRule type="cellIs" dxfId="8561" priority="10187" stopIfTrue="1" operator="equal">
      <formula>"Towel"</formula>
    </cfRule>
    <cfRule type="cellIs" dxfId="8560" priority="10188" stopIfTrue="1" operator="equal">
      <formula>"Napkin Hs"</formula>
    </cfRule>
  </conditionalFormatting>
  <conditionalFormatting sqref="C51">
    <cfRule type="cellIs" dxfId="8559" priority="10183" stopIfTrue="1" operator="equal">
      <formula>"Towel"</formula>
    </cfRule>
    <cfRule type="cellIs" dxfId="8558" priority="10184" stopIfTrue="1" operator="equal">
      <formula>"Napkin Hs"</formula>
    </cfRule>
  </conditionalFormatting>
  <conditionalFormatting sqref="B51">
    <cfRule type="cellIs" dxfId="8557" priority="10181" stopIfTrue="1" operator="equal">
      <formula>"Towel"</formula>
    </cfRule>
    <cfRule type="cellIs" dxfId="8556" priority="10182" stopIfTrue="1" operator="equal">
      <formula>"Napkin Hs"</formula>
    </cfRule>
  </conditionalFormatting>
  <conditionalFormatting sqref="C50">
    <cfRule type="cellIs" dxfId="8555" priority="10173" stopIfTrue="1" operator="equal">
      <formula>"Towel"</formula>
    </cfRule>
    <cfRule type="cellIs" dxfId="8554" priority="10174" stopIfTrue="1" operator="equal">
      <formula>"Napkin Hs"</formula>
    </cfRule>
  </conditionalFormatting>
  <conditionalFormatting sqref="C50">
    <cfRule type="cellIs" dxfId="8553" priority="10175" stopIfTrue="1" operator="equal">
      <formula>"Towel"</formula>
    </cfRule>
    <cfRule type="cellIs" dxfId="8552" priority="10176" stopIfTrue="1" operator="equal">
      <formula>"Napkin Hs"</formula>
    </cfRule>
  </conditionalFormatting>
  <conditionalFormatting sqref="C50">
    <cfRule type="cellIs" dxfId="8551" priority="10171" stopIfTrue="1" operator="equal">
      <formula>"Towel"</formula>
    </cfRule>
    <cfRule type="cellIs" dxfId="8550" priority="10172" stopIfTrue="1" operator="equal">
      <formula>"Napkin Hs"</formula>
    </cfRule>
  </conditionalFormatting>
  <conditionalFormatting sqref="C50">
    <cfRule type="cellIs" dxfId="8549" priority="10169" stopIfTrue="1" operator="equal">
      <formula>"Towel"</formula>
    </cfRule>
    <cfRule type="cellIs" dxfId="8548" priority="10170" stopIfTrue="1" operator="equal">
      <formula>"Napkin Hs"</formula>
    </cfRule>
  </conditionalFormatting>
  <conditionalFormatting sqref="C50">
    <cfRule type="cellIs" dxfId="8547" priority="10177" stopIfTrue="1" operator="equal">
      <formula>"Towel"</formula>
    </cfRule>
    <cfRule type="cellIs" dxfId="8546" priority="10178" stopIfTrue="1" operator="equal">
      <formula>"Napkin Hs"</formula>
    </cfRule>
  </conditionalFormatting>
  <conditionalFormatting sqref="C50">
    <cfRule type="cellIs" dxfId="8545" priority="10179" stopIfTrue="1" operator="equal">
      <formula>"Towel"</formula>
    </cfRule>
    <cfRule type="cellIs" dxfId="8544" priority="10180" stopIfTrue="1" operator="equal">
      <formula>"Napkin Hs"</formula>
    </cfRule>
  </conditionalFormatting>
  <conditionalFormatting sqref="C50">
    <cfRule type="cellIs" dxfId="8543" priority="10165" stopIfTrue="1" operator="equal">
      <formula>"Towel"</formula>
    </cfRule>
    <cfRule type="cellIs" dxfId="8542" priority="10166" stopIfTrue="1" operator="equal">
      <formula>"Napkin Hs"</formula>
    </cfRule>
  </conditionalFormatting>
  <conditionalFormatting sqref="C50">
    <cfRule type="cellIs" dxfId="8541" priority="10167" stopIfTrue="1" operator="equal">
      <formula>"Towel"</formula>
    </cfRule>
    <cfRule type="cellIs" dxfId="8540" priority="10168" stopIfTrue="1" operator="equal">
      <formula>"Napkin Hs"</formula>
    </cfRule>
  </conditionalFormatting>
  <conditionalFormatting sqref="C50">
    <cfRule type="cellIs" dxfId="8539" priority="10163" stopIfTrue="1" operator="equal">
      <formula>"Towel"</formula>
    </cfRule>
    <cfRule type="cellIs" dxfId="8538" priority="10164" stopIfTrue="1" operator="equal">
      <formula>"Napkin Hs"</formula>
    </cfRule>
  </conditionalFormatting>
  <conditionalFormatting sqref="C50">
    <cfRule type="cellIs" dxfId="8537" priority="10157" stopIfTrue="1" operator="equal">
      <formula>"Towel"</formula>
    </cfRule>
    <cfRule type="cellIs" dxfId="8536" priority="10158" stopIfTrue="1" operator="equal">
      <formula>"Napkin Hs"</formula>
    </cfRule>
  </conditionalFormatting>
  <conditionalFormatting sqref="C50">
    <cfRule type="cellIs" dxfId="8535" priority="10159" stopIfTrue="1" operator="equal">
      <formula>"Towel"</formula>
    </cfRule>
    <cfRule type="cellIs" dxfId="8534" priority="10160" stopIfTrue="1" operator="equal">
      <formula>"Napkin Hs"</formula>
    </cfRule>
  </conditionalFormatting>
  <conditionalFormatting sqref="C50">
    <cfRule type="cellIs" dxfId="8533" priority="10161" stopIfTrue="1" operator="equal">
      <formula>"Towel"</formula>
    </cfRule>
    <cfRule type="cellIs" dxfId="8532" priority="10162" stopIfTrue="1" operator="equal">
      <formula>"Napkin Hs"</formula>
    </cfRule>
  </conditionalFormatting>
  <conditionalFormatting sqref="C50">
    <cfRule type="cellIs" dxfId="8531" priority="10111" stopIfTrue="1" operator="equal">
      <formula>"Towel"</formula>
    </cfRule>
    <cfRule type="cellIs" dxfId="8530" priority="10112" stopIfTrue="1" operator="equal">
      <formula>"Napkin Hs"</formula>
    </cfRule>
  </conditionalFormatting>
  <conditionalFormatting sqref="C50">
    <cfRule type="cellIs" dxfId="8529" priority="10113" stopIfTrue="1" operator="equal">
      <formula>"Towel"</formula>
    </cfRule>
    <cfRule type="cellIs" dxfId="8528" priority="10114" stopIfTrue="1" operator="equal">
      <formula>"Napkin Hs"</formula>
    </cfRule>
  </conditionalFormatting>
  <conditionalFormatting sqref="C50">
    <cfRule type="cellIs" dxfId="8527" priority="10109" stopIfTrue="1" operator="equal">
      <formula>"Towel"</formula>
    </cfRule>
    <cfRule type="cellIs" dxfId="8526" priority="10110" stopIfTrue="1" operator="equal">
      <formula>"Napkin Hs"</formula>
    </cfRule>
  </conditionalFormatting>
  <conditionalFormatting sqref="C50">
    <cfRule type="cellIs" dxfId="8525" priority="10107" stopIfTrue="1" operator="equal">
      <formula>"Towel"</formula>
    </cfRule>
    <cfRule type="cellIs" dxfId="8524" priority="10108" stopIfTrue="1" operator="equal">
      <formula>"Napkin Hs"</formula>
    </cfRule>
  </conditionalFormatting>
  <conditionalFormatting sqref="C50">
    <cfRule type="cellIs" dxfId="8523" priority="10103" stopIfTrue="1" operator="equal">
      <formula>"Towel"</formula>
    </cfRule>
    <cfRule type="cellIs" dxfId="8522" priority="10104" stopIfTrue="1" operator="equal">
      <formula>"Napkin Hs"</formula>
    </cfRule>
  </conditionalFormatting>
  <conditionalFormatting sqref="C50">
    <cfRule type="cellIs" dxfId="8521" priority="10105" stopIfTrue="1" operator="equal">
      <formula>"Towel"</formula>
    </cfRule>
    <cfRule type="cellIs" dxfId="8520" priority="10106" stopIfTrue="1" operator="equal">
      <formula>"Napkin Hs"</formula>
    </cfRule>
  </conditionalFormatting>
  <conditionalFormatting sqref="C50">
    <cfRule type="cellIs" dxfId="8519" priority="10155" stopIfTrue="1" operator="equal">
      <formula>"Towel"</formula>
    </cfRule>
    <cfRule type="cellIs" dxfId="8518" priority="10156" stopIfTrue="1" operator="equal">
      <formula>"Napkin Hs"</formula>
    </cfRule>
  </conditionalFormatting>
  <conditionalFormatting sqref="C50">
    <cfRule type="cellIs" dxfId="8517" priority="10151" stopIfTrue="1" operator="equal">
      <formula>"Towel"</formula>
    </cfRule>
    <cfRule type="cellIs" dxfId="8516" priority="10152" stopIfTrue="1" operator="equal">
      <formula>"Napkin Hs"</formula>
    </cfRule>
  </conditionalFormatting>
  <conditionalFormatting sqref="C50">
    <cfRule type="cellIs" dxfId="8515" priority="10154" stopIfTrue="1" operator="equal">
      <formula>"Napkin Hs"</formula>
    </cfRule>
  </conditionalFormatting>
  <conditionalFormatting sqref="C50">
    <cfRule type="cellIs" dxfId="8514" priority="10153" stopIfTrue="1" operator="equal">
      <formula>"Towel"</formula>
    </cfRule>
  </conditionalFormatting>
  <conditionalFormatting sqref="C50">
    <cfRule type="cellIs" dxfId="8513" priority="10145" stopIfTrue="1" operator="equal">
      <formula>"Towel"</formula>
    </cfRule>
    <cfRule type="cellIs" dxfId="8512" priority="10146" stopIfTrue="1" operator="equal">
      <formula>"Napkin Hs"</formula>
    </cfRule>
  </conditionalFormatting>
  <conditionalFormatting sqref="C50">
    <cfRule type="cellIs" dxfId="8511" priority="10149" stopIfTrue="1" operator="equal">
      <formula>"Towel"</formula>
    </cfRule>
    <cfRule type="cellIs" dxfId="8510" priority="10150" stopIfTrue="1" operator="equal">
      <formula>"Napkin Hs"</formula>
    </cfRule>
  </conditionalFormatting>
  <conditionalFormatting sqref="C50">
    <cfRule type="cellIs" dxfId="8509" priority="10147" stopIfTrue="1" operator="equal">
      <formula>"Towel"</formula>
    </cfRule>
    <cfRule type="cellIs" dxfId="8508" priority="10148" stopIfTrue="1" operator="equal">
      <formula>"Napkin Hs"</formula>
    </cfRule>
  </conditionalFormatting>
  <conditionalFormatting sqref="C50">
    <cfRule type="cellIs" dxfId="8507" priority="10139" stopIfTrue="1" operator="equal">
      <formula>"Towel"</formula>
    </cfRule>
    <cfRule type="cellIs" dxfId="8506" priority="10140" stopIfTrue="1" operator="equal">
      <formula>"Napkin Hs"</formula>
    </cfRule>
  </conditionalFormatting>
  <conditionalFormatting sqref="C50">
    <cfRule type="cellIs" dxfId="8505" priority="10141" stopIfTrue="1" operator="equal">
      <formula>"Towel"</formula>
    </cfRule>
    <cfRule type="cellIs" dxfId="8504" priority="10142" stopIfTrue="1" operator="equal">
      <formula>"Napkin Hs"</formula>
    </cfRule>
  </conditionalFormatting>
  <conditionalFormatting sqref="C50">
    <cfRule type="cellIs" dxfId="8503" priority="10143" stopIfTrue="1" operator="equal">
      <formula>"Towel"</formula>
    </cfRule>
    <cfRule type="cellIs" dxfId="8502" priority="10144" stopIfTrue="1" operator="equal">
      <formula>"Napkin Hs"</formula>
    </cfRule>
  </conditionalFormatting>
  <conditionalFormatting sqref="C50">
    <cfRule type="cellIs" dxfId="8501" priority="10133" stopIfTrue="1" operator="equal">
      <formula>"Towel"</formula>
    </cfRule>
    <cfRule type="cellIs" dxfId="8500" priority="10134" stopIfTrue="1" operator="equal">
      <formula>"Napkin Hs"</formula>
    </cfRule>
  </conditionalFormatting>
  <conditionalFormatting sqref="C50">
    <cfRule type="cellIs" dxfId="8499" priority="10137" stopIfTrue="1" operator="equal">
      <formula>"Towel"</formula>
    </cfRule>
    <cfRule type="cellIs" dxfId="8498" priority="10138" stopIfTrue="1" operator="equal">
      <formula>"Napkin Hs"</formula>
    </cfRule>
  </conditionalFormatting>
  <conditionalFormatting sqref="C50">
    <cfRule type="cellIs" dxfId="8497" priority="10135" stopIfTrue="1" operator="equal">
      <formula>"Towel"</formula>
    </cfRule>
    <cfRule type="cellIs" dxfId="8496" priority="10136" stopIfTrue="1" operator="equal">
      <formula>"Napkin Hs"</formula>
    </cfRule>
  </conditionalFormatting>
  <conditionalFormatting sqref="C50">
    <cfRule type="cellIs" dxfId="8495" priority="10127" stopIfTrue="1" operator="equal">
      <formula>"Towel"</formula>
    </cfRule>
    <cfRule type="cellIs" dxfId="8494" priority="10128" stopIfTrue="1" operator="equal">
      <formula>"Napkin Hs"</formula>
    </cfRule>
  </conditionalFormatting>
  <conditionalFormatting sqref="C50">
    <cfRule type="cellIs" dxfId="8493" priority="10129" stopIfTrue="1" operator="equal">
      <formula>"Towel"</formula>
    </cfRule>
    <cfRule type="cellIs" dxfId="8492" priority="10130" stopIfTrue="1" operator="equal">
      <formula>"Napkin Hs"</formula>
    </cfRule>
  </conditionalFormatting>
  <conditionalFormatting sqref="C50">
    <cfRule type="cellIs" dxfId="8491" priority="10131" stopIfTrue="1" operator="equal">
      <formula>"Towel"</formula>
    </cfRule>
    <cfRule type="cellIs" dxfId="8490" priority="10132" stopIfTrue="1" operator="equal">
      <formula>"Napkin Hs"</formula>
    </cfRule>
  </conditionalFormatting>
  <conditionalFormatting sqref="C50">
    <cfRule type="cellIs" dxfId="8489" priority="10125" stopIfTrue="1" operator="equal">
      <formula>"Towel"</formula>
    </cfRule>
    <cfRule type="cellIs" dxfId="8488" priority="10126" stopIfTrue="1" operator="equal">
      <formula>"Napkin Hs"</formula>
    </cfRule>
  </conditionalFormatting>
  <conditionalFormatting sqref="C50">
    <cfRule type="cellIs" dxfId="8487" priority="10121" stopIfTrue="1" operator="equal">
      <formula>"Towel"</formula>
    </cfRule>
    <cfRule type="cellIs" dxfId="8486" priority="10122" stopIfTrue="1" operator="equal">
      <formula>"Napkin Hs"</formula>
    </cfRule>
  </conditionalFormatting>
  <conditionalFormatting sqref="C50">
    <cfRule type="cellIs" dxfId="8485" priority="10123" stopIfTrue="1" operator="equal">
      <formula>"Towel"</formula>
    </cfRule>
    <cfRule type="cellIs" dxfId="8484" priority="10124" stopIfTrue="1" operator="equal">
      <formula>"Napkin Hs"</formula>
    </cfRule>
  </conditionalFormatting>
  <conditionalFormatting sqref="C50">
    <cfRule type="cellIs" dxfId="8483" priority="10119" stopIfTrue="1" operator="equal">
      <formula>"Towel"</formula>
    </cfRule>
    <cfRule type="cellIs" dxfId="8482" priority="10120" stopIfTrue="1" operator="equal">
      <formula>"Napkin Hs"</formula>
    </cfRule>
  </conditionalFormatting>
  <conditionalFormatting sqref="C50">
    <cfRule type="cellIs" dxfId="8481" priority="10117" stopIfTrue="1" operator="equal">
      <formula>"Towel"</formula>
    </cfRule>
    <cfRule type="cellIs" dxfId="8480" priority="10118" stopIfTrue="1" operator="equal">
      <formula>"Napkin Hs"</formula>
    </cfRule>
  </conditionalFormatting>
  <conditionalFormatting sqref="C50">
    <cfRule type="cellIs" dxfId="8479" priority="10115" stopIfTrue="1" operator="equal">
      <formula>"Towel"</formula>
    </cfRule>
    <cfRule type="cellIs" dxfId="8478" priority="10116" stopIfTrue="1" operator="equal">
      <formula>"Napkin Hs"</formula>
    </cfRule>
  </conditionalFormatting>
  <conditionalFormatting sqref="C50">
    <cfRule type="cellIs" dxfId="8477" priority="10099" stopIfTrue="1" operator="equal">
      <formula>"Towel"</formula>
    </cfRule>
    <cfRule type="cellIs" dxfId="8476" priority="10100" stopIfTrue="1" operator="equal">
      <formula>"Napkin Hs"</formula>
    </cfRule>
  </conditionalFormatting>
  <conditionalFormatting sqref="C50">
    <cfRule type="cellIs" dxfId="8475" priority="10101" stopIfTrue="1" operator="equal">
      <formula>"Towel"</formula>
    </cfRule>
    <cfRule type="cellIs" dxfId="8474" priority="10102" stopIfTrue="1" operator="equal">
      <formula>"Napkin Hs"</formula>
    </cfRule>
  </conditionalFormatting>
  <conditionalFormatting sqref="C50">
    <cfRule type="cellIs" dxfId="8473" priority="10097" stopIfTrue="1" operator="equal">
      <formula>"Towel"</formula>
    </cfRule>
    <cfRule type="cellIs" dxfId="8472" priority="10098" stopIfTrue="1" operator="equal">
      <formula>"Napkin Hs"</formula>
    </cfRule>
  </conditionalFormatting>
  <conditionalFormatting sqref="C50">
    <cfRule type="cellIs" dxfId="8471" priority="10095" stopIfTrue="1" operator="equal">
      <formula>"Towel"</formula>
    </cfRule>
    <cfRule type="cellIs" dxfId="8470" priority="10096" stopIfTrue="1" operator="equal">
      <formula>"Napkin Hs"</formula>
    </cfRule>
  </conditionalFormatting>
  <conditionalFormatting sqref="C50">
    <cfRule type="cellIs" dxfId="8469" priority="10091" stopIfTrue="1" operator="equal">
      <formula>"Towel"</formula>
    </cfRule>
    <cfRule type="cellIs" dxfId="8468" priority="10092" stopIfTrue="1" operator="equal">
      <formula>"Napkin Hs"</formula>
    </cfRule>
  </conditionalFormatting>
  <conditionalFormatting sqref="C50">
    <cfRule type="cellIs" dxfId="8467" priority="10093" stopIfTrue="1" operator="equal">
      <formula>"Towel"</formula>
    </cfRule>
    <cfRule type="cellIs" dxfId="8466" priority="10094" stopIfTrue="1" operator="equal">
      <formula>"Napkin Hs"</formula>
    </cfRule>
  </conditionalFormatting>
  <conditionalFormatting sqref="C50">
    <cfRule type="cellIs" dxfId="8465" priority="10087" stopIfTrue="1" operator="equal">
      <formula>"Towel"</formula>
    </cfRule>
    <cfRule type="cellIs" dxfId="8464" priority="10088" stopIfTrue="1" operator="equal">
      <formula>"Napkin Hs"</formula>
    </cfRule>
  </conditionalFormatting>
  <conditionalFormatting sqref="C50">
    <cfRule type="cellIs" dxfId="8463" priority="10089" stopIfTrue="1" operator="equal">
      <formula>"Towel"</formula>
    </cfRule>
    <cfRule type="cellIs" dxfId="8462" priority="10090" stopIfTrue="1" operator="equal">
      <formula>"Napkin Hs"</formula>
    </cfRule>
  </conditionalFormatting>
  <conditionalFormatting sqref="C50">
    <cfRule type="cellIs" dxfId="8461" priority="10085" stopIfTrue="1" operator="equal">
      <formula>"Towel"</formula>
    </cfRule>
    <cfRule type="cellIs" dxfId="8460" priority="10086" stopIfTrue="1" operator="equal">
      <formula>"Napkin Hs"</formula>
    </cfRule>
  </conditionalFormatting>
  <conditionalFormatting sqref="C50">
    <cfRule type="cellIs" dxfId="8459" priority="10083" stopIfTrue="1" operator="equal">
      <formula>"Towel"</formula>
    </cfRule>
    <cfRule type="cellIs" dxfId="8458" priority="10084" stopIfTrue="1" operator="equal">
      <formula>"Napkin Hs"</formula>
    </cfRule>
  </conditionalFormatting>
  <conditionalFormatting sqref="C50">
    <cfRule type="cellIs" dxfId="8457" priority="10079" stopIfTrue="1" operator="equal">
      <formula>"Towel"</formula>
    </cfRule>
    <cfRule type="cellIs" dxfId="8456" priority="10080" stopIfTrue="1" operator="equal">
      <formula>"Napkin Hs"</formula>
    </cfRule>
  </conditionalFormatting>
  <conditionalFormatting sqref="C50">
    <cfRule type="cellIs" dxfId="8455" priority="10081" stopIfTrue="1" operator="equal">
      <formula>"Towel"</formula>
    </cfRule>
    <cfRule type="cellIs" dxfId="8454" priority="10082" stopIfTrue="1" operator="equal">
      <formula>"Napkin Hs"</formula>
    </cfRule>
  </conditionalFormatting>
  <conditionalFormatting sqref="B50">
    <cfRule type="cellIs" dxfId="8453" priority="10077" stopIfTrue="1" operator="equal">
      <formula>"Towel"</formula>
    </cfRule>
    <cfRule type="cellIs" dxfId="8452" priority="10078" stopIfTrue="1" operator="equal">
      <formula>"Napkin Hs"</formula>
    </cfRule>
  </conditionalFormatting>
  <conditionalFormatting sqref="B50">
    <cfRule type="cellIs" dxfId="8451" priority="10061" stopIfTrue="1" operator="equal">
      <formula>"Towel"</formula>
    </cfRule>
    <cfRule type="cellIs" dxfId="8450" priority="10062" stopIfTrue="1" operator="equal">
      <formula>"Napkin Hs"</formula>
    </cfRule>
  </conditionalFormatting>
  <conditionalFormatting sqref="B50">
    <cfRule type="cellIs" dxfId="8449" priority="10059" stopIfTrue="1" operator="equal">
      <formula>"Towel"</formula>
    </cfRule>
    <cfRule type="cellIs" dxfId="8448" priority="10060" stopIfTrue="1" operator="equal">
      <formula>"Napkin Hs"</formula>
    </cfRule>
  </conditionalFormatting>
  <conditionalFormatting sqref="B50">
    <cfRule type="cellIs" dxfId="8447" priority="10075" stopIfTrue="1" operator="equal">
      <formula>"Towel"</formula>
    </cfRule>
    <cfRule type="cellIs" dxfId="8446" priority="10076" stopIfTrue="1" operator="equal">
      <formula>"Napkin Hs"</formula>
    </cfRule>
  </conditionalFormatting>
  <conditionalFormatting sqref="B50">
    <cfRule type="cellIs" dxfId="8445" priority="10071" stopIfTrue="1" operator="equal">
      <formula>"Towel"</formula>
    </cfRule>
    <cfRule type="cellIs" dxfId="8444" priority="10072" stopIfTrue="1" operator="equal">
      <formula>"Napkin Hs"</formula>
    </cfRule>
  </conditionalFormatting>
  <conditionalFormatting sqref="B50">
    <cfRule type="cellIs" dxfId="8443" priority="10073" stopIfTrue="1" operator="equal">
      <formula>"Towel"</formula>
    </cfRule>
    <cfRule type="cellIs" dxfId="8442" priority="10074" stopIfTrue="1" operator="equal">
      <formula>"Napkin Hs"</formula>
    </cfRule>
  </conditionalFormatting>
  <conditionalFormatting sqref="B50">
    <cfRule type="cellIs" dxfId="8441" priority="10067" stopIfTrue="1" operator="equal">
      <formula>"Towel"</formula>
    </cfRule>
    <cfRule type="cellIs" dxfId="8440" priority="10068" stopIfTrue="1" operator="equal">
      <formula>"Napkin Hs"</formula>
    </cfRule>
  </conditionalFormatting>
  <conditionalFormatting sqref="B50">
    <cfRule type="cellIs" dxfId="8439" priority="10069" stopIfTrue="1" operator="equal">
      <formula>"Towel"</formula>
    </cfRule>
    <cfRule type="cellIs" dxfId="8438" priority="10070" stopIfTrue="1" operator="equal">
      <formula>"Napkin Hs"</formula>
    </cfRule>
  </conditionalFormatting>
  <conditionalFormatting sqref="B50">
    <cfRule type="cellIs" dxfId="8437" priority="10065" stopIfTrue="1" operator="equal">
      <formula>"Towel"</formula>
    </cfRule>
    <cfRule type="cellIs" dxfId="8436" priority="10066" stopIfTrue="1" operator="equal">
      <formula>"Napkin Hs"</formula>
    </cfRule>
  </conditionalFormatting>
  <conditionalFormatting sqref="B50">
    <cfRule type="cellIs" dxfId="8435" priority="10063" stopIfTrue="1" operator="equal">
      <formula>"Towel"</formula>
    </cfRule>
    <cfRule type="cellIs" dxfId="8434" priority="10064" stopIfTrue="1" operator="equal">
      <formula>"Napkin Hs"</formula>
    </cfRule>
  </conditionalFormatting>
  <conditionalFormatting sqref="B50">
    <cfRule type="cellIs" dxfId="8433" priority="10057" stopIfTrue="1" operator="equal">
      <formula>"Towel"</formula>
    </cfRule>
    <cfRule type="cellIs" dxfId="8432" priority="10058" stopIfTrue="1" operator="equal">
      <formula>"Napkin Hs"</formula>
    </cfRule>
  </conditionalFormatting>
  <conditionalFormatting sqref="B50">
    <cfRule type="cellIs" dxfId="8431" priority="10055" stopIfTrue="1" operator="equal">
      <formula>"Towel"</formula>
    </cfRule>
    <cfRule type="cellIs" dxfId="8430" priority="10056" stopIfTrue="1" operator="equal">
      <formula>"Napkin Hs"</formula>
    </cfRule>
  </conditionalFormatting>
  <conditionalFormatting sqref="B50">
    <cfRule type="cellIs" dxfId="8429" priority="10053" stopIfTrue="1" operator="equal">
      <formula>"Towel"</formula>
    </cfRule>
    <cfRule type="cellIs" dxfId="8428" priority="10054" stopIfTrue="1" operator="equal">
      <formula>"Napkin Hs"</formula>
    </cfRule>
  </conditionalFormatting>
  <conditionalFormatting sqref="B50">
    <cfRule type="cellIs" dxfId="8427" priority="10051" stopIfTrue="1" operator="equal">
      <formula>"Towel"</formula>
    </cfRule>
    <cfRule type="cellIs" dxfId="8426" priority="10052" stopIfTrue="1" operator="equal">
      <formula>"Napkin Hs"</formula>
    </cfRule>
  </conditionalFormatting>
  <conditionalFormatting sqref="C47">
    <cfRule type="cellIs" dxfId="8425" priority="10037" stopIfTrue="1" operator="equal">
      <formula>"Towel"</formula>
    </cfRule>
    <cfRule type="cellIs" dxfId="8424" priority="10038" stopIfTrue="1" operator="equal">
      <formula>"Napkin Hs"</formula>
    </cfRule>
  </conditionalFormatting>
  <conditionalFormatting sqref="C47">
    <cfRule type="cellIs" dxfId="8423" priority="10035" stopIfTrue="1" operator="equal">
      <formula>"Towel"</formula>
    </cfRule>
    <cfRule type="cellIs" dxfId="8422" priority="10036" stopIfTrue="1" operator="equal">
      <formula>"Napkin Hs"</formula>
    </cfRule>
  </conditionalFormatting>
  <conditionalFormatting sqref="C47">
    <cfRule type="cellIs" dxfId="8421" priority="10043" stopIfTrue="1" operator="equal">
      <formula>"Towel"</formula>
    </cfRule>
    <cfRule type="cellIs" dxfId="8420" priority="10044" stopIfTrue="1" operator="equal">
      <formula>"Napkin Hs"</formula>
    </cfRule>
  </conditionalFormatting>
  <conditionalFormatting sqref="B47:C47">
    <cfRule type="cellIs" dxfId="8419" priority="10045" stopIfTrue="1" operator="equal">
      <formula>"Towel"</formula>
    </cfRule>
    <cfRule type="cellIs" dxfId="8418" priority="10046" stopIfTrue="1" operator="equal">
      <formula>"Napkin Hs"</formula>
    </cfRule>
  </conditionalFormatting>
  <conditionalFormatting sqref="C47">
    <cfRule type="cellIs" dxfId="8417" priority="10041" stopIfTrue="1" operator="equal">
      <formula>"Towel"</formula>
    </cfRule>
    <cfRule type="cellIs" dxfId="8416" priority="10042" stopIfTrue="1" operator="equal">
      <formula>"Napkin Hs"</formula>
    </cfRule>
  </conditionalFormatting>
  <conditionalFormatting sqref="B47:C47">
    <cfRule type="cellIs" dxfId="8415" priority="10039" stopIfTrue="1" operator="equal">
      <formula>"Towel"</formula>
    </cfRule>
    <cfRule type="cellIs" dxfId="8414" priority="10040" stopIfTrue="1" operator="equal">
      <formula>"Napkin Hs"</formula>
    </cfRule>
  </conditionalFormatting>
  <conditionalFormatting sqref="C47">
    <cfRule type="cellIs" dxfId="8413" priority="10047" stopIfTrue="1" operator="equal">
      <formula>"Towel"</formula>
    </cfRule>
    <cfRule type="cellIs" dxfId="8412" priority="10048" stopIfTrue="1" operator="equal">
      <formula>"Napkin Hs"</formula>
    </cfRule>
  </conditionalFormatting>
  <conditionalFormatting sqref="C47">
    <cfRule type="cellIs" dxfId="8411" priority="10049" stopIfTrue="1" operator="equal">
      <formula>"Towel"</formula>
    </cfRule>
    <cfRule type="cellIs" dxfId="8410" priority="10050" stopIfTrue="1" operator="equal">
      <formula>"Napkin Hs"</formula>
    </cfRule>
  </conditionalFormatting>
  <conditionalFormatting sqref="C47">
    <cfRule type="cellIs" dxfId="8409" priority="10031" stopIfTrue="1" operator="equal">
      <formula>"Towel"</formula>
    </cfRule>
    <cfRule type="cellIs" dxfId="8408" priority="10032" stopIfTrue="1" operator="equal">
      <formula>"Napkin Hs"</formula>
    </cfRule>
  </conditionalFormatting>
  <conditionalFormatting sqref="B47:C47">
    <cfRule type="cellIs" dxfId="8407" priority="10033" stopIfTrue="1" operator="equal">
      <formula>"Towel"</formula>
    </cfRule>
    <cfRule type="cellIs" dxfId="8406" priority="10034" stopIfTrue="1" operator="equal">
      <formula>"Napkin Hs"</formula>
    </cfRule>
  </conditionalFormatting>
  <conditionalFormatting sqref="C47">
    <cfRule type="cellIs" dxfId="8405" priority="10029" stopIfTrue="1" operator="equal">
      <formula>"Towel"</formula>
    </cfRule>
    <cfRule type="cellIs" dxfId="8404" priority="10030" stopIfTrue="1" operator="equal">
      <formula>"Napkin Hs"</formula>
    </cfRule>
  </conditionalFormatting>
  <conditionalFormatting sqref="B47:C47">
    <cfRule type="cellIs" dxfId="8403" priority="10027" stopIfTrue="1" operator="equal">
      <formula>"Towel"</formula>
    </cfRule>
    <cfRule type="cellIs" dxfId="8402" priority="10028" stopIfTrue="1" operator="equal">
      <formula>"Napkin Hs"</formula>
    </cfRule>
  </conditionalFormatting>
  <conditionalFormatting sqref="C47">
    <cfRule type="cellIs" dxfId="8401" priority="10019" stopIfTrue="1" operator="equal">
      <formula>"Towel"</formula>
    </cfRule>
    <cfRule type="cellIs" dxfId="8400" priority="10020" stopIfTrue="1" operator="equal">
      <formula>"Napkin Hs"</formula>
    </cfRule>
  </conditionalFormatting>
  <conditionalFormatting sqref="C47">
    <cfRule type="cellIs" dxfId="8399" priority="10021" stopIfTrue="1" operator="equal">
      <formula>"Towel"</formula>
    </cfRule>
    <cfRule type="cellIs" dxfId="8398" priority="10022" stopIfTrue="1" operator="equal">
      <formula>"Napkin Hs"</formula>
    </cfRule>
  </conditionalFormatting>
  <conditionalFormatting sqref="C47">
    <cfRule type="cellIs" dxfId="8397" priority="10017" stopIfTrue="1" operator="equal">
      <formula>"Towel"</formula>
    </cfRule>
    <cfRule type="cellIs" dxfId="8396" priority="10018" stopIfTrue="1" operator="equal">
      <formula>"Napkin Hs"</formula>
    </cfRule>
  </conditionalFormatting>
  <conditionalFormatting sqref="C47">
    <cfRule type="cellIs" dxfId="8395" priority="10015" stopIfTrue="1" operator="equal">
      <formula>"Towel"</formula>
    </cfRule>
    <cfRule type="cellIs" dxfId="8394" priority="10016" stopIfTrue="1" operator="equal">
      <formula>"Napkin Hs"</formula>
    </cfRule>
  </conditionalFormatting>
  <conditionalFormatting sqref="C47">
    <cfRule type="cellIs" dxfId="8393" priority="10023" stopIfTrue="1" operator="equal">
      <formula>"Towel"</formula>
    </cfRule>
    <cfRule type="cellIs" dxfId="8392" priority="10024" stopIfTrue="1" operator="equal">
      <formula>"Napkin Hs"</formula>
    </cfRule>
  </conditionalFormatting>
  <conditionalFormatting sqref="C47">
    <cfRule type="cellIs" dxfId="8391" priority="10025" stopIfTrue="1" operator="equal">
      <formula>"Towel"</formula>
    </cfRule>
    <cfRule type="cellIs" dxfId="8390" priority="10026" stopIfTrue="1" operator="equal">
      <formula>"Napkin Hs"</formula>
    </cfRule>
  </conditionalFormatting>
  <conditionalFormatting sqref="C47">
    <cfRule type="cellIs" dxfId="8389" priority="10011" stopIfTrue="1" operator="equal">
      <formula>"Towel"</formula>
    </cfRule>
    <cfRule type="cellIs" dxfId="8388" priority="10012" stopIfTrue="1" operator="equal">
      <formula>"Napkin Hs"</formula>
    </cfRule>
  </conditionalFormatting>
  <conditionalFormatting sqref="C47">
    <cfRule type="cellIs" dxfId="8387" priority="10013" stopIfTrue="1" operator="equal">
      <formula>"Towel"</formula>
    </cfRule>
    <cfRule type="cellIs" dxfId="8386" priority="10014" stopIfTrue="1" operator="equal">
      <formula>"Napkin Hs"</formula>
    </cfRule>
  </conditionalFormatting>
  <conditionalFormatting sqref="C47">
    <cfRule type="cellIs" dxfId="8385" priority="10009" stopIfTrue="1" operator="equal">
      <formula>"Towel"</formula>
    </cfRule>
    <cfRule type="cellIs" dxfId="8384" priority="10010" stopIfTrue="1" operator="equal">
      <formula>"Napkin Hs"</formula>
    </cfRule>
  </conditionalFormatting>
  <conditionalFormatting sqref="C47">
    <cfRule type="cellIs" dxfId="8383" priority="10003" stopIfTrue="1" operator="equal">
      <formula>"Towel"</formula>
    </cfRule>
    <cfRule type="cellIs" dxfId="8382" priority="10004" stopIfTrue="1" operator="equal">
      <formula>"Napkin Hs"</formula>
    </cfRule>
  </conditionalFormatting>
  <conditionalFormatting sqref="C47">
    <cfRule type="cellIs" dxfId="8381" priority="10005" stopIfTrue="1" operator="equal">
      <formula>"Towel"</formula>
    </cfRule>
    <cfRule type="cellIs" dxfId="8380" priority="10006" stopIfTrue="1" operator="equal">
      <formula>"Napkin Hs"</formula>
    </cfRule>
  </conditionalFormatting>
  <conditionalFormatting sqref="C47">
    <cfRule type="cellIs" dxfId="8379" priority="10007" stopIfTrue="1" operator="equal">
      <formula>"Towel"</formula>
    </cfRule>
    <cfRule type="cellIs" dxfId="8378" priority="10008" stopIfTrue="1" operator="equal">
      <formula>"Napkin Hs"</formula>
    </cfRule>
  </conditionalFormatting>
  <conditionalFormatting sqref="C47">
    <cfRule type="cellIs" dxfId="8377" priority="9957" stopIfTrue="1" operator="equal">
      <formula>"Towel"</formula>
    </cfRule>
    <cfRule type="cellIs" dxfId="8376" priority="9958" stopIfTrue="1" operator="equal">
      <formula>"Napkin Hs"</formula>
    </cfRule>
  </conditionalFormatting>
  <conditionalFormatting sqref="C47">
    <cfRule type="cellIs" dxfId="8375" priority="9959" stopIfTrue="1" operator="equal">
      <formula>"Towel"</formula>
    </cfRule>
    <cfRule type="cellIs" dxfId="8374" priority="9960" stopIfTrue="1" operator="equal">
      <formula>"Napkin Hs"</formula>
    </cfRule>
  </conditionalFormatting>
  <conditionalFormatting sqref="C47">
    <cfRule type="cellIs" dxfId="8373" priority="9955" stopIfTrue="1" operator="equal">
      <formula>"Towel"</formula>
    </cfRule>
    <cfRule type="cellIs" dxfId="8372" priority="9956" stopIfTrue="1" operator="equal">
      <formula>"Napkin Hs"</formula>
    </cfRule>
  </conditionalFormatting>
  <conditionalFormatting sqref="C47">
    <cfRule type="cellIs" dxfId="8371" priority="9953" stopIfTrue="1" operator="equal">
      <formula>"Towel"</formula>
    </cfRule>
    <cfRule type="cellIs" dxfId="8370" priority="9954" stopIfTrue="1" operator="equal">
      <formula>"Napkin Hs"</formula>
    </cfRule>
  </conditionalFormatting>
  <conditionalFormatting sqref="C47">
    <cfRule type="cellIs" dxfId="8369" priority="9949" stopIfTrue="1" operator="equal">
      <formula>"Towel"</formula>
    </cfRule>
    <cfRule type="cellIs" dxfId="8368" priority="9950" stopIfTrue="1" operator="equal">
      <formula>"Napkin Hs"</formula>
    </cfRule>
  </conditionalFormatting>
  <conditionalFormatting sqref="C47">
    <cfRule type="cellIs" dxfId="8367" priority="9951" stopIfTrue="1" operator="equal">
      <formula>"Towel"</formula>
    </cfRule>
    <cfRule type="cellIs" dxfId="8366" priority="9952" stopIfTrue="1" operator="equal">
      <formula>"Napkin Hs"</formula>
    </cfRule>
  </conditionalFormatting>
  <conditionalFormatting sqref="C47">
    <cfRule type="cellIs" dxfId="8365" priority="10001" stopIfTrue="1" operator="equal">
      <formula>"Towel"</formula>
    </cfRule>
    <cfRule type="cellIs" dxfId="8364" priority="10002" stopIfTrue="1" operator="equal">
      <formula>"Napkin Hs"</formula>
    </cfRule>
  </conditionalFormatting>
  <conditionalFormatting sqref="C47">
    <cfRule type="cellIs" dxfId="8363" priority="9997" stopIfTrue="1" operator="equal">
      <formula>"Towel"</formula>
    </cfRule>
    <cfRule type="cellIs" dxfId="8362" priority="9998" stopIfTrue="1" operator="equal">
      <formula>"Napkin Hs"</formula>
    </cfRule>
  </conditionalFormatting>
  <conditionalFormatting sqref="C47">
    <cfRule type="cellIs" dxfId="8361" priority="10000" stopIfTrue="1" operator="equal">
      <formula>"Napkin Hs"</formula>
    </cfRule>
  </conditionalFormatting>
  <conditionalFormatting sqref="C47">
    <cfRule type="cellIs" dxfId="8360" priority="9999" stopIfTrue="1" operator="equal">
      <formula>"Towel"</formula>
    </cfRule>
  </conditionalFormatting>
  <conditionalFormatting sqref="C47">
    <cfRule type="cellIs" dxfId="8359" priority="9991" stopIfTrue="1" operator="equal">
      <formula>"Towel"</formula>
    </cfRule>
    <cfRule type="cellIs" dxfId="8358" priority="9992" stopIfTrue="1" operator="equal">
      <formula>"Napkin Hs"</formula>
    </cfRule>
  </conditionalFormatting>
  <conditionalFormatting sqref="C47">
    <cfRule type="cellIs" dxfId="8357" priority="9995" stopIfTrue="1" operator="equal">
      <formula>"Towel"</formula>
    </cfRule>
    <cfRule type="cellIs" dxfId="8356" priority="9996" stopIfTrue="1" operator="equal">
      <formula>"Napkin Hs"</formula>
    </cfRule>
  </conditionalFormatting>
  <conditionalFormatting sqref="C47">
    <cfRule type="cellIs" dxfId="8355" priority="9993" stopIfTrue="1" operator="equal">
      <formula>"Towel"</formula>
    </cfRule>
    <cfRule type="cellIs" dxfId="8354" priority="9994" stopIfTrue="1" operator="equal">
      <formula>"Napkin Hs"</formula>
    </cfRule>
  </conditionalFormatting>
  <conditionalFormatting sqref="C47">
    <cfRule type="cellIs" dxfId="8353" priority="9985" stopIfTrue="1" operator="equal">
      <formula>"Towel"</formula>
    </cfRule>
    <cfRule type="cellIs" dxfId="8352" priority="9986" stopIfTrue="1" operator="equal">
      <formula>"Napkin Hs"</formula>
    </cfRule>
  </conditionalFormatting>
  <conditionalFormatting sqref="C47">
    <cfRule type="cellIs" dxfId="8351" priority="9987" stopIfTrue="1" operator="equal">
      <formula>"Towel"</formula>
    </cfRule>
    <cfRule type="cellIs" dxfId="8350" priority="9988" stopIfTrue="1" operator="equal">
      <formula>"Napkin Hs"</formula>
    </cfRule>
  </conditionalFormatting>
  <conditionalFormatting sqref="C47">
    <cfRule type="cellIs" dxfId="8349" priority="9989" stopIfTrue="1" operator="equal">
      <formula>"Towel"</formula>
    </cfRule>
    <cfRule type="cellIs" dxfId="8348" priority="9990" stopIfTrue="1" operator="equal">
      <formula>"Napkin Hs"</formula>
    </cfRule>
  </conditionalFormatting>
  <conditionalFormatting sqref="C47">
    <cfRule type="cellIs" dxfId="8347" priority="9979" stopIfTrue="1" operator="equal">
      <formula>"Towel"</formula>
    </cfRule>
    <cfRule type="cellIs" dxfId="8346" priority="9980" stopIfTrue="1" operator="equal">
      <formula>"Napkin Hs"</formula>
    </cfRule>
  </conditionalFormatting>
  <conditionalFormatting sqref="C47">
    <cfRule type="cellIs" dxfId="8345" priority="9983" stopIfTrue="1" operator="equal">
      <formula>"Towel"</formula>
    </cfRule>
    <cfRule type="cellIs" dxfId="8344" priority="9984" stopIfTrue="1" operator="equal">
      <formula>"Napkin Hs"</formula>
    </cfRule>
  </conditionalFormatting>
  <conditionalFormatting sqref="C47">
    <cfRule type="cellIs" dxfId="8343" priority="9981" stopIfTrue="1" operator="equal">
      <formula>"Towel"</formula>
    </cfRule>
    <cfRule type="cellIs" dxfId="8342" priority="9982" stopIfTrue="1" operator="equal">
      <formula>"Napkin Hs"</formula>
    </cfRule>
  </conditionalFormatting>
  <conditionalFormatting sqref="C47">
    <cfRule type="cellIs" dxfId="8341" priority="9973" stopIfTrue="1" operator="equal">
      <formula>"Towel"</formula>
    </cfRule>
    <cfRule type="cellIs" dxfId="8340" priority="9974" stopIfTrue="1" operator="equal">
      <formula>"Napkin Hs"</formula>
    </cfRule>
  </conditionalFormatting>
  <conditionalFormatting sqref="C47">
    <cfRule type="cellIs" dxfId="8339" priority="9975" stopIfTrue="1" operator="equal">
      <formula>"Towel"</formula>
    </cfRule>
    <cfRule type="cellIs" dxfId="8338" priority="9976" stopIfTrue="1" operator="equal">
      <formula>"Napkin Hs"</formula>
    </cfRule>
  </conditionalFormatting>
  <conditionalFormatting sqref="C47">
    <cfRule type="cellIs" dxfId="8337" priority="9977" stopIfTrue="1" operator="equal">
      <formula>"Towel"</formula>
    </cfRule>
    <cfRule type="cellIs" dxfId="8336" priority="9978" stopIfTrue="1" operator="equal">
      <formula>"Napkin Hs"</formula>
    </cfRule>
  </conditionalFormatting>
  <conditionalFormatting sqref="C47">
    <cfRule type="cellIs" dxfId="8335" priority="9971" stopIfTrue="1" operator="equal">
      <formula>"Towel"</formula>
    </cfRule>
    <cfRule type="cellIs" dxfId="8334" priority="9972" stopIfTrue="1" operator="equal">
      <formula>"Napkin Hs"</formula>
    </cfRule>
  </conditionalFormatting>
  <conditionalFormatting sqref="C47">
    <cfRule type="cellIs" dxfId="8333" priority="9967" stopIfTrue="1" operator="equal">
      <formula>"Towel"</formula>
    </cfRule>
    <cfRule type="cellIs" dxfId="8332" priority="9968" stopIfTrue="1" operator="equal">
      <formula>"Napkin Hs"</formula>
    </cfRule>
  </conditionalFormatting>
  <conditionalFormatting sqref="C47">
    <cfRule type="cellIs" dxfId="8331" priority="9969" stopIfTrue="1" operator="equal">
      <formula>"Towel"</formula>
    </cfRule>
    <cfRule type="cellIs" dxfId="8330" priority="9970" stopIfTrue="1" operator="equal">
      <formula>"Napkin Hs"</formula>
    </cfRule>
  </conditionalFormatting>
  <conditionalFormatting sqref="C47">
    <cfRule type="cellIs" dxfId="8329" priority="9965" stopIfTrue="1" operator="equal">
      <formula>"Towel"</formula>
    </cfRule>
    <cfRule type="cellIs" dxfId="8328" priority="9966" stopIfTrue="1" operator="equal">
      <formula>"Napkin Hs"</formula>
    </cfRule>
  </conditionalFormatting>
  <conditionalFormatting sqref="C47">
    <cfRule type="cellIs" dxfId="8327" priority="9963" stopIfTrue="1" operator="equal">
      <formula>"Towel"</formula>
    </cfRule>
    <cfRule type="cellIs" dxfId="8326" priority="9964" stopIfTrue="1" operator="equal">
      <formula>"Napkin Hs"</formula>
    </cfRule>
  </conditionalFormatting>
  <conditionalFormatting sqref="C47">
    <cfRule type="cellIs" dxfId="8325" priority="9961" stopIfTrue="1" operator="equal">
      <formula>"Towel"</formula>
    </cfRule>
    <cfRule type="cellIs" dxfId="8324" priority="9962" stopIfTrue="1" operator="equal">
      <formula>"Napkin Hs"</formula>
    </cfRule>
  </conditionalFormatting>
  <conditionalFormatting sqref="C47">
    <cfRule type="cellIs" dxfId="8323" priority="9945" stopIfTrue="1" operator="equal">
      <formula>"Towel"</formula>
    </cfRule>
    <cfRule type="cellIs" dxfId="8322" priority="9946" stopIfTrue="1" operator="equal">
      <formula>"Napkin Hs"</formula>
    </cfRule>
  </conditionalFormatting>
  <conditionalFormatting sqref="C47">
    <cfRule type="cellIs" dxfId="8321" priority="9947" stopIfTrue="1" operator="equal">
      <formula>"Towel"</formula>
    </cfRule>
    <cfRule type="cellIs" dxfId="8320" priority="9948" stopIfTrue="1" operator="equal">
      <formula>"Napkin Hs"</formula>
    </cfRule>
  </conditionalFormatting>
  <conditionalFormatting sqref="C47">
    <cfRule type="cellIs" dxfId="8319" priority="9943" stopIfTrue="1" operator="equal">
      <formula>"Towel"</formula>
    </cfRule>
    <cfRule type="cellIs" dxfId="8318" priority="9944" stopIfTrue="1" operator="equal">
      <formula>"Napkin Hs"</formula>
    </cfRule>
  </conditionalFormatting>
  <conditionalFormatting sqref="C47">
    <cfRule type="cellIs" dxfId="8317" priority="9941" stopIfTrue="1" operator="equal">
      <formula>"Towel"</formula>
    </cfRule>
    <cfRule type="cellIs" dxfId="8316" priority="9942" stopIfTrue="1" operator="equal">
      <formula>"Napkin Hs"</formula>
    </cfRule>
  </conditionalFormatting>
  <conditionalFormatting sqref="C47">
    <cfRule type="cellIs" dxfId="8315" priority="9937" stopIfTrue="1" operator="equal">
      <formula>"Towel"</formula>
    </cfRule>
    <cfRule type="cellIs" dxfId="8314" priority="9938" stopIfTrue="1" operator="equal">
      <formula>"Napkin Hs"</formula>
    </cfRule>
  </conditionalFormatting>
  <conditionalFormatting sqref="C47">
    <cfRule type="cellIs" dxfId="8313" priority="9939" stopIfTrue="1" operator="equal">
      <formula>"Towel"</formula>
    </cfRule>
    <cfRule type="cellIs" dxfId="8312" priority="9940" stopIfTrue="1" operator="equal">
      <formula>"Napkin Hs"</formula>
    </cfRule>
  </conditionalFormatting>
  <conditionalFormatting sqref="C47">
    <cfRule type="cellIs" dxfId="8311" priority="9933" stopIfTrue="1" operator="equal">
      <formula>"Towel"</formula>
    </cfRule>
    <cfRule type="cellIs" dxfId="8310" priority="9934" stopIfTrue="1" operator="equal">
      <formula>"Napkin Hs"</formula>
    </cfRule>
  </conditionalFormatting>
  <conditionalFormatting sqref="C47">
    <cfRule type="cellIs" dxfId="8309" priority="9935" stopIfTrue="1" operator="equal">
      <formula>"Towel"</formula>
    </cfRule>
    <cfRule type="cellIs" dxfId="8308" priority="9936" stopIfTrue="1" operator="equal">
      <formula>"Napkin Hs"</formula>
    </cfRule>
  </conditionalFormatting>
  <conditionalFormatting sqref="C47">
    <cfRule type="cellIs" dxfId="8307" priority="9931" stopIfTrue="1" operator="equal">
      <formula>"Towel"</formula>
    </cfRule>
    <cfRule type="cellIs" dxfId="8306" priority="9932" stopIfTrue="1" operator="equal">
      <formula>"Napkin Hs"</formula>
    </cfRule>
  </conditionalFormatting>
  <conditionalFormatting sqref="C47">
    <cfRule type="cellIs" dxfId="8305" priority="9929" stopIfTrue="1" operator="equal">
      <formula>"Towel"</formula>
    </cfRule>
    <cfRule type="cellIs" dxfId="8304" priority="9930" stopIfTrue="1" operator="equal">
      <formula>"Napkin Hs"</formula>
    </cfRule>
  </conditionalFormatting>
  <conditionalFormatting sqref="C47">
    <cfRule type="cellIs" dxfId="8303" priority="9925" stopIfTrue="1" operator="equal">
      <formula>"Towel"</formula>
    </cfRule>
    <cfRule type="cellIs" dxfId="8302" priority="9926" stopIfTrue="1" operator="equal">
      <formula>"Napkin Hs"</formula>
    </cfRule>
  </conditionalFormatting>
  <conditionalFormatting sqref="C47">
    <cfRule type="cellIs" dxfId="8301" priority="9927" stopIfTrue="1" operator="equal">
      <formula>"Towel"</formula>
    </cfRule>
    <cfRule type="cellIs" dxfId="8300" priority="9928" stopIfTrue="1" operator="equal">
      <formula>"Napkin Hs"</formula>
    </cfRule>
  </conditionalFormatting>
  <conditionalFormatting sqref="B47">
    <cfRule type="cellIs" dxfId="8299" priority="9923" stopIfTrue="1" operator="equal">
      <formula>"Towel"</formula>
    </cfRule>
    <cfRule type="cellIs" dxfId="8298" priority="9924" stopIfTrue="1" operator="equal">
      <formula>"Napkin Hs"</formula>
    </cfRule>
  </conditionalFormatting>
  <conditionalFormatting sqref="B47">
    <cfRule type="cellIs" dxfId="8297" priority="9907" stopIfTrue="1" operator="equal">
      <formula>"Towel"</formula>
    </cfRule>
    <cfRule type="cellIs" dxfId="8296" priority="9908" stopIfTrue="1" operator="equal">
      <formula>"Napkin Hs"</formula>
    </cfRule>
  </conditionalFormatting>
  <conditionalFormatting sqref="B47">
    <cfRule type="cellIs" dxfId="8295" priority="9905" stopIfTrue="1" operator="equal">
      <formula>"Towel"</formula>
    </cfRule>
    <cfRule type="cellIs" dxfId="8294" priority="9906" stopIfTrue="1" operator="equal">
      <formula>"Napkin Hs"</formula>
    </cfRule>
  </conditionalFormatting>
  <conditionalFormatting sqref="B47">
    <cfRule type="cellIs" dxfId="8293" priority="9921" stopIfTrue="1" operator="equal">
      <formula>"Towel"</formula>
    </cfRule>
    <cfRule type="cellIs" dxfId="8292" priority="9922" stopIfTrue="1" operator="equal">
      <formula>"Napkin Hs"</formula>
    </cfRule>
  </conditionalFormatting>
  <conditionalFormatting sqref="B47">
    <cfRule type="cellIs" dxfId="8291" priority="9917" stopIfTrue="1" operator="equal">
      <formula>"Towel"</formula>
    </cfRule>
    <cfRule type="cellIs" dxfId="8290" priority="9918" stopIfTrue="1" operator="equal">
      <formula>"Napkin Hs"</formula>
    </cfRule>
  </conditionalFormatting>
  <conditionalFormatting sqref="B47">
    <cfRule type="cellIs" dxfId="8289" priority="9919" stopIfTrue="1" operator="equal">
      <formula>"Towel"</formula>
    </cfRule>
    <cfRule type="cellIs" dxfId="8288" priority="9920" stopIfTrue="1" operator="equal">
      <formula>"Napkin Hs"</formula>
    </cfRule>
  </conditionalFormatting>
  <conditionalFormatting sqref="B47">
    <cfRule type="cellIs" dxfId="8287" priority="9913" stopIfTrue="1" operator="equal">
      <formula>"Towel"</formula>
    </cfRule>
    <cfRule type="cellIs" dxfId="8286" priority="9914" stopIfTrue="1" operator="equal">
      <formula>"Napkin Hs"</formula>
    </cfRule>
  </conditionalFormatting>
  <conditionalFormatting sqref="B47">
    <cfRule type="cellIs" dxfId="8285" priority="9915" stopIfTrue="1" operator="equal">
      <formula>"Towel"</formula>
    </cfRule>
    <cfRule type="cellIs" dxfId="8284" priority="9916" stopIfTrue="1" operator="equal">
      <formula>"Napkin Hs"</formula>
    </cfRule>
  </conditionalFormatting>
  <conditionalFormatting sqref="B47">
    <cfRule type="cellIs" dxfId="8283" priority="9911" stopIfTrue="1" operator="equal">
      <formula>"Towel"</formula>
    </cfRule>
    <cfRule type="cellIs" dxfId="8282" priority="9912" stopIfTrue="1" operator="equal">
      <formula>"Napkin Hs"</formula>
    </cfRule>
  </conditionalFormatting>
  <conditionalFormatting sqref="B47">
    <cfRule type="cellIs" dxfId="8281" priority="9909" stopIfTrue="1" operator="equal">
      <formula>"Towel"</formula>
    </cfRule>
    <cfRule type="cellIs" dxfId="8280" priority="9910" stopIfTrue="1" operator="equal">
      <formula>"Napkin Hs"</formula>
    </cfRule>
  </conditionalFormatting>
  <conditionalFormatting sqref="B47">
    <cfRule type="cellIs" dxfId="8279" priority="9903" stopIfTrue="1" operator="equal">
      <formula>"Towel"</formula>
    </cfRule>
    <cfRule type="cellIs" dxfId="8278" priority="9904" stopIfTrue="1" operator="equal">
      <formula>"Napkin Hs"</formula>
    </cfRule>
  </conditionalFormatting>
  <conditionalFormatting sqref="B47">
    <cfRule type="cellIs" dxfId="8277" priority="9901" stopIfTrue="1" operator="equal">
      <formula>"Towel"</formula>
    </cfRule>
    <cfRule type="cellIs" dxfId="8276" priority="9902" stopIfTrue="1" operator="equal">
      <formula>"Napkin Hs"</formula>
    </cfRule>
  </conditionalFormatting>
  <conditionalFormatting sqref="B47">
    <cfRule type="cellIs" dxfId="8275" priority="9899" stopIfTrue="1" operator="equal">
      <formula>"Towel"</formula>
    </cfRule>
    <cfRule type="cellIs" dxfId="8274" priority="9900" stopIfTrue="1" operator="equal">
      <formula>"Napkin Hs"</formula>
    </cfRule>
  </conditionalFormatting>
  <conditionalFormatting sqref="B47">
    <cfRule type="cellIs" dxfId="8273" priority="9897" stopIfTrue="1" operator="equal">
      <formula>"Towel"</formula>
    </cfRule>
    <cfRule type="cellIs" dxfId="8272" priority="9898" stopIfTrue="1" operator="equal">
      <formula>"Napkin Hs"</formula>
    </cfRule>
  </conditionalFormatting>
  <conditionalFormatting sqref="C48">
    <cfRule type="cellIs" dxfId="8271" priority="9889" stopIfTrue="1" operator="equal">
      <formula>"Towel"</formula>
    </cfRule>
    <cfRule type="cellIs" dxfId="8270" priority="9890" stopIfTrue="1" operator="equal">
      <formula>"Napkin Hs"</formula>
    </cfRule>
  </conditionalFormatting>
  <conditionalFormatting sqref="C48">
    <cfRule type="cellIs" dxfId="8269" priority="9891" stopIfTrue="1" operator="equal">
      <formula>"Towel"</formula>
    </cfRule>
    <cfRule type="cellIs" dxfId="8268" priority="9892" stopIfTrue="1" operator="equal">
      <formula>"Napkin Hs"</formula>
    </cfRule>
  </conditionalFormatting>
  <conditionalFormatting sqref="C48">
    <cfRule type="cellIs" dxfId="8267" priority="9887" stopIfTrue="1" operator="equal">
      <formula>"Towel"</formula>
    </cfRule>
    <cfRule type="cellIs" dxfId="8266" priority="9888" stopIfTrue="1" operator="equal">
      <formula>"Napkin Hs"</formula>
    </cfRule>
  </conditionalFormatting>
  <conditionalFormatting sqref="C48">
    <cfRule type="cellIs" dxfId="8265" priority="9885" stopIfTrue="1" operator="equal">
      <formula>"Towel"</formula>
    </cfRule>
    <cfRule type="cellIs" dxfId="8264" priority="9886" stopIfTrue="1" operator="equal">
      <formula>"Napkin Hs"</formula>
    </cfRule>
  </conditionalFormatting>
  <conditionalFormatting sqref="C48">
    <cfRule type="cellIs" dxfId="8263" priority="9893" stopIfTrue="1" operator="equal">
      <formula>"Towel"</formula>
    </cfRule>
    <cfRule type="cellIs" dxfId="8262" priority="9894" stopIfTrue="1" operator="equal">
      <formula>"Napkin Hs"</formula>
    </cfRule>
  </conditionalFormatting>
  <conditionalFormatting sqref="C48">
    <cfRule type="cellIs" dxfId="8261" priority="9895" stopIfTrue="1" operator="equal">
      <formula>"Towel"</formula>
    </cfRule>
    <cfRule type="cellIs" dxfId="8260" priority="9896" stopIfTrue="1" operator="equal">
      <formula>"Napkin Hs"</formula>
    </cfRule>
  </conditionalFormatting>
  <conditionalFormatting sqref="C48">
    <cfRule type="cellIs" dxfId="8259" priority="9881" stopIfTrue="1" operator="equal">
      <formula>"Towel"</formula>
    </cfRule>
    <cfRule type="cellIs" dxfId="8258" priority="9882" stopIfTrue="1" operator="equal">
      <formula>"Napkin Hs"</formula>
    </cfRule>
  </conditionalFormatting>
  <conditionalFormatting sqref="C48">
    <cfRule type="cellIs" dxfId="8257" priority="9883" stopIfTrue="1" operator="equal">
      <formula>"Towel"</formula>
    </cfRule>
    <cfRule type="cellIs" dxfId="8256" priority="9884" stopIfTrue="1" operator="equal">
      <formula>"Napkin Hs"</formula>
    </cfRule>
  </conditionalFormatting>
  <conditionalFormatting sqref="C48">
    <cfRule type="cellIs" dxfId="8255" priority="9879" stopIfTrue="1" operator="equal">
      <formula>"Towel"</formula>
    </cfRule>
    <cfRule type="cellIs" dxfId="8254" priority="9880" stopIfTrue="1" operator="equal">
      <formula>"Napkin Hs"</formula>
    </cfRule>
  </conditionalFormatting>
  <conditionalFormatting sqref="C48">
    <cfRule type="cellIs" dxfId="8253" priority="9873" stopIfTrue="1" operator="equal">
      <formula>"Towel"</formula>
    </cfRule>
    <cfRule type="cellIs" dxfId="8252" priority="9874" stopIfTrue="1" operator="equal">
      <formula>"Napkin Hs"</formula>
    </cfRule>
  </conditionalFormatting>
  <conditionalFormatting sqref="C48">
    <cfRule type="cellIs" dxfId="8251" priority="9875" stopIfTrue="1" operator="equal">
      <formula>"Towel"</formula>
    </cfRule>
    <cfRule type="cellIs" dxfId="8250" priority="9876" stopIfTrue="1" operator="equal">
      <formula>"Napkin Hs"</formula>
    </cfRule>
  </conditionalFormatting>
  <conditionalFormatting sqref="C48">
    <cfRule type="cellIs" dxfId="8249" priority="9877" stopIfTrue="1" operator="equal">
      <formula>"Towel"</formula>
    </cfRule>
    <cfRule type="cellIs" dxfId="8248" priority="9878" stopIfTrue="1" operator="equal">
      <formula>"Napkin Hs"</formula>
    </cfRule>
  </conditionalFormatting>
  <conditionalFormatting sqref="C48">
    <cfRule type="cellIs" dxfId="8247" priority="9827" stopIfTrue="1" operator="equal">
      <formula>"Towel"</formula>
    </cfRule>
    <cfRule type="cellIs" dxfId="8246" priority="9828" stopIfTrue="1" operator="equal">
      <formula>"Napkin Hs"</formula>
    </cfRule>
  </conditionalFormatting>
  <conditionalFormatting sqref="C48">
    <cfRule type="cellIs" dxfId="8245" priority="9829" stopIfTrue="1" operator="equal">
      <formula>"Towel"</formula>
    </cfRule>
    <cfRule type="cellIs" dxfId="8244" priority="9830" stopIfTrue="1" operator="equal">
      <formula>"Napkin Hs"</formula>
    </cfRule>
  </conditionalFormatting>
  <conditionalFormatting sqref="C48">
    <cfRule type="cellIs" dxfId="8243" priority="9825" stopIfTrue="1" operator="equal">
      <formula>"Towel"</formula>
    </cfRule>
    <cfRule type="cellIs" dxfId="8242" priority="9826" stopIfTrue="1" operator="equal">
      <formula>"Napkin Hs"</formula>
    </cfRule>
  </conditionalFormatting>
  <conditionalFormatting sqref="C48">
    <cfRule type="cellIs" dxfId="8241" priority="9823" stopIfTrue="1" operator="equal">
      <formula>"Towel"</formula>
    </cfRule>
    <cfRule type="cellIs" dxfId="8240" priority="9824" stopIfTrue="1" operator="equal">
      <formula>"Napkin Hs"</formula>
    </cfRule>
  </conditionalFormatting>
  <conditionalFormatting sqref="C48">
    <cfRule type="cellIs" dxfId="8239" priority="9819" stopIfTrue="1" operator="equal">
      <formula>"Towel"</formula>
    </cfRule>
    <cfRule type="cellIs" dxfId="8238" priority="9820" stopIfTrue="1" operator="equal">
      <formula>"Napkin Hs"</formula>
    </cfRule>
  </conditionalFormatting>
  <conditionalFormatting sqref="C48">
    <cfRule type="cellIs" dxfId="8237" priority="9821" stopIfTrue="1" operator="equal">
      <formula>"Towel"</formula>
    </cfRule>
    <cfRule type="cellIs" dxfId="8236" priority="9822" stopIfTrue="1" operator="equal">
      <formula>"Napkin Hs"</formula>
    </cfRule>
  </conditionalFormatting>
  <conditionalFormatting sqref="C48">
    <cfRule type="cellIs" dxfId="8235" priority="9871" stopIfTrue="1" operator="equal">
      <formula>"Towel"</formula>
    </cfRule>
    <cfRule type="cellIs" dxfId="8234" priority="9872" stopIfTrue="1" operator="equal">
      <formula>"Napkin Hs"</formula>
    </cfRule>
  </conditionalFormatting>
  <conditionalFormatting sqref="C48">
    <cfRule type="cellIs" dxfId="8233" priority="9867" stopIfTrue="1" operator="equal">
      <formula>"Towel"</formula>
    </cfRule>
    <cfRule type="cellIs" dxfId="8232" priority="9868" stopIfTrue="1" operator="equal">
      <formula>"Napkin Hs"</formula>
    </cfRule>
  </conditionalFormatting>
  <conditionalFormatting sqref="C48">
    <cfRule type="cellIs" dxfId="8231" priority="9870" stopIfTrue="1" operator="equal">
      <formula>"Napkin Hs"</formula>
    </cfRule>
  </conditionalFormatting>
  <conditionalFormatting sqref="C48">
    <cfRule type="cellIs" dxfId="8230" priority="9869" stopIfTrue="1" operator="equal">
      <formula>"Towel"</formula>
    </cfRule>
  </conditionalFormatting>
  <conditionalFormatting sqref="C48">
    <cfRule type="cellIs" dxfId="8229" priority="9861" stopIfTrue="1" operator="equal">
      <formula>"Towel"</formula>
    </cfRule>
    <cfRule type="cellIs" dxfId="8228" priority="9862" stopIfTrue="1" operator="equal">
      <formula>"Napkin Hs"</formula>
    </cfRule>
  </conditionalFormatting>
  <conditionalFormatting sqref="C48">
    <cfRule type="cellIs" dxfId="8227" priority="9865" stopIfTrue="1" operator="equal">
      <formula>"Towel"</formula>
    </cfRule>
    <cfRule type="cellIs" dxfId="8226" priority="9866" stopIfTrue="1" operator="equal">
      <formula>"Napkin Hs"</formula>
    </cfRule>
  </conditionalFormatting>
  <conditionalFormatting sqref="C48">
    <cfRule type="cellIs" dxfId="8225" priority="9863" stopIfTrue="1" operator="equal">
      <formula>"Towel"</formula>
    </cfRule>
    <cfRule type="cellIs" dxfId="8224" priority="9864" stopIfTrue="1" operator="equal">
      <formula>"Napkin Hs"</formula>
    </cfRule>
  </conditionalFormatting>
  <conditionalFormatting sqref="C48">
    <cfRule type="cellIs" dxfId="8223" priority="9855" stopIfTrue="1" operator="equal">
      <formula>"Towel"</formula>
    </cfRule>
    <cfRule type="cellIs" dxfId="8222" priority="9856" stopIfTrue="1" operator="equal">
      <formula>"Napkin Hs"</formula>
    </cfRule>
  </conditionalFormatting>
  <conditionalFormatting sqref="C48">
    <cfRule type="cellIs" dxfId="8221" priority="9857" stopIfTrue="1" operator="equal">
      <formula>"Towel"</formula>
    </cfRule>
    <cfRule type="cellIs" dxfId="8220" priority="9858" stopIfTrue="1" operator="equal">
      <formula>"Napkin Hs"</formula>
    </cfRule>
  </conditionalFormatting>
  <conditionalFormatting sqref="C48">
    <cfRule type="cellIs" dxfId="8219" priority="9859" stopIfTrue="1" operator="equal">
      <formula>"Towel"</formula>
    </cfRule>
    <cfRule type="cellIs" dxfId="8218" priority="9860" stopIfTrue="1" operator="equal">
      <formula>"Napkin Hs"</formula>
    </cfRule>
  </conditionalFormatting>
  <conditionalFormatting sqref="C48">
    <cfRule type="cellIs" dxfId="8217" priority="9849" stopIfTrue="1" operator="equal">
      <formula>"Towel"</formula>
    </cfRule>
    <cfRule type="cellIs" dxfId="8216" priority="9850" stopIfTrue="1" operator="equal">
      <formula>"Napkin Hs"</formula>
    </cfRule>
  </conditionalFormatting>
  <conditionalFormatting sqref="C48">
    <cfRule type="cellIs" dxfId="8215" priority="9853" stopIfTrue="1" operator="equal">
      <formula>"Towel"</formula>
    </cfRule>
    <cfRule type="cellIs" dxfId="8214" priority="9854" stopIfTrue="1" operator="equal">
      <formula>"Napkin Hs"</formula>
    </cfRule>
  </conditionalFormatting>
  <conditionalFormatting sqref="C48">
    <cfRule type="cellIs" dxfId="8213" priority="9851" stopIfTrue="1" operator="equal">
      <formula>"Towel"</formula>
    </cfRule>
    <cfRule type="cellIs" dxfId="8212" priority="9852" stopIfTrue="1" operator="equal">
      <formula>"Napkin Hs"</formula>
    </cfRule>
  </conditionalFormatting>
  <conditionalFormatting sqref="C48">
    <cfRule type="cellIs" dxfId="8211" priority="9843" stopIfTrue="1" operator="equal">
      <formula>"Towel"</formula>
    </cfRule>
    <cfRule type="cellIs" dxfId="8210" priority="9844" stopIfTrue="1" operator="equal">
      <formula>"Napkin Hs"</formula>
    </cfRule>
  </conditionalFormatting>
  <conditionalFormatting sqref="C48">
    <cfRule type="cellIs" dxfId="8209" priority="9845" stopIfTrue="1" operator="equal">
      <formula>"Towel"</formula>
    </cfRule>
    <cfRule type="cellIs" dxfId="8208" priority="9846" stopIfTrue="1" operator="equal">
      <formula>"Napkin Hs"</formula>
    </cfRule>
  </conditionalFormatting>
  <conditionalFormatting sqref="C48">
    <cfRule type="cellIs" dxfId="8207" priority="9847" stopIfTrue="1" operator="equal">
      <formula>"Towel"</formula>
    </cfRule>
    <cfRule type="cellIs" dxfId="8206" priority="9848" stopIfTrue="1" operator="equal">
      <formula>"Napkin Hs"</formula>
    </cfRule>
  </conditionalFormatting>
  <conditionalFormatting sqref="C48">
    <cfRule type="cellIs" dxfId="8205" priority="9841" stopIfTrue="1" operator="equal">
      <formula>"Towel"</formula>
    </cfRule>
    <cfRule type="cellIs" dxfId="8204" priority="9842" stopIfTrue="1" operator="equal">
      <formula>"Napkin Hs"</formula>
    </cfRule>
  </conditionalFormatting>
  <conditionalFormatting sqref="C48">
    <cfRule type="cellIs" dxfId="8203" priority="9837" stopIfTrue="1" operator="equal">
      <formula>"Towel"</formula>
    </cfRule>
    <cfRule type="cellIs" dxfId="8202" priority="9838" stopIfTrue="1" operator="equal">
      <formula>"Napkin Hs"</formula>
    </cfRule>
  </conditionalFormatting>
  <conditionalFormatting sqref="C48">
    <cfRule type="cellIs" dxfId="8201" priority="9839" stopIfTrue="1" operator="equal">
      <formula>"Towel"</formula>
    </cfRule>
    <cfRule type="cellIs" dxfId="8200" priority="9840" stopIfTrue="1" operator="equal">
      <formula>"Napkin Hs"</formula>
    </cfRule>
  </conditionalFormatting>
  <conditionalFormatting sqref="C48">
    <cfRule type="cellIs" dxfId="8199" priority="9835" stopIfTrue="1" operator="equal">
      <formula>"Towel"</formula>
    </cfRule>
    <cfRule type="cellIs" dxfId="8198" priority="9836" stopIfTrue="1" operator="equal">
      <formula>"Napkin Hs"</formula>
    </cfRule>
  </conditionalFormatting>
  <conditionalFormatting sqref="C48">
    <cfRule type="cellIs" dxfId="8197" priority="9833" stopIfTrue="1" operator="equal">
      <formula>"Towel"</formula>
    </cfRule>
    <cfRule type="cellIs" dxfId="8196" priority="9834" stopIfTrue="1" operator="equal">
      <formula>"Napkin Hs"</formula>
    </cfRule>
  </conditionalFormatting>
  <conditionalFormatting sqref="C48">
    <cfRule type="cellIs" dxfId="8195" priority="9831" stopIfTrue="1" operator="equal">
      <formula>"Towel"</formula>
    </cfRule>
    <cfRule type="cellIs" dxfId="8194" priority="9832" stopIfTrue="1" operator="equal">
      <formula>"Napkin Hs"</formula>
    </cfRule>
  </conditionalFormatting>
  <conditionalFormatting sqref="C48">
    <cfRule type="cellIs" dxfId="8193" priority="9815" stopIfTrue="1" operator="equal">
      <formula>"Towel"</formula>
    </cfRule>
    <cfRule type="cellIs" dxfId="8192" priority="9816" stopIfTrue="1" operator="equal">
      <formula>"Napkin Hs"</formula>
    </cfRule>
  </conditionalFormatting>
  <conditionalFormatting sqref="C48">
    <cfRule type="cellIs" dxfId="8191" priority="9817" stopIfTrue="1" operator="equal">
      <formula>"Towel"</formula>
    </cfRule>
    <cfRule type="cellIs" dxfId="8190" priority="9818" stopIfTrue="1" operator="equal">
      <formula>"Napkin Hs"</formula>
    </cfRule>
  </conditionalFormatting>
  <conditionalFormatting sqref="C48">
    <cfRule type="cellIs" dxfId="8189" priority="9813" stopIfTrue="1" operator="equal">
      <formula>"Towel"</formula>
    </cfRule>
    <cfRule type="cellIs" dxfId="8188" priority="9814" stopIfTrue="1" operator="equal">
      <formula>"Napkin Hs"</formula>
    </cfRule>
  </conditionalFormatting>
  <conditionalFormatting sqref="C48">
    <cfRule type="cellIs" dxfId="8187" priority="9811" stopIfTrue="1" operator="equal">
      <formula>"Towel"</formula>
    </cfRule>
    <cfRule type="cellIs" dxfId="8186" priority="9812" stopIfTrue="1" operator="equal">
      <formula>"Napkin Hs"</formula>
    </cfRule>
  </conditionalFormatting>
  <conditionalFormatting sqref="C48">
    <cfRule type="cellIs" dxfId="8185" priority="9807" stopIfTrue="1" operator="equal">
      <formula>"Towel"</formula>
    </cfRule>
    <cfRule type="cellIs" dxfId="8184" priority="9808" stopIfTrue="1" operator="equal">
      <formula>"Napkin Hs"</formula>
    </cfRule>
  </conditionalFormatting>
  <conditionalFormatting sqref="C48">
    <cfRule type="cellIs" dxfId="8183" priority="9809" stopIfTrue="1" operator="equal">
      <formula>"Towel"</formula>
    </cfRule>
    <cfRule type="cellIs" dxfId="8182" priority="9810" stopIfTrue="1" operator="equal">
      <formula>"Napkin Hs"</formula>
    </cfRule>
  </conditionalFormatting>
  <conditionalFormatting sqref="C48">
    <cfRule type="cellIs" dxfId="8181" priority="9803" stopIfTrue="1" operator="equal">
      <formula>"Towel"</formula>
    </cfRule>
    <cfRule type="cellIs" dxfId="8180" priority="9804" stopIfTrue="1" operator="equal">
      <formula>"Napkin Hs"</formula>
    </cfRule>
  </conditionalFormatting>
  <conditionalFormatting sqref="C48">
    <cfRule type="cellIs" dxfId="8179" priority="9805" stopIfTrue="1" operator="equal">
      <formula>"Towel"</formula>
    </cfRule>
    <cfRule type="cellIs" dxfId="8178" priority="9806" stopIfTrue="1" operator="equal">
      <formula>"Napkin Hs"</formula>
    </cfRule>
  </conditionalFormatting>
  <conditionalFormatting sqref="C48">
    <cfRule type="cellIs" dxfId="8177" priority="9801" stopIfTrue="1" operator="equal">
      <formula>"Towel"</formula>
    </cfRule>
    <cfRule type="cellIs" dxfId="8176" priority="9802" stopIfTrue="1" operator="equal">
      <formula>"Napkin Hs"</formula>
    </cfRule>
  </conditionalFormatting>
  <conditionalFormatting sqref="C48">
    <cfRule type="cellIs" dxfId="8175" priority="9799" stopIfTrue="1" operator="equal">
      <formula>"Towel"</formula>
    </cfRule>
    <cfRule type="cellIs" dxfId="8174" priority="9800" stopIfTrue="1" operator="equal">
      <formula>"Napkin Hs"</formula>
    </cfRule>
  </conditionalFormatting>
  <conditionalFormatting sqref="C48">
    <cfRule type="cellIs" dxfId="8173" priority="9795" stopIfTrue="1" operator="equal">
      <formula>"Towel"</formula>
    </cfRule>
    <cfRule type="cellIs" dxfId="8172" priority="9796" stopIfTrue="1" operator="equal">
      <formula>"Napkin Hs"</formula>
    </cfRule>
  </conditionalFormatting>
  <conditionalFormatting sqref="C48">
    <cfRule type="cellIs" dxfId="8171" priority="9797" stopIfTrue="1" operator="equal">
      <formula>"Towel"</formula>
    </cfRule>
    <cfRule type="cellIs" dxfId="8170" priority="9798" stopIfTrue="1" operator="equal">
      <formula>"Napkin Hs"</formula>
    </cfRule>
  </conditionalFormatting>
  <conditionalFormatting sqref="B48">
    <cfRule type="cellIs" dxfId="8169" priority="9793" stopIfTrue="1" operator="equal">
      <formula>"Towel"</formula>
    </cfRule>
    <cfRule type="cellIs" dxfId="8168" priority="9794" stopIfTrue="1" operator="equal">
      <formula>"Napkin Hs"</formula>
    </cfRule>
  </conditionalFormatting>
  <conditionalFormatting sqref="B48">
    <cfRule type="cellIs" dxfId="8167" priority="9777" stopIfTrue="1" operator="equal">
      <formula>"Towel"</formula>
    </cfRule>
    <cfRule type="cellIs" dxfId="8166" priority="9778" stopIfTrue="1" operator="equal">
      <formula>"Napkin Hs"</formula>
    </cfRule>
  </conditionalFormatting>
  <conditionalFormatting sqref="B48">
    <cfRule type="cellIs" dxfId="8165" priority="9775" stopIfTrue="1" operator="equal">
      <formula>"Towel"</formula>
    </cfRule>
    <cfRule type="cellIs" dxfId="8164" priority="9776" stopIfTrue="1" operator="equal">
      <formula>"Napkin Hs"</formula>
    </cfRule>
  </conditionalFormatting>
  <conditionalFormatting sqref="B48">
    <cfRule type="cellIs" dxfId="8163" priority="9791" stopIfTrue="1" operator="equal">
      <formula>"Towel"</formula>
    </cfRule>
    <cfRule type="cellIs" dxfId="8162" priority="9792" stopIfTrue="1" operator="equal">
      <formula>"Napkin Hs"</formula>
    </cfRule>
  </conditionalFormatting>
  <conditionalFormatting sqref="B48">
    <cfRule type="cellIs" dxfId="8161" priority="9787" stopIfTrue="1" operator="equal">
      <formula>"Towel"</formula>
    </cfRule>
    <cfRule type="cellIs" dxfId="8160" priority="9788" stopIfTrue="1" operator="equal">
      <formula>"Napkin Hs"</formula>
    </cfRule>
  </conditionalFormatting>
  <conditionalFormatting sqref="B48">
    <cfRule type="cellIs" dxfId="8159" priority="9789" stopIfTrue="1" operator="equal">
      <formula>"Towel"</formula>
    </cfRule>
    <cfRule type="cellIs" dxfId="8158" priority="9790" stopIfTrue="1" operator="equal">
      <formula>"Napkin Hs"</formula>
    </cfRule>
  </conditionalFormatting>
  <conditionalFormatting sqref="B48">
    <cfRule type="cellIs" dxfId="8157" priority="9783" stopIfTrue="1" operator="equal">
      <formula>"Towel"</formula>
    </cfRule>
    <cfRule type="cellIs" dxfId="8156" priority="9784" stopIfTrue="1" operator="equal">
      <formula>"Napkin Hs"</formula>
    </cfRule>
  </conditionalFormatting>
  <conditionalFormatting sqref="B48">
    <cfRule type="cellIs" dxfId="8155" priority="9785" stopIfTrue="1" operator="equal">
      <formula>"Towel"</formula>
    </cfRule>
    <cfRule type="cellIs" dxfId="8154" priority="9786" stopIfTrue="1" operator="equal">
      <formula>"Napkin Hs"</formula>
    </cfRule>
  </conditionalFormatting>
  <conditionalFormatting sqref="B48">
    <cfRule type="cellIs" dxfId="8153" priority="9781" stopIfTrue="1" operator="equal">
      <formula>"Towel"</formula>
    </cfRule>
    <cfRule type="cellIs" dxfId="8152" priority="9782" stopIfTrue="1" operator="equal">
      <formula>"Napkin Hs"</formula>
    </cfRule>
  </conditionalFormatting>
  <conditionalFormatting sqref="B48">
    <cfRule type="cellIs" dxfId="8151" priority="9779" stopIfTrue="1" operator="equal">
      <formula>"Towel"</formula>
    </cfRule>
    <cfRule type="cellIs" dxfId="8150" priority="9780" stopIfTrue="1" operator="equal">
      <formula>"Napkin Hs"</formula>
    </cfRule>
  </conditionalFormatting>
  <conditionalFormatting sqref="B48">
    <cfRule type="cellIs" dxfId="8149" priority="9773" stopIfTrue="1" operator="equal">
      <formula>"Towel"</formula>
    </cfRule>
    <cfRule type="cellIs" dxfId="8148" priority="9774" stopIfTrue="1" operator="equal">
      <formula>"Napkin Hs"</formula>
    </cfRule>
  </conditionalFormatting>
  <conditionalFormatting sqref="B48">
    <cfRule type="cellIs" dxfId="8147" priority="9771" stopIfTrue="1" operator="equal">
      <formula>"Towel"</formula>
    </cfRule>
    <cfRule type="cellIs" dxfId="8146" priority="9772" stopIfTrue="1" operator="equal">
      <formula>"Napkin Hs"</formula>
    </cfRule>
  </conditionalFormatting>
  <conditionalFormatting sqref="B48">
    <cfRule type="cellIs" dxfId="8145" priority="9769" stopIfTrue="1" operator="equal">
      <formula>"Towel"</formula>
    </cfRule>
    <cfRule type="cellIs" dxfId="8144" priority="9770" stopIfTrue="1" operator="equal">
      <formula>"Napkin Hs"</formula>
    </cfRule>
  </conditionalFormatting>
  <conditionalFormatting sqref="B48">
    <cfRule type="cellIs" dxfId="8143" priority="9767" stopIfTrue="1" operator="equal">
      <formula>"Towel"</formula>
    </cfRule>
    <cfRule type="cellIs" dxfId="8142" priority="9768" stopIfTrue="1" operator="equal">
      <formula>"Napkin Hs"</formula>
    </cfRule>
  </conditionalFormatting>
  <conditionalFormatting sqref="C49">
    <cfRule type="cellIs" dxfId="8141" priority="9759" stopIfTrue="1" operator="equal">
      <formula>"Towel"</formula>
    </cfRule>
    <cfRule type="cellIs" dxfId="8140" priority="9760" stopIfTrue="1" operator="equal">
      <formula>"Napkin Hs"</formula>
    </cfRule>
  </conditionalFormatting>
  <conditionalFormatting sqref="C49">
    <cfRule type="cellIs" dxfId="8139" priority="9761" stopIfTrue="1" operator="equal">
      <formula>"Towel"</formula>
    </cfRule>
    <cfRule type="cellIs" dxfId="8138" priority="9762" stopIfTrue="1" operator="equal">
      <formula>"Napkin Hs"</formula>
    </cfRule>
  </conditionalFormatting>
  <conditionalFormatting sqref="C49">
    <cfRule type="cellIs" dxfId="8137" priority="9757" stopIfTrue="1" operator="equal">
      <formula>"Towel"</formula>
    </cfRule>
    <cfRule type="cellIs" dxfId="8136" priority="9758" stopIfTrue="1" operator="equal">
      <formula>"Napkin Hs"</formula>
    </cfRule>
  </conditionalFormatting>
  <conditionalFormatting sqref="C49">
    <cfRule type="cellIs" dxfId="8135" priority="9755" stopIfTrue="1" operator="equal">
      <formula>"Towel"</formula>
    </cfRule>
    <cfRule type="cellIs" dxfId="8134" priority="9756" stopIfTrue="1" operator="equal">
      <formula>"Napkin Hs"</formula>
    </cfRule>
  </conditionalFormatting>
  <conditionalFormatting sqref="C49">
    <cfRule type="cellIs" dxfId="8133" priority="9763" stopIfTrue="1" operator="equal">
      <formula>"Towel"</formula>
    </cfRule>
    <cfRule type="cellIs" dxfId="8132" priority="9764" stopIfTrue="1" operator="equal">
      <formula>"Napkin Hs"</formula>
    </cfRule>
  </conditionalFormatting>
  <conditionalFormatting sqref="C49">
    <cfRule type="cellIs" dxfId="8131" priority="9765" stopIfTrue="1" operator="equal">
      <formula>"Towel"</formula>
    </cfRule>
    <cfRule type="cellIs" dxfId="8130" priority="9766" stopIfTrue="1" operator="equal">
      <formula>"Napkin Hs"</formula>
    </cfRule>
  </conditionalFormatting>
  <conditionalFormatting sqref="C49">
    <cfRule type="cellIs" dxfId="8129" priority="9751" stopIfTrue="1" operator="equal">
      <formula>"Towel"</formula>
    </cfRule>
    <cfRule type="cellIs" dxfId="8128" priority="9752" stopIfTrue="1" operator="equal">
      <formula>"Napkin Hs"</formula>
    </cfRule>
  </conditionalFormatting>
  <conditionalFormatting sqref="C49">
    <cfRule type="cellIs" dxfId="8127" priority="9753" stopIfTrue="1" operator="equal">
      <formula>"Towel"</formula>
    </cfRule>
    <cfRule type="cellIs" dxfId="8126" priority="9754" stopIfTrue="1" operator="equal">
      <formula>"Napkin Hs"</formula>
    </cfRule>
  </conditionalFormatting>
  <conditionalFormatting sqref="C49">
    <cfRule type="cellIs" dxfId="8125" priority="9749" stopIfTrue="1" operator="equal">
      <formula>"Towel"</formula>
    </cfRule>
    <cfRule type="cellIs" dxfId="8124" priority="9750" stopIfTrue="1" operator="equal">
      <formula>"Napkin Hs"</formula>
    </cfRule>
  </conditionalFormatting>
  <conditionalFormatting sqref="C49">
    <cfRule type="cellIs" dxfId="8123" priority="9743" stopIfTrue="1" operator="equal">
      <formula>"Towel"</formula>
    </cfRule>
    <cfRule type="cellIs" dxfId="8122" priority="9744" stopIfTrue="1" operator="equal">
      <formula>"Napkin Hs"</formula>
    </cfRule>
  </conditionalFormatting>
  <conditionalFormatting sqref="C49">
    <cfRule type="cellIs" dxfId="8121" priority="9745" stopIfTrue="1" operator="equal">
      <formula>"Towel"</formula>
    </cfRule>
    <cfRule type="cellIs" dxfId="8120" priority="9746" stopIfTrue="1" operator="equal">
      <formula>"Napkin Hs"</formula>
    </cfRule>
  </conditionalFormatting>
  <conditionalFormatting sqref="C49">
    <cfRule type="cellIs" dxfId="8119" priority="9747" stopIfTrue="1" operator="equal">
      <formula>"Towel"</formula>
    </cfRule>
    <cfRule type="cellIs" dxfId="8118" priority="9748" stopIfTrue="1" operator="equal">
      <formula>"Napkin Hs"</formula>
    </cfRule>
  </conditionalFormatting>
  <conditionalFormatting sqref="C49">
    <cfRule type="cellIs" dxfId="8117" priority="9697" stopIfTrue="1" operator="equal">
      <formula>"Towel"</formula>
    </cfRule>
    <cfRule type="cellIs" dxfId="8116" priority="9698" stopIfTrue="1" operator="equal">
      <formula>"Napkin Hs"</formula>
    </cfRule>
  </conditionalFormatting>
  <conditionalFormatting sqref="C49">
    <cfRule type="cellIs" dxfId="8115" priority="9699" stopIfTrue="1" operator="equal">
      <formula>"Towel"</formula>
    </cfRule>
    <cfRule type="cellIs" dxfId="8114" priority="9700" stopIfTrue="1" operator="equal">
      <formula>"Napkin Hs"</formula>
    </cfRule>
  </conditionalFormatting>
  <conditionalFormatting sqref="C49">
    <cfRule type="cellIs" dxfId="8113" priority="9695" stopIfTrue="1" operator="equal">
      <formula>"Towel"</formula>
    </cfRule>
    <cfRule type="cellIs" dxfId="8112" priority="9696" stopIfTrue="1" operator="equal">
      <formula>"Napkin Hs"</formula>
    </cfRule>
  </conditionalFormatting>
  <conditionalFormatting sqref="C49">
    <cfRule type="cellIs" dxfId="8111" priority="9693" stopIfTrue="1" operator="equal">
      <formula>"Towel"</formula>
    </cfRule>
    <cfRule type="cellIs" dxfId="8110" priority="9694" stopIfTrue="1" operator="equal">
      <formula>"Napkin Hs"</formula>
    </cfRule>
  </conditionalFormatting>
  <conditionalFormatting sqref="C49">
    <cfRule type="cellIs" dxfId="8109" priority="9689" stopIfTrue="1" operator="equal">
      <formula>"Towel"</formula>
    </cfRule>
    <cfRule type="cellIs" dxfId="8108" priority="9690" stopIfTrue="1" operator="equal">
      <formula>"Napkin Hs"</formula>
    </cfRule>
  </conditionalFormatting>
  <conditionalFormatting sqref="C49">
    <cfRule type="cellIs" dxfId="8107" priority="9691" stopIfTrue="1" operator="equal">
      <formula>"Towel"</formula>
    </cfRule>
    <cfRule type="cellIs" dxfId="8106" priority="9692" stopIfTrue="1" operator="equal">
      <formula>"Napkin Hs"</formula>
    </cfRule>
  </conditionalFormatting>
  <conditionalFormatting sqref="C49">
    <cfRule type="cellIs" dxfId="8105" priority="9741" stopIfTrue="1" operator="equal">
      <formula>"Towel"</formula>
    </cfRule>
    <cfRule type="cellIs" dxfId="8104" priority="9742" stopIfTrue="1" operator="equal">
      <formula>"Napkin Hs"</formula>
    </cfRule>
  </conditionalFormatting>
  <conditionalFormatting sqref="C49">
    <cfRule type="cellIs" dxfId="8103" priority="9737" stopIfTrue="1" operator="equal">
      <formula>"Towel"</formula>
    </cfRule>
    <cfRule type="cellIs" dxfId="8102" priority="9738" stopIfTrue="1" operator="equal">
      <formula>"Napkin Hs"</formula>
    </cfRule>
  </conditionalFormatting>
  <conditionalFormatting sqref="C49">
    <cfRule type="cellIs" dxfId="8101" priority="9740" stopIfTrue="1" operator="equal">
      <formula>"Napkin Hs"</formula>
    </cfRule>
  </conditionalFormatting>
  <conditionalFormatting sqref="C49">
    <cfRule type="cellIs" dxfId="8100" priority="9739" stopIfTrue="1" operator="equal">
      <formula>"Towel"</formula>
    </cfRule>
  </conditionalFormatting>
  <conditionalFormatting sqref="C49">
    <cfRule type="cellIs" dxfId="8099" priority="9731" stopIfTrue="1" operator="equal">
      <formula>"Towel"</formula>
    </cfRule>
    <cfRule type="cellIs" dxfId="8098" priority="9732" stopIfTrue="1" operator="equal">
      <formula>"Napkin Hs"</formula>
    </cfRule>
  </conditionalFormatting>
  <conditionalFormatting sqref="C49">
    <cfRule type="cellIs" dxfId="8097" priority="9735" stopIfTrue="1" operator="equal">
      <formula>"Towel"</formula>
    </cfRule>
    <cfRule type="cellIs" dxfId="8096" priority="9736" stopIfTrue="1" operator="equal">
      <formula>"Napkin Hs"</formula>
    </cfRule>
  </conditionalFormatting>
  <conditionalFormatting sqref="C49">
    <cfRule type="cellIs" dxfId="8095" priority="9733" stopIfTrue="1" operator="equal">
      <formula>"Towel"</formula>
    </cfRule>
    <cfRule type="cellIs" dxfId="8094" priority="9734" stopIfTrue="1" operator="equal">
      <formula>"Napkin Hs"</formula>
    </cfRule>
  </conditionalFormatting>
  <conditionalFormatting sqref="C49">
    <cfRule type="cellIs" dxfId="8093" priority="9725" stopIfTrue="1" operator="equal">
      <formula>"Towel"</formula>
    </cfRule>
    <cfRule type="cellIs" dxfId="8092" priority="9726" stopIfTrue="1" operator="equal">
      <formula>"Napkin Hs"</formula>
    </cfRule>
  </conditionalFormatting>
  <conditionalFormatting sqref="C49">
    <cfRule type="cellIs" dxfId="8091" priority="9727" stopIfTrue="1" operator="equal">
      <formula>"Towel"</formula>
    </cfRule>
    <cfRule type="cellIs" dxfId="8090" priority="9728" stopIfTrue="1" operator="equal">
      <formula>"Napkin Hs"</formula>
    </cfRule>
  </conditionalFormatting>
  <conditionalFormatting sqref="C49">
    <cfRule type="cellIs" dxfId="8089" priority="9729" stopIfTrue="1" operator="equal">
      <formula>"Towel"</formula>
    </cfRule>
    <cfRule type="cellIs" dxfId="8088" priority="9730" stopIfTrue="1" operator="equal">
      <formula>"Napkin Hs"</formula>
    </cfRule>
  </conditionalFormatting>
  <conditionalFormatting sqref="C49">
    <cfRule type="cellIs" dxfId="8087" priority="9719" stopIfTrue="1" operator="equal">
      <formula>"Towel"</formula>
    </cfRule>
    <cfRule type="cellIs" dxfId="8086" priority="9720" stopIfTrue="1" operator="equal">
      <formula>"Napkin Hs"</formula>
    </cfRule>
  </conditionalFormatting>
  <conditionalFormatting sqref="C49">
    <cfRule type="cellIs" dxfId="8085" priority="9723" stopIfTrue="1" operator="equal">
      <formula>"Towel"</formula>
    </cfRule>
    <cfRule type="cellIs" dxfId="8084" priority="9724" stopIfTrue="1" operator="equal">
      <formula>"Napkin Hs"</formula>
    </cfRule>
  </conditionalFormatting>
  <conditionalFormatting sqref="C49">
    <cfRule type="cellIs" dxfId="8083" priority="9721" stopIfTrue="1" operator="equal">
      <formula>"Towel"</formula>
    </cfRule>
    <cfRule type="cellIs" dxfId="8082" priority="9722" stopIfTrue="1" operator="equal">
      <formula>"Napkin Hs"</formula>
    </cfRule>
  </conditionalFormatting>
  <conditionalFormatting sqref="C49">
    <cfRule type="cellIs" dxfId="8081" priority="9713" stopIfTrue="1" operator="equal">
      <formula>"Towel"</formula>
    </cfRule>
    <cfRule type="cellIs" dxfId="8080" priority="9714" stopIfTrue="1" operator="equal">
      <formula>"Napkin Hs"</formula>
    </cfRule>
  </conditionalFormatting>
  <conditionalFormatting sqref="C49">
    <cfRule type="cellIs" dxfId="8079" priority="9715" stopIfTrue="1" operator="equal">
      <formula>"Towel"</formula>
    </cfRule>
    <cfRule type="cellIs" dxfId="8078" priority="9716" stopIfTrue="1" operator="equal">
      <formula>"Napkin Hs"</formula>
    </cfRule>
  </conditionalFormatting>
  <conditionalFormatting sqref="C49">
    <cfRule type="cellIs" dxfId="8077" priority="9717" stopIfTrue="1" operator="equal">
      <formula>"Towel"</formula>
    </cfRule>
    <cfRule type="cellIs" dxfId="8076" priority="9718" stopIfTrue="1" operator="equal">
      <formula>"Napkin Hs"</formula>
    </cfRule>
  </conditionalFormatting>
  <conditionalFormatting sqref="C49">
    <cfRule type="cellIs" dxfId="8075" priority="9711" stopIfTrue="1" operator="equal">
      <formula>"Towel"</formula>
    </cfRule>
    <cfRule type="cellIs" dxfId="8074" priority="9712" stopIfTrue="1" operator="equal">
      <formula>"Napkin Hs"</formula>
    </cfRule>
  </conditionalFormatting>
  <conditionalFormatting sqref="C49">
    <cfRule type="cellIs" dxfId="8073" priority="9707" stopIfTrue="1" operator="equal">
      <formula>"Towel"</formula>
    </cfRule>
    <cfRule type="cellIs" dxfId="8072" priority="9708" stopIfTrue="1" operator="equal">
      <formula>"Napkin Hs"</formula>
    </cfRule>
  </conditionalFormatting>
  <conditionalFormatting sqref="C49">
    <cfRule type="cellIs" dxfId="8071" priority="9709" stopIfTrue="1" operator="equal">
      <formula>"Towel"</formula>
    </cfRule>
    <cfRule type="cellIs" dxfId="8070" priority="9710" stopIfTrue="1" operator="equal">
      <formula>"Napkin Hs"</formula>
    </cfRule>
  </conditionalFormatting>
  <conditionalFormatting sqref="C49">
    <cfRule type="cellIs" dxfId="8069" priority="9705" stopIfTrue="1" operator="equal">
      <formula>"Towel"</formula>
    </cfRule>
    <cfRule type="cellIs" dxfId="8068" priority="9706" stopIfTrue="1" operator="equal">
      <formula>"Napkin Hs"</formula>
    </cfRule>
  </conditionalFormatting>
  <conditionalFormatting sqref="C49">
    <cfRule type="cellIs" dxfId="8067" priority="9703" stopIfTrue="1" operator="equal">
      <formula>"Towel"</formula>
    </cfRule>
    <cfRule type="cellIs" dxfId="8066" priority="9704" stopIfTrue="1" operator="equal">
      <formula>"Napkin Hs"</formula>
    </cfRule>
  </conditionalFormatting>
  <conditionalFormatting sqref="C49">
    <cfRule type="cellIs" dxfId="8065" priority="9701" stopIfTrue="1" operator="equal">
      <formula>"Towel"</formula>
    </cfRule>
    <cfRule type="cellIs" dxfId="8064" priority="9702" stopIfTrue="1" operator="equal">
      <formula>"Napkin Hs"</formula>
    </cfRule>
  </conditionalFormatting>
  <conditionalFormatting sqref="C49">
    <cfRule type="cellIs" dxfId="8063" priority="9685" stopIfTrue="1" operator="equal">
      <formula>"Towel"</formula>
    </cfRule>
    <cfRule type="cellIs" dxfId="8062" priority="9686" stopIfTrue="1" operator="equal">
      <formula>"Napkin Hs"</formula>
    </cfRule>
  </conditionalFormatting>
  <conditionalFormatting sqref="C49">
    <cfRule type="cellIs" dxfId="8061" priority="9687" stopIfTrue="1" operator="equal">
      <formula>"Towel"</formula>
    </cfRule>
    <cfRule type="cellIs" dxfId="8060" priority="9688" stopIfTrue="1" operator="equal">
      <formula>"Napkin Hs"</formula>
    </cfRule>
  </conditionalFormatting>
  <conditionalFormatting sqref="C49">
    <cfRule type="cellIs" dxfId="8059" priority="9683" stopIfTrue="1" operator="equal">
      <formula>"Towel"</formula>
    </cfRule>
    <cfRule type="cellIs" dxfId="8058" priority="9684" stopIfTrue="1" operator="equal">
      <formula>"Napkin Hs"</formula>
    </cfRule>
  </conditionalFormatting>
  <conditionalFormatting sqref="C49">
    <cfRule type="cellIs" dxfId="8057" priority="9681" stopIfTrue="1" operator="equal">
      <formula>"Towel"</formula>
    </cfRule>
    <cfRule type="cellIs" dxfId="8056" priority="9682" stopIfTrue="1" operator="equal">
      <formula>"Napkin Hs"</formula>
    </cfRule>
  </conditionalFormatting>
  <conditionalFormatting sqref="C49">
    <cfRule type="cellIs" dxfId="8055" priority="9677" stopIfTrue="1" operator="equal">
      <formula>"Towel"</formula>
    </cfRule>
    <cfRule type="cellIs" dxfId="8054" priority="9678" stopIfTrue="1" operator="equal">
      <formula>"Napkin Hs"</formula>
    </cfRule>
  </conditionalFormatting>
  <conditionalFormatting sqref="C49">
    <cfRule type="cellIs" dxfId="8053" priority="9679" stopIfTrue="1" operator="equal">
      <formula>"Towel"</formula>
    </cfRule>
    <cfRule type="cellIs" dxfId="8052" priority="9680" stopIfTrue="1" operator="equal">
      <formula>"Napkin Hs"</formula>
    </cfRule>
  </conditionalFormatting>
  <conditionalFormatting sqref="C49">
    <cfRule type="cellIs" dxfId="8051" priority="9673" stopIfTrue="1" operator="equal">
      <formula>"Towel"</formula>
    </cfRule>
    <cfRule type="cellIs" dxfId="8050" priority="9674" stopIfTrue="1" operator="equal">
      <formula>"Napkin Hs"</formula>
    </cfRule>
  </conditionalFormatting>
  <conditionalFormatting sqref="C49">
    <cfRule type="cellIs" dxfId="8049" priority="9675" stopIfTrue="1" operator="equal">
      <formula>"Towel"</formula>
    </cfRule>
    <cfRule type="cellIs" dxfId="8048" priority="9676" stopIfTrue="1" operator="equal">
      <formula>"Napkin Hs"</formula>
    </cfRule>
  </conditionalFormatting>
  <conditionalFormatting sqref="C49">
    <cfRule type="cellIs" dxfId="8047" priority="9671" stopIfTrue="1" operator="equal">
      <formula>"Towel"</formula>
    </cfRule>
    <cfRule type="cellIs" dxfId="8046" priority="9672" stopIfTrue="1" operator="equal">
      <formula>"Napkin Hs"</formula>
    </cfRule>
  </conditionalFormatting>
  <conditionalFormatting sqref="C49">
    <cfRule type="cellIs" dxfId="8045" priority="9669" stopIfTrue="1" operator="equal">
      <formula>"Towel"</formula>
    </cfRule>
    <cfRule type="cellIs" dxfId="8044" priority="9670" stopIfTrue="1" operator="equal">
      <formula>"Napkin Hs"</formula>
    </cfRule>
  </conditionalFormatting>
  <conditionalFormatting sqref="C49">
    <cfRule type="cellIs" dxfId="8043" priority="9665" stopIfTrue="1" operator="equal">
      <formula>"Towel"</formula>
    </cfRule>
    <cfRule type="cellIs" dxfId="8042" priority="9666" stopIfTrue="1" operator="equal">
      <formula>"Napkin Hs"</formula>
    </cfRule>
  </conditionalFormatting>
  <conditionalFormatting sqref="C49">
    <cfRule type="cellIs" dxfId="8041" priority="9667" stopIfTrue="1" operator="equal">
      <formula>"Towel"</formula>
    </cfRule>
    <cfRule type="cellIs" dxfId="8040" priority="9668" stopIfTrue="1" operator="equal">
      <formula>"Napkin Hs"</formula>
    </cfRule>
  </conditionalFormatting>
  <conditionalFormatting sqref="B49">
    <cfRule type="cellIs" dxfId="8039" priority="9663" stopIfTrue="1" operator="equal">
      <formula>"Towel"</formula>
    </cfRule>
    <cfRule type="cellIs" dxfId="8038" priority="9664" stopIfTrue="1" operator="equal">
      <formula>"Napkin Hs"</formula>
    </cfRule>
  </conditionalFormatting>
  <conditionalFormatting sqref="B49">
    <cfRule type="cellIs" dxfId="8037" priority="9647" stopIfTrue="1" operator="equal">
      <formula>"Towel"</formula>
    </cfRule>
    <cfRule type="cellIs" dxfId="8036" priority="9648" stopIfTrue="1" operator="equal">
      <formula>"Napkin Hs"</formula>
    </cfRule>
  </conditionalFormatting>
  <conditionalFormatting sqref="B49">
    <cfRule type="cellIs" dxfId="8035" priority="9645" stopIfTrue="1" operator="equal">
      <formula>"Towel"</formula>
    </cfRule>
    <cfRule type="cellIs" dxfId="8034" priority="9646" stopIfTrue="1" operator="equal">
      <formula>"Napkin Hs"</formula>
    </cfRule>
  </conditionalFormatting>
  <conditionalFormatting sqref="B49">
    <cfRule type="cellIs" dxfId="8033" priority="9661" stopIfTrue="1" operator="equal">
      <formula>"Towel"</formula>
    </cfRule>
    <cfRule type="cellIs" dxfId="8032" priority="9662" stopIfTrue="1" operator="equal">
      <formula>"Napkin Hs"</formula>
    </cfRule>
  </conditionalFormatting>
  <conditionalFormatting sqref="B49">
    <cfRule type="cellIs" dxfId="8031" priority="9657" stopIfTrue="1" operator="equal">
      <formula>"Towel"</formula>
    </cfRule>
    <cfRule type="cellIs" dxfId="8030" priority="9658" stopIfTrue="1" operator="equal">
      <formula>"Napkin Hs"</formula>
    </cfRule>
  </conditionalFormatting>
  <conditionalFormatting sqref="B49">
    <cfRule type="cellIs" dxfId="8029" priority="9659" stopIfTrue="1" operator="equal">
      <formula>"Towel"</formula>
    </cfRule>
    <cfRule type="cellIs" dxfId="8028" priority="9660" stopIfTrue="1" operator="equal">
      <formula>"Napkin Hs"</formula>
    </cfRule>
  </conditionalFormatting>
  <conditionalFormatting sqref="B49">
    <cfRule type="cellIs" dxfId="8027" priority="9653" stopIfTrue="1" operator="equal">
      <formula>"Towel"</formula>
    </cfRule>
    <cfRule type="cellIs" dxfId="8026" priority="9654" stopIfTrue="1" operator="equal">
      <formula>"Napkin Hs"</formula>
    </cfRule>
  </conditionalFormatting>
  <conditionalFormatting sqref="B49">
    <cfRule type="cellIs" dxfId="8025" priority="9655" stopIfTrue="1" operator="equal">
      <formula>"Towel"</formula>
    </cfRule>
    <cfRule type="cellIs" dxfId="8024" priority="9656" stopIfTrue="1" operator="equal">
      <formula>"Napkin Hs"</formula>
    </cfRule>
  </conditionalFormatting>
  <conditionalFormatting sqref="B49">
    <cfRule type="cellIs" dxfId="8023" priority="9651" stopIfTrue="1" operator="equal">
      <formula>"Towel"</formula>
    </cfRule>
    <cfRule type="cellIs" dxfId="8022" priority="9652" stopIfTrue="1" operator="equal">
      <formula>"Napkin Hs"</formula>
    </cfRule>
  </conditionalFormatting>
  <conditionalFormatting sqref="B49">
    <cfRule type="cellIs" dxfId="8021" priority="9649" stopIfTrue="1" operator="equal">
      <formula>"Towel"</formula>
    </cfRule>
    <cfRule type="cellIs" dxfId="8020" priority="9650" stopIfTrue="1" operator="equal">
      <formula>"Napkin Hs"</formula>
    </cfRule>
  </conditionalFormatting>
  <conditionalFormatting sqref="B49">
    <cfRule type="cellIs" dxfId="8019" priority="9643" stopIfTrue="1" operator="equal">
      <formula>"Towel"</formula>
    </cfRule>
    <cfRule type="cellIs" dxfId="8018" priority="9644" stopIfTrue="1" operator="equal">
      <formula>"Napkin Hs"</formula>
    </cfRule>
  </conditionalFormatting>
  <conditionalFormatting sqref="B49">
    <cfRule type="cellIs" dxfId="8017" priority="9641" stopIfTrue="1" operator="equal">
      <formula>"Towel"</formula>
    </cfRule>
    <cfRule type="cellIs" dxfId="8016" priority="9642" stopIfTrue="1" operator="equal">
      <formula>"Napkin Hs"</formula>
    </cfRule>
  </conditionalFormatting>
  <conditionalFormatting sqref="B49">
    <cfRule type="cellIs" dxfId="8015" priority="9639" stopIfTrue="1" operator="equal">
      <formula>"Towel"</formula>
    </cfRule>
    <cfRule type="cellIs" dxfId="8014" priority="9640" stopIfTrue="1" operator="equal">
      <formula>"Napkin Hs"</formula>
    </cfRule>
  </conditionalFormatting>
  <conditionalFormatting sqref="B49">
    <cfRule type="cellIs" dxfId="8013" priority="9637" stopIfTrue="1" operator="equal">
      <formula>"Towel"</formula>
    </cfRule>
    <cfRule type="cellIs" dxfId="8012" priority="9638" stopIfTrue="1" operator="equal">
      <formula>"Napkin Hs"</formula>
    </cfRule>
  </conditionalFormatting>
  <conditionalFormatting sqref="B56:C56">
    <cfRule type="cellIs" dxfId="8011" priority="9635" stopIfTrue="1" operator="equal">
      <formula>"Towel"</formula>
    </cfRule>
    <cfRule type="cellIs" dxfId="8010" priority="9636" stopIfTrue="1" operator="equal">
      <formula>"Napkin Hs"</formula>
    </cfRule>
  </conditionalFormatting>
  <conditionalFormatting sqref="C56">
    <cfRule type="cellIs" dxfId="8009" priority="9633" stopIfTrue="1" operator="equal">
      <formula>"Towel"</formula>
    </cfRule>
    <cfRule type="cellIs" dxfId="8008" priority="9634" stopIfTrue="1" operator="equal">
      <formula>"Napkin Hs"</formula>
    </cfRule>
  </conditionalFormatting>
  <conditionalFormatting sqref="C56">
    <cfRule type="cellIs" dxfId="8007" priority="9631" stopIfTrue="1" operator="equal">
      <formula>"Towel"</formula>
    </cfRule>
    <cfRule type="cellIs" dxfId="8006" priority="9632" stopIfTrue="1" operator="equal">
      <formula>"Napkin Hs"</formula>
    </cfRule>
  </conditionalFormatting>
  <conditionalFormatting sqref="C55">
    <cfRule type="cellIs" dxfId="8005" priority="9617" stopIfTrue="1" operator="equal">
      <formula>"Towel"</formula>
    </cfRule>
    <cfRule type="cellIs" dxfId="8004" priority="9618" stopIfTrue="1" operator="equal">
      <formula>"Napkin Hs"</formula>
    </cfRule>
  </conditionalFormatting>
  <conditionalFormatting sqref="C55">
    <cfRule type="cellIs" dxfId="8003" priority="9615" stopIfTrue="1" operator="equal">
      <formula>"Towel"</formula>
    </cfRule>
    <cfRule type="cellIs" dxfId="8002" priority="9616" stopIfTrue="1" operator="equal">
      <formula>"Napkin Hs"</formula>
    </cfRule>
  </conditionalFormatting>
  <conditionalFormatting sqref="C55">
    <cfRule type="cellIs" dxfId="8001" priority="9623" stopIfTrue="1" operator="equal">
      <formula>"Towel"</formula>
    </cfRule>
    <cfRule type="cellIs" dxfId="8000" priority="9624" stopIfTrue="1" operator="equal">
      <formula>"Napkin Hs"</formula>
    </cfRule>
  </conditionalFormatting>
  <conditionalFormatting sqref="B55:C55">
    <cfRule type="cellIs" dxfId="7999" priority="9625" stopIfTrue="1" operator="equal">
      <formula>"Towel"</formula>
    </cfRule>
    <cfRule type="cellIs" dxfId="7998" priority="9626" stopIfTrue="1" operator="equal">
      <formula>"Napkin Hs"</formula>
    </cfRule>
  </conditionalFormatting>
  <conditionalFormatting sqref="C55">
    <cfRule type="cellIs" dxfId="7997" priority="9621" stopIfTrue="1" operator="equal">
      <formula>"Towel"</formula>
    </cfRule>
    <cfRule type="cellIs" dxfId="7996" priority="9622" stopIfTrue="1" operator="equal">
      <formula>"Napkin Hs"</formula>
    </cfRule>
  </conditionalFormatting>
  <conditionalFormatting sqref="B55:C55">
    <cfRule type="cellIs" dxfId="7995" priority="9619" stopIfTrue="1" operator="equal">
      <formula>"Towel"</formula>
    </cfRule>
    <cfRule type="cellIs" dxfId="7994" priority="9620" stopIfTrue="1" operator="equal">
      <formula>"Napkin Hs"</formula>
    </cfRule>
  </conditionalFormatting>
  <conditionalFormatting sqref="C55">
    <cfRule type="cellIs" dxfId="7993" priority="9627" stopIfTrue="1" operator="equal">
      <formula>"Towel"</formula>
    </cfRule>
    <cfRule type="cellIs" dxfId="7992" priority="9628" stopIfTrue="1" operator="equal">
      <formula>"Napkin Hs"</formula>
    </cfRule>
  </conditionalFormatting>
  <conditionalFormatting sqref="C55">
    <cfRule type="cellIs" dxfId="7991" priority="9629" stopIfTrue="1" operator="equal">
      <formula>"Towel"</formula>
    </cfRule>
    <cfRule type="cellIs" dxfId="7990" priority="9630" stopIfTrue="1" operator="equal">
      <formula>"Napkin Hs"</formula>
    </cfRule>
  </conditionalFormatting>
  <conditionalFormatting sqref="C55">
    <cfRule type="cellIs" dxfId="7989" priority="9611" stopIfTrue="1" operator="equal">
      <formula>"Towel"</formula>
    </cfRule>
    <cfRule type="cellIs" dxfId="7988" priority="9612" stopIfTrue="1" operator="equal">
      <formula>"Napkin Hs"</formula>
    </cfRule>
  </conditionalFormatting>
  <conditionalFormatting sqref="B55:C55">
    <cfRule type="cellIs" dxfId="7987" priority="9613" stopIfTrue="1" operator="equal">
      <formula>"Towel"</formula>
    </cfRule>
    <cfRule type="cellIs" dxfId="7986" priority="9614" stopIfTrue="1" operator="equal">
      <formula>"Napkin Hs"</formula>
    </cfRule>
  </conditionalFormatting>
  <conditionalFormatting sqref="C55">
    <cfRule type="cellIs" dxfId="7985" priority="9609" stopIfTrue="1" operator="equal">
      <formula>"Towel"</formula>
    </cfRule>
    <cfRule type="cellIs" dxfId="7984" priority="9610" stopIfTrue="1" operator="equal">
      <formula>"Napkin Hs"</formula>
    </cfRule>
  </conditionalFormatting>
  <conditionalFormatting sqref="B55:C55">
    <cfRule type="cellIs" dxfId="7983" priority="9607" stopIfTrue="1" operator="equal">
      <formula>"Towel"</formula>
    </cfRule>
    <cfRule type="cellIs" dxfId="7982" priority="9608" stopIfTrue="1" operator="equal">
      <formula>"Napkin Hs"</formula>
    </cfRule>
  </conditionalFormatting>
  <conditionalFormatting sqref="C55">
    <cfRule type="cellIs" dxfId="7981" priority="9599" stopIfTrue="1" operator="equal">
      <formula>"Towel"</formula>
    </cfRule>
    <cfRule type="cellIs" dxfId="7980" priority="9600" stopIfTrue="1" operator="equal">
      <formula>"Napkin Hs"</formula>
    </cfRule>
  </conditionalFormatting>
  <conditionalFormatting sqref="C55">
    <cfRule type="cellIs" dxfId="7979" priority="9601" stopIfTrue="1" operator="equal">
      <formula>"Towel"</formula>
    </cfRule>
    <cfRule type="cellIs" dxfId="7978" priority="9602" stopIfTrue="1" operator="equal">
      <formula>"Napkin Hs"</formula>
    </cfRule>
  </conditionalFormatting>
  <conditionalFormatting sqref="C55">
    <cfRule type="cellIs" dxfId="7977" priority="9597" stopIfTrue="1" operator="equal">
      <formula>"Towel"</formula>
    </cfRule>
    <cfRule type="cellIs" dxfId="7976" priority="9598" stopIfTrue="1" operator="equal">
      <formula>"Napkin Hs"</formula>
    </cfRule>
  </conditionalFormatting>
  <conditionalFormatting sqref="C55">
    <cfRule type="cellIs" dxfId="7975" priority="9595" stopIfTrue="1" operator="equal">
      <formula>"Towel"</formula>
    </cfRule>
    <cfRule type="cellIs" dxfId="7974" priority="9596" stopIfTrue="1" operator="equal">
      <formula>"Napkin Hs"</formula>
    </cfRule>
  </conditionalFormatting>
  <conditionalFormatting sqref="C55">
    <cfRule type="cellIs" dxfId="7973" priority="9603" stopIfTrue="1" operator="equal">
      <formula>"Towel"</formula>
    </cfRule>
    <cfRule type="cellIs" dxfId="7972" priority="9604" stopIfTrue="1" operator="equal">
      <formula>"Napkin Hs"</formula>
    </cfRule>
  </conditionalFormatting>
  <conditionalFormatting sqref="C55">
    <cfRule type="cellIs" dxfId="7971" priority="9605" stopIfTrue="1" operator="equal">
      <formula>"Towel"</formula>
    </cfRule>
    <cfRule type="cellIs" dxfId="7970" priority="9606" stopIfTrue="1" operator="equal">
      <formula>"Napkin Hs"</formula>
    </cfRule>
  </conditionalFormatting>
  <conditionalFormatting sqref="C55">
    <cfRule type="cellIs" dxfId="7969" priority="9591" stopIfTrue="1" operator="equal">
      <formula>"Towel"</formula>
    </cfRule>
    <cfRule type="cellIs" dxfId="7968" priority="9592" stopIfTrue="1" operator="equal">
      <formula>"Napkin Hs"</formula>
    </cfRule>
  </conditionalFormatting>
  <conditionalFormatting sqref="C55">
    <cfRule type="cellIs" dxfId="7967" priority="9593" stopIfTrue="1" operator="equal">
      <formula>"Towel"</formula>
    </cfRule>
    <cfRule type="cellIs" dxfId="7966" priority="9594" stopIfTrue="1" operator="equal">
      <formula>"Napkin Hs"</formula>
    </cfRule>
  </conditionalFormatting>
  <conditionalFormatting sqref="C55">
    <cfRule type="cellIs" dxfId="7965" priority="9589" stopIfTrue="1" operator="equal">
      <formula>"Towel"</formula>
    </cfRule>
    <cfRule type="cellIs" dxfId="7964" priority="9590" stopIfTrue="1" operator="equal">
      <formula>"Napkin Hs"</formula>
    </cfRule>
  </conditionalFormatting>
  <conditionalFormatting sqref="C55">
    <cfRule type="cellIs" dxfId="7963" priority="9583" stopIfTrue="1" operator="equal">
      <formula>"Towel"</formula>
    </cfRule>
    <cfRule type="cellIs" dxfId="7962" priority="9584" stopIfTrue="1" operator="equal">
      <formula>"Napkin Hs"</formula>
    </cfRule>
  </conditionalFormatting>
  <conditionalFormatting sqref="C55">
    <cfRule type="cellIs" dxfId="7961" priority="9585" stopIfTrue="1" operator="equal">
      <formula>"Towel"</formula>
    </cfRule>
    <cfRule type="cellIs" dxfId="7960" priority="9586" stopIfTrue="1" operator="equal">
      <formula>"Napkin Hs"</formula>
    </cfRule>
  </conditionalFormatting>
  <conditionalFormatting sqref="C55">
    <cfRule type="cellIs" dxfId="7959" priority="9587" stopIfTrue="1" operator="equal">
      <formula>"Towel"</formula>
    </cfRule>
    <cfRule type="cellIs" dxfId="7958" priority="9588" stopIfTrue="1" operator="equal">
      <formula>"Napkin Hs"</formula>
    </cfRule>
  </conditionalFormatting>
  <conditionalFormatting sqref="C55">
    <cfRule type="cellIs" dxfId="7957" priority="9537" stopIfTrue="1" operator="equal">
      <formula>"Towel"</formula>
    </cfRule>
    <cfRule type="cellIs" dxfId="7956" priority="9538" stopIfTrue="1" operator="equal">
      <formula>"Napkin Hs"</formula>
    </cfRule>
  </conditionalFormatting>
  <conditionalFormatting sqref="C55">
    <cfRule type="cellIs" dxfId="7955" priority="9539" stopIfTrue="1" operator="equal">
      <formula>"Towel"</formula>
    </cfRule>
    <cfRule type="cellIs" dxfId="7954" priority="9540" stopIfTrue="1" operator="equal">
      <formula>"Napkin Hs"</formula>
    </cfRule>
  </conditionalFormatting>
  <conditionalFormatting sqref="C55">
    <cfRule type="cellIs" dxfId="7953" priority="9535" stopIfTrue="1" operator="equal">
      <formula>"Towel"</formula>
    </cfRule>
    <cfRule type="cellIs" dxfId="7952" priority="9536" stopIfTrue="1" operator="equal">
      <formula>"Napkin Hs"</formula>
    </cfRule>
  </conditionalFormatting>
  <conditionalFormatting sqref="C55">
    <cfRule type="cellIs" dxfId="7951" priority="9533" stopIfTrue="1" operator="equal">
      <formula>"Towel"</formula>
    </cfRule>
    <cfRule type="cellIs" dxfId="7950" priority="9534" stopIfTrue="1" operator="equal">
      <formula>"Napkin Hs"</formula>
    </cfRule>
  </conditionalFormatting>
  <conditionalFormatting sqref="C55">
    <cfRule type="cellIs" dxfId="7949" priority="9529" stopIfTrue="1" operator="equal">
      <formula>"Towel"</formula>
    </cfRule>
    <cfRule type="cellIs" dxfId="7948" priority="9530" stopIfTrue="1" operator="equal">
      <formula>"Napkin Hs"</formula>
    </cfRule>
  </conditionalFormatting>
  <conditionalFormatting sqref="C55">
    <cfRule type="cellIs" dxfId="7947" priority="9531" stopIfTrue="1" operator="equal">
      <formula>"Towel"</formula>
    </cfRule>
    <cfRule type="cellIs" dxfId="7946" priority="9532" stopIfTrue="1" operator="equal">
      <formula>"Napkin Hs"</formula>
    </cfRule>
  </conditionalFormatting>
  <conditionalFormatting sqref="C55">
    <cfRule type="cellIs" dxfId="7945" priority="9581" stopIfTrue="1" operator="equal">
      <formula>"Towel"</formula>
    </cfRule>
    <cfRule type="cellIs" dxfId="7944" priority="9582" stopIfTrue="1" operator="equal">
      <formula>"Napkin Hs"</formula>
    </cfRule>
  </conditionalFormatting>
  <conditionalFormatting sqref="C55">
    <cfRule type="cellIs" dxfId="7943" priority="9577" stopIfTrue="1" operator="equal">
      <formula>"Towel"</formula>
    </cfRule>
    <cfRule type="cellIs" dxfId="7942" priority="9578" stopIfTrue="1" operator="equal">
      <formula>"Napkin Hs"</formula>
    </cfRule>
  </conditionalFormatting>
  <conditionalFormatting sqref="C55">
    <cfRule type="cellIs" dxfId="7941" priority="9580" stopIfTrue="1" operator="equal">
      <formula>"Napkin Hs"</formula>
    </cfRule>
  </conditionalFormatting>
  <conditionalFormatting sqref="C55">
    <cfRule type="cellIs" dxfId="7940" priority="9579" stopIfTrue="1" operator="equal">
      <formula>"Towel"</formula>
    </cfRule>
  </conditionalFormatting>
  <conditionalFormatting sqref="C55">
    <cfRule type="cellIs" dxfId="7939" priority="9571" stopIfTrue="1" operator="equal">
      <formula>"Towel"</formula>
    </cfRule>
    <cfRule type="cellIs" dxfId="7938" priority="9572" stopIfTrue="1" operator="equal">
      <formula>"Napkin Hs"</formula>
    </cfRule>
  </conditionalFormatting>
  <conditionalFormatting sqref="C55">
    <cfRule type="cellIs" dxfId="7937" priority="9575" stopIfTrue="1" operator="equal">
      <formula>"Towel"</formula>
    </cfRule>
    <cfRule type="cellIs" dxfId="7936" priority="9576" stopIfTrue="1" operator="equal">
      <formula>"Napkin Hs"</formula>
    </cfRule>
  </conditionalFormatting>
  <conditionalFormatting sqref="C55">
    <cfRule type="cellIs" dxfId="7935" priority="9573" stopIfTrue="1" operator="equal">
      <formula>"Towel"</formula>
    </cfRule>
    <cfRule type="cellIs" dxfId="7934" priority="9574" stopIfTrue="1" operator="equal">
      <formula>"Napkin Hs"</formula>
    </cfRule>
  </conditionalFormatting>
  <conditionalFormatting sqref="C55">
    <cfRule type="cellIs" dxfId="7933" priority="9565" stopIfTrue="1" operator="equal">
      <formula>"Towel"</formula>
    </cfRule>
    <cfRule type="cellIs" dxfId="7932" priority="9566" stopIfTrue="1" operator="equal">
      <formula>"Napkin Hs"</formula>
    </cfRule>
  </conditionalFormatting>
  <conditionalFormatting sqref="C55">
    <cfRule type="cellIs" dxfId="7931" priority="9567" stopIfTrue="1" operator="equal">
      <formula>"Towel"</formula>
    </cfRule>
    <cfRule type="cellIs" dxfId="7930" priority="9568" stopIfTrue="1" operator="equal">
      <formula>"Napkin Hs"</formula>
    </cfRule>
  </conditionalFormatting>
  <conditionalFormatting sqref="C55">
    <cfRule type="cellIs" dxfId="7929" priority="9569" stopIfTrue="1" operator="equal">
      <formula>"Towel"</formula>
    </cfRule>
    <cfRule type="cellIs" dxfId="7928" priority="9570" stopIfTrue="1" operator="equal">
      <formula>"Napkin Hs"</formula>
    </cfRule>
  </conditionalFormatting>
  <conditionalFormatting sqref="C55">
    <cfRule type="cellIs" dxfId="7927" priority="9559" stopIfTrue="1" operator="equal">
      <formula>"Towel"</formula>
    </cfRule>
    <cfRule type="cellIs" dxfId="7926" priority="9560" stopIfTrue="1" operator="equal">
      <formula>"Napkin Hs"</formula>
    </cfRule>
  </conditionalFormatting>
  <conditionalFormatting sqref="C55">
    <cfRule type="cellIs" dxfId="7925" priority="9563" stopIfTrue="1" operator="equal">
      <formula>"Towel"</formula>
    </cfRule>
    <cfRule type="cellIs" dxfId="7924" priority="9564" stopIfTrue="1" operator="equal">
      <formula>"Napkin Hs"</formula>
    </cfRule>
  </conditionalFormatting>
  <conditionalFormatting sqref="C55">
    <cfRule type="cellIs" dxfId="7923" priority="9561" stopIfTrue="1" operator="equal">
      <formula>"Towel"</formula>
    </cfRule>
    <cfRule type="cellIs" dxfId="7922" priority="9562" stopIfTrue="1" operator="equal">
      <formula>"Napkin Hs"</formula>
    </cfRule>
  </conditionalFormatting>
  <conditionalFormatting sqref="C55">
    <cfRule type="cellIs" dxfId="7921" priority="9553" stopIfTrue="1" operator="equal">
      <formula>"Towel"</formula>
    </cfRule>
    <cfRule type="cellIs" dxfId="7920" priority="9554" stopIfTrue="1" operator="equal">
      <formula>"Napkin Hs"</formula>
    </cfRule>
  </conditionalFormatting>
  <conditionalFormatting sqref="C55">
    <cfRule type="cellIs" dxfId="7919" priority="9555" stopIfTrue="1" operator="equal">
      <formula>"Towel"</formula>
    </cfRule>
    <cfRule type="cellIs" dxfId="7918" priority="9556" stopIfTrue="1" operator="equal">
      <formula>"Napkin Hs"</formula>
    </cfRule>
  </conditionalFormatting>
  <conditionalFormatting sqref="C55">
    <cfRule type="cellIs" dxfId="7917" priority="9557" stopIfTrue="1" operator="equal">
      <formula>"Towel"</formula>
    </cfRule>
    <cfRule type="cellIs" dxfId="7916" priority="9558" stopIfTrue="1" operator="equal">
      <formula>"Napkin Hs"</formula>
    </cfRule>
  </conditionalFormatting>
  <conditionalFormatting sqref="C55">
    <cfRule type="cellIs" dxfId="7915" priority="9551" stopIfTrue="1" operator="equal">
      <formula>"Towel"</formula>
    </cfRule>
    <cfRule type="cellIs" dxfId="7914" priority="9552" stopIfTrue="1" operator="equal">
      <formula>"Napkin Hs"</formula>
    </cfRule>
  </conditionalFormatting>
  <conditionalFormatting sqref="C55">
    <cfRule type="cellIs" dxfId="7913" priority="9547" stopIfTrue="1" operator="equal">
      <formula>"Towel"</formula>
    </cfRule>
    <cfRule type="cellIs" dxfId="7912" priority="9548" stopIfTrue="1" operator="equal">
      <formula>"Napkin Hs"</formula>
    </cfRule>
  </conditionalFormatting>
  <conditionalFormatting sqref="C55">
    <cfRule type="cellIs" dxfId="7911" priority="9549" stopIfTrue="1" operator="equal">
      <formula>"Towel"</formula>
    </cfRule>
    <cfRule type="cellIs" dxfId="7910" priority="9550" stopIfTrue="1" operator="equal">
      <formula>"Napkin Hs"</formula>
    </cfRule>
  </conditionalFormatting>
  <conditionalFormatting sqref="C55">
    <cfRule type="cellIs" dxfId="7909" priority="9545" stopIfTrue="1" operator="equal">
      <formula>"Towel"</formula>
    </cfRule>
    <cfRule type="cellIs" dxfId="7908" priority="9546" stopIfTrue="1" operator="equal">
      <formula>"Napkin Hs"</formula>
    </cfRule>
  </conditionalFormatting>
  <conditionalFormatting sqref="C55">
    <cfRule type="cellIs" dxfId="7907" priority="9543" stopIfTrue="1" operator="equal">
      <formula>"Towel"</formula>
    </cfRule>
    <cfRule type="cellIs" dxfId="7906" priority="9544" stopIfTrue="1" operator="equal">
      <formula>"Napkin Hs"</formula>
    </cfRule>
  </conditionalFormatting>
  <conditionalFormatting sqref="C55">
    <cfRule type="cellIs" dxfId="7905" priority="9541" stopIfTrue="1" operator="equal">
      <formula>"Towel"</formula>
    </cfRule>
    <cfRule type="cellIs" dxfId="7904" priority="9542" stopIfTrue="1" operator="equal">
      <formula>"Napkin Hs"</formula>
    </cfRule>
  </conditionalFormatting>
  <conditionalFormatting sqref="C55">
    <cfRule type="cellIs" dxfId="7903" priority="9525" stopIfTrue="1" operator="equal">
      <formula>"Towel"</formula>
    </cfRule>
    <cfRule type="cellIs" dxfId="7902" priority="9526" stopIfTrue="1" operator="equal">
      <formula>"Napkin Hs"</formula>
    </cfRule>
  </conditionalFormatting>
  <conditionalFormatting sqref="C55">
    <cfRule type="cellIs" dxfId="7901" priority="9527" stopIfTrue="1" operator="equal">
      <formula>"Towel"</formula>
    </cfRule>
    <cfRule type="cellIs" dxfId="7900" priority="9528" stopIfTrue="1" operator="equal">
      <formula>"Napkin Hs"</formula>
    </cfRule>
  </conditionalFormatting>
  <conditionalFormatting sqref="C55">
    <cfRule type="cellIs" dxfId="7899" priority="9523" stopIfTrue="1" operator="equal">
      <formula>"Towel"</formula>
    </cfRule>
    <cfRule type="cellIs" dxfId="7898" priority="9524" stopIfTrue="1" operator="equal">
      <formula>"Napkin Hs"</formula>
    </cfRule>
  </conditionalFormatting>
  <conditionalFormatting sqref="C55">
    <cfRule type="cellIs" dxfId="7897" priority="9521" stopIfTrue="1" operator="equal">
      <formula>"Towel"</formula>
    </cfRule>
    <cfRule type="cellIs" dxfId="7896" priority="9522" stopIfTrue="1" operator="equal">
      <formula>"Napkin Hs"</formula>
    </cfRule>
  </conditionalFormatting>
  <conditionalFormatting sqref="C55">
    <cfRule type="cellIs" dxfId="7895" priority="9517" stopIfTrue="1" operator="equal">
      <formula>"Towel"</formula>
    </cfRule>
    <cfRule type="cellIs" dxfId="7894" priority="9518" stopIfTrue="1" operator="equal">
      <formula>"Napkin Hs"</formula>
    </cfRule>
  </conditionalFormatting>
  <conditionalFormatting sqref="C55">
    <cfRule type="cellIs" dxfId="7893" priority="9519" stopIfTrue="1" operator="equal">
      <formula>"Towel"</formula>
    </cfRule>
    <cfRule type="cellIs" dxfId="7892" priority="9520" stopIfTrue="1" operator="equal">
      <formula>"Napkin Hs"</formula>
    </cfRule>
  </conditionalFormatting>
  <conditionalFormatting sqref="C55">
    <cfRule type="cellIs" dxfId="7891" priority="9513" stopIfTrue="1" operator="equal">
      <formula>"Towel"</formula>
    </cfRule>
    <cfRule type="cellIs" dxfId="7890" priority="9514" stopIfTrue="1" operator="equal">
      <formula>"Napkin Hs"</formula>
    </cfRule>
  </conditionalFormatting>
  <conditionalFormatting sqref="C55">
    <cfRule type="cellIs" dxfId="7889" priority="9515" stopIfTrue="1" operator="equal">
      <formula>"Towel"</formula>
    </cfRule>
    <cfRule type="cellIs" dxfId="7888" priority="9516" stopIfTrue="1" operator="equal">
      <formula>"Napkin Hs"</formula>
    </cfRule>
  </conditionalFormatting>
  <conditionalFormatting sqref="C55">
    <cfRule type="cellIs" dxfId="7887" priority="9511" stopIfTrue="1" operator="equal">
      <formula>"Towel"</formula>
    </cfRule>
    <cfRule type="cellIs" dxfId="7886" priority="9512" stopIfTrue="1" operator="equal">
      <formula>"Napkin Hs"</formula>
    </cfRule>
  </conditionalFormatting>
  <conditionalFormatting sqref="C55">
    <cfRule type="cellIs" dxfId="7885" priority="9509" stopIfTrue="1" operator="equal">
      <formula>"Towel"</formula>
    </cfRule>
    <cfRule type="cellIs" dxfId="7884" priority="9510" stopIfTrue="1" operator="equal">
      <formula>"Napkin Hs"</formula>
    </cfRule>
  </conditionalFormatting>
  <conditionalFormatting sqref="C55">
    <cfRule type="cellIs" dxfId="7883" priority="9505" stopIfTrue="1" operator="equal">
      <formula>"Towel"</formula>
    </cfRule>
    <cfRule type="cellIs" dxfId="7882" priority="9506" stopIfTrue="1" operator="equal">
      <formula>"Napkin Hs"</formula>
    </cfRule>
  </conditionalFormatting>
  <conditionalFormatting sqref="C55">
    <cfRule type="cellIs" dxfId="7881" priority="9507" stopIfTrue="1" operator="equal">
      <formula>"Towel"</formula>
    </cfRule>
    <cfRule type="cellIs" dxfId="7880" priority="9508" stopIfTrue="1" operator="equal">
      <formula>"Napkin Hs"</formula>
    </cfRule>
  </conditionalFormatting>
  <conditionalFormatting sqref="B55">
    <cfRule type="cellIs" dxfId="7879" priority="9503" stopIfTrue="1" operator="equal">
      <formula>"Towel"</formula>
    </cfRule>
    <cfRule type="cellIs" dxfId="7878" priority="9504" stopIfTrue="1" operator="equal">
      <formula>"Napkin Hs"</formula>
    </cfRule>
  </conditionalFormatting>
  <conditionalFormatting sqref="B55">
    <cfRule type="cellIs" dxfId="7877" priority="9487" stopIfTrue="1" operator="equal">
      <formula>"Towel"</formula>
    </cfRule>
    <cfRule type="cellIs" dxfId="7876" priority="9488" stopIfTrue="1" operator="equal">
      <formula>"Napkin Hs"</formula>
    </cfRule>
  </conditionalFormatting>
  <conditionalFormatting sqref="B55">
    <cfRule type="cellIs" dxfId="7875" priority="9485" stopIfTrue="1" operator="equal">
      <formula>"Towel"</formula>
    </cfRule>
    <cfRule type="cellIs" dxfId="7874" priority="9486" stopIfTrue="1" operator="equal">
      <formula>"Napkin Hs"</formula>
    </cfRule>
  </conditionalFormatting>
  <conditionalFormatting sqref="B55">
    <cfRule type="cellIs" dxfId="7873" priority="9501" stopIfTrue="1" operator="equal">
      <formula>"Towel"</formula>
    </cfRule>
    <cfRule type="cellIs" dxfId="7872" priority="9502" stopIfTrue="1" operator="equal">
      <formula>"Napkin Hs"</formula>
    </cfRule>
  </conditionalFormatting>
  <conditionalFormatting sqref="B55">
    <cfRule type="cellIs" dxfId="7871" priority="9497" stopIfTrue="1" operator="equal">
      <formula>"Towel"</formula>
    </cfRule>
    <cfRule type="cellIs" dxfId="7870" priority="9498" stopIfTrue="1" operator="equal">
      <formula>"Napkin Hs"</formula>
    </cfRule>
  </conditionalFormatting>
  <conditionalFormatting sqref="B55">
    <cfRule type="cellIs" dxfId="7869" priority="9499" stopIfTrue="1" operator="equal">
      <formula>"Towel"</formula>
    </cfRule>
    <cfRule type="cellIs" dxfId="7868" priority="9500" stopIfTrue="1" operator="equal">
      <formula>"Napkin Hs"</formula>
    </cfRule>
  </conditionalFormatting>
  <conditionalFormatting sqref="B55">
    <cfRule type="cellIs" dxfId="7867" priority="9493" stopIfTrue="1" operator="equal">
      <formula>"Towel"</formula>
    </cfRule>
    <cfRule type="cellIs" dxfId="7866" priority="9494" stopIfTrue="1" operator="equal">
      <formula>"Napkin Hs"</formula>
    </cfRule>
  </conditionalFormatting>
  <conditionalFormatting sqref="B55">
    <cfRule type="cellIs" dxfId="7865" priority="9495" stopIfTrue="1" operator="equal">
      <formula>"Towel"</formula>
    </cfRule>
    <cfRule type="cellIs" dxfId="7864" priority="9496" stopIfTrue="1" operator="equal">
      <formula>"Napkin Hs"</formula>
    </cfRule>
  </conditionalFormatting>
  <conditionalFormatting sqref="B55">
    <cfRule type="cellIs" dxfId="7863" priority="9491" stopIfTrue="1" operator="equal">
      <formula>"Towel"</formula>
    </cfRule>
    <cfRule type="cellIs" dxfId="7862" priority="9492" stopIfTrue="1" operator="equal">
      <formula>"Napkin Hs"</formula>
    </cfRule>
  </conditionalFormatting>
  <conditionalFormatting sqref="B55">
    <cfRule type="cellIs" dxfId="7861" priority="9489" stopIfTrue="1" operator="equal">
      <formula>"Towel"</formula>
    </cfRule>
    <cfRule type="cellIs" dxfId="7860" priority="9490" stopIfTrue="1" operator="equal">
      <formula>"Napkin Hs"</formula>
    </cfRule>
  </conditionalFormatting>
  <conditionalFormatting sqref="B55">
    <cfRule type="cellIs" dxfId="7859" priority="9483" stopIfTrue="1" operator="equal">
      <formula>"Towel"</formula>
    </cfRule>
    <cfRule type="cellIs" dxfId="7858" priority="9484" stopIfTrue="1" operator="equal">
      <formula>"Napkin Hs"</formula>
    </cfRule>
  </conditionalFormatting>
  <conditionalFormatting sqref="B55">
    <cfRule type="cellIs" dxfId="7857" priority="9481" stopIfTrue="1" operator="equal">
      <formula>"Towel"</formula>
    </cfRule>
    <cfRule type="cellIs" dxfId="7856" priority="9482" stopIfTrue="1" operator="equal">
      <formula>"Napkin Hs"</formula>
    </cfRule>
  </conditionalFormatting>
  <conditionalFormatting sqref="B55">
    <cfRule type="cellIs" dxfId="7855" priority="9479" stopIfTrue="1" operator="equal">
      <formula>"Towel"</formula>
    </cfRule>
    <cfRule type="cellIs" dxfId="7854" priority="9480" stopIfTrue="1" operator="equal">
      <formula>"Napkin Hs"</formula>
    </cfRule>
  </conditionalFormatting>
  <conditionalFormatting sqref="B55">
    <cfRule type="cellIs" dxfId="7853" priority="9477" stopIfTrue="1" operator="equal">
      <formula>"Towel"</formula>
    </cfRule>
    <cfRule type="cellIs" dxfId="7852" priority="9478" stopIfTrue="1" operator="equal">
      <formula>"Napkin Hs"</formula>
    </cfRule>
  </conditionalFormatting>
  <conditionalFormatting sqref="C54">
    <cfRule type="cellIs" dxfId="7851" priority="9469" stopIfTrue="1" operator="equal">
      <formula>"Towel"</formula>
    </cfRule>
    <cfRule type="cellIs" dxfId="7850" priority="9470" stopIfTrue="1" operator="equal">
      <formula>"Napkin Hs"</formula>
    </cfRule>
  </conditionalFormatting>
  <conditionalFormatting sqref="C54">
    <cfRule type="cellIs" dxfId="7849" priority="9471" stopIfTrue="1" operator="equal">
      <formula>"Towel"</formula>
    </cfRule>
    <cfRule type="cellIs" dxfId="7848" priority="9472" stopIfTrue="1" operator="equal">
      <formula>"Napkin Hs"</formula>
    </cfRule>
  </conditionalFormatting>
  <conditionalFormatting sqref="C54">
    <cfRule type="cellIs" dxfId="7847" priority="9467" stopIfTrue="1" operator="equal">
      <formula>"Towel"</formula>
    </cfRule>
    <cfRule type="cellIs" dxfId="7846" priority="9468" stopIfTrue="1" operator="equal">
      <formula>"Napkin Hs"</formula>
    </cfRule>
  </conditionalFormatting>
  <conditionalFormatting sqref="C54">
    <cfRule type="cellIs" dxfId="7845" priority="9465" stopIfTrue="1" operator="equal">
      <formula>"Towel"</formula>
    </cfRule>
    <cfRule type="cellIs" dxfId="7844" priority="9466" stopIfTrue="1" operator="equal">
      <formula>"Napkin Hs"</formula>
    </cfRule>
  </conditionalFormatting>
  <conditionalFormatting sqref="C54">
    <cfRule type="cellIs" dxfId="7843" priority="9473" stopIfTrue="1" operator="equal">
      <formula>"Towel"</formula>
    </cfRule>
    <cfRule type="cellIs" dxfId="7842" priority="9474" stopIfTrue="1" operator="equal">
      <formula>"Napkin Hs"</formula>
    </cfRule>
  </conditionalFormatting>
  <conditionalFormatting sqref="C54">
    <cfRule type="cellIs" dxfId="7841" priority="9475" stopIfTrue="1" operator="equal">
      <formula>"Towel"</formula>
    </cfRule>
    <cfRule type="cellIs" dxfId="7840" priority="9476" stopIfTrue="1" operator="equal">
      <formula>"Napkin Hs"</formula>
    </cfRule>
  </conditionalFormatting>
  <conditionalFormatting sqref="C54">
    <cfRule type="cellIs" dxfId="7839" priority="9461" stopIfTrue="1" operator="equal">
      <formula>"Towel"</formula>
    </cfRule>
    <cfRule type="cellIs" dxfId="7838" priority="9462" stopIfTrue="1" operator="equal">
      <formula>"Napkin Hs"</formula>
    </cfRule>
  </conditionalFormatting>
  <conditionalFormatting sqref="C54">
    <cfRule type="cellIs" dxfId="7837" priority="9463" stopIfTrue="1" operator="equal">
      <formula>"Towel"</formula>
    </cfRule>
    <cfRule type="cellIs" dxfId="7836" priority="9464" stopIfTrue="1" operator="equal">
      <formula>"Napkin Hs"</formula>
    </cfRule>
  </conditionalFormatting>
  <conditionalFormatting sqref="C54">
    <cfRule type="cellIs" dxfId="7835" priority="9459" stopIfTrue="1" operator="equal">
      <formula>"Towel"</formula>
    </cfRule>
    <cfRule type="cellIs" dxfId="7834" priority="9460" stopIfTrue="1" operator="equal">
      <formula>"Napkin Hs"</formula>
    </cfRule>
  </conditionalFormatting>
  <conditionalFormatting sqref="C54">
    <cfRule type="cellIs" dxfId="7833" priority="9453" stopIfTrue="1" operator="equal">
      <formula>"Towel"</formula>
    </cfRule>
    <cfRule type="cellIs" dxfId="7832" priority="9454" stopIfTrue="1" operator="equal">
      <formula>"Napkin Hs"</formula>
    </cfRule>
  </conditionalFormatting>
  <conditionalFormatting sqref="C54">
    <cfRule type="cellIs" dxfId="7831" priority="9455" stopIfTrue="1" operator="equal">
      <formula>"Towel"</formula>
    </cfRule>
    <cfRule type="cellIs" dxfId="7830" priority="9456" stopIfTrue="1" operator="equal">
      <formula>"Napkin Hs"</formula>
    </cfRule>
  </conditionalFormatting>
  <conditionalFormatting sqref="C54">
    <cfRule type="cellIs" dxfId="7829" priority="9457" stopIfTrue="1" operator="equal">
      <formula>"Towel"</formula>
    </cfRule>
    <cfRule type="cellIs" dxfId="7828" priority="9458" stopIfTrue="1" operator="equal">
      <formula>"Napkin Hs"</formula>
    </cfRule>
  </conditionalFormatting>
  <conditionalFormatting sqref="C54">
    <cfRule type="cellIs" dxfId="7827" priority="9407" stopIfTrue="1" operator="equal">
      <formula>"Towel"</formula>
    </cfRule>
    <cfRule type="cellIs" dxfId="7826" priority="9408" stopIfTrue="1" operator="equal">
      <formula>"Napkin Hs"</formula>
    </cfRule>
  </conditionalFormatting>
  <conditionalFormatting sqref="C54">
    <cfRule type="cellIs" dxfId="7825" priority="9409" stopIfTrue="1" operator="equal">
      <formula>"Towel"</formula>
    </cfRule>
    <cfRule type="cellIs" dxfId="7824" priority="9410" stopIfTrue="1" operator="equal">
      <formula>"Napkin Hs"</formula>
    </cfRule>
  </conditionalFormatting>
  <conditionalFormatting sqref="C54">
    <cfRule type="cellIs" dxfId="7823" priority="9405" stopIfTrue="1" operator="equal">
      <formula>"Towel"</formula>
    </cfRule>
    <cfRule type="cellIs" dxfId="7822" priority="9406" stopIfTrue="1" operator="equal">
      <formula>"Napkin Hs"</formula>
    </cfRule>
  </conditionalFormatting>
  <conditionalFormatting sqref="C54">
    <cfRule type="cellIs" dxfId="7821" priority="9403" stopIfTrue="1" operator="equal">
      <formula>"Towel"</formula>
    </cfRule>
    <cfRule type="cellIs" dxfId="7820" priority="9404" stopIfTrue="1" operator="equal">
      <formula>"Napkin Hs"</formula>
    </cfRule>
  </conditionalFormatting>
  <conditionalFormatting sqref="C54">
    <cfRule type="cellIs" dxfId="7819" priority="9399" stopIfTrue="1" operator="equal">
      <formula>"Towel"</formula>
    </cfRule>
    <cfRule type="cellIs" dxfId="7818" priority="9400" stopIfTrue="1" operator="equal">
      <formula>"Napkin Hs"</formula>
    </cfRule>
  </conditionalFormatting>
  <conditionalFormatting sqref="C54">
    <cfRule type="cellIs" dxfId="7817" priority="9401" stopIfTrue="1" operator="equal">
      <formula>"Towel"</formula>
    </cfRule>
    <cfRule type="cellIs" dxfId="7816" priority="9402" stopIfTrue="1" operator="equal">
      <formula>"Napkin Hs"</formula>
    </cfRule>
  </conditionalFormatting>
  <conditionalFormatting sqref="C54">
    <cfRule type="cellIs" dxfId="7815" priority="9451" stopIfTrue="1" operator="equal">
      <formula>"Towel"</formula>
    </cfRule>
    <cfRule type="cellIs" dxfId="7814" priority="9452" stopIfTrue="1" operator="equal">
      <formula>"Napkin Hs"</formula>
    </cfRule>
  </conditionalFormatting>
  <conditionalFormatting sqref="C54">
    <cfRule type="cellIs" dxfId="7813" priority="9447" stopIfTrue="1" operator="equal">
      <formula>"Towel"</formula>
    </cfRule>
    <cfRule type="cellIs" dxfId="7812" priority="9448" stopIfTrue="1" operator="equal">
      <formula>"Napkin Hs"</formula>
    </cfRule>
  </conditionalFormatting>
  <conditionalFormatting sqref="C54">
    <cfRule type="cellIs" dxfId="7811" priority="9450" stopIfTrue="1" operator="equal">
      <formula>"Napkin Hs"</formula>
    </cfRule>
  </conditionalFormatting>
  <conditionalFormatting sqref="C54">
    <cfRule type="cellIs" dxfId="7810" priority="9449" stopIfTrue="1" operator="equal">
      <formula>"Towel"</formula>
    </cfRule>
  </conditionalFormatting>
  <conditionalFormatting sqref="C54">
    <cfRule type="cellIs" dxfId="7809" priority="9441" stopIfTrue="1" operator="equal">
      <formula>"Towel"</formula>
    </cfRule>
    <cfRule type="cellIs" dxfId="7808" priority="9442" stopIfTrue="1" operator="equal">
      <formula>"Napkin Hs"</formula>
    </cfRule>
  </conditionalFormatting>
  <conditionalFormatting sqref="C54">
    <cfRule type="cellIs" dxfId="7807" priority="9445" stopIfTrue="1" operator="equal">
      <formula>"Towel"</formula>
    </cfRule>
    <cfRule type="cellIs" dxfId="7806" priority="9446" stopIfTrue="1" operator="equal">
      <formula>"Napkin Hs"</formula>
    </cfRule>
  </conditionalFormatting>
  <conditionalFormatting sqref="C54">
    <cfRule type="cellIs" dxfId="7805" priority="9443" stopIfTrue="1" operator="equal">
      <formula>"Towel"</formula>
    </cfRule>
    <cfRule type="cellIs" dxfId="7804" priority="9444" stopIfTrue="1" operator="equal">
      <formula>"Napkin Hs"</formula>
    </cfRule>
  </conditionalFormatting>
  <conditionalFormatting sqref="C54">
    <cfRule type="cellIs" dxfId="7803" priority="9435" stopIfTrue="1" operator="equal">
      <formula>"Towel"</formula>
    </cfRule>
    <cfRule type="cellIs" dxfId="7802" priority="9436" stopIfTrue="1" operator="equal">
      <formula>"Napkin Hs"</formula>
    </cfRule>
  </conditionalFormatting>
  <conditionalFormatting sqref="C54">
    <cfRule type="cellIs" dxfId="7801" priority="9437" stopIfTrue="1" operator="equal">
      <formula>"Towel"</formula>
    </cfRule>
    <cfRule type="cellIs" dxfId="7800" priority="9438" stopIfTrue="1" operator="equal">
      <formula>"Napkin Hs"</formula>
    </cfRule>
  </conditionalFormatting>
  <conditionalFormatting sqref="C54">
    <cfRule type="cellIs" dxfId="7799" priority="9439" stopIfTrue="1" operator="equal">
      <formula>"Towel"</formula>
    </cfRule>
    <cfRule type="cellIs" dxfId="7798" priority="9440" stopIfTrue="1" operator="equal">
      <formula>"Napkin Hs"</formula>
    </cfRule>
  </conditionalFormatting>
  <conditionalFormatting sqref="C54">
    <cfRule type="cellIs" dxfId="7797" priority="9429" stopIfTrue="1" operator="equal">
      <formula>"Towel"</formula>
    </cfRule>
    <cfRule type="cellIs" dxfId="7796" priority="9430" stopIfTrue="1" operator="equal">
      <formula>"Napkin Hs"</formula>
    </cfRule>
  </conditionalFormatting>
  <conditionalFormatting sqref="C54">
    <cfRule type="cellIs" dxfId="7795" priority="9433" stopIfTrue="1" operator="equal">
      <formula>"Towel"</formula>
    </cfRule>
    <cfRule type="cellIs" dxfId="7794" priority="9434" stopIfTrue="1" operator="equal">
      <formula>"Napkin Hs"</formula>
    </cfRule>
  </conditionalFormatting>
  <conditionalFormatting sqref="C54">
    <cfRule type="cellIs" dxfId="7793" priority="9431" stopIfTrue="1" operator="equal">
      <formula>"Towel"</formula>
    </cfRule>
    <cfRule type="cellIs" dxfId="7792" priority="9432" stopIfTrue="1" operator="equal">
      <formula>"Napkin Hs"</formula>
    </cfRule>
  </conditionalFormatting>
  <conditionalFormatting sqref="C54">
    <cfRule type="cellIs" dxfId="7791" priority="9423" stopIfTrue="1" operator="equal">
      <formula>"Towel"</formula>
    </cfRule>
    <cfRule type="cellIs" dxfId="7790" priority="9424" stopIfTrue="1" operator="equal">
      <formula>"Napkin Hs"</formula>
    </cfRule>
  </conditionalFormatting>
  <conditionalFormatting sqref="C54">
    <cfRule type="cellIs" dxfId="7789" priority="9425" stopIfTrue="1" operator="equal">
      <formula>"Towel"</formula>
    </cfRule>
    <cfRule type="cellIs" dxfId="7788" priority="9426" stopIfTrue="1" operator="equal">
      <formula>"Napkin Hs"</formula>
    </cfRule>
  </conditionalFormatting>
  <conditionalFormatting sqref="C54">
    <cfRule type="cellIs" dxfId="7787" priority="9427" stopIfTrue="1" operator="equal">
      <formula>"Towel"</formula>
    </cfRule>
    <cfRule type="cellIs" dxfId="7786" priority="9428" stopIfTrue="1" operator="equal">
      <formula>"Napkin Hs"</formula>
    </cfRule>
  </conditionalFormatting>
  <conditionalFormatting sqref="C54">
    <cfRule type="cellIs" dxfId="7785" priority="9421" stopIfTrue="1" operator="equal">
      <formula>"Towel"</formula>
    </cfRule>
    <cfRule type="cellIs" dxfId="7784" priority="9422" stopIfTrue="1" operator="equal">
      <formula>"Napkin Hs"</formula>
    </cfRule>
  </conditionalFormatting>
  <conditionalFormatting sqref="C54">
    <cfRule type="cellIs" dxfId="7783" priority="9417" stopIfTrue="1" operator="equal">
      <formula>"Towel"</formula>
    </cfRule>
    <cfRule type="cellIs" dxfId="7782" priority="9418" stopIfTrue="1" operator="equal">
      <formula>"Napkin Hs"</formula>
    </cfRule>
  </conditionalFormatting>
  <conditionalFormatting sqref="C54">
    <cfRule type="cellIs" dxfId="7781" priority="9419" stopIfTrue="1" operator="equal">
      <formula>"Towel"</formula>
    </cfRule>
    <cfRule type="cellIs" dxfId="7780" priority="9420" stopIfTrue="1" operator="equal">
      <formula>"Napkin Hs"</formula>
    </cfRule>
  </conditionalFormatting>
  <conditionalFormatting sqref="C54">
    <cfRule type="cellIs" dxfId="7779" priority="9415" stopIfTrue="1" operator="equal">
      <formula>"Towel"</formula>
    </cfRule>
    <cfRule type="cellIs" dxfId="7778" priority="9416" stopIfTrue="1" operator="equal">
      <formula>"Napkin Hs"</formula>
    </cfRule>
  </conditionalFormatting>
  <conditionalFormatting sqref="C54">
    <cfRule type="cellIs" dxfId="7777" priority="9413" stopIfTrue="1" operator="equal">
      <formula>"Towel"</formula>
    </cfRule>
    <cfRule type="cellIs" dxfId="7776" priority="9414" stopIfTrue="1" operator="equal">
      <formula>"Napkin Hs"</formula>
    </cfRule>
  </conditionalFormatting>
  <conditionalFormatting sqref="C54">
    <cfRule type="cellIs" dxfId="7775" priority="9411" stopIfTrue="1" operator="equal">
      <formula>"Towel"</formula>
    </cfRule>
    <cfRule type="cellIs" dxfId="7774" priority="9412" stopIfTrue="1" operator="equal">
      <formula>"Napkin Hs"</formula>
    </cfRule>
  </conditionalFormatting>
  <conditionalFormatting sqref="C54">
    <cfRule type="cellIs" dxfId="7773" priority="9395" stopIfTrue="1" operator="equal">
      <formula>"Towel"</formula>
    </cfRule>
    <cfRule type="cellIs" dxfId="7772" priority="9396" stopIfTrue="1" operator="equal">
      <formula>"Napkin Hs"</formula>
    </cfRule>
  </conditionalFormatting>
  <conditionalFormatting sqref="C54">
    <cfRule type="cellIs" dxfId="7771" priority="9397" stopIfTrue="1" operator="equal">
      <formula>"Towel"</formula>
    </cfRule>
    <cfRule type="cellIs" dxfId="7770" priority="9398" stopIfTrue="1" operator="equal">
      <formula>"Napkin Hs"</formula>
    </cfRule>
  </conditionalFormatting>
  <conditionalFormatting sqref="C54">
    <cfRule type="cellIs" dxfId="7769" priority="9393" stopIfTrue="1" operator="equal">
      <formula>"Towel"</formula>
    </cfRule>
    <cfRule type="cellIs" dxfId="7768" priority="9394" stopIfTrue="1" operator="equal">
      <formula>"Napkin Hs"</formula>
    </cfRule>
  </conditionalFormatting>
  <conditionalFormatting sqref="C54">
    <cfRule type="cellIs" dxfId="7767" priority="9391" stopIfTrue="1" operator="equal">
      <formula>"Towel"</formula>
    </cfRule>
    <cfRule type="cellIs" dxfId="7766" priority="9392" stopIfTrue="1" operator="equal">
      <formula>"Napkin Hs"</formula>
    </cfRule>
  </conditionalFormatting>
  <conditionalFormatting sqref="C54">
    <cfRule type="cellIs" dxfId="7765" priority="9387" stopIfTrue="1" operator="equal">
      <formula>"Towel"</formula>
    </cfRule>
    <cfRule type="cellIs" dxfId="7764" priority="9388" stopIfTrue="1" operator="equal">
      <formula>"Napkin Hs"</formula>
    </cfRule>
  </conditionalFormatting>
  <conditionalFormatting sqref="C54">
    <cfRule type="cellIs" dxfId="7763" priority="9389" stopIfTrue="1" operator="equal">
      <formula>"Towel"</formula>
    </cfRule>
    <cfRule type="cellIs" dxfId="7762" priority="9390" stopIfTrue="1" operator="equal">
      <formula>"Napkin Hs"</formula>
    </cfRule>
  </conditionalFormatting>
  <conditionalFormatting sqref="C54">
    <cfRule type="cellIs" dxfId="7761" priority="9383" stopIfTrue="1" operator="equal">
      <formula>"Towel"</formula>
    </cfRule>
    <cfRule type="cellIs" dxfId="7760" priority="9384" stopIfTrue="1" operator="equal">
      <formula>"Napkin Hs"</formula>
    </cfRule>
  </conditionalFormatting>
  <conditionalFormatting sqref="C54">
    <cfRule type="cellIs" dxfId="7759" priority="9385" stopIfTrue="1" operator="equal">
      <formula>"Towel"</formula>
    </cfRule>
    <cfRule type="cellIs" dxfId="7758" priority="9386" stopIfTrue="1" operator="equal">
      <formula>"Napkin Hs"</formula>
    </cfRule>
  </conditionalFormatting>
  <conditionalFormatting sqref="C54">
    <cfRule type="cellIs" dxfId="7757" priority="9381" stopIfTrue="1" operator="equal">
      <formula>"Towel"</formula>
    </cfRule>
    <cfRule type="cellIs" dxfId="7756" priority="9382" stopIfTrue="1" operator="equal">
      <formula>"Napkin Hs"</formula>
    </cfRule>
  </conditionalFormatting>
  <conditionalFormatting sqref="C54">
    <cfRule type="cellIs" dxfId="7755" priority="9379" stopIfTrue="1" operator="equal">
      <formula>"Towel"</formula>
    </cfRule>
    <cfRule type="cellIs" dxfId="7754" priority="9380" stopIfTrue="1" operator="equal">
      <formula>"Napkin Hs"</formula>
    </cfRule>
  </conditionalFormatting>
  <conditionalFormatting sqref="C54">
    <cfRule type="cellIs" dxfId="7753" priority="9375" stopIfTrue="1" operator="equal">
      <formula>"Towel"</formula>
    </cfRule>
    <cfRule type="cellIs" dxfId="7752" priority="9376" stopIfTrue="1" operator="equal">
      <formula>"Napkin Hs"</formula>
    </cfRule>
  </conditionalFormatting>
  <conditionalFormatting sqref="C54">
    <cfRule type="cellIs" dxfId="7751" priority="9377" stopIfTrue="1" operator="equal">
      <formula>"Towel"</formula>
    </cfRule>
    <cfRule type="cellIs" dxfId="7750" priority="9378" stopIfTrue="1" operator="equal">
      <formula>"Napkin Hs"</formula>
    </cfRule>
  </conditionalFormatting>
  <conditionalFormatting sqref="C52">
    <cfRule type="cellIs" dxfId="7749" priority="9367" stopIfTrue="1" operator="equal">
      <formula>"Towel"</formula>
    </cfRule>
    <cfRule type="cellIs" dxfId="7748" priority="9368" stopIfTrue="1" operator="equal">
      <formula>"Napkin Hs"</formula>
    </cfRule>
  </conditionalFormatting>
  <conditionalFormatting sqref="C52">
    <cfRule type="cellIs" dxfId="7747" priority="9369" stopIfTrue="1" operator="equal">
      <formula>"Towel"</formula>
    </cfRule>
    <cfRule type="cellIs" dxfId="7746" priority="9370" stopIfTrue="1" operator="equal">
      <formula>"Napkin Hs"</formula>
    </cfRule>
  </conditionalFormatting>
  <conditionalFormatting sqref="C52">
    <cfRule type="cellIs" dxfId="7745" priority="9365" stopIfTrue="1" operator="equal">
      <formula>"Towel"</formula>
    </cfRule>
    <cfRule type="cellIs" dxfId="7744" priority="9366" stopIfTrue="1" operator="equal">
      <formula>"Napkin Hs"</formula>
    </cfRule>
  </conditionalFormatting>
  <conditionalFormatting sqref="C52">
    <cfRule type="cellIs" dxfId="7743" priority="9363" stopIfTrue="1" operator="equal">
      <formula>"Towel"</formula>
    </cfRule>
    <cfRule type="cellIs" dxfId="7742" priority="9364" stopIfTrue="1" operator="equal">
      <formula>"Napkin Hs"</formula>
    </cfRule>
  </conditionalFormatting>
  <conditionalFormatting sqref="C52">
    <cfRule type="cellIs" dxfId="7741" priority="9371" stopIfTrue="1" operator="equal">
      <formula>"Towel"</formula>
    </cfRule>
    <cfRule type="cellIs" dxfId="7740" priority="9372" stopIfTrue="1" operator="equal">
      <formula>"Napkin Hs"</formula>
    </cfRule>
  </conditionalFormatting>
  <conditionalFormatting sqref="C52">
    <cfRule type="cellIs" dxfId="7739" priority="9373" stopIfTrue="1" operator="equal">
      <formula>"Towel"</formula>
    </cfRule>
    <cfRule type="cellIs" dxfId="7738" priority="9374" stopIfTrue="1" operator="equal">
      <formula>"Napkin Hs"</formula>
    </cfRule>
  </conditionalFormatting>
  <conditionalFormatting sqref="C52">
    <cfRule type="cellIs" dxfId="7737" priority="9359" stopIfTrue="1" operator="equal">
      <formula>"Towel"</formula>
    </cfRule>
    <cfRule type="cellIs" dxfId="7736" priority="9360" stopIfTrue="1" operator="equal">
      <formula>"Napkin Hs"</formula>
    </cfRule>
  </conditionalFormatting>
  <conditionalFormatting sqref="C52">
    <cfRule type="cellIs" dxfId="7735" priority="9361" stopIfTrue="1" operator="equal">
      <formula>"Towel"</formula>
    </cfRule>
    <cfRule type="cellIs" dxfId="7734" priority="9362" stopIfTrue="1" operator="equal">
      <formula>"Napkin Hs"</formula>
    </cfRule>
  </conditionalFormatting>
  <conditionalFormatting sqref="C52">
    <cfRule type="cellIs" dxfId="7733" priority="9357" stopIfTrue="1" operator="equal">
      <formula>"Towel"</formula>
    </cfRule>
    <cfRule type="cellIs" dxfId="7732" priority="9358" stopIfTrue="1" operator="equal">
      <formula>"Napkin Hs"</formula>
    </cfRule>
  </conditionalFormatting>
  <conditionalFormatting sqref="C52">
    <cfRule type="cellIs" dxfId="7731" priority="9351" stopIfTrue="1" operator="equal">
      <formula>"Towel"</formula>
    </cfRule>
    <cfRule type="cellIs" dxfId="7730" priority="9352" stopIfTrue="1" operator="equal">
      <formula>"Napkin Hs"</formula>
    </cfRule>
  </conditionalFormatting>
  <conditionalFormatting sqref="C52">
    <cfRule type="cellIs" dxfId="7729" priority="9353" stopIfTrue="1" operator="equal">
      <formula>"Towel"</formula>
    </cfRule>
    <cfRule type="cellIs" dxfId="7728" priority="9354" stopIfTrue="1" operator="equal">
      <formula>"Napkin Hs"</formula>
    </cfRule>
  </conditionalFormatting>
  <conditionalFormatting sqref="C52">
    <cfRule type="cellIs" dxfId="7727" priority="9355" stopIfTrue="1" operator="equal">
      <formula>"Towel"</formula>
    </cfRule>
    <cfRule type="cellIs" dxfId="7726" priority="9356" stopIfTrue="1" operator="equal">
      <formula>"Napkin Hs"</formula>
    </cfRule>
  </conditionalFormatting>
  <conditionalFormatting sqref="C52">
    <cfRule type="cellIs" dxfId="7725" priority="9305" stopIfTrue="1" operator="equal">
      <formula>"Towel"</formula>
    </cfRule>
    <cfRule type="cellIs" dxfId="7724" priority="9306" stopIfTrue="1" operator="equal">
      <formula>"Napkin Hs"</formula>
    </cfRule>
  </conditionalFormatting>
  <conditionalFormatting sqref="C52">
    <cfRule type="cellIs" dxfId="7723" priority="9307" stopIfTrue="1" operator="equal">
      <formula>"Towel"</formula>
    </cfRule>
    <cfRule type="cellIs" dxfId="7722" priority="9308" stopIfTrue="1" operator="equal">
      <formula>"Napkin Hs"</formula>
    </cfRule>
  </conditionalFormatting>
  <conditionalFormatting sqref="C52">
    <cfRule type="cellIs" dxfId="7721" priority="9303" stopIfTrue="1" operator="equal">
      <formula>"Towel"</formula>
    </cfRule>
    <cfRule type="cellIs" dxfId="7720" priority="9304" stopIfTrue="1" operator="equal">
      <formula>"Napkin Hs"</formula>
    </cfRule>
  </conditionalFormatting>
  <conditionalFormatting sqref="C52">
    <cfRule type="cellIs" dxfId="7719" priority="9301" stopIfTrue="1" operator="equal">
      <formula>"Towel"</formula>
    </cfRule>
    <cfRule type="cellIs" dxfId="7718" priority="9302" stopIfTrue="1" operator="equal">
      <formula>"Napkin Hs"</formula>
    </cfRule>
  </conditionalFormatting>
  <conditionalFormatting sqref="C52">
    <cfRule type="cellIs" dxfId="7717" priority="9297" stopIfTrue="1" operator="equal">
      <formula>"Towel"</formula>
    </cfRule>
    <cfRule type="cellIs" dxfId="7716" priority="9298" stopIfTrue="1" operator="equal">
      <formula>"Napkin Hs"</formula>
    </cfRule>
  </conditionalFormatting>
  <conditionalFormatting sqref="C52">
    <cfRule type="cellIs" dxfId="7715" priority="9299" stopIfTrue="1" operator="equal">
      <formula>"Towel"</formula>
    </cfRule>
    <cfRule type="cellIs" dxfId="7714" priority="9300" stopIfTrue="1" operator="equal">
      <formula>"Napkin Hs"</formula>
    </cfRule>
  </conditionalFormatting>
  <conditionalFormatting sqref="C52">
    <cfRule type="cellIs" dxfId="7713" priority="9349" stopIfTrue="1" operator="equal">
      <formula>"Towel"</formula>
    </cfRule>
    <cfRule type="cellIs" dxfId="7712" priority="9350" stopIfTrue="1" operator="equal">
      <formula>"Napkin Hs"</formula>
    </cfRule>
  </conditionalFormatting>
  <conditionalFormatting sqref="C52">
    <cfRule type="cellIs" dxfId="7711" priority="9345" stopIfTrue="1" operator="equal">
      <formula>"Towel"</formula>
    </cfRule>
    <cfRule type="cellIs" dxfId="7710" priority="9346" stopIfTrue="1" operator="equal">
      <formula>"Napkin Hs"</formula>
    </cfRule>
  </conditionalFormatting>
  <conditionalFormatting sqref="C52">
    <cfRule type="cellIs" dxfId="7709" priority="9348" stopIfTrue="1" operator="equal">
      <formula>"Napkin Hs"</formula>
    </cfRule>
  </conditionalFormatting>
  <conditionalFormatting sqref="C52">
    <cfRule type="cellIs" dxfId="7708" priority="9347" stopIfTrue="1" operator="equal">
      <formula>"Towel"</formula>
    </cfRule>
  </conditionalFormatting>
  <conditionalFormatting sqref="C52">
    <cfRule type="cellIs" dxfId="7707" priority="9339" stopIfTrue="1" operator="equal">
      <formula>"Towel"</formula>
    </cfRule>
    <cfRule type="cellIs" dxfId="7706" priority="9340" stopIfTrue="1" operator="equal">
      <formula>"Napkin Hs"</formula>
    </cfRule>
  </conditionalFormatting>
  <conditionalFormatting sqref="C52">
    <cfRule type="cellIs" dxfId="7705" priority="9343" stopIfTrue="1" operator="equal">
      <formula>"Towel"</formula>
    </cfRule>
    <cfRule type="cellIs" dxfId="7704" priority="9344" stopIfTrue="1" operator="equal">
      <formula>"Napkin Hs"</formula>
    </cfRule>
  </conditionalFormatting>
  <conditionalFormatting sqref="C52">
    <cfRule type="cellIs" dxfId="7703" priority="9341" stopIfTrue="1" operator="equal">
      <formula>"Towel"</formula>
    </cfRule>
    <cfRule type="cellIs" dxfId="7702" priority="9342" stopIfTrue="1" operator="equal">
      <formula>"Napkin Hs"</formula>
    </cfRule>
  </conditionalFormatting>
  <conditionalFormatting sqref="C52">
    <cfRule type="cellIs" dxfId="7701" priority="9333" stopIfTrue="1" operator="equal">
      <formula>"Towel"</formula>
    </cfRule>
    <cfRule type="cellIs" dxfId="7700" priority="9334" stopIfTrue="1" operator="equal">
      <formula>"Napkin Hs"</formula>
    </cfRule>
  </conditionalFormatting>
  <conditionalFormatting sqref="C52">
    <cfRule type="cellIs" dxfId="7699" priority="9335" stopIfTrue="1" operator="equal">
      <formula>"Towel"</formula>
    </cfRule>
    <cfRule type="cellIs" dxfId="7698" priority="9336" stopIfTrue="1" operator="equal">
      <formula>"Napkin Hs"</formula>
    </cfRule>
  </conditionalFormatting>
  <conditionalFormatting sqref="C52">
    <cfRule type="cellIs" dxfId="7697" priority="9337" stopIfTrue="1" operator="equal">
      <formula>"Towel"</formula>
    </cfRule>
    <cfRule type="cellIs" dxfId="7696" priority="9338" stopIfTrue="1" operator="equal">
      <formula>"Napkin Hs"</formula>
    </cfRule>
  </conditionalFormatting>
  <conditionalFormatting sqref="C52">
    <cfRule type="cellIs" dxfId="7695" priority="9327" stopIfTrue="1" operator="equal">
      <formula>"Towel"</formula>
    </cfRule>
    <cfRule type="cellIs" dxfId="7694" priority="9328" stopIfTrue="1" operator="equal">
      <formula>"Napkin Hs"</formula>
    </cfRule>
  </conditionalFormatting>
  <conditionalFormatting sqref="C52">
    <cfRule type="cellIs" dxfId="7693" priority="9331" stopIfTrue="1" operator="equal">
      <formula>"Towel"</formula>
    </cfRule>
    <cfRule type="cellIs" dxfId="7692" priority="9332" stopIfTrue="1" operator="equal">
      <formula>"Napkin Hs"</formula>
    </cfRule>
  </conditionalFormatting>
  <conditionalFormatting sqref="C52">
    <cfRule type="cellIs" dxfId="7691" priority="9329" stopIfTrue="1" operator="equal">
      <formula>"Towel"</formula>
    </cfRule>
    <cfRule type="cellIs" dxfId="7690" priority="9330" stopIfTrue="1" operator="equal">
      <formula>"Napkin Hs"</formula>
    </cfRule>
  </conditionalFormatting>
  <conditionalFormatting sqref="C52">
    <cfRule type="cellIs" dxfId="7689" priority="9321" stopIfTrue="1" operator="equal">
      <formula>"Towel"</formula>
    </cfRule>
    <cfRule type="cellIs" dxfId="7688" priority="9322" stopIfTrue="1" operator="equal">
      <formula>"Napkin Hs"</formula>
    </cfRule>
  </conditionalFormatting>
  <conditionalFormatting sqref="C52">
    <cfRule type="cellIs" dxfId="7687" priority="9323" stopIfTrue="1" operator="equal">
      <formula>"Towel"</formula>
    </cfRule>
    <cfRule type="cellIs" dxfId="7686" priority="9324" stopIfTrue="1" operator="equal">
      <formula>"Napkin Hs"</formula>
    </cfRule>
  </conditionalFormatting>
  <conditionalFormatting sqref="C52">
    <cfRule type="cellIs" dxfId="7685" priority="9325" stopIfTrue="1" operator="equal">
      <formula>"Towel"</formula>
    </cfRule>
    <cfRule type="cellIs" dxfId="7684" priority="9326" stopIfTrue="1" operator="equal">
      <formula>"Napkin Hs"</formula>
    </cfRule>
  </conditionalFormatting>
  <conditionalFormatting sqref="C52">
    <cfRule type="cellIs" dxfId="7683" priority="9319" stopIfTrue="1" operator="equal">
      <formula>"Towel"</formula>
    </cfRule>
    <cfRule type="cellIs" dxfId="7682" priority="9320" stopIfTrue="1" operator="equal">
      <formula>"Napkin Hs"</formula>
    </cfRule>
  </conditionalFormatting>
  <conditionalFormatting sqref="C52">
    <cfRule type="cellIs" dxfId="7681" priority="9315" stopIfTrue="1" operator="equal">
      <formula>"Towel"</formula>
    </cfRule>
    <cfRule type="cellIs" dxfId="7680" priority="9316" stopIfTrue="1" operator="equal">
      <formula>"Napkin Hs"</formula>
    </cfRule>
  </conditionalFormatting>
  <conditionalFormatting sqref="C52">
    <cfRule type="cellIs" dxfId="7679" priority="9317" stopIfTrue="1" operator="equal">
      <formula>"Towel"</formula>
    </cfRule>
    <cfRule type="cellIs" dxfId="7678" priority="9318" stopIfTrue="1" operator="equal">
      <formula>"Napkin Hs"</formula>
    </cfRule>
  </conditionalFormatting>
  <conditionalFormatting sqref="C52">
    <cfRule type="cellIs" dxfId="7677" priority="9313" stopIfTrue="1" operator="equal">
      <formula>"Towel"</formula>
    </cfRule>
    <cfRule type="cellIs" dxfId="7676" priority="9314" stopIfTrue="1" operator="equal">
      <formula>"Napkin Hs"</formula>
    </cfRule>
  </conditionalFormatting>
  <conditionalFormatting sqref="C52">
    <cfRule type="cellIs" dxfId="7675" priority="9311" stopIfTrue="1" operator="equal">
      <formula>"Towel"</formula>
    </cfRule>
    <cfRule type="cellIs" dxfId="7674" priority="9312" stopIfTrue="1" operator="equal">
      <formula>"Napkin Hs"</formula>
    </cfRule>
  </conditionalFormatting>
  <conditionalFormatting sqref="C52">
    <cfRule type="cellIs" dxfId="7673" priority="9309" stopIfTrue="1" operator="equal">
      <formula>"Towel"</formula>
    </cfRule>
    <cfRule type="cellIs" dxfId="7672" priority="9310" stopIfTrue="1" operator="equal">
      <formula>"Napkin Hs"</formula>
    </cfRule>
  </conditionalFormatting>
  <conditionalFormatting sqref="C52">
    <cfRule type="cellIs" dxfId="7671" priority="9293" stopIfTrue="1" operator="equal">
      <formula>"Towel"</formula>
    </cfRule>
    <cfRule type="cellIs" dxfId="7670" priority="9294" stopIfTrue="1" operator="equal">
      <formula>"Napkin Hs"</formula>
    </cfRule>
  </conditionalFormatting>
  <conditionalFormatting sqref="C52">
    <cfRule type="cellIs" dxfId="7669" priority="9295" stopIfTrue="1" operator="equal">
      <formula>"Towel"</formula>
    </cfRule>
    <cfRule type="cellIs" dxfId="7668" priority="9296" stopIfTrue="1" operator="equal">
      <formula>"Napkin Hs"</formula>
    </cfRule>
  </conditionalFormatting>
  <conditionalFormatting sqref="C52">
    <cfRule type="cellIs" dxfId="7667" priority="9291" stopIfTrue="1" operator="equal">
      <formula>"Towel"</formula>
    </cfRule>
    <cfRule type="cellIs" dxfId="7666" priority="9292" stopIfTrue="1" operator="equal">
      <formula>"Napkin Hs"</formula>
    </cfRule>
  </conditionalFormatting>
  <conditionalFormatting sqref="C52">
    <cfRule type="cellIs" dxfId="7665" priority="9289" stopIfTrue="1" operator="equal">
      <formula>"Towel"</formula>
    </cfRule>
    <cfRule type="cellIs" dxfId="7664" priority="9290" stopIfTrue="1" operator="equal">
      <formula>"Napkin Hs"</formula>
    </cfRule>
  </conditionalFormatting>
  <conditionalFormatting sqref="C52">
    <cfRule type="cellIs" dxfId="7663" priority="9285" stopIfTrue="1" operator="equal">
      <formula>"Towel"</formula>
    </cfRule>
    <cfRule type="cellIs" dxfId="7662" priority="9286" stopIfTrue="1" operator="equal">
      <formula>"Napkin Hs"</formula>
    </cfRule>
  </conditionalFormatting>
  <conditionalFormatting sqref="C52">
    <cfRule type="cellIs" dxfId="7661" priority="9287" stopIfTrue="1" operator="equal">
      <formula>"Towel"</formula>
    </cfRule>
    <cfRule type="cellIs" dxfId="7660" priority="9288" stopIfTrue="1" operator="equal">
      <formula>"Napkin Hs"</formula>
    </cfRule>
  </conditionalFormatting>
  <conditionalFormatting sqref="C52">
    <cfRule type="cellIs" dxfId="7659" priority="9281" stopIfTrue="1" operator="equal">
      <formula>"Towel"</formula>
    </cfRule>
    <cfRule type="cellIs" dxfId="7658" priority="9282" stopIfTrue="1" operator="equal">
      <formula>"Napkin Hs"</formula>
    </cfRule>
  </conditionalFormatting>
  <conditionalFormatting sqref="C52">
    <cfRule type="cellIs" dxfId="7657" priority="9283" stopIfTrue="1" operator="equal">
      <formula>"Towel"</formula>
    </cfRule>
    <cfRule type="cellIs" dxfId="7656" priority="9284" stopIfTrue="1" operator="equal">
      <formula>"Napkin Hs"</formula>
    </cfRule>
  </conditionalFormatting>
  <conditionalFormatting sqref="C52">
    <cfRule type="cellIs" dxfId="7655" priority="9279" stopIfTrue="1" operator="equal">
      <formula>"Towel"</formula>
    </cfRule>
    <cfRule type="cellIs" dxfId="7654" priority="9280" stopIfTrue="1" operator="equal">
      <formula>"Napkin Hs"</formula>
    </cfRule>
  </conditionalFormatting>
  <conditionalFormatting sqref="C52">
    <cfRule type="cellIs" dxfId="7653" priority="9277" stopIfTrue="1" operator="equal">
      <formula>"Towel"</formula>
    </cfRule>
    <cfRule type="cellIs" dxfId="7652" priority="9278" stopIfTrue="1" operator="equal">
      <formula>"Napkin Hs"</formula>
    </cfRule>
  </conditionalFormatting>
  <conditionalFormatting sqref="C52">
    <cfRule type="cellIs" dxfId="7651" priority="9273" stopIfTrue="1" operator="equal">
      <formula>"Towel"</formula>
    </cfRule>
    <cfRule type="cellIs" dxfId="7650" priority="9274" stopIfTrue="1" operator="equal">
      <formula>"Napkin Hs"</formula>
    </cfRule>
  </conditionalFormatting>
  <conditionalFormatting sqref="C52">
    <cfRule type="cellIs" dxfId="7649" priority="9275" stopIfTrue="1" operator="equal">
      <formula>"Towel"</formula>
    </cfRule>
    <cfRule type="cellIs" dxfId="7648" priority="9276" stopIfTrue="1" operator="equal">
      <formula>"Napkin Hs"</formula>
    </cfRule>
  </conditionalFormatting>
  <conditionalFormatting sqref="B52">
    <cfRule type="cellIs" dxfId="7647" priority="9271" stopIfTrue="1" operator="equal">
      <formula>"Towel"</formula>
    </cfRule>
    <cfRule type="cellIs" dxfId="7646" priority="9272" stopIfTrue="1" operator="equal">
      <formula>"Napkin Hs"</formula>
    </cfRule>
  </conditionalFormatting>
  <conditionalFormatting sqref="B52">
    <cfRule type="cellIs" dxfId="7645" priority="9255" stopIfTrue="1" operator="equal">
      <formula>"Towel"</formula>
    </cfRule>
    <cfRule type="cellIs" dxfId="7644" priority="9256" stopIfTrue="1" operator="equal">
      <formula>"Napkin Hs"</formula>
    </cfRule>
  </conditionalFormatting>
  <conditionalFormatting sqref="B52">
    <cfRule type="cellIs" dxfId="7643" priority="9253" stopIfTrue="1" operator="equal">
      <formula>"Towel"</formula>
    </cfRule>
    <cfRule type="cellIs" dxfId="7642" priority="9254" stopIfTrue="1" operator="equal">
      <formula>"Napkin Hs"</formula>
    </cfRule>
  </conditionalFormatting>
  <conditionalFormatting sqref="B52">
    <cfRule type="cellIs" dxfId="7641" priority="9269" stopIfTrue="1" operator="equal">
      <formula>"Towel"</formula>
    </cfRule>
    <cfRule type="cellIs" dxfId="7640" priority="9270" stopIfTrue="1" operator="equal">
      <formula>"Napkin Hs"</formula>
    </cfRule>
  </conditionalFormatting>
  <conditionalFormatting sqref="B52">
    <cfRule type="cellIs" dxfId="7639" priority="9265" stopIfTrue="1" operator="equal">
      <formula>"Towel"</formula>
    </cfRule>
    <cfRule type="cellIs" dxfId="7638" priority="9266" stopIfTrue="1" operator="equal">
      <formula>"Napkin Hs"</formula>
    </cfRule>
  </conditionalFormatting>
  <conditionalFormatting sqref="B52">
    <cfRule type="cellIs" dxfId="7637" priority="9267" stopIfTrue="1" operator="equal">
      <formula>"Towel"</formula>
    </cfRule>
    <cfRule type="cellIs" dxfId="7636" priority="9268" stopIfTrue="1" operator="equal">
      <formula>"Napkin Hs"</formula>
    </cfRule>
  </conditionalFormatting>
  <conditionalFormatting sqref="B52">
    <cfRule type="cellIs" dxfId="7635" priority="9261" stopIfTrue="1" operator="equal">
      <formula>"Towel"</formula>
    </cfRule>
    <cfRule type="cellIs" dxfId="7634" priority="9262" stopIfTrue="1" operator="equal">
      <formula>"Napkin Hs"</formula>
    </cfRule>
  </conditionalFormatting>
  <conditionalFormatting sqref="B52">
    <cfRule type="cellIs" dxfId="7633" priority="9263" stopIfTrue="1" operator="equal">
      <formula>"Towel"</formula>
    </cfRule>
    <cfRule type="cellIs" dxfId="7632" priority="9264" stopIfTrue="1" operator="equal">
      <formula>"Napkin Hs"</formula>
    </cfRule>
  </conditionalFormatting>
  <conditionalFormatting sqref="B52">
    <cfRule type="cellIs" dxfId="7631" priority="9259" stopIfTrue="1" operator="equal">
      <formula>"Towel"</formula>
    </cfRule>
    <cfRule type="cellIs" dxfId="7630" priority="9260" stopIfTrue="1" operator="equal">
      <formula>"Napkin Hs"</formula>
    </cfRule>
  </conditionalFormatting>
  <conditionalFormatting sqref="B52">
    <cfRule type="cellIs" dxfId="7629" priority="9257" stopIfTrue="1" operator="equal">
      <formula>"Towel"</formula>
    </cfRule>
    <cfRule type="cellIs" dxfId="7628" priority="9258" stopIfTrue="1" operator="equal">
      <formula>"Napkin Hs"</formula>
    </cfRule>
  </conditionalFormatting>
  <conditionalFormatting sqref="B52">
    <cfRule type="cellIs" dxfId="7627" priority="9251" stopIfTrue="1" operator="equal">
      <formula>"Towel"</formula>
    </cfRule>
    <cfRule type="cellIs" dxfId="7626" priority="9252" stopIfTrue="1" operator="equal">
      <formula>"Napkin Hs"</formula>
    </cfRule>
  </conditionalFormatting>
  <conditionalFormatting sqref="B52">
    <cfRule type="cellIs" dxfId="7625" priority="9249" stopIfTrue="1" operator="equal">
      <formula>"Towel"</formula>
    </cfRule>
    <cfRule type="cellIs" dxfId="7624" priority="9250" stopIfTrue="1" operator="equal">
      <formula>"Napkin Hs"</formula>
    </cfRule>
  </conditionalFormatting>
  <conditionalFormatting sqref="B52">
    <cfRule type="cellIs" dxfId="7623" priority="9247" stopIfTrue="1" operator="equal">
      <formula>"Towel"</formula>
    </cfRule>
    <cfRule type="cellIs" dxfId="7622" priority="9248" stopIfTrue="1" operator="equal">
      <formula>"Napkin Hs"</formula>
    </cfRule>
  </conditionalFormatting>
  <conditionalFormatting sqref="B52">
    <cfRule type="cellIs" dxfId="7621" priority="9245" stopIfTrue="1" operator="equal">
      <formula>"Towel"</formula>
    </cfRule>
    <cfRule type="cellIs" dxfId="7620" priority="9246" stopIfTrue="1" operator="equal">
      <formula>"Napkin Hs"</formula>
    </cfRule>
  </conditionalFormatting>
  <conditionalFormatting sqref="C53">
    <cfRule type="cellIs" dxfId="7619" priority="9237" stopIfTrue="1" operator="equal">
      <formula>"Towel"</formula>
    </cfRule>
    <cfRule type="cellIs" dxfId="7618" priority="9238" stopIfTrue="1" operator="equal">
      <formula>"Napkin Hs"</formula>
    </cfRule>
  </conditionalFormatting>
  <conditionalFormatting sqref="C53">
    <cfRule type="cellIs" dxfId="7617" priority="9239" stopIfTrue="1" operator="equal">
      <formula>"Towel"</formula>
    </cfRule>
    <cfRule type="cellIs" dxfId="7616" priority="9240" stopIfTrue="1" operator="equal">
      <formula>"Napkin Hs"</formula>
    </cfRule>
  </conditionalFormatting>
  <conditionalFormatting sqref="C53">
    <cfRule type="cellIs" dxfId="7615" priority="9235" stopIfTrue="1" operator="equal">
      <formula>"Towel"</formula>
    </cfRule>
    <cfRule type="cellIs" dxfId="7614" priority="9236" stopIfTrue="1" operator="equal">
      <formula>"Napkin Hs"</formula>
    </cfRule>
  </conditionalFormatting>
  <conditionalFormatting sqref="C53">
    <cfRule type="cellIs" dxfId="7613" priority="9233" stopIfTrue="1" operator="equal">
      <formula>"Towel"</formula>
    </cfRule>
    <cfRule type="cellIs" dxfId="7612" priority="9234" stopIfTrue="1" operator="equal">
      <formula>"Napkin Hs"</formula>
    </cfRule>
  </conditionalFormatting>
  <conditionalFormatting sqref="C53">
    <cfRule type="cellIs" dxfId="7611" priority="9241" stopIfTrue="1" operator="equal">
      <formula>"Towel"</formula>
    </cfRule>
    <cfRule type="cellIs" dxfId="7610" priority="9242" stopIfTrue="1" operator="equal">
      <formula>"Napkin Hs"</formula>
    </cfRule>
  </conditionalFormatting>
  <conditionalFormatting sqref="C53">
    <cfRule type="cellIs" dxfId="7609" priority="9243" stopIfTrue="1" operator="equal">
      <formula>"Towel"</formula>
    </cfRule>
    <cfRule type="cellIs" dxfId="7608" priority="9244" stopIfTrue="1" operator="equal">
      <formula>"Napkin Hs"</formula>
    </cfRule>
  </conditionalFormatting>
  <conditionalFormatting sqref="C53">
    <cfRule type="cellIs" dxfId="7607" priority="9229" stopIfTrue="1" operator="equal">
      <formula>"Towel"</formula>
    </cfRule>
    <cfRule type="cellIs" dxfId="7606" priority="9230" stopIfTrue="1" operator="equal">
      <formula>"Napkin Hs"</formula>
    </cfRule>
  </conditionalFormatting>
  <conditionalFormatting sqref="C53">
    <cfRule type="cellIs" dxfId="7605" priority="9231" stopIfTrue="1" operator="equal">
      <formula>"Towel"</formula>
    </cfRule>
    <cfRule type="cellIs" dxfId="7604" priority="9232" stopIfTrue="1" operator="equal">
      <formula>"Napkin Hs"</formula>
    </cfRule>
  </conditionalFormatting>
  <conditionalFormatting sqref="C53">
    <cfRule type="cellIs" dxfId="7603" priority="9227" stopIfTrue="1" operator="equal">
      <formula>"Towel"</formula>
    </cfRule>
    <cfRule type="cellIs" dxfId="7602" priority="9228" stopIfTrue="1" operator="equal">
      <formula>"Napkin Hs"</formula>
    </cfRule>
  </conditionalFormatting>
  <conditionalFormatting sqref="C53">
    <cfRule type="cellIs" dxfId="7601" priority="9221" stopIfTrue="1" operator="equal">
      <formula>"Towel"</formula>
    </cfRule>
    <cfRule type="cellIs" dxfId="7600" priority="9222" stopIfTrue="1" operator="equal">
      <formula>"Napkin Hs"</formula>
    </cfRule>
  </conditionalFormatting>
  <conditionalFormatting sqref="C53">
    <cfRule type="cellIs" dxfId="7599" priority="9223" stopIfTrue="1" operator="equal">
      <formula>"Towel"</formula>
    </cfRule>
    <cfRule type="cellIs" dxfId="7598" priority="9224" stopIfTrue="1" operator="equal">
      <formula>"Napkin Hs"</formula>
    </cfRule>
  </conditionalFormatting>
  <conditionalFormatting sqref="C53">
    <cfRule type="cellIs" dxfId="7597" priority="9225" stopIfTrue="1" operator="equal">
      <formula>"Towel"</formula>
    </cfRule>
    <cfRule type="cellIs" dxfId="7596" priority="9226" stopIfTrue="1" operator="equal">
      <formula>"Napkin Hs"</formula>
    </cfRule>
  </conditionalFormatting>
  <conditionalFormatting sqref="C53">
    <cfRule type="cellIs" dxfId="7595" priority="9175" stopIfTrue="1" operator="equal">
      <formula>"Towel"</formula>
    </cfRule>
    <cfRule type="cellIs" dxfId="7594" priority="9176" stopIfTrue="1" operator="equal">
      <formula>"Napkin Hs"</formula>
    </cfRule>
  </conditionalFormatting>
  <conditionalFormatting sqref="C53">
    <cfRule type="cellIs" dxfId="7593" priority="9177" stopIfTrue="1" operator="equal">
      <formula>"Towel"</formula>
    </cfRule>
    <cfRule type="cellIs" dxfId="7592" priority="9178" stopIfTrue="1" operator="equal">
      <formula>"Napkin Hs"</formula>
    </cfRule>
  </conditionalFormatting>
  <conditionalFormatting sqref="C53">
    <cfRule type="cellIs" dxfId="7591" priority="9173" stopIfTrue="1" operator="equal">
      <formula>"Towel"</formula>
    </cfRule>
    <cfRule type="cellIs" dxfId="7590" priority="9174" stopIfTrue="1" operator="equal">
      <formula>"Napkin Hs"</formula>
    </cfRule>
  </conditionalFormatting>
  <conditionalFormatting sqref="C53">
    <cfRule type="cellIs" dxfId="7589" priority="9171" stopIfTrue="1" operator="equal">
      <formula>"Towel"</formula>
    </cfRule>
    <cfRule type="cellIs" dxfId="7588" priority="9172" stopIfTrue="1" operator="equal">
      <formula>"Napkin Hs"</formula>
    </cfRule>
  </conditionalFormatting>
  <conditionalFormatting sqref="C53">
    <cfRule type="cellIs" dxfId="7587" priority="9167" stopIfTrue="1" operator="equal">
      <formula>"Towel"</formula>
    </cfRule>
    <cfRule type="cellIs" dxfId="7586" priority="9168" stopIfTrue="1" operator="equal">
      <formula>"Napkin Hs"</formula>
    </cfRule>
  </conditionalFormatting>
  <conditionalFormatting sqref="C53">
    <cfRule type="cellIs" dxfId="7585" priority="9169" stopIfTrue="1" operator="equal">
      <formula>"Towel"</formula>
    </cfRule>
    <cfRule type="cellIs" dxfId="7584" priority="9170" stopIfTrue="1" operator="equal">
      <formula>"Napkin Hs"</formula>
    </cfRule>
  </conditionalFormatting>
  <conditionalFormatting sqref="C53">
    <cfRule type="cellIs" dxfId="7583" priority="9219" stopIfTrue="1" operator="equal">
      <formula>"Towel"</formula>
    </cfRule>
    <cfRule type="cellIs" dxfId="7582" priority="9220" stopIfTrue="1" operator="equal">
      <formula>"Napkin Hs"</formula>
    </cfRule>
  </conditionalFormatting>
  <conditionalFormatting sqref="C53">
    <cfRule type="cellIs" dxfId="7581" priority="9215" stopIfTrue="1" operator="equal">
      <formula>"Towel"</formula>
    </cfRule>
    <cfRule type="cellIs" dxfId="7580" priority="9216" stopIfTrue="1" operator="equal">
      <formula>"Napkin Hs"</formula>
    </cfRule>
  </conditionalFormatting>
  <conditionalFormatting sqref="C53">
    <cfRule type="cellIs" dxfId="7579" priority="9218" stopIfTrue="1" operator="equal">
      <formula>"Napkin Hs"</formula>
    </cfRule>
  </conditionalFormatting>
  <conditionalFormatting sqref="C53">
    <cfRule type="cellIs" dxfId="7578" priority="9217" stopIfTrue="1" operator="equal">
      <formula>"Towel"</formula>
    </cfRule>
  </conditionalFormatting>
  <conditionalFormatting sqref="C53">
    <cfRule type="cellIs" dxfId="7577" priority="9209" stopIfTrue="1" operator="equal">
      <formula>"Towel"</formula>
    </cfRule>
    <cfRule type="cellIs" dxfId="7576" priority="9210" stopIfTrue="1" operator="equal">
      <formula>"Napkin Hs"</formula>
    </cfRule>
  </conditionalFormatting>
  <conditionalFormatting sqref="C53">
    <cfRule type="cellIs" dxfId="7575" priority="9213" stopIfTrue="1" operator="equal">
      <formula>"Towel"</formula>
    </cfRule>
    <cfRule type="cellIs" dxfId="7574" priority="9214" stopIfTrue="1" operator="equal">
      <formula>"Napkin Hs"</formula>
    </cfRule>
  </conditionalFormatting>
  <conditionalFormatting sqref="C53">
    <cfRule type="cellIs" dxfId="7573" priority="9211" stopIfTrue="1" operator="equal">
      <formula>"Towel"</formula>
    </cfRule>
    <cfRule type="cellIs" dxfId="7572" priority="9212" stopIfTrue="1" operator="equal">
      <formula>"Napkin Hs"</formula>
    </cfRule>
  </conditionalFormatting>
  <conditionalFormatting sqref="C53">
    <cfRule type="cellIs" dxfId="7571" priority="9203" stopIfTrue="1" operator="equal">
      <formula>"Towel"</formula>
    </cfRule>
    <cfRule type="cellIs" dxfId="7570" priority="9204" stopIfTrue="1" operator="equal">
      <formula>"Napkin Hs"</formula>
    </cfRule>
  </conditionalFormatting>
  <conditionalFormatting sqref="C53">
    <cfRule type="cellIs" dxfId="7569" priority="9205" stopIfTrue="1" operator="equal">
      <formula>"Towel"</formula>
    </cfRule>
    <cfRule type="cellIs" dxfId="7568" priority="9206" stopIfTrue="1" operator="equal">
      <formula>"Napkin Hs"</formula>
    </cfRule>
  </conditionalFormatting>
  <conditionalFormatting sqref="C53">
    <cfRule type="cellIs" dxfId="7567" priority="9207" stopIfTrue="1" operator="equal">
      <formula>"Towel"</formula>
    </cfRule>
    <cfRule type="cellIs" dxfId="7566" priority="9208" stopIfTrue="1" operator="equal">
      <formula>"Napkin Hs"</formula>
    </cfRule>
  </conditionalFormatting>
  <conditionalFormatting sqref="C53">
    <cfRule type="cellIs" dxfId="7565" priority="9197" stopIfTrue="1" operator="equal">
      <formula>"Towel"</formula>
    </cfRule>
    <cfRule type="cellIs" dxfId="7564" priority="9198" stopIfTrue="1" operator="equal">
      <formula>"Napkin Hs"</formula>
    </cfRule>
  </conditionalFormatting>
  <conditionalFormatting sqref="C53">
    <cfRule type="cellIs" dxfId="7563" priority="9201" stopIfTrue="1" operator="equal">
      <formula>"Towel"</formula>
    </cfRule>
    <cfRule type="cellIs" dxfId="7562" priority="9202" stopIfTrue="1" operator="equal">
      <formula>"Napkin Hs"</formula>
    </cfRule>
  </conditionalFormatting>
  <conditionalFormatting sqref="C53">
    <cfRule type="cellIs" dxfId="7561" priority="9199" stopIfTrue="1" operator="equal">
      <formula>"Towel"</formula>
    </cfRule>
    <cfRule type="cellIs" dxfId="7560" priority="9200" stopIfTrue="1" operator="equal">
      <formula>"Napkin Hs"</formula>
    </cfRule>
  </conditionalFormatting>
  <conditionalFormatting sqref="C53">
    <cfRule type="cellIs" dxfId="7559" priority="9191" stopIfTrue="1" operator="equal">
      <formula>"Towel"</formula>
    </cfRule>
    <cfRule type="cellIs" dxfId="7558" priority="9192" stopIfTrue="1" operator="equal">
      <formula>"Napkin Hs"</formula>
    </cfRule>
  </conditionalFormatting>
  <conditionalFormatting sqref="C53">
    <cfRule type="cellIs" dxfId="7557" priority="9193" stopIfTrue="1" operator="equal">
      <formula>"Towel"</formula>
    </cfRule>
    <cfRule type="cellIs" dxfId="7556" priority="9194" stopIfTrue="1" operator="equal">
      <formula>"Napkin Hs"</formula>
    </cfRule>
  </conditionalFormatting>
  <conditionalFormatting sqref="C53">
    <cfRule type="cellIs" dxfId="7555" priority="9195" stopIfTrue="1" operator="equal">
      <formula>"Towel"</formula>
    </cfRule>
    <cfRule type="cellIs" dxfId="7554" priority="9196" stopIfTrue="1" operator="equal">
      <formula>"Napkin Hs"</formula>
    </cfRule>
  </conditionalFormatting>
  <conditionalFormatting sqref="C53">
    <cfRule type="cellIs" dxfId="7553" priority="9189" stopIfTrue="1" operator="equal">
      <formula>"Towel"</formula>
    </cfRule>
    <cfRule type="cellIs" dxfId="7552" priority="9190" stopIfTrue="1" operator="equal">
      <formula>"Napkin Hs"</formula>
    </cfRule>
  </conditionalFormatting>
  <conditionalFormatting sqref="C53">
    <cfRule type="cellIs" dxfId="7551" priority="9185" stopIfTrue="1" operator="equal">
      <formula>"Towel"</formula>
    </cfRule>
    <cfRule type="cellIs" dxfId="7550" priority="9186" stopIfTrue="1" operator="equal">
      <formula>"Napkin Hs"</formula>
    </cfRule>
  </conditionalFormatting>
  <conditionalFormatting sqref="C53">
    <cfRule type="cellIs" dxfId="7549" priority="9187" stopIfTrue="1" operator="equal">
      <formula>"Towel"</formula>
    </cfRule>
    <cfRule type="cellIs" dxfId="7548" priority="9188" stopIfTrue="1" operator="equal">
      <formula>"Napkin Hs"</formula>
    </cfRule>
  </conditionalFormatting>
  <conditionalFormatting sqref="C53">
    <cfRule type="cellIs" dxfId="7547" priority="9183" stopIfTrue="1" operator="equal">
      <formula>"Towel"</formula>
    </cfRule>
    <cfRule type="cellIs" dxfId="7546" priority="9184" stopIfTrue="1" operator="equal">
      <formula>"Napkin Hs"</formula>
    </cfRule>
  </conditionalFormatting>
  <conditionalFormatting sqref="C53">
    <cfRule type="cellIs" dxfId="7545" priority="9181" stopIfTrue="1" operator="equal">
      <formula>"Towel"</formula>
    </cfRule>
    <cfRule type="cellIs" dxfId="7544" priority="9182" stopIfTrue="1" operator="equal">
      <formula>"Napkin Hs"</formula>
    </cfRule>
  </conditionalFormatting>
  <conditionalFormatting sqref="C53">
    <cfRule type="cellIs" dxfId="7543" priority="9179" stopIfTrue="1" operator="equal">
      <formula>"Towel"</formula>
    </cfRule>
    <cfRule type="cellIs" dxfId="7542" priority="9180" stopIfTrue="1" operator="equal">
      <formula>"Napkin Hs"</formula>
    </cfRule>
  </conditionalFormatting>
  <conditionalFormatting sqref="C53">
    <cfRule type="cellIs" dxfId="7541" priority="9163" stopIfTrue="1" operator="equal">
      <formula>"Towel"</formula>
    </cfRule>
    <cfRule type="cellIs" dxfId="7540" priority="9164" stopIfTrue="1" operator="equal">
      <formula>"Napkin Hs"</formula>
    </cfRule>
  </conditionalFormatting>
  <conditionalFormatting sqref="C53">
    <cfRule type="cellIs" dxfId="7539" priority="9165" stopIfTrue="1" operator="equal">
      <formula>"Towel"</formula>
    </cfRule>
    <cfRule type="cellIs" dxfId="7538" priority="9166" stopIfTrue="1" operator="equal">
      <formula>"Napkin Hs"</formula>
    </cfRule>
  </conditionalFormatting>
  <conditionalFormatting sqref="C53">
    <cfRule type="cellIs" dxfId="7537" priority="9161" stopIfTrue="1" operator="equal">
      <formula>"Towel"</formula>
    </cfRule>
    <cfRule type="cellIs" dxfId="7536" priority="9162" stopIfTrue="1" operator="equal">
      <formula>"Napkin Hs"</formula>
    </cfRule>
  </conditionalFormatting>
  <conditionalFormatting sqref="C53">
    <cfRule type="cellIs" dxfId="7535" priority="9159" stopIfTrue="1" operator="equal">
      <formula>"Towel"</formula>
    </cfRule>
    <cfRule type="cellIs" dxfId="7534" priority="9160" stopIfTrue="1" operator="equal">
      <formula>"Napkin Hs"</formula>
    </cfRule>
  </conditionalFormatting>
  <conditionalFormatting sqref="C53">
    <cfRule type="cellIs" dxfId="7533" priority="9155" stopIfTrue="1" operator="equal">
      <formula>"Towel"</formula>
    </cfRule>
    <cfRule type="cellIs" dxfId="7532" priority="9156" stopIfTrue="1" operator="equal">
      <formula>"Napkin Hs"</formula>
    </cfRule>
  </conditionalFormatting>
  <conditionalFormatting sqref="C53">
    <cfRule type="cellIs" dxfId="7531" priority="9157" stopIfTrue="1" operator="equal">
      <formula>"Towel"</formula>
    </cfRule>
    <cfRule type="cellIs" dxfId="7530" priority="9158" stopIfTrue="1" operator="equal">
      <formula>"Napkin Hs"</formula>
    </cfRule>
  </conditionalFormatting>
  <conditionalFormatting sqref="C53">
    <cfRule type="cellIs" dxfId="7529" priority="9151" stopIfTrue="1" operator="equal">
      <formula>"Towel"</formula>
    </cfRule>
    <cfRule type="cellIs" dxfId="7528" priority="9152" stopIfTrue="1" operator="equal">
      <formula>"Napkin Hs"</formula>
    </cfRule>
  </conditionalFormatting>
  <conditionalFormatting sqref="C53">
    <cfRule type="cellIs" dxfId="7527" priority="9153" stopIfTrue="1" operator="equal">
      <formula>"Towel"</formula>
    </cfRule>
    <cfRule type="cellIs" dxfId="7526" priority="9154" stopIfTrue="1" operator="equal">
      <formula>"Napkin Hs"</formula>
    </cfRule>
  </conditionalFormatting>
  <conditionalFormatting sqref="C53">
    <cfRule type="cellIs" dxfId="7525" priority="9149" stopIfTrue="1" operator="equal">
      <formula>"Towel"</formula>
    </cfRule>
    <cfRule type="cellIs" dxfId="7524" priority="9150" stopIfTrue="1" operator="equal">
      <formula>"Napkin Hs"</formula>
    </cfRule>
  </conditionalFormatting>
  <conditionalFormatting sqref="C53">
    <cfRule type="cellIs" dxfId="7523" priority="9147" stopIfTrue="1" operator="equal">
      <formula>"Towel"</formula>
    </cfRule>
    <cfRule type="cellIs" dxfId="7522" priority="9148" stopIfTrue="1" operator="equal">
      <formula>"Napkin Hs"</formula>
    </cfRule>
  </conditionalFormatting>
  <conditionalFormatting sqref="C53">
    <cfRule type="cellIs" dxfId="7521" priority="9143" stopIfTrue="1" operator="equal">
      <formula>"Towel"</formula>
    </cfRule>
    <cfRule type="cellIs" dxfId="7520" priority="9144" stopIfTrue="1" operator="equal">
      <formula>"Napkin Hs"</formula>
    </cfRule>
  </conditionalFormatting>
  <conditionalFormatting sqref="C53">
    <cfRule type="cellIs" dxfId="7519" priority="9145" stopIfTrue="1" operator="equal">
      <formula>"Towel"</formula>
    </cfRule>
    <cfRule type="cellIs" dxfId="7518" priority="9146" stopIfTrue="1" operator="equal">
      <formula>"Napkin Hs"</formula>
    </cfRule>
  </conditionalFormatting>
  <conditionalFormatting sqref="B53">
    <cfRule type="cellIs" dxfId="7517" priority="9141" stopIfTrue="1" operator="equal">
      <formula>"Towel"</formula>
    </cfRule>
    <cfRule type="cellIs" dxfId="7516" priority="9142" stopIfTrue="1" operator="equal">
      <formula>"Napkin Hs"</formula>
    </cfRule>
  </conditionalFormatting>
  <conditionalFormatting sqref="B53">
    <cfRule type="cellIs" dxfId="7515" priority="9125" stopIfTrue="1" operator="equal">
      <formula>"Towel"</formula>
    </cfRule>
    <cfRule type="cellIs" dxfId="7514" priority="9126" stopIfTrue="1" operator="equal">
      <formula>"Napkin Hs"</formula>
    </cfRule>
  </conditionalFormatting>
  <conditionalFormatting sqref="B53">
    <cfRule type="cellIs" dxfId="7513" priority="9123" stopIfTrue="1" operator="equal">
      <formula>"Towel"</formula>
    </cfRule>
    <cfRule type="cellIs" dxfId="7512" priority="9124" stopIfTrue="1" operator="equal">
      <formula>"Napkin Hs"</formula>
    </cfRule>
  </conditionalFormatting>
  <conditionalFormatting sqref="B53">
    <cfRule type="cellIs" dxfId="7511" priority="9139" stopIfTrue="1" operator="equal">
      <formula>"Towel"</formula>
    </cfRule>
    <cfRule type="cellIs" dxfId="7510" priority="9140" stopIfTrue="1" operator="equal">
      <formula>"Napkin Hs"</formula>
    </cfRule>
  </conditionalFormatting>
  <conditionalFormatting sqref="B53">
    <cfRule type="cellIs" dxfId="7509" priority="9135" stopIfTrue="1" operator="equal">
      <formula>"Towel"</formula>
    </cfRule>
    <cfRule type="cellIs" dxfId="7508" priority="9136" stopIfTrue="1" operator="equal">
      <formula>"Napkin Hs"</formula>
    </cfRule>
  </conditionalFormatting>
  <conditionalFormatting sqref="B53">
    <cfRule type="cellIs" dxfId="7507" priority="9137" stopIfTrue="1" operator="equal">
      <formula>"Towel"</formula>
    </cfRule>
    <cfRule type="cellIs" dxfId="7506" priority="9138" stopIfTrue="1" operator="equal">
      <formula>"Napkin Hs"</formula>
    </cfRule>
  </conditionalFormatting>
  <conditionalFormatting sqref="B53">
    <cfRule type="cellIs" dxfId="7505" priority="9131" stopIfTrue="1" operator="equal">
      <formula>"Towel"</formula>
    </cfRule>
    <cfRule type="cellIs" dxfId="7504" priority="9132" stopIfTrue="1" operator="equal">
      <formula>"Napkin Hs"</formula>
    </cfRule>
  </conditionalFormatting>
  <conditionalFormatting sqref="B53">
    <cfRule type="cellIs" dxfId="7503" priority="9133" stopIfTrue="1" operator="equal">
      <formula>"Towel"</formula>
    </cfRule>
    <cfRule type="cellIs" dxfId="7502" priority="9134" stopIfTrue="1" operator="equal">
      <formula>"Napkin Hs"</formula>
    </cfRule>
  </conditionalFormatting>
  <conditionalFormatting sqref="B53">
    <cfRule type="cellIs" dxfId="7501" priority="9129" stopIfTrue="1" operator="equal">
      <formula>"Towel"</formula>
    </cfRule>
    <cfRule type="cellIs" dxfId="7500" priority="9130" stopIfTrue="1" operator="equal">
      <formula>"Napkin Hs"</formula>
    </cfRule>
  </conditionalFormatting>
  <conditionalFormatting sqref="B53">
    <cfRule type="cellIs" dxfId="7499" priority="9127" stopIfTrue="1" operator="equal">
      <formula>"Towel"</formula>
    </cfRule>
    <cfRule type="cellIs" dxfId="7498" priority="9128" stopIfTrue="1" operator="equal">
      <formula>"Napkin Hs"</formula>
    </cfRule>
  </conditionalFormatting>
  <conditionalFormatting sqref="B53">
    <cfRule type="cellIs" dxfId="7497" priority="9121" stopIfTrue="1" operator="equal">
      <formula>"Towel"</formula>
    </cfRule>
    <cfRule type="cellIs" dxfId="7496" priority="9122" stopIfTrue="1" operator="equal">
      <formula>"Napkin Hs"</formula>
    </cfRule>
  </conditionalFormatting>
  <conditionalFormatting sqref="B53">
    <cfRule type="cellIs" dxfId="7495" priority="9119" stopIfTrue="1" operator="equal">
      <formula>"Towel"</formula>
    </cfRule>
    <cfRule type="cellIs" dxfId="7494" priority="9120" stopIfTrue="1" operator="equal">
      <formula>"Napkin Hs"</formula>
    </cfRule>
  </conditionalFormatting>
  <conditionalFormatting sqref="B53">
    <cfRule type="cellIs" dxfId="7493" priority="9117" stopIfTrue="1" operator="equal">
      <formula>"Towel"</formula>
    </cfRule>
    <cfRule type="cellIs" dxfId="7492" priority="9118" stopIfTrue="1" operator="equal">
      <formula>"Napkin Hs"</formula>
    </cfRule>
  </conditionalFormatting>
  <conditionalFormatting sqref="B53">
    <cfRule type="cellIs" dxfId="7491" priority="9115" stopIfTrue="1" operator="equal">
      <formula>"Towel"</formula>
    </cfRule>
    <cfRule type="cellIs" dxfId="7490" priority="9116" stopIfTrue="1" operator="equal">
      <formula>"Napkin Hs"</formula>
    </cfRule>
  </conditionalFormatting>
  <conditionalFormatting sqref="B54">
    <cfRule type="cellIs" dxfId="7489" priority="9113" stopIfTrue="1" operator="equal">
      <formula>"Towel"</formula>
    </cfRule>
    <cfRule type="cellIs" dxfId="7488" priority="9114" stopIfTrue="1" operator="equal">
      <formula>"Napkin Hs"</formula>
    </cfRule>
  </conditionalFormatting>
  <conditionalFormatting sqref="B54">
    <cfRule type="cellIs" dxfId="7487" priority="9111" stopIfTrue="1" operator="equal">
      <formula>"Towel"</formula>
    </cfRule>
    <cfRule type="cellIs" dxfId="7486" priority="9112" stopIfTrue="1" operator="equal">
      <formula>"Napkin Hs"</formula>
    </cfRule>
  </conditionalFormatting>
  <conditionalFormatting sqref="B54">
    <cfRule type="cellIs" dxfId="7485" priority="9109" stopIfTrue="1" operator="equal">
      <formula>"Towel"</formula>
    </cfRule>
    <cfRule type="cellIs" dxfId="7484" priority="9110" stopIfTrue="1" operator="equal">
      <formula>"Napkin Hs"</formula>
    </cfRule>
  </conditionalFormatting>
  <conditionalFormatting sqref="B54">
    <cfRule type="cellIs" dxfId="7483" priority="9107" stopIfTrue="1" operator="equal">
      <formula>"Towel"</formula>
    </cfRule>
    <cfRule type="cellIs" dxfId="7482" priority="9108" stopIfTrue="1" operator="equal">
      <formula>"Napkin Hs"</formula>
    </cfRule>
  </conditionalFormatting>
  <conditionalFormatting sqref="B54">
    <cfRule type="cellIs" dxfId="7481" priority="9105" stopIfTrue="1" operator="equal">
      <formula>"Towel"</formula>
    </cfRule>
    <cfRule type="cellIs" dxfId="7480" priority="9106" stopIfTrue="1" operator="equal">
      <formula>"Napkin Hs"</formula>
    </cfRule>
  </conditionalFormatting>
  <conditionalFormatting sqref="B54">
    <cfRule type="cellIs" dxfId="7479" priority="9089" stopIfTrue="1" operator="equal">
      <formula>"Towel"</formula>
    </cfRule>
    <cfRule type="cellIs" dxfId="7478" priority="9090" stopIfTrue="1" operator="equal">
      <formula>"Napkin Hs"</formula>
    </cfRule>
  </conditionalFormatting>
  <conditionalFormatting sqref="B54">
    <cfRule type="cellIs" dxfId="7477" priority="9087" stopIfTrue="1" operator="equal">
      <formula>"Towel"</formula>
    </cfRule>
    <cfRule type="cellIs" dxfId="7476" priority="9088" stopIfTrue="1" operator="equal">
      <formula>"Napkin Hs"</formula>
    </cfRule>
  </conditionalFormatting>
  <conditionalFormatting sqref="B54">
    <cfRule type="cellIs" dxfId="7475" priority="9103" stopIfTrue="1" operator="equal">
      <formula>"Towel"</formula>
    </cfRule>
    <cfRule type="cellIs" dxfId="7474" priority="9104" stopIfTrue="1" operator="equal">
      <formula>"Napkin Hs"</formula>
    </cfRule>
  </conditionalFormatting>
  <conditionalFormatting sqref="B54">
    <cfRule type="cellIs" dxfId="7473" priority="9099" stopIfTrue="1" operator="equal">
      <formula>"Towel"</formula>
    </cfRule>
    <cfRule type="cellIs" dxfId="7472" priority="9100" stopIfTrue="1" operator="equal">
      <formula>"Napkin Hs"</formula>
    </cfRule>
  </conditionalFormatting>
  <conditionalFormatting sqref="B54">
    <cfRule type="cellIs" dxfId="7471" priority="9101" stopIfTrue="1" operator="equal">
      <formula>"Towel"</formula>
    </cfRule>
    <cfRule type="cellIs" dxfId="7470" priority="9102" stopIfTrue="1" operator="equal">
      <formula>"Napkin Hs"</formula>
    </cfRule>
  </conditionalFormatting>
  <conditionalFormatting sqref="B54">
    <cfRule type="cellIs" dxfId="7469" priority="9095" stopIfTrue="1" operator="equal">
      <formula>"Towel"</formula>
    </cfRule>
    <cfRule type="cellIs" dxfId="7468" priority="9096" stopIfTrue="1" operator="equal">
      <formula>"Napkin Hs"</formula>
    </cfRule>
  </conditionalFormatting>
  <conditionalFormatting sqref="B54">
    <cfRule type="cellIs" dxfId="7467" priority="9097" stopIfTrue="1" operator="equal">
      <formula>"Towel"</formula>
    </cfRule>
    <cfRule type="cellIs" dxfId="7466" priority="9098" stopIfTrue="1" operator="equal">
      <formula>"Napkin Hs"</formula>
    </cfRule>
  </conditionalFormatting>
  <conditionalFormatting sqref="B54">
    <cfRule type="cellIs" dxfId="7465" priority="9093" stopIfTrue="1" operator="equal">
      <formula>"Towel"</formula>
    </cfRule>
    <cfRule type="cellIs" dxfId="7464" priority="9094" stopIfTrue="1" operator="equal">
      <formula>"Napkin Hs"</formula>
    </cfRule>
  </conditionalFormatting>
  <conditionalFormatting sqref="B54">
    <cfRule type="cellIs" dxfId="7463" priority="9091" stopIfTrue="1" operator="equal">
      <formula>"Towel"</formula>
    </cfRule>
    <cfRule type="cellIs" dxfId="7462" priority="9092" stopIfTrue="1" operator="equal">
      <formula>"Napkin Hs"</formula>
    </cfRule>
  </conditionalFormatting>
  <conditionalFormatting sqref="B54">
    <cfRule type="cellIs" dxfId="7461" priority="9085" stopIfTrue="1" operator="equal">
      <formula>"Towel"</formula>
    </cfRule>
    <cfRule type="cellIs" dxfId="7460" priority="9086" stopIfTrue="1" operator="equal">
      <formula>"Napkin Hs"</formula>
    </cfRule>
  </conditionalFormatting>
  <conditionalFormatting sqref="B54">
    <cfRule type="cellIs" dxfId="7459" priority="9083" stopIfTrue="1" operator="equal">
      <formula>"Towel"</formula>
    </cfRule>
    <cfRule type="cellIs" dxfId="7458" priority="9084" stopIfTrue="1" operator="equal">
      <formula>"Napkin Hs"</formula>
    </cfRule>
  </conditionalFormatting>
  <conditionalFormatting sqref="B54">
    <cfRule type="cellIs" dxfId="7457" priority="9081" stopIfTrue="1" operator="equal">
      <formula>"Towel"</formula>
    </cfRule>
    <cfRule type="cellIs" dxfId="7456" priority="9082" stopIfTrue="1" operator="equal">
      <formula>"Napkin Hs"</formula>
    </cfRule>
  </conditionalFormatting>
  <conditionalFormatting sqref="B54">
    <cfRule type="cellIs" dxfId="7455" priority="9079" stopIfTrue="1" operator="equal">
      <formula>"Towel"</formula>
    </cfRule>
    <cfRule type="cellIs" dxfId="7454" priority="9080" stopIfTrue="1" operator="equal">
      <formula>"Napkin Hs"</formula>
    </cfRule>
  </conditionalFormatting>
  <conditionalFormatting sqref="B61:C61">
    <cfRule type="cellIs" dxfId="7453" priority="9073" stopIfTrue="1" operator="equal">
      <formula>"Towel"</formula>
    </cfRule>
    <cfRule type="cellIs" dxfId="7452" priority="9074" stopIfTrue="1" operator="equal">
      <formula>"Napkin Hs"</formula>
    </cfRule>
  </conditionalFormatting>
  <conditionalFormatting sqref="C61">
    <cfRule type="cellIs" dxfId="7451" priority="9069" stopIfTrue="1" operator="equal">
      <formula>"Towel"</formula>
    </cfRule>
    <cfRule type="cellIs" dxfId="7450" priority="9070" stopIfTrue="1" operator="equal">
      <formula>"Napkin Hs"</formula>
    </cfRule>
  </conditionalFormatting>
  <conditionalFormatting sqref="C61">
    <cfRule type="cellIs" dxfId="7449" priority="9071" stopIfTrue="1" operator="equal">
      <formula>"Towel"</formula>
    </cfRule>
    <cfRule type="cellIs" dxfId="7448" priority="9072" stopIfTrue="1" operator="equal">
      <formula>"Napkin Hs"</formula>
    </cfRule>
  </conditionalFormatting>
  <conditionalFormatting sqref="B67:C67">
    <cfRule type="cellIs" dxfId="7447" priority="9065" stopIfTrue="1" operator="equal">
      <formula>"Towel"</formula>
    </cfRule>
    <cfRule type="cellIs" dxfId="7446" priority="9066" stopIfTrue="1" operator="equal">
      <formula>"Napkin Hs"</formula>
    </cfRule>
  </conditionalFormatting>
  <conditionalFormatting sqref="C67">
    <cfRule type="cellIs" dxfId="7445" priority="9061" stopIfTrue="1" operator="equal">
      <formula>"Towel"</formula>
    </cfRule>
    <cfRule type="cellIs" dxfId="7444" priority="9062" stopIfTrue="1" operator="equal">
      <formula>"Napkin Hs"</formula>
    </cfRule>
  </conditionalFormatting>
  <conditionalFormatting sqref="C67">
    <cfRule type="cellIs" dxfId="7443" priority="9063" stopIfTrue="1" operator="equal">
      <formula>"Towel"</formula>
    </cfRule>
    <cfRule type="cellIs" dxfId="7442" priority="9064" stopIfTrue="1" operator="equal">
      <formula>"Napkin Hs"</formula>
    </cfRule>
  </conditionalFormatting>
  <conditionalFormatting sqref="C60">
    <cfRule type="cellIs" dxfId="7441" priority="9047" stopIfTrue="1" operator="equal">
      <formula>"Towel"</formula>
    </cfRule>
    <cfRule type="cellIs" dxfId="7440" priority="9048" stopIfTrue="1" operator="equal">
      <formula>"Napkin Hs"</formula>
    </cfRule>
  </conditionalFormatting>
  <conditionalFormatting sqref="C60">
    <cfRule type="cellIs" dxfId="7439" priority="9045" stopIfTrue="1" operator="equal">
      <formula>"Towel"</formula>
    </cfRule>
    <cfRule type="cellIs" dxfId="7438" priority="9046" stopIfTrue="1" operator="equal">
      <formula>"Napkin Hs"</formula>
    </cfRule>
  </conditionalFormatting>
  <conditionalFormatting sqref="C60">
    <cfRule type="cellIs" dxfId="7437" priority="9053" stopIfTrue="1" operator="equal">
      <formula>"Towel"</formula>
    </cfRule>
    <cfRule type="cellIs" dxfId="7436" priority="9054" stopIfTrue="1" operator="equal">
      <formula>"Napkin Hs"</formula>
    </cfRule>
  </conditionalFormatting>
  <conditionalFormatting sqref="B60:C60">
    <cfRule type="cellIs" dxfId="7435" priority="9055" stopIfTrue="1" operator="equal">
      <formula>"Towel"</formula>
    </cfRule>
    <cfRule type="cellIs" dxfId="7434" priority="9056" stopIfTrue="1" operator="equal">
      <formula>"Napkin Hs"</formula>
    </cfRule>
  </conditionalFormatting>
  <conditionalFormatting sqref="C60">
    <cfRule type="cellIs" dxfId="7433" priority="9051" stopIfTrue="1" operator="equal">
      <formula>"Towel"</formula>
    </cfRule>
    <cfRule type="cellIs" dxfId="7432" priority="9052" stopIfTrue="1" operator="equal">
      <formula>"Napkin Hs"</formula>
    </cfRule>
  </conditionalFormatting>
  <conditionalFormatting sqref="B60:C60">
    <cfRule type="cellIs" dxfId="7431" priority="9049" stopIfTrue="1" operator="equal">
      <formula>"Towel"</formula>
    </cfRule>
    <cfRule type="cellIs" dxfId="7430" priority="9050" stopIfTrue="1" operator="equal">
      <formula>"Napkin Hs"</formula>
    </cfRule>
  </conditionalFormatting>
  <conditionalFormatting sqref="C60">
    <cfRule type="cellIs" dxfId="7429" priority="9057" stopIfTrue="1" operator="equal">
      <formula>"Towel"</formula>
    </cfRule>
    <cfRule type="cellIs" dxfId="7428" priority="9058" stopIfTrue="1" operator="equal">
      <formula>"Napkin Hs"</formula>
    </cfRule>
  </conditionalFormatting>
  <conditionalFormatting sqref="C60">
    <cfRule type="cellIs" dxfId="7427" priority="9059" stopIfTrue="1" operator="equal">
      <formula>"Towel"</formula>
    </cfRule>
    <cfRule type="cellIs" dxfId="7426" priority="9060" stopIfTrue="1" operator="equal">
      <formula>"Napkin Hs"</formula>
    </cfRule>
  </conditionalFormatting>
  <conditionalFormatting sqref="C60">
    <cfRule type="cellIs" dxfId="7425" priority="9041" stopIfTrue="1" operator="equal">
      <formula>"Towel"</formula>
    </cfRule>
    <cfRule type="cellIs" dxfId="7424" priority="9042" stopIfTrue="1" operator="equal">
      <formula>"Napkin Hs"</formula>
    </cfRule>
  </conditionalFormatting>
  <conditionalFormatting sqref="B60:C60">
    <cfRule type="cellIs" dxfId="7423" priority="9043" stopIfTrue="1" operator="equal">
      <formula>"Towel"</formula>
    </cfRule>
    <cfRule type="cellIs" dxfId="7422" priority="9044" stopIfTrue="1" operator="equal">
      <formula>"Napkin Hs"</formula>
    </cfRule>
  </conditionalFormatting>
  <conditionalFormatting sqref="C60">
    <cfRule type="cellIs" dxfId="7421" priority="9039" stopIfTrue="1" operator="equal">
      <formula>"Towel"</formula>
    </cfRule>
    <cfRule type="cellIs" dxfId="7420" priority="9040" stopIfTrue="1" operator="equal">
      <formula>"Napkin Hs"</formula>
    </cfRule>
  </conditionalFormatting>
  <conditionalFormatting sqref="B60:C60">
    <cfRule type="cellIs" dxfId="7419" priority="9037" stopIfTrue="1" operator="equal">
      <formula>"Towel"</formula>
    </cfRule>
    <cfRule type="cellIs" dxfId="7418" priority="9038" stopIfTrue="1" operator="equal">
      <formula>"Napkin Hs"</formula>
    </cfRule>
  </conditionalFormatting>
  <conditionalFormatting sqref="C60">
    <cfRule type="cellIs" dxfId="7417" priority="9029" stopIfTrue="1" operator="equal">
      <formula>"Towel"</formula>
    </cfRule>
    <cfRule type="cellIs" dxfId="7416" priority="9030" stopIfTrue="1" operator="equal">
      <formula>"Napkin Hs"</formula>
    </cfRule>
  </conditionalFormatting>
  <conditionalFormatting sqref="C60">
    <cfRule type="cellIs" dxfId="7415" priority="9031" stopIfTrue="1" operator="equal">
      <formula>"Towel"</formula>
    </cfRule>
    <cfRule type="cellIs" dxfId="7414" priority="9032" stopIfTrue="1" operator="equal">
      <formula>"Napkin Hs"</formula>
    </cfRule>
  </conditionalFormatting>
  <conditionalFormatting sqref="C60">
    <cfRule type="cellIs" dxfId="7413" priority="9027" stopIfTrue="1" operator="equal">
      <formula>"Towel"</formula>
    </cfRule>
    <cfRule type="cellIs" dxfId="7412" priority="9028" stopIfTrue="1" operator="equal">
      <formula>"Napkin Hs"</formula>
    </cfRule>
  </conditionalFormatting>
  <conditionalFormatting sqref="C60">
    <cfRule type="cellIs" dxfId="7411" priority="9025" stopIfTrue="1" operator="equal">
      <formula>"Towel"</formula>
    </cfRule>
    <cfRule type="cellIs" dxfId="7410" priority="9026" stopIfTrue="1" operator="equal">
      <formula>"Napkin Hs"</formula>
    </cfRule>
  </conditionalFormatting>
  <conditionalFormatting sqref="C60">
    <cfRule type="cellIs" dxfId="7409" priority="9033" stopIfTrue="1" operator="equal">
      <formula>"Towel"</formula>
    </cfRule>
    <cfRule type="cellIs" dxfId="7408" priority="9034" stopIfTrue="1" operator="equal">
      <formula>"Napkin Hs"</formula>
    </cfRule>
  </conditionalFormatting>
  <conditionalFormatting sqref="C60">
    <cfRule type="cellIs" dxfId="7407" priority="9035" stopIfTrue="1" operator="equal">
      <formula>"Towel"</formula>
    </cfRule>
    <cfRule type="cellIs" dxfId="7406" priority="9036" stopIfTrue="1" operator="equal">
      <formula>"Napkin Hs"</formula>
    </cfRule>
  </conditionalFormatting>
  <conditionalFormatting sqref="C60">
    <cfRule type="cellIs" dxfId="7405" priority="9021" stopIfTrue="1" operator="equal">
      <formula>"Towel"</formula>
    </cfRule>
    <cfRule type="cellIs" dxfId="7404" priority="9022" stopIfTrue="1" operator="equal">
      <formula>"Napkin Hs"</formula>
    </cfRule>
  </conditionalFormatting>
  <conditionalFormatting sqref="C60">
    <cfRule type="cellIs" dxfId="7403" priority="9023" stopIfTrue="1" operator="equal">
      <formula>"Towel"</formula>
    </cfRule>
    <cfRule type="cellIs" dxfId="7402" priority="9024" stopIfTrue="1" operator="equal">
      <formula>"Napkin Hs"</formula>
    </cfRule>
  </conditionalFormatting>
  <conditionalFormatting sqref="C60">
    <cfRule type="cellIs" dxfId="7401" priority="9019" stopIfTrue="1" operator="equal">
      <formula>"Towel"</formula>
    </cfRule>
    <cfRule type="cellIs" dxfId="7400" priority="9020" stopIfTrue="1" operator="equal">
      <formula>"Napkin Hs"</formula>
    </cfRule>
  </conditionalFormatting>
  <conditionalFormatting sqref="C60">
    <cfRule type="cellIs" dxfId="7399" priority="9013" stopIfTrue="1" operator="equal">
      <formula>"Towel"</formula>
    </cfRule>
    <cfRule type="cellIs" dxfId="7398" priority="9014" stopIfTrue="1" operator="equal">
      <formula>"Napkin Hs"</formula>
    </cfRule>
  </conditionalFormatting>
  <conditionalFormatting sqref="C60">
    <cfRule type="cellIs" dxfId="7397" priority="9015" stopIfTrue="1" operator="equal">
      <formula>"Towel"</formula>
    </cfRule>
    <cfRule type="cellIs" dxfId="7396" priority="9016" stopIfTrue="1" operator="equal">
      <formula>"Napkin Hs"</formula>
    </cfRule>
  </conditionalFormatting>
  <conditionalFormatting sqref="C60">
    <cfRule type="cellIs" dxfId="7395" priority="9017" stopIfTrue="1" operator="equal">
      <formula>"Towel"</formula>
    </cfRule>
    <cfRule type="cellIs" dxfId="7394" priority="9018" stopIfTrue="1" operator="equal">
      <formula>"Napkin Hs"</formula>
    </cfRule>
  </conditionalFormatting>
  <conditionalFormatting sqref="C60">
    <cfRule type="cellIs" dxfId="7393" priority="8967" stopIfTrue="1" operator="equal">
      <formula>"Towel"</formula>
    </cfRule>
    <cfRule type="cellIs" dxfId="7392" priority="8968" stopIfTrue="1" operator="equal">
      <formula>"Napkin Hs"</formula>
    </cfRule>
  </conditionalFormatting>
  <conditionalFormatting sqref="C60">
    <cfRule type="cellIs" dxfId="7391" priority="8969" stopIfTrue="1" operator="equal">
      <formula>"Towel"</formula>
    </cfRule>
    <cfRule type="cellIs" dxfId="7390" priority="8970" stopIfTrue="1" operator="equal">
      <formula>"Napkin Hs"</formula>
    </cfRule>
  </conditionalFormatting>
  <conditionalFormatting sqref="C60">
    <cfRule type="cellIs" dxfId="7389" priority="8965" stopIfTrue="1" operator="equal">
      <formula>"Towel"</formula>
    </cfRule>
    <cfRule type="cellIs" dxfId="7388" priority="8966" stopIfTrue="1" operator="equal">
      <formula>"Napkin Hs"</formula>
    </cfRule>
  </conditionalFormatting>
  <conditionalFormatting sqref="C60">
    <cfRule type="cellIs" dxfId="7387" priority="8963" stopIfTrue="1" operator="equal">
      <formula>"Towel"</formula>
    </cfRule>
    <cfRule type="cellIs" dxfId="7386" priority="8964" stopIfTrue="1" operator="equal">
      <formula>"Napkin Hs"</formula>
    </cfRule>
  </conditionalFormatting>
  <conditionalFormatting sqref="C60">
    <cfRule type="cellIs" dxfId="7385" priority="8959" stopIfTrue="1" operator="equal">
      <formula>"Towel"</formula>
    </cfRule>
    <cfRule type="cellIs" dxfId="7384" priority="8960" stopIfTrue="1" operator="equal">
      <formula>"Napkin Hs"</formula>
    </cfRule>
  </conditionalFormatting>
  <conditionalFormatting sqref="C60">
    <cfRule type="cellIs" dxfId="7383" priority="8961" stopIfTrue="1" operator="equal">
      <formula>"Towel"</formula>
    </cfRule>
    <cfRule type="cellIs" dxfId="7382" priority="8962" stopIfTrue="1" operator="equal">
      <formula>"Napkin Hs"</formula>
    </cfRule>
  </conditionalFormatting>
  <conditionalFormatting sqref="C60">
    <cfRule type="cellIs" dxfId="7381" priority="9011" stopIfTrue="1" operator="equal">
      <formula>"Towel"</formula>
    </cfRule>
    <cfRule type="cellIs" dxfId="7380" priority="9012" stopIfTrue="1" operator="equal">
      <formula>"Napkin Hs"</formula>
    </cfRule>
  </conditionalFormatting>
  <conditionalFormatting sqref="C60">
    <cfRule type="cellIs" dxfId="7379" priority="9007" stopIfTrue="1" operator="equal">
      <formula>"Towel"</formula>
    </cfRule>
    <cfRule type="cellIs" dxfId="7378" priority="9008" stopIfTrue="1" operator="equal">
      <formula>"Napkin Hs"</formula>
    </cfRule>
  </conditionalFormatting>
  <conditionalFormatting sqref="C60">
    <cfRule type="cellIs" dxfId="7377" priority="9010" stopIfTrue="1" operator="equal">
      <formula>"Napkin Hs"</formula>
    </cfRule>
  </conditionalFormatting>
  <conditionalFormatting sqref="C60">
    <cfRule type="cellIs" dxfId="7376" priority="9009" stopIfTrue="1" operator="equal">
      <formula>"Towel"</formula>
    </cfRule>
  </conditionalFormatting>
  <conditionalFormatting sqref="C60">
    <cfRule type="cellIs" dxfId="7375" priority="9001" stopIfTrue="1" operator="equal">
      <formula>"Towel"</formula>
    </cfRule>
    <cfRule type="cellIs" dxfId="7374" priority="9002" stopIfTrue="1" operator="equal">
      <formula>"Napkin Hs"</formula>
    </cfRule>
  </conditionalFormatting>
  <conditionalFormatting sqref="C60">
    <cfRule type="cellIs" dxfId="7373" priority="9005" stopIfTrue="1" operator="equal">
      <formula>"Towel"</formula>
    </cfRule>
    <cfRule type="cellIs" dxfId="7372" priority="9006" stopIfTrue="1" operator="equal">
      <formula>"Napkin Hs"</formula>
    </cfRule>
  </conditionalFormatting>
  <conditionalFormatting sqref="C60">
    <cfRule type="cellIs" dxfId="7371" priority="9003" stopIfTrue="1" operator="equal">
      <formula>"Towel"</formula>
    </cfRule>
    <cfRule type="cellIs" dxfId="7370" priority="9004" stopIfTrue="1" operator="equal">
      <formula>"Napkin Hs"</formula>
    </cfRule>
  </conditionalFormatting>
  <conditionalFormatting sqref="C60">
    <cfRule type="cellIs" dxfId="7369" priority="8995" stopIfTrue="1" operator="equal">
      <formula>"Towel"</formula>
    </cfRule>
    <cfRule type="cellIs" dxfId="7368" priority="8996" stopIfTrue="1" operator="equal">
      <formula>"Napkin Hs"</formula>
    </cfRule>
  </conditionalFormatting>
  <conditionalFormatting sqref="C60">
    <cfRule type="cellIs" dxfId="7367" priority="8997" stopIfTrue="1" operator="equal">
      <formula>"Towel"</formula>
    </cfRule>
    <cfRule type="cellIs" dxfId="7366" priority="8998" stopIfTrue="1" operator="equal">
      <formula>"Napkin Hs"</formula>
    </cfRule>
  </conditionalFormatting>
  <conditionalFormatting sqref="C60">
    <cfRule type="cellIs" dxfId="7365" priority="8999" stopIfTrue="1" operator="equal">
      <formula>"Towel"</formula>
    </cfRule>
    <cfRule type="cellIs" dxfId="7364" priority="9000" stopIfTrue="1" operator="equal">
      <formula>"Napkin Hs"</formula>
    </cfRule>
  </conditionalFormatting>
  <conditionalFormatting sqref="C60">
    <cfRule type="cellIs" dxfId="7363" priority="8989" stopIfTrue="1" operator="equal">
      <formula>"Towel"</formula>
    </cfRule>
    <cfRule type="cellIs" dxfId="7362" priority="8990" stopIfTrue="1" operator="equal">
      <formula>"Napkin Hs"</formula>
    </cfRule>
  </conditionalFormatting>
  <conditionalFormatting sqref="C60">
    <cfRule type="cellIs" dxfId="7361" priority="8993" stopIfTrue="1" operator="equal">
      <formula>"Towel"</formula>
    </cfRule>
    <cfRule type="cellIs" dxfId="7360" priority="8994" stopIfTrue="1" operator="equal">
      <formula>"Napkin Hs"</formula>
    </cfRule>
  </conditionalFormatting>
  <conditionalFormatting sqref="C60">
    <cfRule type="cellIs" dxfId="7359" priority="8991" stopIfTrue="1" operator="equal">
      <formula>"Towel"</formula>
    </cfRule>
    <cfRule type="cellIs" dxfId="7358" priority="8992" stopIfTrue="1" operator="equal">
      <formula>"Napkin Hs"</formula>
    </cfRule>
  </conditionalFormatting>
  <conditionalFormatting sqref="C60">
    <cfRule type="cellIs" dxfId="7357" priority="8983" stopIfTrue="1" operator="equal">
      <formula>"Towel"</formula>
    </cfRule>
    <cfRule type="cellIs" dxfId="7356" priority="8984" stopIfTrue="1" operator="equal">
      <formula>"Napkin Hs"</formula>
    </cfRule>
  </conditionalFormatting>
  <conditionalFormatting sqref="C60">
    <cfRule type="cellIs" dxfId="7355" priority="8985" stopIfTrue="1" operator="equal">
      <formula>"Towel"</formula>
    </cfRule>
    <cfRule type="cellIs" dxfId="7354" priority="8986" stopIfTrue="1" operator="equal">
      <formula>"Napkin Hs"</formula>
    </cfRule>
  </conditionalFormatting>
  <conditionalFormatting sqref="C60">
    <cfRule type="cellIs" dxfId="7353" priority="8987" stopIfTrue="1" operator="equal">
      <formula>"Towel"</formula>
    </cfRule>
    <cfRule type="cellIs" dxfId="7352" priority="8988" stopIfTrue="1" operator="equal">
      <formula>"Napkin Hs"</formula>
    </cfRule>
  </conditionalFormatting>
  <conditionalFormatting sqref="C60">
    <cfRule type="cellIs" dxfId="7351" priority="8981" stopIfTrue="1" operator="equal">
      <formula>"Towel"</formula>
    </cfRule>
    <cfRule type="cellIs" dxfId="7350" priority="8982" stopIfTrue="1" operator="equal">
      <formula>"Napkin Hs"</formula>
    </cfRule>
  </conditionalFormatting>
  <conditionalFormatting sqref="C60">
    <cfRule type="cellIs" dxfId="7349" priority="8977" stopIfTrue="1" operator="equal">
      <formula>"Towel"</formula>
    </cfRule>
    <cfRule type="cellIs" dxfId="7348" priority="8978" stopIfTrue="1" operator="equal">
      <formula>"Napkin Hs"</formula>
    </cfRule>
  </conditionalFormatting>
  <conditionalFormatting sqref="C60">
    <cfRule type="cellIs" dxfId="7347" priority="8979" stopIfTrue="1" operator="equal">
      <formula>"Towel"</formula>
    </cfRule>
    <cfRule type="cellIs" dxfId="7346" priority="8980" stopIfTrue="1" operator="equal">
      <formula>"Napkin Hs"</formula>
    </cfRule>
  </conditionalFormatting>
  <conditionalFormatting sqref="C60">
    <cfRule type="cellIs" dxfId="7345" priority="8975" stopIfTrue="1" operator="equal">
      <formula>"Towel"</formula>
    </cfRule>
    <cfRule type="cellIs" dxfId="7344" priority="8976" stopIfTrue="1" operator="equal">
      <formula>"Napkin Hs"</formula>
    </cfRule>
  </conditionalFormatting>
  <conditionalFormatting sqref="C60">
    <cfRule type="cellIs" dxfId="7343" priority="8973" stopIfTrue="1" operator="equal">
      <formula>"Towel"</formula>
    </cfRule>
    <cfRule type="cellIs" dxfId="7342" priority="8974" stopIfTrue="1" operator="equal">
      <formula>"Napkin Hs"</formula>
    </cfRule>
  </conditionalFormatting>
  <conditionalFormatting sqref="C60">
    <cfRule type="cellIs" dxfId="7341" priority="8971" stopIfTrue="1" operator="equal">
      <formula>"Towel"</formula>
    </cfRule>
    <cfRule type="cellIs" dxfId="7340" priority="8972" stopIfTrue="1" operator="equal">
      <formula>"Napkin Hs"</formula>
    </cfRule>
  </conditionalFormatting>
  <conditionalFormatting sqref="C60">
    <cfRule type="cellIs" dxfId="7339" priority="8955" stopIfTrue="1" operator="equal">
      <formula>"Towel"</formula>
    </cfRule>
    <cfRule type="cellIs" dxfId="7338" priority="8956" stopIfTrue="1" operator="equal">
      <formula>"Napkin Hs"</formula>
    </cfRule>
  </conditionalFormatting>
  <conditionalFormatting sqref="C60">
    <cfRule type="cellIs" dxfId="7337" priority="8957" stopIfTrue="1" operator="equal">
      <formula>"Towel"</formula>
    </cfRule>
    <cfRule type="cellIs" dxfId="7336" priority="8958" stopIfTrue="1" operator="equal">
      <formula>"Napkin Hs"</formula>
    </cfRule>
  </conditionalFormatting>
  <conditionalFormatting sqref="C60">
    <cfRule type="cellIs" dxfId="7335" priority="8953" stopIfTrue="1" operator="equal">
      <formula>"Towel"</formula>
    </cfRule>
    <cfRule type="cellIs" dxfId="7334" priority="8954" stopIfTrue="1" operator="equal">
      <formula>"Napkin Hs"</formula>
    </cfRule>
  </conditionalFormatting>
  <conditionalFormatting sqref="C60">
    <cfRule type="cellIs" dxfId="7333" priority="8951" stopIfTrue="1" operator="equal">
      <formula>"Towel"</formula>
    </cfRule>
    <cfRule type="cellIs" dxfId="7332" priority="8952" stopIfTrue="1" operator="equal">
      <formula>"Napkin Hs"</formula>
    </cfRule>
  </conditionalFormatting>
  <conditionalFormatting sqref="C60">
    <cfRule type="cellIs" dxfId="7331" priority="8947" stopIfTrue="1" operator="equal">
      <formula>"Towel"</formula>
    </cfRule>
    <cfRule type="cellIs" dxfId="7330" priority="8948" stopIfTrue="1" operator="equal">
      <formula>"Napkin Hs"</formula>
    </cfRule>
  </conditionalFormatting>
  <conditionalFormatting sqref="C60">
    <cfRule type="cellIs" dxfId="7329" priority="8949" stopIfTrue="1" operator="equal">
      <formula>"Towel"</formula>
    </cfRule>
    <cfRule type="cellIs" dxfId="7328" priority="8950" stopIfTrue="1" operator="equal">
      <formula>"Napkin Hs"</formula>
    </cfRule>
  </conditionalFormatting>
  <conditionalFormatting sqref="C60">
    <cfRule type="cellIs" dxfId="7327" priority="8943" stopIfTrue="1" operator="equal">
      <formula>"Towel"</formula>
    </cfRule>
    <cfRule type="cellIs" dxfId="7326" priority="8944" stopIfTrue="1" operator="equal">
      <formula>"Napkin Hs"</formula>
    </cfRule>
  </conditionalFormatting>
  <conditionalFormatting sqref="C60">
    <cfRule type="cellIs" dxfId="7325" priority="8945" stopIfTrue="1" operator="equal">
      <formula>"Towel"</formula>
    </cfRule>
    <cfRule type="cellIs" dxfId="7324" priority="8946" stopIfTrue="1" operator="equal">
      <formula>"Napkin Hs"</formula>
    </cfRule>
  </conditionalFormatting>
  <conditionalFormatting sqref="C60">
    <cfRule type="cellIs" dxfId="7323" priority="8941" stopIfTrue="1" operator="equal">
      <formula>"Towel"</formula>
    </cfRule>
    <cfRule type="cellIs" dxfId="7322" priority="8942" stopIfTrue="1" operator="equal">
      <formula>"Napkin Hs"</formula>
    </cfRule>
  </conditionalFormatting>
  <conditionalFormatting sqref="C60">
    <cfRule type="cellIs" dxfId="7321" priority="8939" stopIfTrue="1" operator="equal">
      <formula>"Towel"</formula>
    </cfRule>
    <cfRule type="cellIs" dxfId="7320" priority="8940" stopIfTrue="1" operator="equal">
      <formula>"Napkin Hs"</formula>
    </cfRule>
  </conditionalFormatting>
  <conditionalFormatting sqref="C60">
    <cfRule type="cellIs" dxfId="7319" priority="8935" stopIfTrue="1" operator="equal">
      <formula>"Towel"</formula>
    </cfRule>
    <cfRule type="cellIs" dxfId="7318" priority="8936" stopIfTrue="1" operator="equal">
      <formula>"Napkin Hs"</formula>
    </cfRule>
  </conditionalFormatting>
  <conditionalFormatting sqref="C60">
    <cfRule type="cellIs" dxfId="7317" priority="8937" stopIfTrue="1" operator="equal">
      <formula>"Towel"</formula>
    </cfRule>
    <cfRule type="cellIs" dxfId="7316" priority="8938" stopIfTrue="1" operator="equal">
      <formula>"Napkin Hs"</formula>
    </cfRule>
  </conditionalFormatting>
  <conditionalFormatting sqref="B60">
    <cfRule type="cellIs" dxfId="7315" priority="8933" stopIfTrue="1" operator="equal">
      <formula>"Towel"</formula>
    </cfRule>
    <cfRule type="cellIs" dxfId="7314" priority="8934" stopIfTrue="1" operator="equal">
      <formula>"Napkin Hs"</formula>
    </cfRule>
  </conditionalFormatting>
  <conditionalFormatting sqref="B60">
    <cfRule type="cellIs" dxfId="7313" priority="8917" stopIfTrue="1" operator="equal">
      <formula>"Towel"</formula>
    </cfRule>
    <cfRule type="cellIs" dxfId="7312" priority="8918" stopIfTrue="1" operator="equal">
      <formula>"Napkin Hs"</formula>
    </cfRule>
  </conditionalFormatting>
  <conditionalFormatting sqref="B60">
    <cfRule type="cellIs" dxfId="7311" priority="8915" stopIfTrue="1" operator="equal">
      <formula>"Towel"</formula>
    </cfRule>
    <cfRule type="cellIs" dxfId="7310" priority="8916" stopIfTrue="1" operator="equal">
      <formula>"Napkin Hs"</formula>
    </cfRule>
  </conditionalFormatting>
  <conditionalFormatting sqref="B60">
    <cfRule type="cellIs" dxfId="7309" priority="8931" stopIfTrue="1" operator="equal">
      <formula>"Towel"</formula>
    </cfRule>
    <cfRule type="cellIs" dxfId="7308" priority="8932" stopIfTrue="1" operator="equal">
      <formula>"Napkin Hs"</formula>
    </cfRule>
  </conditionalFormatting>
  <conditionalFormatting sqref="B60">
    <cfRule type="cellIs" dxfId="7307" priority="8927" stopIfTrue="1" operator="equal">
      <formula>"Towel"</formula>
    </cfRule>
    <cfRule type="cellIs" dxfId="7306" priority="8928" stopIfTrue="1" operator="equal">
      <formula>"Napkin Hs"</formula>
    </cfRule>
  </conditionalFormatting>
  <conditionalFormatting sqref="B60">
    <cfRule type="cellIs" dxfId="7305" priority="8929" stopIfTrue="1" operator="equal">
      <formula>"Towel"</formula>
    </cfRule>
    <cfRule type="cellIs" dxfId="7304" priority="8930" stopIfTrue="1" operator="equal">
      <formula>"Napkin Hs"</formula>
    </cfRule>
  </conditionalFormatting>
  <conditionalFormatting sqref="B60">
    <cfRule type="cellIs" dxfId="7303" priority="8923" stopIfTrue="1" operator="equal">
      <formula>"Towel"</formula>
    </cfRule>
    <cfRule type="cellIs" dxfId="7302" priority="8924" stopIfTrue="1" operator="equal">
      <formula>"Napkin Hs"</formula>
    </cfRule>
  </conditionalFormatting>
  <conditionalFormatting sqref="B60">
    <cfRule type="cellIs" dxfId="7301" priority="8925" stopIfTrue="1" operator="equal">
      <formula>"Towel"</formula>
    </cfRule>
    <cfRule type="cellIs" dxfId="7300" priority="8926" stopIfTrue="1" operator="equal">
      <formula>"Napkin Hs"</formula>
    </cfRule>
  </conditionalFormatting>
  <conditionalFormatting sqref="B60">
    <cfRule type="cellIs" dxfId="7299" priority="8921" stopIfTrue="1" operator="equal">
      <formula>"Towel"</formula>
    </cfRule>
    <cfRule type="cellIs" dxfId="7298" priority="8922" stopIfTrue="1" operator="equal">
      <formula>"Napkin Hs"</formula>
    </cfRule>
  </conditionalFormatting>
  <conditionalFormatting sqref="B60">
    <cfRule type="cellIs" dxfId="7297" priority="8919" stopIfTrue="1" operator="equal">
      <formula>"Towel"</formula>
    </cfRule>
    <cfRule type="cellIs" dxfId="7296" priority="8920" stopIfTrue="1" operator="equal">
      <formula>"Napkin Hs"</formula>
    </cfRule>
  </conditionalFormatting>
  <conditionalFormatting sqref="B60">
    <cfRule type="cellIs" dxfId="7295" priority="8913" stopIfTrue="1" operator="equal">
      <formula>"Towel"</formula>
    </cfRule>
    <cfRule type="cellIs" dxfId="7294" priority="8914" stopIfTrue="1" operator="equal">
      <formula>"Napkin Hs"</formula>
    </cfRule>
  </conditionalFormatting>
  <conditionalFormatting sqref="B60">
    <cfRule type="cellIs" dxfId="7293" priority="8911" stopIfTrue="1" operator="equal">
      <formula>"Towel"</formula>
    </cfRule>
    <cfRule type="cellIs" dxfId="7292" priority="8912" stopIfTrue="1" operator="equal">
      <formula>"Napkin Hs"</formula>
    </cfRule>
  </conditionalFormatting>
  <conditionalFormatting sqref="B60">
    <cfRule type="cellIs" dxfId="7291" priority="8909" stopIfTrue="1" operator="equal">
      <formula>"Towel"</formula>
    </cfRule>
    <cfRule type="cellIs" dxfId="7290" priority="8910" stopIfTrue="1" operator="equal">
      <formula>"Napkin Hs"</formula>
    </cfRule>
  </conditionalFormatting>
  <conditionalFormatting sqref="B60">
    <cfRule type="cellIs" dxfId="7289" priority="8907" stopIfTrue="1" operator="equal">
      <formula>"Towel"</formula>
    </cfRule>
    <cfRule type="cellIs" dxfId="7288" priority="8908" stopIfTrue="1" operator="equal">
      <formula>"Napkin Hs"</formula>
    </cfRule>
  </conditionalFormatting>
  <conditionalFormatting sqref="C59">
    <cfRule type="cellIs" dxfId="7287" priority="8899" stopIfTrue="1" operator="equal">
      <formula>"Towel"</formula>
    </cfRule>
    <cfRule type="cellIs" dxfId="7286" priority="8900" stopIfTrue="1" operator="equal">
      <formula>"Napkin Hs"</formula>
    </cfRule>
  </conditionalFormatting>
  <conditionalFormatting sqref="C59">
    <cfRule type="cellIs" dxfId="7285" priority="8901" stopIfTrue="1" operator="equal">
      <formula>"Towel"</formula>
    </cfRule>
    <cfRule type="cellIs" dxfId="7284" priority="8902" stopIfTrue="1" operator="equal">
      <formula>"Napkin Hs"</formula>
    </cfRule>
  </conditionalFormatting>
  <conditionalFormatting sqref="C59">
    <cfRule type="cellIs" dxfId="7283" priority="8897" stopIfTrue="1" operator="equal">
      <formula>"Towel"</formula>
    </cfRule>
    <cfRule type="cellIs" dxfId="7282" priority="8898" stopIfTrue="1" operator="equal">
      <formula>"Napkin Hs"</formula>
    </cfRule>
  </conditionalFormatting>
  <conditionalFormatting sqref="C59">
    <cfRule type="cellIs" dxfId="7281" priority="8895" stopIfTrue="1" operator="equal">
      <formula>"Towel"</formula>
    </cfRule>
    <cfRule type="cellIs" dxfId="7280" priority="8896" stopIfTrue="1" operator="equal">
      <formula>"Napkin Hs"</formula>
    </cfRule>
  </conditionalFormatting>
  <conditionalFormatting sqref="C59">
    <cfRule type="cellIs" dxfId="7279" priority="8903" stopIfTrue="1" operator="equal">
      <formula>"Towel"</formula>
    </cfRule>
    <cfRule type="cellIs" dxfId="7278" priority="8904" stopIfTrue="1" operator="equal">
      <formula>"Napkin Hs"</formula>
    </cfRule>
  </conditionalFormatting>
  <conditionalFormatting sqref="C59">
    <cfRule type="cellIs" dxfId="7277" priority="8905" stopIfTrue="1" operator="equal">
      <formula>"Towel"</formula>
    </cfRule>
    <cfRule type="cellIs" dxfId="7276" priority="8906" stopIfTrue="1" operator="equal">
      <formula>"Napkin Hs"</formula>
    </cfRule>
  </conditionalFormatting>
  <conditionalFormatting sqref="C59">
    <cfRule type="cellIs" dxfId="7275" priority="8891" stopIfTrue="1" operator="equal">
      <formula>"Towel"</formula>
    </cfRule>
    <cfRule type="cellIs" dxfId="7274" priority="8892" stopIfTrue="1" operator="equal">
      <formula>"Napkin Hs"</formula>
    </cfRule>
  </conditionalFormatting>
  <conditionalFormatting sqref="C59">
    <cfRule type="cellIs" dxfId="7273" priority="8893" stopIfTrue="1" operator="equal">
      <formula>"Towel"</formula>
    </cfRule>
    <cfRule type="cellIs" dxfId="7272" priority="8894" stopIfTrue="1" operator="equal">
      <formula>"Napkin Hs"</formula>
    </cfRule>
  </conditionalFormatting>
  <conditionalFormatting sqref="C59">
    <cfRule type="cellIs" dxfId="7271" priority="8889" stopIfTrue="1" operator="equal">
      <formula>"Towel"</formula>
    </cfRule>
    <cfRule type="cellIs" dxfId="7270" priority="8890" stopIfTrue="1" operator="equal">
      <formula>"Napkin Hs"</formula>
    </cfRule>
  </conditionalFormatting>
  <conditionalFormatting sqref="C59">
    <cfRule type="cellIs" dxfId="7269" priority="8883" stopIfTrue="1" operator="equal">
      <formula>"Towel"</formula>
    </cfRule>
    <cfRule type="cellIs" dxfId="7268" priority="8884" stopIfTrue="1" operator="equal">
      <formula>"Napkin Hs"</formula>
    </cfRule>
  </conditionalFormatting>
  <conditionalFormatting sqref="C59">
    <cfRule type="cellIs" dxfId="7267" priority="8885" stopIfTrue="1" operator="equal">
      <formula>"Towel"</formula>
    </cfRule>
    <cfRule type="cellIs" dxfId="7266" priority="8886" stopIfTrue="1" operator="equal">
      <formula>"Napkin Hs"</formula>
    </cfRule>
  </conditionalFormatting>
  <conditionalFormatting sqref="C59">
    <cfRule type="cellIs" dxfId="7265" priority="8887" stopIfTrue="1" operator="equal">
      <formula>"Towel"</formula>
    </cfRule>
    <cfRule type="cellIs" dxfId="7264" priority="8888" stopIfTrue="1" operator="equal">
      <formula>"Napkin Hs"</formula>
    </cfRule>
  </conditionalFormatting>
  <conditionalFormatting sqref="C59">
    <cfRule type="cellIs" dxfId="7263" priority="8837" stopIfTrue="1" operator="equal">
      <formula>"Towel"</formula>
    </cfRule>
    <cfRule type="cellIs" dxfId="7262" priority="8838" stopIfTrue="1" operator="equal">
      <formula>"Napkin Hs"</formula>
    </cfRule>
  </conditionalFormatting>
  <conditionalFormatting sqref="C59">
    <cfRule type="cellIs" dxfId="7261" priority="8839" stopIfTrue="1" operator="equal">
      <formula>"Towel"</formula>
    </cfRule>
    <cfRule type="cellIs" dxfId="7260" priority="8840" stopIfTrue="1" operator="equal">
      <formula>"Napkin Hs"</formula>
    </cfRule>
  </conditionalFormatting>
  <conditionalFormatting sqref="C59">
    <cfRule type="cellIs" dxfId="7259" priority="8835" stopIfTrue="1" operator="equal">
      <formula>"Towel"</formula>
    </cfRule>
    <cfRule type="cellIs" dxfId="7258" priority="8836" stopIfTrue="1" operator="equal">
      <formula>"Napkin Hs"</formula>
    </cfRule>
  </conditionalFormatting>
  <conditionalFormatting sqref="C59">
    <cfRule type="cellIs" dxfId="7257" priority="8833" stopIfTrue="1" operator="equal">
      <formula>"Towel"</formula>
    </cfRule>
    <cfRule type="cellIs" dxfId="7256" priority="8834" stopIfTrue="1" operator="equal">
      <formula>"Napkin Hs"</formula>
    </cfRule>
  </conditionalFormatting>
  <conditionalFormatting sqref="C59">
    <cfRule type="cellIs" dxfId="7255" priority="8829" stopIfTrue="1" operator="equal">
      <formula>"Towel"</formula>
    </cfRule>
    <cfRule type="cellIs" dxfId="7254" priority="8830" stopIfTrue="1" operator="equal">
      <formula>"Napkin Hs"</formula>
    </cfRule>
  </conditionalFormatting>
  <conditionalFormatting sqref="C59">
    <cfRule type="cellIs" dxfId="7253" priority="8831" stopIfTrue="1" operator="equal">
      <formula>"Towel"</formula>
    </cfRule>
    <cfRule type="cellIs" dxfId="7252" priority="8832" stopIfTrue="1" operator="equal">
      <formula>"Napkin Hs"</formula>
    </cfRule>
  </conditionalFormatting>
  <conditionalFormatting sqref="C59">
    <cfRule type="cellIs" dxfId="7251" priority="8881" stopIfTrue="1" operator="equal">
      <formula>"Towel"</formula>
    </cfRule>
    <cfRule type="cellIs" dxfId="7250" priority="8882" stopIfTrue="1" operator="equal">
      <formula>"Napkin Hs"</formula>
    </cfRule>
  </conditionalFormatting>
  <conditionalFormatting sqref="C59">
    <cfRule type="cellIs" dxfId="7249" priority="8877" stopIfTrue="1" operator="equal">
      <formula>"Towel"</formula>
    </cfRule>
    <cfRule type="cellIs" dxfId="7248" priority="8878" stopIfTrue="1" operator="equal">
      <formula>"Napkin Hs"</formula>
    </cfRule>
  </conditionalFormatting>
  <conditionalFormatting sqref="C59">
    <cfRule type="cellIs" dxfId="7247" priority="8880" stopIfTrue="1" operator="equal">
      <formula>"Napkin Hs"</formula>
    </cfRule>
  </conditionalFormatting>
  <conditionalFormatting sqref="C59">
    <cfRule type="cellIs" dxfId="7246" priority="8879" stopIfTrue="1" operator="equal">
      <formula>"Towel"</formula>
    </cfRule>
  </conditionalFormatting>
  <conditionalFormatting sqref="C59">
    <cfRule type="cellIs" dxfId="7245" priority="8871" stopIfTrue="1" operator="equal">
      <formula>"Towel"</formula>
    </cfRule>
    <cfRule type="cellIs" dxfId="7244" priority="8872" stopIfTrue="1" operator="equal">
      <formula>"Napkin Hs"</formula>
    </cfRule>
  </conditionalFormatting>
  <conditionalFormatting sqref="C59">
    <cfRule type="cellIs" dxfId="7243" priority="8875" stopIfTrue="1" operator="equal">
      <formula>"Towel"</formula>
    </cfRule>
    <cfRule type="cellIs" dxfId="7242" priority="8876" stopIfTrue="1" operator="equal">
      <formula>"Napkin Hs"</formula>
    </cfRule>
  </conditionalFormatting>
  <conditionalFormatting sqref="C59">
    <cfRule type="cellIs" dxfId="7241" priority="8873" stopIfTrue="1" operator="equal">
      <formula>"Towel"</formula>
    </cfRule>
    <cfRule type="cellIs" dxfId="7240" priority="8874" stopIfTrue="1" operator="equal">
      <formula>"Napkin Hs"</formula>
    </cfRule>
  </conditionalFormatting>
  <conditionalFormatting sqref="C59">
    <cfRule type="cellIs" dxfId="7239" priority="8865" stopIfTrue="1" operator="equal">
      <formula>"Towel"</formula>
    </cfRule>
    <cfRule type="cellIs" dxfId="7238" priority="8866" stopIfTrue="1" operator="equal">
      <formula>"Napkin Hs"</formula>
    </cfRule>
  </conditionalFormatting>
  <conditionalFormatting sqref="C59">
    <cfRule type="cellIs" dxfId="7237" priority="8867" stopIfTrue="1" operator="equal">
      <formula>"Towel"</formula>
    </cfRule>
    <cfRule type="cellIs" dxfId="7236" priority="8868" stopIfTrue="1" operator="equal">
      <formula>"Napkin Hs"</formula>
    </cfRule>
  </conditionalFormatting>
  <conditionalFormatting sqref="C59">
    <cfRule type="cellIs" dxfId="7235" priority="8869" stopIfTrue="1" operator="equal">
      <formula>"Towel"</formula>
    </cfRule>
    <cfRule type="cellIs" dxfId="7234" priority="8870" stopIfTrue="1" operator="equal">
      <formula>"Napkin Hs"</formula>
    </cfRule>
  </conditionalFormatting>
  <conditionalFormatting sqref="C59">
    <cfRule type="cellIs" dxfId="7233" priority="8859" stopIfTrue="1" operator="equal">
      <formula>"Towel"</formula>
    </cfRule>
    <cfRule type="cellIs" dxfId="7232" priority="8860" stopIfTrue="1" operator="equal">
      <formula>"Napkin Hs"</formula>
    </cfRule>
  </conditionalFormatting>
  <conditionalFormatting sqref="C59">
    <cfRule type="cellIs" dxfId="7231" priority="8863" stopIfTrue="1" operator="equal">
      <formula>"Towel"</formula>
    </cfRule>
    <cfRule type="cellIs" dxfId="7230" priority="8864" stopIfTrue="1" operator="equal">
      <formula>"Napkin Hs"</formula>
    </cfRule>
  </conditionalFormatting>
  <conditionalFormatting sqref="C59">
    <cfRule type="cellIs" dxfId="7229" priority="8861" stopIfTrue="1" operator="equal">
      <formula>"Towel"</formula>
    </cfRule>
    <cfRule type="cellIs" dxfId="7228" priority="8862" stopIfTrue="1" operator="equal">
      <formula>"Napkin Hs"</formula>
    </cfRule>
  </conditionalFormatting>
  <conditionalFormatting sqref="C59">
    <cfRule type="cellIs" dxfId="7227" priority="8853" stopIfTrue="1" operator="equal">
      <formula>"Towel"</formula>
    </cfRule>
    <cfRule type="cellIs" dxfId="7226" priority="8854" stopIfTrue="1" operator="equal">
      <formula>"Napkin Hs"</formula>
    </cfRule>
  </conditionalFormatting>
  <conditionalFormatting sqref="C59">
    <cfRule type="cellIs" dxfId="7225" priority="8855" stopIfTrue="1" operator="equal">
      <formula>"Towel"</formula>
    </cfRule>
    <cfRule type="cellIs" dxfId="7224" priority="8856" stopIfTrue="1" operator="equal">
      <formula>"Napkin Hs"</formula>
    </cfRule>
  </conditionalFormatting>
  <conditionalFormatting sqref="C59">
    <cfRule type="cellIs" dxfId="7223" priority="8857" stopIfTrue="1" operator="equal">
      <formula>"Towel"</formula>
    </cfRule>
    <cfRule type="cellIs" dxfId="7222" priority="8858" stopIfTrue="1" operator="equal">
      <formula>"Napkin Hs"</formula>
    </cfRule>
  </conditionalFormatting>
  <conditionalFormatting sqref="C59">
    <cfRule type="cellIs" dxfId="7221" priority="8851" stopIfTrue="1" operator="equal">
      <formula>"Towel"</formula>
    </cfRule>
    <cfRule type="cellIs" dxfId="7220" priority="8852" stopIfTrue="1" operator="equal">
      <formula>"Napkin Hs"</formula>
    </cfRule>
  </conditionalFormatting>
  <conditionalFormatting sqref="C59">
    <cfRule type="cellIs" dxfId="7219" priority="8847" stopIfTrue="1" operator="equal">
      <formula>"Towel"</formula>
    </cfRule>
    <cfRule type="cellIs" dxfId="7218" priority="8848" stopIfTrue="1" operator="equal">
      <formula>"Napkin Hs"</formula>
    </cfRule>
  </conditionalFormatting>
  <conditionalFormatting sqref="C59">
    <cfRule type="cellIs" dxfId="7217" priority="8849" stopIfTrue="1" operator="equal">
      <formula>"Towel"</formula>
    </cfRule>
    <cfRule type="cellIs" dxfId="7216" priority="8850" stopIfTrue="1" operator="equal">
      <formula>"Napkin Hs"</formula>
    </cfRule>
  </conditionalFormatting>
  <conditionalFormatting sqref="C59">
    <cfRule type="cellIs" dxfId="7215" priority="8845" stopIfTrue="1" operator="equal">
      <formula>"Towel"</formula>
    </cfRule>
    <cfRule type="cellIs" dxfId="7214" priority="8846" stopIfTrue="1" operator="equal">
      <formula>"Napkin Hs"</formula>
    </cfRule>
  </conditionalFormatting>
  <conditionalFormatting sqref="C59">
    <cfRule type="cellIs" dxfId="7213" priority="8843" stopIfTrue="1" operator="equal">
      <formula>"Towel"</formula>
    </cfRule>
    <cfRule type="cellIs" dxfId="7212" priority="8844" stopIfTrue="1" operator="equal">
      <formula>"Napkin Hs"</formula>
    </cfRule>
  </conditionalFormatting>
  <conditionalFormatting sqref="C59">
    <cfRule type="cellIs" dxfId="7211" priority="8841" stopIfTrue="1" operator="equal">
      <formula>"Towel"</formula>
    </cfRule>
    <cfRule type="cellIs" dxfId="7210" priority="8842" stopIfTrue="1" operator="equal">
      <formula>"Napkin Hs"</formula>
    </cfRule>
  </conditionalFormatting>
  <conditionalFormatting sqref="C59">
    <cfRule type="cellIs" dxfId="7209" priority="8825" stopIfTrue="1" operator="equal">
      <formula>"Towel"</formula>
    </cfRule>
    <cfRule type="cellIs" dxfId="7208" priority="8826" stopIfTrue="1" operator="equal">
      <formula>"Napkin Hs"</formula>
    </cfRule>
  </conditionalFormatting>
  <conditionalFormatting sqref="C59">
    <cfRule type="cellIs" dxfId="7207" priority="8827" stopIfTrue="1" operator="equal">
      <formula>"Towel"</formula>
    </cfRule>
    <cfRule type="cellIs" dxfId="7206" priority="8828" stopIfTrue="1" operator="equal">
      <formula>"Napkin Hs"</formula>
    </cfRule>
  </conditionalFormatting>
  <conditionalFormatting sqref="C59">
    <cfRule type="cellIs" dxfId="7205" priority="8823" stopIfTrue="1" operator="equal">
      <formula>"Towel"</formula>
    </cfRule>
    <cfRule type="cellIs" dxfId="7204" priority="8824" stopIfTrue="1" operator="equal">
      <formula>"Napkin Hs"</formula>
    </cfRule>
  </conditionalFormatting>
  <conditionalFormatting sqref="C59">
    <cfRule type="cellIs" dxfId="7203" priority="8821" stopIfTrue="1" operator="equal">
      <formula>"Towel"</formula>
    </cfRule>
    <cfRule type="cellIs" dxfId="7202" priority="8822" stopIfTrue="1" operator="equal">
      <formula>"Napkin Hs"</formula>
    </cfRule>
  </conditionalFormatting>
  <conditionalFormatting sqref="C59">
    <cfRule type="cellIs" dxfId="7201" priority="8817" stopIfTrue="1" operator="equal">
      <formula>"Towel"</formula>
    </cfRule>
    <cfRule type="cellIs" dxfId="7200" priority="8818" stopIfTrue="1" operator="equal">
      <formula>"Napkin Hs"</formula>
    </cfRule>
  </conditionalFormatting>
  <conditionalFormatting sqref="C59">
    <cfRule type="cellIs" dxfId="7199" priority="8819" stopIfTrue="1" operator="equal">
      <formula>"Towel"</formula>
    </cfRule>
    <cfRule type="cellIs" dxfId="7198" priority="8820" stopIfTrue="1" operator="equal">
      <formula>"Napkin Hs"</formula>
    </cfRule>
  </conditionalFormatting>
  <conditionalFormatting sqref="C59">
    <cfRule type="cellIs" dxfId="7197" priority="8813" stopIfTrue="1" operator="equal">
      <formula>"Towel"</formula>
    </cfRule>
    <cfRule type="cellIs" dxfId="7196" priority="8814" stopIfTrue="1" operator="equal">
      <formula>"Napkin Hs"</formula>
    </cfRule>
  </conditionalFormatting>
  <conditionalFormatting sqref="C59">
    <cfRule type="cellIs" dxfId="7195" priority="8815" stopIfTrue="1" operator="equal">
      <formula>"Towel"</formula>
    </cfRule>
    <cfRule type="cellIs" dxfId="7194" priority="8816" stopIfTrue="1" operator="equal">
      <formula>"Napkin Hs"</formula>
    </cfRule>
  </conditionalFormatting>
  <conditionalFormatting sqref="C59">
    <cfRule type="cellIs" dxfId="7193" priority="8811" stopIfTrue="1" operator="equal">
      <formula>"Towel"</formula>
    </cfRule>
    <cfRule type="cellIs" dxfId="7192" priority="8812" stopIfTrue="1" operator="equal">
      <formula>"Napkin Hs"</formula>
    </cfRule>
  </conditionalFormatting>
  <conditionalFormatting sqref="C59">
    <cfRule type="cellIs" dxfId="7191" priority="8809" stopIfTrue="1" operator="equal">
      <formula>"Towel"</formula>
    </cfRule>
    <cfRule type="cellIs" dxfId="7190" priority="8810" stopIfTrue="1" operator="equal">
      <formula>"Napkin Hs"</formula>
    </cfRule>
  </conditionalFormatting>
  <conditionalFormatting sqref="C59">
    <cfRule type="cellIs" dxfId="7189" priority="8805" stopIfTrue="1" operator="equal">
      <formula>"Towel"</formula>
    </cfRule>
    <cfRule type="cellIs" dxfId="7188" priority="8806" stopIfTrue="1" operator="equal">
      <formula>"Napkin Hs"</formula>
    </cfRule>
  </conditionalFormatting>
  <conditionalFormatting sqref="C59">
    <cfRule type="cellIs" dxfId="7187" priority="8807" stopIfTrue="1" operator="equal">
      <formula>"Towel"</formula>
    </cfRule>
    <cfRule type="cellIs" dxfId="7186" priority="8808" stopIfTrue="1" operator="equal">
      <formula>"Napkin Hs"</formula>
    </cfRule>
  </conditionalFormatting>
  <conditionalFormatting sqref="C58">
    <cfRule type="cellIs" dxfId="7185" priority="8797" stopIfTrue="1" operator="equal">
      <formula>"Towel"</formula>
    </cfRule>
    <cfRule type="cellIs" dxfId="7184" priority="8798" stopIfTrue="1" operator="equal">
      <formula>"Napkin Hs"</formula>
    </cfRule>
  </conditionalFormatting>
  <conditionalFormatting sqref="C58">
    <cfRule type="cellIs" dxfId="7183" priority="8799" stopIfTrue="1" operator="equal">
      <formula>"Towel"</formula>
    </cfRule>
    <cfRule type="cellIs" dxfId="7182" priority="8800" stopIfTrue="1" operator="equal">
      <formula>"Napkin Hs"</formula>
    </cfRule>
  </conditionalFormatting>
  <conditionalFormatting sqref="C58">
    <cfRule type="cellIs" dxfId="7181" priority="8795" stopIfTrue="1" operator="equal">
      <formula>"Towel"</formula>
    </cfRule>
    <cfRule type="cellIs" dxfId="7180" priority="8796" stopIfTrue="1" operator="equal">
      <formula>"Napkin Hs"</formula>
    </cfRule>
  </conditionalFormatting>
  <conditionalFormatting sqref="C58">
    <cfRule type="cellIs" dxfId="7179" priority="8793" stopIfTrue="1" operator="equal">
      <formula>"Towel"</formula>
    </cfRule>
    <cfRule type="cellIs" dxfId="7178" priority="8794" stopIfTrue="1" operator="equal">
      <formula>"Napkin Hs"</formula>
    </cfRule>
  </conditionalFormatting>
  <conditionalFormatting sqref="C58">
    <cfRule type="cellIs" dxfId="7177" priority="8801" stopIfTrue="1" operator="equal">
      <formula>"Towel"</formula>
    </cfRule>
    <cfRule type="cellIs" dxfId="7176" priority="8802" stopIfTrue="1" operator="equal">
      <formula>"Napkin Hs"</formula>
    </cfRule>
  </conditionalFormatting>
  <conditionalFormatting sqref="C58">
    <cfRule type="cellIs" dxfId="7175" priority="8803" stopIfTrue="1" operator="equal">
      <formula>"Towel"</formula>
    </cfRule>
    <cfRule type="cellIs" dxfId="7174" priority="8804" stopIfTrue="1" operator="equal">
      <formula>"Napkin Hs"</formula>
    </cfRule>
  </conditionalFormatting>
  <conditionalFormatting sqref="C58">
    <cfRule type="cellIs" dxfId="7173" priority="8789" stopIfTrue="1" operator="equal">
      <formula>"Towel"</formula>
    </cfRule>
    <cfRule type="cellIs" dxfId="7172" priority="8790" stopIfTrue="1" operator="equal">
      <formula>"Napkin Hs"</formula>
    </cfRule>
  </conditionalFormatting>
  <conditionalFormatting sqref="C58">
    <cfRule type="cellIs" dxfId="7171" priority="8791" stopIfTrue="1" operator="equal">
      <formula>"Towel"</formula>
    </cfRule>
    <cfRule type="cellIs" dxfId="7170" priority="8792" stopIfTrue="1" operator="equal">
      <formula>"Napkin Hs"</formula>
    </cfRule>
  </conditionalFormatting>
  <conditionalFormatting sqref="C58">
    <cfRule type="cellIs" dxfId="7169" priority="8787" stopIfTrue="1" operator="equal">
      <formula>"Towel"</formula>
    </cfRule>
    <cfRule type="cellIs" dxfId="7168" priority="8788" stopIfTrue="1" operator="equal">
      <formula>"Napkin Hs"</formula>
    </cfRule>
  </conditionalFormatting>
  <conditionalFormatting sqref="C58">
    <cfRule type="cellIs" dxfId="7167" priority="8781" stopIfTrue="1" operator="equal">
      <formula>"Towel"</formula>
    </cfRule>
    <cfRule type="cellIs" dxfId="7166" priority="8782" stopIfTrue="1" operator="equal">
      <formula>"Napkin Hs"</formula>
    </cfRule>
  </conditionalFormatting>
  <conditionalFormatting sqref="C58">
    <cfRule type="cellIs" dxfId="7165" priority="8783" stopIfTrue="1" operator="equal">
      <formula>"Towel"</formula>
    </cfRule>
    <cfRule type="cellIs" dxfId="7164" priority="8784" stopIfTrue="1" operator="equal">
      <formula>"Napkin Hs"</formula>
    </cfRule>
  </conditionalFormatting>
  <conditionalFormatting sqref="C58">
    <cfRule type="cellIs" dxfId="7163" priority="8785" stopIfTrue="1" operator="equal">
      <formula>"Towel"</formula>
    </cfRule>
    <cfRule type="cellIs" dxfId="7162" priority="8786" stopIfTrue="1" operator="equal">
      <formula>"Napkin Hs"</formula>
    </cfRule>
  </conditionalFormatting>
  <conditionalFormatting sqref="C58">
    <cfRule type="cellIs" dxfId="7161" priority="8735" stopIfTrue="1" operator="equal">
      <formula>"Towel"</formula>
    </cfRule>
    <cfRule type="cellIs" dxfId="7160" priority="8736" stopIfTrue="1" operator="equal">
      <formula>"Napkin Hs"</formula>
    </cfRule>
  </conditionalFormatting>
  <conditionalFormatting sqref="C58">
    <cfRule type="cellIs" dxfId="7159" priority="8737" stopIfTrue="1" operator="equal">
      <formula>"Towel"</formula>
    </cfRule>
    <cfRule type="cellIs" dxfId="7158" priority="8738" stopIfTrue="1" operator="equal">
      <formula>"Napkin Hs"</formula>
    </cfRule>
  </conditionalFormatting>
  <conditionalFormatting sqref="C58">
    <cfRule type="cellIs" dxfId="7157" priority="8733" stopIfTrue="1" operator="equal">
      <formula>"Towel"</formula>
    </cfRule>
    <cfRule type="cellIs" dxfId="7156" priority="8734" stopIfTrue="1" operator="equal">
      <formula>"Napkin Hs"</formula>
    </cfRule>
  </conditionalFormatting>
  <conditionalFormatting sqref="C58">
    <cfRule type="cellIs" dxfId="7155" priority="8731" stopIfTrue="1" operator="equal">
      <formula>"Towel"</formula>
    </cfRule>
    <cfRule type="cellIs" dxfId="7154" priority="8732" stopIfTrue="1" operator="equal">
      <formula>"Napkin Hs"</formula>
    </cfRule>
  </conditionalFormatting>
  <conditionalFormatting sqref="C58">
    <cfRule type="cellIs" dxfId="7153" priority="8727" stopIfTrue="1" operator="equal">
      <formula>"Towel"</formula>
    </cfRule>
    <cfRule type="cellIs" dxfId="7152" priority="8728" stopIfTrue="1" operator="equal">
      <formula>"Napkin Hs"</formula>
    </cfRule>
  </conditionalFormatting>
  <conditionalFormatting sqref="C58">
    <cfRule type="cellIs" dxfId="7151" priority="8729" stopIfTrue="1" operator="equal">
      <formula>"Towel"</formula>
    </cfRule>
    <cfRule type="cellIs" dxfId="7150" priority="8730" stopIfTrue="1" operator="equal">
      <formula>"Napkin Hs"</formula>
    </cfRule>
  </conditionalFormatting>
  <conditionalFormatting sqref="C58">
    <cfRule type="cellIs" dxfId="7149" priority="8779" stopIfTrue="1" operator="equal">
      <formula>"Towel"</formula>
    </cfRule>
    <cfRule type="cellIs" dxfId="7148" priority="8780" stopIfTrue="1" operator="equal">
      <formula>"Napkin Hs"</formula>
    </cfRule>
  </conditionalFormatting>
  <conditionalFormatting sqref="C58">
    <cfRule type="cellIs" dxfId="7147" priority="8775" stopIfTrue="1" operator="equal">
      <formula>"Towel"</formula>
    </cfRule>
    <cfRule type="cellIs" dxfId="7146" priority="8776" stopIfTrue="1" operator="equal">
      <formula>"Napkin Hs"</formula>
    </cfRule>
  </conditionalFormatting>
  <conditionalFormatting sqref="C58">
    <cfRule type="cellIs" dxfId="7145" priority="8778" stopIfTrue="1" operator="equal">
      <formula>"Napkin Hs"</formula>
    </cfRule>
  </conditionalFormatting>
  <conditionalFormatting sqref="C58">
    <cfRule type="cellIs" dxfId="7144" priority="8777" stopIfTrue="1" operator="equal">
      <formula>"Towel"</formula>
    </cfRule>
  </conditionalFormatting>
  <conditionalFormatting sqref="C58">
    <cfRule type="cellIs" dxfId="7143" priority="8769" stopIfTrue="1" operator="equal">
      <formula>"Towel"</formula>
    </cfRule>
    <cfRule type="cellIs" dxfId="7142" priority="8770" stopIfTrue="1" operator="equal">
      <formula>"Napkin Hs"</formula>
    </cfRule>
  </conditionalFormatting>
  <conditionalFormatting sqref="C58">
    <cfRule type="cellIs" dxfId="7141" priority="8773" stopIfTrue="1" operator="equal">
      <formula>"Towel"</formula>
    </cfRule>
    <cfRule type="cellIs" dxfId="7140" priority="8774" stopIfTrue="1" operator="equal">
      <formula>"Napkin Hs"</formula>
    </cfRule>
  </conditionalFormatting>
  <conditionalFormatting sqref="C58">
    <cfRule type="cellIs" dxfId="7139" priority="8771" stopIfTrue="1" operator="equal">
      <formula>"Towel"</formula>
    </cfRule>
    <cfRule type="cellIs" dxfId="7138" priority="8772" stopIfTrue="1" operator="equal">
      <formula>"Napkin Hs"</formula>
    </cfRule>
  </conditionalFormatting>
  <conditionalFormatting sqref="C58">
    <cfRule type="cellIs" dxfId="7137" priority="8763" stopIfTrue="1" operator="equal">
      <formula>"Towel"</formula>
    </cfRule>
    <cfRule type="cellIs" dxfId="7136" priority="8764" stopIfTrue="1" operator="equal">
      <formula>"Napkin Hs"</formula>
    </cfRule>
  </conditionalFormatting>
  <conditionalFormatting sqref="C58">
    <cfRule type="cellIs" dxfId="7135" priority="8765" stopIfTrue="1" operator="equal">
      <formula>"Towel"</formula>
    </cfRule>
    <cfRule type="cellIs" dxfId="7134" priority="8766" stopIfTrue="1" operator="equal">
      <formula>"Napkin Hs"</formula>
    </cfRule>
  </conditionalFormatting>
  <conditionalFormatting sqref="C58">
    <cfRule type="cellIs" dxfId="7133" priority="8767" stopIfTrue="1" operator="equal">
      <formula>"Towel"</formula>
    </cfRule>
    <cfRule type="cellIs" dxfId="7132" priority="8768" stopIfTrue="1" operator="equal">
      <formula>"Napkin Hs"</formula>
    </cfRule>
  </conditionalFormatting>
  <conditionalFormatting sqref="C58">
    <cfRule type="cellIs" dxfId="7131" priority="8757" stopIfTrue="1" operator="equal">
      <formula>"Towel"</formula>
    </cfRule>
    <cfRule type="cellIs" dxfId="7130" priority="8758" stopIfTrue="1" operator="equal">
      <formula>"Napkin Hs"</formula>
    </cfRule>
  </conditionalFormatting>
  <conditionalFormatting sqref="C58">
    <cfRule type="cellIs" dxfId="7129" priority="8761" stopIfTrue="1" operator="equal">
      <formula>"Towel"</formula>
    </cfRule>
    <cfRule type="cellIs" dxfId="7128" priority="8762" stopIfTrue="1" operator="equal">
      <formula>"Napkin Hs"</formula>
    </cfRule>
  </conditionalFormatting>
  <conditionalFormatting sqref="C58">
    <cfRule type="cellIs" dxfId="7127" priority="8759" stopIfTrue="1" operator="equal">
      <formula>"Towel"</formula>
    </cfRule>
    <cfRule type="cellIs" dxfId="7126" priority="8760" stopIfTrue="1" operator="equal">
      <formula>"Napkin Hs"</formula>
    </cfRule>
  </conditionalFormatting>
  <conditionalFormatting sqref="C58">
    <cfRule type="cellIs" dxfId="7125" priority="8751" stopIfTrue="1" operator="equal">
      <formula>"Towel"</formula>
    </cfRule>
    <cfRule type="cellIs" dxfId="7124" priority="8752" stopIfTrue="1" operator="equal">
      <formula>"Napkin Hs"</formula>
    </cfRule>
  </conditionalFormatting>
  <conditionalFormatting sqref="C58">
    <cfRule type="cellIs" dxfId="7123" priority="8753" stopIfTrue="1" operator="equal">
      <formula>"Towel"</formula>
    </cfRule>
    <cfRule type="cellIs" dxfId="7122" priority="8754" stopIfTrue="1" operator="equal">
      <formula>"Napkin Hs"</formula>
    </cfRule>
  </conditionalFormatting>
  <conditionalFormatting sqref="C58">
    <cfRule type="cellIs" dxfId="7121" priority="8755" stopIfTrue="1" operator="equal">
      <formula>"Towel"</formula>
    </cfRule>
    <cfRule type="cellIs" dxfId="7120" priority="8756" stopIfTrue="1" operator="equal">
      <formula>"Napkin Hs"</formula>
    </cfRule>
  </conditionalFormatting>
  <conditionalFormatting sqref="C58">
    <cfRule type="cellIs" dxfId="7119" priority="8749" stopIfTrue="1" operator="equal">
      <formula>"Towel"</formula>
    </cfRule>
    <cfRule type="cellIs" dxfId="7118" priority="8750" stopIfTrue="1" operator="equal">
      <formula>"Napkin Hs"</formula>
    </cfRule>
  </conditionalFormatting>
  <conditionalFormatting sqref="C58">
    <cfRule type="cellIs" dxfId="7117" priority="8745" stopIfTrue="1" operator="equal">
      <formula>"Towel"</formula>
    </cfRule>
    <cfRule type="cellIs" dxfId="7116" priority="8746" stopIfTrue="1" operator="equal">
      <formula>"Napkin Hs"</formula>
    </cfRule>
  </conditionalFormatting>
  <conditionalFormatting sqref="C58">
    <cfRule type="cellIs" dxfId="7115" priority="8747" stopIfTrue="1" operator="equal">
      <formula>"Towel"</formula>
    </cfRule>
    <cfRule type="cellIs" dxfId="7114" priority="8748" stopIfTrue="1" operator="equal">
      <formula>"Napkin Hs"</formula>
    </cfRule>
  </conditionalFormatting>
  <conditionalFormatting sqref="C58">
    <cfRule type="cellIs" dxfId="7113" priority="8743" stopIfTrue="1" operator="equal">
      <formula>"Towel"</formula>
    </cfRule>
    <cfRule type="cellIs" dxfId="7112" priority="8744" stopIfTrue="1" operator="equal">
      <formula>"Napkin Hs"</formula>
    </cfRule>
  </conditionalFormatting>
  <conditionalFormatting sqref="C58">
    <cfRule type="cellIs" dxfId="7111" priority="8741" stopIfTrue="1" operator="equal">
      <formula>"Towel"</formula>
    </cfRule>
    <cfRule type="cellIs" dxfId="7110" priority="8742" stopIfTrue="1" operator="equal">
      <formula>"Napkin Hs"</formula>
    </cfRule>
  </conditionalFormatting>
  <conditionalFormatting sqref="C58">
    <cfRule type="cellIs" dxfId="7109" priority="8739" stopIfTrue="1" operator="equal">
      <formula>"Towel"</formula>
    </cfRule>
    <cfRule type="cellIs" dxfId="7108" priority="8740" stopIfTrue="1" operator="equal">
      <formula>"Napkin Hs"</formula>
    </cfRule>
  </conditionalFormatting>
  <conditionalFormatting sqref="C58">
    <cfRule type="cellIs" dxfId="7107" priority="8723" stopIfTrue="1" operator="equal">
      <formula>"Towel"</formula>
    </cfRule>
    <cfRule type="cellIs" dxfId="7106" priority="8724" stopIfTrue="1" operator="equal">
      <formula>"Napkin Hs"</formula>
    </cfRule>
  </conditionalFormatting>
  <conditionalFormatting sqref="C58">
    <cfRule type="cellIs" dxfId="7105" priority="8725" stopIfTrue="1" operator="equal">
      <formula>"Towel"</formula>
    </cfRule>
    <cfRule type="cellIs" dxfId="7104" priority="8726" stopIfTrue="1" operator="equal">
      <formula>"Napkin Hs"</formula>
    </cfRule>
  </conditionalFormatting>
  <conditionalFormatting sqref="C58">
    <cfRule type="cellIs" dxfId="7103" priority="8721" stopIfTrue="1" operator="equal">
      <formula>"Towel"</formula>
    </cfRule>
    <cfRule type="cellIs" dxfId="7102" priority="8722" stopIfTrue="1" operator="equal">
      <formula>"Napkin Hs"</formula>
    </cfRule>
  </conditionalFormatting>
  <conditionalFormatting sqref="C58">
    <cfRule type="cellIs" dxfId="7101" priority="8719" stopIfTrue="1" operator="equal">
      <formula>"Towel"</formula>
    </cfRule>
    <cfRule type="cellIs" dxfId="7100" priority="8720" stopIfTrue="1" operator="equal">
      <formula>"Napkin Hs"</formula>
    </cfRule>
  </conditionalFormatting>
  <conditionalFormatting sqref="C58">
    <cfRule type="cellIs" dxfId="7099" priority="8715" stopIfTrue="1" operator="equal">
      <formula>"Towel"</formula>
    </cfRule>
    <cfRule type="cellIs" dxfId="7098" priority="8716" stopIfTrue="1" operator="equal">
      <formula>"Napkin Hs"</formula>
    </cfRule>
  </conditionalFormatting>
  <conditionalFormatting sqref="C58">
    <cfRule type="cellIs" dxfId="7097" priority="8717" stopIfTrue="1" operator="equal">
      <formula>"Towel"</formula>
    </cfRule>
    <cfRule type="cellIs" dxfId="7096" priority="8718" stopIfTrue="1" operator="equal">
      <formula>"Napkin Hs"</formula>
    </cfRule>
  </conditionalFormatting>
  <conditionalFormatting sqref="C58">
    <cfRule type="cellIs" dxfId="7095" priority="8711" stopIfTrue="1" operator="equal">
      <formula>"Towel"</formula>
    </cfRule>
    <cfRule type="cellIs" dxfId="7094" priority="8712" stopIfTrue="1" operator="equal">
      <formula>"Napkin Hs"</formula>
    </cfRule>
  </conditionalFormatting>
  <conditionalFormatting sqref="C58">
    <cfRule type="cellIs" dxfId="7093" priority="8713" stopIfTrue="1" operator="equal">
      <formula>"Towel"</formula>
    </cfRule>
    <cfRule type="cellIs" dxfId="7092" priority="8714" stopIfTrue="1" operator="equal">
      <formula>"Napkin Hs"</formula>
    </cfRule>
  </conditionalFormatting>
  <conditionalFormatting sqref="C58">
    <cfRule type="cellIs" dxfId="7091" priority="8709" stopIfTrue="1" operator="equal">
      <formula>"Towel"</formula>
    </cfRule>
    <cfRule type="cellIs" dxfId="7090" priority="8710" stopIfTrue="1" operator="equal">
      <formula>"Napkin Hs"</formula>
    </cfRule>
  </conditionalFormatting>
  <conditionalFormatting sqref="C58">
    <cfRule type="cellIs" dxfId="7089" priority="8707" stopIfTrue="1" operator="equal">
      <formula>"Towel"</formula>
    </cfRule>
    <cfRule type="cellIs" dxfId="7088" priority="8708" stopIfTrue="1" operator="equal">
      <formula>"Napkin Hs"</formula>
    </cfRule>
  </conditionalFormatting>
  <conditionalFormatting sqref="C58">
    <cfRule type="cellIs" dxfId="7087" priority="8703" stopIfTrue="1" operator="equal">
      <formula>"Towel"</formula>
    </cfRule>
    <cfRule type="cellIs" dxfId="7086" priority="8704" stopIfTrue="1" operator="equal">
      <formula>"Napkin Hs"</formula>
    </cfRule>
  </conditionalFormatting>
  <conditionalFormatting sqref="C58">
    <cfRule type="cellIs" dxfId="7085" priority="8705" stopIfTrue="1" operator="equal">
      <formula>"Towel"</formula>
    </cfRule>
    <cfRule type="cellIs" dxfId="7084" priority="8706" stopIfTrue="1" operator="equal">
      <formula>"Napkin Hs"</formula>
    </cfRule>
  </conditionalFormatting>
  <conditionalFormatting sqref="B58">
    <cfRule type="cellIs" dxfId="7083" priority="8701" stopIfTrue="1" operator="equal">
      <formula>"Towel"</formula>
    </cfRule>
    <cfRule type="cellIs" dxfId="7082" priority="8702" stopIfTrue="1" operator="equal">
      <formula>"Napkin Hs"</formula>
    </cfRule>
  </conditionalFormatting>
  <conditionalFormatting sqref="B58">
    <cfRule type="cellIs" dxfId="7081" priority="8685" stopIfTrue="1" operator="equal">
      <formula>"Towel"</formula>
    </cfRule>
    <cfRule type="cellIs" dxfId="7080" priority="8686" stopIfTrue="1" operator="equal">
      <formula>"Napkin Hs"</formula>
    </cfRule>
  </conditionalFormatting>
  <conditionalFormatting sqref="B58">
    <cfRule type="cellIs" dxfId="7079" priority="8683" stopIfTrue="1" operator="equal">
      <formula>"Towel"</formula>
    </cfRule>
    <cfRule type="cellIs" dxfId="7078" priority="8684" stopIfTrue="1" operator="equal">
      <formula>"Napkin Hs"</formula>
    </cfRule>
  </conditionalFormatting>
  <conditionalFormatting sqref="B58">
    <cfRule type="cellIs" dxfId="7077" priority="8699" stopIfTrue="1" operator="equal">
      <formula>"Towel"</formula>
    </cfRule>
    <cfRule type="cellIs" dxfId="7076" priority="8700" stopIfTrue="1" operator="equal">
      <formula>"Napkin Hs"</formula>
    </cfRule>
  </conditionalFormatting>
  <conditionalFormatting sqref="B58">
    <cfRule type="cellIs" dxfId="7075" priority="8695" stopIfTrue="1" operator="equal">
      <formula>"Towel"</formula>
    </cfRule>
    <cfRule type="cellIs" dxfId="7074" priority="8696" stopIfTrue="1" operator="equal">
      <formula>"Napkin Hs"</formula>
    </cfRule>
  </conditionalFormatting>
  <conditionalFormatting sqref="B58">
    <cfRule type="cellIs" dxfId="7073" priority="8697" stopIfTrue="1" operator="equal">
      <formula>"Towel"</formula>
    </cfRule>
    <cfRule type="cellIs" dxfId="7072" priority="8698" stopIfTrue="1" operator="equal">
      <formula>"Napkin Hs"</formula>
    </cfRule>
  </conditionalFormatting>
  <conditionalFormatting sqref="B58">
    <cfRule type="cellIs" dxfId="7071" priority="8691" stopIfTrue="1" operator="equal">
      <formula>"Towel"</formula>
    </cfRule>
    <cfRule type="cellIs" dxfId="7070" priority="8692" stopIfTrue="1" operator="equal">
      <formula>"Napkin Hs"</formula>
    </cfRule>
  </conditionalFormatting>
  <conditionalFormatting sqref="B58">
    <cfRule type="cellIs" dxfId="7069" priority="8693" stopIfTrue="1" operator="equal">
      <formula>"Towel"</formula>
    </cfRule>
    <cfRule type="cellIs" dxfId="7068" priority="8694" stopIfTrue="1" operator="equal">
      <formula>"Napkin Hs"</formula>
    </cfRule>
  </conditionalFormatting>
  <conditionalFormatting sqref="B58">
    <cfRule type="cellIs" dxfId="7067" priority="8689" stopIfTrue="1" operator="equal">
      <formula>"Towel"</formula>
    </cfRule>
    <cfRule type="cellIs" dxfId="7066" priority="8690" stopIfTrue="1" operator="equal">
      <formula>"Napkin Hs"</formula>
    </cfRule>
  </conditionalFormatting>
  <conditionalFormatting sqref="B58">
    <cfRule type="cellIs" dxfId="7065" priority="8687" stopIfTrue="1" operator="equal">
      <formula>"Towel"</formula>
    </cfRule>
    <cfRule type="cellIs" dxfId="7064" priority="8688" stopIfTrue="1" operator="equal">
      <formula>"Napkin Hs"</formula>
    </cfRule>
  </conditionalFormatting>
  <conditionalFormatting sqref="B58">
    <cfRule type="cellIs" dxfId="7063" priority="8681" stopIfTrue="1" operator="equal">
      <formula>"Towel"</formula>
    </cfRule>
    <cfRule type="cellIs" dxfId="7062" priority="8682" stopIfTrue="1" operator="equal">
      <formula>"Napkin Hs"</formula>
    </cfRule>
  </conditionalFormatting>
  <conditionalFormatting sqref="B58">
    <cfRule type="cellIs" dxfId="7061" priority="8679" stopIfTrue="1" operator="equal">
      <formula>"Towel"</formula>
    </cfRule>
    <cfRule type="cellIs" dxfId="7060" priority="8680" stopIfTrue="1" operator="equal">
      <formula>"Napkin Hs"</formula>
    </cfRule>
  </conditionalFormatting>
  <conditionalFormatting sqref="B58">
    <cfRule type="cellIs" dxfId="7059" priority="8677" stopIfTrue="1" operator="equal">
      <formula>"Towel"</formula>
    </cfRule>
    <cfRule type="cellIs" dxfId="7058" priority="8678" stopIfTrue="1" operator="equal">
      <formula>"Napkin Hs"</formula>
    </cfRule>
  </conditionalFormatting>
  <conditionalFormatting sqref="B58">
    <cfRule type="cellIs" dxfId="7057" priority="8675" stopIfTrue="1" operator="equal">
      <formula>"Towel"</formula>
    </cfRule>
    <cfRule type="cellIs" dxfId="7056" priority="8676" stopIfTrue="1" operator="equal">
      <formula>"Napkin Hs"</formula>
    </cfRule>
  </conditionalFormatting>
  <conditionalFormatting sqref="B59">
    <cfRule type="cellIs" dxfId="7055" priority="8673" stopIfTrue="1" operator="equal">
      <formula>"Towel"</formula>
    </cfRule>
    <cfRule type="cellIs" dxfId="7054" priority="8674" stopIfTrue="1" operator="equal">
      <formula>"Napkin Hs"</formula>
    </cfRule>
  </conditionalFormatting>
  <conditionalFormatting sqref="B59">
    <cfRule type="cellIs" dxfId="7053" priority="8671" stopIfTrue="1" operator="equal">
      <formula>"Towel"</formula>
    </cfRule>
    <cfRule type="cellIs" dxfId="7052" priority="8672" stopIfTrue="1" operator="equal">
      <formula>"Napkin Hs"</formula>
    </cfRule>
  </conditionalFormatting>
  <conditionalFormatting sqref="B59">
    <cfRule type="cellIs" dxfId="7051" priority="8669" stopIfTrue="1" operator="equal">
      <formula>"Towel"</formula>
    </cfRule>
    <cfRule type="cellIs" dxfId="7050" priority="8670" stopIfTrue="1" operator="equal">
      <formula>"Napkin Hs"</formula>
    </cfRule>
  </conditionalFormatting>
  <conditionalFormatting sqref="B59">
    <cfRule type="cellIs" dxfId="7049" priority="8667" stopIfTrue="1" operator="equal">
      <formula>"Towel"</formula>
    </cfRule>
    <cfRule type="cellIs" dxfId="7048" priority="8668" stopIfTrue="1" operator="equal">
      <formula>"Napkin Hs"</formula>
    </cfRule>
  </conditionalFormatting>
  <conditionalFormatting sqref="B59">
    <cfRule type="cellIs" dxfId="7047" priority="8665" stopIfTrue="1" operator="equal">
      <formula>"Towel"</formula>
    </cfRule>
    <cfRule type="cellIs" dxfId="7046" priority="8666" stopIfTrue="1" operator="equal">
      <formula>"Napkin Hs"</formula>
    </cfRule>
  </conditionalFormatting>
  <conditionalFormatting sqref="B59">
    <cfRule type="cellIs" dxfId="7045" priority="8649" stopIfTrue="1" operator="equal">
      <formula>"Towel"</formula>
    </cfRule>
    <cfRule type="cellIs" dxfId="7044" priority="8650" stopIfTrue="1" operator="equal">
      <formula>"Napkin Hs"</formula>
    </cfRule>
  </conditionalFormatting>
  <conditionalFormatting sqref="B59">
    <cfRule type="cellIs" dxfId="7043" priority="8647" stopIfTrue="1" operator="equal">
      <formula>"Towel"</formula>
    </cfRule>
    <cfRule type="cellIs" dxfId="7042" priority="8648" stopIfTrue="1" operator="equal">
      <formula>"Napkin Hs"</formula>
    </cfRule>
  </conditionalFormatting>
  <conditionalFormatting sqref="B59">
    <cfRule type="cellIs" dxfId="7041" priority="8663" stopIfTrue="1" operator="equal">
      <formula>"Towel"</formula>
    </cfRule>
    <cfRule type="cellIs" dxfId="7040" priority="8664" stopIfTrue="1" operator="equal">
      <formula>"Napkin Hs"</formula>
    </cfRule>
  </conditionalFormatting>
  <conditionalFormatting sqref="B59">
    <cfRule type="cellIs" dxfId="7039" priority="8659" stopIfTrue="1" operator="equal">
      <formula>"Towel"</formula>
    </cfRule>
    <cfRule type="cellIs" dxfId="7038" priority="8660" stopIfTrue="1" operator="equal">
      <formula>"Napkin Hs"</formula>
    </cfRule>
  </conditionalFormatting>
  <conditionalFormatting sqref="B59">
    <cfRule type="cellIs" dxfId="7037" priority="8661" stopIfTrue="1" operator="equal">
      <formula>"Towel"</formula>
    </cfRule>
    <cfRule type="cellIs" dxfId="7036" priority="8662" stopIfTrue="1" operator="equal">
      <formula>"Napkin Hs"</formula>
    </cfRule>
  </conditionalFormatting>
  <conditionalFormatting sqref="B59">
    <cfRule type="cellIs" dxfId="7035" priority="8655" stopIfTrue="1" operator="equal">
      <formula>"Towel"</formula>
    </cfRule>
    <cfRule type="cellIs" dxfId="7034" priority="8656" stopIfTrue="1" operator="equal">
      <formula>"Napkin Hs"</formula>
    </cfRule>
  </conditionalFormatting>
  <conditionalFormatting sqref="B59">
    <cfRule type="cellIs" dxfId="7033" priority="8657" stopIfTrue="1" operator="equal">
      <formula>"Towel"</formula>
    </cfRule>
    <cfRule type="cellIs" dxfId="7032" priority="8658" stopIfTrue="1" operator="equal">
      <formula>"Napkin Hs"</formula>
    </cfRule>
  </conditionalFormatting>
  <conditionalFormatting sqref="B59">
    <cfRule type="cellIs" dxfId="7031" priority="8653" stopIfTrue="1" operator="equal">
      <formula>"Towel"</formula>
    </cfRule>
    <cfRule type="cellIs" dxfId="7030" priority="8654" stopIfTrue="1" operator="equal">
      <formula>"Napkin Hs"</formula>
    </cfRule>
  </conditionalFormatting>
  <conditionalFormatting sqref="B59">
    <cfRule type="cellIs" dxfId="7029" priority="8651" stopIfTrue="1" operator="equal">
      <formula>"Towel"</formula>
    </cfRule>
    <cfRule type="cellIs" dxfId="7028" priority="8652" stopIfTrue="1" operator="equal">
      <formula>"Napkin Hs"</formula>
    </cfRule>
  </conditionalFormatting>
  <conditionalFormatting sqref="B59">
    <cfRule type="cellIs" dxfId="7027" priority="8645" stopIfTrue="1" operator="equal">
      <formula>"Towel"</formula>
    </cfRule>
    <cfRule type="cellIs" dxfId="7026" priority="8646" stopIfTrue="1" operator="equal">
      <formula>"Napkin Hs"</formula>
    </cfRule>
  </conditionalFormatting>
  <conditionalFormatting sqref="B59">
    <cfRule type="cellIs" dxfId="7025" priority="8643" stopIfTrue="1" operator="equal">
      <formula>"Towel"</formula>
    </cfRule>
    <cfRule type="cellIs" dxfId="7024" priority="8644" stopIfTrue="1" operator="equal">
      <formula>"Napkin Hs"</formula>
    </cfRule>
  </conditionalFormatting>
  <conditionalFormatting sqref="B59">
    <cfRule type="cellIs" dxfId="7023" priority="8641" stopIfTrue="1" operator="equal">
      <formula>"Towel"</formula>
    </cfRule>
    <cfRule type="cellIs" dxfId="7022" priority="8642" stopIfTrue="1" operator="equal">
      <formula>"Napkin Hs"</formula>
    </cfRule>
  </conditionalFormatting>
  <conditionalFormatting sqref="B59">
    <cfRule type="cellIs" dxfId="7021" priority="8639" stopIfTrue="1" operator="equal">
      <formula>"Towel"</formula>
    </cfRule>
    <cfRule type="cellIs" dxfId="7020" priority="8640" stopIfTrue="1" operator="equal">
      <formula>"Napkin Hs"</formula>
    </cfRule>
  </conditionalFormatting>
  <conditionalFormatting sqref="C57">
    <cfRule type="cellIs" dxfId="7019" priority="8631" stopIfTrue="1" operator="equal">
      <formula>"Towel"</formula>
    </cfRule>
    <cfRule type="cellIs" dxfId="7018" priority="8632" stopIfTrue="1" operator="equal">
      <formula>"Napkin Hs"</formula>
    </cfRule>
  </conditionalFormatting>
  <conditionalFormatting sqref="C57">
    <cfRule type="cellIs" dxfId="7017" priority="8633" stopIfTrue="1" operator="equal">
      <formula>"Towel"</formula>
    </cfRule>
    <cfRule type="cellIs" dxfId="7016" priority="8634" stopIfTrue="1" operator="equal">
      <formula>"Napkin Hs"</formula>
    </cfRule>
  </conditionalFormatting>
  <conditionalFormatting sqref="C57">
    <cfRule type="cellIs" dxfId="7015" priority="8629" stopIfTrue="1" operator="equal">
      <formula>"Towel"</formula>
    </cfRule>
    <cfRule type="cellIs" dxfId="7014" priority="8630" stopIfTrue="1" operator="equal">
      <formula>"Napkin Hs"</formula>
    </cfRule>
  </conditionalFormatting>
  <conditionalFormatting sqref="C57">
    <cfRule type="cellIs" dxfId="7013" priority="8627" stopIfTrue="1" operator="equal">
      <formula>"Towel"</formula>
    </cfRule>
    <cfRule type="cellIs" dxfId="7012" priority="8628" stopIfTrue="1" operator="equal">
      <formula>"Napkin Hs"</formula>
    </cfRule>
  </conditionalFormatting>
  <conditionalFormatting sqref="C57">
    <cfRule type="cellIs" dxfId="7011" priority="8635" stopIfTrue="1" operator="equal">
      <formula>"Towel"</formula>
    </cfRule>
    <cfRule type="cellIs" dxfId="7010" priority="8636" stopIfTrue="1" operator="equal">
      <formula>"Napkin Hs"</formula>
    </cfRule>
  </conditionalFormatting>
  <conditionalFormatting sqref="C57">
    <cfRule type="cellIs" dxfId="7009" priority="8637" stopIfTrue="1" operator="equal">
      <formula>"Towel"</formula>
    </cfRule>
    <cfRule type="cellIs" dxfId="7008" priority="8638" stopIfTrue="1" operator="equal">
      <formula>"Napkin Hs"</formula>
    </cfRule>
  </conditionalFormatting>
  <conditionalFormatting sqref="C57">
    <cfRule type="cellIs" dxfId="7007" priority="8623" stopIfTrue="1" operator="equal">
      <formula>"Towel"</formula>
    </cfRule>
    <cfRule type="cellIs" dxfId="7006" priority="8624" stopIfTrue="1" operator="equal">
      <formula>"Napkin Hs"</formula>
    </cfRule>
  </conditionalFormatting>
  <conditionalFormatting sqref="C57">
    <cfRule type="cellIs" dxfId="7005" priority="8625" stopIfTrue="1" operator="equal">
      <formula>"Towel"</formula>
    </cfRule>
    <cfRule type="cellIs" dxfId="7004" priority="8626" stopIfTrue="1" operator="equal">
      <formula>"Napkin Hs"</formula>
    </cfRule>
  </conditionalFormatting>
  <conditionalFormatting sqref="C57">
    <cfRule type="cellIs" dxfId="7003" priority="8621" stopIfTrue="1" operator="equal">
      <formula>"Towel"</formula>
    </cfRule>
    <cfRule type="cellIs" dxfId="7002" priority="8622" stopIfTrue="1" operator="equal">
      <formula>"Napkin Hs"</formula>
    </cfRule>
  </conditionalFormatting>
  <conditionalFormatting sqref="C57">
    <cfRule type="cellIs" dxfId="7001" priority="8615" stopIfTrue="1" operator="equal">
      <formula>"Towel"</formula>
    </cfRule>
    <cfRule type="cellIs" dxfId="7000" priority="8616" stopIfTrue="1" operator="equal">
      <formula>"Napkin Hs"</formula>
    </cfRule>
  </conditionalFormatting>
  <conditionalFormatting sqref="C57">
    <cfRule type="cellIs" dxfId="6999" priority="8617" stopIfTrue="1" operator="equal">
      <formula>"Towel"</formula>
    </cfRule>
    <cfRule type="cellIs" dxfId="6998" priority="8618" stopIfTrue="1" operator="equal">
      <formula>"Napkin Hs"</formula>
    </cfRule>
  </conditionalFormatting>
  <conditionalFormatting sqref="C57">
    <cfRule type="cellIs" dxfId="6997" priority="8619" stopIfTrue="1" operator="equal">
      <formula>"Towel"</formula>
    </cfRule>
    <cfRule type="cellIs" dxfId="6996" priority="8620" stopIfTrue="1" operator="equal">
      <formula>"Napkin Hs"</formula>
    </cfRule>
  </conditionalFormatting>
  <conditionalFormatting sqref="C57">
    <cfRule type="cellIs" dxfId="6995" priority="8569" stopIfTrue="1" operator="equal">
      <formula>"Towel"</formula>
    </cfRule>
    <cfRule type="cellIs" dxfId="6994" priority="8570" stopIfTrue="1" operator="equal">
      <formula>"Napkin Hs"</formula>
    </cfRule>
  </conditionalFormatting>
  <conditionalFormatting sqref="C57">
    <cfRule type="cellIs" dxfId="6993" priority="8571" stopIfTrue="1" operator="equal">
      <formula>"Towel"</formula>
    </cfRule>
    <cfRule type="cellIs" dxfId="6992" priority="8572" stopIfTrue="1" operator="equal">
      <formula>"Napkin Hs"</formula>
    </cfRule>
  </conditionalFormatting>
  <conditionalFormatting sqref="C57">
    <cfRule type="cellIs" dxfId="6991" priority="8567" stopIfTrue="1" operator="equal">
      <formula>"Towel"</formula>
    </cfRule>
    <cfRule type="cellIs" dxfId="6990" priority="8568" stopIfTrue="1" operator="equal">
      <formula>"Napkin Hs"</formula>
    </cfRule>
  </conditionalFormatting>
  <conditionalFormatting sqref="C57">
    <cfRule type="cellIs" dxfId="6989" priority="8565" stopIfTrue="1" operator="equal">
      <formula>"Towel"</formula>
    </cfRule>
    <cfRule type="cellIs" dxfId="6988" priority="8566" stopIfTrue="1" operator="equal">
      <formula>"Napkin Hs"</formula>
    </cfRule>
  </conditionalFormatting>
  <conditionalFormatting sqref="C57">
    <cfRule type="cellIs" dxfId="6987" priority="8561" stopIfTrue="1" operator="equal">
      <formula>"Towel"</formula>
    </cfRule>
    <cfRule type="cellIs" dxfId="6986" priority="8562" stopIfTrue="1" operator="equal">
      <formula>"Napkin Hs"</formula>
    </cfRule>
  </conditionalFormatting>
  <conditionalFormatting sqref="C57">
    <cfRule type="cellIs" dxfId="6985" priority="8563" stopIfTrue="1" operator="equal">
      <formula>"Towel"</formula>
    </cfRule>
    <cfRule type="cellIs" dxfId="6984" priority="8564" stopIfTrue="1" operator="equal">
      <formula>"Napkin Hs"</formula>
    </cfRule>
  </conditionalFormatting>
  <conditionalFormatting sqref="C57">
    <cfRule type="cellIs" dxfId="6983" priority="8613" stopIfTrue="1" operator="equal">
      <formula>"Towel"</formula>
    </cfRule>
    <cfRule type="cellIs" dxfId="6982" priority="8614" stopIfTrue="1" operator="equal">
      <formula>"Napkin Hs"</formula>
    </cfRule>
  </conditionalFormatting>
  <conditionalFormatting sqref="C57">
    <cfRule type="cellIs" dxfId="6981" priority="8609" stopIfTrue="1" operator="equal">
      <formula>"Towel"</formula>
    </cfRule>
    <cfRule type="cellIs" dxfId="6980" priority="8610" stopIfTrue="1" operator="equal">
      <formula>"Napkin Hs"</formula>
    </cfRule>
  </conditionalFormatting>
  <conditionalFormatting sqref="C57">
    <cfRule type="cellIs" dxfId="6979" priority="8612" stopIfTrue="1" operator="equal">
      <formula>"Napkin Hs"</formula>
    </cfRule>
  </conditionalFormatting>
  <conditionalFormatting sqref="C57">
    <cfRule type="cellIs" dxfId="6978" priority="8611" stopIfTrue="1" operator="equal">
      <formula>"Towel"</formula>
    </cfRule>
  </conditionalFormatting>
  <conditionalFormatting sqref="C57">
    <cfRule type="cellIs" dxfId="6977" priority="8603" stopIfTrue="1" operator="equal">
      <formula>"Towel"</formula>
    </cfRule>
    <cfRule type="cellIs" dxfId="6976" priority="8604" stopIfTrue="1" operator="equal">
      <formula>"Napkin Hs"</formula>
    </cfRule>
  </conditionalFormatting>
  <conditionalFormatting sqref="C57">
    <cfRule type="cellIs" dxfId="6975" priority="8607" stopIfTrue="1" operator="equal">
      <formula>"Towel"</formula>
    </cfRule>
    <cfRule type="cellIs" dxfId="6974" priority="8608" stopIfTrue="1" operator="equal">
      <formula>"Napkin Hs"</formula>
    </cfRule>
  </conditionalFormatting>
  <conditionalFormatting sqref="C57">
    <cfRule type="cellIs" dxfId="6973" priority="8605" stopIfTrue="1" operator="equal">
      <formula>"Towel"</formula>
    </cfRule>
    <cfRule type="cellIs" dxfId="6972" priority="8606" stopIfTrue="1" operator="equal">
      <formula>"Napkin Hs"</formula>
    </cfRule>
  </conditionalFormatting>
  <conditionalFormatting sqref="C57">
    <cfRule type="cellIs" dxfId="6971" priority="8597" stopIfTrue="1" operator="equal">
      <formula>"Towel"</formula>
    </cfRule>
    <cfRule type="cellIs" dxfId="6970" priority="8598" stopIfTrue="1" operator="equal">
      <formula>"Napkin Hs"</formula>
    </cfRule>
  </conditionalFormatting>
  <conditionalFormatting sqref="C57">
    <cfRule type="cellIs" dxfId="6969" priority="8599" stopIfTrue="1" operator="equal">
      <formula>"Towel"</formula>
    </cfRule>
    <cfRule type="cellIs" dxfId="6968" priority="8600" stopIfTrue="1" operator="equal">
      <formula>"Napkin Hs"</formula>
    </cfRule>
  </conditionalFormatting>
  <conditionalFormatting sqref="C57">
    <cfRule type="cellIs" dxfId="6967" priority="8601" stopIfTrue="1" operator="equal">
      <formula>"Towel"</formula>
    </cfRule>
    <cfRule type="cellIs" dxfId="6966" priority="8602" stopIfTrue="1" operator="equal">
      <formula>"Napkin Hs"</formula>
    </cfRule>
  </conditionalFormatting>
  <conditionalFormatting sqref="C57">
    <cfRule type="cellIs" dxfId="6965" priority="8591" stopIfTrue="1" operator="equal">
      <formula>"Towel"</formula>
    </cfRule>
    <cfRule type="cellIs" dxfId="6964" priority="8592" stopIfTrue="1" operator="equal">
      <formula>"Napkin Hs"</formula>
    </cfRule>
  </conditionalFormatting>
  <conditionalFormatting sqref="C57">
    <cfRule type="cellIs" dxfId="6963" priority="8595" stopIfTrue="1" operator="equal">
      <formula>"Towel"</formula>
    </cfRule>
    <cfRule type="cellIs" dxfId="6962" priority="8596" stopIfTrue="1" operator="equal">
      <formula>"Napkin Hs"</formula>
    </cfRule>
  </conditionalFormatting>
  <conditionalFormatting sqref="C57">
    <cfRule type="cellIs" dxfId="6961" priority="8593" stopIfTrue="1" operator="equal">
      <formula>"Towel"</formula>
    </cfRule>
    <cfRule type="cellIs" dxfId="6960" priority="8594" stopIfTrue="1" operator="equal">
      <formula>"Napkin Hs"</formula>
    </cfRule>
  </conditionalFormatting>
  <conditionalFormatting sqref="C57">
    <cfRule type="cellIs" dxfId="6959" priority="8585" stopIfTrue="1" operator="equal">
      <formula>"Towel"</formula>
    </cfRule>
    <cfRule type="cellIs" dxfId="6958" priority="8586" stopIfTrue="1" operator="equal">
      <formula>"Napkin Hs"</formula>
    </cfRule>
  </conditionalFormatting>
  <conditionalFormatting sqref="C57">
    <cfRule type="cellIs" dxfId="6957" priority="8587" stopIfTrue="1" operator="equal">
      <formula>"Towel"</formula>
    </cfRule>
    <cfRule type="cellIs" dxfId="6956" priority="8588" stopIfTrue="1" operator="equal">
      <formula>"Napkin Hs"</formula>
    </cfRule>
  </conditionalFormatting>
  <conditionalFormatting sqref="C57">
    <cfRule type="cellIs" dxfId="6955" priority="8589" stopIfTrue="1" operator="equal">
      <formula>"Towel"</formula>
    </cfRule>
    <cfRule type="cellIs" dxfId="6954" priority="8590" stopIfTrue="1" operator="equal">
      <formula>"Napkin Hs"</formula>
    </cfRule>
  </conditionalFormatting>
  <conditionalFormatting sqref="C57">
    <cfRule type="cellIs" dxfId="6953" priority="8583" stopIfTrue="1" operator="equal">
      <formula>"Towel"</formula>
    </cfRule>
    <cfRule type="cellIs" dxfId="6952" priority="8584" stopIfTrue="1" operator="equal">
      <formula>"Napkin Hs"</formula>
    </cfRule>
  </conditionalFormatting>
  <conditionalFormatting sqref="C57">
    <cfRule type="cellIs" dxfId="6951" priority="8579" stopIfTrue="1" operator="equal">
      <formula>"Towel"</formula>
    </cfRule>
    <cfRule type="cellIs" dxfId="6950" priority="8580" stopIfTrue="1" operator="equal">
      <formula>"Napkin Hs"</formula>
    </cfRule>
  </conditionalFormatting>
  <conditionalFormatting sqref="C57">
    <cfRule type="cellIs" dxfId="6949" priority="8581" stopIfTrue="1" operator="equal">
      <formula>"Towel"</formula>
    </cfRule>
    <cfRule type="cellIs" dxfId="6948" priority="8582" stopIfTrue="1" operator="equal">
      <formula>"Napkin Hs"</formula>
    </cfRule>
  </conditionalFormatting>
  <conditionalFormatting sqref="C57">
    <cfRule type="cellIs" dxfId="6947" priority="8577" stopIfTrue="1" operator="equal">
      <formula>"Towel"</formula>
    </cfRule>
    <cfRule type="cellIs" dxfId="6946" priority="8578" stopIfTrue="1" operator="equal">
      <formula>"Napkin Hs"</formula>
    </cfRule>
  </conditionalFormatting>
  <conditionalFormatting sqref="C57">
    <cfRule type="cellIs" dxfId="6945" priority="8575" stopIfTrue="1" operator="equal">
      <formula>"Towel"</formula>
    </cfRule>
    <cfRule type="cellIs" dxfId="6944" priority="8576" stopIfTrue="1" operator="equal">
      <formula>"Napkin Hs"</formula>
    </cfRule>
  </conditionalFormatting>
  <conditionalFormatting sqref="C57">
    <cfRule type="cellIs" dxfId="6943" priority="8573" stopIfTrue="1" operator="equal">
      <formula>"Towel"</formula>
    </cfRule>
    <cfRule type="cellIs" dxfId="6942" priority="8574" stopIfTrue="1" operator="equal">
      <formula>"Napkin Hs"</formula>
    </cfRule>
  </conditionalFormatting>
  <conditionalFormatting sqref="C57">
    <cfRule type="cellIs" dxfId="6941" priority="8557" stopIfTrue="1" operator="equal">
      <formula>"Towel"</formula>
    </cfRule>
    <cfRule type="cellIs" dxfId="6940" priority="8558" stopIfTrue="1" operator="equal">
      <formula>"Napkin Hs"</formula>
    </cfRule>
  </conditionalFormatting>
  <conditionalFormatting sqref="C57">
    <cfRule type="cellIs" dxfId="6939" priority="8559" stopIfTrue="1" operator="equal">
      <formula>"Towel"</formula>
    </cfRule>
    <cfRule type="cellIs" dxfId="6938" priority="8560" stopIfTrue="1" operator="equal">
      <formula>"Napkin Hs"</formula>
    </cfRule>
  </conditionalFormatting>
  <conditionalFormatting sqref="C57">
    <cfRule type="cellIs" dxfId="6937" priority="8555" stopIfTrue="1" operator="equal">
      <formula>"Towel"</formula>
    </cfRule>
    <cfRule type="cellIs" dxfId="6936" priority="8556" stopIfTrue="1" operator="equal">
      <formula>"Napkin Hs"</formula>
    </cfRule>
  </conditionalFormatting>
  <conditionalFormatting sqref="C57">
    <cfRule type="cellIs" dxfId="6935" priority="8553" stopIfTrue="1" operator="equal">
      <formula>"Towel"</formula>
    </cfRule>
    <cfRule type="cellIs" dxfId="6934" priority="8554" stopIfTrue="1" operator="equal">
      <formula>"Napkin Hs"</formula>
    </cfRule>
  </conditionalFormatting>
  <conditionalFormatting sqref="C57">
    <cfRule type="cellIs" dxfId="6933" priority="8549" stopIfTrue="1" operator="equal">
      <formula>"Towel"</formula>
    </cfRule>
    <cfRule type="cellIs" dxfId="6932" priority="8550" stopIfTrue="1" operator="equal">
      <formula>"Napkin Hs"</formula>
    </cfRule>
  </conditionalFormatting>
  <conditionalFormatting sqref="C57">
    <cfRule type="cellIs" dxfId="6931" priority="8551" stopIfTrue="1" operator="equal">
      <formula>"Towel"</formula>
    </cfRule>
    <cfRule type="cellIs" dxfId="6930" priority="8552" stopIfTrue="1" operator="equal">
      <formula>"Napkin Hs"</formula>
    </cfRule>
  </conditionalFormatting>
  <conditionalFormatting sqref="C57">
    <cfRule type="cellIs" dxfId="6929" priority="8545" stopIfTrue="1" operator="equal">
      <formula>"Towel"</formula>
    </cfRule>
    <cfRule type="cellIs" dxfId="6928" priority="8546" stopIfTrue="1" operator="equal">
      <formula>"Napkin Hs"</formula>
    </cfRule>
  </conditionalFormatting>
  <conditionalFormatting sqref="C57">
    <cfRule type="cellIs" dxfId="6927" priority="8547" stopIfTrue="1" operator="equal">
      <formula>"Towel"</formula>
    </cfRule>
    <cfRule type="cellIs" dxfId="6926" priority="8548" stopIfTrue="1" operator="equal">
      <formula>"Napkin Hs"</formula>
    </cfRule>
  </conditionalFormatting>
  <conditionalFormatting sqref="C57">
    <cfRule type="cellIs" dxfId="6925" priority="8543" stopIfTrue="1" operator="equal">
      <formula>"Towel"</formula>
    </cfRule>
    <cfRule type="cellIs" dxfId="6924" priority="8544" stopIfTrue="1" operator="equal">
      <formula>"Napkin Hs"</formula>
    </cfRule>
  </conditionalFormatting>
  <conditionalFormatting sqref="C57">
    <cfRule type="cellIs" dxfId="6923" priority="8541" stopIfTrue="1" operator="equal">
      <formula>"Towel"</formula>
    </cfRule>
    <cfRule type="cellIs" dxfId="6922" priority="8542" stopIfTrue="1" operator="equal">
      <formula>"Napkin Hs"</formula>
    </cfRule>
  </conditionalFormatting>
  <conditionalFormatting sqref="C57">
    <cfRule type="cellIs" dxfId="6921" priority="8537" stopIfTrue="1" operator="equal">
      <formula>"Towel"</formula>
    </cfRule>
    <cfRule type="cellIs" dxfId="6920" priority="8538" stopIfTrue="1" operator="equal">
      <formula>"Napkin Hs"</formula>
    </cfRule>
  </conditionalFormatting>
  <conditionalFormatting sqref="C57">
    <cfRule type="cellIs" dxfId="6919" priority="8539" stopIfTrue="1" operator="equal">
      <formula>"Towel"</formula>
    </cfRule>
    <cfRule type="cellIs" dxfId="6918" priority="8540" stopIfTrue="1" operator="equal">
      <formula>"Napkin Hs"</formula>
    </cfRule>
  </conditionalFormatting>
  <conditionalFormatting sqref="B57">
    <cfRule type="cellIs" dxfId="6917" priority="8535" stopIfTrue="1" operator="equal">
      <formula>"Towel"</formula>
    </cfRule>
    <cfRule type="cellIs" dxfId="6916" priority="8536" stopIfTrue="1" operator="equal">
      <formula>"Napkin Hs"</formula>
    </cfRule>
  </conditionalFormatting>
  <conditionalFormatting sqref="B57">
    <cfRule type="cellIs" dxfId="6915" priority="8519" stopIfTrue="1" operator="equal">
      <formula>"Towel"</formula>
    </cfRule>
    <cfRule type="cellIs" dxfId="6914" priority="8520" stopIfTrue="1" operator="equal">
      <formula>"Napkin Hs"</formula>
    </cfRule>
  </conditionalFormatting>
  <conditionalFormatting sqref="B57">
    <cfRule type="cellIs" dxfId="6913" priority="8517" stopIfTrue="1" operator="equal">
      <formula>"Towel"</formula>
    </cfRule>
    <cfRule type="cellIs" dxfId="6912" priority="8518" stopIfTrue="1" operator="equal">
      <formula>"Napkin Hs"</formula>
    </cfRule>
  </conditionalFormatting>
  <conditionalFormatting sqref="B57">
    <cfRule type="cellIs" dxfId="6911" priority="8533" stopIfTrue="1" operator="equal">
      <formula>"Towel"</formula>
    </cfRule>
    <cfRule type="cellIs" dxfId="6910" priority="8534" stopIfTrue="1" operator="equal">
      <formula>"Napkin Hs"</formula>
    </cfRule>
  </conditionalFormatting>
  <conditionalFormatting sqref="B57">
    <cfRule type="cellIs" dxfId="6909" priority="8529" stopIfTrue="1" operator="equal">
      <formula>"Towel"</formula>
    </cfRule>
    <cfRule type="cellIs" dxfId="6908" priority="8530" stopIfTrue="1" operator="equal">
      <formula>"Napkin Hs"</formula>
    </cfRule>
  </conditionalFormatting>
  <conditionalFormatting sqref="B57">
    <cfRule type="cellIs" dxfId="6907" priority="8531" stopIfTrue="1" operator="equal">
      <formula>"Towel"</formula>
    </cfRule>
    <cfRule type="cellIs" dxfId="6906" priority="8532" stopIfTrue="1" operator="equal">
      <formula>"Napkin Hs"</formula>
    </cfRule>
  </conditionalFormatting>
  <conditionalFormatting sqref="B57">
    <cfRule type="cellIs" dxfId="6905" priority="8525" stopIfTrue="1" operator="equal">
      <formula>"Towel"</formula>
    </cfRule>
    <cfRule type="cellIs" dxfId="6904" priority="8526" stopIfTrue="1" operator="equal">
      <formula>"Napkin Hs"</formula>
    </cfRule>
  </conditionalFormatting>
  <conditionalFormatting sqref="B57">
    <cfRule type="cellIs" dxfId="6903" priority="8527" stopIfTrue="1" operator="equal">
      <formula>"Towel"</formula>
    </cfRule>
    <cfRule type="cellIs" dxfId="6902" priority="8528" stopIfTrue="1" operator="equal">
      <formula>"Napkin Hs"</formula>
    </cfRule>
  </conditionalFormatting>
  <conditionalFormatting sqref="B57">
    <cfRule type="cellIs" dxfId="6901" priority="8523" stopIfTrue="1" operator="equal">
      <formula>"Towel"</formula>
    </cfRule>
    <cfRule type="cellIs" dxfId="6900" priority="8524" stopIfTrue="1" operator="equal">
      <formula>"Napkin Hs"</formula>
    </cfRule>
  </conditionalFormatting>
  <conditionalFormatting sqref="B57">
    <cfRule type="cellIs" dxfId="6899" priority="8521" stopIfTrue="1" operator="equal">
      <formula>"Towel"</formula>
    </cfRule>
    <cfRule type="cellIs" dxfId="6898" priority="8522" stopIfTrue="1" operator="equal">
      <formula>"Napkin Hs"</formula>
    </cfRule>
  </conditionalFormatting>
  <conditionalFormatting sqref="B57">
    <cfRule type="cellIs" dxfId="6897" priority="8515" stopIfTrue="1" operator="equal">
      <formula>"Towel"</formula>
    </cfRule>
    <cfRule type="cellIs" dxfId="6896" priority="8516" stopIfTrue="1" operator="equal">
      <formula>"Napkin Hs"</formula>
    </cfRule>
  </conditionalFormatting>
  <conditionalFormatting sqref="B57">
    <cfRule type="cellIs" dxfId="6895" priority="8513" stopIfTrue="1" operator="equal">
      <formula>"Towel"</formula>
    </cfRule>
    <cfRule type="cellIs" dxfId="6894" priority="8514" stopIfTrue="1" operator="equal">
      <formula>"Napkin Hs"</formula>
    </cfRule>
  </conditionalFormatting>
  <conditionalFormatting sqref="B57">
    <cfRule type="cellIs" dxfId="6893" priority="8511" stopIfTrue="1" operator="equal">
      <formula>"Towel"</formula>
    </cfRule>
    <cfRule type="cellIs" dxfId="6892" priority="8512" stopIfTrue="1" operator="equal">
      <formula>"Napkin Hs"</formula>
    </cfRule>
  </conditionalFormatting>
  <conditionalFormatting sqref="B57">
    <cfRule type="cellIs" dxfId="6891" priority="8509" stopIfTrue="1" operator="equal">
      <formula>"Towel"</formula>
    </cfRule>
    <cfRule type="cellIs" dxfId="6890" priority="8510" stopIfTrue="1" operator="equal">
      <formula>"Napkin Hs"</formula>
    </cfRule>
  </conditionalFormatting>
  <conditionalFormatting sqref="B66:C66">
    <cfRule type="cellIs" dxfId="6889" priority="8507" stopIfTrue="1" operator="equal">
      <formula>"Towel"</formula>
    </cfRule>
    <cfRule type="cellIs" dxfId="6888" priority="8508" stopIfTrue="1" operator="equal">
      <formula>"Napkin Hs"</formula>
    </cfRule>
  </conditionalFormatting>
  <conditionalFormatting sqref="C66">
    <cfRule type="cellIs" dxfId="6887" priority="8503" stopIfTrue="1" operator="equal">
      <formula>"Towel"</formula>
    </cfRule>
    <cfRule type="cellIs" dxfId="6886" priority="8504" stopIfTrue="1" operator="equal">
      <formula>"Napkin Hs"</formula>
    </cfRule>
  </conditionalFormatting>
  <conditionalFormatting sqref="C66">
    <cfRule type="cellIs" dxfId="6885" priority="8505" stopIfTrue="1" operator="equal">
      <formula>"Towel"</formula>
    </cfRule>
    <cfRule type="cellIs" dxfId="6884" priority="8506" stopIfTrue="1" operator="equal">
      <formula>"Napkin Hs"</formula>
    </cfRule>
  </conditionalFormatting>
  <conditionalFormatting sqref="C65">
    <cfRule type="cellIs" dxfId="6883" priority="8489" stopIfTrue="1" operator="equal">
      <formula>"Towel"</formula>
    </cfRule>
    <cfRule type="cellIs" dxfId="6882" priority="8490" stopIfTrue="1" operator="equal">
      <formula>"Napkin Hs"</formula>
    </cfRule>
  </conditionalFormatting>
  <conditionalFormatting sqref="C65">
    <cfRule type="cellIs" dxfId="6881" priority="8487" stopIfTrue="1" operator="equal">
      <formula>"Towel"</formula>
    </cfRule>
    <cfRule type="cellIs" dxfId="6880" priority="8488" stopIfTrue="1" operator="equal">
      <formula>"Napkin Hs"</formula>
    </cfRule>
  </conditionalFormatting>
  <conditionalFormatting sqref="C65">
    <cfRule type="cellIs" dxfId="6879" priority="8495" stopIfTrue="1" operator="equal">
      <formula>"Towel"</formula>
    </cfRule>
    <cfRule type="cellIs" dxfId="6878" priority="8496" stopIfTrue="1" operator="equal">
      <formula>"Napkin Hs"</formula>
    </cfRule>
  </conditionalFormatting>
  <conditionalFormatting sqref="B65:C65">
    <cfRule type="cellIs" dxfId="6877" priority="8497" stopIfTrue="1" operator="equal">
      <formula>"Towel"</formula>
    </cfRule>
    <cfRule type="cellIs" dxfId="6876" priority="8498" stopIfTrue="1" operator="equal">
      <formula>"Napkin Hs"</formula>
    </cfRule>
  </conditionalFormatting>
  <conditionalFormatting sqref="C65">
    <cfRule type="cellIs" dxfId="6875" priority="8493" stopIfTrue="1" operator="equal">
      <formula>"Towel"</formula>
    </cfRule>
    <cfRule type="cellIs" dxfId="6874" priority="8494" stopIfTrue="1" operator="equal">
      <formula>"Napkin Hs"</formula>
    </cfRule>
  </conditionalFormatting>
  <conditionalFormatting sqref="B65:C65">
    <cfRule type="cellIs" dxfId="6873" priority="8491" stopIfTrue="1" operator="equal">
      <formula>"Towel"</formula>
    </cfRule>
    <cfRule type="cellIs" dxfId="6872" priority="8492" stopIfTrue="1" operator="equal">
      <formula>"Napkin Hs"</formula>
    </cfRule>
  </conditionalFormatting>
  <conditionalFormatting sqref="C65">
    <cfRule type="cellIs" dxfId="6871" priority="8499" stopIfTrue="1" operator="equal">
      <formula>"Towel"</formula>
    </cfRule>
    <cfRule type="cellIs" dxfId="6870" priority="8500" stopIfTrue="1" operator="equal">
      <formula>"Napkin Hs"</formula>
    </cfRule>
  </conditionalFormatting>
  <conditionalFormatting sqref="C65">
    <cfRule type="cellIs" dxfId="6869" priority="8501" stopIfTrue="1" operator="equal">
      <formula>"Towel"</formula>
    </cfRule>
    <cfRule type="cellIs" dxfId="6868" priority="8502" stopIfTrue="1" operator="equal">
      <formula>"Napkin Hs"</formula>
    </cfRule>
  </conditionalFormatting>
  <conditionalFormatting sqref="C65">
    <cfRule type="cellIs" dxfId="6867" priority="8483" stopIfTrue="1" operator="equal">
      <formula>"Towel"</formula>
    </cfRule>
    <cfRule type="cellIs" dxfId="6866" priority="8484" stopIfTrue="1" operator="equal">
      <formula>"Napkin Hs"</formula>
    </cfRule>
  </conditionalFormatting>
  <conditionalFormatting sqref="B65:C65">
    <cfRule type="cellIs" dxfId="6865" priority="8485" stopIfTrue="1" operator="equal">
      <formula>"Towel"</formula>
    </cfRule>
    <cfRule type="cellIs" dxfId="6864" priority="8486" stopIfTrue="1" operator="equal">
      <formula>"Napkin Hs"</formula>
    </cfRule>
  </conditionalFormatting>
  <conditionalFormatting sqref="C65">
    <cfRule type="cellIs" dxfId="6863" priority="8481" stopIfTrue="1" operator="equal">
      <formula>"Towel"</formula>
    </cfRule>
    <cfRule type="cellIs" dxfId="6862" priority="8482" stopIfTrue="1" operator="equal">
      <formula>"Napkin Hs"</formula>
    </cfRule>
  </conditionalFormatting>
  <conditionalFormatting sqref="B65:C65">
    <cfRule type="cellIs" dxfId="6861" priority="8479" stopIfTrue="1" operator="equal">
      <formula>"Towel"</formula>
    </cfRule>
    <cfRule type="cellIs" dxfId="6860" priority="8480" stopIfTrue="1" operator="equal">
      <formula>"Napkin Hs"</formula>
    </cfRule>
  </conditionalFormatting>
  <conditionalFormatting sqref="C65">
    <cfRule type="cellIs" dxfId="6859" priority="8471" stopIfTrue="1" operator="equal">
      <formula>"Towel"</formula>
    </cfRule>
    <cfRule type="cellIs" dxfId="6858" priority="8472" stopIfTrue="1" operator="equal">
      <formula>"Napkin Hs"</formula>
    </cfRule>
  </conditionalFormatting>
  <conditionalFormatting sqref="C65">
    <cfRule type="cellIs" dxfId="6857" priority="8473" stopIfTrue="1" operator="equal">
      <formula>"Towel"</formula>
    </cfRule>
    <cfRule type="cellIs" dxfId="6856" priority="8474" stopIfTrue="1" operator="equal">
      <formula>"Napkin Hs"</formula>
    </cfRule>
  </conditionalFormatting>
  <conditionalFormatting sqref="C65">
    <cfRule type="cellIs" dxfId="6855" priority="8469" stopIfTrue="1" operator="equal">
      <formula>"Towel"</formula>
    </cfRule>
    <cfRule type="cellIs" dxfId="6854" priority="8470" stopIfTrue="1" operator="equal">
      <formula>"Napkin Hs"</formula>
    </cfRule>
  </conditionalFormatting>
  <conditionalFormatting sqref="C65">
    <cfRule type="cellIs" dxfId="6853" priority="8467" stopIfTrue="1" operator="equal">
      <formula>"Towel"</formula>
    </cfRule>
    <cfRule type="cellIs" dxfId="6852" priority="8468" stopIfTrue="1" operator="equal">
      <formula>"Napkin Hs"</formula>
    </cfRule>
  </conditionalFormatting>
  <conditionalFormatting sqref="C65">
    <cfRule type="cellIs" dxfId="6851" priority="8475" stopIfTrue="1" operator="equal">
      <formula>"Towel"</formula>
    </cfRule>
    <cfRule type="cellIs" dxfId="6850" priority="8476" stopIfTrue="1" operator="equal">
      <formula>"Napkin Hs"</formula>
    </cfRule>
  </conditionalFormatting>
  <conditionalFormatting sqref="C65">
    <cfRule type="cellIs" dxfId="6849" priority="8477" stopIfTrue="1" operator="equal">
      <formula>"Towel"</formula>
    </cfRule>
    <cfRule type="cellIs" dxfId="6848" priority="8478" stopIfTrue="1" operator="equal">
      <formula>"Napkin Hs"</formula>
    </cfRule>
  </conditionalFormatting>
  <conditionalFormatting sqref="C65">
    <cfRule type="cellIs" dxfId="6847" priority="8463" stopIfTrue="1" operator="equal">
      <formula>"Towel"</formula>
    </cfRule>
    <cfRule type="cellIs" dxfId="6846" priority="8464" stopIfTrue="1" operator="equal">
      <formula>"Napkin Hs"</formula>
    </cfRule>
  </conditionalFormatting>
  <conditionalFormatting sqref="C65">
    <cfRule type="cellIs" dxfId="6845" priority="8465" stopIfTrue="1" operator="equal">
      <formula>"Towel"</formula>
    </cfRule>
    <cfRule type="cellIs" dxfId="6844" priority="8466" stopIfTrue="1" operator="equal">
      <formula>"Napkin Hs"</formula>
    </cfRule>
  </conditionalFormatting>
  <conditionalFormatting sqref="C65">
    <cfRule type="cellIs" dxfId="6843" priority="8461" stopIfTrue="1" operator="equal">
      <formula>"Towel"</formula>
    </cfRule>
    <cfRule type="cellIs" dxfId="6842" priority="8462" stopIfTrue="1" operator="equal">
      <formula>"Napkin Hs"</formula>
    </cfRule>
  </conditionalFormatting>
  <conditionalFormatting sqref="C65">
    <cfRule type="cellIs" dxfId="6841" priority="8455" stopIfTrue="1" operator="equal">
      <formula>"Towel"</formula>
    </cfRule>
    <cfRule type="cellIs" dxfId="6840" priority="8456" stopIfTrue="1" operator="equal">
      <formula>"Napkin Hs"</formula>
    </cfRule>
  </conditionalFormatting>
  <conditionalFormatting sqref="C65">
    <cfRule type="cellIs" dxfId="6839" priority="8457" stopIfTrue="1" operator="equal">
      <formula>"Towel"</formula>
    </cfRule>
    <cfRule type="cellIs" dxfId="6838" priority="8458" stopIfTrue="1" operator="equal">
      <formula>"Napkin Hs"</formula>
    </cfRule>
  </conditionalFormatting>
  <conditionalFormatting sqref="C65">
    <cfRule type="cellIs" dxfId="6837" priority="8459" stopIfTrue="1" operator="equal">
      <formula>"Towel"</formula>
    </cfRule>
    <cfRule type="cellIs" dxfId="6836" priority="8460" stopIfTrue="1" operator="equal">
      <formula>"Napkin Hs"</formula>
    </cfRule>
  </conditionalFormatting>
  <conditionalFormatting sqref="C65">
    <cfRule type="cellIs" dxfId="6835" priority="8409" stopIfTrue="1" operator="equal">
      <formula>"Towel"</formula>
    </cfRule>
    <cfRule type="cellIs" dxfId="6834" priority="8410" stopIfTrue="1" operator="equal">
      <formula>"Napkin Hs"</formula>
    </cfRule>
  </conditionalFormatting>
  <conditionalFormatting sqref="C65">
    <cfRule type="cellIs" dxfId="6833" priority="8411" stopIfTrue="1" operator="equal">
      <formula>"Towel"</formula>
    </cfRule>
    <cfRule type="cellIs" dxfId="6832" priority="8412" stopIfTrue="1" operator="equal">
      <formula>"Napkin Hs"</formula>
    </cfRule>
  </conditionalFormatting>
  <conditionalFormatting sqref="C65">
    <cfRule type="cellIs" dxfId="6831" priority="8407" stopIfTrue="1" operator="equal">
      <formula>"Towel"</formula>
    </cfRule>
    <cfRule type="cellIs" dxfId="6830" priority="8408" stopIfTrue="1" operator="equal">
      <formula>"Napkin Hs"</formula>
    </cfRule>
  </conditionalFormatting>
  <conditionalFormatting sqref="C65">
    <cfRule type="cellIs" dxfId="6829" priority="8405" stopIfTrue="1" operator="equal">
      <formula>"Towel"</formula>
    </cfRule>
    <cfRule type="cellIs" dxfId="6828" priority="8406" stopIfTrue="1" operator="equal">
      <formula>"Napkin Hs"</formula>
    </cfRule>
  </conditionalFormatting>
  <conditionalFormatting sqref="C65">
    <cfRule type="cellIs" dxfId="6827" priority="8401" stopIfTrue="1" operator="equal">
      <formula>"Towel"</formula>
    </cfRule>
    <cfRule type="cellIs" dxfId="6826" priority="8402" stopIfTrue="1" operator="equal">
      <formula>"Napkin Hs"</formula>
    </cfRule>
  </conditionalFormatting>
  <conditionalFormatting sqref="C65">
    <cfRule type="cellIs" dxfId="6825" priority="8403" stopIfTrue="1" operator="equal">
      <formula>"Towel"</formula>
    </cfRule>
    <cfRule type="cellIs" dxfId="6824" priority="8404" stopIfTrue="1" operator="equal">
      <formula>"Napkin Hs"</formula>
    </cfRule>
  </conditionalFormatting>
  <conditionalFormatting sqref="C65">
    <cfRule type="cellIs" dxfId="6823" priority="8453" stopIfTrue="1" operator="equal">
      <formula>"Towel"</formula>
    </cfRule>
    <cfRule type="cellIs" dxfId="6822" priority="8454" stopIfTrue="1" operator="equal">
      <formula>"Napkin Hs"</formula>
    </cfRule>
  </conditionalFormatting>
  <conditionalFormatting sqref="C65">
    <cfRule type="cellIs" dxfId="6821" priority="8449" stopIfTrue="1" operator="equal">
      <formula>"Towel"</formula>
    </cfRule>
    <cfRule type="cellIs" dxfId="6820" priority="8450" stopIfTrue="1" operator="equal">
      <formula>"Napkin Hs"</formula>
    </cfRule>
  </conditionalFormatting>
  <conditionalFormatting sqref="C65">
    <cfRule type="cellIs" dxfId="6819" priority="8452" stopIfTrue="1" operator="equal">
      <formula>"Napkin Hs"</formula>
    </cfRule>
  </conditionalFormatting>
  <conditionalFormatting sqref="C65">
    <cfRule type="cellIs" dxfId="6818" priority="8451" stopIfTrue="1" operator="equal">
      <formula>"Towel"</formula>
    </cfRule>
  </conditionalFormatting>
  <conditionalFormatting sqref="C65">
    <cfRule type="cellIs" dxfId="6817" priority="8443" stopIfTrue="1" operator="equal">
      <formula>"Towel"</formula>
    </cfRule>
    <cfRule type="cellIs" dxfId="6816" priority="8444" stopIfTrue="1" operator="equal">
      <formula>"Napkin Hs"</formula>
    </cfRule>
  </conditionalFormatting>
  <conditionalFormatting sqref="C65">
    <cfRule type="cellIs" dxfId="6815" priority="8447" stopIfTrue="1" operator="equal">
      <formula>"Towel"</formula>
    </cfRule>
    <cfRule type="cellIs" dxfId="6814" priority="8448" stopIfTrue="1" operator="equal">
      <formula>"Napkin Hs"</formula>
    </cfRule>
  </conditionalFormatting>
  <conditionalFormatting sqref="C65">
    <cfRule type="cellIs" dxfId="6813" priority="8445" stopIfTrue="1" operator="equal">
      <formula>"Towel"</formula>
    </cfRule>
    <cfRule type="cellIs" dxfId="6812" priority="8446" stopIfTrue="1" operator="equal">
      <formula>"Napkin Hs"</formula>
    </cfRule>
  </conditionalFormatting>
  <conditionalFormatting sqref="C65">
    <cfRule type="cellIs" dxfId="6811" priority="8437" stopIfTrue="1" operator="equal">
      <formula>"Towel"</formula>
    </cfRule>
    <cfRule type="cellIs" dxfId="6810" priority="8438" stopIfTrue="1" operator="equal">
      <formula>"Napkin Hs"</formula>
    </cfRule>
  </conditionalFormatting>
  <conditionalFormatting sqref="C65">
    <cfRule type="cellIs" dxfId="6809" priority="8439" stopIfTrue="1" operator="equal">
      <formula>"Towel"</formula>
    </cfRule>
    <cfRule type="cellIs" dxfId="6808" priority="8440" stopIfTrue="1" operator="equal">
      <formula>"Napkin Hs"</formula>
    </cfRule>
  </conditionalFormatting>
  <conditionalFormatting sqref="C65">
    <cfRule type="cellIs" dxfId="6807" priority="8441" stopIfTrue="1" operator="equal">
      <formula>"Towel"</formula>
    </cfRule>
    <cfRule type="cellIs" dxfId="6806" priority="8442" stopIfTrue="1" operator="equal">
      <formula>"Napkin Hs"</formula>
    </cfRule>
  </conditionalFormatting>
  <conditionalFormatting sqref="C65">
    <cfRule type="cellIs" dxfId="6805" priority="8431" stopIfTrue="1" operator="equal">
      <formula>"Towel"</formula>
    </cfRule>
    <cfRule type="cellIs" dxfId="6804" priority="8432" stopIfTrue="1" operator="equal">
      <formula>"Napkin Hs"</formula>
    </cfRule>
  </conditionalFormatting>
  <conditionalFormatting sqref="C65">
    <cfRule type="cellIs" dxfId="6803" priority="8435" stopIfTrue="1" operator="equal">
      <formula>"Towel"</formula>
    </cfRule>
    <cfRule type="cellIs" dxfId="6802" priority="8436" stopIfTrue="1" operator="equal">
      <formula>"Napkin Hs"</formula>
    </cfRule>
  </conditionalFormatting>
  <conditionalFormatting sqref="C65">
    <cfRule type="cellIs" dxfId="6801" priority="8433" stopIfTrue="1" operator="equal">
      <formula>"Towel"</formula>
    </cfRule>
    <cfRule type="cellIs" dxfId="6800" priority="8434" stopIfTrue="1" operator="equal">
      <formula>"Napkin Hs"</formula>
    </cfRule>
  </conditionalFormatting>
  <conditionalFormatting sqref="C65">
    <cfRule type="cellIs" dxfId="6799" priority="8425" stopIfTrue="1" operator="equal">
      <formula>"Towel"</formula>
    </cfRule>
    <cfRule type="cellIs" dxfId="6798" priority="8426" stopIfTrue="1" operator="equal">
      <formula>"Napkin Hs"</formula>
    </cfRule>
  </conditionalFormatting>
  <conditionalFormatting sqref="C65">
    <cfRule type="cellIs" dxfId="6797" priority="8427" stopIfTrue="1" operator="equal">
      <formula>"Towel"</formula>
    </cfRule>
    <cfRule type="cellIs" dxfId="6796" priority="8428" stopIfTrue="1" operator="equal">
      <formula>"Napkin Hs"</formula>
    </cfRule>
  </conditionalFormatting>
  <conditionalFormatting sqref="C65">
    <cfRule type="cellIs" dxfId="6795" priority="8429" stopIfTrue="1" operator="equal">
      <formula>"Towel"</formula>
    </cfRule>
    <cfRule type="cellIs" dxfId="6794" priority="8430" stopIfTrue="1" operator="equal">
      <formula>"Napkin Hs"</formula>
    </cfRule>
  </conditionalFormatting>
  <conditionalFormatting sqref="C65">
    <cfRule type="cellIs" dxfId="6793" priority="8423" stopIfTrue="1" operator="equal">
      <formula>"Towel"</formula>
    </cfRule>
    <cfRule type="cellIs" dxfId="6792" priority="8424" stopIfTrue="1" operator="equal">
      <formula>"Napkin Hs"</formula>
    </cfRule>
  </conditionalFormatting>
  <conditionalFormatting sqref="C65">
    <cfRule type="cellIs" dxfId="6791" priority="8419" stopIfTrue="1" operator="equal">
      <formula>"Towel"</formula>
    </cfRule>
    <cfRule type="cellIs" dxfId="6790" priority="8420" stopIfTrue="1" operator="equal">
      <formula>"Napkin Hs"</formula>
    </cfRule>
  </conditionalFormatting>
  <conditionalFormatting sqref="C65">
    <cfRule type="cellIs" dxfId="6789" priority="8421" stopIfTrue="1" operator="equal">
      <formula>"Towel"</formula>
    </cfRule>
    <cfRule type="cellIs" dxfId="6788" priority="8422" stopIfTrue="1" operator="equal">
      <formula>"Napkin Hs"</formula>
    </cfRule>
  </conditionalFormatting>
  <conditionalFormatting sqref="C65">
    <cfRule type="cellIs" dxfId="6787" priority="8417" stopIfTrue="1" operator="equal">
      <formula>"Towel"</formula>
    </cfRule>
    <cfRule type="cellIs" dxfId="6786" priority="8418" stopIfTrue="1" operator="equal">
      <formula>"Napkin Hs"</formula>
    </cfRule>
  </conditionalFormatting>
  <conditionalFormatting sqref="C65">
    <cfRule type="cellIs" dxfId="6785" priority="8415" stopIfTrue="1" operator="equal">
      <formula>"Towel"</formula>
    </cfRule>
    <cfRule type="cellIs" dxfId="6784" priority="8416" stopIfTrue="1" operator="equal">
      <formula>"Napkin Hs"</formula>
    </cfRule>
  </conditionalFormatting>
  <conditionalFormatting sqref="C65">
    <cfRule type="cellIs" dxfId="6783" priority="8413" stopIfTrue="1" operator="equal">
      <formula>"Towel"</formula>
    </cfRule>
    <cfRule type="cellIs" dxfId="6782" priority="8414" stopIfTrue="1" operator="equal">
      <formula>"Napkin Hs"</formula>
    </cfRule>
  </conditionalFormatting>
  <conditionalFormatting sqref="C65">
    <cfRule type="cellIs" dxfId="6781" priority="8397" stopIfTrue="1" operator="equal">
      <formula>"Towel"</formula>
    </cfRule>
    <cfRule type="cellIs" dxfId="6780" priority="8398" stopIfTrue="1" operator="equal">
      <formula>"Napkin Hs"</formula>
    </cfRule>
  </conditionalFormatting>
  <conditionalFormatting sqref="C65">
    <cfRule type="cellIs" dxfId="6779" priority="8399" stopIfTrue="1" operator="equal">
      <formula>"Towel"</formula>
    </cfRule>
    <cfRule type="cellIs" dxfId="6778" priority="8400" stopIfTrue="1" operator="equal">
      <formula>"Napkin Hs"</formula>
    </cfRule>
  </conditionalFormatting>
  <conditionalFormatting sqref="C65">
    <cfRule type="cellIs" dxfId="6777" priority="8395" stopIfTrue="1" operator="equal">
      <formula>"Towel"</formula>
    </cfRule>
    <cfRule type="cellIs" dxfId="6776" priority="8396" stopIfTrue="1" operator="equal">
      <formula>"Napkin Hs"</formula>
    </cfRule>
  </conditionalFormatting>
  <conditionalFormatting sqref="C65">
    <cfRule type="cellIs" dxfId="6775" priority="8393" stopIfTrue="1" operator="equal">
      <formula>"Towel"</formula>
    </cfRule>
    <cfRule type="cellIs" dxfId="6774" priority="8394" stopIfTrue="1" operator="equal">
      <formula>"Napkin Hs"</formula>
    </cfRule>
  </conditionalFormatting>
  <conditionalFormatting sqref="C65">
    <cfRule type="cellIs" dxfId="6773" priority="8389" stopIfTrue="1" operator="equal">
      <formula>"Towel"</formula>
    </cfRule>
    <cfRule type="cellIs" dxfId="6772" priority="8390" stopIfTrue="1" operator="equal">
      <formula>"Napkin Hs"</formula>
    </cfRule>
  </conditionalFormatting>
  <conditionalFormatting sqref="C65">
    <cfRule type="cellIs" dxfId="6771" priority="8391" stopIfTrue="1" operator="equal">
      <formula>"Towel"</formula>
    </cfRule>
    <cfRule type="cellIs" dxfId="6770" priority="8392" stopIfTrue="1" operator="equal">
      <formula>"Napkin Hs"</formula>
    </cfRule>
  </conditionalFormatting>
  <conditionalFormatting sqref="C65">
    <cfRule type="cellIs" dxfId="6769" priority="8385" stopIfTrue="1" operator="equal">
      <formula>"Towel"</formula>
    </cfRule>
    <cfRule type="cellIs" dxfId="6768" priority="8386" stopIfTrue="1" operator="equal">
      <formula>"Napkin Hs"</formula>
    </cfRule>
  </conditionalFormatting>
  <conditionalFormatting sqref="C65">
    <cfRule type="cellIs" dxfId="6767" priority="8387" stopIfTrue="1" operator="equal">
      <formula>"Towel"</formula>
    </cfRule>
    <cfRule type="cellIs" dxfId="6766" priority="8388" stopIfTrue="1" operator="equal">
      <formula>"Napkin Hs"</formula>
    </cfRule>
  </conditionalFormatting>
  <conditionalFormatting sqref="C65">
    <cfRule type="cellIs" dxfId="6765" priority="8383" stopIfTrue="1" operator="equal">
      <formula>"Towel"</formula>
    </cfRule>
    <cfRule type="cellIs" dxfId="6764" priority="8384" stopIfTrue="1" operator="equal">
      <formula>"Napkin Hs"</formula>
    </cfRule>
  </conditionalFormatting>
  <conditionalFormatting sqref="C65">
    <cfRule type="cellIs" dxfId="6763" priority="8381" stopIfTrue="1" operator="equal">
      <formula>"Towel"</formula>
    </cfRule>
    <cfRule type="cellIs" dxfId="6762" priority="8382" stopIfTrue="1" operator="equal">
      <formula>"Napkin Hs"</formula>
    </cfRule>
  </conditionalFormatting>
  <conditionalFormatting sqref="C65">
    <cfRule type="cellIs" dxfId="6761" priority="8377" stopIfTrue="1" operator="equal">
      <formula>"Towel"</formula>
    </cfRule>
    <cfRule type="cellIs" dxfId="6760" priority="8378" stopIfTrue="1" operator="equal">
      <formula>"Napkin Hs"</formula>
    </cfRule>
  </conditionalFormatting>
  <conditionalFormatting sqref="C65">
    <cfRule type="cellIs" dxfId="6759" priority="8379" stopIfTrue="1" operator="equal">
      <formula>"Towel"</formula>
    </cfRule>
    <cfRule type="cellIs" dxfId="6758" priority="8380" stopIfTrue="1" operator="equal">
      <formula>"Napkin Hs"</formula>
    </cfRule>
  </conditionalFormatting>
  <conditionalFormatting sqref="B65">
    <cfRule type="cellIs" dxfId="6757" priority="8375" stopIfTrue="1" operator="equal">
      <formula>"Towel"</formula>
    </cfRule>
    <cfRule type="cellIs" dxfId="6756" priority="8376" stopIfTrue="1" operator="equal">
      <formula>"Napkin Hs"</formula>
    </cfRule>
  </conditionalFormatting>
  <conditionalFormatting sqref="B65">
    <cfRule type="cellIs" dxfId="6755" priority="8359" stopIfTrue="1" operator="equal">
      <formula>"Towel"</formula>
    </cfRule>
    <cfRule type="cellIs" dxfId="6754" priority="8360" stopIfTrue="1" operator="equal">
      <formula>"Napkin Hs"</formula>
    </cfRule>
  </conditionalFormatting>
  <conditionalFormatting sqref="B65">
    <cfRule type="cellIs" dxfId="6753" priority="8357" stopIfTrue="1" operator="equal">
      <formula>"Towel"</formula>
    </cfRule>
    <cfRule type="cellIs" dxfId="6752" priority="8358" stopIfTrue="1" operator="equal">
      <formula>"Napkin Hs"</formula>
    </cfRule>
  </conditionalFormatting>
  <conditionalFormatting sqref="B65">
    <cfRule type="cellIs" dxfId="6751" priority="8373" stopIfTrue="1" operator="equal">
      <formula>"Towel"</formula>
    </cfRule>
    <cfRule type="cellIs" dxfId="6750" priority="8374" stopIfTrue="1" operator="equal">
      <formula>"Napkin Hs"</formula>
    </cfRule>
  </conditionalFormatting>
  <conditionalFormatting sqref="B65">
    <cfRule type="cellIs" dxfId="6749" priority="8369" stopIfTrue="1" operator="equal">
      <formula>"Towel"</formula>
    </cfRule>
    <cfRule type="cellIs" dxfId="6748" priority="8370" stopIfTrue="1" operator="equal">
      <formula>"Napkin Hs"</formula>
    </cfRule>
  </conditionalFormatting>
  <conditionalFormatting sqref="B65">
    <cfRule type="cellIs" dxfId="6747" priority="8371" stopIfTrue="1" operator="equal">
      <formula>"Towel"</formula>
    </cfRule>
    <cfRule type="cellIs" dxfId="6746" priority="8372" stopIfTrue="1" operator="equal">
      <formula>"Napkin Hs"</formula>
    </cfRule>
  </conditionalFormatting>
  <conditionalFormatting sqref="B65">
    <cfRule type="cellIs" dxfId="6745" priority="8365" stopIfTrue="1" operator="equal">
      <formula>"Towel"</formula>
    </cfRule>
    <cfRule type="cellIs" dxfId="6744" priority="8366" stopIfTrue="1" operator="equal">
      <formula>"Napkin Hs"</formula>
    </cfRule>
  </conditionalFormatting>
  <conditionalFormatting sqref="B65">
    <cfRule type="cellIs" dxfId="6743" priority="8367" stopIfTrue="1" operator="equal">
      <formula>"Towel"</formula>
    </cfRule>
    <cfRule type="cellIs" dxfId="6742" priority="8368" stopIfTrue="1" operator="equal">
      <formula>"Napkin Hs"</formula>
    </cfRule>
  </conditionalFormatting>
  <conditionalFormatting sqref="B65">
    <cfRule type="cellIs" dxfId="6741" priority="8363" stopIfTrue="1" operator="equal">
      <formula>"Towel"</formula>
    </cfRule>
    <cfRule type="cellIs" dxfId="6740" priority="8364" stopIfTrue="1" operator="equal">
      <formula>"Napkin Hs"</formula>
    </cfRule>
  </conditionalFormatting>
  <conditionalFormatting sqref="B65">
    <cfRule type="cellIs" dxfId="6739" priority="8361" stopIfTrue="1" operator="equal">
      <formula>"Towel"</formula>
    </cfRule>
    <cfRule type="cellIs" dxfId="6738" priority="8362" stopIfTrue="1" operator="equal">
      <formula>"Napkin Hs"</formula>
    </cfRule>
  </conditionalFormatting>
  <conditionalFormatting sqref="B65">
    <cfRule type="cellIs" dxfId="6737" priority="8355" stopIfTrue="1" operator="equal">
      <formula>"Towel"</formula>
    </cfRule>
    <cfRule type="cellIs" dxfId="6736" priority="8356" stopIfTrue="1" operator="equal">
      <formula>"Napkin Hs"</formula>
    </cfRule>
  </conditionalFormatting>
  <conditionalFormatting sqref="B65">
    <cfRule type="cellIs" dxfId="6735" priority="8353" stopIfTrue="1" operator="equal">
      <formula>"Towel"</formula>
    </cfRule>
    <cfRule type="cellIs" dxfId="6734" priority="8354" stopIfTrue="1" operator="equal">
      <formula>"Napkin Hs"</formula>
    </cfRule>
  </conditionalFormatting>
  <conditionalFormatting sqref="B65">
    <cfRule type="cellIs" dxfId="6733" priority="8351" stopIfTrue="1" operator="equal">
      <formula>"Towel"</formula>
    </cfRule>
    <cfRule type="cellIs" dxfId="6732" priority="8352" stopIfTrue="1" operator="equal">
      <formula>"Napkin Hs"</formula>
    </cfRule>
  </conditionalFormatting>
  <conditionalFormatting sqref="B65">
    <cfRule type="cellIs" dxfId="6731" priority="8349" stopIfTrue="1" operator="equal">
      <formula>"Towel"</formula>
    </cfRule>
    <cfRule type="cellIs" dxfId="6730" priority="8350" stopIfTrue="1" operator="equal">
      <formula>"Napkin Hs"</formula>
    </cfRule>
  </conditionalFormatting>
  <conditionalFormatting sqref="C64">
    <cfRule type="cellIs" dxfId="6729" priority="8341" stopIfTrue="1" operator="equal">
      <formula>"Towel"</formula>
    </cfRule>
    <cfRule type="cellIs" dxfId="6728" priority="8342" stopIfTrue="1" operator="equal">
      <formula>"Napkin Hs"</formula>
    </cfRule>
  </conditionalFormatting>
  <conditionalFormatting sqref="C64">
    <cfRule type="cellIs" dxfId="6727" priority="8343" stopIfTrue="1" operator="equal">
      <formula>"Towel"</formula>
    </cfRule>
    <cfRule type="cellIs" dxfId="6726" priority="8344" stopIfTrue="1" operator="equal">
      <formula>"Napkin Hs"</formula>
    </cfRule>
  </conditionalFormatting>
  <conditionalFormatting sqref="C64">
    <cfRule type="cellIs" dxfId="6725" priority="8339" stopIfTrue="1" operator="equal">
      <formula>"Towel"</formula>
    </cfRule>
    <cfRule type="cellIs" dxfId="6724" priority="8340" stopIfTrue="1" operator="equal">
      <formula>"Napkin Hs"</formula>
    </cfRule>
  </conditionalFormatting>
  <conditionalFormatting sqref="C64">
    <cfRule type="cellIs" dxfId="6723" priority="8337" stopIfTrue="1" operator="equal">
      <formula>"Towel"</formula>
    </cfRule>
    <cfRule type="cellIs" dxfId="6722" priority="8338" stopIfTrue="1" operator="equal">
      <formula>"Napkin Hs"</formula>
    </cfRule>
  </conditionalFormatting>
  <conditionalFormatting sqref="C64">
    <cfRule type="cellIs" dxfId="6721" priority="8345" stopIfTrue="1" operator="equal">
      <formula>"Towel"</formula>
    </cfRule>
    <cfRule type="cellIs" dxfId="6720" priority="8346" stopIfTrue="1" operator="equal">
      <formula>"Napkin Hs"</formula>
    </cfRule>
  </conditionalFormatting>
  <conditionalFormatting sqref="C64">
    <cfRule type="cellIs" dxfId="6719" priority="8347" stopIfTrue="1" operator="equal">
      <formula>"Towel"</formula>
    </cfRule>
    <cfRule type="cellIs" dxfId="6718" priority="8348" stopIfTrue="1" operator="equal">
      <formula>"Napkin Hs"</formula>
    </cfRule>
  </conditionalFormatting>
  <conditionalFormatting sqref="C64">
    <cfRule type="cellIs" dxfId="6717" priority="8333" stopIfTrue="1" operator="equal">
      <formula>"Towel"</formula>
    </cfRule>
    <cfRule type="cellIs" dxfId="6716" priority="8334" stopIfTrue="1" operator="equal">
      <formula>"Napkin Hs"</formula>
    </cfRule>
  </conditionalFormatting>
  <conditionalFormatting sqref="C64">
    <cfRule type="cellIs" dxfId="6715" priority="8335" stopIfTrue="1" operator="equal">
      <formula>"Towel"</formula>
    </cfRule>
    <cfRule type="cellIs" dxfId="6714" priority="8336" stopIfTrue="1" operator="equal">
      <formula>"Napkin Hs"</formula>
    </cfRule>
  </conditionalFormatting>
  <conditionalFormatting sqref="C64">
    <cfRule type="cellIs" dxfId="6713" priority="8331" stopIfTrue="1" operator="equal">
      <formula>"Towel"</formula>
    </cfRule>
    <cfRule type="cellIs" dxfId="6712" priority="8332" stopIfTrue="1" operator="equal">
      <formula>"Napkin Hs"</formula>
    </cfRule>
  </conditionalFormatting>
  <conditionalFormatting sqref="C64">
    <cfRule type="cellIs" dxfId="6711" priority="8325" stopIfTrue="1" operator="equal">
      <formula>"Towel"</formula>
    </cfRule>
    <cfRule type="cellIs" dxfId="6710" priority="8326" stopIfTrue="1" operator="equal">
      <formula>"Napkin Hs"</formula>
    </cfRule>
  </conditionalFormatting>
  <conditionalFormatting sqref="C64">
    <cfRule type="cellIs" dxfId="6709" priority="8327" stopIfTrue="1" operator="equal">
      <formula>"Towel"</formula>
    </cfRule>
    <cfRule type="cellIs" dxfId="6708" priority="8328" stopIfTrue="1" operator="equal">
      <formula>"Napkin Hs"</formula>
    </cfRule>
  </conditionalFormatting>
  <conditionalFormatting sqref="C64">
    <cfRule type="cellIs" dxfId="6707" priority="8329" stopIfTrue="1" operator="equal">
      <formula>"Towel"</formula>
    </cfRule>
    <cfRule type="cellIs" dxfId="6706" priority="8330" stopIfTrue="1" operator="equal">
      <formula>"Napkin Hs"</formula>
    </cfRule>
  </conditionalFormatting>
  <conditionalFormatting sqref="C64">
    <cfRule type="cellIs" dxfId="6705" priority="8279" stopIfTrue="1" operator="equal">
      <formula>"Towel"</formula>
    </cfRule>
    <cfRule type="cellIs" dxfId="6704" priority="8280" stopIfTrue="1" operator="equal">
      <formula>"Napkin Hs"</formula>
    </cfRule>
  </conditionalFormatting>
  <conditionalFormatting sqref="C64">
    <cfRule type="cellIs" dxfId="6703" priority="8281" stopIfTrue="1" operator="equal">
      <formula>"Towel"</formula>
    </cfRule>
    <cfRule type="cellIs" dxfId="6702" priority="8282" stopIfTrue="1" operator="equal">
      <formula>"Napkin Hs"</formula>
    </cfRule>
  </conditionalFormatting>
  <conditionalFormatting sqref="C64">
    <cfRule type="cellIs" dxfId="6701" priority="8277" stopIfTrue="1" operator="equal">
      <formula>"Towel"</formula>
    </cfRule>
    <cfRule type="cellIs" dxfId="6700" priority="8278" stopIfTrue="1" operator="equal">
      <formula>"Napkin Hs"</formula>
    </cfRule>
  </conditionalFormatting>
  <conditionalFormatting sqref="C64">
    <cfRule type="cellIs" dxfId="6699" priority="8275" stopIfTrue="1" operator="equal">
      <formula>"Towel"</formula>
    </cfRule>
    <cfRule type="cellIs" dxfId="6698" priority="8276" stopIfTrue="1" operator="equal">
      <formula>"Napkin Hs"</formula>
    </cfRule>
  </conditionalFormatting>
  <conditionalFormatting sqref="C64">
    <cfRule type="cellIs" dxfId="6697" priority="8271" stopIfTrue="1" operator="equal">
      <formula>"Towel"</formula>
    </cfRule>
    <cfRule type="cellIs" dxfId="6696" priority="8272" stopIfTrue="1" operator="equal">
      <formula>"Napkin Hs"</formula>
    </cfRule>
  </conditionalFormatting>
  <conditionalFormatting sqref="C64">
    <cfRule type="cellIs" dxfId="6695" priority="8273" stopIfTrue="1" operator="equal">
      <formula>"Towel"</formula>
    </cfRule>
    <cfRule type="cellIs" dxfId="6694" priority="8274" stopIfTrue="1" operator="equal">
      <formula>"Napkin Hs"</formula>
    </cfRule>
  </conditionalFormatting>
  <conditionalFormatting sqref="C64">
    <cfRule type="cellIs" dxfId="6693" priority="8323" stopIfTrue="1" operator="equal">
      <formula>"Towel"</formula>
    </cfRule>
    <cfRule type="cellIs" dxfId="6692" priority="8324" stopIfTrue="1" operator="equal">
      <formula>"Napkin Hs"</formula>
    </cfRule>
  </conditionalFormatting>
  <conditionalFormatting sqref="C64">
    <cfRule type="cellIs" dxfId="6691" priority="8319" stopIfTrue="1" operator="equal">
      <formula>"Towel"</formula>
    </cfRule>
    <cfRule type="cellIs" dxfId="6690" priority="8320" stopIfTrue="1" operator="equal">
      <formula>"Napkin Hs"</formula>
    </cfRule>
  </conditionalFormatting>
  <conditionalFormatting sqref="C64">
    <cfRule type="cellIs" dxfId="6689" priority="8322" stopIfTrue="1" operator="equal">
      <formula>"Napkin Hs"</formula>
    </cfRule>
  </conditionalFormatting>
  <conditionalFormatting sqref="C64">
    <cfRule type="cellIs" dxfId="6688" priority="8321" stopIfTrue="1" operator="equal">
      <formula>"Towel"</formula>
    </cfRule>
  </conditionalFormatting>
  <conditionalFormatting sqref="C64">
    <cfRule type="cellIs" dxfId="6687" priority="8313" stopIfTrue="1" operator="equal">
      <formula>"Towel"</formula>
    </cfRule>
    <cfRule type="cellIs" dxfId="6686" priority="8314" stopIfTrue="1" operator="equal">
      <formula>"Napkin Hs"</formula>
    </cfRule>
  </conditionalFormatting>
  <conditionalFormatting sqref="C64">
    <cfRule type="cellIs" dxfId="6685" priority="8317" stopIfTrue="1" operator="equal">
      <formula>"Towel"</formula>
    </cfRule>
    <cfRule type="cellIs" dxfId="6684" priority="8318" stopIfTrue="1" operator="equal">
      <formula>"Napkin Hs"</formula>
    </cfRule>
  </conditionalFormatting>
  <conditionalFormatting sqref="C64">
    <cfRule type="cellIs" dxfId="6683" priority="8315" stopIfTrue="1" operator="equal">
      <formula>"Towel"</formula>
    </cfRule>
    <cfRule type="cellIs" dxfId="6682" priority="8316" stopIfTrue="1" operator="equal">
      <formula>"Napkin Hs"</formula>
    </cfRule>
  </conditionalFormatting>
  <conditionalFormatting sqref="C64">
    <cfRule type="cellIs" dxfId="6681" priority="8307" stopIfTrue="1" operator="equal">
      <formula>"Towel"</formula>
    </cfRule>
    <cfRule type="cellIs" dxfId="6680" priority="8308" stopIfTrue="1" operator="equal">
      <formula>"Napkin Hs"</formula>
    </cfRule>
  </conditionalFormatting>
  <conditionalFormatting sqref="C64">
    <cfRule type="cellIs" dxfId="6679" priority="8309" stopIfTrue="1" operator="equal">
      <formula>"Towel"</formula>
    </cfRule>
    <cfRule type="cellIs" dxfId="6678" priority="8310" stopIfTrue="1" operator="equal">
      <formula>"Napkin Hs"</formula>
    </cfRule>
  </conditionalFormatting>
  <conditionalFormatting sqref="C64">
    <cfRule type="cellIs" dxfId="6677" priority="8311" stopIfTrue="1" operator="equal">
      <formula>"Towel"</formula>
    </cfRule>
    <cfRule type="cellIs" dxfId="6676" priority="8312" stopIfTrue="1" operator="equal">
      <formula>"Napkin Hs"</formula>
    </cfRule>
  </conditionalFormatting>
  <conditionalFormatting sqref="C64">
    <cfRule type="cellIs" dxfId="6675" priority="8301" stopIfTrue="1" operator="equal">
      <formula>"Towel"</formula>
    </cfRule>
    <cfRule type="cellIs" dxfId="6674" priority="8302" stopIfTrue="1" operator="equal">
      <formula>"Napkin Hs"</formula>
    </cfRule>
  </conditionalFormatting>
  <conditionalFormatting sqref="C64">
    <cfRule type="cellIs" dxfId="6673" priority="8305" stopIfTrue="1" operator="equal">
      <formula>"Towel"</formula>
    </cfRule>
    <cfRule type="cellIs" dxfId="6672" priority="8306" stopIfTrue="1" operator="equal">
      <formula>"Napkin Hs"</formula>
    </cfRule>
  </conditionalFormatting>
  <conditionalFormatting sqref="C64">
    <cfRule type="cellIs" dxfId="6671" priority="8303" stopIfTrue="1" operator="equal">
      <formula>"Towel"</formula>
    </cfRule>
    <cfRule type="cellIs" dxfId="6670" priority="8304" stopIfTrue="1" operator="equal">
      <formula>"Napkin Hs"</formula>
    </cfRule>
  </conditionalFormatting>
  <conditionalFormatting sqref="C64">
    <cfRule type="cellIs" dxfId="6669" priority="8295" stopIfTrue="1" operator="equal">
      <formula>"Towel"</formula>
    </cfRule>
    <cfRule type="cellIs" dxfId="6668" priority="8296" stopIfTrue="1" operator="equal">
      <formula>"Napkin Hs"</formula>
    </cfRule>
  </conditionalFormatting>
  <conditionalFormatting sqref="C64">
    <cfRule type="cellIs" dxfId="6667" priority="8297" stopIfTrue="1" operator="equal">
      <formula>"Towel"</formula>
    </cfRule>
    <cfRule type="cellIs" dxfId="6666" priority="8298" stopIfTrue="1" operator="equal">
      <formula>"Napkin Hs"</formula>
    </cfRule>
  </conditionalFormatting>
  <conditionalFormatting sqref="C64">
    <cfRule type="cellIs" dxfId="6665" priority="8299" stopIfTrue="1" operator="equal">
      <formula>"Towel"</formula>
    </cfRule>
    <cfRule type="cellIs" dxfId="6664" priority="8300" stopIfTrue="1" operator="equal">
      <formula>"Napkin Hs"</formula>
    </cfRule>
  </conditionalFormatting>
  <conditionalFormatting sqref="C64">
    <cfRule type="cellIs" dxfId="6663" priority="8293" stopIfTrue="1" operator="equal">
      <formula>"Towel"</formula>
    </cfRule>
    <cfRule type="cellIs" dxfId="6662" priority="8294" stopIfTrue="1" operator="equal">
      <formula>"Napkin Hs"</formula>
    </cfRule>
  </conditionalFormatting>
  <conditionalFormatting sqref="C64">
    <cfRule type="cellIs" dxfId="6661" priority="8289" stopIfTrue="1" operator="equal">
      <formula>"Towel"</formula>
    </cfRule>
    <cfRule type="cellIs" dxfId="6660" priority="8290" stopIfTrue="1" operator="equal">
      <formula>"Napkin Hs"</formula>
    </cfRule>
  </conditionalFormatting>
  <conditionalFormatting sqref="C64">
    <cfRule type="cellIs" dxfId="6659" priority="8291" stopIfTrue="1" operator="equal">
      <formula>"Towel"</formula>
    </cfRule>
    <cfRule type="cellIs" dxfId="6658" priority="8292" stopIfTrue="1" operator="equal">
      <formula>"Napkin Hs"</formula>
    </cfRule>
  </conditionalFormatting>
  <conditionalFormatting sqref="C64">
    <cfRule type="cellIs" dxfId="6657" priority="8287" stopIfTrue="1" operator="equal">
      <formula>"Towel"</formula>
    </cfRule>
    <cfRule type="cellIs" dxfId="6656" priority="8288" stopIfTrue="1" operator="equal">
      <formula>"Napkin Hs"</formula>
    </cfRule>
  </conditionalFormatting>
  <conditionalFormatting sqref="C64">
    <cfRule type="cellIs" dxfId="6655" priority="8285" stopIfTrue="1" operator="equal">
      <formula>"Towel"</formula>
    </cfRule>
    <cfRule type="cellIs" dxfId="6654" priority="8286" stopIfTrue="1" operator="equal">
      <formula>"Napkin Hs"</formula>
    </cfRule>
  </conditionalFormatting>
  <conditionalFormatting sqref="C64">
    <cfRule type="cellIs" dxfId="6653" priority="8283" stopIfTrue="1" operator="equal">
      <formula>"Towel"</formula>
    </cfRule>
    <cfRule type="cellIs" dxfId="6652" priority="8284" stopIfTrue="1" operator="equal">
      <formula>"Napkin Hs"</formula>
    </cfRule>
  </conditionalFormatting>
  <conditionalFormatting sqref="C64">
    <cfRule type="cellIs" dxfId="6651" priority="8267" stopIfTrue="1" operator="equal">
      <formula>"Towel"</formula>
    </cfRule>
    <cfRule type="cellIs" dxfId="6650" priority="8268" stopIfTrue="1" operator="equal">
      <formula>"Napkin Hs"</formula>
    </cfRule>
  </conditionalFormatting>
  <conditionalFormatting sqref="C64">
    <cfRule type="cellIs" dxfId="6649" priority="8269" stopIfTrue="1" operator="equal">
      <formula>"Towel"</formula>
    </cfRule>
    <cfRule type="cellIs" dxfId="6648" priority="8270" stopIfTrue="1" operator="equal">
      <formula>"Napkin Hs"</formula>
    </cfRule>
  </conditionalFormatting>
  <conditionalFormatting sqref="C64">
    <cfRule type="cellIs" dxfId="6647" priority="8265" stopIfTrue="1" operator="equal">
      <formula>"Towel"</formula>
    </cfRule>
    <cfRule type="cellIs" dxfId="6646" priority="8266" stopIfTrue="1" operator="equal">
      <formula>"Napkin Hs"</formula>
    </cfRule>
  </conditionalFormatting>
  <conditionalFormatting sqref="C64">
    <cfRule type="cellIs" dxfId="6645" priority="8263" stopIfTrue="1" operator="equal">
      <formula>"Towel"</formula>
    </cfRule>
    <cfRule type="cellIs" dxfId="6644" priority="8264" stopIfTrue="1" operator="equal">
      <formula>"Napkin Hs"</formula>
    </cfRule>
  </conditionalFormatting>
  <conditionalFormatting sqref="C64">
    <cfRule type="cellIs" dxfId="6643" priority="8259" stopIfTrue="1" operator="equal">
      <formula>"Towel"</formula>
    </cfRule>
    <cfRule type="cellIs" dxfId="6642" priority="8260" stopIfTrue="1" operator="equal">
      <formula>"Napkin Hs"</formula>
    </cfRule>
  </conditionalFormatting>
  <conditionalFormatting sqref="C64">
    <cfRule type="cellIs" dxfId="6641" priority="8261" stopIfTrue="1" operator="equal">
      <formula>"Towel"</formula>
    </cfRule>
    <cfRule type="cellIs" dxfId="6640" priority="8262" stopIfTrue="1" operator="equal">
      <formula>"Napkin Hs"</formula>
    </cfRule>
  </conditionalFormatting>
  <conditionalFormatting sqref="C64">
    <cfRule type="cellIs" dxfId="6639" priority="8255" stopIfTrue="1" operator="equal">
      <formula>"Towel"</formula>
    </cfRule>
    <cfRule type="cellIs" dxfId="6638" priority="8256" stopIfTrue="1" operator="equal">
      <formula>"Napkin Hs"</formula>
    </cfRule>
  </conditionalFormatting>
  <conditionalFormatting sqref="C64">
    <cfRule type="cellIs" dxfId="6637" priority="8257" stopIfTrue="1" operator="equal">
      <formula>"Towel"</formula>
    </cfRule>
    <cfRule type="cellIs" dxfId="6636" priority="8258" stopIfTrue="1" operator="equal">
      <formula>"Napkin Hs"</formula>
    </cfRule>
  </conditionalFormatting>
  <conditionalFormatting sqref="C64">
    <cfRule type="cellIs" dxfId="6635" priority="8253" stopIfTrue="1" operator="equal">
      <formula>"Towel"</formula>
    </cfRule>
    <cfRule type="cellIs" dxfId="6634" priority="8254" stopIfTrue="1" operator="equal">
      <formula>"Napkin Hs"</formula>
    </cfRule>
  </conditionalFormatting>
  <conditionalFormatting sqref="C64">
    <cfRule type="cellIs" dxfId="6633" priority="8251" stopIfTrue="1" operator="equal">
      <formula>"Towel"</formula>
    </cfRule>
    <cfRule type="cellIs" dxfId="6632" priority="8252" stopIfTrue="1" operator="equal">
      <formula>"Napkin Hs"</formula>
    </cfRule>
  </conditionalFormatting>
  <conditionalFormatting sqref="C64">
    <cfRule type="cellIs" dxfId="6631" priority="8247" stopIfTrue="1" operator="equal">
      <formula>"Towel"</formula>
    </cfRule>
    <cfRule type="cellIs" dxfId="6630" priority="8248" stopIfTrue="1" operator="equal">
      <formula>"Napkin Hs"</formula>
    </cfRule>
  </conditionalFormatting>
  <conditionalFormatting sqref="C64">
    <cfRule type="cellIs" dxfId="6629" priority="8249" stopIfTrue="1" operator="equal">
      <formula>"Towel"</formula>
    </cfRule>
    <cfRule type="cellIs" dxfId="6628" priority="8250" stopIfTrue="1" operator="equal">
      <formula>"Napkin Hs"</formula>
    </cfRule>
  </conditionalFormatting>
  <conditionalFormatting sqref="C63">
    <cfRule type="cellIs" dxfId="6627" priority="8239" stopIfTrue="1" operator="equal">
      <formula>"Towel"</formula>
    </cfRule>
    <cfRule type="cellIs" dxfId="6626" priority="8240" stopIfTrue="1" operator="equal">
      <formula>"Napkin Hs"</formula>
    </cfRule>
  </conditionalFormatting>
  <conditionalFormatting sqref="C63">
    <cfRule type="cellIs" dxfId="6625" priority="8241" stopIfTrue="1" operator="equal">
      <formula>"Towel"</formula>
    </cfRule>
    <cfRule type="cellIs" dxfId="6624" priority="8242" stopIfTrue="1" operator="equal">
      <formula>"Napkin Hs"</formula>
    </cfRule>
  </conditionalFormatting>
  <conditionalFormatting sqref="C63">
    <cfRule type="cellIs" dxfId="6623" priority="8237" stopIfTrue="1" operator="equal">
      <formula>"Towel"</formula>
    </cfRule>
    <cfRule type="cellIs" dxfId="6622" priority="8238" stopIfTrue="1" operator="equal">
      <formula>"Napkin Hs"</formula>
    </cfRule>
  </conditionalFormatting>
  <conditionalFormatting sqref="C63">
    <cfRule type="cellIs" dxfId="6621" priority="8235" stopIfTrue="1" operator="equal">
      <formula>"Towel"</formula>
    </cfRule>
    <cfRule type="cellIs" dxfId="6620" priority="8236" stopIfTrue="1" operator="equal">
      <formula>"Napkin Hs"</formula>
    </cfRule>
  </conditionalFormatting>
  <conditionalFormatting sqref="C63">
    <cfRule type="cellIs" dxfId="6619" priority="8243" stopIfTrue="1" operator="equal">
      <formula>"Towel"</formula>
    </cfRule>
    <cfRule type="cellIs" dxfId="6618" priority="8244" stopIfTrue="1" operator="equal">
      <formula>"Napkin Hs"</formula>
    </cfRule>
  </conditionalFormatting>
  <conditionalFormatting sqref="C63">
    <cfRule type="cellIs" dxfId="6617" priority="8245" stopIfTrue="1" operator="equal">
      <formula>"Towel"</formula>
    </cfRule>
    <cfRule type="cellIs" dxfId="6616" priority="8246" stopIfTrue="1" operator="equal">
      <formula>"Napkin Hs"</formula>
    </cfRule>
  </conditionalFormatting>
  <conditionalFormatting sqref="C63">
    <cfRule type="cellIs" dxfId="6615" priority="8231" stopIfTrue="1" operator="equal">
      <formula>"Towel"</formula>
    </cfRule>
    <cfRule type="cellIs" dxfId="6614" priority="8232" stopIfTrue="1" operator="equal">
      <formula>"Napkin Hs"</formula>
    </cfRule>
  </conditionalFormatting>
  <conditionalFormatting sqref="C63">
    <cfRule type="cellIs" dxfId="6613" priority="8233" stopIfTrue="1" operator="equal">
      <formula>"Towel"</formula>
    </cfRule>
    <cfRule type="cellIs" dxfId="6612" priority="8234" stopIfTrue="1" operator="equal">
      <formula>"Napkin Hs"</formula>
    </cfRule>
  </conditionalFormatting>
  <conditionalFormatting sqref="C63">
    <cfRule type="cellIs" dxfId="6611" priority="8229" stopIfTrue="1" operator="equal">
      <formula>"Towel"</formula>
    </cfRule>
    <cfRule type="cellIs" dxfId="6610" priority="8230" stopIfTrue="1" operator="equal">
      <formula>"Napkin Hs"</formula>
    </cfRule>
  </conditionalFormatting>
  <conditionalFormatting sqref="C63">
    <cfRule type="cellIs" dxfId="6609" priority="8223" stopIfTrue="1" operator="equal">
      <formula>"Towel"</formula>
    </cfRule>
    <cfRule type="cellIs" dxfId="6608" priority="8224" stopIfTrue="1" operator="equal">
      <formula>"Napkin Hs"</formula>
    </cfRule>
  </conditionalFormatting>
  <conditionalFormatting sqref="C63">
    <cfRule type="cellIs" dxfId="6607" priority="8225" stopIfTrue="1" operator="equal">
      <formula>"Towel"</formula>
    </cfRule>
    <cfRule type="cellIs" dxfId="6606" priority="8226" stopIfTrue="1" operator="equal">
      <formula>"Napkin Hs"</formula>
    </cfRule>
  </conditionalFormatting>
  <conditionalFormatting sqref="C63">
    <cfRule type="cellIs" dxfId="6605" priority="8227" stopIfTrue="1" operator="equal">
      <formula>"Towel"</formula>
    </cfRule>
    <cfRule type="cellIs" dxfId="6604" priority="8228" stopIfTrue="1" operator="equal">
      <formula>"Napkin Hs"</formula>
    </cfRule>
  </conditionalFormatting>
  <conditionalFormatting sqref="C63">
    <cfRule type="cellIs" dxfId="6603" priority="8177" stopIfTrue="1" operator="equal">
      <formula>"Towel"</formula>
    </cfRule>
    <cfRule type="cellIs" dxfId="6602" priority="8178" stopIfTrue="1" operator="equal">
      <formula>"Napkin Hs"</formula>
    </cfRule>
  </conditionalFormatting>
  <conditionalFormatting sqref="C63">
    <cfRule type="cellIs" dxfId="6601" priority="8179" stopIfTrue="1" operator="equal">
      <formula>"Towel"</formula>
    </cfRule>
    <cfRule type="cellIs" dxfId="6600" priority="8180" stopIfTrue="1" operator="equal">
      <formula>"Napkin Hs"</formula>
    </cfRule>
  </conditionalFormatting>
  <conditionalFormatting sqref="C63">
    <cfRule type="cellIs" dxfId="6599" priority="8175" stopIfTrue="1" operator="equal">
      <formula>"Towel"</formula>
    </cfRule>
    <cfRule type="cellIs" dxfId="6598" priority="8176" stopIfTrue="1" operator="equal">
      <formula>"Napkin Hs"</formula>
    </cfRule>
  </conditionalFormatting>
  <conditionalFormatting sqref="C63">
    <cfRule type="cellIs" dxfId="6597" priority="8173" stopIfTrue="1" operator="equal">
      <formula>"Towel"</formula>
    </cfRule>
    <cfRule type="cellIs" dxfId="6596" priority="8174" stopIfTrue="1" operator="equal">
      <formula>"Napkin Hs"</formula>
    </cfRule>
  </conditionalFormatting>
  <conditionalFormatting sqref="C63">
    <cfRule type="cellIs" dxfId="6595" priority="8169" stopIfTrue="1" operator="equal">
      <formula>"Towel"</formula>
    </cfRule>
    <cfRule type="cellIs" dxfId="6594" priority="8170" stopIfTrue="1" operator="equal">
      <formula>"Napkin Hs"</formula>
    </cfRule>
  </conditionalFormatting>
  <conditionalFormatting sqref="C63">
    <cfRule type="cellIs" dxfId="6593" priority="8171" stopIfTrue="1" operator="equal">
      <formula>"Towel"</formula>
    </cfRule>
    <cfRule type="cellIs" dxfId="6592" priority="8172" stopIfTrue="1" operator="equal">
      <formula>"Napkin Hs"</formula>
    </cfRule>
  </conditionalFormatting>
  <conditionalFormatting sqref="C63">
    <cfRule type="cellIs" dxfId="6591" priority="8221" stopIfTrue="1" operator="equal">
      <formula>"Towel"</formula>
    </cfRule>
    <cfRule type="cellIs" dxfId="6590" priority="8222" stopIfTrue="1" operator="equal">
      <formula>"Napkin Hs"</formula>
    </cfRule>
  </conditionalFormatting>
  <conditionalFormatting sqref="C63">
    <cfRule type="cellIs" dxfId="6589" priority="8217" stopIfTrue="1" operator="equal">
      <formula>"Towel"</formula>
    </cfRule>
    <cfRule type="cellIs" dxfId="6588" priority="8218" stopIfTrue="1" operator="equal">
      <formula>"Napkin Hs"</formula>
    </cfRule>
  </conditionalFormatting>
  <conditionalFormatting sqref="C63">
    <cfRule type="cellIs" dxfId="6587" priority="8220" stopIfTrue="1" operator="equal">
      <formula>"Napkin Hs"</formula>
    </cfRule>
  </conditionalFormatting>
  <conditionalFormatting sqref="C63">
    <cfRule type="cellIs" dxfId="6586" priority="8219" stopIfTrue="1" operator="equal">
      <formula>"Towel"</formula>
    </cfRule>
  </conditionalFormatting>
  <conditionalFormatting sqref="C63">
    <cfRule type="cellIs" dxfId="6585" priority="8211" stopIfTrue="1" operator="equal">
      <formula>"Towel"</formula>
    </cfRule>
    <cfRule type="cellIs" dxfId="6584" priority="8212" stopIfTrue="1" operator="equal">
      <formula>"Napkin Hs"</formula>
    </cfRule>
  </conditionalFormatting>
  <conditionalFormatting sqref="C63">
    <cfRule type="cellIs" dxfId="6583" priority="8215" stopIfTrue="1" operator="equal">
      <formula>"Towel"</formula>
    </cfRule>
    <cfRule type="cellIs" dxfId="6582" priority="8216" stopIfTrue="1" operator="equal">
      <formula>"Napkin Hs"</formula>
    </cfRule>
  </conditionalFormatting>
  <conditionalFormatting sqref="C63">
    <cfRule type="cellIs" dxfId="6581" priority="8213" stopIfTrue="1" operator="equal">
      <formula>"Towel"</formula>
    </cfRule>
    <cfRule type="cellIs" dxfId="6580" priority="8214" stopIfTrue="1" operator="equal">
      <formula>"Napkin Hs"</formula>
    </cfRule>
  </conditionalFormatting>
  <conditionalFormatting sqref="C63">
    <cfRule type="cellIs" dxfId="6579" priority="8205" stopIfTrue="1" operator="equal">
      <formula>"Towel"</formula>
    </cfRule>
    <cfRule type="cellIs" dxfId="6578" priority="8206" stopIfTrue="1" operator="equal">
      <formula>"Napkin Hs"</formula>
    </cfRule>
  </conditionalFormatting>
  <conditionalFormatting sqref="C63">
    <cfRule type="cellIs" dxfId="6577" priority="8207" stopIfTrue="1" operator="equal">
      <formula>"Towel"</formula>
    </cfRule>
    <cfRule type="cellIs" dxfId="6576" priority="8208" stopIfTrue="1" operator="equal">
      <formula>"Napkin Hs"</formula>
    </cfRule>
  </conditionalFormatting>
  <conditionalFormatting sqref="C63">
    <cfRule type="cellIs" dxfId="6575" priority="8209" stopIfTrue="1" operator="equal">
      <formula>"Towel"</formula>
    </cfRule>
    <cfRule type="cellIs" dxfId="6574" priority="8210" stopIfTrue="1" operator="equal">
      <formula>"Napkin Hs"</formula>
    </cfRule>
  </conditionalFormatting>
  <conditionalFormatting sqref="C63">
    <cfRule type="cellIs" dxfId="6573" priority="8199" stopIfTrue="1" operator="equal">
      <formula>"Towel"</formula>
    </cfRule>
    <cfRule type="cellIs" dxfId="6572" priority="8200" stopIfTrue="1" operator="equal">
      <formula>"Napkin Hs"</formula>
    </cfRule>
  </conditionalFormatting>
  <conditionalFormatting sqref="C63">
    <cfRule type="cellIs" dxfId="6571" priority="8203" stopIfTrue="1" operator="equal">
      <formula>"Towel"</formula>
    </cfRule>
    <cfRule type="cellIs" dxfId="6570" priority="8204" stopIfTrue="1" operator="equal">
      <formula>"Napkin Hs"</formula>
    </cfRule>
  </conditionalFormatting>
  <conditionalFormatting sqref="C63">
    <cfRule type="cellIs" dxfId="6569" priority="8201" stopIfTrue="1" operator="equal">
      <formula>"Towel"</formula>
    </cfRule>
    <cfRule type="cellIs" dxfId="6568" priority="8202" stopIfTrue="1" operator="equal">
      <formula>"Napkin Hs"</formula>
    </cfRule>
  </conditionalFormatting>
  <conditionalFormatting sqref="C63">
    <cfRule type="cellIs" dxfId="6567" priority="8193" stopIfTrue="1" operator="equal">
      <formula>"Towel"</formula>
    </cfRule>
    <cfRule type="cellIs" dxfId="6566" priority="8194" stopIfTrue="1" operator="equal">
      <formula>"Napkin Hs"</formula>
    </cfRule>
  </conditionalFormatting>
  <conditionalFormatting sqref="C63">
    <cfRule type="cellIs" dxfId="6565" priority="8195" stopIfTrue="1" operator="equal">
      <formula>"Towel"</formula>
    </cfRule>
    <cfRule type="cellIs" dxfId="6564" priority="8196" stopIfTrue="1" operator="equal">
      <formula>"Napkin Hs"</formula>
    </cfRule>
  </conditionalFormatting>
  <conditionalFormatting sqref="C63">
    <cfRule type="cellIs" dxfId="6563" priority="8197" stopIfTrue="1" operator="equal">
      <formula>"Towel"</formula>
    </cfRule>
    <cfRule type="cellIs" dxfId="6562" priority="8198" stopIfTrue="1" operator="equal">
      <formula>"Napkin Hs"</formula>
    </cfRule>
  </conditionalFormatting>
  <conditionalFormatting sqref="C63">
    <cfRule type="cellIs" dxfId="6561" priority="8191" stopIfTrue="1" operator="equal">
      <formula>"Towel"</formula>
    </cfRule>
    <cfRule type="cellIs" dxfId="6560" priority="8192" stopIfTrue="1" operator="equal">
      <formula>"Napkin Hs"</formula>
    </cfRule>
  </conditionalFormatting>
  <conditionalFormatting sqref="C63">
    <cfRule type="cellIs" dxfId="6559" priority="8187" stopIfTrue="1" operator="equal">
      <formula>"Towel"</formula>
    </cfRule>
    <cfRule type="cellIs" dxfId="6558" priority="8188" stopIfTrue="1" operator="equal">
      <formula>"Napkin Hs"</formula>
    </cfRule>
  </conditionalFormatting>
  <conditionalFormatting sqref="C63">
    <cfRule type="cellIs" dxfId="6557" priority="8189" stopIfTrue="1" operator="equal">
      <formula>"Towel"</formula>
    </cfRule>
    <cfRule type="cellIs" dxfId="6556" priority="8190" stopIfTrue="1" operator="equal">
      <formula>"Napkin Hs"</formula>
    </cfRule>
  </conditionalFormatting>
  <conditionalFormatting sqref="C63">
    <cfRule type="cellIs" dxfId="6555" priority="8185" stopIfTrue="1" operator="equal">
      <formula>"Towel"</formula>
    </cfRule>
    <cfRule type="cellIs" dxfId="6554" priority="8186" stopIfTrue="1" operator="equal">
      <formula>"Napkin Hs"</formula>
    </cfRule>
  </conditionalFormatting>
  <conditionalFormatting sqref="C63">
    <cfRule type="cellIs" dxfId="6553" priority="8183" stopIfTrue="1" operator="equal">
      <formula>"Towel"</formula>
    </cfRule>
    <cfRule type="cellIs" dxfId="6552" priority="8184" stopIfTrue="1" operator="equal">
      <formula>"Napkin Hs"</formula>
    </cfRule>
  </conditionalFormatting>
  <conditionalFormatting sqref="C63">
    <cfRule type="cellIs" dxfId="6551" priority="8181" stopIfTrue="1" operator="equal">
      <formula>"Towel"</formula>
    </cfRule>
    <cfRule type="cellIs" dxfId="6550" priority="8182" stopIfTrue="1" operator="equal">
      <formula>"Napkin Hs"</formula>
    </cfRule>
  </conditionalFormatting>
  <conditionalFormatting sqref="C63">
    <cfRule type="cellIs" dxfId="6549" priority="8165" stopIfTrue="1" operator="equal">
      <formula>"Towel"</formula>
    </cfRule>
    <cfRule type="cellIs" dxfId="6548" priority="8166" stopIfTrue="1" operator="equal">
      <formula>"Napkin Hs"</formula>
    </cfRule>
  </conditionalFormatting>
  <conditionalFormatting sqref="C63">
    <cfRule type="cellIs" dxfId="6547" priority="8167" stopIfTrue="1" operator="equal">
      <formula>"Towel"</formula>
    </cfRule>
    <cfRule type="cellIs" dxfId="6546" priority="8168" stopIfTrue="1" operator="equal">
      <formula>"Napkin Hs"</formula>
    </cfRule>
  </conditionalFormatting>
  <conditionalFormatting sqref="C63">
    <cfRule type="cellIs" dxfId="6545" priority="8163" stopIfTrue="1" operator="equal">
      <formula>"Towel"</formula>
    </cfRule>
    <cfRule type="cellIs" dxfId="6544" priority="8164" stopIfTrue="1" operator="equal">
      <formula>"Napkin Hs"</formula>
    </cfRule>
  </conditionalFormatting>
  <conditionalFormatting sqref="C63">
    <cfRule type="cellIs" dxfId="6543" priority="8161" stopIfTrue="1" operator="equal">
      <formula>"Towel"</formula>
    </cfRule>
    <cfRule type="cellIs" dxfId="6542" priority="8162" stopIfTrue="1" operator="equal">
      <formula>"Napkin Hs"</formula>
    </cfRule>
  </conditionalFormatting>
  <conditionalFormatting sqref="C63">
    <cfRule type="cellIs" dxfId="6541" priority="8157" stopIfTrue="1" operator="equal">
      <formula>"Towel"</formula>
    </cfRule>
    <cfRule type="cellIs" dxfId="6540" priority="8158" stopIfTrue="1" operator="equal">
      <formula>"Napkin Hs"</formula>
    </cfRule>
  </conditionalFormatting>
  <conditionalFormatting sqref="C63">
    <cfRule type="cellIs" dxfId="6539" priority="8159" stopIfTrue="1" operator="equal">
      <formula>"Towel"</formula>
    </cfRule>
    <cfRule type="cellIs" dxfId="6538" priority="8160" stopIfTrue="1" operator="equal">
      <formula>"Napkin Hs"</formula>
    </cfRule>
  </conditionalFormatting>
  <conditionalFormatting sqref="C63">
    <cfRule type="cellIs" dxfId="6537" priority="8153" stopIfTrue="1" operator="equal">
      <formula>"Towel"</formula>
    </cfRule>
    <cfRule type="cellIs" dxfId="6536" priority="8154" stopIfTrue="1" operator="equal">
      <formula>"Napkin Hs"</formula>
    </cfRule>
  </conditionalFormatting>
  <conditionalFormatting sqref="C63">
    <cfRule type="cellIs" dxfId="6535" priority="8155" stopIfTrue="1" operator="equal">
      <formula>"Towel"</formula>
    </cfRule>
    <cfRule type="cellIs" dxfId="6534" priority="8156" stopIfTrue="1" operator="equal">
      <formula>"Napkin Hs"</formula>
    </cfRule>
  </conditionalFormatting>
  <conditionalFormatting sqref="C63">
    <cfRule type="cellIs" dxfId="6533" priority="8151" stopIfTrue="1" operator="equal">
      <formula>"Towel"</formula>
    </cfRule>
    <cfRule type="cellIs" dxfId="6532" priority="8152" stopIfTrue="1" operator="equal">
      <formula>"Napkin Hs"</formula>
    </cfRule>
  </conditionalFormatting>
  <conditionalFormatting sqref="C63">
    <cfRule type="cellIs" dxfId="6531" priority="8149" stopIfTrue="1" operator="equal">
      <formula>"Towel"</formula>
    </cfRule>
    <cfRule type="cellIs" dxfId="6530" priority="8150" stopIfTrue="1" operator="equal">
      <formula>"Napkin Hs"</formula>
    </cfRule>
  </conditionalFormatting>
  <conditionalFormatting sqref="C63">
    <cfRule type="cellIs" dxfId="6529" priority="8145" stopIfTrue="1" operator="equal">
      <formula>"Towel"</formula>
    </cfRule>
    <cfRule type="cellIs" dxfId="6528" priority="8146" stopIfTrue="1" operator="equal">
      <formula>"Napkin Hs"</formula>
    </cfRule>
  </conditionalFormatting>
  <conditionalFormatting sqref="C63">
    <cfRule type="cellIs" dxfId="6527" priority="8147" stopIfTrue="1" operator="equal">
      <formula>"Towel"</formula>
    </cfRule>
    <cfRule type="cellIs" dxfId="6526" priority="8148" stopIfTrue="1" operator="equal">
      <formula>"Napkin Hs"</formula>
    </cfRule>
  </conditionalFormatting>
  <conditionalFormatting sqref="B63">
    <cfRule type="cellIs" dxfId="6525" priority="8143" stopIfTrue="1" operator="equal">
      <formula>"Towel"</formula>
    </cfRule>
    <cfRule type="cellIs" dxfId="6524" priority="8144" stopIfTrue="1" operator="equal">
      <formula>"Napkin Hs"</formula>
    </cfRule>
  </conditionalFormatting>
  <conditionalFormatting sqref="B63">
    <cfRule type="cellIs" dxfId="6523" priority="8127" stopIfTrue="1" operator="equal">
      <formula>"Towel"</formula>
    </cfRule>
    <cfRule type="cellIs" dxfId="6522" priority="8128" stopIfTrue="1" operator="equal">
      <formula>"Napkin Hs"</formula>
    </cfRule>
  </conditionalFormatting>
  <conditionalFormatting sqref="B63">
    <cfRule type="cellIs" dxfId="6521" priority="8125" stopIfTrue="1" operator="equal">
      <formula>"Towel"</formula>
    </cfRule>
    <cfRule type="cellIs" dxfId="6520" priority="8126" stopIfTrue="1" operator="equal">
      <formula>"Napkin Hs"</formula>
    </cfRule>
  </conditionalFormatting>
  <conditionalFormatting sqref="B63">
    <cfRule type="cellIs" dxfId="6519" priority="8141" stopIfTrue="1" operator="equal">
      <formula>"Towel"</formula>
    </cfRule>
    <cfRule type="cellIs" dxfId="6518" priority="8142" stopIfTrue="1" operator="equal">
      <formula>"Napkin Hs"</formula>
    </cfRule>
  </conditionalFormatting>
  <conditionalFormatting sqref="B63">
    <cfRule type="cellIs" dxfId="6517" priority="8137" stopIfTrue="1" operator="equal">
      <formula>"Towel"</formula>
    </cfRule>
    <cfRule type="cellIs" dxfId="6516" priority="8138" stopIfTrue="1" operator="equal">
      <formula>"Napkin Hs"</formula>
    </cfRule>
  </conditionalFormatting>
  <conditionalFormatting sqref="B63">
    <cfRule type="cellIs" dxfId="6515" priority="8139" stopIfTrue="1" operator="equal">
      <formula>"Towel"</formula>
    </cfRule>
    <cfRule type="cellIs" dxfId="6514" priority="8140" stopIfTrue="1" operator="equal">
      <formula>"Napkin Hs"</formula>
    </cfRule>
  </conditionalFormatting>
  <conditionalFormatting sqref="B63">
    <cfRule type="cellIs" dxfId="6513" priority="8133" stopIfTrue="1" operator="equal">
      <formula>"Towel"</formula>
    </cfRule>
    <cfRule type="cellIs" dxfId="6512" priority="8134" stopIfTrue="1" operator="equal">
      <formula>"Napkin Hs"</formula>
    </cfRule>
  </conditionalFormatting>
  <conditionalFormatting sqref="B63">
    <cfRule type="cellIs" dxfId="6511" priority="8135" stopIfTrue="1" operator="equal">
      <formula>"Towel"</formula>
    </cfRule>
    <cfRule type="cellIs" dxfId="6510" priority="8136" stopIfTrue="1" operator="equal">
      <formula>"Napkin Hs"</formula>
    </cfRule>
  </conditionalFormatting>
  <conditionalFormatting sqref="B63">
    <cfRule type="cellIs" dxfId="6509" priority="8131" stopIfTrue="1" operator="equal">
      <formula>"Towel"</formula>
    </cfRule>
    <cfRule type="cellIs" dxfId="6508" priority="8132" stopIfTrue="1" operator="equal">
      <formula>"Napkin Hs"</formula>
    </cfRule>
  </conditionalFormatting>
  <conditionalFormatting sqref="B63">
    <cfRule type="cellIs" dxfId="6507" priority="8129" stopIfTrue="1" operator="equal">
      <formula>"Towel"</formula>
    </cfRule>
    <cfRule type="cellIs" dxfId="6506" priority="8130" stopIfTrue="1" operator="equal">
      <formula>"Napkin Hs"</formula>
    </cfRule>
  </conditionalFormatting>
  <conditionalFormatting sqref="B63">
    <cfRule type="cellIs" dxfId="6505" priority="8123" stopIfTrue="1" operator="equal">
      <formula>"Towel"</formula>
    </cfRule>
    <cfRule type="cellIs" dxfId="6504" priority="8124" stopIfTrue="1" operator="equal">
      <formula>"Napkin Hs"</formula>
    </cfRule>
  </conditionalFormatting>
  <conditionalFormatting sqref="B63">
    <cfRule type="cellIs" dxfId="6503" priority="8121" stopIfTrue="1" operator="equal">
      <formula>"Towel"</formula>
    </cfRule>
    <cfRule type="cellIs" dxfId="6502" priority="8122" stopIfTrue="1" operator="equal">
      <formula>"Napkin Hs"</formula>
    </cfRule>
  </conditionalFormatting>
  <conditionalFormatting sqref="B63">
    <cfRule type="cellIs" dxfId="6501" priority="8119" stopIfTrue="1" operator="equal">
      <formula>"Towel"</formula>
    </cfRule>
    <cfRule type="cellIs" dxfId="6500" priority="8120" stopIfTrue="1" operator="equal">
      <formula>"Napkin Hs"</formula>
    </cfRule>
  </conditionalFormatting>
  <conditionalFormatting sqref="B63">
    <cfRule type="cellIs" dxfId="6499" priority="8117" stopIfTrue="1" operator="equal">
      <formula>"Towel"</formula>
    </cfRule>
    <cfRule type="cellIs" dxfId="6498" priority="8118" stopIfTrue="1" operator="equal">
      <formula>"Napkin Hs"</formula>
    </cfRule>
  </conditionalFormatting>
  <conditionalFormatting sqref="B64">
    <cfRule type="cellIs" dxfId="6497" priority="8115" stopIfTrue="1" operator="equal">
      <formula>"Towel"</formula>
    </cfRule>
    <cfRule type="cellIs" dxfId="6496" priority="8116" stopIfTrue="1" operator="equal">
      <formula>"Napkin Hs"</formula>
    </cfRule>
  </conditionalFormatting>
  <conditionalFormatting sqref="B64">
    <cfRule type="cellIs" dxfId="6495" priority="8113" stopIfTrue="1" operator="equal">
      <formula>"Towel"</formula>
    </cfRule>
    <cfRule type="cellIs" dxfId="6494" priority="8114" stopIfTrue="1" operator="equal">
      <formula>"Napkin Hs"</formula>
    </cfRule>
  </conditionalFormatting>
  <conditionalFormatting sqref="B64">
    <cfRule type="cellIs" dxfId="6493" priority="8111" stopIfTrue="1" operator="equal">
      <formula>"Towel"</formula>
    </cfRule>
    <cfRule type="cellIs" dxfId="6492" priority="8112" stopIfTrue="1" operator="equal">
      <formula>"Napkin Hs"</formula>
    </cfRule>
  </conditionalFormatting>
  <conditionalFormatting sqref="B64">
    <cfRule type="cellIs" dxfId="6491" priority="8109" stopIfTrue="1" operator="equal">
      <formula>"Towel"</formula>
    </cfRule>
    <cfRule type="cellIs" dxfId="6490" priority="8110" stopIfTrue="1" operator="equal">
      <formula>"Napkin Hs"</formula>
    </cfRule>
  </conditionalFormatting>
  <conditionalFormatting sqref="B64">
    <cfRule type="cellIs" dxfId="6489" priority="8107" stopIfTrue="1" operator="equal">
      <formula>"Towel"</formula>
    </cfRule>
    <cfRule type="cellIs" dxfId="6488" priority="8108" stopIfTrue="1" operator="equal">
      <formula>"Napkin Hs"</formula>
    </cfRule>
  </conditionalFormatting>
  <conditionalFormatting sqref="B64">
    <cfRule type="cellIs" dxfId="6487" priority="8091" stopIfTrue="1" operator="equal">
      <formula>"Towel"</formula>
    </cfRule>
    <cfRule type="cellIs" dxfId="6486" priority="8092" stopIfTrue="1" operator="equal">
      <formula>"Napkin Hs"</formula>
    </cfRule>
  </conditionalFormatting>
  <conditionalFormatting sqref="B64">
    <cfRule type="cellIs" dxfId="6485" priority="8089" stopIfTrue="1" operator="equal">
      <formula>"Towel"</formula>
    </cfRule>
    <cfRule type="cellIs" dxfId="6484" priority="8090" stopIfTrue="1" operator="equal">
      <formula>"Napkin Hs"</formula>
    </cfRule>
  </conditionalFormatting>
  <conditionalFormatting sqref="B64">
    <cfRule type="cellIs" dxfId="6483" priority="8105" stopIfTrue="1" operator="equal">
      <formula>"Towel"</formula>
    </cfRule>
    <cfRule type="cellIs" dxfId="6482" priority="8106" stopIfTrue="1" operator="equal">
      <formula>"Napkin Hs"</formula>
    </cfRule>
  </conditionalFormatting>
  <conditionalFormatting sqref="B64">
    <cfRule type="cellIs" dxfId="6481" priority="8101" stopIfTrue="1" operator="equal">
      <formula>"Towel"</formula>
    </cfRule>
    <cfRule type="cellIs" dxfId="6480" priority="8102" stopIfTrue="1" operator="equal">
      <formula>"Napkin Hs"</formula>
    </cfRule>
  </conditionalFormatting>
  <conditionalFormatting sqref="B64">
    <cfRule type="cellIs" dxfId="6479" priority="8103" stopIfTrue="1" operator="equal">
      <formula>"Towel"</formula>
    </cfRule>
    <cfRule type="cellIs" dxfId="6478" priority="8104" stopIfTrue="1" operator="equal">
      <formula>"Napkin Hs"</formula>
    </cfRule>
  </conditionalFormatting>
  <conditionalFormatting sqref="B64">
    <cfRule type="cellIs" dxfId="6477" priority="8097" stopIfTrue="1" operator="equal">
      <formula>"Towel"</formula>
    </cfRule>
    <cfRule type="cellIs" dxfId="6476" priority="8098" stopIfTrue="1" operator="equal">
      <formula>"Napkin Hs"</formula>
    </cfRule>
  </conditionalFormatting>
  <conditionalFormatting sqref="B64">
    <cfRule type="cellIs" dxfId="6475" priority="8099" stopIfTrue="1" operator="equal">
      <formula>"Towel"</formula>
    </cfRule>
    <cfRule type="cellIs" dxfId="6474" priority="8100" stopIfTrue="1" operator="equal">
      <formula>"Napkin Hs"</formula>
    </cfRule>
  </conditionalFormatting>
  <conditionalFormatting sqref="B64">
    <cfRule type="cellIs" dxfId="6473" priority="8095" stopIfTrue="1" operator="equal">
      <formula>"Towel"</formula>
    </cfRule>
    <cfRule type="cellIs" dxfId="6472" priority="8096" stopIfTrue="1" operator="equal">
      <formula>"Napkin Hs"</formula>
    </cfRule>
  </conditionalFormatting>
  <conditionalFormatting sqref="B64">
    <cfRule type="cellIs" dxfId="6471" priority="8093" stopIfTrue="1" operator="equal">
      <formula>"Towel"</formula>
    </cfRule>
    <cfRule type="cellIs" dxfId="6470" priority="8094" stopIfTrue="1" operator="equal">
      <formula>"Napkin Hs"</formula>
    </cfRule>
  </conditionalFormatting>
  <conditionalFormatting sqref="B64">
    <cfRule type="cellIs" dxfId="6469" priority="8087" stopIfTrue="1" operator="equal">
      <formula>"Towel"</formula>
    </cfRule>
    <cfRule type="cellIs" dxfId="6468" priority="8088" stopIfTrue="1" operator="equal">
      <formula>"Napkin Hs"</formula>
    </cfRule>
  </conditionalFormatting>
  <conditionalFormatting sqref="B64">
    <cfRule type="cellIs" dxfId="6467" priority="8085" stopIfTrue="1" operator="equal">
      <formula>"Towel"</formula>
    </cfRule>
    <cfRule type="cellIs" dxfId="6466" priority="8086" stopIfTrue="1" operator="equal">
      <formula>"Napkin Hs"</formula>
    </cfRule>
  </conditionalFormatting>
  <conditionalFormatting sqref="B64">
    <cfRule type="cellIs" dxfId="6465" priority="8083" stopIfTrue="1" operator="equal">
      <formula>"Towel"</formula>
    </cfRule>
    <cfRule type="cellIs" dxfId="6464" priority="8084" stopIfTrue="1" operator="equal">
      <formula>"Napkin Hs"</formula>
    </cfRule>
  </conditionalFormatting>
  <conditionalFormatting sqref="B64">
    <cfRule type="cellIs" dxfId="6463" priority="8081" stopIfTrue="1" operator="equal">
      <formula>"Towel"</formula>
    </cfRule>
    <cfRule type="cellIs" dxfId="6462" priority="8082" stopIfTrue="1" operator="equal">
      <formula>"Napkin Hs"</formula>
    </cfRule>
  </conditionalFormatting>
  <conditionalFormatting sqref="C62">
    <cfRule type="cellIs" dxfId="6461" priority="8073" stopIfTrue="1" operator="equal">
      <formula>"Towel"</formula>
    </cfRule>
    <cfRule type="cellIs" dxfId="6460" priority="8074" stopIfTrue="1" operator="equal">
      <formula>"Napkin Hs"</formula>
    </cfRule>
  </conditionalFormatting>
  <conditionalFormatting sqref="C62">
    <cfRule type="cellIs" dxfId="6459" priority="8075" stopIfTrue="1" operator="equal">
      <formula>"Towel"</formula>
    </cfRule>
    <cfRule type="cellIs" dxfId="6458" priority="8076" stopIfTrue="1" operator="equal">
      <formula>"Napkin Hs"</formula>
    </cfRule>
  </conditionalFormatting>
  <conditionalFormatting sqref="C62">
    <cfRule type="cellIs" dxfId="6457" priority="8071" stopIfTrue="1" operator="equal">
      <formula>"Towel"</formula>
    </cfRule>
    <cfRule type="cellIs" dxfId="6456" priority="8072" stopIfTrue="1" operator="equal">
      <formula>"Napkin Hs"</formula>
    </cfRule>
  </conditionalFormatting>
  <conditionalFormatting sqref="C62">
    <cfRule type="cellIs" dxfId="6455" priority="8069" stopIfTrue="1" operator="equal">
      <formula>"Towel"</formula>
    </cfRule>
    <cfRule type="cellIs" dxfId="6454" priority="8070" stopIfTrue="1" operator="equal">
      <formula>"Napkin Hs"</formula>
    </cfRule>
  </conditionalFormatting>
  <conditionalFormatting sqref="C62">
    <cfRule type="cellIs" dxfId="6453" priority="8077" stopIfTrue="1" operator="equal">
      <formula>"Towel"</formula>
    </cfRule>
    <cfRule type="cellIs" dxfId="6452" priority="8078" stopIfTrue="1" operator="equal">
      <formula>"Napkin Hs"</formula>
    </cfRule>
  </conditionalFormatting>
  <conditionalFormatting sqref="C62">
    <cfRule type="cellIs" dxfId="6451" priority="8079" stopIfTrue="1" operator="equal">
      <formula>"Towel"</formula>
    </cfRule>
    <cfRule type="cellIs" dxfId="6450" priority="8080" stopIfTrue="1" operator="equal">
      <formula>"Napkin Hs"</formula>
    </cfRule>
  </conditionalFormatting>
  <conditionalFormatting sqref="C62">
    <cfRule type="cellIs" dxfId="6449" priority="8065" stopIfTrue="1" operator="equal">
      <formula>"Towel"</formula>
    </cfRule>
    <cfRule type="cellIs" dxfId="6448" priority="8066" stopIfTrue="1" operator="equal">
      <formula>"Napkin Hs"</formula>
    </cfRule>
  </conditionalFormatting>
  <conditionalFormatting sqref="C62">
    <cfRule type="cellIs" dxfId="6447" priority="8067" stopIfTrue="1" operator="equal">
      <formula>"Towel"</formula>
    </cfRule>
    <cfRule type="cellIs" dxfId="6446" priority="8068" stopIfTrue="1" operator="equal">
      <formula>"Napkin Hs"</formula>
    </cfRule>
  </conditionalFormatting>
  <conditionalFormatting sqref="C62">
    <cfRule type="cellIs" dxfId="6445" priority="8063" stopIfTrue="1" operator="equal">
      <formula>"Towel"</formula>
    </cfRule>
    <cfRule type="cellIs" dxfId="6444" priority="8064" stopIfTrue="1" operator="equal">
      <formula>"Napkin Hs"</formula>
    </cfRule>
  </conditionalFormatting>
  <conditionalFormatting sqref="C62">
    <cfRule type="cellIs" dxfId="6443" priority="8057" stopIfTrue="1" operator="equal">
      <formula>"Towel"</formula>
    </cfRule>
    <cfRule type="cellIs" dxfId="6442" priority="8058" stopIfTrue="1" operator="equal">
      <formula>"Napkin Hs"</formula>
    </cfRule>
  </conditionalFormatting>
  <conditionalFormatting sqref="C62">
    <cfRule type="cellIs" dxfId="6441" priority="8059" stopIfTrue="1" operator="equal">
      <formula>"Towel"</formula>
    </cfRule>
    <cfRule type="cellIs" dxfId="6440" priority="8060" stopIfTrue="1" operator="equal">
      <formula>"Napkin Hs"</formula>
    </cfRule>
  </conditionalFormatting>
  <conditionalFormatting sqref="C62">
    <cfRule type="cellIs" dxfId="6439" priority="8061" stopIfTrue="1" operator="equal">
      <formula>"Towel"</formula>
    </cfRule>
    <cfRule type="cellIs" dxfId="6438" priority="8062" stopIfTrue="1" operator="equal">
      <formula>"Napkin Hs"</formula>
    </cfRule>
  </conditionalFormatting>
  <conditionalFormatting sqref="C62">
    <cfRule type="cellIs" dxfId="6437" priority="8011" stopIfTrue="1" operator="equal">
      <formula>"Towel"</formula>
    </cfRule>
    <cfRule type="cellIs" dxfId="6436" priority="8012" stopIfTrue="1" operator="equal">
      <formula>"Napkin Hs"</formula>
    </cfRule>
  </conditionalFormatting>
  <conditionalFormatting sqref="C62">
    <cfRule type="cellIs" dxfId="6435" priority="8013" stopIfTrue="1" operator="equal">
      <formula>"Towel"</formula>
    </cfRule>
    <cfRule type="cellIs" dxfId="6434" priority="8014" stopIfTrue="1" operator="equal">
      <formula>"Napkin Hs"</formula>
    </cfRule>
  </conditionalFormatting>
  <conditionalFormatting sqref="C62">
    <cfRule type="cellIs" dxfId="6433" priority="8009" stopIfTrue="1" operator="equal">
      <formula>"Towel"</formula>
    </cfRule>
    <cfRule type="cellIs" dxfId="6432" priority="8010" stopIfTrue="1" operator="equal">
      <formula>"Napkin Hs"</formula>
    </cfRule>
  </conditionalFormatting>
  <conditionalFormatting sqref="C62">
    <cfRule type="cellIs" dxfId="6431" priority="8007" stopIfTrue="1" operator="equal">
      <formula>"Towel"</formula>
    </cfRule>
    <cfRule type="cellIs" dxfId="6430" priority="8008" stopIfTrue="1" operator="equal">
      <formula>"Napkin Hs"</formula>
    </cfRule>
  </conditionalFormatting>
  <conditionalFormatting sqref="C62">
    <cfRule type="cellIs" dxfId="6429" priority="8003" stopIfTrue="1" operator="equal">
      <formula>"Towel"</formula>
    </cfRule>
    <cfRule type="cellIs" dxfId="6428" priority="8004" stopIfTrue="1" operator="equal">
      <formula>"Napkin Hs"</formula>
    </cfRule>
  </conditionalFormatting>
  <conditionalFormatting sqref="C62">
    <cfRule type="cellIs" dxfId="6427" priority="8005" stopIfTrue="1" operator="equal">
      <formula>"Towel"</formula>
    </cfRule>
    <cfRule type="cellIs" dxfId="6426" priority="8006" stopIfTrue="1" operator="equal">
      <formula>"Napkin Hs"</formula>
    </cfRule>
  </conditionalFormatting>
  <conditionalFormatting sqref="C62">
    <cfRule type="cellIs" dxfId="6425" priority="8055" stopIfTrue="1" operator="equal">
      <formula>"Towel"</formula>
    </cfRule>
    <cfRule type="cellIs" dxfId="6424" priority="8056" stopIfTrue="1" operator="equal">
      <formula>"Napkin Hs"</formula>
    </cfRule>
  </conditionalFormatting>
  <conditionalFormatting sqref="C62">
    <cfRule type="cellIs" dxfId="6423" priority="8051" stopIfTrue="1" operator="equal">
      <formula>"Towel"</formula>
    </cfRule>
    <cfRule type="cellIs" dxfId="6422" priority="8052" stopIfTrue="1" operator="equal">
      <formula>"Napkin Hs"</formula>
    </cfRule>
  </conditionalFormatting>
  <conditionalFormatting sqref="C62">
    <cfRule type="cellIs" dxfId="6421" priority="8054" stopIfTrue="1" operator="equal">
      <formula>"Napkin Hs"</formula>
    </cfRule>
  </conditionalFormatting>
  <conditionalFormatting sqref="C62">
    <cfRule type="cellIs" dxfId="6420" priority="8053" stopIfTrue="1" operator="equal">
      <formula>"Towel"</formula>
    </cfRule>
  </conditionalFormatting>
  <conditionalFormatting sqref="C62">
    <cfRule type="cellIs" dxfId="6419" priority="8045" stopIfTrue="1" operator="equal">
      <formula>"Towel"</formula>
    </cfRule>
    <cfRule type="cellIs" dxfId="6418" priority="8046" stopIfTrue="1" operator="equal">
      <formula>"Napkin Hs"</formula>
    </cfRule>
  </conditionalFormatting>
  <conditionalFormatting sqref="C62">
    <cfRule type="cellIs" dxfId="6417" priority="8049" stopIfTrue="1" operator="equal">
      <formula>"Towel"</formula>
    </cfRule>
    <cfRule type="cellIs" dxfId="6416" priority="8050" stopIfTrue="1" operator="equal">
      <formula>"Napkin Hs"</formula>
    </cfRule>
  </conditionalFormatting>
  <conditionalFormatting sqref="C62">
    <cfRule type="cellIs" dxfId="6415" priority="8047" stopIfTrue="1" operator="equal">
      <formula>"Towel"</formula>
    </cfRule>
    <cfRule type="cellIs" dxfId="6414" priority="8048" stopIfTrue="1" operator="equal">
      <formula>"Napkin Hs"</formula>
    </cfRule>
  </conditionalFormatting>
  <conditionalFormatting sqref="C62">
    <cfRule type="cellIs" dxfId="6413" priority="8039" stopIfTrue="1" operator="equal">
      <formula>"Towel"</formula>
    </cfRule>
    <cfRule type="cellIs" dxfId="6412" priority="8040" stopIfTrue="1" operator="equal">
      <formula>"Napkin Hs"</formula>
    </cfRule>
  </conditionalFormatting>
  <conditionalFormatting sqref="C62">
    <cfRule type="cellIs" dxfId="6411" priority="8041" stopIfTrue="1" operator="equal">
      <formula>"Towel"</formula>
    </cfRule>
    <cfRule type="cellIs" dxfId="6410" priority="8042" stopIfTrue="1" operator="equal">
      <formula>"Napkin Hs"</formula>
    </cfRule>
  </conditionalFormatting>
  <conditionalFormatting sqref="C62">
    <cfRule type="cellIs" dxfId="6409" priority="8043" stopIfTrue="1" operator="equal">
      <formula>"Towel"</formula>
    </cfRule>
    <cfRule type="cellIs" dxfId="6408" priority="8044" stopIfTrue="1" operator="equal">
      <formula>"Napkin Hs"</formula>
    </cfRule>
  </conditionalFormatting>
  <conditionalFormatting sqref="C62">
    <cfRule type="cellIs" dxfId="6407" priority="8033" stopIfTrue="1" operator="equal">
      <formula>"Towel"</formula>
    </cfRule>
    <cfRule type="cellIs" dxfId="6406" priority="8034" stopIfTrue="1" operator="equal">
      <formula>"Napkin Hs"</formula>
    </cfRule>
  </conditionalFormatting>
  <conditionalFormatting sqref="C62">
    <cfRule type="cellIs" dxfId="6405" priority="8037" stopIfTrue="1" operator="equal">
      <formula>"Towel"</formula>
    </cfRule>
    <cfRule type="cellIs" dxfId="6404" priority="8038" stopIfTrue="1" operator="equal">
      <formula>"Napkin Hs"</formula>
    </cfRule>
  </conditionalFormatting>
  <conditionalFormatting sqref="C62">
    <cfRule type="cellIs" dxfId="6403" priority="8035" stopIfTrue="1" operator="equal">
      <formula>"Towel"</formula>
    </cfRule>
    <cfRule type="cellIs" dxfId="6402" priority="8036" stopIfTrue="1" operator="equal">
      <formula>"Napkin Hs"</formula>
    </cfRule>
  </conditionalFormatting>
  <conditionalFormatting sqref="C62">
    <cfRule type="cellIs" dxfId="6401" priority="8027" stopIfTrue="1" operator="equal">
      <formula>"Towel"</formula>
    </cfRule>
    <cfRule type="cellIs" dxfId="6400" priority="8028" stopIfTrue="1" operator="equal">
      <formula>"Napkin Hs"</formula>
    </cfRule>
  </conditionalFormatting>
  <conditionalFormatting sqref="C62">
    <cfRule type="cellIs" dxfId="6399" priority="8029" stopIfTrue="1" operator="equal">
      <formula>"Towel"</formula>
    </cfRule>
    <cfRule type="cellIs" dxfId="6398" priority="8030" stopIfTrue="1" operator="equal">
      <formula>"Napkin Hs"</formula>
    </cfRule>
  </conditionalFormatting>
  <conditionalFormatting sqref="C62">
    <cfRule type="cellIs" dxfId="6397" priority="8031" stopIfTrue="1" operator="equal">
      <formula>"Towel"</formula>
    </cfRule>
    <cfRule type="cellIs" dxfId="6396" priority="8032" stopIfTrue="1" operator="equal">
      <formula>"Napkin Hs"</formula>
    </cfRule>
  </conditionalFormatting>
  <conditionalFormatting sqref="C62">
    <cfRule type="cellIs" dxfId="6395" priority="8025" stopIfTrue="1" operator="equal">
      <formula>"Towel"</formula>
    </cfRule>
    <cfRule type="cellIs" dxfId="6394" priority="8026" stopIfTrue="1" operator="equal">
      <formula>"Napkin Hs"</formula>
    </cfRule>
  </conditionalFormatting>
  <conditionalFormatting sqref="C62">
    <cfRule type="cellIs" dxfId="6393" priority="8021" stopIfTrue="1" operator="equal">
      <formula>"Towel"</formula>
    </cfRule>
    <cfRule type="cellIs" dxfId="6392" priority="8022" stopIfTrue="1" operator="equal">
      <formula>"Napkin Hs"</formula>
    </cfRule>
  </conditionalFormatting>
  <conditionalFormatting sqref="C62">
    <cfRule type="cellIs" dxfId="6391" priority="8023" stopIfTrue="1" operator="equal">
      <formula>"Towel"</formula>
    </cfRule>
    <cfRule type="cellIs" dxfId="6390" priority="8024" stopIfTrue="1" operator="equal">
      <formula>"Napkin Hs"</formula>
    </cfRule>
  </conditionalFormatting>
  <conditionalFormatting sqref="C62">
    <cfRule type="cellIs" dxfId="6389" priority="8019" stopIfTrue="1" operator="equal">
      <formula>"Towel"</formula>
    </cfRule>
    <cfRule type="cellIs" dxfId="6388" priority="8020" stopIfTrue="1" operator="equal">
      <formula>"Napkin Hs"</formula>
    </cfRule>
  </conditionalFormatting>
  <conditionalFormatting sqref="C62">
    <cfRule type="cellIs" dxfId="6387" priority="8017" stopIfTrue="1" operator="equal">
      <formula>"Towel"</formula>
    </cfRule>
    <cfRule type="cellIs" dxfId="6386" priority="8018" stopIfTrue="1" operator="equal">
      <formula>"Napkin Hs"</formula>
    </cfRule>
  </conditionalFormatting>
  <conditionalFormatting sqref="C62">
    <cfRule type="cellIs" dxfId="6385" priority="8015" stopIfTrue="1" operator="equal">
      <formula>"Towel"</formula>
    </cfRule>
    <cfRule type="cellIs" dxfId="6384" priority="8016" stopIfTrue="1" operator="equal">
      <formula>"Napkin Hs"</formula>
    </cfRule>
  </conditionalFormatting>
  <conditionalFormatting sqref="C62">
    <cfRule type="cellIs" dxfId="6383" priority="7999" stopIfTrue="1" operator="equal">
      <formula>"Towel"</formula>
    </cfRule>
    <cfRule type="cellIs" dxfId="6382" priority="8000" stopIfTrue="1" operator="equal">
      <formula>"Napkin Hs"</formula>
    </cfRule>
  </conditionalFormatting>
  <conditionalFormatting sqref="C62">
    <cfRule type="cellIs" dxfId="6381" priority="8001" stopIfTrue="1" operator="equal">
      <formula>"Towel"</formula>
    </cfRule>
    <cfRule type="cellIs" dxfId="6380" priority="8002" stopIfTrue="1" operator="equal">
      <formula>"Napkin Hs"</formula>
    </cfRule>
  </conditionalFormatting>
  <conditionalFormatting sqref="C62">
    <cfRule type="cellIs" dxfId="6379" priority="7997" stopIfTrue="1" operator="equal">
      <formula>"Towel"</formula>
    </cfRule>
    <cfRule type="cellIs" dxfId="6378" priority="7998" stopIfTrue="1" operator="equal">
      <formula>"Napkin Hs"</formula>
    </cfRule>
  </conditionalFormatting>
  <conditionalFormatting sqref="C62">
    <cfRule type="cellIs" dxfId="6377" priority="7995" stopIfTrue="1" operator="equal">
      <formula>"Towel"</formula>
    </cfRule>
    <cfRule type="cellIs" dxfId="6376" priority="7996" stopIfTrue="1" operator="equal">
      <formula>"Napkin Hs"</formula>
    </cfRule>
  </conditionalFormatting>
  <conditionalFormatting sqref="C62">
    <cfRule type="cellIs" dxfId="6375" priority="7991" stopIfTrue="1" operator="equal">
      <formula>"Towel"</formula>
    </cfRule>
    <cfRule type="cellIs" dxfId="6374" priority="7992" stopIfTrue="1" operator="equal">
      <formula>"Napkin Hs"</formula>
    </cfRule>
  </conditionalFormatting>
  <conditionalFormatting sqref="C62">
    <cfRule type="cellIs" dxfId="6373" priority="7993" stopIfTrue="1" operator="equal">
      <formula>"Towel"</formula>
    </cfRule>
    <cfRule type="cellIs" dxfId="6372" priority="7994" stopIfTrue="1" operator="equal">
      <formula>"Napkin Hs"</formula>
    </cfRule>
  </conditionalFormatting>
  <conditionalFormatting sqref="C62">
    <cfRule type="cellIs" dxfId="6371" priority="7987" stopIfTrue="1" operator="equal">
      <formula>"Towel"</formula>
    </cfRule>
    <cfRule type="cellIs" dxfId="6370" priority="7988" stopIfTrue="1" operator="equal">
      <formula>"Napkin Hs"</formula>
    </cfRule>
  </conditionalFormatting>
  <conditionalFormatting sqref="C62">
    <cfRule type="cellIs" dxfId="6369" priority="7989" stopIfTrue="1" operator="equal">
      <formula>"Towel"</formula>
    </cfRule>
    <cfRule type="cellIs" dxfId="6368" priority="7990" stopIfTrue="1" operator="equal">
      <formula>"Napkin Hs"</formula>
    </cfRule>
  </conditionalFormatting>
  <conditionalFormatting sqref="C62">
    <cfRule type="cellIs" dxfId="6367" priority="7985" stopIfTrue="1" operator="equal">
      <formula>"Towel"</formula>
    </cfRule>
    <cfRule type="cellIs" dxfId="6366" priority="7986" stopIfTrue="1" operator="equal">
      <formula>"Napkin Hs"</formula>
    </cfRule>
  </conditionalFormatting>
  <conditionalFormatting sqref="C62">
    <cfRule type="cellIs" dxfId="6365" priority="7983" stopIfTrue="1" operator="equal">
      <formula>"Towel"</formula>
    </cfRule>
    <cfRule type="cellIs" dxfId="6364" priority="7984" stopIfTrue="1" operator="equal">
      <formula>"Napkin Hs"</formula>
    </cfRule>
  </conditionalFormatting>
  <conditionalFormatting sqref="C62">
    <cfRule type="cellIs" dxfId="6363" priority="7979" stopIfTrue="1" operator="equal">
      <formula>"Towel"</formula>
    </cfRule>
    <cfRule type="cellIs" dxfId="6362" priority="7980" stopIfTrue="1" operator="equal">
      <formula>"Napkin Hs"</formula>
    </cfRule>
  </conditionalFormatting>
  <conditionalFormatting sqref="C62">
    <cfRule type="cellIs" dxfId="6361" priority="7981" stopIfTrue="1" operator="equal">
      <formula>"Towel"</formula>
    </cfRule>
    <cfRule type="cellIs" dxfId="6360" priority="7982" stopIfTrue="1" operator="equal">
      <formula>"Napkin Hs"</formula>
    </cfRule>
  </conditionalFormatting>
  <conditionalFormatting sqref="B62">
    <cfRule type="cellIs" dxfId="6359" priority="7977" stopIfTrue="1" operator="equal">
      <formula>"Towel"</formula>
    </cfRule>
    <cfRule type="cellIs" dxfId="6358" priority="7978" stopIfTrue="1" operator="equal">
      <formula>"Napkin Hs"</formula>
    </cfRule>
  </conditionalFormatting>
  <conditionalFormatting sqref="B62">
    <cfRule type="cellIs" dxfId="6357" priority="7961" stopIfTrue="1" operator="equal">
      <formula>"Towel"</formula>
    </cfRule>
    <cfRule type="cellIs" dxfId="6356" priority="7962" stopIfTrue="1" operator="equal">
      <formula>"Napkin Hs"</formula>
    </cfRule>
  </conditionalFormatting>
  <conditionalFormatting sqref="B62">
    <cfRule type="cellIs" dxfId="6355" priority="7959" stopIfTrue="1" operator="equal">
      <formula>"Towel"</formula>
    </cfRule>
    <cfRule type="cellIs" dxfId="6354" priority="7960" stopIfTrue="1" operator="equal">
      <formula>"Napkin Hs"</formula>
    </cfRule>
  </conditionalFormatting>
  <conditionalFormatting sqref="B62">
    <cfRule type="cellIs" dxfId="6353" priority="7975" stopIfTrue="1" operator="equal">
      <formula>"Towel"</formula>
    </cfRule>
    <cfRule type="cellIs" dxfId="6352" priority="7976" stopIfTrue="1" operator="equal">
      <formula>"Napkin Hs"</formula>
    </cfRule>
  </conditionalFormatting>
  <conditionalFormatting sqref="B62">
    <cfRule type="cellIs" dxfId="6351" priority="7971" stopIfTrue="1" operator="equal">
      <formula>"Towel"</formula>
    </cfRule>
    <cfRule type="cellIs" dxfId="6350" priority="7972" stopIfTrue="1" operator="equal">
      <formula>"Napkin Hs"</formula>
    </cfRule>
  </conditionalFormatting>
  <conditionalFormatting sqref="B62">
    <cfRule type="cellIs" dxfId="6349" priority="7973" stopIfTrue="1" operator="equal">
      <formula>"Towel"</formula>
    </cfRule>
    <cfRule type="cellIs" dxfId="6348" priority="7974" stopIfTrue="1" operator="equal">
      <formula>"Napkin Hs"</formula>
    </cfRule>
  </conditionalFormatting>
  <conditionalFormatting sqref="B62">
    <cfRule type="cellIs" dxfId="6347" priority="7967" stopIfTrue="1" operator="equal">
      <formula>"Towel"</formula>
    </cfRule>
    <cfRule type="cellIs" dxfId="6346" priority="7968" stopIfTrue="1" operator="equal">
      <formula>"Napkin Hs"</formula>
    </cfRule>
  </conditionalFormatting>
  <conditionalFormatting sqref="B62">
    <cfRule type="cellIs" dxfId="6345" priority="7969" stopIfTrue="1" operator="equal">
      <formula>"Towel"</formula>
    </cfRule>
    <cfRule type="cellIs" dxfId="6344" priority="7970" stopIfTrue="1" operator="equal">
      <formula>"Napkin Hs"</formula>
    </cfRule>
  </conditionalFormatting>
  <conditionalFormatting sqref="B62">
    <cfRule type="cellIs" dxfId="6343" priority="7965" stopIfTrue="1" operator="equal">
      <formula>"Towel"</formula>
    </cfRule>
    <cfRule type="cellIs" dxfId="6342" priority="7966" stopIfTrue="1" operator="equal">
      <formula>"Napkin Hs"</formula>
    </cfRule>
  </conditionalFormatting>
  <conditionalFormatting sqref="B62">
    <cfRule type="cellIs" dxfId="6341" priority="7963" stopIfTrue="1" operator="equal">
      <formula>"Towel"</formula>
    </cfRule>
    <cfRule type="cellIs" dxfId="6340" priority="7964" stopIfTrue="1" operator="equal">
      <formula>"Napkin Hs"</formula>
    </cfRule>
  </conditionalFormatting>
  <conditionalFormatting sqref="B62">
    <cfRule type="cellIs" dxfId="6339" priority="7957" stopIfTrue="1" operator="equal">
      <formula>"Towel"</formula>
    </cfRule>
    <cfRule type="cellIs" dxfId="6338" priority="7958" stopIfTrue="1" operator="equal">
      <formula>"Napkin Hs"</formula>
    </cfRule>
  </conditionalFormatting>
  <conditionalFormatting sqref="B62">
    <cfRule type="cellIs" dxfId="6337" priority="7955" stopIfTrue="1" operator="equal">
      <formula>"Towel"</formula>
    </cfRule>
    <cfRule type="cellIs" dxfId="6336" priority="7956" stopIfTrue="1" operator="equal">
      <formula>"Napkin Hs"</formula>
    </cfRule>
  </conditionalFormatting>
  <conditionalFormatting sqref="B62">
    <cfRule type="cellIs" dxfId="6335" priority="7953" stopIfTrue="1" operator="equal">
      <formula>"Towel"</formula>
    </cfRule>
    <cfRule type="cellIs" dxfId="6334" priority="7954" stopIfTrue="1" operator="equal">
      <formula>"Napkin Hs"</formula>
    </cfRule>
  </conditionalFormatting>
  <conditionalFormatting sqref="B62">
    <cfRule type="cellIs" dxfId="6333" priority="7951" stopIfTrue="1" operator="equal">
      <formula>"Towel"</formula>
    </cfRule>
    <cfRule type="cellIs" dxfId="6332" priority="7952" stopIfTrue="1" operator="equal">
      <formula>"Napkin Hs"</formula>
    </cfRule>
  </conditionalFormatting>
  <conditionalFormatting sqref="B71:C71">
    <cfRule type="cellIs" dxfId="6331" priority="7945" stopIfTrue="1" operator="equal">
      <formula>"Towel"</formula>
    </cfRule>
    <cfRule type="cellIs" dxfId="6330" priority="7946" stopIfTrue="1" operator="equal">
      <formula>"Napkin Hs"</formula>
    </cfRule>
  </conditionalFormatting>
  <conditionalFormatting sqref="C71">
    <cfRule type="cellIs" dxfId="6329" priority="7941" stopIfTrue="1" operator="equal">
      <formula>"Towel"</formula>
    </cfRule>
    <cfRule type="cellIs" dxfId="6328" priority="7942" stopIfTrue="1" operator="equal">
      <formula>"Napkin Hs"</formula>
    </cfRule>
  </conditionalFormatting>
  <conditionalFormatting sqref="C71">
    <cfRule type="cellIs" dxfId="6327" priority="7943" stopIfTrue="1" operator="equal">
      <formula>"Towel"</formula>
    </cfRule>
    <cfRule type="cellIs" dxfId="6326" priority="7944" stopIfTrue="1" operator="equal">
      <formula>"Napkin Hs"</formula>
    </cfRule>
  </conditionalFormatting>
  <conditionalFormatting sqref="C73">
    <cfRule type="cellIs" dxfId="6325" priority="7915" stopIfTrue="1" operator="equal">
      <formula>"Towel"</formula>
    </cfRule>
    <cfRule type="cellIs" dxfId="6324" priority="7916" stopIfTrue="1" operator="equal">
      <formula>"Napkin Hs"</formula>
    </cfRule>
  </conditionalFormatting>
  <conditionalFormatting sqref="B73:C73">
    <cfRule type="cellIs" dxfId="6323" priority="7917" stopIfTrue="1" operator="equal">
      <formula>"Towel"</formula>
    </cfRule>
    <cfRule type="cellIs" dxfId="6322" priority="7918" stopIfTrue="1" operator="equal">
      <formula>"Napkin Hs"</formula>
    </cfRule>
  </conditionalFormatting>
  <conditionalFormatting sqref="C73">
    <cfRule type="cellIs" dxfId="6321" priority="7913" stopIfTrue="1" operator="equal">
      <formula>"Towel"</formula>
    </cfRule>
    <cfRule type="cellIs" dxfId="6320" priority="7914" stopIfTrue="1" operator="equal">
      <formula>"Napkin Hs"</formula>
    </cfRule>
  </conditionalFormatting>
  <conditionalFormatting sqref="B73:C73">
    <cfRule type="cellIs" dxfId="6319" priority="7911" stopIfTrue="1" operator="equal">
      <formula>"Towel"</formula>
    </cfRule>
    <cfRule type="cellIs" dxfId="6318" priority="7912" stopIfTrue="1" operator="equal">
      <formula>"Napkin Hs"</formula>
    </cfRule>
  </conditionalFormatting>
  <conditionalFormatting sqref="C73">
    <cfRule type="cellIs" dxfId="6317" priority="7919" stopIfTrue="1" operator="equal">
      <formula>"Towel"</formula>
    </cfRule>
    <cfRule type="cellIs" dxfId="6316" priority="7920" stopIfTrue="1" operator="equal">
      <formula>"Napkin Hs"</formula>
    </cfRule>
  </conditionalFormatting>
  <conditionalFormatting sqref="C73">
    <cfRule type="cellIs" dxfId="6315" priority="7921" stopIfTrue="1" operator="equal">
      <formula>"Towel"</formula>
    </cfRule>
    <cfRule type="cellIs" dxfId="6314" priority="7922" stopIfTrue="1" operator="equal">
      <formula>"Napkin Hs"</formula>
    </cfRule>
  </conditionalFormatting>
  <conditionalFormatting sqref="C72">
    <cfRule type="cellIs" dxfId="6313" priority="7901" stopIfTrue="1" operator="equal">
      <formula>"Towel"</formula>
    </cfRule>
    <cfRule type="cellIs" dxfId="6312" priority="7902" stopIfTrue="1" operator="equal">
      <formula>"Napkin Hs"</formula>
    </cfRule>
  </conditionalFormatting>
  <conditionalFormatting sqref="B72:C72">
    <cfRule type="cellIs" dxfId="6311" priority="7903" stopIfTrue="1" operator="equal">
      <formula>"Towel"</formula>
    </cfRule>
    <cfRule type="cellIs" dxfId="6310" priority="7904" stopIfTrue="1" operator="equal">
      <formula>"Napkin Hs"</formula>
    </cfRule>
  </conditionalFormatting>
  <conditionalFormatting sqref="C72">
    <cfRule type="cellIs" dxfId="6309" priority="7899" stopIfTrue="1" operator="equal">
      <formula>"Towel"</formula>
    </cfRule>
    <cfRule type="cellIs" dxfId="6308" priority="7900" stopIfTrue="1" operator="equal">
      <formula>"Napkin Hs"</formula>
    </cfRule>
  </conditionalFormatting>
  <conditionalFormatting sqref="B72:C72">
    <cfRule type="cellIs" dxfId="6307" priority="7897" stopIfTrue="1" operator="equal">
      <formula>"Towel"</formula>
    </cfRule>
    <cfRule type="cellIs" dxfId="6306" priority="7898" stopIfTrue="1" operator="equal">
      <formula>"Napkin Hs"</formula>
    </cfRule>
  </conditionalFormatting>
  <conditionalFormatting sqref="C72">
    <cfRule type="cellIs" dxfId="6305" priority="7905" stopIfTrue="1" operator="equal">
      <formula>"Towel"</formula>
    </cfRule>
    <cfRule type="cellIs" dxfId="6304" priority="7906" stopIfTrue="1" operator="equal">
      <formula>"Napkin Hs"</formula>
    </cfRule>
  </conditionalFormatting>
  <conditionalFormatting sqref="C72">
    <cfRule type="cellIs" dxfId="6303" priority="7907" stopIfTrue="1" operator="equal">
      <formula>"Towel"</formula>
    </cfRule>
    <cfRule type="cellIs" dxfId="6302" priority="7908" stopIfTrue="1" operator="equal">
      <formula>"Napkin Hs"</formula>
    </cfRule>
  </conditionalFormatting>
  <conditionalFormatting sqref="C70">
    <cfRule type="cellIs" dxfId="6301" priority="7889" stopIfTrue="1" operator="equal">
      <formula>"Towel"</formula>
    </cfRule>
    <cfRule type="cellIs" dxfId="6300" priority="7890" stopIfTrue="1" operator="equal">
      <formula>"Napkin Hs"</formula>
    </cfRule>
  </conditionalFormatting>
  <conditionalFormatting sqref="C70">
    <cfRule type="cellIs" dxfId="6299" priority="7891" stopIfTrue="1" operator="equal">
      <formula>"Towel"</formula>
    </cfRule>
    <cfRule type="cellIs" dxfId="6298" priority="7892" stopIfTrue="1" operator="equal">
      <formula>"Napkin Hs"</formula>
    </cfRule>
  </conditionalFormatting>
  <conditionalFormatting sqref="C70">
    <cfRule type="cellIs" dxfId="6297" priority="7887" stopIfTrue="1" operator="equal">
      <formula>"Towel"</formula>
    </cfRule>
    <cfRule type="cellIs" dxfId="6296" priority="7888" stopIfTrue="1" operator="equal">
      <formula>"Napkin Hs"</formula>
    </cfRule>
  </conditionalFormatting>
  <conditionalFormatting sqref="C70">
    <cfRule type="cellIs" dxfId="6295" priority="7885" stopIfTrue="1" operator="equal">
      <formula>"Towel"</formula>
    </cfRule>
    <cfRule type="cellIs" dxfId="6294" priority="7886" stopIfTrue="1" operator="equal">
      <formula>"Napkin Hs"</formula>
    </cfRule>
  </conditionalFormatting>
  <conditionalFormatting sqref="C70">
    <cfRule type="cellIs" dxfId="6293" priority="7893" stopIfTrue="1" operator="equal">
      <formula>"Towel"</formula>
    </cfRule>
    <cfRule type="cellIs" dxfId="6292" priority="7894" stopIfTrue="1" operator="equal">
      <formula>"Napkin Hs"</formula>
    </cfRule>
  </conditionalFormatting>
  <conditionalFormatting sqref="C70">
    <cfRule type="cellIs" dxfId="6291" priority="7895" stopIfTrue="1" operator="equal">
      <formula>"Towel"</formula>
    </cfRule>
    <cfRule type="cellIs" dxfId="6290" priority="7896" stopIfTrue="1" operator="equal">
      <formula>"Napkin Hs"</formula>
    </cfRule>
  </conditionalFormatting>
  <conditionalFormatting sqref="C70">
    <cfRule type="cellIs" dxfId="6289" priority="7881" stopIfTrue="1" operator="equal">
      <formula>"Towel"</formula>
    </cfRule>
    <cfRule type="cellIs" dxfId="6288" priority="7882" stopIfTrue="1" operator="equal">
      <formula>"Napkin Hs"</formula>
    </cfRule>
  </conditionalFormatting>
  <conditionalFormatting sqref="C70">
    <cfRule type="cellIs" dxfId="6287" priority="7883" stopIfTrue="1" operator="equal">
      <formula>"Towel"</formula>
    </cfRule>
    <cfRule type="cellIs" dxfId="6286" priority="7884" stopIfTrue="1" operator="equal">
      <formula>"Napkin Hs"</formula>
    </cfRule>
  </conditionalFormatting>
  <conditionalFormatting sqref="C70">
    <cfRule type="cellIs" dxfId="6285" priority="7879" stopIfTrue="1" operator="equal">
      <formula>"Towel"</formula>
    </cfRule>
    <cfRule type="cellIs" dxfId="6284" priority="7880" stopIfTrue="1" operator="equal">
      <formula>"Napkin Hs"</formula>
    </cfRule>
  </conditionalFormatting>
  <conditionalFormatting sqref="C70">
    <cfRule type="cellIs" dxfId="6283" priority="7873" stopIfTrue="1" operator="equal">
      <formula>"Towel"</formula>
    </cfRule>
    <cfRule type="cellIs" dxfId="6282" priority="7874" stopIfTrue="1" operator="equal">
      <formula>"Napkin Hs"</formula>
    </cfRule>
  </conditionalFormatting>
  <conditionalFormatting sqref="C70">
    <cfRule type="cellIs" dxfId="6281" priority="7875" stopIfTrue="1" operator="equal">
      <formula>"Towel"</formula>
    </cfRule>
    <cfRule type="cellIs" dxfId="6280" priority="7876" stopIfTrue="1" operator="equal">
      <formula>"Napkin Hs"</formula>
    </cfRule>
  </conditionalFormatting>
  <conditionalFormatting sqref="C70">
    <cfRule type="cellIs" dxfId="6279" priority="7877" stopIfTrue="1" operator="equal">
      <formula>"Towel"</formula>
    </cfRule>
    <cfRule type="cellIs" dxfId="6278" priority="7878" stopIfTrue="1" operator="equal">
      <formula>"Napkin Hs"</formula>
    </cfRule>
  </conditionalFormatting>
  <conditionalFormatting sqref="C70">
    <cfRule type="cellIs" dxfId="6277" priority="7827" stopIfTrue="1" operator="equal">
      <formula>"Towel"</formula>
    </cfRule>
    <cfRule type="cellIs" dxfId="6276" priority="7828" stopIfTrue="1" operator="equal">
      <formula>"Napkin Hs"</formula>
    </cfRule>
  </conditionalFormatting>
  <conditionalFormatting sqref="C70">
    <cfRule type="cellIs" dxfId="6275" priority="7829" stopIfTrue="1" operator="equal">
      <formula>"Towel"</formula>
    </cfRule>
    <cfRule type="cellIs" dxfId="6274" priority="7830" stopIfTrue="1" operator="equal">
      <formula>"Napkin Hs"</formula>
    </cfRule>
  </conditionalFormatting>
  <conditionalFormatting sqref="C70">
    <cfRule type="cellIs" dxfId="6273" priority="7825" stopIfTrue="1" operator="equal">
      <formula>"Towel"</formula>
    </cfRule>
    <cfRule type="cellIs" dxfId="6272" priority="7826" stopIfTrue="1" operator="equal">
      <formula>"Napkin Hs"</formula>
    </cfRule>
  </conditionalFormatting>
  <conditionalFormatting sqref="C70">
    <cfRule type="cellIs" dxfId="6271" priority="7823" stopIfTrue="1" operator="equal">
      <formula>"Towel"</formula>
    </cfRule>
    <cfRule type="cellIs" dxfId="6270" priority="7824" stopIfTrue="1" operator="equal">
      <formula>"Napkin Hs"</formula>
    </cfRule>
  </conditionalFormatting>
  <conditionalFormatting sqref="C70">
    <cfRule type="cellIs" dxfId="6269" priority="7819" stopIfTrue="1" operator="equal">
      <formula>"Towel"</formula>
    </cfRule>
    <cfRule type="cellIs" dxfId="6268" priority="7820" stopIfTrue="1" operator="equal">
      <formula>"Napkin Hs"</formula>
    </cfRule>
  </conditionalFormatting>
  <conditionalFormatting sqref="C70">
    <cfRule type="cellIs" dxfId="6267" priority="7821" stopIfTrue="1" operator="equal">
      <formula>"Towel"</formula>
    </cfRule>
    <cfRule type="cellIs" dxfId="6266" priority="7822" stopIfTrue="1" operator="equal">
      <formula>"Napkin Hs"</formula>
    </cfRule>
  </conditionalFormatting>
  <conditionalFormatting sqref="C70">
    <cfRule type="cellIs" dxfId="6265" priority="7871" stopIfTrue="1" operator="equal">
      <formula>"Towel"</formula>
    </cfRule>
    <cfRule type="cellIs" dxfId="6264" priority="7872" stopIfTrue="1" operator="equal">
      <formula>"Napkin Hs"</formula>
    </cfRule>
  </conditionalFormatting>
  <conditionalFormatting sqref="C70">
    <cfRule type="cellIs" dxfId="6263" priority="7867" stopIfTrue="1" operator="equal">
      <formula>"Towel"</formula>
    </cfRule>
    <cfRule type="cellIs" dxfId="6262" priority="7868" stopIfTrue="1" operator="equal">
      <formula>"Napkin Hs"</formula>
    </cfRule>
  </conditionalFormatting>
  <conditionalFormatting sqref="C70">
    <cfRule type="cellIs" dxfId="6261" priority="7870" stopIfTrue="1" operator="equal">
      <formula>"Napkin Hs"</formula>
    </cfRule>
  </conditionalFormatting>
  <conditionalFormatting sqref="C70">
    <cfRule type="cellIs" dxfId="6260" priority="7869" stopIfTrue="1" operator="equal">
      <formula>"Towel"</formula>
    </cfRule>
  </conditionalFormatting>
  <conditionalFormatting sqref="C70">
    <cfRule type="cellIs" dxfId="6259" priority="7861" stopIfTrue="1" operator="equal">
      <formula>"Towel"</formula>
    </cfRule>
    <cfRule type="cellIs" dxfId="6258" priority="7862" stopIfTrue="1" operator="equal">
      <formula>"Napkin Hs"</formula>
    </cfRule>
  </conditionalFormatting>
  <conditionalFormatting sqref="C70">
    <cfRule type="cellIs" dxfId="6257" priority="7865" stopIfTrue="1" operator="equal">
      <formula>"Towel"</formula>
    </cfRule>
    <cfRule type="cellIs" dxfId="6256" priority="7866" stopIfTrue="1" operator="equal">
      <formula>"Napkin Hs"</formula>
    </cfRule>
  </conditionalFormatting>
  <conditionalFormatting sqref="C70">
    <cfRule type="cellIs" dxfId="6255" priority="7863" stopIfTrue="1" operator="equal">
      <formula>"Towel"</formula>
    </cfRule>
    <cfRule type="cellIs" dxfId="6254" priority="7864" stopIfTrue="1" operator="equal">
      <formula>"Napkin Hs"</formula>
    </cfRule>
  </conditionalFormatting>
  <conditionalFormatting sqref="C70">
    <cfRule type="cellIs" dxfId="6253" priority="7855" stopIfTrue="1" operator="equal">
      <formula>"Towel"</formula>
    </cfRule>
    <cfRule type="cellIs" dxfId="6252" priority="7856" stopIfTrue="1" operator="equal">
      <formula>"Napkin Hs"</formula>
    </cfRule>
  </conditionalFormatting>
  <conditionalFormatting sqref="C70">
    <cfRule type="cellIs" dxfId="6251" priority="7857" stopIfTrue="1" operator="equal">
      <formula>"Towel"</formula>
    </cfRule>
    <cfRule type="cellIs" dxfId="6250" priority="7858" stopIfTrue="1" operator="equal">
      <formula>"Napkin Hs"</formula>
    </cfRule>
  </conditionalFormatting>
  <conditionalFormatting sqref="C70">
    <cfRule type="cellIs" dxfId="6249" priority="7859" stopIfTrue="1" operator="equal">
      <formula>"Towel"</formula>
    </cfRule>
    <cfRule type="cellIs" dxfId="6248" priority="7860" stopIfTrue="1" operator="equal">
      <formula>"Napkin Hs"</formula>
    </cfRule>
  </conditionalFormatting>
  <conditionalFormatting sqref="C70">
    <cfRule type="cellIs" dxfId="6247" priority="7849" stopIfTrue="1" operator="equal">
      <formula>"Towel"</formula>
    </cfRule>
    <cfRule type="cellIs" dxfId="6246" priority="7850" stopIfTrue="1" operator="equal">
      <formula>"Napkin Hs"</formula>
    </cfRule>
  </conditionalFormatting>
  <conditionalFormatting sqref="C70">
    <cfRule type="cellIs" dxfId="6245" priority="7853" stopIfTrue="1" operator="equal">
      <formula>"Towel"</formula>
    </cfRule>
    <cfRule type="cellIs" dxfId="6244" priority="7854" stopIfTrue="1" operator="equal">
      <formula>"Napkin Hs"</formula>
    </cfRule>
  </conditionalFormatting>
  <conditionalFormatting sqref="C70">
    <cfRule type="cellIs" dxfId="6243" priority="7851" stopIfTrue="1" operator="equal">
      <formula>"Towel"</formula>
    </cfRule>
    <cfRule type="cellIs" dxfId="6242" priority="7852" stopIfTrue="1" operator="equal">
      <formula>"Napkin Hs"</formula>
    </cfRule>
  </conditionalFormatting>
  <conditionalFormatting sqref="C70">
    <cfRule type="cellIs" dxfId="6241" priority="7843" stopIfTrue="1" operator="equal">
      <formula>"Towel"</formula>
    </cfRule>
    <cfRule type="cellIs" dxfId="6240" priority="7844" stopIfTrue="1" operator="equal">
      <formula>"Napkin Hs"</formula>
    </cfRule>
  </conditionalFormatting>
  <conditionalFormatting sqref="C70">
    <cfRule type="cellIs" dxfId="6239" priority="7845" stopIfTrue="1" operator="equal">
      <formula>"Towel"</formula>
    </cfRule>
    <cfRule type="cellIs" dxfId="6238" priority="7846" stopIfTrue="1" operator="equal">
      <formula>"Napkin Hs"</formula>
    </cfRule>
  </conditionalFormatting>
  <conditionalFormatting sqref="C70">
    <cfRule type="cellIs" dxfId="6237" priority="7847" stopIfTrue="1" operator="equal">
      <formula>"Towel"</formula>
    </cfRule>
    <cfRule type="cellIs" dxfId="6236" priority="7848" stopIfTrue="1" operator="equal">
      <formula>"Napkin Hs"</formula>
    </cfRule>
  </conditionalFormatting>
  <conditionalFormatting sqref="C70">
    <cfRule type="cellIs" dxfId="6235" priority="7841" stopIfTrue="1" operator="equal">
      <formula>"Towel"</formula>
    </cfRule>
    <cfRule type="cellIs" dxfId="6234" priority="7842" stopIfTrue="1" operator="equal">
      <formula>"Napkin Hs"</formula>
    </cfRule>
  </conditionalFormatting>
  <conditionalFormatting sqref="C70">
    <cfRule type="cellIs" dxfId="6233" priority="7837" stopIfTrue="1" operator="equal">
      <formula>"Towel"</formula>
    </cfRule>
    <cfRule type="cellIs" dxfId="6232" priority="7838" stopIfTrue="1" operator="equal">
      <formula>"Napkin Hs"</formula>
    </cfRule>
  </conditionalFormatting>
  <conditionalFormatting sqref="C70">
    <cfRule type="cellIs" dxfId="6231" priority="7839" stopIfTrue="1" operator="equal">
      <formula>"Towel"</formula>
    </cfRule>
    <cfRule type="cellIs" dxfId="6230" priority="7840" stopIfTrue="1" operator="equal">
      <formula>"Napkin Hs"</formula>
    </cfRule>
  </conditionalFormatting>
  <conditionalFormatting sqref="C70">
    <cfRule type="cellIs" dxfId="6229" priority="7835" stopIfTrue="1" operator="equal">
      <formula>"Towel"</formula>
    </cfRule>
    <cfRule type="cellIs" dxfId="6228" priority="7836" stopIfTrue="1" operator="equal">
      <formula>"Napkin Hs"</formula>
    </cfRule>
  </conditionalFormatting>
  <conditionalFormatting sqref="C70">
    <cfRule type="cellIs" dxfId="6227" priority="7833" stopIfTrue="1" operator="equal">
      <formula>"Towel"</formula>
    </cfRule>
    <cfRule type="cellIs" dxfId="6226" priority="7834" stopIfTrue="1" operator="equal">
      <formula>"Napkin Hs"</formula>
    </cfRule>
  </conditionalFormatting>
  <conditionalFormatting sqref="C70">
    <cfRule type="cellIs" dxfId="6225" priority="7831" stopIfTrue="1" operator="equal">
      <formula>"Towel"</formula>
    </cfRule>
    <cfRule type="cellIs" dxfId="6224" priority="7832" stopIfTrue="1" operator="equal">
      <formula>"Napkin Hs"</formula>
    </cfRule>
  </conditionalFormatting>
  <conditionalFormatting sqref="C70">
    <cfRule type="cellIs" dxfId="6223" priority="7815" stopIfTrue="1" operator="equal">
      <formula>"Towel"</formula>
    </cfRule>
    <cfRule type="cellIs" dxfId="6222" priority="7816" stopIfTrue="1" operator="equal">
      <formula>"Napkin Hs"</formula>
    </cfRule>
  </conditionalFormatting>
  <conditionalFormatting sqref="C70">
    <cfRule type="cellIs" dxfId="6221" priority="7817" stopIfTrue="1" operator="equal">
      <formula>"Towel"</formula>
    </cfRule>
    <cfRule type="cellIs" dxfId="6220" priority="7818" stopIfTrue="1" operator="equal">
      <formula>"Napkin Hs"</formula>
    </cfRule>
  </conditionalFormatting>
  <conditionalFormatting sqref="C70">
    <cfRule type="cellIs" dxfId="6219" priority="7813" stopIfTrue="1" operator="equal">
      <formula>"Towel"</formula>
    </cfRule>
    <cfRule type="cellIs" dxfId="6218" priority="7814" stopIfTrue="1" operator="equal">
      <formula>"Napkin Hs"</formula>
    </cfRule>
  </conditionalFormatting>
  <conditionalFormatting sqref="C70">
    <cfRule type="cellIs" dxfId="6217" priority="7811" stopIfTrue="1" operator="equal">
      <formula>"Towel"</formula>
    </cfRule>
    <cfRule type="cellIs" dxfId="6216" priority="7812" stopIfTrue="1" operator="equal">
      <formula>"Napkin Hs"</formula>
    </cfRule>
  </conditionalFormatting>
  <conditionalFormatting sqref="C70">
    <cfRule type="cellIs" dxfId="6215" priority="7807" stopIfTrue="1" operator="equal">
      <formula>"Towel"</formula>
    </cfRule>
    <cfRule type="cellIs" dxfId="6214" priority="7808" stopIfTrue="1" operator="equal">
      <formula>"Napkin Hs"</formula>
    </cfRule>
  </conditionalFormatting>
  <conditionalFormatting sqref="C70">
    <cfRule type="cellIs" dxfId="6213" priority="7809" stopIfTrue="1" operator="equal">
      <formula>"Towel"</formula>
    </cfRule>
    <cfRule type="cellIs" dxfId="6212" priority="7810" stopIfTrue="1" operator="equal">
      <formula>"Napkin Hs"</formula>
    </cfRule>
  </conditionalFormatting>
  <conditionalFormatting sqref="C70">
    <cfRule type="cellIs" dxfId="6211" priority="7803" stopIfTrue="1" operator="equal">
      <formula>"Towel"</formula>
    </cfRule>
    <cfRule type="cellIs" dxfId="6210" priority="7804" stopIfTrue="1" operator="equal">
      <formula>"Napkin Hs"</formula>
    </cfRule>
  </conditionalFormatting>
  <conditionalFormatting sqref="C70">
    <cfRule type="cellIs" dxfId="6209" priority="7805" stopIfTrue="1" operator="equal">
      <formula>"Towel"</formula>
    </cfRule>
    <cfRule type="cellIs" dxfId="6208" priority="7806" stopIfTrue="1" operator="equal">
      <formula>"Napkin Hs"</formula>
    </cfRule>
  </conditionalFormatting>
  <conditionalFormatting sqref="C70">
    <cfRule type="cellIs" dxfId="6207" priority="7801" stopIfTrue="1" operator="equal">
      <formula>"Towel"</formula>
    </cfRule>
    <cfRule type="cellIs" dxfId="6206" priority="7802" stopIfTrue="1" operator="equal">
      <formula>"Napkin Hs"</formula>
    </cfRule>
  </conditionalFormatting>
  <conditionalFormatting sqref="C70">
    <cfRule type="cellIs" dxfId="6205" priority="7799" stopIfTrue="1" operator="equal">
      <formula>"Towel"</formula>
    </cfRule>
    <cfRule type="cellIs" dxfId="6204" priority="7800" stopIfTrue="1" operator="equal">
      <formula>"Napkin Hs"</formula>
    </cfRule>
  </conditionalFormatting>
  <conditionalFormatting sqref="C70">
    <cfRule type="cellIs" dxfId="6203" priority="7795" stopIfTrue="1" operator="equal">
      <formula>"Towel"</formula>
    </cfRule>
    <cfRule type="cellIs" dxfId="6202" priority="7796" stopIfTrue="1" operator="equal">
      <formula>"Napkin Hs"</formula>
    </cfRule>
  </conditionalFormatting>
  <conditionalFormatting sqref="C70">
    <cfRule type="cellIs" dxfId="6201" priority="7797" stopIfTrue="1" operator="equal">
      <formula>"Towel"</formula>
    </cfRule>
    <cfRule type="cellIs" dxfId="6200" priority="7798" stopIfTrue="1" operator="equal">
      <formula>"Napkin Hs"</formula>
    </cfRule>
  </conditionalFormatting>
  <conditionalFormatting sqref="C69">
    <cfRule type="cellIs" dxfId="6199" priority="7787" stopIfTrue="1" operator="equal">
      <formula>"Towel"</formula>
    </cfRule>
    <cfRule type="cellIs" dxfId="6198" priority="7788" stopIfTrue="1" operator="equal">
      <formula>"Napkin Hs"</formula>
    </cfRule>
  </conditionalFormatting>
  <conditionalFormatting sqref="C69">
    <cfRule type="cellIs" dxfId="6197" priority="7789" stopIfTrue="1" operator="equal">
      <formula>"Towel"</formula>
    </cfRule>
    <cfRule type="cellIs" dxfId="6196" priority="7790" stopIfTrue="1" operator="equal">
      <formula>"Napkin Hs"</formula>
    </cfRule>
  </conditionalFormatting>
  <conditionalFormatting sqref="C69">
    <cfRule type="cellIs" dxfId="6195" priority="7785" stopIfTrue="1" operator="equal">
      <formula>"Towel"</formula>
    </cfRule>
    <cfRule type="cellIs" dxfId="6194" priority="7786" stopIfTrue="1" operator="equal">
      <formula>"Napkin Hs"</formula>
    </cfRule>
  </conditionalFormatting>
  <conditionalFormatting sqref="C69">
    <cfRule type="cellIs" dxfId="6193" priority="7783" stopIfTrue="1" operator="equal">
      <formula>"Towel"</formula>
    </cfRule>
    <cfRule type="cellIs" dxfId="6192" priority="7784" stopIfTrue="1" operator="equal">
      <formula>"Napkin Hs"</formula>
    </cfRule>
  </conditionalFormatting>
  <conditionalFormatting sqref="C69">
    <cfRule type="cellIs" dxfId="6191" priority="7791" stopIfTrue="1" operator="equal">
      <formula>"Towel"</formula>
    </cfRule>
    <cfRule type="cellIs" dxfId="6190" priority="7792" stopIfTrue="1" operator="equal">
      <formula>"Napkin Hs"</formula>
    </cfRule>
  </conditionalFormatting>
  <conditionalFormatting sqref="C69">
    <cfRule type="cellIs" dxfId="6189" priority="7793" stopIfTrue="1" operator="equal">
      <formula>"Towel"</formula>
    </cfRule>
    <cfRule type="cellIs" dxfId="6188" priority="7794" stopIfTrue="1" operator="equal">
      <formula>"Napkin Hs"</formula>
    </cfRule>
  </conditionalFormatting>
  <conditionalFormatting sqref="C69">
    <cfRule type="cellIs" dxfId="6187" priority="7779" stopIfTrue="1" operator="equal">
      <formula>"Towel"</formula>
    </cfRule>
    <cfRule type="cellIs" dxfId="6186" priority="7780" stopIfTrue="1" operator="equal">
      <formula>"Napkin Hs"</formula>
    </cfRule>
  </conditionalFormatting>
  <conditionalFormatting sqref="C69">
    <cfRule type="cellIs" dxfId="6185" priority="7781" stopIfTrue="1" operator="equal">
      <formula>"Towel"</formula>
    </cfRule>
    <cfRule type="cellIs" dxfId="6184" priority="7782" stopIfTrue="1" operator="equal">
      <formula>"Napkin Hs"</formula>
    </cfRule>
  </conditionalFormatting>
  <conditionalFormatting sqref="C69">
    <cfRule type="cellIs" dxfId="6183" priority="7777" stopIfTrue="1" operator="equal">
      <formula>"Towel"</formula>
    </cfRule>
    <cfRule type="cellIs" dxfId="6182" priority="7778" stopIfTrue="1" operator="equal">
      <formula>"Napkin Hs"</formula>
    </cfRule>
  </conditionalFormatting>
  <conditionalFormatting sqref="C69">
    <cfRule type="cellIs" dxfId="6181" priority="7771" stopIfTrue="1" operator="equal">
      <formula>"Towel"</formula>
    </cfRule>
    <cfRule type="cellIs" dxfId="6180" priority="7772" stopIfTrue="1" operator="equal">
      <formula>"Napkin Hs"</formula>
    </cfRule>
  </conditionalFormatting>
  <conditionalFormatting sqref="C69">
    <cfRule type="cellIs" dxfId="6179" priority="7773" stopIfTrue="1" operator="equal">
      <formula>"Towel"</formula>
    </cfRule>
    <cfRule type="cellIs" dxfId="6178" priority="7774" stopIfTrue="1" operator="equal">
      <formula>"Napkin Hs"</formula>
    </cfRule>
  </conditionalFormatting>
  <conditionalFormatting sqref="C69">
    <cfRule type="cellIs" dxfId="6177" priority="7775" stopIfTrue="1" operator="equal">
      <formula>"Towel"</formula>
    </cfRule>
    <cfRule type="cellIs" dxfId="6176" priority="7776" stopIfTrue="1" operator="equal">
      <formula>"Napkin Hs"</formula>
    </cfRule>
  </conditionalFormatting>
  <conditionalFormatting sqref="C69">
    <cfRule type="cellIs" dxfId="6175" priority="7725" stopIfTrue="1" operator="equal">
      <formula>"Towel"</formula>
    </cfRule>
    <cfRule type="cellIs" dxfId="6174" priority="7726" stopIfTrue="1" operator="equal">
      <formula>"Napkin Hs"</formula>
    </cfRule>
  </conditionalFormatting>
  <conditionalFormatting sqref="C69">
    <cfRule type="cellIs" dxfId="6173" priority="7727" stopIfTrue="1" operator="equal">
      <formula>"Towel"</formula>
    </cfRule>
    <cfRule type="cellIs" dxfId="6172" priority="7728" stopIfTrue="1" operator="equal">
      <formula>"Napkin Hs"</formula>
    </cfRule>
  </conditionalFormatting>
  <conditionalFormatting sqref="C69">
    <cfRule type="cellIs" dxfId="6171" priority="7723" stopIfTrue="1" operator="equal">
      <formula>"Towel"</formula>
    </cfRule>
    <cfRule type="cellIs" dxfId="6170" priority="7724" stopIfTrue="1" operator="equal">
      <formula>"Napkin Hs"</formula>
    </cfRule>
  </conditionalFormatting>
  <conditionalFormatting sqref="C69">
    <cfRule type="cellIs" dxfId="6169" priority="7721" stopIfTrue="1" operator="equal">
      <formula>"Towel"</formula>
    </cfRule>
    <cfRule type="cellIs" dxfId="6168" priority="7722" stopIfTrue="1" operator="equal">
      <formula>"Napkin Hs"</formula>
    </cfRule>
  </conditionalFormatting>
  <conditionalFormatting sqref="C69">
    <cfRule type="cellIs" dxfId="6167" priority="7717" stopIfTrue="1" operator="equal">
      <formula>"Towel"</formula>
    </cfRule>
    <cfRule type="cellIs" dxfId="6166" priority="7718" stopIfTrue="1" operator="equal">
      <formula>"Napkin Hs"</formula>
    </cfRule>
  </conditionalFormatting>
  <conditionalFormatting sqref="C69">
    <cfRule type="cellIs" dxfId="6165" priority="7719" stopIfTrue="1" operator="equal">
      <formula>"Towel"</formula>
    </cfRule>
    <cfRule type="cellIs" dxfId="6164" priority="7720" stopIfTrue="1" operator="equal">
      <formula>"Napkin Hs"</formula>
    </cfRule>
  </conditionalFormatting>
  <conditionalFormatting sqref="C69">
    <cfRule type="cellIs" dxfId="6163" priority="7769" stopIfTrue="1" operator="equal">
      <formula>"Towel"</formula>
    </cfRule>
    <cfRule type="cellIs" dxfId="6162" priority="7770" stopIfTrue="1" operator="equal">
      <formula>"Napkin Hs"</formula>
    </cfRule>
  </conditionalFormatting>
  <conditionalFormatting sqref="C69">
    <cfRule type="cellIs" dxfId="6161" priority="7765" stopIfTrue="1" operator="equal">
      <formula>"Towel"</formula>
    </cfRule>
    <cfRule type="cellIs" dxfId="6160" priority="7766" stopIfTrue="1" operator="equal">
      <formula>"Napkin Hs"</formula>
    </cfRule>
  </conditionalFormatting>
  <conditionalFormatting sqref="C69">
    <cfRule type="cellIs" dxfId="6159" priority="7768" stopIfTrue="1" operator="equal">
      <formula>"Napkin Hs"</formula>
    </cfRule>
  </conditionalFormatting>
  <conditionalFormatting sqref="C69">
    <cfRule type="cellIs" dxfId="6158" priority="7767" stopIfTrue="1" operator="equal">
      <formula>"Towel"</formula>
    </cfRule>
  </conditionalFormatting>
  <conditionalFormatting sqref="C69">
    <cfRule type="cellIs" dxfId="6157" priority="7759" stopIfTrue="1" operator="equal">
      <formula>"Towel"</formula>
    </cfRule>
    <cfRule type="cellIs" dxfId="6156" priority="7760" stopIfTrue="1" operator="equal">
      <formula>"Napkin Hs"</formula>
    </cfRule>
  </conditionalFormatting>
  <conditionalFormatting sqref="C69">
    <cfRule type="cellIs" dxfId="6155" priority="7763" stopIfTrue="1" operator="equal">
      <formula>"Towel"</formula>
    </cfRule>
    <cfRule type="cellIs" dxfId="6154" priority="7764" stopIfTrue="1" operator="equal">
      <formula>"Napkin Hs"</formula>
    </cfRule>
  </conditionalFormatting>
  <conditionalFormatting sqref="C69">
    <cfRule type="cellIs" dxfId="6153" priority="7761" stopIfTrue="1" operator="equal">
      <formula>"Towel"</formula>
    </cfRule>
    <cfRule type="cellIs" dxfId="6152" priority="7762" stopIfTrue="1" operator="equal">
      <formula>"Napkin Hs"</formula>
    </cfRule>
  </conditionalFormatting>
  <conditionalFormatting sqref="C69">
    <cfRule type="cellIs" dxfId="6151" priority="7753" stopIfTrue="1" operator="equal">
      <formula>"Towel"</formula>
    </cfRule>
    <cfRule type="cellIs" dxfId="6150" priority="7754" stopIfTrue="1" operator="equal">
      <formula>"Napkin Hs"</formula>
    </cfRule>
  </conditionalFormatting>
  <conditionalFormatting sqref="C69">
    <cfRule type="cellIs" dxfId="6149" priority="7755" stopIfTrue="1" operator="equal">
      <formula>"Towel"</formula>
    </cfRule>
    <cfRule type="cellIs" dxfId="6148" priority="7756" stopIfTrue="1" operator="equal">
      <formula>"Napkin Hs"</formula>
    </cfRule>
  </conditionalFormatting>
  <conditionalFormatting sqref="C69">
    <cfRule type="cellIs" dxfId="6147" priority="7757" stopIfTrue="1" operator="equal">
      <formula>"Towel"</formula>
    </cfRule>
    <cfRule type="cellIs" dxfId="6146" priority="7758" stopIfTrue="1" operator="equal">
      <formula>"Napkin Hs"</formula>
    </cfRule>
  </conditionalFormatting>
  <conditionalFormatting sqref="C69">
    <cfRule type="cellIs" dxfId="6145" priority="7747" stopIfTrue="1" operator="equal">
      <formula>"Towel"</formula>
    </cfRule>
    <cfRule type="cellIs" dxfId="6144" priority="7748" stopIfTrue="1" operator="equal">
      <formula>"Napkin Hs"</formula>
    </cfRule>
  </conditionalFormatting>
  <conditionalFormatting sqref="C69">
    <cfRule type="cellIs" dxfId="6143" priority="7751" stopIfTrue="1" operator="equal">
      <formula>"Towel"</formula>
    </cfRule>
    <cfRule type="cellIs" dxfId="6142" priority="7752" stopIfTrue="1" operator="equal">
      <formula>"Napkin Hs"</formula>
    </cfRule>
  </conditionalFormatting>
  <conditionalFormatting sqref="C69">
    <cfRule type="cellIs" dxfId="6141" priority="7749" stopIfTrue="1" operator="equal">
      <formula>"Towel"</formula>
    </cfRule>
    <cfRule type="cellIs" dxfId="6140" priority="7750" stopIfTrue="1" operator="equal">
      <formula>"Napkin Hs"</formula>
    </cfRule>
  </conditionalFormatting>
  <conditionalFormatting sqref="C69">
    <cfRule type="cellIs" dxfId="6139" priority="7741" stopIfTrue="1" operator="equal">
      <formula>"Towel"</formula>
    </cfRule>
    <cfRule type="cellIs" dxfId="6138" priority="7742" stopIfTrue="1" operator="equal">
      <formula>"Napkin Hs"</formula>
    </cfRule>
  </conditionalFormatting>
  <conditionalFormatting sqref="C69">
    <cfRule type="cellIs" dxfId="6137" priority="7743" stopIfTrue="1" operator="equal">
      <formula>"Towel"</formula>
    </cfRule>
    <cfRule type="cellIs" dxfId="6136" priority="7744" stopIfTrue="1" operator="equal">
      <formula>"Napkin Hs"</formula>
    </cfRule>
  </conditionalFormatting>
  <conditionalFormatting sqref="C69">
    <cfRule type="cellIs" dxfId="6135" priority="7745" stopIfTrue="1" operator="equal">
      <formula>"Towel"</formula>
    </cfRule>
    <cfRule type="cellIs" dxfId="6134" priority="7746" stopIfTrue="1" operator="equal">
      <formula>"Napkin Hs"</formula>
    </cfRule>
  </conditionalFormatting>
  <conditionalFormatting sqref="C69">
    <cfRule type="cellIs" dxfId="6133" priority="7739" stopIfTrue="1" operator="equal">
      <formula>"Towel"</formula>
    </cfRule>
    <cfRule type="cellIs" dxfId="6132" priority="7740" stopIfTrue="1" operator="equal">
      <formula>"Napkin Hs"</formula>
    </cfRule>
  </conditionalFormatting>
  <conditionalFormatting sqref="C69">
    <cfRule type="cellIs" dxfId="6131" priority="7735" stopIfTrue="1" operator="equal">
      <formula>"Towel"</formula>
    </cfRule>
    <cfRule type="cellIs" dxfId="6130" priority="7736" stopIfTrue="1" operator="equal">
      <formula>"Napkin Hs"</formula>
    </cfRule>
  </conditionalFormatting>
  <conditionalFormatting sqref="C69">
    <cfRule type="cellIs" dxfId="6129" priority="7737" stopIfTrue="1" operator="equal">
      <formula>"Towel"</formula>
    </cfRule>
    <cfRule type="cellIs" dxfId="6128" priority="7738" stopIfTrue="1" operator="equal">
      <formula>"Napkin Hs"</formula>
    </cfRule>
  </conditionalFormatting>
  <conditionalFormatting sqref="C69">
    <cfRule type="cellIs" dxfId="6127" priority="7733" stopIfTrue="1" operator="equal">
      <formula>"Towel"</formula>
    </cfRule>
    <cfRule type="cellIs" dxfId="6126" priority="7734" stopIfTrue="1" operator="equal">
      <formula>"Napkin Hs"</formula>
    </cfRule>
  </conditionalFormatting>
  <conditionalFormatting sqref="C69">
    <cfRule type="cellIs" dxfId="6125" priority="7731" stopIfTrue="1" operator="equal">
      <formula>"Towel"</formula>
    </cfRule>
    <cfRule type="cellIs" dxfId="6124" priority="7732" stopIfTrue="1" operator="equal">
      <formula>"Napkin Hs"</formula>
    </cfRule>
  </conditionalFormatting>
  <conditionalFormatting sqref="C69">
    <cfRule type="cellIs" dxfId="6123" priority="7729" stopIfTrue="1" operator="equal">
      <formula>"Towel"</formula>
    </cfRule>
    <cfRule type="cellIs" dxfId="6122" priority="7730" stopIfTrue="1" operator="equal">
      <formula>"Napkin Hs"</formula>
    </cfRule>
  </conditionalFormatting>
  <conditionalFormatting sqref="C69">
    <cfRule type="cellIs" dxfId="6121" priority="7713" stopIfTrue="1" operator="equal">
      <formula>"Towel"</formula>
    </cfRule>
    <cfRule type="cellIs" dxfId="6120" priority="7714" stopIfTrue="1" operator="equal">
      <formula>"Napkin Hs"</formula>
    </cfRule>
  </conditionalFormatting>
  <conditionalFormatting sqref="C69">
    <cfRule type="cellIs" dxfId="6119" priority="7715" stopIfTrue="1" operator="equal">
      <formula>"Towel"</formula>
    </cfRule>
    <cfRule type="cellIs" dxfId="6118" priority="7716" stopIfTrue="1" operator="equal">
      <formula>"Napkin Hs"</formula>
    </cfRule>
  </conditionalFormatting>
  <conditionalFormatting sqref="C69">
    <cfRule type="cellIs" dxfId="6117" priority="7711" stopIfTrue="1" operator="equal">
      <formula>"Towel"</formula>
    </cfRule>
    <cfRule type="cellIs" dxfId="6116" priority="7712" stopIfTrue="1" operator="equal">
      <formula>"Napkin Hs"</formula>
    </cfRule>
  </conditionalFormatting>
  <conditionalFormatting sqref="C69">
    <cfRule type="cellIs" dxfId="6115" priority="7709" stopIfTrue="1" operator="equal">
      <formula>"Towel"</formula>
    </cfRule>
    <cfRule type="cellIs" dxfId="6114" priority="7710" stopIfTrue="1" operator="equal">
      <formula>"Napkin Hs"</formula>
    </cfRule>
  </conditionalFormatting>
  <conditionalFormatting sqref="C69">
    <cfRule type="cellIs" dxfId="6113" priority="7705" stopIfTrue="1" operator="equal">
      <formula>"Towel"</formula>
    </cfRule>
    <cfRule type="cellIs" dxfId="6112" priority="7706" stopIfTrue="1" operator="equal">
      <formula>"Napkin Hs"</formula>
    </cfRule>
  </conditionalFormatting>
  <conditionalFormatting sqref="C69">
    <cfRule type="cellIs" dxfId="6111" priority="7707" stopIfTrue="1" operator="equal">
      <formula>"Towel"</formula>
    </cfRule>
    <cfRule type="cellIs" dxfId="6110" priority="7708" stopIfTrue="1" operator="equal">
      <formula>"Napkin Hs"</formula>
    </cfRule>
  </conditionalFormatting>
  <conditionalFormatting sqref="C69">
    <cfRule type="cellIs" dxfId="6109" priority="7701" stopIfTrue="1" operator="equal">
      <formula>"Towel"</formula>
    </cfRule>
    <cfRule type="cellIs" dxfId="6108" priority="7702" stopIfTrue="1" operator="equal">
      <formula>"Napkin Hs"</formula>
    </cfRule>
  </conditionalFormatting>
  <conditionalFormatting sqref="C69">
    <cfRule type="cellIs" dxfId="6107" priority="7703" stopIfTrue="1" operator="equal">
      <formula>"Towel"</formula>
    </cfRule>
    <cfRule type="cellIs" dxfId="6106" priority="7704" stopIfTrue="1" operator="equal">
      <formula>"Napkin Hs"</formula>
    </cfRule>
  </conditionalFormatting>
  <conditionalFormatting sqref="C69">
    <cfRule type="cellIs" dxfId="6105" priority="7699" stopIfTrue="1" operator="equal">
      <formula>"Towel"</formula>
    </cfRule>
    <cfRule type="cellIs" dxfId="6104" priority="7700" stopIfTrue="1" operator="equal">
      <formula>"Napkin Hs"</formula>
    </cfRule>
  </conditionalFormatting>
  <conditionalFormatting sqref="C69">
    <cfRule type="cellIs" dxfId="6103" priority="7697" stopIfTrue="1" operator="equal">
      <formula>"Towel"</formula>
    </cfRule>
    <cfRule type="cellIs" dxfId="6102" priority="7698" stopIfTrue="1" operator="equal">
      <formula>"Napkin Hs"</formula>
    </cfRule>
  </conditionalFormatting>
  <conditionalFormatting sqref="C69">
    <cfRule type="cellIs" dxfId="6101" priority="7693" stopIfTrue="1" operator="equal">
      <formula>"Towel"</formula>
    </cfRule>
    <cfRule type="cellIs" dxfId="6100" priority="7694" stopIfTrue="1" operator="equal">
      <formula>"Napkin Hs"</formula>
    </cfRule>
  </conditionalFormatting>
  <conditionalFormatting sqref="C69">
    <cfRule type="cellIs" dxfId="6099" priority="7695" stopIfTrue="1" operator="equal">
      <formula>"Towel"</formula>
    </cfRule>
    <cfRule type="cellIs" dxfId="6098" priority="7696" stopIfTrue="1" operator="equal">
      <formula>"Napkin Hs"</formula>
    </cfRule>
  </conditionalFormatting>
  <conditionalFormatting sqref="B69">
    <cfRule type="cellIs" dxfId="6097" priority="7691" stopIfTrue="1" operator="equal">
      <formula>"Towel"</formula>
    </cfRule>
    <cfRule type="cellIs" dxfId="6096" priority="7692" stopIfTrue="1" operator="equal">
      <formula>"Napkin Hs"</formula>
    </cfRule>
  </conditionalFormatting>
  <conditionalFormatting sqref="B69">
    <cfRule type="cellIs" dxfId="6095" priority="7675" stopIfTrue="1" operator="equal">
      <formula>"Towel"</formula>
    </cfRule>
    <cfRule type="cellIs" dxfId="6094" priority="7676" stopIfTrue="1" operator="equal">
      <formula>"Napkin Hs"</formula>
    </cfRule>
  </conditionalFormatting>
  <conditionalFormatting sqref="B69">
    <cfRule type="cellIs" dxfId="6093" priority="7673" stopIfTrue="1" operator="equal">
      <formula>"Towel"</formula>
    </cfRule>
    <cfRule type="cellIs" dxfId="6092" priority="7674" stopIfTrue="1" operator="equal">
      <formula>"Napkin Hs"</formula>
    </cfRule>
  </conditionalFormatting>
  <conditionalFormatting sqref="B69">
    <cfRule type="cellIs" dxfId="6091" priority="7689" stopIfTrue="1" operator="equal">
      <formula>"Towel"</formula>
    </cfRule>
    <cfRule type="cellIs" dxfId="6090" priority="7690" stopIfTrue="1" operator="equal">
      <formula>"Napkin Hs"</formula>
    </cfRule>
  </conditionalFormatting>
  <conditionalFormatting sqref="B69">
    <cfRule type="cellIs" dxfId="6089" priority="7685" stopIfTrue="1" operator="equal">
      <formula>"Towel"</formula>
    </cfRule>
    <cfRule type="cellIs" dxfId="6088" priority="7686" stopIfTrue="1" operator="equal">
      <formula>"Napkin Hs"</formula>
    </cfRule>
  </conditionalFormatting>
  <conditionalFormatting sqref="B69">
    <cfRule type="cellIs" dxfId="6087" priority="7687" stopIfTrue="1" operator="equal">
      <formula>"Towel"</formula>
    </cfRule>
    <cfRule type="cellIs" dxfId="6086" priority="7688" stopIfTrue="1" operator="equal">
      <formula>"Napkin Hs"</formula>
    </cfRule>
  </conditionalFormatting>
  <conditionalFormatting sqref="B69">
    <cfRule type="cellIs" dxfId="6085" priority="7681" stopIfTrue="1" operator="equal">
      <formula>"Towel"</formula>
    </cfRule>
    <cfRule type="cellIs" dxfId="6084" priority="7682" stopIfTrue="1" operator="equal">
      <formula>"Napkin Hs"</formula>
    </cfRule>
  </conditionalFormatting>
  <conditionalFormatting sqref="B69">
    <cfRule type="cellIs" dxfId="6083" priority="7683" stopIfTrue="1" operator="equal">
      <formula>"Towel"</formula>
    </cfRule>
    <cfRule type="cellIs" dxfId="6082" priority="7684" stopIfTrue="1" operator="equal">
      <formula>"Napkin Hs"</formula>
    </cfRule>
  </conditionalFormatting>
  <conditionalFormatting sqref="B69">
    <cfRule type="cellIs" dxfId="6081" priority="7679" stopIfTrue="1" operator="equal">
      <formula>"Towel"</formula>
    </cfRule>
    <cfRule type="cellIs" dxfId="6080" priority="7680" stopIfTrue="1" operator="equal">
      <formula>"Napkin Hs"</formula>
    </cfRule>
  </conditionalFormatting>
  <conditionalFormatting sqref="B69">
    <cfRule type="cellIs" dxfId="6079" priority="7677" stopIfTrue="1" operator="equal">
      <formula>"Towel"</formula>
    </cfRule>
    <cfRule type="cellIs" dxfId="6078" priority="7678" stopIfTrue="1" operator="equal">
      <formula>"Napkin Hs"</formula>
    </cfRule>
  </conditionalFormatting>
  <conditionalFormatting sqref="B69">
    <cfRule type="cellIs" dxfId="6077" priority="7671" stopIfTrue="1" operator="equal">
      <formula>"Towel"</formula>
    </cfRule>
    <cfRule type="cellIs" dxfId="6076" priority="7672" stopIfTrue="1" operator="equal">
      <formula>"Napkin Hs"</formula>
    </cfRule>
  </conditionalFormatting>
  <conditionalFormatting sqref="B69">
    <cfRule type="cellIs" dxfId="6075" priority="7669" stopIfTrue="1" operator="equal">
      <formula>"Towel"</formula>
    </cfRule>
    <cfRule type="cellIs" dxfId="6074" priority="7670" stopIfTrue="1" operator="equal">
      <formula>"Napkin Hs"</formula>
    </cfRule>
  </conditionalFormatting>
  <conditionalFormatting sqref="B69">
    <cfRule type="cellIs" dxfId="6073" priority="7667" stopIfTrue="1" operator="equal">
      <formula>"Towel"</formula>
    </cfRule>
    <cfRule type="cellIs" dxfId="6072" priority="7668" stopIfTrue="1" operator="equal">
      <formula>"Napkin Hs"</formula>
    </cfRule>
  </conditionalFormatting>
  <conditionalFormatting sqref="B69">
    <cfRule type="cellIs" dxfId="6071" priority="7665" stopIfTrue="1" operator="equal">
      <formula>"Towel"</formula>
    </cfRule>
    <cfRule type="cellIs" dxfId="6070" priority="7666" stopIfTrue="1" operator="equal">
      <formula>"Napkin Hs"</formula>
    </cfRule>
  </conditionalFormatting>
  <conditionalFormatting sqref="B70">
    <cfRule type="cellIs" dxfId="6069" priority="7663" stopIfTrue="1" operator="equal">
      <formula>"Towel"</formula>
    </cfRule>
    <cfRule type="cellIs" dxfId="6068" priority="7664" stopIfTrue="1" operator="equal">
      <formula>"Napkin Hs"</formula>
    </cfRule>
  </conditionalFormatting>
  <conditionalFormatting sqref="B70">
    <cfRule type="cellIs" dxfId="6067" priority="7661" stopIfTrue="1" operator="equal">
      <formula>"Towel"</formula>
    </cfRule>
    <cfRule type="cellIs" dxfId="6066" priority="7662" stopIfTrue="1" operator="equal">
      <formula>"Napkin Hs"</formula>
    </cfRule>
  </conditionalFormatting>
  <conditionalFormatting sqref="B70">
    <cfRule type="cellIs" dxfId="6065" priority="7659" stopIfTrue="1" operator="equal">
      <formula>"Towel"</formula>
    </cfRule>
    <cfRule type="cellIs" dxfId="6064" priority="7660" stopIfTrue="1" operator="equal">
      <formula>"Napkin Hs"</formula>
    </cfRule>
  </conditionalFormatting>
  <conditionalFormatting sqref="B70">
    <cfRule type="cellIs" dxfId="6063" priority="7657" stopIfTrue="1" operator="equal">
      <formula>"Towel"</formula>
    </cfRule>
    <cfRule type="cellIs" dxfId="6062" priority="7658" stopIfTrue="1" operator="equal">
      <formula>"Napkin Hs"</formula>
    </cfRule>
  </conditionalFormatting>
  <conditionalFormatting sqref="B70">
    <cfRule type="cellIs" dxfId="6061" priority="7655" stopIfTrue="1" operator="equal">
      <formula>"Towel"</formula>
    </cfRule>
    <cfRule type="cellIs" dxfId="6060" priority="7656" stopIfTrue="1" operator="equal">
      <formula>"Napkin Hs"</formula>
    </cfRule>
  </conditionalFormatting>
  <conditionalFormatting sqref="B70">
    <cfRule type="cellIs" dxfId="6059" priority="7639" stopIfTrue="1" operator="equal">
      <formula>"Towel"</formula>
    </cfRule>
    <cfRule type="cellIs" dxfId="6058" priority="7640" stopIfTrue="1" operator="equal">
      <formula>"Napkin Hs"</formula>
    </cfRule>
  </conditionalFormatting>
  <conditionalFormatting sqref="B70">
    <cfRule type="cellIs" dxfId="6057" priority="7637" stopIfTrue="1" operator="equal">
      <formula>"Towel"</formula>
    </cfRule>
    <cfRule type="cellIs" dxfId="6056" priority="7638" stopIfTrue="1" operator="equal">
      <formula>"Napkin Hs"</formula>
    </cfRule>
  </conditionalFormatting>
  <conditionalFormatting sqref="B70">
    <cfRule type="cellIs" dxfId="6055" priority="7653" stopIfTrue="1" operator="equal">
      <formula>"Towel"</formula>
    </cfRule>
    <cfRule type="cellIs" dxfId="6054" priority="7654" stopIfTrue="1" operator="equal">
      <formula>"Napkin Hs"</formula>
    </cfRule>
  </conditionalFormatting>
  <conditionalFormatting sqref="B70">
    <cfRule type="cellIs" dxfId="6053" priority="7649" stopIfTrue="1" operator="equal">
      <formula>"Towel"</formula>
    </cfRule>
    <cfRule type="cellIs" dxfId="6052" priority="7650" stopIfTrue="1" operator="equal">
      <formula>"Napkin Hs"</formula>
    </cfRule>
  </conditionalFormatting>
  <conditionalFormatting sqref="B70">
    <cfRule type="cellIs" dxfId="6051" priority="7651" stopIfTrue="1" operator="equal">
      <formula>"Towel"</formula>
    </cfRule>
    <cfRule type="cellIs" dxfId="6050" priority="7652" stopIfTrue="1" operator="equal">
      <formula>"Napkin Hs"</formula>
    </cfRule>
  </conditionalFormatting>
  <conditionalFormatting sqref="B70">
    <cfRule type="cellIs" dxfId="6049" priority="7645" stopIfTrue="1" operator="equal">
      <formula>"Towel"</formula>
    </cfRule>
    <cfRule type="cellIs" dxfId="6048" priority="7646" stopIfTrue="1" operator="equal">
      <formula>"Napkin Hs"</formula>
    </cfRule>
  </conditionalFormatting>
  <conditionalFormatting sqref="B70">
    <cfRule type="cellIs" dxfId="6047" priority="7647" stopIfTrue="1" operator="equal">
      <formula>"Towel"</formula>
    </cfRule>
    <cfRule type="cellIs" dxfId="6046" priority="7648" stopIfTrue="1" operator="equal">
      <formula>"Napkin Hs"</formula>
    </cfRule>
  </conditionalFormatting>
  <conditionalFormatting sqref="B70">
    <cfRule type="cellIs" dxfId="6045" priority="7643" stopIfTrue="1" operator="equal">
      <formula>"Towel"</formula>
    </cfRule>
    <cfRule type="cellIs" dxfId="6044" priority="7644" stopIfTrue="1" operator="equal">
      <formula>"Napkin Hs"</formula>
    </cfRule>
  </conditionalFormatting>
  <conditionalFormatting sqref="B70">
    <cfRule type="cellIs" dxfId="6043" priority="7641" stopIfTrue="1" operator="equal">
      <formula>"Towel"</formula>
    </cfRule>
    <cfRule type="cellIs" dxfId="6042" priority="7642" stopIfTrue="1" operator="equal">
      <formula>"Napkin Hs"</formula>
    </cfRule>
  </conditionalFormatting>
  <conditionalFormatting sqref="B70">
    <cfRule type="cellIs" dxfId="6041" priority="7635" stopIfTrue="1" operator="equal">
      <formula>"Towel"</formula>
    </cfRule>
    <cfRule type="cellIs" dxfId="6040" priority="7636" stopIfTrue="1" operator="equal">
      <formula>"Napkin Hs"</formula>
    </cfRule>
  </conditionalFormatting>
  <conditionalFormatting sqref="B70">
    <cfRule type="cellIs" dxfId="6039" priority="7633" stopIfTrue="1" operator="equal">
      <formula>"Towel"</formula>
    </cfRule>
    <cfRule type="cellIs" dxfId="6038" priority="7634" stopIfTrue="1" operator="equal">
      <formula>"Napkin Hs"</formula>
    </cfRule>
  </conditionalFormatting>
  <conditionalFormatting sqref="B70">
    <cfRule type="cellIs" dxfId="6037" priority="7631" stopIfTrue="1" operator="equal">
      <formula>"Towel"</formula>
    </cfRule>
    <cfRule type="cellIs" dxfId="6036" priority="7632" stopIfTrue="1" operator="equal">
      <formula>"Napkin Hs"</formula>
    </cfRule>
  </conditionalFormatting>
  <conditionalFormatting sqref="B70">
    <cfRule type="cellIs" dxfId="6035" priority="7629" stopIfTrue="1" operator="equal">
      <formula>"Towel"</formula>
    </cfRule>
    <cfRule type="cellIs" dxfId="6034" priority="7630" stopIfTrue="1" operator="equal">
      <formula>"Napkin Hs"</formula>
    </cfRule>
  </conditionalFormatting>
  <conditionalFormatting sqref="C68">
    <cfRule type="cellIs" dxfId="6033" priority="7621" stopIfTrue="1" operator="equal">
      <formula>"Towel"</formula>
    </cfRule>
    <cfRule type="cellIs" dxfId="6032" priority="7622" stopIfTrue="1" operator="equal">
      <formula>"Napkin Hs"</formula>
    </cfRule>
  </conditionalFormatting>
  <conditionalFormatting sqref="C68">
    <cfRule type="cellIs" dxfId="6031" priority="7623" stopIfTrue="1" operator="equal">
      <formula>"Towel"</formula>
    </cfRule>
    <cfRule type="cellIs" dxfId="6030" priority="7624" stopIfTrue="1" operator="equal">
      <formula>"Napkin Hs"</formula>
    </cfRule>
  </conditionalFormatting>
  <conditionalFormatting sqref="C68">
    <cfRule type="cellIs" dxfId="6029" priority="7619" stopIfTrue="1" operator="equal">
      <formula>"Towel"</formula>
    </cfRule>
    <cfRule type="cellIs" dxfId="6028" priority="7620" stopIfTrue="1" operator="equal">
      <formula>"Napkin Hs"</formula>
    </cfRule>
  </conditionalFormatting>
  <conditionalFormatting sqref="C68">
    <cfRule type="cellIs" dxfId="6027" priority="7617" stopIfTrue="1" operator="equal">
      <formula>"Towel"</formula>
    </cfRule>
    <cfRule type="cellIs" dxfId="6026" priority="7618" stopIfTrue="1" operator="equal">
      <formula>"Napkin Hs"</formula>
    </cfRule>
  </conditionalFormatting>
  <conditionalFormatting sqref="C68">
    <cfRule type="cellIs" dxfId="6025" priority="7625" stopIfTrue="1" operator="equal">
      <formula>"Towel"</formula>
    </cfRule>
    <cfRule type="cellIs" dxfId="6024" priority="7626" stopIfTrue="1" operator="equal">
      <formula>"Napkin Hs"</formula>
    </cfRule>
  </conditionalFormatting>
  <conditionalFormatting sqref="C68">
    <cfRule type="cellIs" dxfId="6023" priority="7627" stopIfTrue="1" operator="equal">
      <formula>"Towel"</formula>
    </cfRule>
    <cfRule type="cellIs" dxfId="6022" priority="7628" stopIfTrue="1" operator="equal">
      <formula>"Napkin Hs"</formula>
    </cfRule>
  </conditionalFormatting>
  <conditionalFormatting sqref="C68">
    <cfRule type="cellIs" dxfId="6021" priority="7613" stopIfTrue="1" operator="equal">
      <formula>"Towel"</formula>
    </cfRule>
    <cfRule type="cellIs" dxfId="6020" priority="7614" stopIfTrue="1" operator="equal">
      <formula>"Napkin Hs"</formula>
    </cfRule>
  </conditionalFormatting>
  <conditionalFormatting sqref="C68">
    <cfRule type="cellIs" dxfId="6019" priority="7615" stopIfTrue="1" operator="equal">
      <formula>"Towel"</formula>
    </cfRule>
    <cfRule type="cellIs" dxfId="6018" priority="7616" stopIfTrue="1" operator="equal">
      <formula>"Napkin Hs"</formula>
    </cfRule>
  </conditionalFormatting>
  <conditionalFormatting sqref="C68">
    <cfRule type="cellIs" dxfId="6017" priority="7611" stopIfTrue="1" operator="equal">
      <formula>"Towel"</formula>
    </cfRule>
    <cfRule type="cellIs" dxfId="6016" priority="7612" stopIfTrue="1" operator="equal">
      <formula>"Napkin Hs"</formula>
    </cfRule>
  </conditionalFormatting>
  <conditionalFormatting sqref="C68">
    <cfRule type="cellIs" dxfId="6015" priority="7605" stopIfTrue="1" operator="equal">
      <formula>"Towel"</formula>
    </cfRule>
    <cfRule type="cellIs" dxfId="6014" priority="7606" stopIfTrue="1" operator="equal">
      <formula>"Napkin Hs"</formula>
    </cfRule>
  </conditionalFormatting>
  <conditionalFormatting sqref="C68">
    <cfRule type="cellIs" dxfId="6013" priority="7607" stopIfTrue="1" operator="equal">
      <formula>"Towel"</formula>
    </cfRule>
    <cfRule type="cellIs" dxfId="6012" priority="7608" stopIfTrue="1" operator="equal">
      <formula>"Napkin Hs"</formula>
    </cfRule>
  </conditionalFormatting>
  <conditionalFormatting sqref="C68">
    <cfRule type="cellIs" dxfId="6011" priority="7609" stopIfTrue="1" operator="equal">
      <formula>"Towel"</formula>
    </cfRule>
    <cfRule type="cellIs" dxfId="6010" priority="7610" stopIfTrue="1" operator="equal">
      <formula>"Napkin Hs"</formula>
    </cfRule>
  </conditionalFormatting>
  <conditionalFormatting sqref="C68">
    <cfRule type="cellIs" dxfId="6009" priority="7559" stopIfTrue="1" operator="equal">
      <formula>"Towel"</formula>
    </cfRule>
    <cfRule type="cellIs" dxfId="6008" priority="7560" stopIfTrue="1" operator="equal">
      <formula>"Napkin Hs"</formula>
    </cfRule>
  </conditionalFormatting>
  <conditionalFormatting sqref="C68">
    <cfRule type="cellIs" dxfId="6007" priority="7561" stopIfTrue="1" operator="equal">
      <formula>"Towel"</formula>
    </cfRule>
    <cfRule type="cellIs" dxfId="6006" priority="7562" stopIfTrue="1" operator="equal">
      <formula>"Napkin Hs"</formula>
    </cfRule>
  </conditionalFormatting>
  <conditionalFormatting sqref="C68">
    <cfRule type="cellIs" dxfId="6005" priority="7557" stopIfTrue="1" operator="equal">
      <formula>"Towel"</formula>
    </cfRule>
    <cfRule type="cellIs" dxfId="6004" priority="7558" stopIfTrue="1" operator="equal">
      <formula>"Napkin Hs"</formula>
    </cfRule>
  </conditionalFormatting>
  <conditionalFormatting sqref="C68">
    <cfRule type="cellIs" dxfId="6003" priority="7555" stopIfTrue="1" operator="equal">
      <formula>"Towel"</formula>
    </cfRule>
    <cfRule type="cellIs" dxfId="6002" priority="7556" stopIfTrue="1" operator="equal">
      <formula>"Napkin Hs"</formula>
    </cfRule>
  </conditionalFormatting>
  <conditionalFormatting sqref="C68">
    <cfRule type="cellIs" dxfId="6001" priority="7551" stopIfTrue="1" operator="equal">
      <formula>"Towel"</formula>
    </cfRule>
    <cfRule type="cellIs" dxfId="6000" priority="7552" stopIfTrue="1" operator="equal">
      <formula>"Napkin Hs"</formula>
    </cfRule>
  </conditionalFormatting>
  <conditionalFormatting sqref="C68">
    <cfRule type="cellIs" dxfId="5999" priority="7553" stopIfTrue="1" operator="equal">
      <formula>"Towel"</formula>
    </cfRule>
    <cfRule type="cellIs" dxfId="5998" priority="7554" stopIfTrue="1" operator="equal">
      <formula>"Napkin Hs"</formula>
    </cfRule>
  </conditionalFormatting>
  <conditionalFormatting sqref="C68">
    <cfRule type="cellIs" dxfId="5997" priority="7603" stopIfTrue="1" operator="equal">
      <formula>"Towel"</formula>
    </cfRule>
    <cfRule type="cellIs" dxfId="5996" priority="7604" stopIfTrue="1" operator="equal">
      <formula>"Napkin Hs"</formula>
    </cfRule>
  </conditionalFormatting>
  <conditionalFormatting sqref="C68">
    <cfRule type="cellIs" dxfId="5995" priority="7599" stopIfTrue="1" operator="equal">
      <formula>"Towel"</formula>
    </cfRule>
    <cfRule type="cellIs" dxfId="5994" priority="7600" stopIfTrue="1" operator="equal">
      <formula>"Napkin Hs"</formula>
    </cfRule>
  </conditionalFormatting>
  <conditionalFormatting sqref="C68">
    <cfRule type="cellIs" dxfId="5993" priority="7602" stopIfTrue="1" operator="equal">
      <formula>"Napkin Hs"</formula>
    </cfRule>
  </conditionalFormatting>
  <conditionalFormatting sqref="C68">
    <cfRule type="cellIs" dxfId="5992" priority="7601" stopIfTrue="1" operator="equal">
      <formula>"Towel"</formula>
    </cfRule>
  </conditionalFormatting>
  <conditionalFormatting sqref="C68">
    <cfRule type="cellIs" dxfId="5991" priority="7593" stopIfTrue="1" operator="equal">
      <formula>"Towel"</formula>
    </cfRule>
    <cfRule type="cellIs" dxfId="5990" priority="7594" stopIfTrue="1" operator="equal">
      <formula>"Napkin Hs"</formula>
    </cfRule>
  </conditionalFormatting>
  <conditionalFormatting sqref="C68">
    <cfRule type="cellIs" dxfId="5989" priority="7597" stopIfTrue="1" operator="equal">
      <formula>"Towel"</formula>
    </cfRule>
    <cfRule type="cellIs" dxfId="5988" priority="7598" stopIfTrue="1" operator="equal">
      <formula>"Napkin Hs"</formula>
    </cfRule>
  </conditionalFormatting>
  <conditionalFormatting sqref="C68">
    <cfRule type="cellIs" dxfId="5987" priority="7595" stopIfTrue="1" operator="equal">
      <formula>"Towel"</formula>
    </cfRule>
    <cfRule type="cellIs" dxfId="5986" priority="7596" stopIfTrue="1" operator="equal">
      <formula>"Napkin Hs"</formula>
    </cfRule>
  </conditionalFormatting>
  <conditionalFormatting sqref="C68">
    <cfRule type="cellIs" dxfId="5985" priority="7587" stopIfTrue="1" operator="equal">
      <formula>"Towel"</formula>
    </cfRule>
    <cfRule type="cellIs" dxfId="5984" priority="7588" stopIfTrue="1" operator="equal">
      <formula>"Napkin Hs"</formula>
    </cfRule>
  </conditionalFormatting>
  <conditionalFormatting sqref="C68">
    <cfRule type="cellIs" dxfId="5983" priority="7589" stopIfTrue="1" operator="equal">
      <formula>"Towel"</formula>
    </cfRule>
    <cfRule type="cellIs" dxfId="5982" priority="7590" stopIfTrue="1" operator="equal">
      <formula>"Napkin Hs"</formula>
    </cfRule>
  </conditionalFormatting>
  <conditionalFormatting sqref="C68">
    <cfRule type="cellIs" dxfId="5981" priority="7591" stopIfTrue="1" operator="equal">
      <formula>"Towel"</formula>
    </cfRule>
    <cfRule type="cellIs" dxfId="5980" priority="7592" stopIfTrue="1" operator="equal">
      <formula>"Napkin Hs"</formula>
    </cfRule>
  </conditionalFormatting>
  <conditionalFormatting sqref="C68">
    <cfRule type="cellIs" dxfId="5979" priority="7581" stopIfTrue="1" operator="equal">
      <formula>"Towel"</formula>
    </cfRule>
    <cfRule type="cellIs" dxfId="5978" priority="7582" stopIfTrue="1" operator="equal">
      <formula>"Napkin Hs"</formula>
    </cfRule>
  </conditionalFormatting>
  <conditionalFormatting sqref="C68">
    <cfRule type="cellIs" dxfId="5977" priority="7585" stopIfTrue="1" operator="equal">
      <formula>"Towel"</formula>
    </cfRule>
    <cfRule type="cellIs" dxfId="5976" priority="7586" stopIfTrue="1" operator="equal">
      <formula>"Napkin Hs"</formula>
    </cfRule>
  </conditionalFormatting>
  <conditionalFormatting sqref="C68">
    <cfRule type="cellIs" dxfId="5975" priority="7583" stopIfTrue="1" operator="equal">
      <formula>"Towel"</formula>
    </cfRule>
    <cfRule type="cellIs" dxfId="5974" priority="7584" stopIfTrue="1" operator="equal">
      <formula>"Napkin Hs"</formula>
    </cfRule>
  </conditionalFormatting>
  <conditionalFormatting sqref="C68">
    <cfRule type="cellIs" dxfId="5973" priority="7575" stopIfTrue="1" operator="equal">
      <formula>"Towel"</formula>
    </cfRule>
    <cfRule type="cellIs" dxfId="5972" priority="7576" stopIfTrue="1" operator="equal">
      <formula>"Napkin Hs"</formula>
    </cfRule>
  </conditionalFormatting>
  <conditionalFormatting sqref="C68">
    <cfRule type="cellIs" dxfId="5971" priority="7577" stopIfTrue="1" operator="equal">
      <formula>"Towel"</formula>
    </cfRule>
    <cfRule type="cellIs" dxfId="5970" priority="7578" stopIfTrue="1" operator="equal">
      <formula>"Napkin Hs"</formula>
    </cfRule>
  </conditionalFormatting>
  <conditionalFormatting sqref="C68">
    <cfRule type="cellIs" dxfId="5969" priority="7579" stopIfTrue="1" operator="equal">
      <formula>"Towel"</formula>
    </cfRule>
    <cfRule type="cellIs" dxfId="5968" priority="7580" stopIfTrue="1" operator="equal">
      <formula>"Napkin Hs"</formula>
    </cfRule>
  </conditionalFormatting>
  <conditionalFormatting sqref="C68">
    <cfRule type="cellIs" dxfId="5967" priority="7573" stopIfTrue="1" operator="equal">
      <formula>"Towel"</formula>
    </cfRule>
    <cfRule type="cellIs" dxfId="5966" priority="7574" stopIfTrue="1" operator="equal">
      <formula>"Napkin Hs"</formula>
    </cfRule>
  </conditionalFormatting>
  <conditionalFormatting sqref="C68">
    <cfRule type="cellIs" dxfId="5965" priority="7569" stopIfTrue="1" operator="equal">
      <formula>"Towel"</formula>
    </cfRule>
    <cfRule type="cellIs" dxfId="5964" priority="7570" stopIfTrue="1" operator="equal">
      <formula>"Napkin Hs"</formula>
    </cfRule>
  </conditionalFormatting>
  <conditionalFormatting sqref="C68">
    <cfRule type="cellIs" dxfId="5963" priority="7571" stopIfTrue="1" operator="equal">
      <formula>"Towel"</formula>
    </cfRule>
    <cfRule type="cellIs" dxfId="5962" priority="7572" stopIfTrue="1" operator="equal">
      <formula>"Napkin Hs"</formula>
    </cfRule>
  </conditionalFormatting>
  <conditionalFormatting sqref="C68">
    <cfRule type="cellIs" dxfId="5961" priority="7567" stopIfTrue="1" operator="equal">
      <formula>"Towel"</formula>
    </cfRule>
    <cfRule type="cellIs" dxfId="5960" priority="7568" stopIfTrue="1" operator="equal">
      <formula>"Napkin Hs"</formula>
    </cfRule>
  </conditionalFormatting>
  <conditionalFormatting sqref="C68">
    <cfRule type="cellIs" dxfId="5959" priority="7565" stopIfTrue="1" operator="equal">
      <formula>"Towel"</formula>
    </cfRule>
    <cfRule type="cellIs" dxfId="5958" priority="7566" stopIfTrue="1" operator="equal">
      <formula>"Napkin Hs"</formula>
    </cfRule>
  </conditionalFormatting>
  <conditionalFormatting sqref="C68">
    <cfRule type="cellIs" dxfId="5957" priority="7563" stopIfTrue="1" operator="equal">
      <formula>"Towel"</formula>
    </cfRule>
    <cfRule type="cellIs" dxfId="5956" priority="7564" stopIfTrue="1" operator="equal">
      <formula>"Napkin Hs"</formula>
    </cfRule>
  </conditionalFormatting>
  <conditionalFormatting sqref="C68">
    <cfRule type="cellIs" dxfId="5955" priority="7547" stopIfTrue="1" operator="equal">
      <formula>"Towel"</formula>
    </cfRule>
    <cfRule type="cellIs" dxfId="5954" priority="7548" stopIfTrue="1" operator="equal">
      <formula>"Napkin Hs"</formula>
    </cfRule>
  </conditionalFormatting>
  <conditionalFormatting sqref="C68">
    <cfRule type="cellIs" dxfId="5953" priority="7549" stopIfTrue="1" operator="equal">
      <formula>"Towel"</formula>
    </cfRule>
    <cfRule type="cellIs" dxfId="5952" priority="7550" stopIfTrue="1" operator="equal">
      <formula>"Napkin Hs"</formula>
    </cfRule>
  </conditionalFormatting>
  <conditionalFormatting sqref="C68">
    <cfRule type="cellIs" dxfId="5951" priority="7545" stopIfTrue="1" operator="equal">
      <formula>"Towel"</formula>
    </cfRule>
    <cfRule type="cellIs" dxfId="5950" priority="7546" stopIfTrue="1" operator="equal">
      <formula>"Napkin Hs"</formula>
    </cfRule>
  </conditionalFormatting>
  <conditionalFormatting sqref="C68">
    <cfRule type="cellIs" dxfId="5949" priority="7543" stopIfTrue="1" operator="equal">
      <formula>"Towel"</formula>
    </cfRule>
    <cfRule type="cellIs" dxfId="5948" priority="7544" stopIfTrue="1" operator="equal">
      <formula>"Napkin Hs"</formula>
    </cfRule>
  </conditionalFormatting>
  <conditionalFormatting sqref="C68">
    <cfRule type="cellIs" dxfId="5947" priority="7539" stopIfTrue="1" operator="equal">
      <formula>"Towel"</formula>
    </cfRule>
    <cfRule type="cellIs" dxfId="5946" priority="7540" stopIfTrue="1" operator="equal">
      <formula>"Napkin Hs"</formula>
    </cfRule>
  </conditionalFormatting>
  <conditionalFormatting sqref="C68">
    <cfRule type="cellIs" dxfId="5945" priority="7541" stopIfTrue="1" operator="equal">
      <formula>"Towel"</formula>
    </cfRule>
    <cfRule type="cellIs" dxfId="5944" priority="7542" stopIfTrue="1" operator="equal">
      <formula>"Napkin Hs"</formula>
    </cfRule>
  </conditionalFormatting>
  <conditionalFormatting sqref="C68">
    <cfRule type="cellIs" dxfId="5943" priority="7535" stopIfTrue="1" operator="equal">
      <formula>"Towel"</formula>
    </cfRule>
    <cfRule type="cellIs" dxfId="5942" priority="7536" stopIfTrue="1" operator="equal">
      <formula>"Napkin Hs"</formula>
    </cfRule>
  </conditionalFormatting>
  <conditionalFormatting sqref="C68">
    <cfRule type="cellIs" dxfId="5941" priority="7537" stopIfTrue="1" operator="equal">
      <formula>"Towel"</formula>
    </cfRule>
    <cfRule type="cellIs" dxfId="5940" priority="7538" stopIfTrue="1" operator="equal">
      <formula>"Napkin Hs"</formula>
    </cfRule>
  </conditionalFormatting>
  <conditionalFormatting sqref="C68">
    <cfRule type="cellIs" dxfId="5939" priority="7533" stopIfTrue="1" operator="equal">
      <formula>"Towel"</formula>
    </cfRule>
    <cfRule type="cellIs" dxfId="5938" priority="7534" stopIfTrue="1" operator="equal">
      <formula>"Napkin Hs"</formula>
    </cfRule>
  </conditionalFormatting>
  <conditionalFormatting sqref="C68">
    <cfRule type="cellIs" dxfId="5937" priority="7531" stopIfTrue="1" operator="equal">
      <formula>"Towel"</formula>
    </cfRule>
    <cfRule type="cellIs" dxfId="5936" priority="7532" stopIfTrue="1" operator="equal">
      <formula>"Napkin Hs"</formula>
    </cfRule>
  </conditionalFormatting>
  <conditionalFormatting sqref="C68">
    <cfRule type="cellIs" dxfId="5935" priority="7527" stopIfTrue="1" operator="equal">
      <formula>"Towel"</formula>
    </cfRule>
    <cfRule type="cellIs" dxfId="5934" priority="7528" stopIfTrue="1" operator="equal">
      <formula>"Napkin Hs"</formula>
    </cfRule>
  </conditionalFormatting>
  <conditionalFormatting sqref="C68">
    <cfRule type="cellIs" dxfId="5933" priority="7529" stopIfTrue="1" operator="equal">
      <formula>"Towel"</formula>
    </cfRule>
    <cfRule type="cellIs" dxfId="5932" priority="7530" stopIfTrue="1" operator="equal">
      <formula>"Napkin Hs"</formula>
    </cfRule>
  </conditionalFormatting>
  <conditionalFormatting sqref="B68">
    <cfRule type="cellIs" dxfId="5931" priority="7525" stopIfTrue="1" operator="equal">
      <formula>"Towel"</formula>
    </cfRule>
    <cfRule type="cellIs" dxfId="5930" priority="7526" stopIfTrue="1" operator="equal">
      <formula>"Napkin Hs"</formula>
    </cfRule>
  </conditionalFormatting>
  <conditionalFormatting sqref="B68">
    <cfRule type="cellIs" dxfId="5929" priority="7509" stopIfTrue="1" operator="equal">
      <formula>"Towel"</formula>
    </cfRule>
    <cfRule type="cellIs" dxfId="5928" priority="7510" stopIfTrue="1" operator="equal">
      <formula>"Napkin Hs"</formula>
    </cfRule>
  </conditionalFormatting>
  <conditionalFormatting sqref="B68">
    <cfRule type="cellIs" dxfId="5927" priority="7507" stopIfTrue="1" operator="equal">
      <formula>"Towel"</formula>
    </cfRule>
    <cfRule type="cellIs" dxfId="5926" priority="7508" stopIfTrue="1" operator="equal">
      <formula>"Napkin Hs"</formula>
    </cfRule>
  </conditionalFormatting>
  <conditionalFormatting sqref="B68">
    <cfRule type="cellIs" dxfId="5925" priority="7523" stopIfTrue="1" operator="equal">
      <formula>"Towel"</formula>
    </cfRule>
    <cfRule type="cellIs" dxfId="5924" priority="7524" stopIfTrue="1" operator="equal">
      <formula>"Napkin Hs"</formula>
    </cfRule>
  </conditionalFormatting>
  <conditionalFormatting sqref="B68">
    <cfRule type="cellIs" dxfId="5923" priority="7519" stopIfTrue="1" operator="equal">
      <formula>"Towel"</formula>
    </cfRule>
    <cfRule type="cellIs" dxfId="5922" priority="7520" stopIfTrue="1" operator="equal">
      <formula>"Napkin Hs"</formula>
    </cfRule>
  </conditionalFormatting>
  <conditionalFormatting sqref="B68">
    <cfRule type="cellIs" dxfId="5921" priority="7521" stopIfTrue="1" operator="equal">
      <formula>"Towel"</formula>
    </cfRule>
    <cfRule type="cellIs" dxfId="5920" priority="7522" stopIfTrue="1" operator="equal">
      <formula>"Napkin Hs"</formula>
    </cfRule>
  </conditionalFormatting>
  <conditionalFormatting sqref="B68">
    <cfRule type="cellIs" dxfId="5919" priority="7515" stopIfTrue="1" operator="equal">
      <formula>"Towel"</formula>
    </cfRule>
    <cfRule type="cellIs" dxfId="5918" priority="7516" stopIfTrue="1" operator="equal">
      <formula>"Napkin Hs"</formula>
    </cfRule>
  </conditionalFormatting>
  <conditionalFormatting sqref="B68">
    <cfRule type="cellIs" dxfId="5917" priority="7517" stopIfTrue="1" operator="equal">
      <formula>"Towel"</formula>
    </cfRule>
    <cfRule type="cellIs" dxfId="5916" priority="7518" stopIfTrue="1" operator="equal">
      <formula>"Napkin Hs"</formula>
    </cfRule>
  </conditionalFormatting>
  <conditionalFormatting sqref="B68">
    <cfRule type="cellIs" dxfId="5915" priority="7513" stopIfTrue="1" operator="equal">
      <formula>"Towel"</formula>
    </cfRule>
    <cfRule type="cellIs" dxfId="5914" priority="7514" stopIfTrue="1" operator="equal">
      <formula>"Napkin Hs"</formula>
    </cfRule>
  </conditionalFormatting>
  <conditionalFormatting sqref="B68">
    <cfRule type="cellIs" dxfId="5913" priority="7511" stopIfTrue="1" operator="equal">
      <formula>"Towel"</formula>
    </cfRule>
    <cfRule type="cellIs" dxfId="5912" priority="7512" stopIfTrue="1" operator="equal">
      <formula>"Napkin Hs"</formula>
    </cfRule>
  </conditionalFormatting>
  <conditionalFormatting sqref="B68">
    <cfRule type="cellIs" dxfId="5911" priority="7505" stopIfTrue="1" operator="equal">
      <formula>"Towel"</formula>
    </cfRule>
    <cfRule type="cellIs" dxfId="5910" priority="7506" stopIfTrue="1" operator="equal">
      <formula>"Napkin Hs"</formula>
    </cfRule>
  </conditionalFormatting>
  <conditionalFormatting sqref="B68">
    <cfRule type="cellIs" dxfId="5909" priority="7503" stopIfTrue="1" operator="equal">
      <formula>"Towel"</formula>
    </cfRule>
    <cfRule type="cellIs" dxfId="5908" priority="7504" stopIfTrue="1" operator="equal">
      <formula>"Napkin Hs"</formula>
    </cfRule>
  </conditionalFormatting>
  <conditionalFormatting sqref="B68">
    <cfRule type="cellIs" dxfId="5907" priority="7501" stopIfTrue="1" operator="equal">
      <formula>"Towel"</formula>
    </cfRule>
    <cfRule type="cellIs" dxfId="5906" priority="7502" stopIfTrue="1" operator="equal">
      <formula>"Napkin Hs"</formula>
    </cfRule>
  </conditionalFormatting>
  <conditionalFormatting sqref="B68">
    <cfRule type="cellIs" dxfId="5905" priority="7499" stopIfTrue="1" operator="equal">
      <formula>"Towel"</formula>
    </cfRule>
    <cfRule type="cellIs" dxfId="5904" priority="7500" stopIfTrue="1" operator="equal">
      <formula>"Napkin Hs"</formula>
    </cfRule>
  </conditionalFormatting>
  <conditionalFormatting sqref="B76:C76">
    <cfRule type="cellIs" dxfId="5903" priority="7497" stopIfTrue="1" operator="equal">
      <formula>"Towel"</formula>
    </cfRule>
    <cfRule type="cellIs" dxfId="5902" priority="7498" stopIfTrue="1" operator="equal">
      <formula>"Napkin Hs"</formula>
    </cfRule>
  </conditionalFormatting>
  <conditionalFormatting sqref="B77:C77">
    <cfRule type="cellIs" dxfId="5901" priority="7491" stopIfTrue="1" operator="equal">
      <formula>"Towel"</formula>
    </cfRule>
    <cfRule type="cellIs" dxfId="5900" priority="7492" stopIfTrue="1" operator="equal">
      <formula>"Napkin Hs"</formula>
    </cfRule>
  </conditionalFormatting>
  <conditionalFormatting sqref="C76">
    <cfRule type="cellIs" dxfId="5899" priority="7496" stopIfTrue="1" operator="equal">
      <formula>"Napkin Hs"</formula>
    </cfRule>
  </conditionalFormatting>
  <conditionalFormatting sqref="C76">
    <cfRule type="cellIs" dxfId="5898" priority="7495" stopIfTrue="1" operator="equal">
      <formula>"Towel"</formula>
    </cfRule>
  </conditionalFormatting>
  <conditionalFormatting sqref="C76">
    <cfRule type="cellIs" dxfId="5897" priority="7493" stopIfTrue="1" operator="equal">
      <formula>"Towel"</formula>
    </cfRule>
    <cfRule type="cellIs" dxfId="5896" priority="7494" stopIfTrue="1" operator="equal">
      <formula>"Napkin Hs"</formula>
    </cfRule>
  </conditionalFormatting>
  <conditionalFormatting sqref="C77">
    <cfRule type="cellIs" dxfId="5895" priority="7489" stopIfTrue="1" operator="equal">
      <formula>"Towel"</formula>
    </cfRule>
    <cfRule type="cellIs" dxfId="5894" priority="7490" stopIfTrue="1" operator="equal">
      <formula>"Napkin Hs"</formula>
    </cfRule>
  </conditionalFormatting>
  <conditionalFormatting sqref="C77">
    <cfRule type="cellIs" dxfId="5893" priority="7487" stopIfTrue="1" operator="equal">
      <formula>"Towel"</formula>
    </cfRule>
    <cfRule type="cellIs" dxfId="5892" priority="7488" stopIfTrue="1" operator="equal">
      <formula>"Napkin Hs"</formula>
    </cfRule>
  </conditionalFormatting>
  <conditionalFormatting sqref="C74">
    <cfRule type="cellIs" dxfId="5891" priority="7479" stopIfTrue="1" operator="equal">
      <formula>"Towel"</formula>
    </cfRule>
    <cfRule type="cellIs" dxfId="5890" priority="7480" stopIfTrue="1" operator="equal">
      <formula>"Napkin Hs"</formula>
    </cfRule>
  </conditionalFormatting>
  <conditionalFormatting sqref="C74">
    <cfRule type="cellIs" dxfId="5889" priority="7481" stopIfTrue="1" operator="equal">
      <formula>"Towel"</formula>
    </cfRule>
    <cfRule type="cellIs" dxfId="5888" priority="7482" stopIfTrue="1" operator="equal">
      <formula>"Napkin Hs"</formula>
    </cfRule>
  </conditionalFormatting>
  <conditionalFormatting sqref="C74">
    <cfRule type="cellIs" dxfId="5887" priority="7477" stopIfTrue="1" operator="equal">
      <formula>"Towel"</formula>
    </cfRule>
    <cfRule type="cellIs" dxfId="5886" priority="7478" stopIfTrue="1" operator="equal">
      <formula>"Napkin Hs"</formula>
    </cfRule>
  </conditionalFormatting>
  <conditionalFormatting sqref="C74">
    <cfRule type="cellIs" dxfId="5885" priority="7475" stopIfTrue="1" operator="equal">
      <formula>"Towel"</formula>
    </cfRule>
    <cfRule type="cellIs" dxfId="5884" priority="7476" stopIfTrue="1" operator="equal">
      <formula>"Napkin Hs"</formula>
    </cfRule>
  </conditionalFormatting>
  <conditionalFormatting sqref="C74">
    <cfRule type="cellIs" dxfId="5883" priority="7483" stopIfTrue="1" operator="equal">
      <formula>"Towel"</formula>
    </cfRule>
    <cfRule type="cellIs" dxfId="5882" priority="7484" stopIfTrue="1" operator="equal">
      <formula>"Napkin Hs"</formula>
    </cfRule>
  </conditionalFormatting>
  <conditionalFormatting sqref="C74">
    <cfRule type="cellIs" dxfId="5881" priority="7485" stopIfTrue="1" operator="equal">
      <formula>"Towel"</formula>
    </cfRule>
    <cfRule type="cellIs" dxfId="5880" priority="7486" stopIfTrue="1" operator="equal">
      <formula>"Napkin Hs"</formula>
    </cfRule>
  </conditionalFormatting>
  <conditionalFormatting sqref="B74">
    <cfRule type="cellIs" dxfId="5879" priority="7473" stopIfTrue="1" operator="equal">
      <formula>"Towel"</formula>
    </cfRule>
    <cfRule type="cellIs" dxfId="5878" priority="7474" stopIfTrue="1" operator="equal">
      <formula>"Napkin Hs"</formula>
    </cfRule>
  </conditionalFormatting>
  <conditionalFormatting sqref="C78">
    <cfRule type="cellIs" dxfId="5877" priority="7465" stopIfTrue="1" operator="equal">
      <formula>"Towel"</formula>
    </cfRule>
    <cfRule type="cellIs" dxfId="5876" priority="7466" stopIfTrue="1" operator="equal">
      <formula>"Napkin Hs"</formula>
    </cfRule>
  </conditionalFormatting>
  <conditionalFormatting sqref="B78:C78">
    <cfRule type="cellIs" dxfId="5875" priority="7467" stopIfTrue="1" operator="equal">
      <formula>"Towel"</formula>
    </cfRule>
    <cfRule type="cellIs" dxfId="5874" priority="7468" stopIfTrue="1" operator="equal">
      <formula>"Napkin Hs"</formula>
    </cfRule>
  </conditionalFormatting>
  <conditionalFormatting sqref="C78">
    <cfRule type="cellIs" dxfId="5873" priority="7463" stopIfTrue="1" operator="equal">
      <formula>"Towel"</formula>
    </cfRule>
    <cfRule type="cellIs" dxfId="5872" priority="7464" stopIfTrue="1" operator="equal">
      <formula>"Napkin Hs"</formula>
    </cfRule>
  </conditionalFormatting>
  <conditionalFormatting sqref="B78:C78">
    <cfRule type="cellIs" dxfId="5871" priority="7461" stopIfTrue="1" operator="equal">
      <formula>"Towel"</formula>
    </cfRule>
    <cfRule type="cellIs" dxfId="5870" priority="7462" stopIfTrue="1" operator="equal">
      <formula>"Napkin Hs"</formula>
    </cfRule>
  </conditionalFormatting>
  <conditionalFormatting sqref="C78">
    <cfRule type="cellIs" dxfId="5869" priority="7469" stopIfTrue="1" operator="equal">
      <formula>"Towel"</formula>
    </cfRule>
    <cfRule type="cellIs" dxfId="5868" priority="7470" stopIfTrue="1" operator="equal">
      <formula>"Napkin Hs"</formula>
    </cfRule>
  </conditionalFormatting>
  <conditionalFormatting sqref="C78">
    <cfRule type="cellIs" dxfId="5867" priority="7471" stopIfTrue="1" operator="equal">
      <formula>"Towel"</formula>
    </cfRule>
    <cfRule type="cellIs" dxfId="5866" priority="7472" stopIfTrue="1" operator="equal">
      <formula>"Napkin Hs"</formula>
    </cfRule>
  </conditionalFormatting>
  <conditionalFormatting sqref="B77:C77">
    <cfRule type="cellIs" dxfId="5865" priority="7459" stopIfTrue="1" operator="equal">
      <formula>"Towel"</formula>
    </cfRule>
    <cfRule type="cellIs" dxfId="5864" priority="7460" stopIfTrue="1" operator="equal">
      <formula>"Napkin Hs"</formula>
    </cfRule>
  </conditionalFormatting>
  <conditionalFormatting sqref="C77">
    <cfRule type="cellIs" dxfId="5863" priority="7455" stopIfTrue="1" operator="equal">
      <formula>"Towel"</formula>
    </cfRule>
    <cfRule type="cellIs" dxfId="5862" priority="7456" stopIfTrue="1" operator="equal">
      <formula>"Napkin Hs"</formula>
    </cfRule>
  </conditionalFormatting>
  <conditionalFormatting sqref="C77">
    <cfRule type="cellIs" dxfId="5861" priority="7457" stopIfTrue="1" operator="equal">
      <formula>"Towel"</formula>
    </cfRule>
    <cfRule type="cellIs" dxfId="5860" priority="7458" stopIfTrue="1" operator="equal">
      <formula>"Napkin Hs"</formula>
    </cfRule>
  </conditionalFormatting>
  <conditionalFormatting sqref="C78">
    <cfRule type="cellIs" dxfId="5859" priority="7447" stopIfTrue="1" operator="equal">
      <formula>"Towel"</formula>
    </cfRule>
    <cfRule type="cellIs" dxfId="5858" priority="7448" stopIfTrue="1" operator="equal">
      <formula>"Napkin Hs"</formula>
    </cfRule>
  </conditionalFormatting>
  <conditionalFormatting sqref="B78:C78">
    <cfRule type="cellIs" dxfId="5857" priority="7449" stopIfTrue="1" operator="equal">
      <formula>"Towel"</formula>
    </cfRule>
    <cfRule type="cellIs" dxfId="5856" priority="7450" stopIfTrue="1" operator="equal">
      <formula>"Napkin Hs"</formula>
    </cfRule>
  </conditionalFormatting>
  <conditionalFormatting sqref="C78">
    <cfRule type="cellIs" dxfId="5855" priority="7445" stopIfTrue="1" operator="equal">
      <formula>"Towel"</formula>
    </cfRule>
    <cfRule type="cellIs" dxfId="5854" priority="7446" stopIfTrue="1" operator="equal">
      <formula>"Napkin Hs"</formula>
    </cfRule>
  </conditionalFormatting>
  <conditionalFormatting sqref="B78:C78">
    <cfRule type="cellIs" dxfId="5853" priority="7443" stopIfTrue="1" operator="equal">
      <formula>"Towel"</formula>
    </cfRule>
    <cfRule type="cellIs" dxfId="5852" priority="7444" stopIfTrue="1" operator="equal">
      <formula>"Napkin Hs"</formula>
    </cfRule>
  </conditionalFormatting>
  <conditionalFormatting sqref="C78">
    <cfRule type="cellIs" dxfId="5851" priority="7451" stopIfTrue="1" operator="equal">
      <formula>"Towel"</formula>
    </cfRule>
    <cfRule type="cellIs" dxfId="5850" priority="7452" stopIfTrue="1" operator="equal">
      <formula>"Napkin Hs"</formula>
    </cfRule>
  </conditionalFormatting>
  <conditionalFormatting sqref="C78">
    <cfRule type="cellIs" dxfId="5849" priority="7453" stopIfTrue="1" operator="equal">
      <formula>"Towel"</formula>
    </cfRule>
    <cfRule type="cellIs" dxfId="5848" priority="7454" stopIfTrue="1" operator="equal">
      <formula>"Napkin Hs"</formula>
    </cfRule>
  </conditionalFormatting>
  <conditionalFormatting sqref="C76">
    <cfRule type="cellIs" dxfId="5847" priority="7435" stopIfTrue="1" operator="equal">
      <formula>"Towel"</formula>
    </cfRule>
    <cfRule type="cellIs" dxfId="5846" priority="7436" stopIfTrue="1" operator="equal">
      <formula>"Napkin Hs"</formula>
    </cfRule>
  </conditionalFormatting>
  <conditionalFormatting sqref="C76">
    <cfRule type="cellIs" dxfId="5845" priority="7437" stopIfTrue="1" operator="equal">
      <formula>"Towel"</formula>
    </cfRule>
    <cfRule type="cellIs" dxfId="5844" priority="7438" stopIfTrue="1" operator="equal">
      <formula>"Napkin Hs"</formula>
    </cfRule>
  </conditionalFormatting>
  <conditionalFormatting sqref="C76">
    <cfRule type="cellIs" dxfId="5843" priority="7433" stopIfTrue="1" operator="equal">
      <formula>"Towel"</formula>
    </cfRule>
    <cfRule type="cellIs" dxfId="5842" priority="7434" stopIfTrue="1" operator="equal">
      <formula>"Napkin Hs"</formula>
    </cfRule>
  </conditionalFormatting>
  <conditionalFormatting sqref="C76">
    <cfRule type="cellIs" dxfId="5841" priority="7431" stopIfTrue="1" operator="equal">
      <formula>"Towel"</formula>
    </cfRule>
    <cfRule type="cellIs" dxfId="5840" priority="7432" stopIfTrue="1" operator="equal">
      <formula>"Napkin Hs"</formula>
    </cfRule>
  </conditionalFormatting>
  <conditionalFormatting sqref="C76">
    <cfRule type="cellIs" dxfId="5839" priority="7439" stopIfTrue="1" operator="equal">
      <formula>"Towel"</formula>
    </cfRule>
    <cfRule type="cellIs" dxfId="5838" priority="7440" stopIfTrue="1" operator="equal">
      <formula>"Napkin Hs"</formula>
    </cfRule>
  </conditionalFormatting>
  <conditionalFormatting sqref="C76">
    <cfRule type="cellIs" dxfId="5837" priority="7441" stopIfTrue="1" operator="equal">
      <formula>"Towel"</formula>
    </cfRule>
    <cfRule type="cellIs" dxfId="5836" priority="7442" stopIfTrue="1" operator="equal">
      <formula>"Napkin Hs"</formula>
    </cfRule>
  </conditionalFormatting>
  <conditionalFormatting sqref="C76">
    <cfRule type="cellIs" dxfId="5835" priority="7427" stopIfTrue="1" operator="equal">
      <formula>"Towel"</formula>
    </cfRule>
    <cfRule type="cellIs" dxfId="5834" priority="7428" stopIfTrue="1" operator="equal">
      <formula>"Napkin Hs"</formula>
    </cfRule>
  </conditionalFormatting>
  <conditionalFormatting sqref="C76">
    <cfRule type="cellIs" dxfId="5833" priority="7429" stopIfTrue="1" operator="equal">
      <formula>"Towel"</formula>
    </cfRule>
    <cfRule type="cellIs" dxfId="5832" priority="7430" stopIfTrue="1" operator="equal">
      <formula>"Napkin Hs"</formula>
    </cfRule>
  </conditionalFormatting>
  <conditionalFormatting sqref="C76">
    <cfRule type="cellIs" dxfId="5831" priority="7425" stopIfTrue="1" operator="equal">
      <formula>"Towel"</formula>
    </cfRule>
    <cfRule type="cellIs" dxfId="5830" priority="7426" stopIfTrue="1" operator="equal">
      <formula>"Napkin Hs"</formula>
    </cfRule>
  </conditionalFormatting>
  <conditionalFormatting sqref="C76">
    <cfRule type="cellIs" dxfId="5829" priority="7419" stopIfTrue="1" operator="equal">
      <formula>"Towel"</formula>
    </cfRule>
    <cfRule type="cellIs" dxfId="5828" priority="7420" stopIfTrue="1" operator="equal">
      <formula>"Napkin Hs"</formula>
    </cfRule>
  </conditionalFormatting>
  <conditionalFormatting sqref="C76">
    <cfRule type="cellIs" dxfId="5827" priority="7421" stopIfTrue="1" operator="equal">
      <formula>"Towel"</formula>
    </cfRule>
    <cfRule type="cellIs" dxfId="5826" priority="7422" stopIfTrue="1" operator="equal">
      <formula>"Napkin Hs"</formula>
    </cfRule>
  </conditionalFormatting>
  <conditionalFormatting sqref="C76">
    <cfRule type="cellIs" dxfId="5825" priority="7423" stopIfTrue="1" operator="equal">
      <formula>"Towel"</formula>
    </cfRule>
    <cfRule type="cellIs" dxfId="5824" priority="7424" stopIfTrue="1" operator="equal">
      <formula>"Napkin Hs"</formula>
    </cfRule>
  </conditionalFormatting>
  <conditionalFormatting sqref="C76">
    <cfRule type="cellIs" dxfId="5823" priority="7373" stopIfTrue="1" operator="equal">
      <formula>"Towel"</formula>
    </cfRule>
    <cfRule type="cellIs" dxfId="5822" priority="7374" stopIfTrue="1" operator="equal">
      <formula>"Napkin Hs"</formula>
    </cfRule>
  </conditionalFormatting>
  <conditionalFormatting sqref="C76">
    <cfRule type="cellIs" dxfId="5821" priority="7375" stopIfTrue="1" operator="equal">
      <formula>"Towel"</formula>
    </cfRule>
    <cfRule type="cellIs" dxfId="5820" priority="7376" stopIfTrue="1" operator="equal">
      <formula>"Napkin Hs"</formula>
    </cfRule>
  </conditionalFormatting>
  <conditionalFormatting sqref="C76">
    <cfRule type="cellIs" dxfId="5819" priority="7371" stopIfTrue="1" operator="equal">
      <formula>"Towel"</formula>
    </cfRule>
    <cfRule type="cellIs" dxfId="5818" priority="7372" stopIfTrue="1" operator="equal">
      <formula>"Napkin Hs"</formula>
    </cfRule>
  </conditionalFormatting>
  <conditionalFormatting sqref="C76">
    <cfRule type="cellIs" dxfId="5817" priority="7369" stopIfTrue="1" operator="equal">
      <formula>"Towel"</formula>
    </cfRule>
    <cfRule type="cellIs" dxfId="5816" priority="7370" stopIfTrue="1" operator="equal">
      <formula>"Napkin Hs"</formula>
    </cfRule>
  </conditionalFormatting>
  <conditionalFormatting sqref="C76">
    <cfRule type="cellIs" dxfId="5815" priority="7365" stopIfTrue="1" operator="equal">
      <formula>"Towel"</formula>
    </cfRule>
    <cfRule type="cellIs" dxfId="5814" priority="7366" stopIfTrue="1" operator="equal">
      <formula>"Napkin Hs"</formula>
    </cfRule>
  </conditionalFormatting>
  <conditionalFormatting sqref="C76">
    <cfRule type="cellIs" dxfId="5813" priority="7367" stopIfTrue="1" operator="equal">
      <formula>"Towel"</formula>
    </cfRule>
    <cfRule type="cellIs" dxfId="5812" priority="7368" stopIfTrue="1" operator="equal">
      <formula>"Napkin Hs"</formula>
    </cfRule>
  </conditionalFormatting>
  <conditionalFormatting sqref="C76">
    <cfRule type="cellIs" dxfId="5811" priority="7417" stopIfTrue="1" operator="equal">
      <formula>"Towel"</formula>
    </cfRule>
    <cfRule type="cellIs" dxfId="5810" priority="7418" stopIfTrue="1" operator="equal">
      <formula>"Napkin Hs"</formula>
    </cfRule>
  </conditionalFormatting>
  <conditionalFormatting sqref="C76">
    <cfRule type="cellIs" dxfId="5809" priority="7413" stopIfTrue="1" operator="equal">
      <formula>"Towel"</formula>
    </cfRule>
    <cfRule type="cellIs" dxfId="5808" priority="7414" stopIfTrue="1" operator="equal">
      <formula>"Napkin Hs"</formula>
    </cfRule>
  </conditionalFormatting>
  <conditionalFormatting sqref="C76">
    <cfRule type="cellIs" dxfId="5807" priority="7416" stopIfTrue="1" operator="equal">
      <formula>"Napkin Hs"</formula>
    </cfRule>
  </conditionalFormatting>
  <conditionalFormatting sqref="C76">
    <cfRule type="cellIs" dxfId="5806" priority="7415" stopIfTrue="1" operator="equal">
      <formula>"Towel"</formula>
    </cfRule>
  </conditionalFormatting>
  <conditionalFormatting sqref="C76">
    <cfRule type="cellIs" dxfId="5805" priority="7407" stopIfTrue="1" operator="equal">
      <formula>"Towel"</formula>
    </cfRule>
    <cfRule type="cellIs" dxfId="5804" priority="7408" stopIfTrue="1" operator="equal">
      <formula>"Napkin Hs"</formula>
    </cfRule>
  </conditionalFormatting>
  <conditionalFormatting sqref="C76">
    <cfRule type="cellIs" dxfId="5803" priority="7411" stopIfTrue="1" operator="equal">
      <formula>"Towel"</formula>
    </cfRule>
    <cfRule type="cellIs" dxfId="5802" priority="7412" stopIfTrue="1" operator="equal">
      <formula>"Napkin Hs"</formula>
    </cfRule>
  </conditionalFormatting>
  <conditionalFormatting sqref="C76">
    <cfRule type="cellIs" dxfId="5801" priority="7409" stopIfTrue="1" operator="equal">
      <formula>"Towel"</formula>
    </cfRule>
    <cfRule type="cellIs" dxfId="5800" priority="7410" stopIfTrue="1" operator="equal">
      <formula>"Napkin Hs"</formula>
    </cfRule>
  </conditionalFormatting>
  <conditionalFormatting sqref="C76">
    <cfRule type="cellIs" dxfId="5799" priority="7401" stopIfTrue="1" operator="equal">
      <formula>"Towel"</formula>
    </cfRule>
    <cfRule type="cellIs" dxfId="5798" priority="7402" stopIfTrue="1" operator="equal">
      <formula>"Napkin Hs"</formula>
    </cfRule>
  </conditionalFormatting>
  <conditionalFormatting sqref="C76">
    <cfRule type="cellIs" dxfId="5797" priority="7403" stopIfTrue="1" operator="equal">
      <formula>"Towel"</formula>
    </cfRule>
    <cfRule type="cellIs" dxfId="5796" priority="7404" stopIfTrue="1" operator="equal">
      <formula>"Napkin Hs"</formula>
    </cfRule>
  </conditionalFormatting>
  <conditionalFormatting sqref="C76">
    <cfRule type="cellIs" dxfId="5795" priority="7405" stopIfTrue="1" operator="equal">
      <formula>"Towel"</formula>
    </cfRule>
    <cfRule type="cellIs" dxfId="5794" priority="7406" stopIfTrue="1" operator="equal">
      <formula>"Napkin Hs"</formula>
    </cfRule>
  </conditionalFormatting>
  <conditionalFormatting sqref="C76">
    <cfRule type="cellIs" dxfId="5793" priority="7395" stopIfTrue="1" operator="equal">
      <formula>"Towel"</formula>
    </cfRule>
    <cfRule type="cellIs" dxfId="5792" priority="7396" stopIfTrue="1" operator="equal">
      <formula>"Napkin Hs"</formula>
    </cfRule>
  </conditionalFormatting>
  <conditionalFormatting sqref="C76">
    <cfRule type="cellIs" dxfId="5791" priority="7399" stopIfTrue="1" operator="equal">
      <formula>"Towel"</formula>
    </cfRule>
    <cfRule type="cellIs" dxfId="5790" priority="7400" stopIfTrue="1" operator="equal">
      <formula>"Napkin Hs"</formula>
    </cfRule>
  </conditionalFormatting>
  <conditionalFormatting sqref="C76">
    <cfRule type="cellIs" dxfId="5789" priority="7397" stopIfTrue="1" operator="equal">
      <formula>"Towel"</formula>
    </cfRule>
    <cfRule type="cellIs" dxfId="5788" priority="7398" stopIfTrue="1" operator="equal">
      <formula>"Napkin Hs"</formula>
    </cfRule>
  </conditionalFormatting>
  <conditionalFormatting sqref="C76">
    <cfRule type="cellIs" dxfId="5787" priority="7389" stopIfTrue="1" operator="equal">
      <formula>"Towel"</formula>
    </cfRule>
    <cfRule type="cellIs" dxfId="5786" priority="7390" stopIfTrue="1" operator="equal">
      <formula>"Napkin Hs"</formula>
    </cfRule>
  </conditionalFormatting>
  <conditionalFormatting sqref="C76">
    <cfRule type="cellIs" dxfId="5785" priority="7391" stopIfTrue="1" operator="equal">
      <formula>"Towel"</formula>
    </cfRule>
    <cfRule type="cellIs" dxfId="5784" priority="7392" stopIfTrue="1" operator="equal">
      <formula>"Napkin Hs"</formula>
    </cfRule>
  </conditionalFormatting>
  <conditionalFormatting sqref="C76">
    <cfRule type="cellIs" dxfId="5783" priority="7393" stopIfTrue="1" operator="equal">
      <formula>"Towel"</formula>
    </cfRule>
    <cfRule type="cellIs" dxfId="5782" priority="7394" stopIfTrue="1" operator="equal">
      <formula>"Napkin Hs"</formula>
    </cfRule>
  </conditionalFormatting>
  <conditionalFormatting sqref="C76">
    <cfRule type="cellIs" dxfId="5781" priority="7387" stopIfTrue="1" operator="equal">
      <formula>"Towel"</formula>
    </cfRule>
    <cfRule type="cellIs" dxfId="5780" priority="7388" stopIfTrue="1" operator="equal">
      <formula>"Napkin Hs"</formula>
    </cfRule>
  </conditionalFormatting>
  <conditionalFormatting sqref="C76">
    <cfRule type="cellIs" dxfId="5779" priority="7383" stopIfTrue="1" operator="equal">
      <formula>"Towel"</formula>
    </cfRule>
    <cfRule type="cellIs" dxfId="5778" priority="7384" stopIfTrue="1" operator="equal">
      <formula>"Napkin Hs"</formula>
    </cfRule>
  </conditionalFormatting>
  <conditionalFormatting sqref="C76">
    <cfRule type="cellIs" dxfId="5777" priority="7385" stopIfTrue="1" operator="equal">
      <formula>"Towel"</formula>
    </cfRule>
    <cfRule type="cellIs" dxfId="5776" priority="7386" stopIfTrue="1" operator="equal">
      <formula>"Napkin Hs"</formula>
    </cfRule>
  </conditionalFormatting>
  <conditionalFormatting sqref="C76">
    <cfRule type="cellIs" dxfId="5775" priority="7381" stopIfTrue="1" operator="equal">
      <formula>"Towel"</formula>
    </cfRule>
    <cfRule type="cellIs" dxfId="5774" priority="7382" stopIfTrue="1" operator="equal">
      <formula>"Napkin Hs"</formula>
    </cfRule>
  </conditionalFormatting>
  <conditionalFormatting sqref="C76">
    <cfRule type="cellIs" dxfId="5773" priority="7379" stopIfTrue="1" operator="equal">
      <formula>"Towel"</formula>
    </cfRule>
    <cfRule type="cellIs" dxfId="5772" priority="7380" stopIfTrue="1" operator="equal">
      <formula>"Napkin Hs"</formula>
    </cfRule>
  </conditionalFormatting>
  <conditionalFormatting sqref="C76">
    <cfRule type="cellIs" dxfId="5771" priority="7377" stopIfTrue="1" operator="equal">
      <formula>"Towel"</formula>
    </cfRule>
    <cfRule type="cellIs" dxfId="5770" priority="7378" stopIfTrue="1" operator="equal">
      <formula>"Napkin Hs"</formula>
    </cfRule>
  </conditionalFormatting>
  <conditionalFormatting sqref="C76">
    <cfRule type="cellIs" dxfId="5769" priority="7361" stopIfTrue="1" operator="equal">
      <formula>"Towel"</formula>
    </cfRule>
    <cfRule type="cellIs" dxfId="5768" priority="7362" stopIfTrue="1" operator="equal">
      <formula>"Napkin Hs"</formula>
    </cfRule>
  </conditionalFormatting>
  <conditionalFormatting sqref="C76">
    <cfRule type="cellIs" dxfId="5767" priority="7363" stopIfTrue="1" operator="equal">
      <formula>"Towel"</formula>
    </cfRule>
    <cfRule type="cellIs" dxfId="5766" priority="7364" stopIfTrue="1" operator="equal">
      <formula>"Napkin Hs"</formula>
    </cfRule>
  </conditionalFormatting>
  <conditionalFormatting sqref="C76">
    <cfRule type="cellIs" dxfId="5765" priority="7359" stopIfTrue="1" operator="equal">
      <formula>"Towel"</formula>
    </cfRule>
    <cfRule type="cellIs" dxfId="5764" priority="7360" stopIfTrue="1" operator="equal">
      <formula>"Napkin Hs"</formula>
    </cfRule>
  </conditionalFormatting>
  <conditionalFormatting sqref="C76">
    <cfRule type="cellIs" dxfId="5763" priority="7357" stopIfTrue="1" operator="equal">
      <formula>"Towel"</formula>
    </cfRule>
    <cfRule type="cellIs" dxfId="5762" priority="7358" stopIfTrue="1" operator="equal">
      <formula>"Napkin Hs"</formula>
    </cfRule>
  </conditionalFormatting>
  <conditionalFormatting sqref="C76">
    <cfRule type="cellIs" dxfId="5761" priority="7353" stopIfTrue="1" operator="equal">
      <formula>"Towel"</formula>
    </cfRule>
    <cfRule type="cellIs" dxfId="5760" priority="7354" stopIfTrue="1" operator="equal">
      <formula>"Napkin Hs"</formula>
    </cfRule>
  </conditionalFormatting>
  <conditionalFormatting sqref="C76">
    <cfRule type="cellIs" dxfId="5759" priority="7355" stopIfTrue="1" operator="equal">
      <formula>"Towel"</formula>
    </cfRule>
    <cfRule type="cellIs" dxfId="5758" priority="7356" stopIfTrue="1" operator="equal">
      <formula>"Napkin Hs"</formula>
    </cfRule>
  </conditionalFormatting>
  <conditionalFormatting sqref="C76">
    <cfRule type="cellIs" dxfId="5757" priority="7349" stopIfTrue="1" operator="equal">
      <formula>"Towel"</formula>
    </cfRule>
    <cfRule type="cellIs" dxfId="5756" priority="7350" stopIfTrue="1" operator="equal">
      <formula>"Napkin Hs"</formula>
    </cfRule>
  </conditionalFormatting>
  <conditionalFormatting sqref="C76">
    <cfRule type="cellIs" dxfId="5755" priority="7351" stopIfTrue="1" operator="equal">
      <formula>"Towel"</formula>
    </cfRule>
    <cfRule type="cellIs" dxfId="5754" priority="7352" stopIfTrue="1" operator="equal">
      <formula>"Napkin Hs"</formula>
    </cfRule>
  </conditionalFormatting>
  <conditionalFormatting sqref="C76">
    <cfRule type="cellIs" dxfId="5753" priority="7347" stopIfTrue="1" operator="equal">
      <formula>"Towel"</formula>
    </cfRule>
    <cfRule type="cellIs" dxfId="5752" priority="7348" stopIfTrue="1" operator="equal">
      <formula>"Napkin Hs"</formula>
    </cfRule>
  </conditionalFormatting>
  <conditionalFormatting sqref="C76">
    <cfRule type="cellIs" dxfId="5751" priority="7345" stopIfTrue="1" operator="equal">
      <formula>"Towel"</formula>
    </cfRule>
    <cfRule type="cellIs" dxfId="5750" priority="7346" stopIfTrue="1" operator="equal">
      <formula>"Napkin Hs"</formula>
    </cfRule>
  </conditionalFormatting>
  <conditionalFormatting sqref="C76">
    <cfRule type="cellIs" dxfId="5749" priority="7341" stopIfTrue="1" operator="equal">
      <formula>"Towel"</formula>
    </cfRule>
    <cfRule type="cellIs" dxfId="5748" priority="7342" stopIfTrue="1" operator="equal">
      <formula>"Napkin Hs"</formula>
    </cfRule>
  </conditionalFormatting>
  <conditionalFormatting sqref="C76">
    <cfRule type="cellIs" dxfId="5747" priority="7343" stopIfTrue="1" operator="equal">
      <formula>"Towel"</formula>
    </cfRule>
    <cfRule type="cellIs" dxfId="5746" priority="7344" stopIfTrue="1" operator="equal">
      <formula>"Napkin Hs"</formula>
    </cfRule>
  </conditionalFormatting>
  <conditionalFormatting sqref="B76">
    <cfRule type="cellIs" dxfId="5745" priority="7339" stopIfTrue="1" operator="equal">
      <formula>"Towel"</formula>
    </cfRule>
    <cfRule type="cellIs" dxfId="5744" priority="7340" stopIfTrue="1" operator="equal">
      <formula>"Napkin Hs"</formula>
    </cfRule>
  </conditionalFormatting>
  <conditionalFormatting sqref="B76">
    <cfRule type="cellIs" dxfId="5743" priority="7337" stopIfTrue="1" operator="equal">
      <formula>"Towel"</formula>
    </cfRule>
    <cfRule type="cellIs" dxfId="5742" priority="7338" stopIfTrue="1" operator="equal">
      <formula>"Napkin Hs"</formula>
    </cfRule>
  </conditionalFormatting>
  <conditionalFormatting sqref="B76">
    <cfRule type="cellIs" dxfId="5741" priority="7335" stopIfTrue="1" operator="equal">
      <formula>"Towel"</formula>
    </cfRule>
    <cfRule type="cellIs" dxfId="5740" priority="7336" stopIfTrue="1" operator="equal">
      <formula>"Napkin Hs"</formula>
    </cfRule>
  </conditionalFormatting>
  <conditionalFormatting sqref="B76">
    <cfRule type="cellIs" dxfId="5739" priority="7333" stopIfTrue="1" operator="equal">
      <formula>"Towel"</formula>
    </cfRule>
    <cfRule type="cellIs" dxfId="5738" priority="7334" stopIfTrue="1" operator="equal">
      <formula>"Napkin Hs"</formula>
    </cfRule>
  </conditionalFormatting>
  <conditionalFormatting sqref="B76">
    <cfRule type="cellIs" dxfId="5737" priority="7331" stopIfTrue="1" operator="equal">
      <formula>"Towel"</formula>
    </cfRule>
    <cfRule type="cellIs" dxfId="5736" priority="7332" stopIfTrue="1" operator="equal">
      <formula>"Napkin Hs"</formula>
    </cfRule>
  </conditionalFormatting>
  <conditionalFormatting sqref="B76">
    <cfRule type="cellIs" dxfId="5735" priority="7315" stopIfTrue="1" operator="equal">
      <formula>"Towel"</formula>
    </cfRule>
    <cfRule type="cellIs" dxfId="5734" priority="7316" stopIfTrue="1" operator="equal">
      <formula>"Napkin Hs"</formula>
    </cfRule>
  </conditionalFormatting>
  <conditionalFormatting sqref="B76">
    <cfRule type="cellIs" dxfId="5733" priority="7313" stopIfTrue="1" operator="equal">
      <formula>"Towel"</formula>
    </cfRule>
    <cfRule type="cellIs" dxfId="5732" priority="7314" stopIfTrue="1" operator="equal">
      <formula>"Napkin Hs"</formula>
    </cfRule>
  </conditionalFormatting>
  <conditionalFormatting sqref="B76">
    <cfRule type="cellIs" dxfId="5731" priority="7329" stopIfTrue="1" operator="equal">
      <formula>"Towel"</formula>
    </cfRule>
    <cfRule type="cellIs" dxfId="5730" priority="7330" stopIfTrue="1" operator="equal">
      <formula>"Napkin Hs"</formula>
    </cfRule>
  </conditionalFormatting>
  <conditionalFormatting sqref="B76">
    <cfRule type="cellIs" dxfId="5729" priority="7325" stopIfTrue="1" operator="equal">
      <formula>"Towel"</formula>
    </cfRule>
    <cfRule type="cellIs" dxfId="5728" priority="7326" stopIfTrue="1" operator="equal">
      <formula>"Napkin Hs"</formula>
    </cfRule>
  </conditionalFormatting>
  <conditionalFormatting sqref="B76">
    <cfRule type="cellIs" dxfId="5727" priority="7327" stopIfTrue="1" operator="equal">
      <formula>"Towel"</formula>
    </cfRule>
    <cfRule type="cellIs" dxfId="5726" priority="7328" stopIfTrue="1" operator="equal">
      <formula>"Napkin Hs"</formula>
    </cfRule>
  </conditionalFormatting>
  <conditionalFormatting sqref="B76">
    <cfRule type="cellIs" dxfId="5725" priority="7321" stopIfTrue="1" operator="equal">
      <formula>"Towel"</formula>
    </cfRule>
    <cfRule type="cellIs" dxfId="5724" priority="7322" stopIfTrue="1" operator="equal">
      <formula>"Napkin Hs"</formula>
    </cfRule>
  </conditionalFormatting>
  <conditionalFormatting sqref="B76">
    <cfRule type="cellIs" dxfId="5723" priority="7323" stopIfTrue="1" operator="equal">
      <formula>"Towel"</formula>
    </cfRule>
    <cfRule type="cellIs" dxfId="5722" priority="7324" stopIfTrue="1" operator="equal">
      <formula>"Napkin Hs"</formula>
    </cfRule>
  </conditionalFormatting>
  <conditionalFormatting sqref="B76">
    <cfRule type="cellIs" dxfId="5721" priority="7319" stopIfTrue="1" operator="equal">
      <formula>"Towel"</formula>
    </cfRule>
    <cfRule type="cellIs" dxfId="5720" priority="7320" stopIfTrue="1" operator="equal">
      <formula>"Napkin Hs"</formula>
    </cfRule>
  </conditionalFormatting>
  <conditionalFormatting sqref="B76">
    <cfRule type="cellIs" dxfId="5719" priority="7317" stopIfTrue="1" operator="equal">
      <formula>"Towel"</formula>
    </cfRule>
    <cfRule type="cellIs" dxfId="5718" priority="7318" stopIfTrue="1" operator="equal">
      <formula>"Napkin Hs"</formula>
    </cfRule>
  </conditionalFormatting>
  <conditionalFormatting sqref="B76">
    <cfRule type="cellIs" dxfId="5717" priority="7311" stopIfTrue="1" operator="equal">
      <formula>"Towel"</formula>
    </cfRule>
    <cfRule type="cellIs" dxfId="5716" priority="7312" stopIfTrue="1" operator="equal">
      <formula>"Napkin Hs"</formula>
    </cfRule>
  </conditionalFormatting>
  <conditionalFormatting sqref="B76">
    <cfRule type="cellIs" dxfId="5715" priority="7309" stopIfTrue="1" operator="equal">
      <formula>"Towel"</formula>
    </cfRule>
    <cfRule type="cellIs" dxfId="5714" priority="7310" stopIfTrue="1" operator="equal">
      <formula>"Napkin Hs"</formula>
    </cfRule>
  </conditionalFormatting>
  <conditionalFormatting sqref="B76">
    <cfRule type="cellIs" dxfId="5713" priority="7307" stopIfTrue="1" operator="equal">
      <formula>"Towel"</formula>
    </cfRule>
    <cfRule type="cellIs" dxfId="5712" priority="7308" stopIfTrue="1" operator="equal">
      <formula>"Napkin Hs"</formula>
    </cfRule>
  </conditionalFormatting>
  <conditionalFormatting sqref="B76">
    <cfRule type="cellIs" dxfId="5711" priority="7305" stopIfTrue="1" operator="equal">
      <formula>"Towel"</formula>
    </cfRule>
    <cfRule type="cellIs" dxfId="5710" priority="7306" stopIfTrue="1" operator="equal">
      <formula>"Napkin Hs"</formula>
    </cfRule>
  </conditionalFormatting>
  <conditionalFormatting sqref="C74">
    <cfRule type="cellIs" dxfId="5709" priority="7297" stopIfTrue="1" operator="equal">
      <formula>"Towel"</formula>
    </cfRule>
    <cfRule type="cellIs" dxfId="5708" priority="7298" stopIfTrue="1" operator="equal">
      <formula>"Napkin Hs"</formula>
    </cfRule>
  </conditionalFormatting>
  <conditionalFormatting sqref="C74">
    <cfRule type="cellIs" dxfId="5707" priority="7299" stopIfTrue="1" operator="equal">
      <formula>"Towel"</formula>
    </cfRule>
    <cfRule type="cellIs" dxfId="5706" priority="7300" stopIfTrue="1" operator="equal">
      <formula>"Napkin Hs"</formula>
    </cfRule>
  </conditionalFormatting>
  <conditionalFormatting sqref="C74">
    <cfRule type="cellIs" dxfId="5705" priority="7295" stopIfTrue="1" operator="equal">
      <formula>"Towel"</formula>
    </cfRule>
    <cfRule type="cellIs" dxfId="5704" priority="7296" stopIfTrue="1" operator="equal">
      <formula>"Napkin Hs"</formula>
    </cfRule>
  </conditionalFormatting>
  <conditionalFormatting sqref="C74">
    <cfRule type="cellIs" dxfId="5703" priority="7293" stopIfTrue="1" operator="equal">
      <formula>"Towel"</formula>
    </cfRule>
    <cfRule type="cellIs" dxfId="5702" priority="7294" stopIfTrue="1" operator="equal">
      <formula>"Napkin Hs"</formula>
    </cfRule>
  </conditionalFormatting>
  <conditionalFormatting sqref="C74">
    <cfRule type="cellIs" dxfId="5701" priority="7301" stopIfTrue="1" operator="equal">
      <formula>"Towel"</formula>
    </cfRule>
    <cfRule type="cellIs" dxfId="5700" priority="7302" stopIfTrue="1" operator="equal">
      <formula>"Napkin Hs"</formula>
    </cfRule>
  </conditionalFormatting>
  <conditionalFormatting sqref="C74">
    <cfRule type="cellIs" dxfId="5699" priority="7303" stopIfTrue="1" operator="equal">
      <formula>"Towel"</formula>
    </cfRule>
    <cfRule type="cellIs" dxfId="5698" priority="7304" stopIfTrue="1" operator="equal">
      <formula>"Napkin Hs"</formula>
    </cfRule>
  </conditionalFormatting>
  <conditionalFormatting sqref="C74">
    <cfRule type="cellIs" dxfId="5697" priority="7289" stopIfTrue="1" operator="equal">
      <formula>"Towel"</formula>
    </cfRule>
    <cfRule type="cellIs" dxfId="5696" priority="7290" stopIfTrue="1" operator="equal">
      <formula>"Napkin Hs"</formula>
    </cfRule>
  </conditionalFormatting>
  <conditionalFormatting sqref="C74">
    <cfRule type="cellIs" dxfId="5695" priority="7291" stopIfTrue="1" operator="equal">
      <formula>"Towel"</formula>
    </cfRule>
    <cfRule type="cellIs" dxfId="5694" priority="7292" stopIfTrue="1" operator="equal">
      <formula>"Napkin Hs"</formula>
    </cfRule>
  </conditionalFormatting>
  <conditionalFormatting sqref="C74">
    <cfRule type="cellIs" dxfId="5693" priority="7287" stopIfTrue="1" operator="equal">
      <formula>"Towel"</formula>
    </cfRule>
    <cfRule type="cellIs" dxfId="5692" priority="7288" stopIfTrue="1" operator="equal">
      <formula>"Napkin Hs"</formula>
    </cfRule>
  </conditionalFormatting>
  <conditionalFormatting sqref="C74">
    <cfRule type="cellIs" dxfId="5691" priority="7281" stopIfTrue="1" operator="equal">
      <formula>"Towel"</formula>
    </cfRule>
    <cfRule type="cellIs" dxfId="5690" priority="7282" stopIfTrue="1" operator="equal">
      <formula>"Napkin Hs"</formula>
    </cfRule>
  </conditionalFormatting>
  <conditionalFormatting sqref="C74">
    <cfRule type="cellIs" dxfId="5689" priority="7283" stopIfTrue="1" operator="equal">
      <formula>"Towel"</formula>
    </cfRule>
    <cfRule type="cellIs" dxfId="5688" priority="7284" stopIfTrue="1" operator="equal">
      <formula>"Napkin Hs"</formula>
    </cfRule>
  </conditionalFormatting>
  <conditionalFormatting sqref="C74">
    <cfRule type="cellIs" dxfId="5687" priority="7285" stopIfTrue="1" operator="equal">
      <formula>"Towel"</formula>
    </cfRule>
    <cfRule type="cellIs" dxfId="5686" priority="7286" stopIfTrue="1" operator="equal">
      <formula>"Napkin Hs"</formula>
    </cfRule>
  </conditionalFormatting>
  <conditionalFormatting sqref="C74">
    <cfRule type="cellIs" dxfId="5685" priority="7235" stopIfTrue="1" operator="equal">
      <formula>"Towel"</formula>
    </cfRule>
    <cfRule type="cellIs" dxfId="5684" priority="7236" stopIfTrue="1" operator="equal">
      <formula>"Napkin Hs"</formula>
    </cfRule>
  </conditionalFormatting>
  <conditionalFormatting sqref="C74">
    <cfRule type="cellIs" dxfId="5683" priority="7237" stopIfTrue="1" operator="equal">
      <formula>"Towel"</formula>
    </cfRule>
    <cfRule type="cellIs" dxfId="5682" priority="7238" stopIfTrue="1" operator="equal">
      <formula>"Napkin Hs"</formula>
    </cfRule>
  </conditionalFormatting>
  <conditionalFormatting sqref="C74">
    <cfRule type="cellIs" dxfId="5681" priority="7233" stopIfTrue="1" operator="equal">
      <formula>"Towel"</formula>
    </cfRule>
    <cfRule type="cellIs" dxfId="5680" priority="7234" stopIfTrue="1" operator="equal">
      <formula>"Napkin Hs"</formula>
    </cfRule>
  </conditionalFormatting>
  <conditionalFormatting sqref="C74">
    <cfRule type="cellIs" dxfId="5679" priority="7231" stopIfTrue="1" operator="equal">
      <formula>"Towel"</formula>
    </cfRule>
    <cfRule type="cellIs" dxfId="5678" priority="7232" stopIfTrue="1" operator="equal">
      <formula>"Napkin Hs"</formula>
    </cfRule>
  </conditionalFormatting>
  <conditionalFormatting sqref="C74">
    <cfRule type="cellIs" dxfId="5677" priority="7227" stopIfTrue="1" operator="equal">
      <formula>"Towel"</formula>
    </cfRule>
    <cfRule type="cellIs" dxfId="5676" priority="7228" stopIfTrue="1" operator="equal">
      <formula>"Napkin Hs"</formula>
    </cfRule>
  </conditionalFormatting>
  <conditionalFormatting sqref="C74">
    <cfRule type="cellIs" dxfId="5675" priority="7229" stopIfTrue="1" operator="equal">
      <formula>"Towel"</formula>
    </cfRule>
    <cfRule type="cellIs" dxfId="5674" priority="7230" stopIfTrue="1" operator="equal">
      <formula>"Napkin Hs"</formula>
    </cfRule>
  </conditionalFormatting>
  <conditionalFormatting sqref="C74">
    <cfRule type="cellIs" dxfId="5673" priority="7279" stopIfTrue="1" operator="equal">
      <formula>"Towel"</formula>
    </cfRule>
    <cfRule type="cellIs" dxfId="5672" priority="7280" stopIfTrue="1" operator="equal">
      <formula>"Napkin Hs"</formula>
    </cfRule>
  </conditionalFormatting>
  <conditionalFormatting sqref="C74">
    <cfRule type="cellIs" dxfId="5671" priority="7275" stopIfTrue="1" operator="equal">
      <formula>"Towel"</formula>
    </cfRule>
    <cfRule type="cellIs" dxfId="5670" priority="7276" stopIfTrue="1" operator="equal">
      <formula>"Napkin Hs"</formula>
    </cfRule>
  </conditionalFormatting>
  <conditionalFormatting sqref="C74">
    <cfRule type="cellIs" dxfId="5669" priority="7278" stopIfTrue="1" operator="equal">
      <formula>"Napkin Hs"</formula>
    </cfRule>
  </conditionalFormatting>
  <conditionalFormatting sqref="C74">
    <cfRule type="cellIs" dxfId="5668" priority="7277" stopIfTrue="1" operator="equal">
      <formula>"Towel"</formula>
    </cfRule>
  </conditionalFormatting>
  <conditionalFormatting sqref="C74">
    <cfRule type="cellIs" dxfId="5667" priority="7269" stopIfTrue="1" operator="equal">
      <formula>"Towel"</formula>
    </cfRule>
    <cfRule type="cellIs" dxfId="5666" priority="7270" stopIfTrue="1" operator="equal">
      <formula>"Napkin Hs"</formula>
    </cfRule>
  </conditionalFormatting>
  <conditionalFormatting sqref="C74">
    <cfRule type="cellIs" dxfId="5665" priority="7273" stopIfTrue="1" operator="equal">
      <formula>"Towel"</formula>
    </cfRule>
    <cfRule type="cellIs" dxfId="5664" priority="7274" stopIfTrue="1" operator="equal">
      <formula>"Napkin Hs"</formula>
    </cfRule>
  </conditionalFormatting>
  <conditionalFormatting sqref="C74">
    <cfRule type="cellIs" dxfId="5663" priority="7271" stopIfTrue="1" operator="equal">
      <formula>"Towel"</formula>
    </cfRule>
    <cfRule type="cellIs" dxfId="5662" priority="7272" stopIfTrue="1" operator="equal">
      <formula>"Napkin Hs"</formula>
    </cfRule>
  </conditionalFormatting>
  <conditionalFormatting sqref="C74">
    <cfRule type="cellIs" dxfId="5661" priority="7263" stopIfTrue="1" operator="equal">
      <formula>"Towel"</formula>
    </cfRule>
    <cfRule type="cellIs" dxfId="5660" priority="7264" stopIfTrue="1" operator="equal">
      <formula>"Napkin Hs"</formula>
    </cfRule>
  </conditionalFormatting>
  <conditionalFormatting sqref="C74">
    <cfRule type="cellIs" dxfId="5659" priority="7265" stopIfTrue="1" operator="equal">
      <formula>"Towel"</formula>
    </cfRule>
    <cfRule type="cellIs" dxfId="5658" priority="7266" stopIfTrue="1" operator="equal">
      <formula>"Napkin Hs"</formula>
    </cfRule>
  </conditionalFormatting>
  <conditionalFormatting sqref="C74">
    <cfRule type="cellIs" dxfId="5657" priority="7267" stopIfTrue="1" operator="equal">
      <formula>"Towel"</formula>
    </cfRule>
    <cfRule type="cellIs" dxfId="5656" priority="7268" stopIfTrue="1" operator="equal">
      <formula>"Napkin Hs"</formula>
    </cfRule>
  </conditionalFormatting>
  <conditionalFormatting sqref="C74">
    <cfRule type="cellIs" dxfId="5655" priority="7257" stopIfTrue="1" operator="equal">
      <formula>"Towel"</formula>
    </cfRule>
    <cfRule type="cellIs" dxfId="5654" priority="7258" stopIfTrue="1" operator="equal">
      <formula>"Napkin Hs"</formula>
    </cfRule>
  </conditionalFormatting>
  <conditionalFormatting sqref="C74">
    <cfRule type="cellIs" dxfId="5653" priority="7261" stopIfTrue="1" operator="equal">
      <formula>"Towel"</formula>
    </cfRule>
    <cfRule type="cellIs" dxfId="5652" priority="7262" stopIfTrue="1" operator="equal">
      <formula>"Napkin Hs"</formula>
    </cfRule>
  </conditionalFormatting>
  <conditionalFormatting sqref="C74">
    <cfRule type="cellIs" dxfId="5651" priority="7259" stopIfTrue="1" operator="equal">
      <formula>"Towel"</formula>
    </cfRule>
    <cfRule type="cellIs" dxfId="5650" priority="7260" stopIfTrue="1" operator="equal">
      <formula>"Napkin Hs"</formula>
    </cfRule>
  </conditionalFormatting>
  <conditionalFormatting sqref="C74">
    <cfRule type="cellIs" dxfId="5649" priority="7251" stopIfTrue="1" operator="equal">
      <formula>"Towel"</formula>
    </cfRule>
    <cfRule type="cellIs" dxfId="5648" priority="7252" stopIfTrue="1" operator="equal">
      <formula>"Napkin Hs"</formula>
    </cfRule>
  </conditionalFormatting>
  <conditionalFormatting sqref="C74">
    <cfRule type="cellIs" dxfId="5647" priority="7253" stopIfTrue="1" operator="equal">
      <formula>"Towel"</formula>
    </cfRule>
    <cfRule type="cellIs" dxfId="5646" priority="7254" stopIfTrue="1" operator="equal">
      <formula>"Napkin Hs"</formula>
    </cfRule>
  </conditionalFormatting>
  <conditionalFormatting sqref="C74">
    <cfRule type="cellIs" dxfId="5645" priority="7255" stopIfTrue="1" operator="equal">
      <formula>"Towel"</formula>
    </cfRule>
    <cfRule type="cellIs" dxfId="5644" priority="7256" stopIfTrue="1" operator="equal">
      <formula>"Napkin Hs"</formula>
    </cfRule>
  </conditionalFormatting>
  <conditionalFormatting sqref="C74">
    <cfRule type="cellIs" dxfId="5643" priority="7249" stopIfTrue="1" operator="equal">
      <formula>"Towel"</formula>
    </cfRule>
    <cfRule type="cellIs" dxfId="5642" priority="7250" stopIfTrue="1" operator="equal">
      <formula>"Napkin Hs"</formula>
    </cfRule>
  </conditionalFormatting>
  <conditionalFormatting sqref="C74">
    <cfRule type="cellIs" dxfId="5641" priority="7245" stopIfTrue="1" operator="equal">
      <formula>"Towel"</formula>
    </cfRule>
    <cfRule type="cellIs" dxfId="5640" priority="7246" stopIfTrue="1" operator="equal">
      <formula>"Napkin Hs"</formula>
    </cfRule>
  </conditionalFormatting>
  <conditionalFormatting sqref="C74">
    <cfRule type="cellIs" dxfId="5639" priority="7247" stopIfTrue="1" operator="equal">
      <formula>"Towel"</formula>
    </cfRule>
    <cfRule type="cellIs" dxfId="5638" priority="7248" stopIfTrue="1" operator="equal">
      <formula>"Napkin Hs"</formula>
    </cfRule>
  </conditionalFormatting>
  <conditionalFormatting sqref="C74">
    <cfRule type="cellIs" dxfId="5637" priority="7243" stopIfTrue="1" operator="equal">
      <formula>"Towel"</formula>
    </cfRule>
    <cfRule type="cellIs" dxfId="5636" priority="7244" stopIfTrue="1" operator="equal">
      <formula>"Napkin Hs"</formula>
    </cfRule>
  </conditionalFormatting>
  <conditionalFormatting sqref="C74">
    <cfRule type="cellIs" dxfId="5635" priority="7241" stopIfTrue="1" operator="equal">
      <formula>"Towel"</formula>
    </cfRule>
    <cfRule type="cellIs" dxfId="5634" priority="7242" stopIfTrue="1" operator="equal">
      <formula>"Napkin Hs"</formula>
    </cfRule>
  </conditionalFormatting>
  <conditionalFormatting sqref="C74">
    <cfRule type="cellIs" dxfId="5633" priority="7239" stopIfTrue="1" operator="equal">
      <formula>"Towel"</formula>
    </cfRule>
    <cfRule type="cellIs" dxfId="5632" priority="7240" stopIfTrue="1" operator="equal">
      <formula>"Napkin Hs"</formula>
    </cfRule>
  </conditionalFormatting>
  <conditionalFormatting sqref="C74">
    <cfRule type="cellIs" dxfId="5631" priority="7223" stopIfTrue="1" operator="equal">
      <formula>"Towel"</formula>
    </cfRule>
    <cfRule type="cellIs" dxfId="5630" priority="7224" stopIfTrue="1" operator="equal">
      <formula>"Napkin Hs"</formula>
    </cfRule>
  </conditionalFormatting>
  <conditionalFormatting sqref="C74">
    <cfRule type="cellIs" dxfId="5629" priority="7225" stopIfTrue="1" operator="equal">
      <formula>"Towel"</formula>
    </cfRule>
    <cfRule type="cellIs" dxfId="5628" priority="7226" stopIfTrue="1" operator="equal">
      <formula>"Napkin Hs"</formula>
    </cfRule>
  </conditionalFormatting>
  <conditionalFormatting sqref="C74">
    <cfRule type="cellIs" dxfId="5627" priority="7221" stopIfTrue="1" operator="equal">
      <formula>"Towel"</formula>
    </cfRule>
    <cfRule type="cellIs" dxfId="5626" priority="7222" stopIfTrue="1" operator="equal">
      <formula>"Napkin Hs"</formula>
    </cfRule>
  </conditionalFormatting>
  <conditionalFormatting sqref="C74">
    <cfRule type="cellIs" dxfId="5625" priority="7219" stopIfTrue="1" operator="equal">
      <formula>"Towel"</formula>
    </cfRule>
    <cfRule type="cellIs" dxfId="5624" priority="7220" stopIfTrue="1" operator="equal">
      <formula>"Napkin Hs"</formula>
    </cfRule>
  </conditionalFormatting>
  <conditionalFormatting sqref="C74">
    <cfRule type="cellIs" dxfId="5623" priority="7215" stopIfTrue="1" operator="equal">
      <formula>"Towel"</formula>
    </cfRule>
    <cfRule type="cellIs" dxfId="5622" priority="7216" stopIfTrue="1" operator="equal">
      <formula>"Napkin Hs"</formula>
    </cfRule>
  </conditionalFormatting>
  <conditionalFormatting sqref="C74">
    <cfRule type="cellIs" dxfId="5621" priority="7217" stopIfTrue="1" operator="equal">
      <formula>"Towel"</formula>
    </cfRule>
    <cfRule type="cellIs" dxfId="5620" priority="7218" stopIfTrue="1" operator="equal">
      <formula>"Napkin Hs"</formula>
    </cfRule>
  </conditionalFormatting>
  <conditionalFormatting sqref="C74">
    <cfRule type="cellIs" dxfId="5619" priority="7211" stopIfTrue="1" operator="equal">
      <formula>"Towel"</formula>
    </cfRule>
    <cfRule type="cellIs" dxfId="5618" priority="7212" stopIfTrue="1" operator="equal">
      <formula>"Napkin Hs"</formula>
    </cfRule>
  </conditionalFormatting>
  <conditionalFormatting sqref="C74">
    <cfRule type="cellIs" dxfId="5617" priority="7213" stopIfTrue="1" operator="equal">
      <formula>"Towel"</formula>
    </cfRule>
    <cfRule type="cellIs" dxfId="5616" priority="7214" stopIfTrue="1" operator="equal">
      <formula>"Napkin Hs"</formula>
    </cfRule>
  </conditionalFormatting>
  <conditionalFormatting sqref="C74">
    <cfRule type="cellIs" dxfId="5615" priority="7209" stopIfTrue="1" operator="equal">
      <formula>"Towel"</formula>
    </cfRule>
    <cfRule type="cellIs" dxfId="5614" priority="7210" stopIfTrue="1" operator="equal">
      <formula>"Napkin Hs"</formula>
    </cfRule>
  </conditionalFormatting>
  <conditionalFormatting sqref="C74">
    <cfRule type="cellIs" dxfId="5613" priority="7207" stopIfTrue="1" operator="equal">
      <formula>"Towel"</formula>
    </cfRule>
    <cfRule type="cellIs" dxfId="5612" priority="7208" stopIfTrue="1" operator="equal">
      <formula>"Napkin Hs"</formula>
    </cfRule>
  </conditionalFormatting>
  <conditionalFormatting sqref="C74">
    <cfRule type="cellIs" dxfId="5611" priority="7203" stopIfTrue="1" operator="equal">
      <formula>"Towel"</formula>
    </cfRule>
    <cfRule type="cellIs" dxfId="5610" priority="7204" stopIfTrue="1" operator="equal">
      <formula>"Napkin Hs"</formula>
    </cfRule>
  </conditionalFormatting>
  <conditionalFormatting sqref="C74">
    <cfRule type="cellIs" dxfId="5609" priority="7205" stopIfTrue="1" operator="equal">
      <formula>"Towel"</formula>
    </cfRule>
    <cfRule type="cellIs" dxfId="5608" priority="7206" stopIfTrue="1" operator="equal">
      <formula>"Napkin Hs"</formula>
    </cfRule>
  </conditionalFormatting>
  <conditionalFormatting sqref="B74">
    <cfRule type="cellIs" dxfId="5607" priority="7201" stopIfTrue="1" operator="equal">
      <formula>"Towel"</formula>
    </cfRule>
    <cfRule type="cellIs" dxfId="5606" priority="7202" stopIfTrue="1" operator="equal">
      <formula>"Napkin Hs"</formula>
    </cfRule>
  </conditionalFormatting>
  <conditionalFormatting sqref="B74">
    <cfRule type="cellIs" dxfId="5605" priority="7185" stopIfTrue="1" operator="equal">
      <formula>"Towel"</formula>
    </cfRule>
    <cfRule type="cellIs" dxfId="5604" priority="7186" stopIfTrue="1" operator="equal">
      <formula>"Napkin Hs"</formula>
    </cfRule>
  </conditionalFormatting>
  <conditionalFormatting sqref="B74">
    <cfRule type="cellIs" dxfId="5603" priority="7183" stopIfTrue="1" operator="equal">
      <formula>"Towel"</formula>
    </cfRule>
    <cfRule type="cellIs" dxfId="5602" priority="7184" stopIfTrue="1" operator="equal">
      <formula>"Napkin Hs"</formula>
    </cfRule>
  </conditionalFormatting>
  <conditionalFormatting sqref="B74">
    <cfRule type="cellIs" dxfId="5601" priority="7199" stopIfTrue="1" operator="equal">
      <formula>"Towel"</formula>
    </cfRule>
    <cfRule type="cellIs" dxfId="5600" priority="7200" stopIfTrue="1" operator="equal">
      <formula>"Napkin Hs"</formula>
    </cfRule>
  </conditionalFormatting>
  <conditionalFormatting sqref="B74">
    <cfRule type="cellIs" dxfId="5599" priority="7195" stopIfTrue="1" operator="equal">
      <formula>"Towel"</formula>
    </cfRule>
    <cfRule type="cellIs" dxfId="5598" priority="7196" stopIfTrue="1" operator="equal">
      <formula>"Napkin Hs"</formula>
    </cfRule>
  </conditionalFormatting>
  <conditionalFormatting sqref="B74">
    <cfRule type="cellIs" dxfId="5597" priority="7197" stopIfTrue="1" operator="equal">
      <formula>"Towel"</formula>
    </cfRule>
    <cfRule type="cellIs" dxfId="5596" priority="7198" stopIfTrue="1" operator="equal">
      <formula>"Napkin Hs"</formula>
    </cfRule>
  </conditionalFormatting>
  <conditionalFormatting sqref="B74">
    <cfRule type="cellIs" dxfId="5595" priority="7191" stopIfTrue="1" operator="equal">
      <formula>"Towel"</formula>
    </cfRule>
    <cfRule type="cellIs" dxfId="5594" priority="7192" stopIfTrue="1" operator="equal">
      <formula>"Napkin Hs"</formula>
    </cfRule>
  </conditionalFormatting>
  <conditionalFormatting sqref="B74">
    <cfRule type="cellIs" dxfId="5593" priority="7193" stopIfTrue="1" operator="equal">
      <formula>"Towel"</formula>
    </cfRule>
    <cfRule type="cellIs" dxfId="5592" priority="7194" stopIfTrue="1" operator="equal">
      <formula>"Napkin Hs"</formula>
    </cfRule>
  </conditionalFormatting>
  <conditionalFormatting sqref="B74">
    <cfRule type="cellIs" dxfId="5591" priority="7189" stopIfTrue="1" operator="equal">
      <formula>"Towel"</formula>
    </cfRule>
    <cfRule type="cellIs" dxfId="5590" priority="7190" stopIfTrue="1" operator="equal">
      <formula>"Napkin Hs"</formula>
    </cfRule>
  </conditionalFormatting>
  <conditionalFormatting sqref="B74">
    <cfRule type="cellIs" dxfId="5589" priority="7187" stopIfTrue="1" operator="equal">
      <formula>"Towel"</formula>
    </cfRule>
    <cfRule type="cellIs" dxfId="5588" priority="7188" stopIfTrue="1" operator="equal">
      <formula>"Napkin Hs"</formula>
    </cfRule>
  </conditionalFormatting>
  <conditionalFormatting sqref="B74">
    <cfRule type="cellIs" dxfId="5587" priority="7181" stopIfTrue="1" operator="equal">
      <formula>"Towel"</formula>
    </cfRule>
    <cfRule type="cellIs" dxfId="5586" priority="7182" stopIfTrue="1" operator="equal">
      <formula>"Napkin Hs"</formula>
    </cfRule>
  </conditionalFormatting>
  <conditionalFormatting sqref="B74">
    <cfRule type="cellIs" dxfId="5585" priority="7179" stopIfTrue="1" operator="equal">
      <formula>"Towel"</formula>
    </cfRule>
    <cfRule type="cellIs" dxfId="5584" priority="7180" stopIfTrue="1" operator="equal">
      <formula>"Napkin Hs"</formula>
    </cfRule>
  </conditionalFormatting>
  <conditionalFormatting sqref="B74">
    <cfRule type="cellIs" dxfId="5583" priority="7177" stopIfTrue="1" operator="equal">
      <formula>"Towel"</formula>
    </cfRule>
    <cfRule type="cellIs" dxfId="5582" priority="7178" stopIfTrue="1" operator="equal">
      <formula>"Napkin Hs"</formula>
    </cfRule>
  </conditionalFormatting>
  <conditionalFormatting sqref="B74">
    <cfRule type="cellIs" dxfId="5581" priority="7175" stopIfTrue="1" operator="equal">
      <formula>"Towel"</formula>
    </cfRule>
    <cfRule type="cellIs" dxfId="5580" priority="7176" stopIfTrue="1" operator="equal">
      <formula>"Napkin Hs"</formula>
    </cfRule>
  </conditionalFormatting>
  <conditionalFormatting sqref="C75">
    <cfRule type="cellIs" dxfId="5579" priority="7171" stopIfTrue="1" operator="equal">
      <formula>"Towel"</formula>
    </cfRule>
    <cfRule type="cellIs" dxfId="5578" priority="7172" stopIfTrue="1" operator="equal">
      <formula>"Napkin Hs"</formula>
    </cfRule>
  </conditionalFormatting>
  <conditionalFormatting sqref="C75">
    <cfRule type="cellIs" dxfId="5577" priority="7173" stopIfTrue="1" operator="equal">
      <formula>"Towel"</formula>
    </cfRule>
    <cfRule type="cellIs" dxfId="5576" priority="7174" stopIfTrue="1" operator="equal">
      <formula>"Napkin Hs"</formula>
    </cfRule>
  </conditionalFormatting>
  <conditionalFormatting sqref="C75">
    <cfRule type="cellIs" dxfId="5575" priority="7169" stopIfTrue="1" operator="equal">
      <formula>"Towel"</formula>
    </cfRule>
    <cfRule type="cellIs" dxfId="5574" priority="7170" stopIfTrue="1" operator="equal">
      <formula>"Napkin Hs"</formula>
    </cfRule>
  </conditionalFormatting>
  <conditionalFormatting sqref="C75">
    <cfRule type="cellIs" dxfId="5573" priority="7163" stopIfTrue="1" operator="equal">
      <formula>"Towel"</formula>
    </cfRule>
    <cfRule type="cellIs" dxfId="5572" priority="7164" stopIfTrue="1" operator="equal">
      <formula>"Napkin Hs"</formula>
    </cfRule>
  </conditionalFormatting>
  <conditionalFormatting sqref="C75">
    <cfRule type="cellIs" dxfId="5571" priority="7165" stopIfTrue="1" operator="equal">
      <formula>"Towel"</formula>
    </cfRule>
    <cfRule type="cellIs" dxfId="5570" priority="7166" stopIfTrue="1" operator="equal">
      <formula>"Napkin Hs"</formula>
    </cfRule>
  </conditionalFormatting>
  <conditionalFormatting sqref="C75">
    <cfRule type="cellIs" dxfId="5569" priority="7167" stopIfTrue="1" operator="equal">
      <formula>"Towel"</formula>
    </cfRule>
    <cfRule type="cellIs" dxfId="5568" priority="7168" stopIfTrue="1" operator="equal">
      <formula>"Napkin Hs"</formula>
    </cfRule>
  </conditionalFormatting>
  <conditionalFormatting sqref="C75">
    <cfRule type="cellIs" dxfId="5567" priority="7117" stopIfTrue="1" operator="equal">
      <formula>"Towel"</formula>
    </cfRule>
    <cfRule type="cellIs" dxfId="5566" priority="7118" stopIfTrue="1" operator="equal">
      <formula>"Napkin Hs"</formula>
    </cfRule>
  </conditionalFormatting>
  <conditionalFormatting sqref="C75">
    <cfRule type="cellIs" dxfId="5565" priority="7119" stopIfTrue="1" operator="equal">
      <formula>"Towel"</formula>
    </cfRule>
    <cfRule type="cellIs" dxfId="5564" priority="7120" stopIfTrue="1" operator="equal">
      <formula>"Napkin Hs"</formula>
    </cfRule>
  </conditionalFormatting>
  <conditionalFormatting sqref="C75">
    <cfRule type="cellIs" dxfId="5563" priority="7115" stopIfTrue="1" operator="equal">
      <formula>"Towel"</formula>
    </cfRule>
    <cfRule type="cellIs" dxfId="5562" priority="7116" stopIfTrue="1" operator="equal">
      <formula>"Napkin Hs"</formula>
    </cfRule>
  </conditionalFormatting>
  <conditionalFormatting sqref="C75">
    <cfRule type="cellIs" dxfId="5561" priority="7113" stopIfTrue="1" operator="equal">
      <formula>"Towel"</formula>
    </cfRule>
    <cfRule type="cellIs" dxfId="5560" priority="7114" stopIfTrue="1" operator="equal">
      <formula>"Napkin Hs"</formula>
    </cfRule>
  </conditionalFormatting>
  <conditionalFormatting sqref="C75">
    <cfRule type="cellIs" dxfId="5559" priority="7109" stopIfTrue="1" operator="equal">
      <formula>"Towel"</formula>
    </cfRule>
    <cfRule type="cellIs" dxfId="5558" priority="7110" stopIfTrue="1" operator="equal">
      <formula>"Napkin Hs"</formula>
    </cfRule>
  </conditionalFormatting>
  <conditionalFormatting sqref="C75">
    <cfRule type="cellIs" dxfId="5557" priority="7111" stopIfTrue="1" operator="equal">
      <formula>"Towel"</formula>
    </cfRule>
    <cfRule type="cellIs" dxfId="5556" priority="7112" stopIfTrue="1" operator="equal">
      <formula>"Napkin Hs"</formula>
    </cfRule>
  </conditionalFormatting>
  <conditionalFormatting sqref="C75">
    <cfRule type="cellIs" dxfId="5555" priority="7161" stopIfTrue="1" operator="equal">
      <formula>"Towel"</formula>
    </cfRule>
    <cfRule type="cellIs" dxfId="5554" priority="7162" stopIfTrue="1" operator="equal">
      <formula>"Napkin Hs"</formula>
    </cfRule>
  </conditionalFormatting>
  <conditionalFormatting sqref="C75">
    <cfRule type="cellIs" dxfId="5553" priority="7157" stopIfTrue="1" operator="equal">
      <formula>"Towel"</formula>
    </cfRule>
    <cfRule type="cellIs" dxfId="5552" priority="7158" stopIfTrue="1" operator="equal">
      <formula>"Napkin Hs"</formula>
    </cfRule>
  </conditionalFormatting>
  <conditionalFormatting sqref="C75">
    <cfRule type="cellIs" dxfId="5551" priority="7160" stopIfTrue="1" operator="equal">
      <formula>"Napkin Hs"</formula>
    </cfRule>
  </conditionalFormatting>
  <conditionalFormatting sqref="C75">
    <cfRule type="cellIs" dxfId="5550" priority="7159" stopIfTrue="1" operator="equal">
      <formula>"Towel"</formula>
    </cfRule>
  </conditionalFormatting>
  <conditionalFormatting sqref="C75">
    <cfRule type="cellIs" dxfId="5549" priority="7151" stopIfTrue="1" operator="equal">
      <formula>"Towel"</formula>
    </cfRule>
    <cfRule type="cellIs" dxfId="5548" priority="7152" stopIfTrue="1" operator="equal">
      <formula>"Napkin Hs"</formula>
    </cfRule>
  </conditionalFormatting>
  <conditionalFormatting sqref="C75">
    <cfRule type="cellIs" dxfId="5547" priority="7155" stopIfTrue="1" operator="equal">
      <formula>"Towel"</formula>
    </cfRule>
    <cfRule type="cellIs" dxfId="5546" priority="7156" stopIfTrue="1" operator="equal">
      <formula>"Napkin Hs"</formula>
    </cfRule>
  </conditionalFormatting>
  <conditionalFormatting sqref="C75">
    <cfRule type="cellIs" dxfId="5545" priority="7153" stopIfTrue="1" operator="equal">
      <formula>"Towel"</formula>
    </cfRule>
    <cfRule type="cellIs" dxfId="5544" priority="7154" stopIfTrue="1" operator="equal">
      <formula>"Napkin Hs"</formula>
    </cfRule>
  </conditionalFormatting>
  <conditionalFormatting sqref="C75">
    <cfRule type="cellIs" dxfId="5543" priority="7145" stopIfTrue="1" operator="equal">
      <formula>"Towel"</formula>
    </cfRule>
    <cfRule type="cellIs" dxfId="5542" priority="7146" stopIfTrue="1" operator="equal">
      <formula>"Napkin Hs"</formula>
    </cfRule>
  </conditionalFormatting>
  <conditionalFormatting sqref="C75">
    <cfRule type="cellIs" dxfId="5541" priority="7147" stopIfTrue="1" operator="equal">
      <formula>"Towel"</formula>
    </cfRule>
    <cfRule type="cellIs" dxfId="5540" priority="7148" stopIfTrue="1" operator="equal">
      <formula>"Napkin Hs"</formula>
    </cfRule>
  </conditionalFormatting>
  <conditionalFormatting sqref="C75">
    <cfRule type="cellIs" dxfId="5539" priority="7149" stopIfTrue="1" operator="equal">
      <formula>"Towel"</formula>
    </cfRule>
    <cfRule type="cellIs" dxfId="5538" priority="7150" stopIfTrue="1" operator="equal">
      <formula>"Napkin Hs"</formula>
    </cfRule>
  </conditionalFormatting>
  <conditionalFormatting sqref="C75">
    <cfRule type="cellIs" dxfId="5537" priority="7139" stopIfTrue="1" operator="equal">
      <formula>"Towel"</formula>
    </cfRule>
    <cfRule type="cellIs" dxfId="5536" priority="7140" stopIfTrue="1" operator="equal">
      <formula>"Napkin Hs"</formula>
    </cfRule>
  </conditionalFormatting>
  <conditionalFormatting sqref="C75">
    <cfRule type="cellIs" dxfId="5535" priority="7143" stopIfTrue="1" operator="equal">
      <formula>"Towel"</formula>
    </cfRule>
    <cfRule type="cellIs" dxfId="5534" priority="7144" stopIfTrue="1" operator="equal">
      <formula>"Napkin Hs"</formula>
    </cfRule>
  </conditionalFormatting>
  <conditionalFormatting sqref="C75">
    <cfRule type="cellIs" dxfId="5533" priority="7141" stopIfTrue="1" operator="equal">
      <formula>"Towel"</formula>
    </cfRule>
    <cfRule type="cellIs" dxfId="5532" priority="7142" stopIfTrue="1" operator="equal">
      <formula>"Napkin Hs"</formula>
    </cfRule>
  </conditionalFormatting>
  <conditionalFormatting sqref="C75">
    <cfRule type="cellIs" dxfId="5531" priority="7133" stopIfTrue="1" operator="equal">
      <formula>"Towel"</formula>
    </cfRule>
    <cfRule type="cellIs" dxfId="5530" priority="7134" stopIfTrue="1" operator="equal">
      <formula>"Napkin Hs"</formula>
    </cfRule>
  </conditionalFormatting>
  <conditionalFormatting sqref="C75">
    <cfRule type="cellIs" dxfId="5529" priority="7135" stopIfTrue="1" operator="equal">
      <formula>"Towel"</formula>
    </cfRule>
    <cfRule type="cellIs" dxfId="5528" priority="7136" stopIfTrue="1" operator="equal">
      <formula>"Napkin Hs"</formula>
    </cfRule>
  </conditionalFormatting>
  <conditionalFormatting sqref="C75">
    <cfRule type="cellIs" dxfId="5527" priority="7137" stopIfTrue="1" operator="equal">
      <formula>"Towel"</formula>
    </cfRule>
    <cfRule type="cellIs" dxfId="5526" priority="7138" stopIfTrue="1" operator="equal">
      <formula>"Napkin Hs"</formula>
    </cfRule>
  </conditionalFormatting>
  <conditionalFormatting sqref="C75">
    <cfRule type="cellIs" dxfId="5525" priority="7131" stopIfTrue="1" operator="equal">
      <formula>"Towel"</formula>
    </cfRule>
    <cfRule type="cellIs" dxfId="5524" priority="7132" stopIfTrue="1" operator="equal">
      <formula>"Napkin Hs"</formula>
    </cfRule>
  </conditionalFormatting>
  <conditionalFormatting sqref="C75">
    <cfRule type="cellIs" dxfId="5523" priority="7127" stopIfTrue="1" operator="equal">
      <formula>"Towel"</formula>
    </cfRule>
    <cfRule type="cellIs" dxfId="5522" priority="7128" stopIfTrue="1" operator="equal">
      <formula>"Napkin Hs"</formula>
    </cfRule>
  </conditionalFormatting>
  <conditionalFormatting sqref="C75">
    <cfRule type="cellIs" dxfId="5521" priority="7129" stopIfTrue="1" operator="equal">
      <formula>"Towel"</formula>
    </cfRule>
    <cfRule type="cellIs" dxfId="5520" priority="7130" stopIfTrue="1" operator="equal">
      <formula>"Napkin Hs"</formula>
    </cfRule>
  </conditionalFormatting>
  <conditionalFormatting sqref="C75">
    <cfRule type="cellIs" dxfId="5519" priority="7125" stopIfTrue="1" operator="equal">
      <formula>"Towel"</formula>
    </cfRule>
    <cfRule type="cellIs" dxfId="5518" priority="7126" stopIfTrue="1" operator="equal">
      <formula>"Napkin Hs"</formula>
    </cfRule>
  </conditionalFormatting>
  <conditionalFormatting sqref="C75">
    <cfRule type="cellIs" dxfId="5517" priority="7123" stopIfTrue="1" operator="equal">
      <formula>"Towel"</formula>
    </cfRule>
    <cfRule type="cellIs" dxfId="5516" priority="7124" stopIfTrue="1" operator="equal">
      <formula>"Napkin Hs"</formula>
    </cfRule>
  </conditionalFormatting>
  <conditionalFormatting sqref="C75">
    <cfRule type="cellIs" dxfId="5515" priority="7121" stopIfTrue="1" operator="equal">
      <formula>"Towel"</formula>
    </cfRule>
    <cfRule type="cellIs" dxfId="5514" priority="7122" stopIfTrue="1" operator="equal">
      <formula>"Napkin Hs"</formula>
    </cfRule>
  </conditionalFormatting>
  <conditionalFormatting sqref="C75">
    <cfRule type="cellIs" dxfId="5513" priority="7105" stopIfTrue="1" operator="equal">
      <formula>"Towel"</formula>
    </cfRule>
    <cfRule type="cellIs" dxfId="5512" priority="7106" stopIfTrue="1" operator="equal">
      <formula>"Napkin Hs"</formula>
    </cfRule>
  </conditionalFormatting>
  <conditionalFormatting sqref="C75">
    <cfRule type="cellIs" dxfId="5511" priority="7107" stopIfTrue="1" operator="equal">
      <formula>"Towel"</formula>
    </cfRule>
    <cfRule type="cellIs" dxfId="5510" priority="7108" stopIfTrue="1" operator="equal">
      <formula>"Napkin Hs"</formula>
    </cfRule>
  </conditionalFormatting>
  <conditionalFormatting sqref="C75">
    <cfRule type="cellIs" dxfId="5509" priority="7103" stopIfTrue="1" operator="equal">
      <formula>"Towel"</formula>
    </cfRule>
    <cfRule type="cellIs" dxfId="5508" priority="7104" stopIfTrue="1" operator="equal">
      <formula>"Napkin Hs"</formula>
    </cfRule>
  </conditionalFormatting>
  <conditionalFormatting sqref="C75">
    <cfRule type="cellIs" dxfId="5507" priority="7101" stopIfTrue="1" operator="equal">
      <formula>"Towel"</formula>
    </cfRule>
    <cfRule type="cellIs" dxfId="5506" priority="7102" stopIfTrue="1" operator="equal">
      <formula>"Napkin Hs"</formula>
    </cfRule>
  </conditionalFormatting>
  <conditionalFormatting sqref="C75">
    <cfRule type="cellIs" dxfId="5505" priority="7097" stopIfTrue="1" operator="equal">
      <formula>"Towel"</formula>
    </cfRule>
    <cfRule type="cellIs" dxfId="5504" priority="7098" stopIfTrue="1" operator="equal">
      <formula>"Napkin Hs"</formula>
    </cfRule>
  </conditionalFormatting>
  <conditionalFormatting sqref="C75">
    <cfRule type="cellIs" dxfId="5503" priority="7099" stopIfTrue="1" operator="equal">
      <formula>"Towel"</formula>
    </cfRule>
    <cfRule type="cellIs" dxfId="5502" priority="7100" stopIfTrue="1" operator="equal">
      <formula>"Napkin Hs"</formula>
    </cfRule>
  </conditionalFormatting>
  <conditionalFormatting sqref="C75">
    <cfRule type="cellIs" dxfId="5501" priority="7093" stopIfTrue="1" operator="equal">
      <formula>"Towel"</formula>
    </cfRule>
    <cfRule type="cellIs" dxfId="5500" priority="7094" stopIfTrue="1" operator="equal">
      <formula>"Napkin Hs"</formula>
    </cfRule>
  </conditionalFormatting>
  <conditionalFormatting sqref="C75">
    <cfRule type="cellIs" dxfId="5499" priority="7095" stopIfTrue="1" operator="equal">
      <formula>"Towel"</formula>
    </cfRule>
    <cfRule type="cellIs" dxfId="5498" priority="7096" stopIfTrue="1" operator="equal">
      <formula>"Napkin Hs"</formula>
    </cfRule>
  </conditionalFormatting>
  <conditionalFormatting sqref="C75">
    <cfRule type="cellIs" dxfId="5497" priority="7091" stopIfTrue="1" operator="equal">
      <formula>"Towel"</formula>
    </cfRule>
    <cfRule type="cellIs" dxfId="5496" priority="7092" stopIfTrue="1" operator="equal">
      <formula>"Napkin Hs"</formula>
    </cfRule>
  </conditionalFormatting>
  <conditionalFormatting sqref="C75">
    <cfRule type="cellIs" dxfId="5495" priority="7089" stopIfTrue="1" operator="equal">
      <formula>"Towel"</formula>
    </cfRule>
    <cfRule type="cellIs" dxfId="5494" priority="7090" stopIfTrue="1" operator="equal">
      <formula>"Napkin Hs"</formula>
    </cfRule>
  </conditionalFormatting>
  <conditionalFormatting sqref="C75">
    <cfRule type="cellIs" dxfId="5493" priority="7085" stopIfTrue="1" operator="equal">
      <formula>"Towel"</formula>
    </cfRule>
    <cfRule type="cellIs" dxfId="5492" priority="7086" stopIfTrue="1" operator="equal">
      <formula>"Napkin Hs"</formula>
    </cfRule>
  </conditionalFormatting>
  <conditionalFormatting sqref="C75">
    <cfRule type="cellIs" dxfId="5491" priority="7087" stopIfTrue="1" operator="equal">
      <formula>"Towel"</formula>
    </cfRule>
    <cfRule type="cellIs" dxfId="5490" priority="7088" stopIfTrue="1" operator="equal">
      <formula>"Napkin Hs"</formula>
    </cfRule>
  </conditionalFormatting>
  <conditionalFormatting sqref="B75">
    <cfRule type="cellIs" dxfId="5489" priority="7083" stopIfTrue="1" operator="equal">
      <formula>"Towel"</formula>
    </cfRule>
    <cfRule type="cellIs" dxfId="5488" priority="7084" stopIfTrue="1" operator="equal">
      <formula>"Napkin Hs"</formula>
    </cfRule>
  </conditionalFormatting>
  <conditionalFormatting sqref="B75">
    <cfRule type="cellIs" dxfId="5487" priority="7067" stopIfTrue="1" operator="equal">
      <formula>"Towel"</formula>
    </cfRule>
    <cfRule type="cellIs" dxfId="5486" priority="7068" stopIfTrue="1" operator="equal">
      <formula>"Napkin Hs"</formula>
    </cfRule>
  </conditionalFormatting>
  <conditionalFormatting sqref="B75">
    <cfRule type="cellIs" dxfId="5485" priority="7065" stopIfTrue="1" operator="equal">
      <formula>"Towel"</formula>
    </cfRule>
    <cfRule type="cellIs" dxfId="5484" priority="7066" stopIfTrue="1" operator="equal">
      <formula>"Napkin Hs"</formula>
    </cfRule>
  </conditionalFormatting>
  <conditionalFormatting sqref="B75">
    <cfRule type="cellIs" dxfId="5483" priority="7081" stopIfTrue="1" operator="equal">
      <formula>"Towel"</formula>
    </cfRule>
    <cfRule type="cellIs" dxfId="5482" priority="7082" stopIfTrue="1" operator="equal">
      <formula>"Napkin Hs"</formula>
    </cfRule>
  </conditionalFormatting>
  <conditionalFormatting sqref="B75">
    <cfRule type="cellIs" dxfId="5481" priority="7077" stopIfTrue="1" operator="equal">
      <formula>"Towel"</formula>
    </cfRule>
    <cfRule type="cellIs" dxfId="5480" priority="7078" stopIfTrue="1" operator="equal">
      <formula>"Napkin Hs"</formula>
    </cfRule>
  </conditionalFormatting>
  <conditionalFormatting sqref="B75">
    <cfRule type="cellIs" dxfId="5479" priority="7079" stopIfTrue="1" operator="equal">
      <formula>"Towel"</formula>
    </cfRule>
    <cfRule type="cellIs" dxfId="5478" priority="7080" stopIfTrue="1" operator="equal">
      <formula>"Napkin Hs"</formula>
    </cfRule>
  </conditionalFormatting>
  <conditionalFormatting sqref="B75">
    <cfRule type="cellIs" dxfId="5477" priority="7073" stopIfTrue="1" operator="equal">
      <formula>"Towel"</formula>
    </cfRule>
    <cfRule type="cellIs" dxfId="5476" priority="7074" stopIfTrue="1" operator="equal">
      <formula>"Napkin Hs"</formula>
    </cfRule>
  </conditionalFormatting>
  <conditionalFormatting sqref="B75">
    <cfRule type="cellIs" dxfId="5475" priority="7075" stopIfTrue="1" operator="equal">
      <formula>"Towel"</formula>
    </cfRule>
    <cfRule type="cellIs" dxfId="5474" priority="7076" stopIfTrue="1" operator="equal">
      <formula>"Napkin Hs"</formula>
    </cfRule>
  </conditionalFormatting>
  <conditionalFormatting sqref="B75">
    <cfRule type="cellIs" dxfId="5473" priority="7071" stopIfTrue="1" operator="equal">
      <formula>"Towel"</formula>
    </cfRule>
    <cfRule type="cellIs" dxfId="5472" priority="7072" stopIfTrue="1" operator="equal">
      <formula>"Napkin Hs"</formula>
    </cfRule>
  </conditionalFormatting>
  <conditionalFormatting sqref="B75">
    <cfRule type="cellIs" dxfId="5471" priority="7069" stopIfTrue="1" operator="equal">
      <formula>"Towel"</formula>
    </cfRule>
    <cfRule type="cellIs" dxfId="5470" priority="7070" stopIfTrue="1" operator="equal">
      <formula>"Napkin Hs"</formula>
    </cfRule>
  </conditionalFormatting>
  <conditionalFormatting sqref="B75">
    <cfRule type="cellIs" dxfId="5469" priority="7063" stopIfTrue="1" operator="equal">
      <formula>"Towel"</formula>
    </cfRule>
    <cfRule type="cellIs" dxfId="5468" priority="7064" stopIfTrue="1" operator="equal">
      <formula>"Napkin Hs"</formula>
    </cfRule>
  </conditionalFormatting>
  <conditionalFormatting sqref="B75">
    <cfRule type="cellIs" dxfId="5467" priority="7061" stopIfTrue="1" operator="equal">
      <formula>"Towel"</formula>
    </cfRule>
    <cfRule type="cellIs" dxfId="5466" priority="7062" stopIfTrue="1" operator="equal">
      <formula>"Napkin Hs"</formula>
    </cfRule>
  </conditionalFormatting>
  <conditionalFormatting sqref="B75">
    <cfRule type="cellIs" dxfId="5465" priority="7059" stopIfTrue="1" operator="equal">
      <formula>"Towel"</formula>
    </cfRule>
    <cfRule type="cellIs" dxfId="5464" priority="7060" stopIfTrue="1" operator="equal">
      <formula>"Napkin Hs"</formula>
    </cfRule>
  </conditionalFormatting>
  <conditionalFormatting sqref="B75">
    <cfRule type="cellIs" dxfId="5463" priority="7057" stopIfTrue="1" operator="equal">
      <formula>"Towel"</formula>
    </cfRule>
    <cfRule type="cellIs" dxfId="5462" priority="7058" stopIfTrue="1" operator="equal">
      <formula>"Napkin Hs"</formula>
    </cfRule>
  </conditionalFormatting>
  <conditionalFormatting sqref="B82:C82">
    <cfRule type="cellIs" dxfId="5461" priority="7055" stopIfTrue="1" operator="equal">
      <formula>"Towel"</formula>
    </cfRule>
    <cfRule type="cellIs" dxfId="5460" priority="7056" stopIfTrue="1" operator="equal">
      <formula>"Napkin Hs"</formula>
    </cfRule>
  </conditionalFormatting>
  <conditionalFormatting sqref="C82">
    <cfRule type="cellIs" dxfId="5459" priority="7053" stopIfTrue="1" operator="equal">
      <formula>"Towel"</formula>
    </cfRule>
    <cfRule type="cellIs" dxfId="5458" priority="7054" stopIfTrue="1" operator="equal">
      <formula>"Napkin Hs"</formula>
    </cfRule>
  </conditionalFormatting>
  <conditionalFormatting sqref="C82">
    <cfRule type="cellIs" dxfId="5457" priority="7051" stopIfTrue="1" operator="equal">
      <formula>"Towel"</formula>
    </cfRule>
    <cfRule type="cellIs" dxfId="5456" priority="7052" stopIfTrue="1" operator="equal">
      <formula>"Napkin Hs"</formula>
    </cfRule>
  </conditionalFormatting>
  <conditionalFormatting sqref="C83">
    <cfRule type="cellIs" dxfId="5455" priority="7043" stopIfTrue="1" operator="equal">
      <formula>"Towel"</formula>
    </cfRule>
    <cfRule type="cellIs" dxfId="5454" priority="7044" stopIfTrue="1" operator="equal">
      <formula>"Napkin Hs"</formula>
    </cfRule>
  </conditionalFormatting>
  <conditionalFormatting sqref="B83:C83">
    <cfRule type="cellIs" dxfId="5453" priority="7045" stopIfTrue="1" operator="equal">
      <formula>"Towel"</formula>
    </cfRule>
    <cfRule type="cellIs" dxfId="5452" priority="7046" stopIfTrue="1" operator="equal">
      <formula>"Napkin Hs"</formula>
    </cfRule>
  </conditionalFormatting>
  <conditionalFormatting sqref="C83">
    <cfRule type="cellIs" dxfId="5451" priority="7041" stopIfTrue="1" operator="equal">
      <formula>"Towel"</formula>
    </cfRule>
    <cfRule type="cellIs" dxfId="5450" priority="7042" stopIfTrue="1" operator="equal">
      <formula>"Napkin Hs"</formula>
    </cfRule>
  </conditionalFormatting>
  <conditionalFormatting sqref="B83:C83">
    <cfRule type="cellIs" dxfId="5449" priority="7039" stopIfTrue="1" operator="equal">
      <formula>"Towel"</formula>
    </cfRule>
    <cfRule type="cellIs" dxfId="5448" priority="7040" stopIfTrue="1" operator="equal">
      <formula>"Napkin Hs"</formula>
    </cfRule>
  </conditionalFormatting>
  <conditionalFormatting sqref="C83">
    <cfRule type="cellIs" dxfId="5447" priority="7047" stopIfTrue="1" operator="equal">
      <formula>"Towel"</formula>
    </cfRule>
    <cfRule type="cellIs" dxfId="5446" priority="7048" stopIfTrue="1" operator="equal">
      <formula>"Napkin Hs"</formula>
    </cfRule>
  </conditionalFormatting>
  <conditionalFormatting sqref="C83">
    <cfRule type="cellIs" dxfId="5445" priority="7049" stopIfTrue="1" operator="equal">
      <formula>"Towel"</formula>
    </cfRule>
    <cfRule type="cellIs" dxfId="5444" priority="7050" stopIfTrue="1" operator="equal">
      <formula>"Napkin Hs"</formula>
    </cfRule>
  </conditionalFormatting>
  <conditionalFormatting sqref="B82:C82">
    <cfRule type="cellIs" dxfId="5443" priority="7037" stopIfTrue="1" operator="equal">
      <formula>"Towel"</formula>
    </cfRule>
    <cfRule type="cellIs" dxfId="5442" priority="7038" stopIfTrue="1" operator="equal">
      <formula>"Napkin Hs"</formula>
    </cfRule>
  </conditionalFormatting>
  <conditionalFormatting sqref="C82">
    <cfRule type="cellIs" dxfId="5441" priority="7033" stopIfTrue="1" operator="equal">
      <formula>"Towel"</formula>
    </cfRule>
    <cfRule type="cellIs" dxfId="5440" priority="7034" stopIfTrue="1" operator="equal">
      <formula>"Napkin Hs"</formula>
    </cfRule>
  </conditionalFormatting>
  <conditionalFormatting sqref="C82">
    <cfRule type="cellIs" dxfId="5439" priority="7035" stopIfTrue="1" operator="equal">
      <formula>"Towel"</formula>
    </cfRule>
    <cfRule type="cellIs" dxfId="5438" priority="7036" stopIfTrue="1" operator="equal">
      <formula>"Napkin Hs"</formula>
    </cfRule>
  </conditionalFormatting>
  <conditionalFormatting sqref="C83">
    <cfRule type="cellIs" dxfId="5437" priority="7025" stopIfTrue="1" operator="equal">
      <formula>"Towel"</formula>
    </cfRule>
    <cfRule type="cellIs" dxfId="5436" priority="7026" stopIfTrue="1" operator="equal">
      <formula>"Napkin Hs"</formula>
    </cfRule>
  </conditionalFormatting>
  <conditionalFormatting sqref="B83:C83">
    <cfRule type="cellIs" dxfId="5435" priority="7027" stopIfTrue="1" operator="equal">
      <formula>"Towel"</formula>
    </cfRule>
    <cfRule type="cellIs" dxfId="5434" priority="7028" stopIfTrue="1" operator="equal">
      <formula>"Napkin Hs"</formula>
    </cfRule>
  </conditionalFormatting>
  <conditionalFormatting sqref="C83">
    <cfRule type="cellIs" dxfId="5433" priority="7023" stopIfTrue="1" operator="equal">
      <formula>"Towel"</formula>
    </cfRule>
    <cfRule type="cellIs" dxfId="5432" priority="7024" stopIfTrue="1" operator="equal">
      <formula>"Napkin Hs"</formula>
    </cfRule>
  </conditionalFormatting>
  <conditionalFormatting sqref="B83:C83">
    <cfRule type="cellIs" dxfId="5431" priority="7021" stopIfTrue="1" operator="equal">
      <formula>"Towel"</formula>
    </cfRule>
    <cfRule type="cellIs" dxfId="5430" priority="7022" stopIfTrue="1" operator="equal">
      <formula>"Napkin Hs"</formula>
    </cfRule>
  </conditionalFormatting>
  <conditionalFormatting sqref="C83">
    <cfRule type="cellIs" dxfId="5429" priority="7029" stopIfTrue="1" operator="equal">
      <formula>"Towel"</formula>
    </cfRule>
    <cfRule type="cellIs" dxfId="5428" priority="7030" stopIfTrue="1" operator="equal">
      <formula>"Napkin Hs"</formula>
    </cfRule>
  </conditionalFormatting>
  <conditionalFormatting sqref="C83">
    <cfRule type="cellIs" dxfId="5427" priority="7031" stopIfTrue="1" operator="equal">
      <formula>"Towel"</formula>
    </cfRule>
    <cfRule type="cellIs" dxfId="5426" priority="7032" stopIfTrue="1" operator="equal">
      <formula>"Napkin Hs"</formula>
    </cfRule>
  </conditionalFormatting>
  <conditionalFormatting sqref="C79">
    <cfRule type="cellIs" dxfId="5425" priority="7017" stopIfTrue="1" operator="equal">
      <formula>"Towel"</formula>
    </cfRule>
    <cfRule type="cellIs" dxfId="5424" priority="7018" stopIfTrue="1" operator="equal">
      <formula>"Napkin Hs"</formula>
    </cfRule>
  </conditionalFormatting>
  <conditionalFormatting sqref="C79">
    <cfRule type="cellIs" dxfId="5423" priority="7019" stopIfTrue="1" operator="equal">
      <formula>"Towel"</formula>
    </cfRule>
    <cfRule type="cellIs" dxfId="5422" priority="7020" stopIfTrue="1" operator="equal">
      <formula>"Napkin Hs"</formula>
    </cfRule>
  </conditionalFormatting>
  <conditionalFormatting sqref="C79">
    <cfRule type="cellIs" dxfId="5421" priority="7015" stopIfTrue="1" operator="equal">
      <formula>"Towel"</formula>
    </cfRule>
    <cfRule type="cellIs" dxfId="5420" priority="7016" stopIfTrue="1" operator="equal">
      <formula>"Napkin Hs"</formula>
    </cfRule>
  </conditionalFormatting>
  <conditionalFormatting sqref="C79">
    <cfRule type="cellIs" dxfId="5419" priority="7009" stopIfTrue="1" operator="equal">
      <formula>"Towel"</formula>
    </cfRule>
    <cfRule type="cellIs" dxfId="5418" priority="7010" stopIfTrue="1" operator="equal">
      <formula>"Napkin Hs"</formula>
    </cfRule>
  </conditionalFormatting>
  <conditionalFormatting sqref="C79">
    <cfRule type="cellIs" dxfId="5417" priority="7011" stopIfTrue="1" operator="equal">
      <formula>"Towel"</formula>
    </cfRule>
    <cfRule type="cellIs" dxfId="5416" priority="7012" stopIfTrue="1" operator="equal">
      <formula>"Napkin Hs"</formula>
    </cfRule>
  </conditionalFormatting>
  <conditionalFormatting sqref="C79">
    <cfRule type="cellIs" dxfId="5415" priority="7013" stopIfTrue="1" operator="equal">
      <formula>"Towel"</formula>
    </cfRule>
    <cfRule type="cellIs" dxfId="5414" priority="7014" stopIfTrue="1" operator="equal">
      <formula>"Napkin Hs"</formula>
    </cfRule>
  </conditionalFormatting>
  <conditionalFormatting sqref="C79">
    <cfRule type="cellIs" dxfId="5413" priority="6963" stopIfTrue="1" operator="equal">
      <formula>"Towel"</formula>
    </cfRule>
    <cfRule type="cellIs" dxfId="5412" priority="6964" stopIfTrue="1" operator="equal">
      <formula>"Napkin Hs"</formula>
    </cfRule>
  </conditionalFormatting>
  <conditionalFormatting sqref="C79">
    <cfRule type="cellIs" dxfId="5411" priority="6965" stopIfTrue="1" operator="equal">
      <formula>"Towel"</formula>
    </cfRule>
    <cfRule type="cellIs" dxfId="5410" priority="6966" stopIfTrue="1" operator="equal">
      <formula>"Napkin Hs"</formula>
    </cfRule>
  </conditionalFormatting>
  <conditionalFormatting sqref="C79">
    <cfRule type="cellIs" dxfId="5409" priority="6961" stopIfTrue="1" operator="equal">
      <formula>"Towel"</formula>
    </cfRule>
    <cfRule type="cellIs" dxfId="5408" priority="6962" stopIfTrue="1" operator="equal">
      <formula>"Napkin Hs"</formula>
    </cfRule>
  </conditionalFormatting>
  <conditionalFormatting sqref="C79">
    <cfRule type="cellIs" dxfId="5407" priority="6959" stopIfTrue="1" operator="equal">
      <formula>"Towel"</formula>
    </cfRule>
    <cfRule type="cellIs" dxfId="5406" priority="6960" stopIfTrue="1" operator="equal">
      <formula>"Napkin Hs"</formula>
    </cfRule>
  </conditionalFormatting>
  <conditionalFormatting sqref="C79">
    <cfRule type="cellIs" dxfId="5405" priority="6955" stopIfTrue="1" operator="equal">
      <formula>"Towel"</formula>
    </cfRule>
    <cfRule type="cellIs" dxfId="5404" priority="6956" stopIfTrue="1" operator="equal">
      <formula>"Napkin Hs"</formula>
    </cfRule>
  </conditionalFormatting>
  <conditionalFormatting sqref="C79">
    <cfRule type="cellIs" dxfId="5403" priority="6957" stopIfTrue="1" operator="equal">
      <formula>"Towel"</formula>
    </cfRule>
    <cfRule type="cellIs" dxfId="5402" priority="6958" stopIfTrue="1" operator="equal">
      <formula>"Napkin Hs"</formula>
    </cfRule>
  </conditionalFormatting>
  <conditionalFormatting sqref="C79">
    <cfRule type="cellIs" dxfId="5401" priority="7007" stopIfTrue="1" operator="equal">
      <formula>"Towel"</formula>
    </cfRule>
    <cfRule type="cellIs" dxfId="5400" priority="7008" stopIfTrue="1" operator="equal">
      <formula>"Napkin Hs"</formula>
    </cfRule>
  </conditionalFormatting>
  <conditionalFormatting sqref="C79">
    <cfRule type="cellIs" dxfId="5399" priority="7003" stopIfTrue="1" operator="equal">
      <formula>"Towel"</formula>
    </cfRule>
    <cfRule type="cellIs" dxfId="5398" priority="7004" stopIfTrue="1" operator="equal">
      <formula>"Napkin Hs"</formula>
    </cfRule>
  </conditionalFormatting>
  <conditionalFormatting sqref="C79">
    <cfRule type="cellIs" dxfId="5397" priority="7006" stopIfTrue="1" operator="equal">
      <formula>"Napkin Hs"</formula>
    </cfRule>
  </conditionalFormatting>
  <conditionalFormatting sqref="C79">
    <cfRule type="cellIs" dxfId="5396" priority="7005" stopIfTrue="1" operator="equal">
      <formula>"Towel"</formula>
    </cfRule>
  </conditionalFormatting>
  <conditionalFormatting sqref="C79">
    <cfRule type="cellIs" dxfId="5395" priority="6997" stopIfTrue="1" operator="equal">
      <formula>"Towel"</formula>
    </cfRule>
    <cfRule type="cellIs" dxfId="5394" priority="6998" stopIfTrue="1" operator="equal">
      <formula>"Napkin Hs"</formula>
    </cfRule>
  </conditionalFormatting>
  <conditionalFormatting sqref="C79">
    <cfRule type="cellIs" dxfId="5393" priority="7001" stopIfTrue="1" operator="equal">
      <formula>"Towel"</formula>
    </cfRule>
    <cfRule type="cellIs" dxfId="5392" priority="7002" stopIfTrue="1" operator="equal">
      <formula>"Napkin Hs"</formula>
    </cfRule>
  </conditionalFormatting>
  <conditionalFormatting sqref="C79">
    <cfRule type="cellIs" dxfId="5391" priority="6999" stopIfTrue="1" operator="equal">
      <formula>"Towel"</formula>
    </cfRule>
    <cfRule type="cellIs" dxfId="5390" priority="7000" stopIfTrue="1" operator="equal">
      <formula>"Napkin Hs"</formula>
    </cfRule>
  </conditionalFormatting>
  <conditionalFormatting sqref="C79">
    <cfRule type="cellIs" dxfId="5389" priority="6991" stopIfTrue="1" operator="equal">
      <formula>"Towel"</formula>
    </cfRule>
    <cfRule type="cellIs" dxfId="5388" priority="6992" stopIfTrue="1" operator="equal">
      <formula>"Napkin Hs"</formula>
    </cfRule>
  </conditionalFormatting>
  <conditionalFormatting sqref="C79">
    <cfRule type="cellIs" dxfId="5387" priority="6993" stopIfTrue="1" operator="equal">
      <formula>"Towel"</formula>
    </cfRule>
    <cfRule type="cellIs" dxfId="5386" priority="6994" stopIfTrue="1" operator="equal">
      <formula>"Napkin Hs"</formula>
    </cfRule>
  </conditionalFormatting>
  <conditionalFormatting sqref="C79">
    <cfRule type="cellIs" dxfId="5385" priority="6995" stopIfTrue="1" operator="equal">
      <formula>"Towel"</formula>
    </cfRule>
    <cfRule type="cellIs" dxfId="5384" priority="6996" stopIfTrue="1" operator="equal">
      <formula>"Napkin Hs"</formula>
    </cfRule>
  </conditionalFormatting>
  <conditionalFormatting sqref="C79">
    <cfRule type="cellIs" dxfId="5383" priority="6985" stopIfTrue="1" operator="equal">
      <formula>"Towel"</formula>
    </cfRule>
    <cfRule type="cellIs" dxfId="5382" priority="6986" stopIfTrue="1" operator="equal">
      <formula>"Napkin Hs"</formula>
    </cfRule>
  </conditionalFormatting>
  <conditionalFormatting sqref="C79">
    <cfRule type="cellIs" dxfId="5381" priority="6989" stopIfTrue="1" operator="equal">
      <formula>"Towel"</formula>
    </cfRule>
    <cfRule type="cellIs" dxfId="5380" priority="6990" stopIfTrue="1" operator="equal">
      <formula>"Napkin Hs"</formula>
    </cfRule>
  </conditionalFormatting>
  <conditionalFormatting sqref="C79">
    <cfRule type="cellIs" dxfId="5379" priority="6987" stopIfTrue="1" operator="equal">
      <formula>"Towel"</formula>
    </cfRule>
    <cfRule type="cellIs" dxfId="5378" priority="6988" stopIfTrue="1" operator="equal">
      <formula>"Napkin Hs"</formula>
    </cfRule>
  </conditionalFormatting>
  <conditionalFormatting sqref="C79">
    <cfRule type="cellIs" dxfId="5377" priority="6979" stopIfTrue="1" operator="equal">
      <formula>"Towel"</formula>
    </cfRule>
    <cfRule type="cellIs" dxfId="5376" priority="6980" stopIfTrue="1" operator="equal">
      <formula>"Napkin Hs"</formula>
    </cfRule>
  </conditionalFormatting>
  <conditionalFormatting sqref="C79">
    <cfRule type="cellIs" dxfId="5375" priority="6981" stopIfTrue="1" operator="equal">
      <formula>"Towel"</formula>
    </cfRule>
    <cfRule type="cellIs" dxfId="5374" priority="6982" stopIfTrue="1" operator="equal">
      <formula>"Napkin Hs"</formula>
    </cfRule>
  </conditionalFormatting>
  <conditionalFormatting sqref="C79">
    <cfRule type="cellIs" dxfId="5373" priority="6983" stopIfTrue="1" operator="equal">
      <formula>"Towel"</formula>
    </cfRule>
    <cfRule type="cellIs" dxfId="5372" priority="6984" stopIfTrue="1" operator="equal">
      <formula>"Napkin Hs"</formula>
    </cfRule>
  </conditionalFormatting>
  <conditionalFormatting sqref="C79">
    <cfRule type="cellIs" dxfId="5371" priority="6977" stopIfTrue="1" operator="equal">
      <formula>"Towel"</formula>
    </cfRule>
    <cfRule type="cellIs" dxfId="5370" priority="6978" stopIfTrue="1" operator="equal">
      <formula>"Napkin Hs"</formula>
    </cfRule>
  </conditionalFormatting>
  <conditionalFormatting sqref="C79">
    <cfRule type="cellIs" dxfId="5369" priority="6973" stopIfTrue="1" operator="equal">
      <formula>"Towel"</formula>
    </cfRule>
    <cfRule type="cellIs" dxfId="5368" priority="6974" stopIfTrue="1" operator="equal">
      <formula>"Napkin Hs"</formula>
    </cfRule>
  </conditionalFormatting>
  <conditionalFormatting sqref="C79">
    <cfRule type="cellIs" dxfId="5367" priority="6975" stopIfTrue="1" operator="equal">
      <formula>"Towel"</formula>
    </cfRule>
    <cfRule type="cellIs" dxfId="5366" priority="6976" stopIfTrue="1" operator="equal">
      <formula>"Napkin Hs"</formula>
    </cfRule>
  </conditionalFormatting>
  <conditionalFormatting sqref="C79">
    <cfRule type="cellIs" dxfId="5365" priority="6971" stopIfTrue="1" operator="equal">
      <formula>"Towel"</formula>
    </cfRule>
    <cfRule type="cellIs" dxfId="5364" priority="6972" stopIfTrue="1" operator="equal">
      <formula>"Napkin Hs"</formula>
    </cfRule>
  </conditionalFormatting>
  <conditionalFormatting sqref="C79">
    <cfRule type="cellIs" dxfId="5363" priority="6969" stopIfTrue="1" operator="equal">
      <formula>"Towel"</formula>
    </cfRule>
    <cfRule type="cellIs" dxfId="5362" priority="6970" stopIfTrue="1" operator="equal">
      <formula>"Napkin Hs"</formula>
    </cfRule>
  </conditionalFormatting>
  <conditionalFormatting sqref="C79">
    <cfRule type="cellIs" dxfId="5361" priority="6967" stopIfTrue="1" operator="equal">
      <formula>"Towel"</formula>
    </cfRule>
    <cfRule type="cellIs" dxfId="5360" priority="6968" stopIfTrue="1" operator="equal">
      <formula>"Napkin Hs"</formula>
    </cfRule>
  </conditionalFormatting>
  <conditionalFormatting sqref="C79">
    <cfRule type="cellIs" dxfId="5359" priority="6951" stopIfTrue="1" operator="equal">
      <formula>"Towel"</formula>
    </cfRule>
    <cfRule type="cellIs" dxfId="5358" priority="6952" stopIfTrue="1" operator="equal">
      <formula>"Napkin Hs"</formula>
    </cfRule>
  </conditionalFormatting>
  <conditionalFormatting sqref="C79">
    <cfRule type="cellIs" dxfId="5357" priority="6953" stopIfTrue="1" operator="equal">
      <formula>"Towel"</formula>
    </cfRule>
    <cfRule type="cellIs" dxfId="5356" priority="6954" stopIfTrue="1" operator="equal">
      <formula>"Napkin Hs"</formula>
    </cfRule>
  </conditionalFormatting>
  <conditionalFormatting sqref="C79">
    <cfRule type="cellIs" dxfId="5355" priority="6949" stopIfTrue="1" operator="equal">
      <formula>"Towel"</formula>
    </cfRule>
    <cfRule type="cellIs" dxfId="5354" priority="6950" stopIfTrue="1" operator="equal">
      <formula>"Napkin Hs"</formula>
    </cfRule>
  </conditionalFormatting>
  <conditionalFormatting sqref="C79">
    <cfRule type="cellIs" dxfId="5353" priority="6947" stopIfTrue="1" operator="equal">
      <formula>"Towel"</formula>
    </cfRule>
    <cfRule type="cellIs" dxfId="5352" priority="6948" stopIfTrue="1" operator="equal">
      <formula>"Napkin Hs"</formula>
    </cfRule>
  </conditionalFormatting>
  <conditionalFormatting sqref="C79">
    <cfRule type="cellIs" dxfId="5351" priority="6943" stopIfTrue="1" operator="equal">
      <formula>"Towel"</formula>
    </cfRule>
    <cfRule type="cellIs" dxfId="5350" priority="6944" stopIfTrue="1" operator="equal">
      <formula>"Napkin Hs"</formula>
    </cfRule>
  </conditionalFormatting>
  <conditionalFormatting sqref="C79">
    <cfRule type="cellIs" dxfId="5349" priority="6945" stopIfTrue="1" operator="equal">
      <formula>"Towel"</formula>
    </cfRule>
    <cfRule type="cellIs" dxfId="5348" priority="6946" stopIfTrue="1" operator="equal">
      <formula>"Napkin Hs"</formula>
    </cfRule>
  </conditionalFormatting>
  <conditionalFormatting sqref="C79">
    <cfRule type="cellIs" dxfId="5347" priority="6939" stopIfTrue="1" operator="equal">
      <formula>"Towel"</formula>
    </cfRule>
    <cfRule type="cellIs" dxfId="5346" priority="6940" stopIfTrue="1" operator="equal">
      <formula>"Napkin Hs"</formula>
    </cfRule>
  </conditionalFormatting>
  <conditionalFormatting sqref="C79">
    <cfRule type="cellIs" dxfId="5345" priority="6941" stopIfTrue="1" operator="equal">
      <formula>"Towel"</formula>
    </cfRule>
    <cfRule type="cellIs" dxfId="5344" priority="6942" stopIfTrue="1" operator="equal">
      <formula>"Napkin Hs"</formula>
    </cfRule>
  </conditionalFormatting>
  <conditionalFormatting sqref="C79">
    <cfRule type="cellIs" dxfId="5343" priority="6937" stopIfTrue="1" operator="equal">
      <formula>"Towel"</formula>
    </cfRule>
    <cfRule type="cellIs" dxfId="5342" priority="6938" stopIfTrue="1" operator="equal">
      <formula>"Napkin Hs"</formula>
    </cfRule>
  </conditionalFormatting>
  <conditionalFormatting sqref="C79">
    <cfRule type="cellIs" dxfId="5341" priority="6935" stopIfTrue="1" operator="equal">
      <formula>"Towel"</formula>
    </cfRule>
    <cfRule type="cellIs" dxfId="5340" priority="6936" stopIfTrue="1" operator="equal">
      <formula>"Napkin Hs"</formula>
    </cfRule>
  </conditionalFormatting>
  <conditionalFormatting sqref="C79">
    <cfRule type="cellIs" dxfId="5339" priority="6931" stopIfTrue="1" operator="equal">
      <formula>"Towel"</formula>
    </cfRule>
    <cfRule type="cellIs" dxfId="5338" priority="6932" stopIfTrue="1" operator="equal">
      <formula>"Napkin Hs"</formula>
    </cfRule>
  </conditionalFormatting>
  <conditionalFormatting sqref="C79">
    <cfRule type="cellIs" dxfId="5337" priority="6933" stopIfTrue="1" operator="equal">
      <formula>"Towel"</formula>
    </cfRule>
    <cfRule type="cellIs" dxfId="5336" priority="6934" stopIfTrue="1" operator="equal">
      <formula>"Napkin Hs"</formula>
    </cfRule>
  </conditionalFormatting>
  <conditionalFormatting sqref="B79">
    <cfRule type="cellIs" dxfId="5335" priority="6929" stopIfTrue="1" operator="equal">
      <formula>"Towel"</formula>
    </cfRule>
    <cfRule type="cellIs" dxfId="5334" priority="6930" stopIfTrue="1" operator="equal">
      <formula>"Napkin Hs"</formula>
    </cfRule>
  </conditionalFormatting>
  <conditionalFormatting sqref="B79">
    <cfRule type="cellIs" dxfId="5333" priority="6913" stopIfTrue="1" operator="equal">
      <formula>"Towel"</formula>
    </cfRule>
    <cfRule type="cellIs" dxfId="5332" priority="6914" stopIfTrue="1" operator="equal">
      <formula>"Napkin Hs"</formula>
    </cfRule>
  </conditionalFormatting>
  <conditionalFormatting sqref="B79">
    <cfRule type="cellIs" dxfId="5331" priority="6911" stopIfTrue="1" operator="equal">
      <formula>"Towel"</formula>
    </cfRule>
    <cfRule type="cellIs" dxfId="5330" priority="6912" stopIfTrue="1" operator="equal">
      <formula>"Napkin Hs"</formula>
    </cfRule>
  </conditionalFormatting>
  <conditionalFormatting sqref="B79">
    <cfRule type="cellIs" dxfId="5329" priority="6927" stopIfTrue="1" operator="equal">
      <formula>"Towel"</formula>
    </cfRule>
    <cfRule type="cellIs" dxfId="5328" priority="6928" stopIfTrue="1" operator="equal">
      <formula>"Napkin Hs"</formula>
    </cfRule>
  </conditionalFormatting>
  <conditionalFormatting sqref="B79">
    <cfRule type="cellIs" dxfId="5327" priority="6923" stopIfTrue="1" operator="equal">
      <formula>"Towel"</formula>
    </cfRule>
    <cfRule type="cellIs" dxfId="5326" priority="6924" stopIfTrue="1" operator="equal">
      <formula>"Napkin Hs"</formula>
    </cfRule>
  </conditionalFormatting>
  <conditionalFormatting sqref="B79">
    <cfRule type="cellIs" dxfId="5325" priority="6925" stopIfTrue="1" operator="equal">
      <formula>"Towel"</formula>
    </cfRule>
    <cfRule type="cellIs" dxfId="5324" priority="6926" stopIfTrue="1" operator="equal">
      <formula>"Napkin Hs"</formula>
    </cfRule>
  </conditionalFormatting>
  <conditionalFormatting sqref="B79">
    <cfRule type="cellIs" dxfId="5323" priority="6919" stopIfTrue="1" operator="equal">
      <formula>"Towel"</formula>
    </cfRule>
    <cfRule type="cellIs" dxfId="5322" priority="6920" stopIfTrue="1" operator="equal">
      <formula>"Napkin Hs"</formula>
    </cfRule>
  </conditionalFormatting>
  <conditionalFormatting sqref="B79">
    <cfRule type="cellIs" dxfId="5321" priority="6921" stopIfTrue="1" operator="equal">
      <formula>"Towel"</formula>
    </cfRule>
    <cfRule type="cellIs" dxfId="5320" priority="6922" stopIfTrue="1" operator="equal">
      <formula>"Napkin Hs"</formula>
    </cfRule>
  </conditionalFormatting>
  <conditionalFormatting sqref="B79">
    <cfRule type="cellIs" dxfId="5319" priority="6917" stopIfTrue="1" operator="equal">
      <formula>"Towel"</formula>
    </cfRule>
    <cfRule type="cellIs" dxfId="5318" priority="6918" stopIfTrue="1" operator="equal">
      <formula>"Napkin Hs"</formula>
    </cfRule>
  </conditionalFormatting>
  <conditionalFormatting sqref="B79">
    <cfRule type="cellIs" dxfId="5317" priority="6915" stopIfTrue="1" operator="equal">
      <formula>"Towel"</formula>
    </cfRule>
    <cfRule type="cellIs" dxfId="5316" priority="6916" stopIfTrue="1" operator="equal">
      <formula>"Napkin Hs"</formula>
    </cfRule>
  </conditionalFormatting>
  <conditionalFormatting sqref="B79">
    <cfRule type="cellIs" dxfId="5315" priority="6909" stopIfTrue="1" operator="equal">
      <formula>"Towel"</formula>
    </cfRule>
    <cfRule type="cellIs" dxfId="5314" priority="6910" stopIfTrue="1" operator="equal">
      <formula>"Napkin Hs"</formula>
    </cfRule>
  </conditionalFormatting>
  <conditionalFormatting sqref="B79">
    <cfRule type="cellIs" dxfId="5313" priority="6907" stopIfTrue="1" operator="equal">
      <formula>"Towel"</formula>
    </cfRule>
    <cfRule type="cellIs" dxfId="5312" priority="6908" stopIfTrue="1" operator="equal">
      <formula>"Napkin Hs"</formula>
    </cfRule>
  </conditionalFormatting>
  <conditionalFormatting sqref="B79">
    <cfRule type="cellIs" dxfId="5311" priority="6905" stopIfTrue="1" operator="equal">
      <formula>"Towel"</formula>
    </cfRule>
    <cfRule type="cellIs" dxfId="5310" priority="6906" stopIfTrue="1" operator="equal">
      <formula>"Napkin Hs"</formula>
    </cfRule>
  </conditionalFormatting>
  <conditionalFormatting sqref="B79">
    <cfRule type="cellIs" dxfId="5309" priority="6903" stopIfTrue="1" operator="equal">
      <formula>"Towel"</formula>
    </cfRule>
    <cfRule type="cellIs" dxfId="5308" priority="6904" stopIfTrue="1" operator="equal">
      <formula>"Napkin Hs"</formula>
    </cfRule>
  </conditionalFormatting>
  <conditionalFormatting sqref="C80">
    <cfRule type="cellIs" dxfId="5307" priority="6849" stopIfTrue="1" operator="equal">
      <formula>"Towel"</formula>
    </cfRule>
    <cfRule type="cellIs" dxfId="5306" priority="6850" stopIfTrue="1" operator="equal">
      <formula>"Napkin Hs"</formula>
    </cfRule>
  </conditionalFormatting>
  <conditionalFormatting sqref="C80">
    <cfRule type="cellIs" dxfId="5305" priority="6851" stopIfTrue="1" operator="equal">
      <formula>"Towel"</formula>
    </cfRule>
    <cfRule type="cellIs" dxfId="5304" priority="6852" stopIfTrue="1" operator="equal">
      <formula>"Napkin Hs"</formula>
    </cfRule>
  </conditionalFormatting>
  <conditionalFormatting sqref="B80:C80">
    <cfRule type="cellIs" dxfId="5303" priority="6847" stopIfTrue="1" operator="equal">
      <formula>"Towel"</formula>
    </cfRule>
    <cfRule type="cellIs" dxfId="5302" priority="6848" stopIfTrue="1" operator="equal">
      <formula>"Napkin Hs"</formula>
    </cfRule>
  </conditionalFormatting>
  <conditionalFormatting sqref="C80">
    <cfRule type="cellIs" dxfId="5301" priority="6845" stopIfTrue="1" operator="equal">
      <formula>"Towel"</formula>
    </cfRule>
    <cfRule type="cellIs" dxfId="5300" priority="6846" stopIfTrue="1" operator="equal">
      <formula>"Napkin Hs"</formula>
    </cfRule>
  </conditionalFormatting>
  <conditionalFormatting sqref="B80:C80">
    <cfRule type="cellIs" dxfId="5299" priority="6841" stopIfTrue="1" operator="equal">
      <formula>"Towel"</formula>
    </cfRule>
    <cfRule type="cellIs" dxfId="5298" priority="6842" stopIfTrue="1" operator="equal">
      <formula>"Napkin Hs"</formula>
    </cfRule>
  </conditionalFormatting>
  <conditionalFormatting sqref="C80">
    <cfRule type="cellIs" dxfId="5297" priority="6843" stopIfTrue="1" operator="equal">
      <formula>"Towel"</formula>
    </cfRule>
    <cfRule type="cellIs" dxfId="5296" priority="6844" stopIfTrue="1" operator="equal">
      <formula>"Napkin Hs"</formula>
    </cfRule>
  </conditionalFormatting>
  <conditionalFormatting sqref="B80:C80">
    <cfRule type="cellIs" dxfId="5295" priority="6901" stopIfTrue="1" operator="equal">
      <formula>"Towel"</formula>
    </cfRule>
    <cfRule type="cellIs" dxfId="5294" priority="6902" stopIfTrue="1" operator="equal">
      <formula>"Napkin Hs"</formula>
    </cfRule>
  </conditionalFormatting>
  <conditionalFormatting sqref="C80">
    <cfRule type="cellIs" dxfId="5293" priority="6897" stopIfTrue="1" operator="equal">
      <formula>"Towel"</formula>
    </cfRule>
    <cfRule type="cellIs" dxfId="5292" priority="6898" stopIfTrue="1" operator="equal">
      <formula>"Napkin Hs"</formula>
    </cfRule>
  </conditionalFormatting>
  <conditionalFormatting sqref="C80">
    <cfRule type="cellIs" dxfId="5291" priority="6900" stopIfTrue="1" operator="equal">
      <formula>"Napkin Hs"</formula>
    </cfRule>
  </conditionalFormatting>
  <conditionalFormatting sqref="C80">
    <cfRule type="cellIs" dxfId="5290" priority="6899" stopIfTrue="1" operator="equal">
      <formula>"Towel"</formula>
    </cfRule>
  </conditionalFormatting>
  <conditionalFormatting sqref="C80">
    <cfRule type="cellIs" dxfId="5289" priority="6891" stopIfTrue="1" operator="equal">
      <formula>"Towel"</formula>
    </cfRule>
    <cfRule type="cellIs" dxfId="5288" priority="6892" stopIfTrue="1" operator="equal">
      <formula>"Napkin Hs"</formula>
    </cfRule>
  </conditionalFormatting>
  <conditionalFormatting sqref="C80">
    <cfRule type="cellIs" dxfId="5287" priority="6895" stopIfTrue="1" operator="equal">
      <formula>"Towel"</formula>
    </cfRule>
    <cfRule type="cellIs" dxfId="5286" priority="6896" stopIfTrue="1" operator="equal">
      <formula>"Napkin Hs"</formula>
    </cfRule>
  </conditionalFormatting>
  <conditionalFormatting sqref="B80">
    <cfRule type="cellIs" dxfId="5285" priority="6881" stopIfTrue="1" operator="equal">
      <formula>"Towel"</formula>
    </cfRule>
    <cfRule type="cellIs" dxfId="5284" priority="6882" stopIfTrue="1" operator="equal">
      <formula>"Napkin Hs"</formula>
    </cfRule>
  </conditionalFormatting>
  <conditionalFormatting sqref="C80">
    <cfRule type="cellIs" dxfId="5283" priority="6893" stopIfTrue="1" operator="equal">
      <formula>"Towel"</formula>
    </cfRule>
    <cfRule type="cellIs" dxfId="5282" priority="6894" stopIfTrue="1" operator="equal">
      <formula>"Napkin Hs"</formula>
    </cfRule>
  </conditionalFormatting>
  <conditionalFormatting sqref="C80">
    <cfRule type="cellIs" dxfId="5281" priority="6885" stopIfTrue="1" operator="equal">
      <formula>"Towel"</formula>
    </cfRule>
    <cfRule type="cellIs" dxfId="5280" priority="6886" stopIfTrue="1" operator="equal">
      <formula>"Napkin Hs"</formula>
    </cfRule>
  </conditionalFormatting>
  <conditionalFormatting sqref="C80">
    <cfRule type="cellIs" dxfId="5279" priority="6887" stopIfTrue="1" operator="equal">
      <formula>"Towel"</formula>
    </cfRule>
    <cfRule type="cellIs" dxfId="5278" priority="6888" stopIfTrue="1" operator="equal">
      <formula>"Napkin Hs"</formula>
    </cfRule>
  </conditionalFormatting>
  <conditionalFormatting sqref="C80">
    <cfRule type="cellIs" dxfId="5277" priority="6889" stopIfTrue="1" operator="equal">
      <formula>"Towel"</formula>
    </cfRule>
    <cfRule type="cellIs" dxfId="5276" priority="6890" stopIfTrue="1" operator="equal">
      <formula>"Napkin Hs"</formula>
    </cfRule>
  </conditionalFormatting>
  <conditionalFormatting sqref="B80">
    <cfRule type="cellIs" dxfId="5275" priority="6883" stopIfTrue="1" operator="equal">
      <formula>"Towel"</formula>
    </cfRule>
    <cfRule type="cellIs" dxfId="5274" priority="6884" stopIfTrue="1" operator="equal">
      <formula>"Napkin Hs"</formula>
    </cfRule>
  </conditionalFormatting>
  <conditionalFormatting sqref="C80">
    <cfRule type="cellIs" dxfId="5273" priority="6875" stopIfTrue="1" operator="equal">
      <formula>"Towel"</formula>
    </cfRule>
    <cfRule type="cellIs" dxfId="5272" priority="6876" stopIfTrue="1" operator="equal">
      <formula>"Napkin Hs"</formula>
    </cfRule>
  </conditionalFormatting>
  <conditionalFormatting sqref="C80">
    <cfRule type="cellIs" dxfId="5271" priority="6879" stopIfTrue="1" operator="equal">
      <formula>"Towel"</formula>
    </cfRule>
    <cfRule type="cellIs" dxfId="5270" priority="6880" stopIfTrue="1" operator="equal">
      <formula>"Napkin Hs"</formula>
    </cfRule>
  </conditionalFormatting>
  <conditionalFormatting sqref="B80">
    <cfRule type="cellIs" dxfId="5269" priority="6865" stopIfTrue="1" operator="equal">
      <formula>"Towel"</formula>
    </cfRule>
    <cfRule type="cellIs" dxfId="5268" priority="6866" stopIfTrue="1" operator="equal">
      <formula>"Napkin Hs"</formula>
    </cfRule>
  </conditionalFormatting>
  <conditionalFormatting sqref="C80">
    <cfRule type="cellIs" dxfId="5267" priority="6877" stopIfTrue="1" operator="equal">
      <formula>"Towel"</formula>
    </cfRule>
    <cfRule type="cellIs" dxfId="5266" priority="6878" stopIfTrue="1" operator="equal">
      <formula>"Napkin Hs"</formula>
    </cfRule>
  </conditionalFormatting>
  <conditionalFormatting sqref="C80">
    <cfRule type="cellIs" dxfId="5265" priority="6869" stopIfTrue="1" operator="equal">
      <formula>"Towel"</formula>
    </cfRule>
    <cfRule type="cellIs" dxfId="5264" priority="6870" stopIfTrue="1" operator="equal">
      <formula>"Napkin Hs"</formula>
    </cfRule>
  </conditionalFormatting>
  <conditionalFormatting sqref="C80">
    <cfRule type="cellIs" dxfId="5263" priority="6871" stopIfTrue="1" operator="equal">
      <formula>"Towel"</formula>
    </cfRule>
    <cfRule type="cellIs" dxfId="5262" priority="6872" stopIfTrue="1" operator="equal">
      <formula>"Napkin Hs"</formula>
    </cfRule>
  </conditionalFormatting>
  <conditionalFormatting sqref="C80">
    <cfRule type="cellIs" dxfId="5261" priority="6873" stopIfTrue="1" operator="equal">
      <formula>"Towel"</formula>
    </cfRule>
    <cfRule type="cellIs" dxfId="5260" priority="6874" stopIfTrue="1" operator="equal">
      <formula>"Napkin Hs"</formula>
    </cfRule>
  </conditionalFormatting>
  <conditionalFormatting sqref="B80">
    <cfRule type="cellIs" dxfId="5259" priority="6867" stopIfTrue="1" operator="equal">
      <formula>"Towel"</formula>
    </cfRule>
    <cfRule type="cellIs" dxfId="5258" priority="6868" stopIfTrue="1" operator="equal">
      <formula>"Napkin Hs"</formula>
    </cfRule>
  </conditionalFormatting>
  <conditionalFormatting sqref="B80:C80">
    <cfRule type="cellIs" dxfId="5257" priority="6863" stopIfTrue="1" operator="equal">
      <formula>"Towel"</formula>
    </cfRule>
    <cfRule type="cellIs" dxfId="5256" priority="6864" stopIfTrue="1" operator="equal">
      <formula>"Napkin Hs"</formula>
    </cfRule>
  </conditionalFormatting>
  <conditionalFormatting sqref="C80">
    <cfRule type="cellIs" dxfId="5255" priority="6859" stopIfTrue="1" operator="equal">
      <formula>"Towel"</formula>
    </cfRule>
    <cfRule type="cellIs" dxfId="5254" priority="6860" stopIfTrue="1" operator="equal">
      <formula>"Napkin Hs"</formula>
    </cfRule>
  </conditionalFormatting>
  <conditionalFormatting sqref="C80">
    <cfRule type="cellIs" dxfId="5253" priority="6861" stopIfTrue="1" operator="equal">
      <formula>"Towel"</formula>
    </cfRule>
    <cfRule type="cellIs" dxfId="5252" priority="6862" stopIfTrue="1" operator="equal">
      <formula>"Napkin Hs"</formula>
    </cfRule>
  </conditionalFormatting>
  <conditionalFormatting sqref="B80:C80">
    <cfRule type="cellIs" dxfId="5251" priority="6857" stopIfTrue="1" operator="equal">
      <formula>"Towel"</formula>
    </cfRule>
    <cfRule type="cellIs" dxfId="5250" priority="6858" stopIfTrue="1" operator="equal">
      <formula>"Napkin Hs"</formula>
    </cfRule>
  </conditionalFormatting>
  <conditionalFormatting sqref="C80">
    <cfRule type="cellIs" dxfId="5249" priority="6855" stopIfTrue="1" operator="equal">
      <formula>"Towel"</formula>
    </cfRule>
    <cfRule type="cellIs" dxfId="5248" priority="6856" stopIfTrue="1" operator="equal">
      <formula>"Napkin Hs"</formula>
    </cfRule>
  </conditionalFormatting>
  <conditionalFormatting sqref="C80">
    <cfRule type="cellIs" dxfId="5247" priority="6853" stopIfTrue="1" operator="equal">
      <formula>"Towel"</formula>
    </cfRule>
    <cfRule type="cellIs" dxfId="5246" priority="6854" stopIfTrue="1" operator="equal">
      <formula>"Napkin Hs"</formula>
    </cfRule>
  </conditionalFormatting>
  <conditionalFormatting sqref="B80:C80">
    <cfRule type="cellIs" dxfId="5245" priority="6837" stopIfTrue="1" operator="equal">
      <formula>"Towel"</formula>
    </cfRule>
    <cfRule type="cellIs" dxfId="5244" priority="6838" stopIfTrue="1" operator="equal">
      <formula>"Napkin Hs"</formula>
    </cfRule>
  </conditionalFormatting>
  <conditionalFormatting sqref="C80">
    <cfRule type="cellIs" dxfId="5243" priority="6839" stopIfTrue="1" operator="equal">
      <formula>"Towel"</formula>
    </cfRule>
    <cfRule type="cellIs" dxfId="5242" priority="6840" stopIfTrue="1" operator="equal">
      <formula>"Napkin Hs"</formula>
    </cfRule>
  </conditionalFormatting>
  <conditionalFormatting sqref="C80">
    <cfRule type="cellIs" dxfId="5241" priority="6835" stopIfTrue="1" operator="equal">
      <formula>"Towel"</formula>
    </cfRule>
    <cfRule type="cellIs" dxfId="5240" priority="6836" stopIfTrue="1" operator="equal">
      <formula>"Napkin Hs"</formula>
    </cfRule>
  </conditionalFormatting>
  <conditionalFormatting sqref="B80:C80">
    <cfRule type="cellIs" dxfId="5239" priority="6833" stopIfTrue="1" operator="equal">
      <formula>"Towel"</formula>
    </cfRule>
    <cfRule type="cellIs" dxfId="5238" priority="6834" stopIfTrue="1" operator="equal">
      <formula>"Napkin Hs"</formula>
    </cfRule>
  </conditionalFormatting>
  <conditionalFormatting sqref="C80">
    <cfRule type="cellIs" dxfId="5237" priority="6829" stopIfTrue="1" operator="equal">
      <formula>"Towel"</formula>
    </cfRule>
    <cfRule type="cellIs" dxfId="5236" priority="6830" stopIfTrue="1" operator="equal">
      <formula>"Napkin Hs"</formula>
    </cfRule>
  </conditionalFormatting>
  <conditionalFormatting sqref="C80">
    <cfRule type="cellIs" dxfId="5235" priority="6831" stopIfTrue="1" operator="equal">
      <formula>"Towel"</formula>
    </cfRule>
    <cfRule type="cellIs" dxfId="5234" priority="6832" stopIfTrue="1" operator="equal">
      <formula>"Napkin Hs"</formula>
    </cfRule>
  </conditionalFormatting>
  <conditionalFormatting sqref="B80:C80">
    <cfRule type="cellIs" dxfId="5233" priority="6825" stopIfTrue="1" operator="equal">
      <formula>"Towel"</formula>
    </cfRule>
    <cfRule type="cellIs" dxfId="5232" priority="6826" stopIfTrue="1" operator="equal">
      <formula>"Napkin Hs"</formula>
    </cfRule>
  </conditionalFormatting>
  <conditionalFormatting sqref="C80">
    <cfRule type="cellIs" dxfId="5231" priority="6827" stopIfTrue="1" operator="equal">
      <formula>"Towel"</formula>
    </cfRule>
    <cfRule type="cellIs" dxfId="5230" priority="6828" stopIfTrue="1" operator="equal">
      <formula>"Napkin Hs"</formula>
    </cfRule>
  </conditionalFormatting>
  <conditionalFormatting sqref="C80">
    <cfRule type="cellIs" dxfId="5229" priority="6823" stopIfTrue="1" operator="equal">
      <formula>"Towel"</formula>
    </cfRule>
    <cfRule type="cellIs" dxfId="5228" priority="6824" stopIfTrue="1" operator="equal">
      <formula>"Napkin Hs"</formula>
    </cfRule>
  </conditionalFormatting>
  <conditionalFormatting sqref="B80:C80">
    <cfRule type="cellIs" dxfId="5227" priority="6821" stopIfTrue="1" operator="equal">
      <formula>"Towel"</formula>
    </cfRule>
    <cfRule type="cellIs" dxfId="5226" priority="6822" stopIfTrue="1" operator="equal">
      <formula>"Napkin Hs"</formula>
    </cfRule>
  </conditionalFormatting>
  <conditionalFormatting sqref="C80">
    <cfRule type="cellIs" dxfId="5225" priority="6817" stopIfTrue="1" operator="equal">
      <formula>"Towel"</formula>
    </cfRule>
    <cfRule type="cellIs" dxfId="5224" priority="6818" stopIfTrue="1" operator="equal">
      <formula>"Napkin Hs"</formula>
    </cfRule>
  </conditionalFormatting>
  <conditionalFormatting sqref="C80">
    <cfRule type="cellIs" dxfId="5223" priority="6819" stopIfTrue="1" operator="equal">
      <formula>"Towel"</formula>
    </cfRule>
    <cfRule type="cellIs" dxfId="5222" priority="6820" stopIfTrue="1" operator="equal">
      <formula>"Napkin Hs"</formula>
    </cfRule>
  </conditionalFormatting>
  <conditionalFormatting sqref="C81">
    <cfRule type="cellIs" dxfId="5221" priority="6763" stopIfTrue="1" operator="equal">
      <formula>"Towel"</formula>
    </cfRule>
    <cfRule type="cellIs" dxfId="5220" priority="6764" stopIfTrue="1" operator="equal">
      <formula>"Napkin Hs"</formula>
    </cfRule>
  </conditionalFormatting>
  <conditionalFormatting sqref="C81">
    <cfRule type="cellIs" dxfId="5219" priority="6765" stopIfTrue="1" operator="equal">
      <formula>"Towel"</formula>
    </cfRule>
    <cfRule type="cellIs" dxfId="5218" priority="6766" stopIfTrue="1" operator="equal">
      <formula>"Napkin Hs"</formula>
    </cfRule>
  </conditionalFormatting>
  <conditionalFormatting sqref="B81:C81">
    <cfRule type="cellIs" dxfId="5217" priority="6761" stopIfTrue="1" operator="equal">
      <formula>"Towel"</formula>
    </cfRule>
    <cfRule type="cellIs" dxfId="5216" priority="6762" stopIfTrue="1" operator="equal">
      <formula>"Napkin Hs"</formula>
    </cfRule>
  </conditionalFormatting>
  <conditionalFormatting sqref="C81">
    <cfRule type="cellIs" dxfId="5215" priority="6759" stopIfTrue="1" operator="equal">
      <formula>"Towel"</formula>
    </cfRule>
    <cfRule type="cellIs" dxfId="5214" priority="6760" stopIfTrue="1" operator="equal">
      <formula>"Napkin Hs"</formula>
    </cfRule>
  </conditionalFormatting>
  <conditionalFormatting sqref="B81:C81">
    <cfRule type="cellIs" dxfId="5213" priority="6755" stopIfTrue="1" operator="equal">
      <formula>"Towel"</formula>
    </cfRule>
    <cfRule type="cellIs" dxfId="5212" priority="6756" stopIfTrue="1" operator="equal">
      <formula>"Napkin Hs"</formula>
    </cfRule>
  </conditionalFormatting>
  <conditionalFormatting sqref="C81">
    <cfRule type="cellIs" dxfId="5211" priority="6757" stopIfTrue="1" operator="equal">
      <formula>"Towel"</formula>
    </cfRule>
    <cfRule type="cellIs" dxfId="5210" priority="6758" stopIfTrue="1" operator="equal">
      <formula>"Napkin Hs"</formula>
    </cfRule>
  </conditionalFormatting>
  <conditionalFormatting sqref="B81:C81">
    <cfRule type="cellIs" dxfId="5209" priority="6815" stopIfTrue="1" operator="equal">
      <formula>"Towel"</formula>
    </cfRule>
    <cfRule type="cellIs" dxfId="5208" priority="6816" stopIfTrue="1" operator="equal">
      <formula>"Napkin Hs"</formula>
    </cfRule>
  </conditionalFormatting>
  <conditionalFormatting sqref="C81">
    <cfRule type="cellIs" dxfId="5207" priority="6811" stopIfTrue="1" operator="equal">
      <formula>"Towel"</formula>
    </cfRule>
    <cfRule type="cellIs" dxfId="5206" priority="6812" stopIfTrue="1" operator="equal">
      <formula>"Napkin Hs"</formula>
    </cfRule>
  </conditionalFormatting>
  <conditionalFormatting sqref="C81">
    <cfRule type="cellIs" dxfId="5205" priority="6814" stopIfTrue="1" operator="equal">
      <formula>"Napkin Hs"</formula>
    </cfRule>
  </conditionalFormatting>
  <conditionalFormatting sqref="C81">
    <cfRule type="cellIs" dxfId="5204" priority="6813" stopIfTrue="1" operator="equal">
      <formula>"Towel"</formula>
    </cfRule>
  </conditionalFormatting>
  <conditionalFormatting sqref="C81">
    <cfRule type="cellIs" dxfId="5203" priority="6805" stopIfTrue="1" operator="equal">
      <formula>"Towel"</formula>
    </cfRule>
    <cfRule type="cellIs" dxfId="5202" priority="6806" stopIfTrue="1" operator="equal">
      <formula>"Napkin Hs"</formula>
    </cfRule>
  </conditionalFormatting>
  <conditionalFormatting sqref="C81">
    <cfRule type="cellIs" dxfId="5201" priority="6809" stopIfTrue="1" operator="equal">
      <formula>"Towel"</formula>
    </cfRule>
    <cfRule type="cellIs" dxfId="5200" priority="6810" stopIfTrue="1" operator="equal">
      <formula>"Napkin Hs"</formula>
    </cfRule>
  </conditionalFormatting>
  <conditionalFormatting sqref="B81">
    <cfRule type="cellIs" dxfId="5199" priority="6795" stopIfTrue="1" operator="equal">
      <formula>"Towel"</formula>
    </cfRule>
    <cfRule type="cellIs" dxfId="5198" priority="6796" stopIfTrue="1" operator="equal">
      <formula>"Napkin Hs"</formula>
    </cfRule>
  </conditionalFormatting>
  <conditionalFormatting sqref="C81">
    <cfRule type="cellIs" dxfId="5197" priority="6807" stopIfTrue="1" operator="equal">
      <formula>"Towel"</formula>
    </cfRule>
    <cfRule type="cellIs" dxfId="5196" priority="6808" stopIfTrue="1" operator="equal">
      <formula>"Napkin Hs"</formula>
    </cfRule>
  </conditionalFormatting>
  <conditionalFormatting sqref="C81">
    <cfRule type="cellIs" dxfId="5195" priority="6799" stopIfTrue="1" operator="equal">
      <formula>"Towel"</formula>
    </cfRule>
    <cfRule type="cellIs" dxfId="5194" priority="6800" stopIfTrue="1" operator="equal">
      <formula>"Napkin Hs"</formula>
    </cfRule>
  </conditionalFormatting>
  <conditionalFormatting sqref="C81">
    <cfRule type="cellIs" dxfId="5193" priority="6801" stopIfTrue="1" operator="equal">
      <formula>"Towel"</formula>
    </cfRule>
    <cfRule type="cellIs" dxfId="5192" priority="6802" stopIfTrue="1" operator="equal">
      <formula>"Napkin Hs"</formula>
    </cfRule>
  </conditionalFormatting>
  <conditionalFormatting sqref="C81">
    <cfRule type="cellIs" dxfId="5191" priority="6803" stopIfTrue="1" operator="equal">
      <formula>"Towel"</formula>
    </cfRule>
    <cfRule type="cellIs" dxfId="5190" priority="6804" stopIfTrue="1" operator="equal">
      <formula>"Napkin Hs"</formula>
    </cfRule>
  </conditionalFormatting>
  <conditionalFormatting sqref="B81">
    <cfRule type="cellIs" dxfId="5189" priority="6797" stopIfTrue="1" operator="equal">
      <formula>"Towel"</formula>
    </cfRule>
    <cfRule type="cellIs" dxfId="5188" priority="6798" stopIfTrue="1" operator="equal">
      <formula>"Napkin Hs"</formula>
    </cfRule>
  </conditionalFormatting>
  <conditionalFormatting sqref="C81">
    <cfRule type="cellIs" dxfId="5187" priority="6789" stopIfTrue="1" operator="equal">
      <formula>"Towel"</formula>
    </cfRule>
    <cfRule type="cellIs" dxfId="5186" priority="6790" stopIfTrue="1" operator="equal">
      <formula>"Napkin Hs"</formula>
    </cfRule>
  </conditionalFormatting>
  <conditionalFormatting sqref="C81">
    <cfRule type="cellIs" dxfId="5185" priority="6793" stopIfTrue="1" operator="equal">
      <formula>"Towel"</formula>
    </cfRule>
    <cfRule type="cellIs" dxfId="5184" priority="6794" stopIfTrue="1" operator="equal">
      <formula>"Napkin Hs"</formula>
    </cfRule>
  </conditionalFormatting>
  <conditionalFormatting sqref="B81">
    <cfRule type="cellIs" dxfId="5183" priority="6779" stopIfTrue="1" operator="equal">
      <formula>"Towel"</formula>
    </cfRule>
    <cfRule type="cellIs" dxfId="5182" priority="6780" stopIfTrue="1" operator="equal">
      <formula>"Napkin Hs"</formula>
    </cfRule>
  </conditionalFormatting>
  <conditionalFormatting sqref="C81">
    <cfRule type="cellIs" dxfId="5181" priority="6791" stopIfTrue="1" operator="equal">
      <formula>"Towel"</formula>
    </cfRule>
    <cfRule type="cellIs" dxfId="5180" priority="6792" stopIfTrue="1" operator="equal">
      <formula>"Napkin Hs"</formula>
    </cfRule>
  </conditionalFormatting>
  <conditionalFormatting sqref="C81">
    <cfRule type="cellIs" dxfId="5179" priority="6783" stopIfTrue="1" operator="equal">
      <formula>"Towel"</formula>
    </cfRule>
    <cfRule type="cellIs" dxfId="5178" priority="6784" stopIfTrue="1" operator="equal">
      <formula>"Napkin Hs"</formula>
    </cfRule>
  </conditionalFormatting>
  <conditionalFormatting sqref="C81">
    <cfRule type="cellIs" dxfId="5177" priority="6785" stopIfTrue="1" operator="equal">
      <formula>"Towel"</formula>
    </cfRule>
    <cfRule type="cellIs" dxfId="5176" priority="6786" stopIfTrue="1" operator="equal">
      <formula>"Napkin Hs"</formula>
    </cfRule>
  </conditionalFormatting>
  <conditionalFormatting sqref="C81">
    <cfRule type="cellIs" dxfId="5175" priority="6787" stopIfTrue="1" operator="equal">
      <formula>"Towel"</formula>
    </cfRule>
    <cfRule type="cellIs" dxfId="5174" priority="6788" stopIfTrue="1" operator="equal">
      <formula>"Napkin Hs"</formula>
    </cfRule>
  </conditionalFormatting>
  <conditionalFormatting sqref="B81">
    <cfRule type="cellIs" dxfId="5173" priority="6781" stopIfTrue="1" operator="equal">
      <formula>"Towel"</formula>
    </cfRule>
    <cfRule type="cellIs" dxfId="5172" priority="6782" stopIfTrue="1" operator="equal">
      <formula>"Napkin Hs"</formula>
    </cfRule>
  </conditionalFormatting>
  <conditionalFormatting sqref="B81:C81">
    <cfRule type="cellIs" dxfId="5171" priority="6777" stopIfTrue="1" operator="equal">
      <formula>"Towel"</formula>
    </cfRule>
    <cfRule type="cellIs" dxfId="5170" priority="6778" stopIfTrue="1" operator="equal">
      <formula>"Napkin Hs"</formula>
    </cfRule>
  </conditionalFormatting>
  <conditionalFormatting sqref="C81">
    <cfRule type="cellIs" dxfId="5169" priority="6773" stopIfTrue="1" operator="equal">
      <formula>"Towel"</formula>
    </cfRule>
    <cfRule type="cellIs" dxfId="5168" priority="6774" stopIfTrue="1" operator="equal">
      <formula>"Napkin Hs"</formula>
    </cfRule>
  </conditionalFormatting>
  <conditionalFormatting sqref="C81">
    <cfRule type="cellIs" dxfId="5167" priority="6775" stopIfTrue="1" operator="equal">
      <formula>"Towel"</formula>
    </cfRule>
    <cfRule type="cellIs" dxfId="5166" priority="6776" stopIfTrue="1" operator="equal">
      <formula>"Napkin Hs"</formula>
    </cfRule>
  </conditionalFormatting>
  <conditionalFormatting sqref="B81:C81">
    <cfRule type="cellIs" dxfId="5165" priority="6771" stopIfTrue="1" operator="equal">
      <formula>"Towel"</formula>
    </cfRule>
    <cfRule type="cellIs" dxfId="5164" priority="6772" stopIfTrue="1" operator="equal">
      <formula>"Napkin Hs"</formula>
    </cfRule>
  </conditionalFormatting>
  <conditionalFormatting sqref="C81">
    <cfRule type="cellIs" dxfId="5163" priority="6769" stopIfTrue="1" operator="equal">
      <formula>"Towel"</formula>
    </cfRule>
    <cfRule type="cellIs" dxfId="5162" priority="6770" stopIfTrue="1" operator="equal">
      <formula>"Napkin Hs"</formula>
    </cfRule>
  </conditionalFormatting>
  <conditionalFormatting sqref="C81">
    <cfRule type="cellIs" dxfId="5161" priority="6767" stopIfTrue="1" operator="equal">
      <formula>"Towel"</formula>
    </cfRule>
    <cfRule type="cellIs" dxfId="5160" priority="6768" stopIfTrue="1" operator="equal">
      <formula>"Napkin Hs"</formula>
    </cfRule>
  </conditionalFormatting>
  <conditionalFormatting sqref="B81:C81">
    <cfRule type="cellIs" dxfId="5159" priority="6751" stopIfTrue="1" operator="equal">
      <formula>"Towel"</formula>
    </cfRule>
    <cfRule type="cellIs" dxfId="5158" priority="6752" stopIfTrue="1" operator="equal">
      <formula>"Napkin Hs"</formula>
    </cfRule>
  </conditionalFormatting>
  <conditionalFormatting sqref="C81">
    <cfRule type="cellIs" dxfId="5157" priority="6753" stopIfTrue="1" operator="equal">
      <formula>"Towel"</formula>
    </cfRule>
    <cfRule type="cellIs" dxfId="5156" priority="6754" stopIfTrue="1" operator="equal">
      <formula>"Napkin Hs"</formula>
    </cfRule>
  </conditionalFormatting>
  <conditionalFormatting sqref="C81">
    <cfRule type="cellIs" dxfId="5155" priority="6749" stopIfTrue="1" operator="equal">
      <formula>"Towel"</formula>
    </cfRule>
    <cfRule type="cellIs" dxfId="5154" priority="6750" stopIfTrue="1" operator="equal">
      <formula>"Napkin Hs"</formula>
    </cfRule>
  </conditionalFormatting>
  <conditionalFormatting sqref="B81:C81">
    <cfRule type="cellIs" dxfId="5153" priority="6747" stopIfTrue="1" operator="equal">
      <formula>"Towel"</formula>
    </cfRule>
    <cfRule type="cellIs" dxfId="5152" priority="6748" stopIfTrue="1" operator="equal">
      <formula>"Napkin Hs"</formula>
    </cfRule>
  </conditionalFormatting>
  <conditionalFormatting sqref="C81">
    <cfRule type="cellIs" dxfId="5151" priority="6743" stopIfTrue="1" operator="equal">
      <formula>"Towel"</formula>
    </cfRule>
    <cfRule type="cellIs" dxfId="5150" priority="6744" stopIfTrue="1" operator="equal">
      <formula>"Napkin Hs"</formula>
    </cfRule>
  </conditionalFormatting>
  <conditionalFormatting sqref="C81">
    <cfRule type="cellIs" dxfId="5149" priority="6745" stopIfTrue="1" operator="equal">
      <formula>"Towel"</formula>
    </cfRule>
    <cfRule type="cellIs" dxfId="5148" priority="6746" stopIfTrue="1" operator="equal">
      <formula>"Napkin Hs"</formula>
    </cfRule>
  </conditionalFormatting>
  <conditionalFormatting sqref="B81:C81">
    <cfRule type="cellIs" dxfId="5147" priority="6739" stopIfTrue="1" operator="equal">
      <formula>"Towel"</formula>
    </cfRule>
    <cfRule type="cellIs" dxfId="5146" priority="6740" stopIfTrue="1" operator="equal">
      <formula>"Napkin Hs"</formula>
    </cfRule>
  </conditionalFormatting>
  <conditionalFormatting sqref="C81">
    <cfRule type="cellIs" dxfId="5145" priority="6741" stopIfTrue="1" operator="equal">
      <formula>"Towel"</formula>
    </cfRule>
    <cfRule type="cellIs" dxfId="5144" priority="6742" stopIfTrue="1" operator="equal">
      <formula>"Napkin Hs"</formula>
    </cfRule>
  </conditionalFormatting>
  <conditionalFormatting sqref="C81">
    <cfRule type="cellIs" dxfId="5143" priority="6737" stopIfTrue="1" operator="equal">
      <formula>"Towel"</formula>
    </cfRule>
    <cfRule type="cellIs" dxfId="5142" priority="6738" stopIfTrue="1" operator="equal">
      <formula>"Napkin Hs"</formula>
    </cfRule>
  </conditionalFormatting>
  <conditionalFormatting sqref="B81:C81">
    <cfRule type="cellIs" dxfId="5141" priority="6735" stopIfTrue="1" operator="equal">
      <formula>"Towel"</formula>
    </cfRule>
    <cfRule type="cellIs" dxfId="5140" priority="6736" stopIfTrue="1" operator="equal">
      <formula>"Napkin Hs"</formula>
    </cfRule>
  </conditionalFormatting>
  <conditionalFormatting sqref="C81">
    <cfRule type="cellIs" dxfId="5139" priority="6731" stopIfTrue="1" operator="equal">
      <formula>"Towel"</formula>
    </cfRule>
    <cfRule type="cellIs" dxfId="5138" priority="6732" stopIfTrue="1" operator="equal">
      <formula>"Napkin Hs"</formula>
    </cfRule>
  </conditionalFormatting>
  <conditionalFormatting sqref="C81">
    <cfRule type="cellIs" dxfId="5137" priority="6733" stopIfTrue="1" operator="equal">
      <formula>"Towel"</formula>
    </cfRule>
    <cfRule type="cellIs" dxfId="5136" priority="6734" stopIfTrue="1" operator="equal">
      <formula>"Napkin Hs"</formula>
    </cfRule>
  </conditionalFormatting>
  <conditionalFormatting sqref="C42">
    <cfRule type="cellIs" dxfId="5135" priority="6723" stopIfTrue="1" operator="equal">
      <formula>"Towel"</formula>
    </cfRule>
    <cfRule type="cellIs" dxfId="5134" priority="6724" stopIfTrue="1" operator="equal">
      <formula>"Napkin Hs"</formula>
    </cfRule>
  </conditionalFormatting>
  <conditionalFormatting sqref="C42">
    <cfRule type="cellIs" dxfId="5133" priority="6725" stopIfTrue="1" operator="equal">
      <formula>"Towel"</formula>
    </cfRule>
    <cfRule type="cellIs" dxfId="5132" priority="6726" stopIfTrue="1" operator="equal">
      <formula>"Napkin Hs"</formula>
    </cfRule>
  </conditionalFormatting>
  <conditionalFormatting sqref="C42">
    <cfRule type="cellIs" dxfId="5131" priority="6721" stopIfTrue="1" operator="equal">
      <formula>"Towel"</formula>
    </cfRule>
    <cfRule type="cellIs" dxfId="5130" priority="6722" stopIfTrue="1" operator="equal">
      <formula>"Napkin Hs"</formula>
    </cfRule>
  </conditionalFormatting>
  <conditionalFormatting sqref="C42">
    <cfRule type="cellIs" dxfId="5129" priority="6719" stopIfTrue="1" operator="equal">
      <formula>"Towel"</formula>
    </cfRule>
    <cfRule type="cellIs" dxfId="5128" priority="6720" stopIfTrue="1" operator="equal">
      <formula>"Napkin Hs"</formula>
    </cfRule>
  </conditionalFormatting>
  <conditionalFormatting sqref="C42">
    <cfRule type="cellIs" dxfId="5127" priority="6727" stopIfTrue="1" operator="equal">
      <formula>"Towel"</formula>
    </cfRule>
    <cfRule type="cellIs" dxfId="5126" priority="6728" stopIfTrue="1" operator="equal">
      <formula>"Napkin Hs"</formula>
    </cfRule>
  </conditionalFormatting>
  <conditionalFormatting sqref="C42">
    <cfRule type="cellIs" dxfId="5125" priority="6729" stopIfTrue="1" operator="equal">
      <formula>"Towel"</formula>
    </cfRule>
    <cfRule type="cellIs" dxfId="5124" priority="6730" stopIfTrue="1" operator="equal">
      <formula>"Napkin Hs"</formula>
    </cfRule>
  </conditionalFormatting>
  <conditionalFormatting sqref="C42">
    <cfRule type="cellIs" dxfId="5123" priority="6715" stopIfTrue="1" operator="equal">
      <formula>"Towel"</formula>
    </cfRule>
    <cfRule type="cellIs" dxfId="5122" priority="6716" stopIfTrue="1" operator="equal">
      <formula>"Napkin Hs"</formula>
    </cfRule>
  </conditionalFormatting>
  <conditionalFormatting sqref="C42">
    <cfRule type="cellIs" dxfId="5121" priority="6717" stopIfTrue="1" operator="equal">
      <formula>"Towel"</formula>
    </cfRule>
    <cfRule type="cellIs" dxfId="5120" priority="6718" stopIfTrue="1" operator="equal">
      <formula>"Napkin Hs"</formula>
    </cfRule>
  </conditionalFormatting>
  <conditionalFormatting sqref="C42">
    <cfRule type="cellIs" dxfId="5119" priority="6713" stopIfTrue="1" operator="equal">
      <formula>"Towel"</formula>
    </cfRule>
    <cfRule type="cellIs" dxfId="5118" priority="6714" stopIfTrue="1" operator="equal">
      <formula>"Napkin Hs"</formula>
    </cfRule>
  </conditionalFormatting>
  <conditionalFormatting sqref="C42">
    <cfRule type="cellIs" dxfId="5117" priority="6707" stopIfTrue="1" operator="equal">
      <formula>"Towel"</formula>
    </cfRule>
    <cfRule type="cellIs" dxfId="5116" priority="6708" stopIfTrue="1" operator="equal">
      <formula>"Napkin Hs"</formula>
    </cfRule>
  </conditionalFormatting>
  <conditionalFormatting sqref="C42">
    <cfRule type="cellIs" dxfId="5115" priority="6709" stopIfTrue="1" operator="equal">
      <formula>"Towel"</formula>
    </cfRule>
    <cfRule type="cellIs" dxfId="5114" priority="6710" stopIfTrue="1" operator="equal">
      <formula>"Napkin Hs"</formula>
    </cfRule>
  </conditionalFormatting>
  <conditionalFormatting sqref="C42">
    <cfRule type="cellIs" dxfId="5113" priority="6711" stopIfTrue="1" operator="equal">
      <formula>"Towel"</formula>
    </cfRule>
    <cfRule type="cellIs" dxfId="5112" priority="6712" stopIfTrue="1" operator="equal">
      <formula>"Napkin Hs"</formula>
    </cfRule>
  </conditionalFormatting>
  <conditionalFormatting sqref="C42">
    <cfRule type="cellIs" dxfId="5111" priority="6661" stopIfTrue="1" operator="equal">
      <formula>"Towel"</formula>
    </cfRule>
    <cfRule type="cellIs" dxfId="5110" priority="6662" stopIfTrue="1" operator="equal">
      <formula>"Napkin Hs"</formula>
    </cfRule>
  </conditionalFormatting>
  <conditionalFormatting sqref="C42">
    <cfRule type="cellIs" dxfId="5109" priority="6663" stopIfTrue="1" operator="equal">
      <formula>"Towel"</formula>
    </cfRule>
    <cfRule type="cellIs" dxfId="5108" priority="6664" stopIfTrue="1" operator="equal">
      <formula>"Napkin Hs"</formula>
    </cfRule>
  </conditionalFormatting>
  <conditionalFormatting sqref="C42">
    <cfRule type="cellIs" dxfId="5107" priority="6659" stopIfTrue="1" operator="equal">
      <formula>"Towel"</formula>
    </cfRule>
    <cfRule type="cellIs" dxfId="5106" priority="6660" stopIfTrue="1" operator="equal">
      <formula>"Napkin Hs"</formula>
    </cfRule>
  </conditionalFormatting>
  <conditionalFormatting sqref="C42">
    <cfRule type="cellIs" dxfId="5105" priority="6657" stopIfTrue="1" operator="equal">
      <formula>"Towel"</formula>
    </cfRule>
    <cfRule type="cellIs" dxfId="5104" priority="6658" stopIfTrue="1" operator="equal">
      <formula>"Napkin Hs"</formula>
    </cfRule>
  </conditionalFormatting>
  <conditionalFormatting sqref="C42">
    <cfRule type="cellIs" dxfId="5103" priority="6653" stopIfTrue="1" operator="equal">
      <formula>"Towel"</formula>
    </cfRule>
    <cfRule type="cellIs" dxfId="5102" priority="6654" stopIfTrue="1" operator="equal">
      <formula>"Napkin Hs"</formula>
    </cfRule>
  </conditionalFormatting>
  <conditionalFormatting sqref="C42">
    <cfRule type="cellIs" dxfId="5101" priority="6655" stopIfTrue="1" operator="equal">
      <formula>"Towel"</formula>
    </cfRule>
    <cfRule type="cellIs" dxfId="5100" priority="6656" stopIfTrue="1" operator="equal">
      <formula>"Napkin Hs"</formula>
    </cfRule>
  </conditionalFormatting>
  <conditionalFormatting sqref="C42">
    <cfRule type="cellIs" dxfId="5099" priority="6705" stopIfTrue="1" operator="equal">
      <formula>"Towel"</formula>
    </cfRule>
    <cfRule type="cellIs" dxfId="5098" priority="6706" stopIfTrue="1" operator="equal">
      <formula>"Napkin Hs"</formula>
    </cfRule>
  </conditionalFormatting>
  <conditionalFormatting sqref="C42">
    <cfRule type="cellIs" dxfId="5097" priority="6701" stopIfTrue="1" operator="equal">
      <formula>"Towel"</formula>
    </cfRule>
    <cfRule type="cellIs" dxfId="5096" priority="6702" stopIfTrue="1" operator="equal">
      <formula>"Napkin Hs"</formula>
    </cfRule>
  </conditionalFormatting>
  <conditionalFormatting sqref="C42">
    <cfRule type="cellIs" dxfId="5095" priority="6704" stopIfTrue="1" operator="equal">
      <formula>"Napkin Hs"</formula>
    </cfRule>
  </conditionalFormatting>
  <conditionalFormatting sqref="C42">
    <cfRule type="cellIs" dxfId="5094" priority="6703" stopIfTrue="1" operator="equal">
      <formula>"Towel"</formula>
    </cfRule>
  </conditionalFormatting>
  <conditionalFormatting sqref="C42">
    <cfRule type="cellIs" dxfId="5093" priority="6695" stopIfTrue="1" operator="equal">
      <formula>"Towel"</formula>
    </cfRule>
    <cfRule type="cellIs" dxfId="5092" priority="6696" stopIfTrue="1" operator="equal">
      <formula>"Napkin Hs"</formula>
    </cfRule>
  </conditionalFormatting>
  <conditionalFormatting sqref="C42">
    <cfRule type="cellIs" dxfId="5091" priority="6699" stopIfTrue="1" operator="equal">
      <formula>"Towel"</formula>
    </cfRule>
    <cfRule type="cellIs" dxfId="5090" priority="6700" stopIfTrue="1" operator="equal">
      <formula>"Napkin Hs"</formula>
    </cfRule>
  </conditionalFormatting>
  <conditionalFormatting sqref="C42">
    <cfRule type="cellIs" dxfId="5089" priority="6697" stopIfTrue="1" operator="equal">
      <formula>"Towel"</formula>
    </cfRule>
    <cfRule type="cellIs" dxfId="5088" priority="6698" stopIfTrue="1" operator="equal">
      <formula>"Napkin Hs"</formula>
    </cfRule>
  </conditionalFormatting>
  <conditionalFormatting sqref="C42">
    <cfRule type="cellIs" dxfId="5087" priority="6689" stopIfTrue="1" operator="equal">
      <formula>"Towel"</formula>
    </cfRule>
    <cfRule type="cellIs" dxfId="5086" priority="6690" stopIfTrue="1" operator="equal">
      <formula>"Napkin Hs"</formula>
    </cfRule>
  </conditionalFormatting>
  <conditionalFormatting sqref="C42">
    <cfRule type="cellIs" dxfId="5085" priority="6691" stopIfTrue="1" operator="equal">
      <formula>"Towel"</formula>
    </cfRule>
    <cfRule type="cellIs" dxfId="5084" priority="6692" stopIfTrue="1" operator="equal">
      <formula>"Napkin Hs"</formula>
    </cfRule>
  </conditionalFormatting>
  <conditionalFormatting sqref="C42">
    <cfRule type="cellIs" dxfId="5083" priority="6693" stopIfTrue="1" operator="equal">
      <formula>"Towel"</formula>
    </cfRule>
    <cfRule type="cellIs" dxfId="5082" priority="6694" stopIfTrue="1" operator="equal">
      <formula>"Napkin Hs"</formula>
    </cfRule>
  </conditionalFormatting>
  <conditionalFormatting sqref="C42">
    <cfRule type="cellIs" dxfId="5081" priority="6683" stopIfTrue="1" operator="equal">
      <formula>"Towel"</formula>
    </cfRule>
    <cfRule type="cellIs" dxfId="5080" priority="6684" stopIfTrue="1" operator="equal">
      <formula>"Napkin Hs"</formula>
    </cfRule>
  </conditionalFormatting>
  <conditionalFormatting sqref="C42">
    <cfRule type="cellIs" dxfId="5079" priority="6687" stopIfTrue="1" operator="equal">
      <formula>"Towel"</formula>
    </cfRule>
    <cfRule type="cellIs" dxfId="5078" priority="6688" stopIfTrue="1" operator="equal">
      <formula>"Napkin Hs"</formula>
    </cfRule>
  </conditionalFormatting>
  <conditionalFormatting sqref="C42">
    <cfRule type="cellIs" dxfId="5077" priority="6685" stopIfTrue="1" operator="equal">
      <formula>"Towel"</formula>
    </cfRule>
    <cfRule type="cellIs" dxfId="5076" priority="6686" stopIfTrue="1" operator="equal">
      <formula>"Napkin Hs"</formula>
    </cfRule>
  </conditionalFormatting>
  <conditionalFormatting sqref="C42">
    <cfRule type="cellIs" dxfId="5075" priority="6677" stopIfTrue="1" operator="equal">
      <formula>"Towel"</formula>
    </cfRule>
    <cfRule type="cellIs" dxfId="5074" priority="6678" stopIfTrue="1" operator="equal">
      <formula>"Napkin Hs"</formula>
    </cfRule>
  </conditionalFormatting>
  <conditionalFormatting sqref="C42">
    <cfRule type="cellIs" dxfId="5073" priority="6679" stopIfTrue="1" operator="equal">
      <formula>"Towel"</formula>
    </cfRule>
    <cfRule type="cellIs" dxfId="5072" priority="6680" stopIfTrue="1" operator="equal">
      <formula>"Napkin Hs"</formula>
    </cfRule>
  </conditionalFormatting>
  <conditionalFormatting sqref="C42">
    <cfRule type="cellIs" dxfId="5071" priority="6681" stopIfTrue="1" operator="equal">
      <formula>"Towel"</formula>
    </cfRule>
    <cfRule type="cellIs" dxfId="5070" priority="6682" stopIfTrue="1" operator="equal">
      <formula>"Napkin Hs"</formula>
    </cfRule>
  </conditionalFormatting>
  <conditionalFormatting sqref="C42">
    <cfRule type="cellIs" dxfId="5069" priority="6675" stopIfTrue="1" operator="equal">
      <formula>"Towel"</formula>
    </cfRule>
    <cfRule type="cellIs" dxfId="5068" priority="6676" stopIfTrue="1" operator="equal">
      <formula>"Napkin Hs"</formula>
    </cfRule>
  </conditionalFormatting>
  <conditionalFormatting sqref="C42">
    <cfRule type="cellIs" dxfId="5067" priority="6671" stopIfTrue="1" operator="equal">
      <formula>"Towel"</formula>
    </cfRule>
    <cfRule type="cellIs" dxfId="5066" priority="6672" stopIfTrue="1" operator="equal">
      <formula>"Napkin Hs"</formula>
    </cfRule>
  </conditionalFormatting>
  <conditionalFormatting sqref="C42">
    <cfRule type="cellIs" dxfId="5065" priority="6673" stopIfTrue="1" operator="equal">
      <formula>"Towel"</formula>
    </cfRule>
    <cfRule type="cellIs" dxfId="5064" priority="6674" stopIfTrue="1" operator="equal">
      <formula>"Napkin Hs"</formula>
    </cfRule>
  </conditionalFormatting>
  <conditionalFormatting sqref="C42">
    <cfRule type="cellIs" dxfId="5063" priority="6669" stopIfTrue="1" operator="equal">
      <formula>"Towel"</formula>
    </cfRule>
    <cfRule type="cellIs" dxfId="5062" priority="6670" stopIfTrue="1" operator="equal">
      <formula>"Napkin Hs"</formula>
    </cfRule>
  </conditionalFormatting>
  <conditionalFormatting sqref="C42">
    <cfRule type="cellIs" dxfId="5061" priority="6667" stopIfTrue="1" operator="equal">
      <formula>"Towel"</formula>
    </cfRule>
    <cfRule type="cellIs" dxfId="5060" priority="6668" stopIfTrue="1" operator="equal">
      <formula>"Napkin Hs"</formula>
    </cfRule>
  </conditionalFormatting>
  <conditionalFormatting sqref="C42">
    <cfRule type="cellIs" dxfId="5059" priority="6665" stopIfTrue="1" operator="equal">
      <formula>"Towel"</formula>
    </cfRule>
    <cfRule type="cellIs" dxfId="5058" priority="6666" stopIfTrue="1" operator="equal">
      <formula>"Napkin Hs"</formula>
    </cfRule>
  </conditionalFormatting>
  <conditionalFormatting sqref="C42">
    <cfRule type="cellIs" dxfId="5057" priority="6649" stopIfTrue="1" operator="equal">
      <formula>"Towel"</formula>
    </cfRule>
    <cfRule type="cellIs" dxfId="5056" priority="6650" stopIfTrue="1" operator="equal">
      <formula>"Napkin Hs"</formula>
    </cfRule>
  </conditionalFormatting>
  <conditionalFormatting sqref="C42">
    <cfRule type="cellIs" dxfId="5055" priority="6651" stopIfTrue="1" operator="equal">
      <formula>"Towel"</formula>
    </cfRule>
    <cfRule type="cellIs" dxfId="5054" priority="6652" stopIfTrue="1" operator="equal">
      <formula>"Napkin Hs"</formula>
    </cfRule>
  </conditionalFormatting>
  <conditionalFormatting sqref="C42">
    <cfRule type="cellIs" dxfId="5053" priority="6647" stopIfTrue="1" operator="equal">
      <formula>"Towel"</formula>
    </cfRule>
    <cfRule type="cellIs" dxfId="5052" priority="6648" stopIfTrue="1" operator="equal">
      <formula>"Napkin Hs"</formula>
    </cfRule>
  </conditionalFormatting>
  <conditionalFormatting sqref="C42">
    <cfRule type="cellIs" dxfId="5051" priority="6645" stopIfTrue="1" operator="equal">
      <formula>"Towel"</formula>
    </cfRule>
    <cfRule type="cellIs" dxfId="5050" priority="6646" stopIfTrue="1" operator="equal">
      <formula>"Napkin Hs"</formula>
    </cfRule>
  </conditionalFormatting>
  <conditionalFormatting sqref="C42">
    <cfRule type="cellIs" dxfId="5049" priority="6641" stopIfTrue="1" operator="equal">
      <formula>"Towel"</formula>
    </cfRule>
    <cfRule type="cellIs" dxfId="5048" priority="6642" stopIfTrue="1" operator="equal">
      <formula>"Napkin Hs"</formula>
    </cfRule>
  </conditionalFormatting>
  <conditionalFormatting sqref="C42">
    <cfRule type="cellIs" dxfId="5047" priority="6643" stopIfTrue="1" operator="equal">
      <formula>"Towel"</formula>
    </cfRule>
    <cfRule type="cellIs" dxfId="5046" priority="6644" stopIfTrue="1" operator="equal">
      <formula>"Napkin Hs"</formula>
    </cfRule>
  </conditionalFormatting>
  <conditionalFormatting sqref="C42">
    <cfRule type="cellIs" dxfId="5045" priority="6637" stopIfTrue="1" operator="equal">
      <formula>"Towel"</formula>
    </cfRule>
    <cfRule type="cellIs" dxfId="5044" priority="6638" stopIfTrue="1" operator="equal">
      <formula>"Napkin Hs"</formula>
    </cfRule>
  </conditionalFormatting>
  <conditionalFormatting sqref="C42">
    <cfRule type="cellIs" dxfId="5043" priority="6639" stopIfTrue="1" operator="equal">
      <formula>"Towel"</formula>
    </cfRule>
    <cfRule type="cellIs" dxfId="5042" priority="6640" stopIfTrue="1" operator="equal">
      <formula>"Napkin Hs"</formula>
    </cfRule>
  </conditionalFormatting>
  <conditionalFormatting sqref="C42">
    <cfRule type="cellIs" dxfId="5041" priority="6635" stopIfTrue="1" operator="equal">
      <formula>"Towel"</formula>
    </cfRule>
    <cfRule type="cellIs" dxfId="5040" priority="6636" stopIfTrue="1" operator="equal">
      <formula>"Napkin Hs"</formula>
    </cfRule>
  </conditionalFormatting>
  <conditionalFormatting sqref="C42">
    <cfRule type="cellIs" dxfId="5039" priority="6633" stopIfTrue="1" operator="equal">
      <formula>"Towel"</formula>
    </cfRule>
    <cfRule type="cellIs" dxfId="5038" priority="6634" stopIfTrue="1" operator="equal">
      <formula>"Napkin Hs"</formula>
    </cfRule>
  </conditionalFormatting>
  <conditionalFormatting sqref="C42">
    <cfRule type="cellIs" dxfId="5037" priority="6629" stopIfTrue="1" operator="equal">
      <formula>"Towel"</formula>
    </cfRule>
    <cfRule type="cellIs" dxfId="5036" priority="6630" stopIfTrue="1" operator="equal">
      <formula>"Napkin Hs"</formula>
    </cfRule>
  </conditionalFormatting>
  <conditionalFormatting sqref="C42">
    <cfRule type="cellIs" dxfId="5035" priority="6631" stopIfTrue="1" operator="equal">
      <formula>"Towel"</formula>
    </cfRule>
    <cfRule type="cellIs" dxfId="5034" priority="6632" stopIfTrue="1" operator="equal">
      <formula>"Napkin Hs"</formula>
    </cfRule>
  </conditionalFormatting>
  <conditionalFormatting sqref="B42">
    <cfRule type="cellIs" dxfId="5033" priority="6627" stopIfTrue="1" operator="equal">
      <formula>"Towel"</formula>
    </cfRule>
    <cfRule type="cellIs" dxfId="5032" priority="6628" stopIfTrue="1" operator="equal">
      <formula>"Napkin Hs"</formula>
    </cfRule>
  </conditionalFormatting>
  <conditionalFormatting sqref="B42">
    <cfRule type="cellIs" dxfId="5031" priority="6611" stopIfTrue="1" operator="equal">
      <formula>"Towel"</formula>
    </cfRule>
    <cfRule type="cellIs" dxfId="5030" priority="6612" stopIfTrue="1" operator="equal">
      <formula>"Napkin Hs"</formula>
    </cfRule>
  </conditionalFormatting>
  <conditionalFormatting sqref="B42">
    <cfRule type="cellIs" dxfId="5029" priority="6609" stopIfTrue="1" operator="equal">
      <formula>"Towel"</formula>
    </cfRule>
    <cfRule type="cellIs" dxfId="5028" priority="6610" stopIfTrue="1" operator="equal">
      <formula>"Napkin Hs"</formula>
    </cfRule>
  </conditionalFormatting>
  <conditionalFormatting sqref="B42">
    <cfRule type="cellIs" dxfId="5027" priority="6625" stopIfTrue="1" operator="equal">
      <formula>"Towel"</formula>
    </cfRule>
    <cfRule type="cellIs" dxfId="5026" priority="6626" stopIfTrue="1" operator="equal">
      <formula>"Napkin Hs"</formula>
    </cfRule>
  </conditionalFormatting>
  <conditionalFormatting sqref="B42">
    <cfRule type="cellIs" dxfId="5025" priority="6621" stopIfTrue="1" operator="equal">
      <formula>"Towel"</formula>
    </cfRule>
    <cfRule type="cellIs" dxfId="5024" priority="6622" stopIfTrue="1" operator="equal">
      <formula>"Napkin Hs"</formula>
    </cfRule>
  </conditionalFormatting>
  <conditionalFormatting sqref="B42">
    <cfRule type="cellIs" dxfId="5023" priority="6623" stopIfTrue="1" operator="equal">
      <formula>"Towel"</formula>
    </cfRule>
    <cfRule type="cellIs" dxfId="5022" priority="6624" stopIfTrue="1" operator="equal">
      <formula>"Napkin Hs"</formula>
    </cfRule>
  </conditionalFormatting>
  <conditionalFormatting sqref="B42">
    <cfRule type="cellIs" dxfId="5021" priority="6617" stopIfTrue="1" operator="equal">
      <formula>"Towel"</formula>
    </cfRule>
    <cfRule type="cellIs" dxfId="5020" priority="6618" stopIfTrue="1" operator="equal">
      <formula>"Napkin Hs"</formula>
    </cfRule>
  </conditionalFormatting>
  <conditionalFormatting sqref="B42">
    <cfRule type="cellIs" dxfId="5019" priority="6619" stopIfTrue="1" operator="equal">
      <formula>"Towel"</formula>
    </cfRule>
    <cfRule type="cellIs" dxfId="5018" priority="6620" stopIfTrue="1" operator="equal">
      <formula>"Napkin Hs"</formula>
    </cfRule>
  </conditionalFormatting>
  <conditionalFormatting sqref="B42">
    <cfRule type="cellIs" dxfId="5017" priority="6615" stopIfTrue="1" operator="equal">
      <formula>"Towel"</formula>
    </cfRule>
    <cfRule type="cellIs" dxfId="5016" priority="6616" stopIfTrue="1" operator="equal">
      <formula>"Napkin Hs"</formula>
    </cfRule>
  </conditionalFormatting>
  <conditionalFormatting sqref="B42">
    <cfRule type="cellIs" dxfId="5015" priority="6613" stopIfTrue="1" operator="equal">
      <formula>"Towel"</formula>
    </cfRule>
    <cfRule type="cellIs" dxfId="5014" priority="6614" stopIfTrue="1" operator="equal">
      <formula>"Napkin Hs"</formula>
    </cfRule>
  </conditionalFormatting>
  <conditionalFormatting sqref="B42">
    <cfRule type="cellIs" dxfId="5013" priority="6607" stopIfTrue="1" operator="equal">
      <formula>"Towel"</formula>
    </cfRule>
    <cfRule type="cellIs" dxfId="5012" priority="6608" stopIfTrue="1" operator="equal">
      <formula>"Napkin Hs"</formula>
    </cfRule>
  </conditionalFormatting>
  <conditionalFormatting sqref="B42">
    <cfRule type="cellIs" dxfId="5011" priority="6605" stopIfTrue="1" operator="equal">
      <formula>"Towel"</formula>
    </cfRule>
    <cfRule type="cellIs" dxfId="5010" priority="6606" stopIfTrue="1" operator="equal">
      <formula>"Napkin Hs"</formula>
    </cfRule>
  </conditionalFormatting>
  <conditionalFormatting sqref="B42">
    <cfRule type="cellIs" dxfId="5009" priority="6603" stopIfTrue="1" operator="equal">
      <formula>"Towel"</formula>
    </cfRule>
    <cfRule type="cellIs" dxfId="5008" priority="6604" stopIfTrue="1" operator="equal">
      <formula>"Napkin Hs"</formula>
    </cfRule>
  </conditionalFormatting>
  <conditionalFormatting sqref="B42">
    <cfRule type="cellIs" dxfId="5007" priority="6601" stopIfTrue="1" operator="equal">
      <formula>"Towel"</formula>
    </cfRule>
    <cfRule type="cellIs" dxfId="5006" priority="6602" stopIfTrue="1" operator="equal">
      <formula>"Napkin Hs"</formula>
    </cfRule>
  </conditionalFormatting>
  <conditionalFormatting sqref="C43:C45">
    <cfRule type="cellIs" dxfId="5005" priority="6593" stopIfTrue="1" operator="equal">
      <formula>"Towel"</formula>
    </cfRule>
    <cfRule type="cellIs" dxfId="5004" priority="6594" stopIfTrue="1" operator="equal">
      <formula>"Napkin Hs"</formula>
    </cfRule>
  </conditionalFormatting>
  <conditionalFormatting sqref="C43:C45">
    <cfRule type="cellIs" dxfId="5003" priority="6595" stopIfTrue="1" operator="equal">
      <formula>"Towel"</formula>
    </cfRule>
    <cfRule type="cellIs" dxfId="5002" priority="6596" stopIfTrue="1" operator="equal">
      <formula>"Napkin Hs"</formula>
    </cfRule>
  </conditionalFormatting>
  <conditionalFormatting sqref="C43:C45">
    <cfRule type="cellIs" dxfId="5001" priority="6591" stopIfTrue="1" operator="equal">
      <formula>"Towel"</formula>
    </cfRule>
    <cfRule type="cellIs" dxfId="5000" priority="6592" stopIfTrue="1" operator="equal">
      <formula>"Napkin Hs"</formula>
    </cfRule>
  </conditionalFormatting>
  <conditionalFormatting sqref="C43:C45">
    <cfRule type="cellIs" dxfId="4999" priority="6589" stopIfTrue="1" operator="equal">
      <formula>"Towel"</formula>
    </cfRule>
    <cfRule type="cellIs" dxfId="4998" priority="6590" stopIfTrue="1" operator="equal">
      <formula>"Napkin Hs"</formula>
    </cfRule>
  </conditionalFormatting>
  <conditionalFormatting sqref="C43:C45">
    <cfRule type="cellIs" dxfId="4997" priority="6597" stopIfTrue="1" operator="equal">
      <formula>"Towel"</formula>
    </cfRule>
    <cfRule type="cellIs" dxfId="4996" priority="6598" stopIfTrue="1" operator="equal">
      <formula>"Napkin Hs"</formula>
    </cfRule>
  </conditionalFormatting>
  <conditionalFormatting sqref="C43:C45">
    <cfRule type="cellIs" dxfId="4995" priority="6599" stopIfTrue="1" operator="equal">
      <formula>"Towel"</formula>
    </cfRule>
    <cfRule type="cellIs" dxfId="4994" priority="6600" stopIfTrue="1" operator="equal">
      <formula>"Napkin Hs"</formula>
    </cfRule>
  </conditionalFormatting>
  <conditionalFormatting sqref="C43:C45">
    <cfRule type="cellIs" dxfId="4993" priority="6585" stopIfTrue="1" operator="equal">
      <formula>"Towel"</formula>
    </cfRule>
    <cfRule type="cellIs" dxfId="4992" priority="6586" stopIfTrue="1" operator="equal">
      <formula>"Napkin Hs"</formula>
    </cfRule>
  </conditionalFormatting>
  <conditionalFormatting sqref="C43:C45">
    <cfRule type="cellIs" dxfId="4991" priority="6587" stopIfTrue="1" operator="equal">
      <formula>"Towel"</formula>
    </cfRule>
    <cfRule type="cellIs" dxfId="4990" priority="6588" stopIfTrue="1" operator="equal">
      <formula>"Napkin Hs"</formula>
    </cfRule>
  </conditionalFormatting>
  <conditionalFormatting sqref="C43:C45">
    <cfRule type="cellIs" dxfId="4989" priority="6583" stopIfTrue="1" operator="equal">
      <formula>"Towel"</formula>
    </cfRule>
    <cfRule type="cellIs" dxfId="4988" priority="6584" stopIfTrue="1" operator="equal">
      <formula>"Napkin Hs"</formula>
    </cfRule>
  </conditionalFormatting>
  <conditionalFormatting sqref="C43:C45">
    <cfRule type="cellIs" dxfId="4987" priority="6577" stopIfTrue="1" operator="equal">
      <formula>"Towel"</formula>
    </cfRule>
    <cfRule type="cellIs" dxfId="4986" priority="6578" stopIfTrue="1" operator="equal">
      <formula>"Napkin Hs"</formula>
    </cfRule>
  </conditionalFormatting>
  <conditionalFormatting sqref="C43:C45">
    <cfRule type="cellIs" dxfId="4985" priority="6579" stopIfTrue="1" operator="equal">
      <formula>"Towel"</formula>
    </cfRule>
    <cfRule type="cellIs" dxfId="4984" priority="6580" stopIfTrue="1" operator="equal">
      <formula>"Napkin Hs"</formula>
    </cfRule>
  </conditionalFormatting>
  <conditionalFormatting sqref="C43:C45">
    <cfRule type="cellIs" dxfId="4983" priority="6581" stopIfTrue="1" operator="equal">
      <formula>"Towel"</formula>
    </cfRule>
    <cfRule type="cellIs" dxfId="4982" priority="6582" stopIfTrue="1" operator="equal">
      <formula>"Napkin Hs"</formula>
    </cfRule>
  </conditionalFormatting>
  <conditionalFormatting sqref="C43:C45">
    <cfRule type="cellIs" dxfId="4981" priority="6531" stopIfTrue="1" operator="equal">
      <formula>"Towel"</formula>
    </cfRule>
    <cfRule type="cellIs" dxfId="4980" priority="6532" stopIfTrue="1" operator="equal">
      <formula>"Napkin Hs"</formula>
    </cfRule>
  </conditionalFormatting>
  <conditionalFormatting sqref="C43:C45">
    <cfRule type="cellIs" dxfId="4979" priority="6533" stopIfTrue="1" operator="equal">
      <formula>"Towel"</formula>
    </cfRule>
    <cfRule type="cellIs" dxfId="4978" priority="6534" stopIfTrue="1" operator="equal">
      <formula>"Napkin Hs"</formula>
    </cfRule>
  </conditionalFormatting>
  <conditionalFormatting sqref="C43:C45">
    <cfRule type="cellIs" dxfId="4977" priority="6529" stopIfTrue="1" operator="equal">
      <formula>"Towel"</formula>
    </cfRule>
    <cfRule type="cellIs" dxfId="4976" priority="6530" stopIfTrue="1" operator="equal">
      <formula>"Napkin Hs"</formula>
    </cfRule>
  </conditionalFormatting>
  <conditionalFormatting sqref="C43:C45">
    <cfRule type="cellIs" dxfId="4975" priority="6527" stopIfTrue="1" operator="equal">
      <formula>"Towel"</formula>
    </cfRule>
    <cfRule type="cellIs" dxfId="4974" priority="6528" stopIfTrue="1" operator="equal">
      <formula>"Napkin Hs"</formula>
    </cfRule>
  </conditionalFormatting>
  <conditionalFormatting sqref="C43:C45">
    <cfRule type="cellIs" dxfId="4973" priority="6523" stopIfTrue="1" operator="equal">
      <formula>"Towel"</formula>
    </cfRule>
    <cfRule type="cellIs" dxfId="4972" priority="6524" stopIfTrue="1" operator="equal">
      <formula>"Napkin Hs"</formula>
    </cfRule>
  </conditionalFormatting>
  <conditionalFormatting sqref="C43:C45">
    <cfRule type="cellIs" dxfId="4971" priority="6525" stopIfTrue="1" operator="equal">
      <formula>"Towel"</formula>
    </cfRule>
    <cfRule type="cellIs" dxfId="4970" priority="6526" stopIfTrue="1" operator="equal">
      <formula>"Napkin Hs"</formula>
    </cfRule>
  </conditionalFormatting>
  <conditionalFormatting sqref="C43:C45">
    <cfRule type="cellIs" dxfId="4969" priority="6575" stopIfTrue="1" operator="equal">
      <formula>"Towel"</formula>
    </cfRule>
    <cfRule type="cellIs" dxfId="4968" priority="6576" stopIfTrue="1" operator="equal">
      <formula>"Napkin Hs"</formula>
    </cfRule>
  </conditionalFormatting>
  <conditionalFormatting sqref="C43:C45">
    <cfRule type="cellIs" dxfId="4967" priority="6571" stopIfTrue="1" operator="equal">
      <formula>"Towel"</formula>
    </cfRule>
    <cfRule type="cellIs" dxfId="4966" priority="6572" stopIfTrue="1" operator="equal">
      <formula>"Napkin Hs"</formula>
    </cfRule>
  </conditionalFormatting>
  <conditionalFormatting sqref="C43:C45">
    <cfRule type="cellIs" dxfId="4965" priority="6574" stopIfTrue="1" operator="equal">
      <formula>"Napkin Hs"</formula>
    </cfRule>
  </conditionalFormatting>
  <conditionalFormatting sqref="C43:C45">
    <cfRule type="cellIs" dxfId="4964" priority="6573" stopIfTrue="1" operator="equal">
      <formula>"Towel"</formula>
    </cfRule>
  </conditionalFormatting>
  <conditionalFormatting sqref="C43:C45">
    <cfRule type="cellIs" dxfId="4963" priority="6565" stopIfTrue="1" operator="equal">
      <formula>"Towel"</formula>
    </cfRule>
    <cfRule type="cellIs" dxfId="4962" priority="6566" stopIfTrue="1" operator="equal">
      <formula>"Napkin Hs"</formula>
    </cfRule>
  </conditionalFormatting>
  <conditionalFormatting sqref="C43:C45">
    <cfRule type="cellIs" dxfId="4961" priority="6569" stopIfTrue="1" operator="equal">
      <formula>"Towel"</formula>
    </cfRule>
    <cfRule type="cellIs" dxfId="4960" priority="6570" stopIfTrue="1" operator="equal">
      <formula>"Napkin Hs"</formula>
    </cfRule>
  </conditionalFormatting>
  <conditionalFormatting sqref="C43:C45">
    <cfRule type="cellIs" dxfId="4959" priority="6567" stopIfTrue="1" operator="equal">
      <formula>"Towel"</formula>
    </cfRule>
    <cfRule type="cellIs" dxfId="4958" priority="6568" stopIfTrue="1" operator="equal">
      <formula>"Napkin Hs"</formula>
    </cfRule>
  </conditionalFormatting>
  <conditionalFormatting sqref="C43:C45">
    <cfRule type="cellIs" dxfId="4957" priority="6559" stopIfTrue="1" operator="equal">
      <formula>"Towel"</formula>
    </cfRule>
    <cfRule type="cellIs" dxfId="4956" priority="6560" stopIfTrue="1" operator="equal">
      <formula>"Napkin Hs"</formula>
    </cfRule>
  </conditionalFormatting>
  <conditionalFormatting sqref="C43:C45">
    <cfRule type="cellIs" dxfId="4955" priority="6561" stopIfTrue="1" operator="equal">
      <formula>"Towel"</formula>
    </cfRule>
    <cfRule type="cellIs" dxfId="4954" priority="6562" stopIfTrue="1" operator="equal">
      <formula>"Napkin Hs"</formula>
    </cfRule>
  </conditionalFormatting>
  <conditionalFormatting sqref="C43:C45">
    <cfRule type="cellIs" dxfId="4953" priority="6563" stopIfTrue="1" operator="equal">
      <formula>"Towel"</formula>
    </cfRule>
    <cfRule type="cellIs" dxfId="4952" priority="6564" stopIfTrue="1" operator="equal">
      <formula>"Napkin Hs"</formula>
    </cfRule>
  </conditionalFormatting>
  <conditionalFormatting sqref="C43:C45">
    <cfRule type="cellIs" dxfId="4951" priority="6553" stopIfTrue="1" operator="equal">
      <formula>"Towel"</formula>
    </cfRule>
    <cfRule type="cellIs" dxfId="4950" priority="6554" stopIfTrue="1" operator="equal">
      <formula>"Napkin Hs"</formula>
    </cfRule>
  </conditionalFormatting>
  <conditionalFormatting sqref="C43:C45">
    <cfRule type="cellIs" dxfId="4949" priority="6557" stopIfTrue="1" operator="equal">
      <formula>"Towel"</formula>
    </cfRule>
    <cfRule type="cellIs" dxfId="4948" priority="6558" stopIfTrue="1" operator="equal">
      <formula>"Napkin Hs"</formula>
    </cfRule>
  </conditionalFormatting>
  <conditionalFormatting sqref="C43:C45">
    <cfRule type="cellIs" dxfId="4947" priority="6555" stopIfTrue="1" operator="equal">
      <formula>"Towel"</formula>
    </cfRule>
    <cfRule type="cellIs" dxfId="4946" priority="6556" stopIfTrue="1" operator="equal">
      <formula>"Napkin Hs"</formula>
    </cfRule>
  </conditionalFormatting>
  <conditionalFormatting sqref="C43:C45">
    <cfRule type="cellIs" dxfId="4945" priority="6547" stopIfTrue="1" operator="equal">
      <formula>"Towel"</formula>
    </cfRule>
    <cfRule type="cellIs" dxfId="4944" priority="6548" stopIfTrue="1" operator="equal">
      <formula>"Napkin Hs"</formula>
    </cfRule>
  </conditionalFormatting>
  <conditionalFormatting sqref="C43:C45">
    <cfRule type="cellIs" dxfId="4943" priority="6549" stopIfTrue="1" operator="equal">
      <formula>"Towel"</formula>
    </cfRule>
    <cfRule type="cellIs" dxfId="4942" priority="6550" stopIfTrue="1" operator="equal">
      <formula>"Napkin Hs"</formula>
    </cfRule>
  </conditionalFormatting>
  <conditionalFormatting sqref="C43:C45">
    <cfRule type="cellIs" dxfId="4941" priority="6551" stopIfTrue="1" operator="equal">
      <formula>"Towel"</formula>
    </cfRule>
    <cfRule type="cellIs" dxfId="4940" priority="6552" stopIfTrue="1" operator="equal">
      <formula>"Napkin Hs"</formula>
    </cfRule>
  </conditionalFormatting>
  <conditionalFormatting sqref="C43:C45">
    <cfRule type="cellIs" dxfId="4939" priority="6545" stopIfTrue="1" operator="equal">
      <formula>"Towel"</formula>
    </cfRule>
    <cfRule type="cellIs" dxfId="4938" priority="6546" stopIfTrue="1" operator="equal">
      <formula>"Napkin Hs"</formula>
    </cfRule>
  </conditionalFormatting>
  <conditionalFormatting sqref="C43:C45">
    <cfRule type="cellIs" dxfId="4937" priority="6541" stopIfTrue="1" operator="equal">
      <formula>"Towel"</formula>
    </cfRule>
    <cfRule type="cellIs" dxfId="4936" priority="6542" stopIfTrue="1" operator="equal">
      <formula>"Napkin Hs"</formula>
    </cfRule>
  </conditionalFormatting>
  <conditionalFormatting sqref="C43:C45">
    <cfRule type="cellIs" dxfId="4935" priority="6543" stopIfTrue="1" operator="equal">
      <formula>"Towel"</formula>
    </cfRule>
    <cfRule type="cellIs" dxfId="4934" priority="6544" stopIfTrue="1" operator="equal">
      <formula>"Napkin Hs"</formula>
    </cfRule>
  </conditionalFormatting>
  <conditionalFormatting sqref="C43:C45">
    <cfRule type="cellIs" dxfId="4933" priority="6539" stopIfTrue="1" operator="equal">
      <formula>"Towel"</formula>
    </cfRule>
    <cfRule type="cellIs" dxfId="4932" priority="6540" stopIfTrue="1" operator="equal">
      <formula>"Napkin Hs"</formula>
    </cfRule>
  </conditionalFormatting>
  <conditionalFormatting sqref="C43:C45">
    <cfRule type="cellIs" dxfId="4931" priority="6537" stopIfTrue="1" operator="equal">
      <formula>"Towel"</formula>
    </cfRule>
    <cfRule type="cellIs" dxfId="4930" priority="6538" stopIfTrue="1" operator="equal">
      <formula>"Napkin Hs"</formula>
    </cfRule>
  </conditionalFormatting>
  <conditionalFormatting sqref="C43:C45">
    <cfRule type="cellIs" dxfId="4929" priority="6535" stopIfTrue="1" operator="equal">
      <formula>"Towel"</formula>
    </cfRule>
    <cfRule type="cellIs" dxfId="4928" priority="6536" stopIfTrue="1" operator="equal">
      <formula>"Napkin Hs"</formula>
    </cfRule>
  </conditionalFormatting>
  <conditionalFormatting sqref="C43:C45">
    <cfRule type="cellIs" dxfId="4927" priority="6519" stopIfTrue="1" operator="equal">
      <formula>"Towel"</formula>
    </cfRule>
    <cfRule type="cellIs" dxfId="4926" priority="6520" stopIfTrue="1" operator="equal">
      <formula>"Napkin Hs"</formula>
    </cfRule>
  </conditionalFormatting>
  <conditionalFormatting sqref="C43:C45">
    <cfRule type="cellIs" dxfId="4925" priority="6521" stopIfTrue="1" operator="equal">
      <formula>"Towel"</formula>
    </cfRule>
    <cfRule type="cellIs" dxfId="4924" priority="6522" stopIfTrue="1" operator="equal">
      <formula>"Napkin Hs"</formula>
    </cfRule>
  </conditionalFormatting>
  <conditionalFormatting sqref="C43:C45">
    <cfRule type="cellIs" dxfId="4923" priority="6517" stopIfTrue="1" operator="equal">
      <formula>"Towel"</formula>
    </cfRule>
    <cfRule type="cellIs" dxfId="4922" priority="6518" stopIfTrue="1" operator="equal">
      <formula>"Napkin Hs"</formula>
    </cfRule>
  </conditionalFormatting>
  <conditionalFormatting sqref="C43:C45">
    <cfRule type="cellIs" dxfId="4921" priority="6515" stopIfTrue="1" operator="equal">
      <formula>"Towel"</formula>
    </cfRule>
    <cfRule type="cellIs" dxfId="4920" priority="6516" stopIfTrue="1" operator="equal">
      <formula>"Napkin Hs"</formula>
    </cfRule>
  </conditionalFormatting>
  <conditionalFormatting sqref="C43:C45">
    <cfRule type="cellIs" dxfId="4919" priority="6511" stopIfTrue="1" operator="equal">
      <formula>"Towel"</formula>
    </cfRule>
    <cfRule type="cellIs" dxfId="4918" priority="6512" stopIfTrue="1" operator="equal">
      <formula>"Napkin Hs"</formula>
    </cfRule>
  </conditionalFormatting>
  <conditionalFormatting sqref="C43:C45">
    <cfRule type="cellIs" dxfId="4917" priority="6513" stopIfTrue="1" operator="equal">
      <formula>"Towel"</formula>
    </cfRule>
    <cfRule type="cellIs" dxfId="4916" priority="6514" stopIfTrue="1" operator="equal">
      <formula>"Napkin Hs"</formula>
    </cfRule>
  </conditionalFormatting>
  <conditionalFormatting sqref="C43:C45">
    <cfRule type="cellIs" dxfId="4915" priority="6507" stopIfTrue="1" operator="equal">
      <formula>"Towel"</formula>
    </cfRule>
    <cfRule type="cellIs" dxfId="4914" priority="6508" stopIfTrue="1" operator="equal">
      <formula>"Napkin Hs"</formula>
    </cfRule>
  </conditionalFormatting>
  <conditionalFormatting sqref="C43:C45">
    <cfRule type="cellIs" dxfId="4913" priority="6509" stopIfTrue="1" operator="equal">
      <formula>"Towel"</formula>
    </cfRule>
    <cfRule type="cellIs" dxfId="4912" priority="6510" stopIfTrue="1" operator="equal">
      <formula>"Napkin Hs"</formula>
    </cfRule>
  </conditionalFormatting>
  <conditionalFormatting sqref="C43:C45">
    <cfRule type="cellIs" dxfId="4911" priority="6505" stopIfTrue="1" operator="equal">
      <formula>"Towel"</formula>
    </cfRule>
    <cfRule type="cellIs" dxfId="4910" priority="6506" stopIfTrue="1" operator="equal">
      <formula>"Napkin Hs"</formula>
    </cfRule>
  </conditionalFormatting>
  <conditionalFormatting sqref="C43:C45">
    <cfRule type="cellIs" dxfId="4909" priority="6503" stopIfTrue="1" operator="equal">
      <formula>"Towel"</formula>
    </cfRule>
    <cfRule type="cellIs" dxfId="4908" priority="6504" stopIfTrue="1" operator="equal">
      <formula>"Napkin Hs"</formula>
    </cfRule>
  </conditionalFormatting>
  <conditionalFormatting sqref="C43:C45">
    <cfRule type="cellIs" dxfId="4907" priority="6499" stopIfTrue="1" operator="equal">
      <formula>"Towel"</formula>
    </cfRule>
    <cfRule type="cellIs" dxfId="4906" priority="6500" stopIfTrue="1" operator="equal">
      <formula>"Napkin Hs"</formula>
    </cfRule>
  </conditionalFormatting>
  <conditionalFormatting sqref="C43:C45">
    <cfRule type="cellIs" dxfId="4905" priority="6501" stopIfTrue="1" operator="equal">
      <formula>"Towel"</formula>
    </cfRule>
    <cfRule type="cellIs" dxfId="4904" priority="6502" stopIfTrue="1" operator="equal">
      <formula>"Napkin Hs"</formula>
    </cfRule>
  </conditionalFormatting>
  <conditionalFormatting sqref="B43:B45">
    <cfRule type="cellIs" dxfId="4903" priority="6497" stopIfTrue="1" operator="equal">
      <formula>"Towel"</formula>
    </cfRule>
    <cfRule type="cellIs" dxfId="4902" priority="6498" stopIfTrue="1" operator="equal">
      <formula>"Napkin Hs"</formula>
    </cfRule>
  </conditionalFormatting>
  <conditionalFormatting sqref="B43:B45">
    <cfRule type="cellIs" dxfId="4901" priority="6481" stopIfTrue="1" operator="equal">
      <formula>"Towel"</formula>
    </cfRule>
    <cfRule type="cellIs" dxfId="4900" priority="6482" stopIfTrue="1" operator="equal">
      <formula>"Napkin Hs"</formula>
    </cfRule>
  </conditionalFormatting>
  <conditionalFormatting sqref="B43:B45">
    <cfRule type="cellIs" dxfId="4899" priority="6479" stopIfTrue="1" operator="equal">
      <formula>"Towel"</formula>
    </cfRule>
    <cfRule type="cellIs" dxfId="4898" priority="6480" stopIfTrue="1" operator="equal">
      <formula>"Napkin Hs"</formula>
    </cfRule>
  </conditionalFormatting>
  <conditionalFormatting sqref="B43:B45">
    <cfRule type="cellIs" dxfId="4897" priority="6495" stopIfTrue="1" operator="equal">
      <formula>"Towel"</formula>
    </cfRule>
    <cfRule type="cellIs" dxfId="4896" priority="6496" stopIfTrue="1" operator="equal">
      <formula>"Napkin Hs"</formula>
    </cfRule>
  </conditionalFormatting>
  <conditionalFormatting sqref="B43:B45">
    <cfRule type="cellIs" dxfId="4895" priority="6491" stopIfTrue="1" operator="equal">
      <formula>"Towel"</formula>
    </cfRule>
    <cfRule type="cellIs" dxfId="4894" priority="6492" stopIfTrue="1" operator="equal">
      <formula>"Napkin Hs"</formula>
    </cfRule>
  </conditionalFormatting>
  <conditionalFormatting sqref="B43:B45">
    <cfRule type="cellIs" dxfId="4893" priority="6493" stopIfTrue="1" operator="equal">
      <formula>"Towel"</formula>
    </cfRule>
    <cfRule type="cellIs" dxfId="4892" priority="6494" stopIfTrue="1" operator="equal">
      <formula>"Napkin Hs"</formula>
    </cfRule>
  </conditionalFormatting>
  <conditionalFormatting sqref="B43:B45">
    <cfRule type="cellIs" dxfId="4891" priority="6487" stopIfTrue="1" operator="equal">
      <formula>"Towel"</formula>
    </cfRule>
    <cfRule type="cellIs" dxfId="4890" priority="6488" stopIfTrue="1" operator="equal">
      <formula>"Napkin Hs"</formula>
    </cfRule>
  </conditionalFormatting>
  <conditionalFormatting sqref="B43:B45">
    <cfRule type="cellIs" dxfId="4889" priority="6489" stopIfTrue="1" operator="equal">
      <formula>"Towel"</formula>
    </cfRule>
    <cfRule type="cellIs" dxfId="4888" priority="6490" stopIfTrue="1" operator="equal">
      <formula>"Napkin Hs"</formula>
    </cfRule>
  </conditionalFormatting>
  <conditionalFormatting sqref="B43:B45">
    <cfRule type="cellIs" dxfId="4887" priority="6485" stopIfTrue="1" operator="equal">
      <formula>"Towel"</formula>
    </cfRule>
    <cfRule type="cellIs" dxfId="4886" priority="6486" stopIfTrue="1" operator="equal">
      <formula>"Napkin Hs"</formula>
    </cfRule>
  </conditionalFormatting>
  <conditionalFormatting sqref="B43:B45">
    <cfRule type="cellIs" dxfId="4885" priority="6483" stopIfTrue="1" operator="equal">
      <formula>"Towel"</formula>
    </cfRule>
    <cfRule type="cellIs" dxfId="4884" priority="6484" stopIfTrue="1" operator="equal">
      <formula>"Napkin Hs"</formula>
    </cfRule>
  </conditionalFormatting>
  <conditionalFormatting sqref="B43:B45">
    <cfRule type="cellIs" dxfId="4883" priority="6477" stopIfTrue="1" operator="equal">
      <formula>"Towel"</formula>
    </cfRule>
    <cfRule type="cellIs" dxfId="4882" priority="6478" stopIfTrue="1" operator="equal">
      <formula>"Napkin Hs"</formula>
    </cfRule>
  </conditionalFormatting>
  <conditionalFormatting sqref="B43:B45">
    <cfRule type="cellIs" dxfId="4881" priority="6475" stopIfTrue="1" operator="equal">
      <formula>"Towel"</formula>
    </cfRule>
    <cfRule type="cellIs" dxfId="4880" priority="6476" stopIfTrue="1" operator="equal">
      <formula>"Napkin Hs"</formula>
    </cfRule>
  </conditionalFormatting>
  <conditionalFormatting sqref="B43:B45">
    <cfRule type="cellIs" dxfId="4879" priority="6473" stopIfTrue="1" operator="equal">
      <formula>"Towel"</formula>
    </cfRule>
    <cfRule type="cellIs" dxfId="4878" priority="6474" stopIfTrue="1" operator="equal">
      <formula>"Napkin Hs"</formula>
    </cfRule>
  </conditionalFormatting>
  <conditionalFormatting sqref="B43:B45">
    <cfRule type="cellIs" dxfId="4877" priority="6471" stopIfTrue="1" operator="equal">
      <formula>"Towel"</formula>
    </cfRule>
    <cfRule type="cellIs" dxfId="4876" priority="6472" stopIfTrue="1" operator="equal">
      <formula>"Napkin Hs"</formula>
    </cfRule>
  </conditionalFormatting>
  <conditionalFormatting sqref="B88:C88">
    <cfRule type="cellIs" dxfId="4875" priority="6049" stopIfTrue="1" operator="equal">
      <formula>"Towel"</formula>
    </cfRule>
    <cfRule type="cellIs" dxfId="4874" priority="6050" stopIfTrue="1" operator="equal">
      <formula>"Napkin Hs"</formula>
    </cfRule>
  </conditionalFormatting>
  <conditionalFormatting sqref="B87:C87">
    <cfRule type="cellIs" dxfId="4873" priority="6013" stopIfTrue="1" operator="equal">
      <formula>"Towel"</formula>
    </cfRule>
    <cfRule type="cellIs" dxfId="4872" priority="6014" stopIfTrue="1" operator="equal">
      <formula>"Napkin Hs"</formula>
    </cfRule>
  </conditionalFormatting>
  <conditionalFormatting sqref="C87">
    <cfRule type="cellIs" dxfId="4871" priority="6011" stopIfTrue="1" operator="equal">
      <formula>"Towel"</formula>
    </cfRule>
    <cfRule type="cellIs" dxfId="4870" priority="6012" stopIfTrue="1" operator="equal">
      <formula>"Napkin Hs"</formula>
    </cfRule>
  </conditionalFormatting>
  <conditionalFormatting sqref="C87">
    <cfRule type="cellIs" dxfId="4869" priority="6009" stopIfTrue="1" operator="equal">
      <formula>"Towel"</formula>
    </cfRule>
    <cfRule type="cellIs" dxfId="4868" priority="6010" stopIfTrue="1" operator="equal">
      <formula>"Napkin Hs"</formula>
    </cfRule>
  </conditionalFormatting>
  <conditionalFormatting sqref="C88">
    <cfRule type="cellIs" dxfId="4867" priority="6001" stopIfTrue="1" operator="equal">
      <formula>"Towel"</formula>
    </cfRule>
    <cfRule type="cellIs" dxfId="4866" priority="6002" stopIfTrue="1" operator="equal">
      <formula>"Napkin Hs"</formula>
    </cfRule>
  </conditionalFormatting>
  <conditionalFormatting sqref="B88:C88">
    <cfRule type="cellIs" dxfId="4865" priority="6003" stopIfTrue="1" operator="equal">
      <formula>"Towel"</formula>
    </cfRule>
    <cfRule type="cellIs" dxfId="4864" priority="6004" stopIfTrue="1" operator="equal">
      <formula>"Napkin Hs"</formula>
    </cfRule>
  </conditionalFormatting>
  <conditionalFormatting sqref="C88">
    <cfRule type="cellIs" dxfId="4863" priority="5999" stopIfTrue="1" operator="equal">
      <formula>"Towel"</formula>
    </cfRule>
    <cfRule type="cellIs" dxfId="4862" priority="6000" stopIfTrue="1" operator="equal">
      <formula>"Napkin Hs"</formula>
    </cfRule>
  </conditionalFormatting>
  <conditionalFormatting sqref="B88:C88">
    <cfRule type="cellIs" dxfId="4861" priority="5997" stopIfTrue="1" operator="equal">
      <formula>"Towel"</formula>
    </cfRule>
    <cfRule type="cellIs" dxfId="4860" priority="5998" stopIfTrue="1" operator="equal">
      <formula>"Napkin Hs"</formula>
    </cfRule>
  </conditionalFormatting>
  <conditionalFormatting sqref="C88">
    <cfRule type="cellIs" dxfId="4859" priority="6005" stopIfTrue="1" operator="equal">
      <formula>"Towel"</formula>
    </cfRule>
    <cfRule type="cellIs" dxfId="4858" priority="6006" stopIfTrue="1" operator="equal">
      <formula>"Napkin Hs"</formula>
    </cfRule>
  </conditionalFormatting>
  <conditionalFormatting sqref="C88">
    <cfRule type="cellIs" dxfId="4857" priority="6007" stopIfTrue="1" operator="equal">
      <formula>"Towel"</formula>
    </cfRule>
    <cfRule type="cellIs" dxfId="4856" priority="6008" stopIfTrue="1" operator="equal">
      <formula>"Napkin Hs"</formula>
    </cfRule>
  </conditionalFormatting>
  <conditionalFormatting sqref="B87:C87">
    <cfRule type="cellIs" dxfId="4855" priority="5995" stopIfTrue="1" operator="equal">
      <formula>"Towel"</formula>
    </cfRule>
    <cfRule type="cellIs" dxfId="4854" priority="5996" stopIfTrue="1" operator="equal">
      <formula>"Napkin Hs"</formula>
    </cfRule>
  </conditionalFormatting>
  <conditionalFormatting sqref="C87">
    <cfRule type="cellIs" dxfId="4853" priority="5991" stopIfTrue="1" operator="equal">
      <formula>"Towel"</formula>
    </cfRule>
    <cfRule type="cellIs" dxfId="4852" priority="5992" stopIfTrue="1" operator="equal">
      <formula>"Napkin Hs"</formula>
    </cfRule>
  </conditionalFormatting>
  <conditionalFormatting sqref="C87">
    <cfRule type="cellIs" dxfId="4851" priority="5993" stopIfTrue="1" operator="equal">
      <formula>"Towel"</formula>
    </cfRule>
    <cfRule type="cellIs" dxfId="4850" priority="5994" stopIfTrue="1" operator="equal">
      <formula>"Napkin Hs"</formula>
    </cfRule>
  </conditionalFormatting>
  <conditionalFormatting sqref="C88">
    <cfRule type="cellIs" dxfId="4849" priority="5983" stopIfTrue="1" operator="equal">
      <formula>"Towel"</formula>
    </cfRule>
    <cfRule type="cellIs" dxfId="4848" priority="5984" stopIfTrue="1" operator="equal">
      <formula>"Napkin Hs"</formula>
    </cfRule>
  </conditionalFormatting>
  <conditionalFormatting sqref="B88:C88">
    <cfRule type="cellIs" dxfId="4847" priority="5985" stopIfTrue="1" operator="equal">
      <formula>"Towel"</formula>
    </cfRule>
    <cfRule type="cellIs" dxfId="4846" priority="5986" stopIfTrue="1" operator="equal">
      <formula>"Napkin Hs"</formula>
    </cfRule>
  </conditionalFormatting>
  <conditionalFormatting sqref="C88">
    <cfRule type="cellIs" dxfId="4845" priority="5981" stopIfTrue="1" operator="equal">
      <formula>"Towel"</formula>
    </cfRule>
    <cfRule type="cellIs" dxfId="4844" priority="5982" stopIfTrue="1" operator="equal">
      <formula>"Napkin Hs"</formula>
    </cfRule>
  </conditionalFormatting>
  <conditionalFormatting sqref="B88:C88">
    <cfRule type="cellIs" dxfId="4843" priority="5979" stopIfTrue="1" operator="equal">
      <formula>"Towel"</formula>
    </cfRule>
    <cfRule type="cellIs" dxfId="4842" priority="5980" stopIfTrue="1" operator="equal">
      <formula>"Napkin Hs"</formula>
    </cfRule>
  </conditionalFormatting>
  <conditionalFormatting sqref="C88">
    <cfRule type="cellIs" dxfId="4841" priority="5987" stopIfTrue="1" operator="equal">
      <formula>"Towel"</formula>
    </cfRule>
    <cfRule type="cellIs" dxfId="4840" priority="5988" stopIfTrue="1" operator="equal">
      <formula>"Napkin Hs"</formula>
    </cfRule>
  </conditionalFormatting>
  <conditionalFormatting sqref="C88">
    <cfRule type="cellIs" dxfId="4839" priority="5989" stopIfTrue="1" operator="equal">
      <formula>"Towel"</formula>
    </cfRule>
    <cfRule type="cellIs" dxfId="4838" priority="5990" stopIfTrue="1" operator="equal">
      <formula>"Napkin Hs"</formula>
    </cfRule>
  </conditionalFormatting>
  <conditionalFormatting sqref="C86">
    <cfRule type="cellIs" dxfId="4837" priority="5951" stopIfTrue="1" operator="equal">
      <formula>"Towel"</formula>
    </cfRule>
    <cfRule type="cellIs" dxfId="4836" priority="5952" stopIfTrue="1" operator="equal">
      <formula>"Napkin Hs"</formula>
    </cfRule>
  </conditionalFormatting>
  <conditionalFormatting sqref="C86">
    <cfRule type="cellIs" dxfId="4835" priority="5953" stopIfTrue="1" operator="equal">
      <formula>"Towel"</formula>
    </cfRule>
    <cfRule type="cellIs" dxfId="4834" priority="5954" stopIfTrue="1" operator="equal">
      <formula>"Napkin Hs"</formula>
    </cfRule>
  </conditionalFormatting>
  <conditionalFormatting sqref="C86">
    <cfRule type="cellIs" dxfId="4833" priority="5949" stopIfTrue="1" operator="equal">
      <formula>"Towel"</formula>
    </cfRule>
    <cfRule type="cellIs" dxfId="4832" priority="5950" stopIfTrue="1" operator="equal">
      <formula>"Napkin Hs"</formula>
    </cfRule>
  </conditionalFormatting>
  <conditionalFormatting sqref="B86">
    <cfRule type="cellIs" dxfId="4831" priority="5943" stopIfTrue="1" operator="equal">
      <formula>"Towel"</formula>
    </cfRule>
    <cfRule type="cellIs" dxfId="4830" priority="5944" stopIfTrue="1" operator="equal">
      <formula>"Napkin Hs"</formula>
    </cfRule>
  </conditionalFormatting>
  <conditionalFormatting sqref="C86">
    <cfRule type="cellIs" dxfId="4829" priority="5945" stopIfTrue="1" operator="equal">
      <formula>"Towel"</formula>
    </cfRule>
    <cfRule type="cellIs" dxfId="4828" priority="5946" stopIfTrue="1" operator="equal">
      <formula>"Napkin Hs"</formula>
    </cfRule>
  </conditionalFormatting>
  <conditionalFormatting sqref="C86">
    <cfRule type="cellIs" dxfId="4827" priority="5947" stopIfTrue="1" operator="equal">
      <formula>"Towel"</formula>
    </cfRule>
    <cfRule type="cellIs" dxfId="4826" priority="5948" stopIfTrue="1" operator="equal">
      <formula>"Napkin Hs"</formula>
    </cfRule>
  </conditionalFormatting>
  <conditionalFormatting sqref="B86:C86">
    <cfRule type="cellIs" dxfId="4825" priority="5897" stopIfTrue="1" operator="equal">
      <formula>"Towel"</formula>
    </cfRule>
    <cfRule type="cellIs" dxfId="4824" priority="5898" stopIfTrue="1" operator="equal">
      <formula>"Napkin Hs"</formula>
    </cfRule>
  </conditionalFormatting>
  <conditionalFormatting sqref="C86">
    <cfRule type="cellIs" dxfId="4823" priority="5899" stopIfTrue="1" operator="equal">
      <formula>"Towel"</formula>
    </cfRule>
    <cfRule type="cellIs" dxfId="4822" priority="5900" stopIfTrue="1" operator="equal">
      <formula>"Napkin Hs"</formula>
    </cfRule>
  </conditionalFormatting>
  <conditionalFormatting sqref="C86">
    <cfRule type="cellIs" dxfId="4821" priority="5895" stopIfTrue="1" operator="equal">
      <formula>"Towel"</formula>
    </cfRule>
    <cfRule type="cellIs" dxfId="4820" priority="5896" stopIfTrue="1" operator="equal">
      <formula>"Napkin Hs"</formula>
    </cfRule>
  </conditionalFormatting>
  <conditionalFormatting sqref="C86">
    <cfRule type="cellIs" dxfId="4819" priority="5893" stopIfTrue="1" operator="equal">
      <formula>"Towel"</formula>
    </cfRule>
    <cfRule type="cellIs" dxfId="4818" priority="5894" stopIfTrue="1" operator="equal">
      <formula>"Napkin Hs"</formula>
    </cfRule>
  </conditionalFormatting>
  <conditionalFormatting sqref="C84">
    <cfRule type="cellIs" dxfId="4817" priority="5889" stopIfTrue="1" operator="equal">
      <formula>"Towel"</formula>
    </cfRule>
    <cfRule type="cellIs" dxfId="4816" priority="5890" stopIfTrue="1" operator="equal">
      <formula>"Napkin Hs"</formula>
    </cfRule>
  </conditionalFormatting>
  <conditionalFormatting sqref="C84">
    <cfRule type="cellIs" dxfId="4815" priority="5891" stopIfTrue="1" operator="equal">
      <formula>"Towel"</formula>
    </cfRule>
    <cfRule type="cellIs" dxfId="4814" priority="5892" stopIfTrue="1" operator="equal">
      <formula>"Napkin Hs"</formula>
    </cfRule>
  </conditionalFormatting>
  <conditionalFormatting sqref="B86">
    <cfRule type="cellIs" dxfId="4813" priority="5941" stopIfTrue="1" operator="equal">
      <formula>"Towel"</formula>
    </cfRule>
    <cfRule type="cellIs" dxfId="4812" priority="5942" stopIfTrue="1" operator="equal">
      <formula>"Napkin Hs"</formula>
    </cfRule>
  </conditionalFormatting>
  <conditionalFormatting sqref="C86">
    <cfRule type="cellIs" dxfId="4811" priority="5937" stopIfTrue="1" operator="equal">
      <formula>"Towel"</formula>
    </cfRule>
    <cfRule type="cellIs" dxfId="4810" priority="5938" stopIfTrue="1" operator="equal">
      <formula>"Napkin Hs"</formula>
    </cfRule>
  </conditionalFormatting>
  <conditionalFormatting sqref="C86">
    <cfRule type="cellIs" dxfId="4809" priority="5931" stopIfTrue="1" operator="equal">
      <formula>"Towel"</formula>
    </cfRule>
    <cfRule type="cellIs" dxfId="4808" priority="5932" stopIfTrue="1" operator="equal">
      <formula>"Napkin Hs"</formula>
    </cfRule>
  </conditionalFormatting>
  <conditionalFormatting sqref="C86">
    <cfRule type="cellIs" dxfId="4807" priority="5935" stopIfTrue="1" operator="equal">
      <formula>"Towel"</formula>
    </cfRule>
    <cfRule type="cellIs" dxfId="4806" priority="5936" stopIfTrue="1" operator="equal">
      <formula>"Napkin Hs"</formula>
    </cfRule>
  </conditionalFormatting>
  <conditionalFormatting sqref="B86:C86">
    <cfRule type="cellIs" dxfId="4805" priority="5933" stopIfTrue="1" operator="equal">
      <formula>"Towel"</formula>
    </cfRule>
    <cfRule type="cellIs" dxfId="4804" priority="5934" stopIfTrue="1" operator="equal">
      <formula>"Napkin Hs"</formula>
    </cfRule>
  </conditionalFormatting>
  <conditionalFormatting sqref="C86">
    <cfRule type="cellIs" dxfId="4803" priority="5925" stopIfTrue="1" operator="equal">
      <formula>"Towel"</formula>
    </cfRule>
    <cfRule type="cellIs" dxfId="4802" priority="5926" stopIfTrue="1" operator="equal">
      <formula>"Napkin Hs"</formula>
    </cfRule>
  </conditionalFormatting>
  <conditionalFormatting sqref="C86">
    <cfRule type="cellIs" dxfId="4801" priority="5927" stopIfTrue="1" operator="equal">
      <formula>"Towel"</formula>
    </cfRule>
    <cfRule type="cellIs" dxfId="4800" priority="5928" stopIfTrue="1" operator="equal">
      <formula>"Napkin Hs"</formula>
    </cfRule>
  </conditionalFormatting>
  <conditionalFormatting sqref="C86">
    <cfRule type="cellIs" dxfId="4799" priority="5929" stopIfTrue="1" operator="equal">
      <formula>"Towel"</formula>
    </cfRule>
    <cfRule type="cellIs" dxfId="4798" priority="5930" stopIfTrue="1" operator="equal">
      <formula>"Napkin Hs"</formula>
    </cfRule>
  </conditionalFormatting>
  <conditionalFormatting sqref="C86">
    <cfRule type="cellIs" dxfId="4797" priority="5919" stopIfTrue="1" operator="equal">
      <formula>"Towel"</formula>
    </cfRule>
    <cfRule type="cellIs" dxfId="4796" priority="5920" stopIfTrue="1" operator="equal">
      <formula>"Napkin Hs"</formula>
    </cfRule>
  </conditionalFormatting>
  <conditionalFormatting sqref="B86:C86">
    <cfRule type="cellIs" dxfId="4795" priority="5923" stopIfTrue="1" operator="equal">
      <formula>"Towel"</formula>
    </cfRule>
    <cfRule type="cellIs" dxfId="4794" priority="5924" stopIfTrue="1" operator="equal">
      <formula>"Napkin Hs"</formula>
    </cfRule>
  </conditionalFormatting>
  <conditionalFormatting sqref="C86">
    <cfRule type="cellIs" dxfId="4793" priority="5921" stopIfTrue="1" operator="equal">
      <formula>"Towel"</formula>
    </cfRule>
    <cfRule type="cellIs" dxfId="4792" priority="5922" stopIfTrue="1" operator="equal">
      <formula>"Napkin Hs"</formula>
    </cfRule>
  </conditionalFormatting>
  <conditionalFormatting sqref="B86:C86">
    <cfRule type="cellIs" dxfId="4791" priority="5913" stopIfTrue="1" operator="equal">
      <formula>"Towel"</formula>
    </cfRule>
    <cfRule type="cellIs" dxfId="4790" priority="5914" stopIfTrue="1" operator="equal">
      <formula>"Napkin Hs"</formula>
    </cfRule>
  </conditionalFormatting>
  <conditionalFormatting sqref="C86">
    <cfRule type="cellIs" dxfId="4789" priority="5915" stopIfTrue="1" operator="equal">
      <formula>"Towel"</formula>
    </cfRule>
    <cfRule type="cellIs" dxfId="4788" priority="5916" stopIfTrue="1" operator="equal">
      <formula>"Napkin Hs"</formula>
    </cfRule>
  </conditionalFormatting>
  <conditionalFormatting sqref="B86:C86">
    <cfRule type="cellIs" dxfId="4787" priority="5917" stopIfTrue="1" operator="equal">
      <formula>"Towel"</formula>
    </cfRule>
    <cfRule type="cellIs" dxfId="4786" priority="5918" stopIfTrue="1" operator="equal">
      <formula>"Napkin Hs"</formula>
    </cfRule>
  </conditionalFormatting>
  <conditionalFormatting sqref="C86">
    <cfRule type="cellIs" dxfId="4785" priority="5911" stopIfTrue="1" operator="equal">
      <formula>"Towel"</formula>
    </cfRule>
    <cfRule type="cellIs" dxfId="4784" priority="5912" stopIfTrue="1" operator="equal">
      <formula>"Napkin Hs"</formula>
    </cfRule>
  </conditionalFormatting>
  <conditionalFormatting sqref="C86">
    <cfRule type="cellIs" dxfId="4783" priority="5907" stopIfTrue="1" operator="equal">
      <formula>"Towel"</formula>
    </cfRule>
    <cfRule type="cellIs" dxfId="4782" priority="5908" stopIfTrue="1" operator="equal">
      <formula>"Napkin Hs"</formula>
    </cfRule>
  </conditionalFormatting>
  <conditionalFormatting sqref="B86:C86">
    <cfRule type="cellIs" dxfId="4781" priority="5909" stopIfTrue="1" operator="equal">
      <formula>"Towel"</formula>
    </cfRule>
    <cfRule type="cellIs" dxfId="4780" priority="5910" stopIfTrue="1" operator="equal">
      <formula>"Napkin Hs"</formula>
    </cfRule>
  </conditionalFormatting>
  <conditionalFormatting sqref="C86">
    <cfRule type="cellIs" dxfId="4779" priority="5905" stopIfTrue="1" operator="equal">
      <formula>"Towel"</formula>
    </cfRule>
    <cfRule type="cellIs" dxfId="4778" priority="5906" stopIfTrue="1" operator="equal">
      <formula>"Napkin Hs"</formula>
    </cfRule>
  </conditionalFormatting>
  <conditionalFormatting sqref="C86">
    <cfRule type="cellIs" dxfId="4777" priority="5903" stopIfTrue="1" operator="equal">
      <formula>"Towel"</formula>
    </cfRule>
    <cfRule type="cellIs" dxfId="4776" priority="5904" stopIfTrue="1" operator="equal">
      <formula>"Napkin Hs"</formula>
    </cfRule>
  </conditionalFormatting>
  <conditionalFormatting sqref="B86:C86">
    <cfRule type="cellIs" dxfId="4775" priority="5901" stopIfTrue="1" operator="equal">
      <formula>"Towel"</formula>
    </cfRule>
    <cfRule type="cellIs" dxfId="4774" priority="5902" stopIfTrue="1" operator="equal">
      <formula>"Napkin Hs"</formula>
    </cfRule>
  </conditionalFormatting>
  <conditionalFormatting sqref="C84">
    <cfRule type="cellIs" dxfId="4773" priority="5885" stopIfTrue="1" operator="equal">
      <formula>"Towel"</formula>
    </cfRule>
    <cfRule type="cellIs" dxfId="4772" priority="5886" stopIfTrue="1" operator="equal">
      <formula>"Napkin Hs"</formula>
    </cfRule>
  </conditionalFormatting>
  <conditionalFormatting sqref="B84:C84">
    <cfRule type="cellIs" dxfId="4771" priority="5887" stopIfTrue="1" operator="equal">
      <formula>"Towel"</formula>
    </cfRule>
    <cfRule type="cellIs" dxfId="4770" priority="5888" stopIfTrue="1" operator="equal">
      <formula>"Napkin Hs"</formula>
    </cfRule>
  </conditionalFormatting>
  <conditionalFormatting sqref="C84">
    <cfRule type="cellIs" dxfId="4769" priority="5883" stopIfTrue="1" operator="equal">
      <formula>"Towel"</formula>
    </cfRule>
    <cfRule type="cellIs" dxfId="4768" priority="5884" stopIfTrue="1" operator="equal">
      <formula>"Napkin Hs"</formula>
    </cfRule>
  </conditionalFormatting>
  <conditionalFormatting sqref="B84:C84">
    <cfRule type="cellIs" dxfId="4767" priority="5881" stopIfTrue="1" operator="equal">
      <formula>"Towel"</formula>
    </cfRule>
    <cfRule type="cellIs" dxfId="4766" priority="5882" stopIfTrue="1" operator="equal">
      <formula>"Napkin Hs"</formula>
    </cfRule>
  </conditionalFormatting>
  <conditionalFormatting sqref="B84:C84">
    <cfRule type="cellIs" dxfId="4765" priority="5879" stopIfTrue="1" operator="equal">
      <formula>"Towel"</formula>
    </cfRule>
    <cfRule type="cellIs" dxfId="4764" priority="5880" stopIfTrue="1" operator="equal">
      <formula>"Napkin Hs"</formula>
    </cfRule>
  </conditionalFormatting>
  <conditionalFormatting sqref="C84">
    <cfRule type="cellIs" dxfId="4763" priority="5873" stopIfTrue="1" operator="equal">
      <formula>"Towel"</formula>
    </cfRule>
    <cfRule type="cellIs" dxfId="4762" priority="5874" stopIfTrue="1" operator="equal">
      <formula>"Napkin Hs"</formula>
    </cfRule>
  </conditionalFormatting>
  <conditionalFormatting sqref="C84">
    <cfRule type="cellIs" dxfId="4761" priority="5875" stopIfTrue="1" operator="equal">
      <formula>"Towel"</formula>
    </cfRule>
    <cfRule type="cellIs" dxfId="4760" priority="5876" stopIfTrue="1" operator="equal">
      <formula>"Napkin Hs"</formula>
    </cfRule>
  </conditionalFormatting>
  <conditionalFormatting sqref="C84">
    <cfRule type="cellIs" dxfId="4759" priority="5871" stopIfTrue="1" operator="equal">
      <formula>"Towel"</formula>
    </cfRule>
    <cfRule type="cellIs" dxfId="4758" priority="5872" stopIfTrue="1" operator="equal">
      <formula>"Napkin Hs"</formula>
    </cfRule>
  </conditionalFormatting>
  <conditionalFormatting sqref="C84">
    <cfRule type="cellIs" dxfId="4757" priority="5869" stopIfTrue="1" operator="equal">
      <formula>"Towel"</formula>
    </cfRule>
    <cfRule type="cellIs" dxfId="4756" priority="5870" stopIfTrue="1" operator="equal">
      <formula>"Napkin Hs"</formula>
    </cfRule>
  </conditionalFormatting>
  <conditionalFormatting sqref="C84">
    <cfRule type="cellIs" dxfId="4755" priority="5865" stopIfTrue="1" operator="equal">
      <formula>"Towel"</formula>
    </cfRule>
    <cfRule type="cellIs" dxfId="4754" priority="5866" stopIfTrue="1" operator="equal">
      <formula>"Napkin Hs"</formula>
    </cfRule>
  </conditionalFormatting>
  <conditionalFormatting sqref="C84">
    <cfRule type="cellIs" dxfId="4753" priority="5867" stopIfTrue="1" operator="equal">
      <formula>"Towel"</formula>
    </cfRule>
    <cfRule type="cellIs" dxfId="4752" priority="5868" stopIfTrue="1" operator="equal">
      <formula>"Napkin Hs"</formula>
    </cfRule>
  </conditionalFormatting>
  <conditionalFormatting sqref="C84">
    <cfRule type="cellIs" dxfId="4751" priority="5863" stopIfTrue="1" operator="equal">
      <formula>"Towel"</formula>
    </cfRule>
    <cfRule type="cellIs" dxfId="4750" priority="5864" stopIfTrue="1" operator="equal">
      <formula>"Napkin Hs"</formula>
    </cfRule>
  </conditionalFormatting>
  <conditionalFormatting sqref="C84">
    <cfRule type="cellIs" dxfId="4749" priority="5847" stopIfTrue="1" operator="equal">
      <formula>"Towel"</formula>
    </cfRule>
    <cfRule type="cellIs" dxfId="4748" priority="5848" stopIfTrue="1" operator="equal">
      <formula>"Napkin Hs"</formula>
    </cfRule>
  </conditionalFormatting>
  <conditionalFormatting sqref="B84">
    <cfRule type="cellIs" dxfId="4747" priority="5845" stopIfTrue="1" operator="equal">
      <formula>"Towel"</formula>
    </cfRule>
    <cfRule type="cellIs" dxfId="4746" priority="5846" stopIfTrue="1" operator="equal">
      <formula>"Napkin Hs"</formula>
    </cfRule>
  </conditionalFormatting>
  <conditionalFormatting sqref="B84">
    <cfRule type="cellIs" dxfId="4745" priority="5861" stopIfTrue="1" operator="equal">
      <formula>"Towel"</formula>
    </cfRule>
    <cfRule type="cellIs" dxfId="4744" priority="5862" stopIfTrue="1" operator="equal">
      <formula>"Napkin Hs"</formula>
    </cfRule>
  </conditionalFormatting>
  <conditionalFormatting sqref="C84">
    <cfRule type="cellIs" dxfId="4743" priority="5857" stopIfTrue="1" operator="equal">
      <formula>"Towel"</formula>
    </cfRule>
    <cfRule type="cellIs" dxfId="4742" priority="5858" stopIfTrue="1" operator="equal">
      <formula>"Napkin Hs"</formula>
    </cfRule>
  </conditionalFormatting>
  <conditionalFormatting sqref="B84">
    <cfRule type="cellIs" dxfId="4741" priority="5859" stopIfTrue="1" operator="equal">
      <formula>"Towel"</formula>
    </cfRule>
    <cfRule type="cellIs" dxfId="4740" priority="5860" stopIfTrue="1" operator="equal">
      <formula>"Napkin Hs"</formula>
    </cfRule>
  </conditionalFormatting>
  <conditionalFormatting sqref="C84">
    <cfRule type="cellIs" dxfId="4739" priority="5853" stopIfTrue="1" operator="equal">
      <formula>"Towel"</formula>
    </cfRule>
    <cfRule type="cellIs" dxfId="4738" priority="5854" stopIfTrue="1" operator="equal">
      <formula>"Napkin Hs"</formula>
    </cfRule>
  </conditionalFormatting>
  <conditionalFormatting sqref="C84">
    <cfRule type="cellIs" dxfId="4737" priority="5855" stopIfTrue="1" operator="equal">
      <formula>"Towel"</formula>
    </cfRule>
    <cfRule type="cellIs" dxfId="4736" priority="5856" stopIfTrue="1" operator="equal">
      <formula>"Napkin Hs"</formula>
    </cfRule>
  </conditionalFormatting>
  <conditionalFormatting sqref="C84">
    <cfRule type="cellIs" dxfId="4735" priority="5851" stopIfTrue="1" operator="equal">
      <formula>"Towel"</formula>
    </cfRule>
    <cfRule type="cellIs" dxfId="4734" priority="5852" stopIfTrue="1" operator="equal">
      <formula>"Napkin Hs"</formula>
    </cfRule>
  </conditionalFormatting>
  <conditionalFormatting sqref="C84">
    <cfRule type="cellIs" dxfId="4733" priority="5849" stopIfTrue="1" operator="equal">
      <formula>"Towel"</formula>
    </cfRule>
    <cfRule type="cellIs" dxfId="4732" priority="5850" stopIfTrue="1" operator="equal">
      <formula>"Napkin Hs"</formula>
    </cfRule>
  </conditionalFormatting>
  <conditionalFormatting sqref="B84">
    <cfRule type="cellIs" dxfId="4731" priority="5843" stopIfTrue="1" operator="equal">
      <formula>"Towel"</formula>
    </cfRule>
    <cfRule type="cellIs" dxfId="4730" priority="5844" stopIfTrue="1" operator="equal">
      <formula>"Napkin Hs"</formula>
    </cfRule>
  </conditionalFormatting>
  <conditionalFormatting sqref="B84:C84">
    <cfRule type="cellIs" dxfId="4729" priority="5841" stopIfTrue="1" operator="equal">
      <formula>"Towel"</formula>
    </cfRule>
    <cfRule type="cellIs" dxfId="4728" priority="5842" stopIfTrue="1" operator="equal">
      <formula>"Napkin Hs"</formula>
    </cfRule>
  </conditionalFormatting>
  <conditionalFormatting sqref="C84">
    <cfRule type="cellIs" dxfId="4727" priority="5839" stopIfTrue="1" operator="equal">
      <formula>"Towel"</formula>
    </cfRule>
    <cfRule type="cellIs" dxfId="4726" priority="5840" stopIfTrue="1" operator="equal">
      <formula>"Napkin Hs"</formula>
    </cfRule>
  </conditionalFormatting>
  <conditionalFormatting sqref="C84">
    <cfRule type="cellIs" dxfId="4725" priority="5837" stopIfTrue="1" operator="equal">
      <formula>"Towel"</formula>
    </cfRule>
    <cfRule type="cellIs" dxfId="4724" priority="5838" stopIfTrue="1" operator="equal">
      <formula>"Napkin Hs"</formula>
    </cfRule>
  </conditionalFormatting>
  <conditionalFormatting sqref="B86:C86">
    <cfRule type="cellIs" dxfId="4723" priority="5977" stopIfTrue="1" operator="equal">
      <formula>"Towel"</formula>
    </cfRule>
    <cfRule type="cellIs" dxfId="4722" priority="5978" stopIfTrue="1" operator="equal">
      <formula>"Napkin Hs"</formula>
    </cfRule>
  </conditionalFormatting>
  <conditionalFormatting sqref="C86">
    <cfRule type="cellIs" dxfId="4721" priority="5973" stopIfTrue="1" operator="equal">
      <formula>"Towel"</formula>
    </cfRule>
    <cfRule type="cellIs" dxfId="4720" priority="5974" stopIfTrue="1" operator="equal">
      <formula>"Napkin Hs"</formula>
    </cfRule>
  </conditionalFormatting>
  <conditionalFormatting sqref="C86">
    <cfRule type="cellIs" dxfId="4719" priority="5976" stopIfTrue="1" operator="equal">
      <formula>"Napkin Hs"</formula>
    </cfRule>
  </conditionalFormatting>
  <conditionalFormatting sqref="C86">
    <cfRule type="cellIs" dxfId="4718" priority="5975" stopIfTrue="1" operator="equal">
      <formula>"Towel"</formula>
    </cfRule>
  </conditionalFormatting>
  <conditionalFormatting sqref="C86">
    <cfRule type="cellIs" dxfId="4717" priority="5967" stopIfTrue="1" operator="equal">
      <formula>"Towel"</formula>
    </cfRule>
    <cfRule type="cellIs" dxfId="4716" priority="5968" stopIfTrue="1" operator="equal">
      <formula>"Napkin Hs"</formula>
    </cfRule>
  </conditionalFormatting>
  <conditionalFormatting sqref="C86">
    <cfRule type="cellIs" dxfId="4715" priority="5971" stopIfTrue="1" operator="equal">
      <formula>"Towel"</formula>
    </cfRule>
    <cfRule type="cellIs" dxfId="4714" priority="5972" stopIfTrue="1" operator="equal">
      <formula>"Napkin Hs"</formula>
    </cfRule>
  </conditionalFormatting>
  <conditionalFormatting sqref="B86">
    <cfRule type="cellIs" dxfId="4713" priority="5957" stopIfTrue="1" operator="equal">
      <formula>"Towel"</formula>
    </cfRule>
    <cfRule type="cellIs" dxfId="4712" priority="5958" stopIfTrue="1" operator="equal">
      <formula>"Napkin Hs"</formula>
    </cfRule>
  </conditionalFormatting>
  <conditionalFormatting sqref="C86">
    <cfRule type="cellIs" dxfId="4711" priority="5969" stopIfTrue="1" operator="equal">
      <formula>"Towel"</formula>
    </cfRule>
    <cfRule type="cellIs" dxfId="4710" priority="5970" stopIfTrue="1" operator="equal">
      <formula>"Napkin Hs"</formula>
    </cfRule>
  </conditionalFormatting>
  <conditionalFormatting sqref="C86">
    <cfRule type="cellIs" dxfId="4709" priority="5961" stopIfTrue="1" operator="equal">
      <formula>"Towel"</formula>
    </cfRule>
    <cfRule type="cellIs" dxfId="4708" priority="5962" stopIfTrue="1" operator="equal">
      <formula>"Napkin Hs"</formula>
    </cfRule>
  </conditionalFormatting>
  <conditionalFormatting sqref="C86">
    <cfRule type="cellIs" dxfId="4707" priority="5963" stopIfTrue="1" operator="equal">
      <formula>"Towel"</formula>
    </cfRule>
    <cfRule type="cellIs" dxfId="4706" priority="5964" stopIfTrue="1" operator="equal">
      <formula>"Napkin Hs"</formula>
    </cfRule>
  </conditionalFormatting>
  <conditionalFormatting sqref="C86">
    <cfRule type="cellIs" dxfId="4705" priority="5965" stopIfTrue="1" operator="equal">
      <formula>"Towel"</formula>
    </cfRule>
    <cfRule type="cellIs" dxfId="4704" priority="5966" stopIfTrue="1" operator="equal">
      <formula>"Napkin Hs"</formula>
    </cfRule>
  </conditionalFormatting>
  <conditionalFormatting sqref="B86">
    <cfRule type="cellIs" dxfId="4703" priority="5959" stopIfTrue="1" operator="equal">
      <formula>"Towel"</formula>
    </cfRule>
    <cfRule type="cellIs" dxfId="4702" priority="5960" stopIfTrue="1" operator="equal">
      <formula>"Napkin Hs"</formula>
    </cfRule>
  </conditionalFormatting>
  <conditionalFormatting sqref="C86">
    <cfRule type="cellIs" dxfId="4701" priority="5955" stopIfTrue="1" operator="equal">
      <formula>"Towel"</formula>
    </cfRule>
    <cfRule type="cellIs" dxfId="4700" priority="5956" stopIfTrue="1" operator="equal">
      <formula>"Napkin Hs"</formula>
    </cfRule>
  </conditionalFormatting>
  <conditionalFormatting sqref="B86:C86">
    <cfRule type="cellIs" dxfId="4699" priority="5939" stopIfTrue="1" operator="equal">
      <formula>"Towel"</formula>
    </cfRule>
    <cfRule type="cellIs" dxfId="4698" priority="5940" stopIfTrue="1" operator="equal">
      <formula>"Napkin Hs"</formula>
    </cfRule>
  </conditionalFormatting>
  <conditionalFormatting sqref="C84">
    <cfRule type="cellIs" dxfId="4697" priority="5827" stopIfTrue="1" operator="equal">
      <formula>"Towel"</formula>
    </cfRule>
    <cfRule type="cellIs" dxfId="4696" priority="5828" stopIfTrue="1" operator="equal">
      <formula>"Napkin Hs"</formula>
    </cfRule>
  </conditionalFormatting>
  <conditionalFormatting sqref="C84">
    <cfRule type="cellIs" dxfId="4695" priority="5829" stopIfTrue="1" operator="equal">
      <formula>"Towel"</formula>
    </cfRule>
    <cfRule type="cellIs" dxfId="4694" priority="5830" stopIfTrue="1" operator="equal">
      <formula>"Napkin Hs"</formula>
    </cfRule>
  </conditionalFormatting>
  <conditionalFormatting sqref="B84:C84">
    <cfRule type="cellIs" dxfId="4693" priority="5825" stopIfTrue="1" operator="equal">
      <formula>"Towel"</formula>
    </cfRule>
    <cfRule type="cellIs" dxfId="4692" priority="5826" stopIfTrue="1" operator="equal">
      <formula>"Napkin Hs"</formula>
    </cfRule>
  </conditionalFormatting>
  <conditionalFormatting sqref="C84">
    <cfRule type="cellIs" dxfId="4691" priority="5823" stopIfTrue="1" operator="equal">
      <formula>"Towel"</formula>
    </cfRule>
    <cfRule type="cellIs" dxfId="4690" priority="5824" stopIfTrue="1" operator="equal">
      <formula>"Napkin Hs"</formula>
    </cfRule>
  </conditionalFormatting>
  <conditionalFormatting sqref="B84:C84">
    <cfRule type="cellIs" dxfId="4689" priority="5819" stopIfTrue="1" operator="equal">
      <formula>"Towel"</formula>
    </cfRule>
    <cfRule type="cellIs" dxfId="4688" priority="5820" stopIfTrue="1" operator="equal">
      <formula>"Napkin Hs"</formula>
    </cfRule>
  </conditionalFormatting>
  <conditionalFormatting sqref="C84">
    <cfRule type="cellIs" dxfId="4687" priority="5821" stopIfTrue="1" operator="equal">
      <formula>"Towel"</formula>
    </cfRule>
    <cfRule type="cellIs" dxfId="4686" priority="5822" stopIfTrue="1" operator="equal">
      <formula>"Napkin Hs"</formula>
    </cfRule>
  </conditionalFormatting>
  <conditionalFormatting sqref="C84">
    <cfRule type="cellIs" dxfId="4685" priority="5878" stopIfTrue="1" operator="equal">
      <formula>"Napkin Hs"</formula>
    </cfRule>
  </conditionalFormatting>
  <conditionalFormatting sqref="C84">
    <cfRule type="cellIs" dxfId="4684" priority="5877" stopIfTrue="1" operator="equal">
      <formula>"Towel"</formula>
    </cfRule>
  </conditionalFormatting>
  <conditionalFormatting sqref="B84:C84">
    <cfRule type="cellIs" dxfId="4683" priority="5835" stopIfTrue="1" operator="equal">
      <formula>"Towel"</formula>
    </cfRule>
    <cfRule type="cellIs" dxfId="4682" priority="5836" stopIfTrue="1" operator="equal">
      <formula>"Napkin Hs"</formula>
    </cfRule>
  </conditionalFormatting>
  <conditionalFormatting sqref="C84">
    <cfRule type="cellIs" dxfId="4681" priority="5833" stopIfTrue="1" operator="equal">
      <formula>"Towel"</formula>
    </cfRule>
    <cfRule type="cellIs" dxfId="4680" priority="5834" stopIfTrue="1" operator="equal">
      <formula>"Napkin Hs"</formula>
    </cfRule>
  </conditionalFormatting>
  <conditionalFormatting sqref="C84">
    <cfRule type="cellIs" dxfId="4679" priority="5831" stopIfTrue="1" operator="equal">
      <formula>"Towel"</formula>
    </cfRule>
    <cfRule type="cellIs" dxfId="4678" priority="5832" stopIfTrue="1" operator="equal">
      <formula>"Napkin Hs"</formula>
    </cfRule>
  </conditionalFormatting>
  <conditionalFormatting sqref="B84:C84">
    <cfRule type="cellIs" dxfId="4677" priority="5815" stopIfTrue="1" operator="equal">
      <formula>"Towel"</formula>
    </cfRule>
    <cfRule type="cellIs" dxfId="4676" priority="5816" stopIfTrue="1" operator="equal">
      <formula>"Napkin Hs"</formula>
    </cfRule>
  </conditionalFormatting>
  <conditionalFormatting sqref="C84">
    <cfRule type="cellIs" dxfId="4675" priority="5817" stopIfTrue="1" operator="equal">
      <formula>"Towel"</formula>
    </cfRule>
    <cfRule type="cellIs" dxfId="4674" priority="5818" stopIfTrue="1" operator="equal">
      <formula>"Napkin Hs"</formula>
    </cfRule>
  </conditionalFormatting>
  <conditionalFormatting sqref="C84">
    <cfRule type="cellIs" dxfId="4673" priority="5813" stopIfTrue="1" operator="equal">
      <formula>"Towel"</formula>
    </cfRule>
    <cfRule type="cellIs" dxfId="4672" priority="5814" stopIfTrue="1" operator="equal">
      <formula>"Napkin Hs"</formula>
    </cfRule>
  </conditionalFormatting>
  <conditionalFormatting sqref="B84:C84">
    <cfRule type="cellIs" dxfId="4671" priority="5811" stopIfTrue="1" operator="equal">
      <formula>"Towel"</formula>
    </cfRule>
    <cfRule type="cellIs" dxfId="4670" priority="5812" stopIfTrue="1" operator="equal">
      <formula>"Napkin Hs"</formula>
    </cfRule>
  </conditionalFormatting>
  <conditionalFormatting sqref="C84">
    <cfRule type="cellIs" dxfId="4669" priority="5807" stopIfTrue="1" operator="equal">
      <formula>"Towel"</formula>
    </cfRule>
    <cfRule type="cellIs" dxfId="4668" priority="5808" stopIfTrue="1" operator="equal">
      <formula>"Napkin Hs"</formula>
    </cfRule>
  </conditionalFormatting>
  <conditionalFormatting sqref="C84">
    <cfRule type="cellIs" dxfId="4667" priority="5809" stopIfTrue="1" operator="equal">
      <formula>"Towel"</formula>
    </cfRule>
    <cfRule type="cellIs" dxfId="4666" priority="5810" stopIfTrue="1" operator="equal">
      <formula>"Napkin Hs"</formula>
    </cfRule>
  </conditionalFormatting>
  <conditionalFormatting sqref="B84:C84">
    <cfRule type="cellIs" dxfId="4665" priority="5803" stopIfTrue="1" operator="equal">
      <formula>"Towel"</formula>
    </cfRule>
    <cfRule type="cellIs" dxfId="4664" priority="5804" stopIfTrue="1" operator="equal">
      <formula>"Napkin Hs"</formula>
    </cfRule>
  </conditionalFormatting>
  <conditionalFormatting sqref="C84">
    <cfRule type="cellIs" dxfId="4663" priority="5805" stopIfTrue="1" operator="equal">
      <formula>"Towel"</formula>
    </cfRule>
    <cfRule type="cellIs" dxfId="4662" priority="5806" stopIfTrue="1" operator="equal">
      <formula>"Napkin Hs"</formula>
    </cfRule>
  </conditionalFormatting>
  <conditionalFormatting sqref="C84">
    <cfRule type="cellIs" dxfId="4661" priority="5801" stopIfTrue="1" operator="equal">
      <formula>"Towel"</formula>
    </cfRule>
    <cfRule type="cellIs" dxfId="4660" priority="5802" stopIfTrue="1" operator="equal">
      <formula>"Napkin Hs"</formula>
    </cfRule>
  </conditionalFormatting>
  <conditionalFormatting sqref="B84:C84">
    <cfRule type="cellIs" dxfId="4659" priority="5799" stopIfTrue="1" operator="equal">
      <formula>"Towel"</formula>
    </cfRule>
    <cfRule type="cellIs" dxfId="4658" priority="5800" stopIfTrue="1" operator="equal">
      <formula>"Napkin Hs"</formula>
    </cfRule>
  </conditionalFormatting>
  <conditionalFormatting sqref="C84">
    <cfRule type="cellIs" dxfId="4657" priority="5795" stopIfTrue="1" operator="equal">
      <formula>"Towel"</formula>
    </cfRule>
    <cfRule type="cellIs" dxfId="4656" priority="5796" stopIfTrue="1" operator="equal">
      <formula>"Napkin Hs"</formula>
    </cfRule>
  </conditionalFormatting>
  <conditionalFormatting sqref="C84">
    <cfRule type="cellIs" dxfId="4655" priority="5797" stopIfTrue="1" operator="equal">
      <formula>"Towel"</formula>
    </cfRule>
    <cfRule type="cellIs" dxfId="4654" priority="5798" stopIfTrue="1" operator="equal">
      <formula>"Napkin Hs"</formula>
    </cfRule>
  </conditionalFormatting>
  <conditionalFormatting sqref="C85">
    <cfRule type="cellIs" dxfId="4653" priority="5787" stopIfTrue="1" operator="equal">
      <formula>"Towel"</formula>
    </cfRule>
    <cfRule type="cellIs" dxfId="4652" priority="5788" stopIfTrue="1" operator="equal">
      <formula>"Napkin Hs"</formula>
    </cfRule>
  </conditionalFormatting>
  <conditionalFormatting sqref="C85">
    <cfRule type="cellIs" dxfId="4651" priority="5789" stopIfTrue="1" operator="equal">
      <formula>"Towel"</formula>
    </cfRule>
    <cfRule type="cellIs" dxfId="4650" priority="5790" stopIfTrue="1" operator="equal">
      <formula>"Napkin Hs"</formula>
    </cfRule>
  </conditionalFormatting>
  <conditionalFormatting sqref="C85">
    <cfRule type="cellIs" dxfId="4649" priority="5785" stopIfTrue="1" operator="equal">
      <formula>"Towel"</formula>
    </cfRule>
    <cfRule type="cellIs" dxfId="4648" priority="5786" stopIfTrue="1" operator="equal">
      <formula>"Napkin Hs"</formula>
    </cfRule>
  </conditionalFormatting>
  <conditionalFormatting sqref="C85">
    <cfRule type="cellIs" dxfId="4647" priority="5783" stopIfTrue="1" operator="equal">
      <formula>"Towel"</formula>
    </cfRule>
    <cfRule type="cellIs" dxfId="4646" priority="5784" stopIfTrue="1" operator="equal">
      <formula>"Napkin Hs"</formula>
    </cfRule>
  </conditionalFormatting>
  <conditionalFormatting sqref="C85">
    <cfRule type="cellIs" dxfId="4645" priority="5791" stopIfTrue="1" operator="equal">
      <formula>"Towel"</formula>
    </cfRule>
    <cfRule type="cellIs" dxfId="4644" priority="5792" stopIfTrue="1" operator="equal">
      <formula>"Napkin Hs"</formula>
    </cfRule>
  </conditionalFormatting>
  <conditionalFormatting sqref="C85">
    <cfRule type="cellIs" dxfId="4643" priority="5793" stopIfTrue="1" operator="equal">
      <formula>"Towel"</formula>
    </cfRule>
    <cfRule type="cellIs" dxfId="4642" priority="5794" stopIfTrue="1" operator="equal">
      <formula>"Napkin Hs"</formula>
    </cfRule>
  </conditionalFormatting>
  <conditionalFormatting sqref="C85">
    <cfRule type="cellIs" dxfId="4641" priority="5779" stopIfTrue="1" operator="equal">
      <formula>"Towel"</formula>
    </cfRule>
    <cfRule type="cellIs" dxfId="4640" priority="5780" stopIfTrue="1" operator="equal">
      <formula>"Napkin Hs"</formula>
    </cfRule>
  </conditionalFormatting>
  <conditionalFormatting sqref="C85">
    <cfRule type="cellIs" dxfId="4639" priority="5781" stopIfTrue="1" operator="equal">
      <formula>"Towel"</formula>
    </cfRule>
    <cfRule type="cellIs" dxfId="4638" priority="5782" stopIfTrue="1" operator="equal">
      <formula>"Napkin Hs"</formula>
    </cfRule>
  </conditionalFormatting>
  <conditionalFormatting sqref="C85">
    <cfRule type="cellIs" dxfId="4637" priority="5777" stopIfTrue="1" operator="equal">
      <formula>"Towel"</formula>
    </cfRule>
    <cfRule type="cellIs" dxfId="4636" priority="5778" stopIfTrue="1" operator="equal">
      <formula>"Napkin Hs"</formula>
    </cfRule>
  </conditionalFormatting>
  <conditionalFormatting sqref="C85">
    <cfRule type="cellIs" dxfId="4635" priority="5771" stopIfTrue="1" operator="equal">
      <formula>"Towel"</formula>
    </cfRule>
    <cfRule type="cellIs" dxfId="4634" priority="5772" stopIfTrue="1" operator="equal">
      <formula>"Napkin Hs"</formula>
    </cfRule>
  </conditionalFormatting>
  <conditionalFormatting sqref="C85">
    <cfRule type="cellIs" dxfId="4633" priority="5773" stopIfTrue="1" operator="equal">
      <formula>"Towel"</formula>
    </cfRule>
    <cfRule type="cellIs" dxfId="4632" priority="5774" stopIfTrue="1" operator="equal">
      <formula>"Napkin Hs"</formula>
    </cfRule>
  </conditionalFormatting>
  <conditionalFormatting sqref="C85">
    <cfRule type="cellIs" dxfId="4631" priority="5775" stopIfTrue="1" operator="equal">
      <formula>"Towel"</formula>
    </cfRule>
    <cfRule type="cellIs" dxfId="4630" priority="5776" stopIfTrue="1" operator="equal">
      <formula>"Napkin Hs"</formula>
    </cfRule>
  </conditionalFormatting>
  <conditionalFormatting sqref="C85">
    <cfRule type="cellIs" dxfId="4629" priority="5725" stopIfTrue="1" operator="equal">
      <formula>"Towel"</formula>
    </cfRule>
    <cfRule type="cellIs" dxfId="4628" priority="5726" stopIfTrue="1" operator="equal">
      <formula>"Napkin Hs"</formula>
    </cfRule>
  </conditionalFormatting>
  <conditionalFormatting sqref="C85">
    <cfRule type="cellIs" dxfId="4627" priority="5727" stopIfTrue="1" operator="equal">
      <formula>"Towel"</formula>
    </cfRule>
    <cfRule type="cellIs" dxfId="4626" priority="5728" stopIfTrue="1" operator="equal">
      <formula>"Napkin Hs"</formula>
    </cfRule>
  </conditionalFormatting>
  <conditionalFormatting sqref="C85">
    <cfRule type="cellIs" dxfId="4625" priority="5723" stopIfTrue="1" operator="equal">
      <formula>"Towel"</formula>
    </cfRule>
    <cfRule type="cellIs" dxfId="4624" priority="5724" stopIfTrue="1" operator="equal">
      <formula>"Napkin Hs"</formula>
    </cfRule>
  </conditionalFormatting>
  <conditionalFormatting sqref="C85">
    <cfRule type="cellIs" dxfId="4623" priority="5721" stopIfTrue="1" operator="equal">
      <formula>"Towel"</formula>
    </cfRule>
    <cfRule type="cellIs" dxfId="4622" priority="5722" stopIfTrue="1" operator="equal">
      <formula>"Napkin Hs"</formula>
    </cfRule>
  </conditionalFormatting>
  <conditionalFormatting sqref="C85">
    <cfRule type="cellIs" dxfId="4621" priority="5717" stopIfTrue="1" operator="equal">
      <formula>"Towel"</formula>
    </cfRule>
    <cfRule type="cellIs" dxfId="4620" priority="5718" stopIfTrue="1" operator="equal">
      <formula>"Napkin Hs"</formula>
    </cfRule>
  </conditionalFormatting>
  <conditionalFormatting sqref="C85">
    <cfRule type="cellIs" dxfId="4619" priority="5719" stopIfTrue="1" operator="equal">
      <formula>"Towel"</formula>
    </cfRule>
    <cfRule type="cellIs" dxfId="4618" priority="5720" stopIfTrue="1" operator="equal">
      <formula>"Napkin Hs"</formula>
    </cfRule>
  </conditionalFormatting>
  <conditionalFormatting sqref="C85">
    <cfRule type="cellIs" dxfId="4617" priority="5769" stopIfTrue="1" operator="equal">
      <formula>"Towel"</formula>
    </cfRule>
    <cfRule type="cellIs" dxfId="4616" priority="5770" stopIfTrue="1" operator="equal">
      <formula>"Napkin Hs"</formula>
    </cfRule>
  </conditionalFormatting>
  <conditionalFormatting sqref="C85">
    <cfRule type="cellIs" dxfId="4615" priority="5765" stopIfTrue="1" operator="equal">
      <formula>"Towel"</formula>
    </cfRule>
    <cfRule type="cellIs" dxfId="4614" priority="5766" stopIfTrue="1" operator="equal">
      <formula>"Napkin Hs"</formula>
    </cfRule>
  </conditionalFormatting>
  <conditionalFormatting sqref="C85">
    <cfRule type="cellIs" dxfId="4613" priority="5768" stopIfTrue="1" operator="equal">
      <formula>"Napkin Hs"</formula>
    </cfRule>
  </conditionalFormatting>
  <conditionalFormatting sqref="C85">
    <cfRule type="cellIs" dxfId="4612" priority="5767" stopIfTrue="1" operator="equal">
      <formula>"Towel"</formula>
    </cfRule>
  </conditionalFormatting>
  <conditionalFormatting sqref="C85">
    <cfRule type="cellIs" dxfId="4611" priority="5759" stopIfTrue="1" operator="equal">
      <formula>"Towel"</formula>
    </cfRule>
    <cfRule type="cellIs" dxfId="4610" priority="5760" stopIfTrue="1" operator="equal">
      <formula>"Napkin Hs"</formula>
    </cfRule>
  </conditionalFormatting>
  <conditionalFormatting sqref="C85">
    <cfRule type="cellIs" dxfId="4609" priority="5763" stopIfTrue="1" operator="equal">
      <formula>"Towel"</formula>
    </cfRule>
    <cfRule type="cellIs" dxfId="4608" priority="5764" stopIfTrue="1" operator="equal">
      <formula>"Napkin Hs"</formula>
    </cfRule>
  </conditionalFormatting>
  <conditionalFormatting sqref="C85">
    <cfRule type="cellIs" dxfId="4607" priority="5761" stopIfTrue="1" operator="equal">
      <formula>"Towel"</formula>
    </cfRule>
    <cfRule type="cellIs" dxfId="4606" priority="5762" stopIfTrue="1" operator="equal">
      <formula>"Napkin Hs"</formula>
    </cfRule>
  </conditionalFormatting>
  <conditionalFormatting sqref="C85">
    <cfRule type="cellIs" dxfId="4605" priority="5753" stopIfTrue="1" operator="equal">
      <formula>"Towel"</formula>
    </cfRule>
    <cfRule type="cellIs" dxfId="4604" priority="5754" stopIfTrue="1" operator="equal">
      <formula>"Napkin Hs"</formula>
    </cfRule>
  </conditionalFormatting>
  <conditionalFormatting sqref="C85">
    <cfRule type="cellIs" dxfId="4603" priority="5755" stopIfTrue="1" operator="equal">
      <formula>"Towel"</formula>
    </cfRule>
    <cfRule type="cellIs" dxfId="4602" priority="5756" stopIfTrue="1" operator="equal">
      <formula>"Napkin Hs"</formula>
    </cfRule>
  </conditionalFormatting>
  <conditionalFormatting sqref="C85">
    <cfRule type="cellIs" dxfId="4601" priority="5757" stopIfTrue="1" operator="equal">
      <formula>"Towel"</formula>
    </cfRule>
    <cfRule type="cellIs" dxfId="4600" priority="5758" stopIfTrue="1" operator="equal">
      <formula>"Napkin Hs"</formula>
    </cfRule>
  </conditionalFormatting>
  <conditionalFormatting sqref="C85">
    <cfRule type="cellIs" dxfId="4599" priority="5747" stopIfTrue="1" operator="equal">
      <formula>"Towel"</formula>
    </cfRule>
    <cfRule type="cellIs" dxfId="4598" priority="5748" stopIfTrue="1" operator="equal">
      <formula>"Napkin Hs"</formula>
    </cfRule>
  </conditionalFormatting>
  <conditionalFormatting sqref="C85">
    <cfRule type="cellIs" dxfId="4597" priority="5751" stopIfTrue="1" operator="equal">
      <formula>"Towel"</formula>
    </cfRule>
    <cfRule type="cellIs" dxfId="4596" priority="5752" stopIfTrue="1" operator="equal">
      <formula>"Napkin Hs"</formula>
    </cfRule>
  </conditionalFormatting>
  <conditionalFormatting sqref="C85">
    <cfRule type="cellIs" dxfId="4595" priority="5749" stopIfTrue="1" operator="equal">
      <formula>"Towel"</formula>
    </cfRule>
    <cfRule type="cellIs" dxfId="4594" priority="5750" stopIfTrue="1" operator="equal">
      <formula>"Napkin Hs"</formula>
    </cfRule>
  </conditionalFormatting>
  <conditionalFormatting sqref="C85">
    <cfRule type="cellIs" dxfId="4593" priority="5741" stopIfTrue="1" operator="equal">
      <formula>"Towel"</formula>
    </cfRule>
    <cfRule type="cellIs" dxfId="4592" priority="5742" stopIfTrue="1" operator="equal">
      <formula>"Napkin Hs"</formula>
    </cfRule>
  </conditionalFormatting>
  <conditionalFormatting sqref="C85">
    <cfRule type="cellIs" dxfId="4591" priority="5743" stopIfTrue="1" operator="equal">
      <formula>"Towel"</formula>
    </cfRule>
    <cfRule type="cellIs" dxfId="4590" priority="5744" stopIfTrue="1" operator="equal">
      <formula>"Napkin Hs"</formula>
    </cfRule>
  </conditionalFormatting>
  <conditionalFormatting sqref="C85">
    <cfRule type="cellIs" dxfId="4589" priority="5745" stopIfTrue="1" operator="equal">
      <formula>"Towel"</formula>
    </cfRule>
    <cfRule type="cellIs" dxfId="4588" priority="5746" stopIfTrue="1" operator="equal">
      <formula>"Napkin Hs"</formula>
    </cfRule>
  </conditionalFormatting>
  <conditionalFormatting sqref="C85">
    <cfRule type="cellIs" dxfId="4587" priority="5739" stopIfTrue="1" operator="equal">
      <formula>"Towel"</formula>
    </cfRule>
    <cfRule type="cellIs" dxfId="4586" priority="5740" stopIfTrue="1" operator="equal">
      <formula>"Napkin Hs"</formula>
    </cfRule>
  </conditionalFormatting>
  <conditionalFormatting sqref="C85">
    <cfRule type="cellIs" dxfId="4585" priority="5735" stopIfTrue="1" operator="equal">
      <formula>"Towel"</formula>
    </cfRule>
    <cfRule type="cellIs" dxfId="4584" priority="5736" stopIfTrue="1" operator="equal">
      <formula>"Napkin Hs"</formula>
    </cfRule>
  </conditionalFormatting>
  <conditionalFormatting sqref="C85">
    <cfRule type="cellIs" dxfId="4583" priority="5737" stopIfTrue="1" operator="equal">
      <formula>"Towel"</formula>
    </cfRule>
    <cfRule type="cellIs" dxfId="4582" priority="5738" stopIfTrue="1" operator="equal">
      <formula>"Napkin Hs"</formula>
    </cfRule>
  </conditionalFormatting>
  <conditionalFormatting sqref="C85">
    <cfRule type="cellIs" dxfId="4581" priority="5733" stopIfTrue="1" operator="equal">
      <formula>"Towel"</formula>
    </cfRule>
    <cfRule type="cellIs" dxfId="4580" priority="5734" stopIfTrue="1" operator="equal">
      <formula>"Napkin Hs"</formula>
    </cfRule>
  </conditionalFormatting>
  <conditionalFormatting sqref="C85">
    <cfRule type="cellIs" dxfId="4579" priority="5731" stopIfTrue="1" operator="equal">
      <formula>"Towel"</formula>
    </cfRule>
    <cfRule type="cellIs" dxfId="4578" priority="5732" stopIfTrue="1" operator="equal">
      <formula>"Napkin Hs"</formula>
    </cfRule>
  </conditionalFormatting>
  <conditionalFormatting sqref="C85">
    <cfRule type="cellIs" dxfId="4577" priority="5729" stopIfTrue="1" operator="equal">
      <formula>"Towel"</formula>
    </cfRule>
    <cfRule type="cellIs" dxfId="4576" priority="5730" stopIfTrue="1" operator="equal">
      <formula>"Napkin Hs"</formula>
    </cfRule>
  </conditionalFormatting>
  <conditionalFormatting sqref="C85">
    <cfRule type="cellIs" dxfId="4575" priority="5713" stopIfTrue="1" operator="equal">
      <formula>"Towel"</formula>
    </cfRule>
    <cfRule type="cellIs" dxfId="4574" priority="5714" stopIfTrue="1" operator="equal">
      <formula>"Napkin Hs"</formula>
    </cfRule>
  </conditionalFormatting>
  <conditionalFormatting sqref="C85">
    <cfRule type="cellIs" dxfId="4573" priority="5715" stopIfTrue="1" operator="equal">
      <formula>"Towel"</formula>
    </cfRule>
    <cfRule type="cellIs" dxfId="4572" priority="5716" stopIfTrue="1" operator="equal">
      <formula>"Napkin Hs"</formula>
    </cfRule>
  </conditionalFormatting>
  <conditionalFormatting sqref="C85">
    <cfRule type="cellIs" dxfId="4571" priority="5711" stopIfTrue="1" operator="equal">
      <formula>"Towel"</formula>
    </cfRule>
    <cfRule type="cellIs" dxfId="4570" priority="5712" stopIfTrue="1" operator="equal">
      <formula>"Napkin Hs"</formula>
    </cfRule>
  </conditionalFormatting>
  <conditionalFormatting sqref="C85">
    <cfRule type="cellIs" dxfId="4569" priority="5709" stopIfTrue="1" operator="equal">
      <formula>"Towel"</formula>
    </cfRule>
    <cfRule type="cellIs" dxfId="4568" priority="5710" stopIfTrue="1" operator="equal">
      <formula>"Napkin Hs"</formula>
    </cfRule>
  </conditionalFormatting>
  <conditionalFormatting sqref="C85">
    <cfRule type="cellIs" dxfId="4567" priority="5705" stopIfTrue="1" operator="equal">
      <formula>"Towel"</formula>
    </cfRule>
    <cfRule type="cellIs" dxfId="4566" priority="5706" stopIfTrue="1" operator="equal">
      <formula>"Napkin Hs"</formula>
    </cfRule>
  </conditionalFormatting>
  <conditionalFormatting sqref="C85">
    <cfRule type="cellIs" dxfId="4565" priority="5707" stopIfTrue="1" operator="equal">
      <formula>"Towel"</formula>
    </cfRule>
    <cfRule type="cellIs" dxfId="4564" priority="5708" stopIfTrue="1" operator="equal">
      <formula>"Napkin Hs"</formula>
    </cfRule>
  </conditionalFormatting>
  <conditionalFormatting sqref="C85">
    <cfRule type="cellIs" dxfId="4563" priority="5701" stopIfTrue="1" operator="equal">
      <formula>"Towel"</formula>
    </cfRule>
    <cfRule type="cellIs" dxfId="4562" priority="5702" stopIfTrue="1" operator="equal">
      <formula>"Napkin Hs"</formula>
    </cfRule>
  </conditionalFormatting>
  <conditionalFormatting sqref="C85">
    <cfRule type="cellIs" dxfId="4561" priority="5703" stopIfTrue="1" operator="equal">
      <formula>"Towel"</formula>
    </cfRule>
    <cfRule type="cellIs" dxfId="4560" priority="5704" stopIfTrue="1" operator="equal">
      <formula>"Napkin Hs"</formula>
    </cfRule>
  </conditionalFormatting>
  <conditionalFormatting sqref="C85">
    <cfRule type="cellIs" dxfId="4559" priority="5699" stopIfTrue="1" operator="equal">
      <formula>"Towel"</formula>
    </cfRule>
    <cfRule type="cellIs" dxfId="4558" priority="5700" stopIfTrue="1" operator="equal">
      <formula>"Napkin Hs"</formula>
    </cfRule>
  </conditionalFormatting>
  <conditionalFormatting sqref="C85">
    <cfRule type="cellIs" dxfId="4557" priority="5697" stopIfTrue="1" operator="equal">
      <formula>"Towel"</formula>
    </cfRule>
    <cfRule type="cellIs" dxfId="4556" priority="5698" stopIfTrue="1" operator="equal">
      <formula>"Napkin Hs"</formula>
    </cfRule>
  </conditionalFormatting>
  <conditionalFormatting sqref="C85">
    <cfRule type="cellIs" dxfId="4555" priority="5693" stopIfTrue="1" operator="equal">
      <formula>"Towel"</formula>
    </cfRule>
    <cfRule type="cellIs" dxfId="4554" priority="5694" stopIfTrue="1" operator="equal">
      <formula>"Napkin Hs"</formula>
    </cfRule>
  </conditionalFormatting>
  <conditionalFormatting sqref="C85">
    <cfRule type="cellIs" dxfId="4553" priority="5695" stopIfTrue="1" operator="equal">
      <formula>"Towel"</formula>
    </cfRule>
    <cfRule type="cellIs" dxfId="4552" priority="5696" stopIfTrue="1" operator="equal">
      <formula>"Napkin Hs"</formula>
    </cfRule>
  </conditionalFormatting>
  <conditionalFormatting sqref="B85">
    <cfRule type="cellIs" dxfId="4551" priority="5691" stopIfTrue="1" operator="equal">
      <formula>"Towel"</formula>
    </cfRule>
    <cfRule type="cellIs" dxfId="4550" priority="5692" stopIfTrue="1" operator="equal">
      <formula>"Napkin Hs"</formula>
    </cfRule>
  </conditionalFormatting>
  <conditionalFormatting sqref="B85">
    <cfRule type="cellIs" dxfId="4549" priority="5675" stopIfTrue="1" operator="equal">
      <formula>"Towel"</formula>
    </cfRule>
    <cfRule type="cellIs" dxfId="4548" priority="5676" stopIfTrue="1" operator="equal">
      <formula>"Napkin Hs"</formula>
    </cfRule>
  </conditionalFormatting>
  <conditionalFormatting sqref="B85">
    <cfRule type="cellIs" dxfId="4547" priority="5673" stopIfTrue="1" operator="equal">
      <formula>"Towel"</formula>
    </cfRule>
    <cfRule type="cellIs" dxfId="4546" priority="5674" stopIfTrue="1" operator="equal">
      <formula>"Napkin Hs"</formula>
    </cfRule>
  </conditionalFormatting>
  <conditionalFormatting sqref="B85">
    <cfRule type="cellIs" dxfId="4545" priority="5689" stopIfTrue="1" operator="equal">
      <formula>"Towel"</formula>
    </cfRule>
    <cfRule type="cellIs" dxfId="4544" priority="5690" stopIfTrue="1" operator="equal">
      <formula>"Napkin Hs"</formula>
    </cfRule>
  </conditionalFormatting>
  <conditionalFormatting sqref="B85">
    <cfRule type="cellIs" dxfId="4543" priority="5685" stopIfTrue="1" operator="equal">
      <formula>"Towel"</formula>
    </cfRule>
    <cfRule type="cellIs" dxfId="4542" priority="5686" stopIfTrue="1" operator="equal">
      <formula>"Napkin Hs"</formula>
    </cfRule>
  </conditionalFormatting>
  <conditionalFormatting sqref="B85">
    <cfRule type="cellIs" dxfId="4541" priority="5687" stopIfTrue="1" operator="equal">
      <formula>"Towel"</formula>
    </cfRule>
    <cfRule type="cellIs" dxfId="4540" priority="5688" stopIfTrue="1" operator="equal">
      <formula>"Napkin Hs"</formula>
    </cfRule>
  </conditionalFormatting>
  <conditionalFormatting sqref="B85">
    <cfRule type="cellIs" dxfId="4539" priority="5681" stopIfTrue="1" operator="equal">
      <formula>"Towel"</formula>
    </cfRule>
    <cfRule type="cellIs" dxfId="4538" priority="5682" stopIfTrue="1" operator="equal">
      <formula>"Napkin Hs"</formula>
    </cfRule>
  </conditionalFormatting>
  <conditionalFormatting sqref="B85">
    <cfRule type="cellIs" dxfId="4537" priority="5683" stopIfTrue="1" operator="equal">
      <formula>"Towel"</formula>
    </cfRule>
    <cfRule type="cellIs" dxfId="4536" priority="5684" stopIfTrue="1" operator="equal">
      <formula>"Napkin Hs"</formula>
    </cfRule>
  </conditionalFormatting>
  <conditionalFormatting sqref="B85">
    <cfRule type="cellIs" dxfId="4535" priority="5679" stopIfTrue="1" operator="equal">
      <formula>"Towel"</formula>
    </cfRule>
    <cfRule type="cellIs" dxfId="4534" priority="5680" stopIfTrue="1" operator="equal">
      <formula>"Napkin Hs"</formula>
    </cfRule>
  </conditionalFormatting>
  <conditionalFormatting sqref="B85">
    <cfRule type="cellIs" dxfId="4533" priority="5677" stopIfTrue="1" operator="equal">
      <formula>"Towel"</formula>
    </cfRule>
    <cfRule type="cellIs" dxfId="4532" priority="5678" stopIfTrue="1" operator="equal">
      <formula>"Napkin Hs"</formula>
    </cfRule>
  </conditionalFormatting>
  <conditionalFormatting sqref="B85">
    <cfRule type="cellIs" dxfId="4531" priority="5671" stopIfTrue="1" operator="equal">
      <formula>"Towel"</formula>
    </cfRule>
    <cfRule type="cellIs" dxfId="4530" priority="5672" stopIfTrue="1" operator="equal">
      <formula>"Napkin Hs"</formula>
    </cfRule>
  </conditionalFormatting>
  <conditionalFormatting sqref="B85">
    <cfRule type="cellIs" dxfId="4529" priority="5669" stopIfTrue="1" operator="equal">
      <formula>"Towel"</formula>
    </cfRule>
    <cfRule type="cellIs" dxfId="4528" priority="5670" stopIfTrue="1" operator="equal">
      <formula>"Napkin Hs"</formula>
    </cfRule>
  </conditionalFormatting>
  <conditionalFormatting sqref="B85">
    <cfRule type="cellIs" dxfId="4527" priority="5667" stopIfTrue="1" operator="equal">
      <formula>"Towel"</formula>
    </cfRule>
    <cfRule type="cellIs" dxfId="4526" priority="5668" stopIfTrue="1" operator="equal">
      <formula>"Napkin Hs"</formula>
    </cfRule>
  </conditionalFormatting>
  <conditionalFormatting sqref="B85">
    <cfRule type="cellIs" dxfId="4525" priority="5665" stopIfTrue="1" operator="equal">
      <formula>"Towel"</formula>
    </cfRule>
    <cfRule type="cellIs" dxfId="4524" priority="5666" stopIfTrue="1" operator="equal">
      <formula>"Napkin Hs"</formula>
    </cfRule>
  </conditionalFormatting>
  <conditionalFormatting sqref="B87:C87">
    <cfRule type="cellIs" dxfId="4523" priority="6083" stopIfTrue="1" operator="equal">
      <formula>"Towel"</formula>
    </cfRule>
    <cfRule type="cellIs" dxfId="4522" priority="6084" stopIfTrue="1" operator="equal">
      <formula>"Napkin Hs"</formula>
    </cfRule>
  </conditionalFormatting>
  <conditionalFormatting sqref="B88:C88">
    <cfRule type="cellIs" dxfId="4521" priority="6077" stopIfTrue="1" operator="equal">
      <formula>"Towel"</formula>
    </cfRule>
    <cfRule type="cellIs" dxfId="4520" priority="6078" stopIfTrue="1" operator="equal">
      <formula>"Napkin Hs"</formula>
    </cfRule>
  </conditionalFormatting>
  <conditionalFormatting sqref="C87">
    <cfRule type="cellIs" dxfId="4519" priority="6082" stopIfTrue="1" operator="equal">
      <formula>"Napkin Hs"</formula>
    </cfRule>
  </conditionalFormatting>
  <conditionalFormatting sqref="C87">
    <cfRule type="cellIs" dxfId="4518" priority="6081" stopIfTrue="1" operator="equal">
      <formula>"Towel"</formula>
    </cfRule>
  </conditionalFormatting>
  <conditionalFormatting sqref="C87">
    <cfRule type="cellIs" dxfId="4517" priority="6079" stopIfTrue="1" operator="equal">
      <formula>"Towel"</formula>
    </cfRule>
    <cfRule type="cellIs" dxfId="4516" priority="6080" stopIfTrue="1" operator="equal">
      <formula>"Napkin Hs"</formula>
    </cfRule>
  </conditionalFormatting>
  <conditionalFormatting sqref="C88">
    <cfRule type="cellIs" dxfId="4515" priority="6075" stopIfTrue="1" operator="equal">
      <formula>"Towel"</formula>
    </cfRule>
    <cfRule type="cellIs" dxfId="4514" priority="6076" stopIfTrue="1" operator="equal">
      <formula>"Napkin Hs"</formula>
    </cfRule>
  </conditionalFormatting>
  <conditionalFormatting sqref="C88">
    <cfRule type="cellIs" dxfId="4513" priority="6073" stopIfTrue="1" operator="equal">
      <formula>"Towel"</formula>
    </cfRule>
    <cfRule type="cellIs" dxfId="4512" priority="6074" stopIfTrue="1" operator="equal">
      <formula>"Napkin Hs"</formula>
    </cfRule>
  </conditionalFormatting>
  <conditionalFormatting sqref="C86">
    <cfRule type="cellIs" dxfId="4511" priority="6069" stopIfTrue="1" operator="equal">
      <formula>"Towel"</formula>
    </cfRule>
    <cfRule type="cellIs" dxfId="4510" priority="6070" stopIfTrue="1" operator="equal">
      <formula>"Napkin Hs"</formula>
    </cfRule>
  </conditionalFormatting>
  <conditionalFormatting sqref="C86">
    <cfRule type="cellIs" dxfId="4509" priority="6071" stopIfTrue="1" operator="equal">
      <formula>"Towel"</formula>
    </cfRule>
    <cfRule type="cellIs" dxfId="4508" priority="6072" stopIfTrue="1" operator="equal">
      <formula>"Napkin Hs"</formula>
    </cfRule>
  </conditionalFormatting>
  <conditionalFormatting sqref="B86:C86">
    <cfRule type="cellIs" dxfId="4507" priority="6067" stopIfTrue="1" operator="equal">
      <formula>"Towel"</formula>
    </cfRule>
    <cfRule type="cellIs" dxfId="4506" priority="6068" stopIfTrue="1" operator="equal">
      <formula>"Napkin Hs"</formula>
    </cfRule>
  </conditionalFormatting>
  <conditionalFormatting sqref="B86:C86">
    <cfRule type="cellIs" dxfId="4505" priority="6061" stopIfTrue="1" operator="equal">
      <formula>"Towel"</formula>
    </cfRule>
    <cfRule type="cellIs" dxfId="4504" priority="6062" stopIfTrue="1" operator="equal">
      <formula>"Napkin Hs"</formula>
    </cfRule>
  </conditionalFormatting>
  <conditionalFormatting sqref="C86">
    <cfRule type="cellIs" dxfId="4503" priority="6063" stopIfTrue="1" operator="equal">
      <formula>"Towel"</formula>
    </cfRule>
    <cfRule type="cellIs" dxfId="4502" priority="6064" stopIfTrue="1" operator="equal">
      <formula>"Napkin Hs"</formula>
    </cfRule>
  </conditionalFormatting>
  <conditionalFormatting sqref="C86">
    <cfRule type="cellIs" dxfId="4501" priority="6065" stopIfTrue="1" operator="equal">
      <formula>"Towel"</formula>
    </cfRule>
    <cfRule type="cellIs" dxfId="4500" priority="6066" stopIfTrue="1" operator="equal">
      <formula>"Napkin Hs"</formula>
    </cfRule>
  </conditionalFormatting>
  <conditionalFormatting sqref="C88">
    <cfRule type="cellIs" dxfId="4499" priority="6059" stopIfTrue="1" operator="equal">
      <formula>"Towel"</formula>
    </cfRule>
    <cfRule type="cellIs" dxfId="4498" priority="6060" stopIfTrue="1" operator="equal">
      <formula>"Napkin Hs"</formula>
    </cfRule>
  </conditionalFormatting>
  <conditionalFormatting sqref="B88:C88">
    <cfRule type="cellIs" dxfId="4497" priority="6055" stopIfTrue="1" operator="equal">
      <formula>"Towel"</formula>
    </cfRule>
    <cfRule type="cellIs" dxfId="4496" priority="6056" stopIfTrue="1" operator="equal">
      <formula>"Napkin Hs"</formula>
    </cfRule>
  </conditionalFormatting>
  <conditionalFormatting sqref="C88">
    <cfRule type="cellIs" dxfId="4495" priority="6057" stopIfTrue="1" operator="equal">
      <formula>"Towel"</formula>
    </cfRule>
    <cfRule type="cellIs" dxfId="4494" priority="6058" stopIfTrue="1" operator="equal">
      <formula>"Napkin Hs"</formula>
    </cfRule>
  </conditionalFormatting>
  <conditionalFormatting sqref="C88">
    <cfRule type="cellIs" dxfId="4493" priority="6053" stopIfTrue="1" operator="equal">
      <formula>"Towel"</formula>
    </cfRule>
    <cfRule type="cellIs" dxfId="4492" priority="6054" stopIfTrue="1" operator="equal">
      <formula>"Napkin Hs"</formula>
    </cfRule>
  </conditionalFormatting>
  <conditionalFormatting sqref="C88">
    <cfRule type="cellIs" dxfId="4491" priority="6051" stopIfTrue="1" operator="equal">
      <formula>"Towel"</formula>
    </cfRule>
    <cfRule type="cellIs" dxfId="4490" priority="6052" stopIfTrue="1" operator="equal">
      <formula>"Napkin Hs"</formula>
    </cfRule>
  </conditionalFormatting>
  <conditionalFormatting sqref="B92:C92">
    <cfRule type="cellIs" dxfId="4489" priority="5663" stopIfTrue="1" operator="equal">
      <formula>"Towel"</formula>
    </cfRule>
    <cfRule type="cellIs" dxfId="4488" priority="5664" stopIfTrue="1" operator="equal">
      <formula>"Napkin Hs"</formula>
    </cfRule>
  </conditionalFormatting>
  <conditionalFormatting sqref="C92">
    <cfRule type="cellIs" dxfId="4487" priority="5659" stopIfTrue="1" operator="equal">
      <formula>"Towel"</formula>
    </cfRule>
    <cfRule type="cellIs" dxfId="4486" priority="5660" stopIfTrue="1" operator="equal">
      <formula>"Napkin Hs"</formula>
    </cfRule>
  </conditionalFormatting>
  <conditionalFormatting sqref="C92">
    <cfRule type="cellIs" dxfId="4485" priority="5661" stopIfTrue="1" operator="equal">
      <formula>"Towel"</formula>
    </cfRule>
    <cfRule type="cellIs" dxfId="4484" priority="5662" stopIfTrue="1" operator="equal">
      <formula>"Napkin Hs"</formula>
    </cfRule>
  </conditionalFormatting>
  <conditionalFormatting sqref="C94">
    <cfRule type="cellIs" dxfId="4483" priority="5643" stopIfTrue="1" operator="equal">
      <formula>"Towel"</formula>
    </cfRule>
    <cfRule type="cellIs" dxfId="4482" priority="5644" stopIfTrue="1" operator="equal">
      <formula>"Napkin Hs"</formula>
    </cfRule>
  </conditionalFormatting>
  <conditionalFormatting sqref="C94">
    <cfRule type="cellIs" dxfId="4481" priority="5645" stopIfTrue="1" operator="equal">
      <formula>"Towel"</formula>
    </cfRule>
    <cfRule type="cellIs" dxfId="4480" priority="5646" stopIfTrue="1" operator="equal">
      <formula>"Napkin Hs"</formula>
    </cfRule>
  </conditionalFormatting>
  <conditionalFormatting sqref="B94:C94">
    <cfRule type="cellIs" dxfId="4479" priority="5641" stopIfTrue="1" operator="equal">
      <formula>"Towel"</formula>
    </cfRule>
    <cfRule type="cellIs" dxfId="4478" priority="5642" stopIfTrue="1" operator="equal">
      <formula>"Napkin Hs"</formula>
    </cfRule>
  </conditionalFormatting>
  <conditionalFormatting sqref="B94:C94">
    <cfRule type="cellIs" dxfId="4477" priority="5635" stopIfTrue="1" operator="equal">
      <formula>"Towel"</formula>
    </cfRule>
    <cfRule type="cellIs" dxfId="4476" priority="5636" stopIfTrue="1" operator="equal">
      <formula>"Napkin Hs"</formula>
    </cfRule>
  </conditionalFormatting>
  <conditionalFormatting sqref="C94">
    <cfRule type="cellIs" dxfId="4475" priority="5637" stopIfTrue="1" operator="equal">
      <formula>"Towel"</formula>
    </cfRule>
    <cfRule type="cellIs" dxfId="4474" priority="5638" stopIfTrue="1" operator="equal">
      <formula>"Napkin Hs"</formula>
    </cfRule>
  </conditionalFormatting>
  <conditionalFormatting sqref="C94">
    <cfRule type="cellIs" dxfId="4473" priority="5639" stopIfTrue="1" operator="equal">
      <formula>"Towel"</formula>
    </cfRule>
    <cfRule type="cellIs" dxfId="4472" priority="5640" stopIfTrue="1" operator="equal">
      <formula>"Napkin Hs"</formula>
    </cfRule>
  </conditionalFormatting>
  <conditionalFormatting sqref="B92:C92">
    <cfRule type="cellIs" dxfId="4471" priority="5657" stopIfTrue="1" operator="equal">
      <formula>"Towel"</formula>
    </cfRule>
    <cfRule type="cellIs" dxfId="4470" priority="5658" stopIfTrue="1" operator="equal">
      <formula>"Napkin Hs"</formula>
    </cfRule>
  </conditionalFormatting>
  <conditionalFormatting sqref="C92">
    <cfRule type="cellIs" dxfId="4469" priority="5655" stopIfTrue="1" operator="equal">
      <formula>"Towel"</formula>
    </cfRule>
    <cfRule type="cellIs" dxfId="4468" priority="5656" stopIfTrue="1" operator="equal">
      <formula>"Napkin Hs"</formula>
    </cfRule>
  </conditionalFormatting>
  <conditionalFormatting sqref="C92">
    <cfRule type="cellIs" dxfId="4467" priority="5653" stopIfTrue="1" operator="equal">
      <formula>"Towel"</formula>
    </cfRule>
    <cfRule type="cellIs" dxfId="4466" priority="5654" stopIfTrue="1" operator="equal">
      <formula>"Napkin Hs"</formula>
    </cfRule>
  </conditionalFormatting>
  <conditionalFormatting sqref="B94:C94">
    <cfRule type="cellIs" dxfId="4465" priority="5651" stopIfTrue="1" operator="equal">
      <formula>"Towel"</formula>
    </cfRule>
    <cfRule type="cellIs" dxfId="4464" priority="5652" stopIfTrue="1" operator="equal">
      <formula>"Napkin Hs"</formula>
    </cfRule>
  </conditionalFormatting>
  <conditionalFormatting sqref="C94">
    <cfRule type="cellIs" dxfId="4463" priority="5649" stopIfTrue="1" operator="equal">
      <formula>"Towel"</formula>
    </cfRule>
    <cfRule type="cellIs" dxfId="4462" priority="5650" stopIfTrue="1" operator="equal">
      <formula>"Napkin Hs"</formula>
    </cfRule>
  </conditionalFormatting>
  <conditionalFormatting sqref="C94">
    <cfRule type="cellIs" dxfId="4461" priority="5647" stopIfTrue="1" operator="equal">
      <formula>"Towel"</formula>
    </cfRule>
    <cfRule type="cellIs" dxfId="4460" priority="5648" stopIfTrue="1" operator="equal">
      <formula>"Napkin Hs"</formula>
    </cfRule>
  </conditionalFormatting>
  <conditionalFormatting sqref="C91">
    <cfRule type="cellIs" dxfId="4459" priority="5613" stopIfTrue="1" operator="equal">
      <formula>"Towel"</formula>
    </cfRule>
    <cfRule type="cellIs" dxfId="4458" priority="5614" stopIfTrue="1" operator="equal">
      <formula>"Napkin Hs"</formula>
    </cfRule>
  </conditionalFormatting>
  <conditionalFormatting sqref="C91">
    <cfRule type="cellIs" dxfId="4457" priority="5615" stopIfTrue="1" operator="equal">
      <formula>"Towel"</formula>
    </cfRule>
    <cfRule type="cellIs" dxfId="4456" priority="5616" stopIfTrue="1" operator="equal">
      <formula>"Napkin Hs"</formula>
    </cfRule>
  </conditionalFormatting>
  <conditionalFormatting sqref="B91:C91">
    <cfRule type="cellIs" dxfId="4455" priority="5611" stopIfTrue="1" operator="equal">
      <formula>"Towel"</formula>
    </cfRule>
    <cfRule type="cellIs" dxfId="4454" priority="5612" stopIfTrue="1" operator="equal">
      <formula>"Napkin Hs"</formula>
    </cfRule>
  </conditionalFormatting>
  <conditionalFormatting sqref="B91:C91">
    <cfRule type="cellIs" dxfId="4453" priority="5605" stopIfTrue="1" operator="equal">
      <formula>"Towel"</formula>
    </cfRule>
    <cfRule type="cellIs" dxfId="4452" priority="5606" stopIfTrue="1" operator="equal">
      <formula>"Napkin Hs"</formula>
    </cfRule>
  </conditionalFormatting>
  <conditionalFormatting sqref="C91">
    <cfRule type="cellIs" dxfId="4451" priority="5607" stopIfTrue="1" operator="equal">
      <formula>"Towel"</formula>
    </cfRule>
    <cfRule type="cellIs" dxfId="4450" priority="5608" stopIfTrue="1" operator="equal">
      <formula>"Napkin Hs"</formula>
    </cfRule>
  </conditionalFormatting>
  <conditionalFormatting sqref="C91">
    <cfRule type="cellIs" dxfId="4449" priority="5609" stopIfTrue="1" operator="equal">
      <formula>"Towel"</formula>
    </cfRule>
    <cfRule type="cellIs" dxfId="4448" priority="5610" stopIfTrue="1" operator="equal">
      <formula>"Napkin Hs"</formula>
    </cfRule>
  </conditionalFormatting>
  <conditionalFormatting sqref="C91">
    <cfRule type="cellIs" dxfId="4447" priority="5577" stopIfTrue="1" operator="equal">
      <formula>"Towel"</formula>
    </cfRule>
    <cfRule type="cellIs" dxfId="4446" priority="5578" stopIfTrue="1" operator="equal">
      <formula>"Napkin Hs"</formula>
    </cfRule>
  </conditionalFormatting>
  <conditionalFormatting sqref="C91">
    <cfRule type="cellIs" dxfId="4445" priority="5579" stopIfTrue="1" operator="equal">
      <formula>"Towel"</formula>
    </cfRule>
    <cfRule type="cellIs" dxfId="4444" priority="5580" stopIfTrue="1" operator="equal">
      <formula>"Napkin Hs"</formula>
    </cfRule>
  </conditionalFormatting>
  <conditionalFormatting sqref="C91">
    <cfRule type="cellIs" dxfId="4443" priority="5575" stopIfTrue="1" operator="equal">
      <formula>"Towel"</formula>
    </cfRule>
    <cfRule type="cellIs" dxfId="4442" priority="5576" stopIfTrue="1" operator="equal">
      <formula>"Napkin Hs"</formula>
    </cfRule>
  </conditionalFormatting>
  <conditionalFormatting sqref="B91">
    <cfRule type="cellIs" dxfId="4441" priority="5569" stopIfTrue="1" operator="equal">
      <formula>"Towel"</formula>
    </cfRule>
    <cfRule type="cellIs" dxfId="4440" priority="5570" stopIfTrue="1" operator="equal">
      <formula>"Napkin Hs"</formula>
    </cfRule>
  </conditionalFormatting>
  <conditionalFormatting sqref="C91">
    <cfRule type="cellIs" dxfId="4439" priority="5571" stopIfTrue="1" operator="equal">
      <formula>"Towel"</formula>
    </cfRule>
    <cfRule type="cellIs" dxfId="4438" priority="5572" stopIfTrue="1" operator="equal">
      <formula>"Napkin Hs"</formula>
    </cfRule>
  </conditionalFormatting>
  <conditionalFormatting sqref="C91">
    <cfRule type="cellIs" dxfId="4437" priority="5573" stopIfTrue="1" operator="equal">
      <formula>"Towel"</formula>
    </cfRule>
    <cfRule type="cellIs" dxfId="4436" priority="5574" stopIfTrue="1" operator="equal">
      <formula>"Napkin Hs"</formula>
    </cfRule>
  </conditionalFormatting>
  <conditionalFormatting sqref="B91:C91">
    <cfRule type="cellIs" dxfId="4435" priority="5523" stopIfTrue="1" operator="equal">
      <formula>"Towel"</formula>
    </cfRule>
    <cfRule type="cellIs" dxfId="4434" priority="5524" stopIfTrue="1" operator="equal">
      <formula>"Napkin Hs"</formula>
    </cfRule>
  </conditionalFormatting>
  <conditionalFormatting sqref="C91">
    <cfRule type="cellIs" dxfId="4433" priority="5525" stopIfTrue="1" operator="equal">
      <formula>"Towel"</formula>
    </cfRule>
    <cfRule type="cellIs" dxfId="4432" priority="5526" stopIfTrue="1" operator="equal">
      <formula>"Napkin Hs"</formula>
    </cfRule>
  </conditionalFormatting>
  <conditionalFormatting sqref="C91">
    <cfRule type="cellIs" dxfId="4431" priority="5521" stopIfTrue="1" operator="equal">
      <formula>"Towel"</formula>
    </cfRule>
    <cfRule type="cellIs" dxfId="4430" priority="5522" stopIfTrue="1" operator="equal">
      <formula>"Napkin Hs"</formula>
    </cfRule>
  </conditionalFormatting>
  <conditionalFormatting sqref="C91">
    <cfRule type="cellIs" dxfId="4429" priority="5519" stopIfTrue="1" operator="equal">
      <formula>"Towel"</formula>
    </cfRule>
    <cfRule type="cellIs" dxfId="4428" priority="5520" stopIfTrue="1" operator="equal">
      <formula>"Napkin Hs"</formula>
    </cfRule>
  </conditionalFormatting>
  <conditionalFormatting sqref="C89">
    <cfRule type="cellIs" dxfId="4427" priority="5515" stopIfTrue="1" operator="equal">
      <formula>"Towel"</formula>
    </cfRule>
    <cfRule type="cellIs" dxfId="4426" priority="5516" stopIfTrue="1" operator="equal">
      <formula>"Napkin Hs"</formula>
    </cfRule>
  </conditionalFormatting>
  <conditionalFormatting sqref="C89">
    <cfRule type="cellIs" dxfId="4425" priority="5517" stopIfTrue="1" operator="equal">
      <formula>"Towel"</formula>
    </cfRule>
    <cfRule type="cellIs" dxfId="4424" priority="5518" stopIfTrue="1" operator="equal">
      <formula>"Napkin Hs"</formula>
    </cfRule>
  </conditionalFormatting>
  <conditionalFormatting sqref="B91">
    <cfRule type="cellIs" dxfId="4423" priority="5567" stopIfTrue="1" operator="equal">
      <formula>"Towel"</formula>
    </cfRule>
    <cfRule type="cellIs" dxfId="4422" priority="5568" stopIfTrue="1" operator="equal">
      <formula>"Napkin Hs"</formula>
    </cfRule>
  </conditionalFormatting>
  <conditionalFormatting sqref="C91">
    <cfRule type="cellIs" dxfId="4421" priority="5563" stopIfTrue="1" operator="equal">
      <formula>"Towel"</formula>
    </cfRule>
    <cfRule type="cellIs" dxfId="4420" priority="5564" stopIfTrue="1" operator="equal">
      <formula>"Napkin Hs"</formula>
    </cfRule>
  </conditionalFormatting>
  <conditionalFormatting sqref="C91">
    <cfRule type="cellIs" dxfId="4419" priority="5557" stopIfTrue="1" operator="equal">
      <formula>"Towel"</formula>
    </cfRule>
    <cfRule type="cellIs" dxfId="4418" priority="5558" stopIfTrue="1" operator="equal">
      <formula>"Napkin Hs"</formula>
    </cfRule>
  </conditionalFormatting>
  <conditionalFormatting sqref="C91">
    <cfRule type="cellIs" dxfId="4417" priority="5561" stopIfTrue="1" operator="equal">
      <formula>"Towel"</formula>
    </cfRule>
    <cfRule type="cellIs" dxfId="4416" priority="5562" stopIfTrue="1" operator="equal">
      <formula>"Napkin Hs"</formula>
    </cfRule>
  </conditionalFormatting>
  <conditionalFormatting sqref="B91:C91">
    <cfRule type="cellIs" dxfId="4415" priority="5559" stopIfTrue="1" operator="equal">
      <formula>"Towel"</formula>
    </cfRule>
    <cfRule type="cellIs" dxfId="4414" priority="5560" stopIfTrue="1" operator="equal">
      <formula>"Napkin Hs"</formula>
    </cfRule>
  </conditionalFormatting>
  <conditionalFormatting sqref="C91">
    <cfRule type="cellIs" dxfId="4413" priority="5551" stopIfTrue="1" operator="equal">
      <formula>"Towel"</formula>
    </cfRule>
    <cfRule type="cellIs" dxfId="4412" priority="5552" stopIfTrue="1" operator="equal">
      <formula>"Napkin Hs"</formula>
    </cfRule>
  </conditionalFormatting>
  <conditionalFormatting sqref="C91">
    <cfRule type="cellIs" dxfId="4411" priority="5553" stopIfTrue="1" operator="equal">
      <formula>"Towel"</formula>
    </cfRule>
    <cfRule type="cellIs" dxfId="4410" priority="5554" stopIfTrue="1" operator="equal">
      <formula>"Napkin Hs"</formula>
    </cfRule>
  </conditionalFormatting>
  <conditionalFormatting sqref="C91">
    <cfRule type="cellIs" dxfId="4409" priority="5555" stopIfTrue="1" operator="equal">
      <formula>"Towel"</formula>
    </cfRule>
    <cfRule type="cellIs" dxfId="4408" priority="5556" stopIfTrue="1" operator="equal">
      <formula>"Napkin Hs"</formula>
    </cfRule>
  </conditionalFormatting>
  <conditionalFormatting sqref="C91">
    <cfRule type="cellIs" dxfId="4407" priority="5545" stopIfTrue="1" operator="equal">
      <formula>"Towel"</formula>
    </cfRule>
    <cfRule type="cellIs" dxfId="4406" priority="5546" stopIfTrue="1" operator="equal">
      <formula>"Napkin Hs"</formula>
    </cfRule>
  </conditionalFormatting>
  <conditionalFormatting sqref="B91:C91">
    <cfRule type="cellIs" dxfId="4405" priority="5549" stopIfTrue="1" operator="equal">
      <formula>"Towel"</formula>
    </cfRule>
    <cfRule type="cellIs" dxfId="4404" priority="5550" stopIfTrue="1" operator="equal">
      <formula>"Napkin Hs"</formula>
    </cfRule>
  </conditionalFormatting>
  <conditionalFormatting sqref="C91">
    <cfRule type="cellIs" dxfId="4403" priority="5547" stopIfTrue="1" operator="equal">
      <formula>"Towel"</formula>
    </cfRule>
    <cfRule type="cellIs" dxfId="4402" priority="5548" stopIfTrue="1" operator="equal">
      <formula>"Napkin Hs"</formula>
    </cfRule>
  </conditionalFormatting>
  <conditionalFormatting sqref="B91:C91">
    <cfRule type="cellIs" dxfId="4401" priority="5539" stopIfTrue="1" operator="equal">
      <formula>"Towel"</formula>
    </cfRule>
    <cfRule type="cellIs" dxfId="4400" priority="5540" stopIfTrue="1" operator="equal">
      <formula>"Napkin Hs"</formula>
    </cfRule>
  </conditionalFormatting>
  <conditionalFormatting sqref="C91">
    <cfRule type="cellIs" dxfId="4399" priority="5541" stopIfTrue="1" operator="equal">
      <formula>"Towel"</formula>
    </cfRule>
    <cfRule type="cellIs" dxfId="4398" priority="5542" stopIfTrue="1" operator="equal">
      <formula>"Napkin Hs"</formula>
    </cfRule>
  </conditionalFormatting>
  <conditionalFormatting sqref="B91:C91">
    <cfRule type="cellIs" dxfId="4397" priority="5543" stopIfTrue="1" operator="equal">
      <formula>"Towel"</formula>
    </cfRule>
    <cfRule type="cellIs" dxfId="4396" priority="5544" stopIfTrue="1" operator="equal">
      <formula>"Napkin Hs"</formula>
    </cfRule>
  </conditionalFormatting>
  <conditionalFormatting sqref="C91">
    <cfRule type="cellIs" dxfId="4395" priority="5537" stopIfTrue="1" operator="equal">
      <formula>"Towel"</formula>
    </cfRule>
    <cfRule type="cellIs" dxfId="4394" priority="5538" stopIfTrue="1" operator="equal">
      <formula>"Napkin Hs"</formula>
    </cfRule>
  </conditionalFormatting>
  <conditionalFormatting sqref="C91">
    <cfRule type="cellIs" dxfId="4393" priority="5533" stopIfTrue="1" operator="equal">
      <formula>"Towel"</formula>
    </cfRule>
    <cfRule type="cellIs" dxfId="4392" priority="5534" stopIfTrue="1" operator="equal">
      <formula>"Napkin Hs"</formula>
    </cfRule>
  </conditionalFormatting>
  <conditionalFormatting sqref="B91:C91">
    <cfRule type="cellIs" dxfId="4391" priority="5535" stopIfTrue="1" operator="equal">
      <formula>"Towel"</formula>
    </cfRule>
    <cfRule type="cellIs" dxfId="4390" priority="5536" stopIfTrue="1" operator="equal">
      <formula>"Napkin Hs"</formula>
    </cfRule>
  </conditionalFormatting>
  <conditionalFormatting sqref="C91">
    <cfRule type="cellIs" dxfId="4389" priority="5531" stopIfTrue="1" operator="equal">
      <formula>"Towel"</formula>
    </cfRule>
    <cfRule type="cellIs" dxfId="4388" priority="5532" stopIfTrue="1" operator="equal">
      <formula>"Napkin Hs"</formula>
    </cfRule>
  </conditionalFormatting>
  <conditionalFormatting sqref="C91">
    <cfRule type="cellIs" dxfId="4387" priority="5529" stopIfTrue="1" operator="equal">
      <formula>"Towel"</formula>
    </cfRule>
    <cfRule type="cellIs" dxfId="4386" priority="5530" stopIfTrue="1" operator="equal">
      <formula>"Napkin Hs"</formula>
    </cfRule>
  </conditionalFormatting>
  <conditionalFormatting sqref="B91:C91">
    <cfRule type="cellIs" dxfId="4385" priority="5527" stopIfTrue="1" operator="equal">
      <formula>"Towel"</formula>
    </cfRule>
    <cfRule type="cellIs" dxfId="4384" priority="5528" stopIfTrue="1" operator="equal">
      <formula>"Napkin Hs"</formula>
    </cfRule>
  </conditionalFormatting>
  <conditionalFormatting sqref="C89">
    <cfRule type="cellIs" dxfId="4383" priority="5511" stopIfTrue="1" operator="equal">
      <formula>"Towel"</formula>
    </cfRule>
    <cfRule type="cellIs" dxfId="4382" priority="5512" stopIfTrue="1" operator="equal">
      <formula>"Napkin Hs"</formula>
    </cfRule>
  </conditionalFormatting>
  <conditionalFormatting sqref="B89:C89">
    <cfRule type="cellIs" dxfId="4381" priority="5513" stopIfTrue="1" operator="equal">
      <formula>"Towel"</formula>
    </cfRule>
    <cfRule type="cellIs" dxfId="4380" priority="5514" stopIfTrue="1" operator="equal">
      <formula>"Napkin Hs"</formula>
    </cfRule>
  </conditionalFormatting>
  <conditionalFormatting sqref="C89">
    <cfRule type="cellIs" dxfId="4379" priority="5509" stopIfTrue="1" operator="equal">
      <formula>"Towel"</formula>
    </cfRule>
    <cfRule type="cellIs" dxfId="4378" priority="5510" stopIfTrue="1" operator="equal">
      <formula>"Napkin Hs"</formula>
    </cfRule>
  </conditionalFormatting>
  <conditionalFormatting sqref="B89:C89">
    <cfRule type="cellIs" dxfId="4377" priority="5507" stopIfTrue="1" operator="equal">
      <formula>"Towel"</formula>
    </cfRule>
    <cfRule type="cellIs" dxfId="4376" priority="5508" stopIfTrue="1" operator="equal">
      <formula>"Napkin Hs"</formula>
    </cfRule>
  </conditionalFormatting>
  <conditionalFormatting sqref="B89:C89">
    <cfRule type="cellIs" dxfId="4375" priority="5505" stopIfTrue="1" operator="equal">
      <formula>"Towel"</formula>
    </cfRule>
    <cfRule type="cellIs" dxfId="4374" priority="5506" stopIfTrue="1" operator="equal">
      <formula>"Napkin Hs"</formula>
    </cfRule>
  </conditionalFormatting>
  <conditionalFormatting sqref="C89">
    <cfRule type="cellIs" dxfId="4373" priority="5499" stopIfTrue="1" operator="equal">
      <formula>"Towel"</formula>
    </cfRule>
    <cfRule type="cellIs" dxfId="4372" priority="5500" stopIfTrue="1" operator="equal">
      <formula>"Napkin Hs"</formula>
    </cfRule>
  </conditionalFormatting>
  <conditionalFormatting sqref="C89">
    <cfRule type="cellIs" dxfId="4371" priority="5501" stopIfTrue="1" operator="equal">
      <formula>"Towel"</formula>
    </cfRule>
    <cfRule type="cellIs" dxfId="4370" priority="5502" stopIfTrue="1" operator="equal">
      <formula>"Napkin Hs"</formula>
    </cfRule>
  </conditionalFormatting>
  <conditionalFormatting sqref="C89">
    <cfRule type="cellIs" dxfId="4369" priority="5497" stopIfTrue="1" operator="equal">
      <formula>"Towel"</formula>
    </cfRule>
    <cfRule type="cellIs" dxfId="4368" priority="5498" stopIfTrue="1" operator="equal">
      <formula>"Napkin Hs"</formula>
    </cfRule>
  </conditionalFormatting>
  <conditionalFormatting sqref="C89">
    <cfRule type="cellIs" dxfId="4367" priority="5495" stopIfTrue="1" operator="equal">
      <formula>"Towel"</formula>
    </cfRule>
    <cfRule type="cellIs" dxfId="4366" priority="5496" stopIfTrue="1" operator="equal">
      <formula>"Napkin Hs"</formula>
    </cfRule>
  </conditionalFormatting>
  <conditionalFormatting sqref="C89">
    <cfRule type="cellIs" dxfId="4365" priority="5491" stopIfTrue="1" operator="equal">
      <formula>"Towel"</formula>
    </cfRule>
    <cfRule type="cellIs" dxfId="4364" priority="5492" stopIfTrue="1" operator="equal">
      <formula>"Napkin Hs"</formula>
    </cfRule>
  </conditionalFormatting>
  <conditionalFormatting sqref="C89">
    <cfRule type="cellIs" dxfId="4363" priority="5493" stopIfTrue="1" operator="equal">
      <formula>"Towel"</formula>
    </cfRule>
    <cfRule type="cellIs" dxfId="4362" priority="5494" stopIfTrue="1" operator="equal">
      <formula>"Napkin Hs"</formula>
    </cfRule>
  </conditionalFormatting>
  <conditionalFormatting sqref="C89">
    <cfRule type="cellIs" dxfId="4361" priority="5489" stopIfTrue="1" operator="equal">
      <formula>"Towel"</formula>
    </cfRule>
    <cfRule type="cellIs" dxfId="4360" priority="5490" stopIfTrue="1" operator="equal">
      <formula>"Napkin Hs"</formula>
    </cfRule>
  </conditionalFormatting>
  <conditionalFormatting sqref="C89">
    <cfRule type="cellIs" dxfId="4359" priority="5473" stopIfTrue="1" operator="equal">
      <formula>"Towel"</formula>
    </cfRule>
    <cfRule type="cellIs" dxfId="4358" priority="5474" stopIfTrue="1" operator="equal">
      <formula>"Napkin Hs"</formula>
    </cfRule>
  </conditionalFormatting>
  <conditionalFormatting sqref="B89">
    <cfRule type="cellIs" dxfId="4357" priority="5471" stopIfTrue="1" operator="equal">
      <formula>"Towel"</formula>
    </cfRule>
    <cfRule type="cellIs" dxfId="4356" priority="5472" stopIfTrue="1" operator="equal">
      <formula>"Napkin Hs"</formula>
    </cfRule>
  </conditionalFormatting>
  <conditionalFormatting sqref="B89">
    <cfRule type="cellIs" dxfId="4355" priority="5487" stopIfTrue="1" operator="equal">
      <formula>"Towel"</formula>
    </cfRule>
    <cfRule type="cellIs" dxfId="4354" priority="5488" stopIfTrue="1" operator="equal">
      <formula>"Napkin Hs"</formula>
    </cfRule>
  </conditionalFormatting>
  <conditionalFormatting sqref="C89">
    <cfRule type="cellIs" dxfId="4353" priority="5483" stopIfTrue="1" operator="equal">
      <formula>"Towel"</formula>
    </cfRule>
    <cfRule type="cellIs" dxfId="4352" priority="5484" stopIfTrue="1" operator="equal">
      <formula>"Napkin Hs"</formula>
    </cfRule>
  </conditionalFormatting>
  <conditionalFormatting sqref="B89">
    <cfRule type="cellIs" dxfId="4351" priority="5485" stopIfTrue="1" operator="equal">
      <formula>"Towel"</formula>
    </cfRule>
    <cfRule type="cellIs" dxfId="4350" priority="5486" stopIfTrue="1" operator="equal">
      <formula>"Napkin Hs"</formula>
    </cfRule>
  </conditionalFormatting>
  <conditionalFormatting sqref="C89">
    <cfRule type="cellIs" dxfId="4349" priority="5479" stopIfTrue="1" operator="equal">
      <formula>"Towel"</formula>
    </cfRule>
    <cfRule type="cellIs" dxfId="4348" priority="5480" stopIfTrue="1" operator="equal">
      <formula>"Napkin Hs"</formula>
    </cfRule>
  </conditionalFormatting>
  <conditionalFormatting sqref="C89">
    <cfRule type="cellIs" dxfId="4347" priority="5481" stopIfTrue="1" operator="equal">
      <formula>"Towel"</formula>
    </cfRule>
    <cfRule type="cellIs" dxfId="4346" priority="5482" stopIfTrue="1" operator="equal">
      <formula>"Napkin Hs"</formula>
    </cfRule>
  </conditionalFormatting>
  <conditionalFormatting sqref="C89">
    <cfRule type="cellIs" dxfId="4345" priority="5477" stopIfTrue="1" operator="equal">
      <formula>"Towel"</formula>
    </cfRule>
    <cfRule type="cellIs" dxfId="4344" priority="5478" stopIfTrue="1" operator="equal">
      <formula>"Napkin Hs"</formula>
    </cfRule>
  </conditionalFormatting>
  <conditionalFormatting sqref="C89">
    <cfRule type="cellIs" dxfId="4343" priority="5475" stopIfTrue="1" operator="equal">
      <formula>"Towel"</formula>
    </cfRule>
    <cfRule type="cellIs" dxfId="4342" priority="5476" stopIfTrue="1" operator="equal">
      <formula>"Napkin Hs"</formula>
    </cfRule>
  </conditionalFormatting>
  <conditionalFormatting sqref="B89">
    <cfRule type="cellIs" dxfId="4341" priority="5469" stopIfTrue="1" operator="equal">
      <formula>"Towel"</formula>
    </cfRule>
    <cfRule type="cellIs" dxfId="4340" priority="5470" stopIfTrue="1" operator="equal">
      <formula>"Napkin Hs"</formula>
    </cfRule>
  </conditionalFormatting>
  <conditionalFormatting sqref="B89:C89">
    <cfRule type="cellIs" dxfId="4339" priority="5467" stopIfTrue="1" operator="equal">
      <formula>"Towel"</formula>
    </cfRule>
    <cfRule type="cellIs" dxfId="4338" priority="5468" stopIfTrue="1" operator="equal">
      <formula>"Napkin Hs"</formula>
    </cfRule>
  </conditionalFormatting>
  <conditionalFormatting sqref="C89">
    <cfRule type="cellIs" dxfId="4337" priority="5465" stopIfTrue="1" operator="equal">
      <formula>"Towel"</formula>
    </cfRule>
    <cfRule type="cellIs" dxfId="4336" priority="5466" stopIfTrue="1" operator="equal">
      <formula>"Napkin Hs"</formula>
    </cfRule>
  </conditionalFormatting>
  <conditionalFormatting sqref="C89">
    <cfRule type="cellIs" dxfId="4335" priority="5463" stopIfTrue="1" operator="equal">
      <formula>"Towel"</formula>
    </cfRule>
    <cfRule type="cellIs" dxfId="4334" priority="5464" stopIfTrue="1" operator="equal">
      <formula>"Napkin Hs"</formula>
    </cfRule>
  </conditionalFormatting>
  <conditionalFormatting sqref="B91:C91">
    <cfRule type="cellIs" dxfId="4333" priority="5603" stopIfTrue="1" operator="equal">
      <formula>"Towel"</formula>
    </cfRule>
    <cfRule type="cellIs" dxfId="4332" priority="5604" stopIfTrue="1" operator="equal">
      <formula>"Napkin Hs"</formula>
    </cfRule>
  </conditionalFormatting>
  <conditionalFormatting sqref="C91">
    <cfRule type="cellIs" dxfId="4331" priority="5599" stopIfTrue="1" operator="equal">
      <formula>"Towel"</formula>
    </cfRule>
    <cfRule type="cellIs" dxfId="4330" priority="5600" stopIfTrue="1" operator="equal">
      <formula>"Napkin Hs"</formula>
    </cfRule>
  </conditionalFormatting>
  <conditionalFormatting sqref="C91">
    <cfRule type="cellIs" dxfId="4329" priority="5602" stopIfTrue="1" operator="equal">
      <formula>"Napkin Hs"</formula>
    </cfRule>
  </conditionalFormatting>
  <conditionalFormatting sqref="C91">
    <cfRule type="cellIs" dxfId="4328" priority="5601" stopIfTrue="1" operator="equal">
      <formula>"Towel"</formula>
    </cfRule>
  </conditionalFormatting>
  <conditionalFormatting sqref="C91">
    <cfRule type="cellIs" dxfId="4327" priority="5593" stopIfTrue="1" operator="equal">
      <formula>"Towel"</formula>
    </cfRule>
    <cfRule type="cellIs" dxfId="4326" priority="5594" stopIfTrue="1" operator="equal">
      <formula>"Napkin Hs"</formula>
    </cfRule>
  </conditionalFormatting>
  <conditionalFormatting sqref="C91">
    <cfRule type="cellIs" dxfId="4325" priority="5597" stopIfTrue="1" operator="equal">
      <formula>"Towel"</formula>
    </cfRule>
    <cfRule type="cellIs" dxfId="4324" priority="5598" stopIfTrue="1" operator="equal">
      <formula>"Napkin Hs"</formula>
    </cfRule>
  </conditionalFormatting>
  <conditionalFormatting sqref="B91">
    <cfRule type="cellIs" dxfId="4323" priority="5583" stopIfTrue="1" operator="equal">
      <formula>"Towel"</formula>
    </cfRule>
    <cfRule type="cellIs" dxfId="4322" priority="5584" stopIfTrue="1" operator="equal">
      <formula>"Napkin Hs"</formula>
    </cfRule>
  </conditionalFormatting>
  <conditionalFormatting sqref="C91">
    <cfRule type="cellIs" dxfId="4321" priority="5595" stopIfTrue="1" operator="equal">
      <formula>"Towel"</formula>
    </cfRule>
    <cfRule type="cellIs" dxfId="4320" priority="5596" stopIfTrue="1" operator="equal">
      <formula>"Napkin Hs"</formula>
    </cfRule>
  </conditionalFormatting>
  <conditionalFormatting sqref="C91">
    <cfRule type="cellIs" dxfId="4319" priority="5587" stopIfTrue="1" operator="equal">
      <formula>"Towel"</formula>
    </cfRule>
    <cfRule type="cellIs" dxfId="4318" priority="5588" stopIfTrue="1" operator="equal">
      <formula>"Napkin Hs"</formula>
    </cfRule>
  </conditionalFormatting>
  <conditionalFormatting sqref="C91">
    <cfRule type="cellIs" dxfId="4317" priority="5589" stopIfTrue="1" operator="equal">
      <formula>"Towel"</formula>
    </cfRule>
    <cfRule type="cellIs" dxfId="4316" priority="5590" stopIfTrue="1" operator="equal">
      <formula>"Napkin Hs"</formula>
    </cfRule>
  </conditionalFormatting>
  <conditionalFormatting sqref="C91">
    <cfRule type="cellIs" dxfId="4315" priority="5591" stopIfTrue="1" operator="equal">
      <formula>"Towel"</formula>
    </cfRule>
    <cfRule type="cellIs" dxfId="4314" priority="5592" stopIfTrue="1" operator="equal">
      <formula>"Napkin Hs"</formula>
    </cfRule>
  </conditionalFormatting>
  <conditionalFormatting sqref="B91">
    <cfRule type="cellIs" dxfId="4313" priority="5585" stopIfTrue="1" operator="equal">
      <formula>"Towel"</formula>
    </cfRule>
    <cfRule type="cellIs" dxfId="4312" priority="5586" stopIfTrue="1" operator="equal">
      <formula>"Napkin Hs"</formula>
    </cfRule>
  </conditionalFormatting>
  <conditionalFormatting sqref="C91">
    <cfRule type="cellIs" dxfId="4311" priority="5581" stopIfTrue="1" operator="equal">
      <formula>"Towel"</formula>
    </cfRule>
    <cfRule type="cellIs" dxfId="4310" priority="5582" stopIfTrue="1" operator="equal">
      <formula>"Napkin Hs"</formula>
    </cfRule>
  </conditionalFormatting>
  <conditionalFormatting sqref="B91:C91">
    <cfRule type="cellIs" dxfId="4309" priority="5565" stopIfTrue="1" operator="equal">
      <formula>"Towel"</formula>
    </cfRule>
    <cfRule type="cellIs" dxfId="4308" priority="5566" stopIfTrue="1" operator="equal">
      <formula>"Napkin Hs"</formula>
    </cfRule>
  </conditionalFormatting>
  <conditionalFormatting sqref="C89">
    <cfRule type="cellIs" dxfId="4307" priority="5453" stopIfTrue="1" operator="equal">
      <formula>"Towel"</formula>
    </cfRule>
    <cfRule type="cellIs" dxfId="4306" priority="5454" stopIfTrue="1" operator="equal">
      <formula>"Napkin Hs"</formula>
    </cfRule>
  </conditionalFormatting>
  <conditionalFormatting sqref="C89">
    <cfRule type="cellIs" dxfId="4305" priority="5455" stopIfTrue="1" operator="equal">
      <formula>"Towel"</formula>
    </cfRule>
    <cfRule type="cellIs" dxfId="4304" priority="5456" stopIfTrue="1" operator="equal">
      <formula>"Napkin Hs"</formula>
    </cfRule>
  </conditionalFormatting>
  <conditionalFormatting sqref="B89:C89">
    <cfRule type="cellIs" dxfId="4303" priority="5451" stopIfTrue="1" operator="equal">
      <formula>"Towel"</formula>
    </cfRule>
    <cfRule type="cellIs" dxfId="4302" priority="5452" stopIfTrue="1" operator="equal">
      <formula>"Napkin Hs"</formula>
    </cfRule>
  </conditionalFormatting>
  <conditionalFormatting sqref="C89">
    <cfRule type="cellIs" dxfId="4301" priority="5449" stopIfTrue="1" operator="equal">
      <formula>"Towel"</formula>
    </cfRule>
    <cfRule type="cellIs" dxfId="4300" priority="5450" stopIfTrue="1" operator="equal">
      <formula>"Napkin Hs"</formula>
    </cfRule>
  </conditionalFormatting>
  <conditionalFormatting sqref="B89:C89">
    <cfRule type="cellIs" dxfId="4299" priority="5445" stopIfTrue="1" operator="equal">
      <formula>"Towel"</formula>
    </cfRule>
    <cfRule type="cellIs" dxfId="4298" priority="5446" stopIfTrue="1" operator="equal">
      <formula>"Napkin Hs"</formula>
    </cfRule>
  </conditionalFormatting>
  <conditionalFormatting sqref="C89">
    <cfRule type="cellIs" dxfId="4297" priority="5447" stopIfTrue="1" operator="equal">
      <formula>"Towel"</formula>
    </cfRule>
    <cfRule type="cellIs" dxfId="4296" priority="5448" stopIfTrue="1" operator="equal">
      <formula>"Napkin Hs"</formula>
    </cfRule>
  </conditionalFormatting>
  <conditionalFormatting sqref="C89">
    <cfRule type="cellIs" dxfId="4295" priority="5504" stopIfTrue="1" operator="equal">
      <formula>"Napkin Hs"</formula>
    </cfRule>
  </conditionalFormatting>
  <conditionalFormatting sqref="C89">
    <cfRule type="cellIs" dxfId="4294" priority="5503" stopIfTrue="1" operator="equal">
      <formula>"Towel"</formula>
    </cfRule>
  </conditionalFormatting>
  <conditionalFormatting sqref="B89:C89">
    <cfRule type="cellIs" dxfId="4293" priority="5461" stopIfTrue="1" operator="equal">
      <formula>"Towel"</formula>
    </cfRule>
    <cfRule type="cellIs" dxfId="4292" priority="5462" stopIfTrue="1" operator="equal">
      <formula>"Napkin Hs"</formula>
    </cfRule>
  </conditionalFormatting>
  <conditionalFormatting sqref="C89">
    <cfRule type="cellIs" dxfId="4291" priority="5459" stopIfTrue="1" operator="equal">
      <formula>"Towel"</formula>
    </cfRule>
    <cfRule type="cellIs" dxfId="4290" priority="5460" stopIfTrue="1" operator="equal">
      <formula>"Napkin Hs"</formula>
    </cfRule>
  </conditionalFormatting>
  <conditionalFormatting sqref="C89">
    <cfRule type="cellIs" dxfId="4289" priority="5457" stopIfTrue="1" operator="equal">
      <formula>"Towel"</formula>
    </cfRule>
    <cfRule type="cellIs" dxfId="4288" priority="5458" stopIfTrue="1" operator="equal">
      <formula>"Napkin Hs"</formula>
    </cfRule>
  </conditionalFormatting>
  <conditionalFormatting sqref="B89:C89">
    <cfRule type="cellIs" dxfId="4287" priority="5441" stopIfTrue="1" operator="equal">
      <formula>"Towel"</formula>
    </cfRule>
    <cfRule type="cellIs" dxfId="4286" priority="5442" stopIfTrue="1" operator="equal">
      <formula>"Napkin Hs"</formula>
    </cfRule>
  </conditionalFormatting>
  <conditionalFormatting sqref="C89">
    <cfRule type="cellIs" dxfId="4285" priority="5443" stopIfTrue="1" operator="equal">
      <formula>"Towel"</formula>
    </cfRule>
    <cfRule type="cellIs" dxfId="4284" priority="5444" stopIfTrue="1" operator="equal">
      <formula>"Napkin Hs"</formula>
    </cfRule>
  </conditionalFormatting>
  <conditionalFormatting sqref="C89">
    <cfRule type="cellIs" dxfId="4283" priority="5439" stopIfTrue="1" operator="equal">
      <formula>"Towel"</formula>
    </cfRule>
    <cfRule type="cellIs" dxfId="4282" priority="5440" stopIfTrue="1" operator="equal">
      <formula>"Napkin Hs"</formula>
    </cfRule>
  </conditionalFormatting>
  <conditionalFormatting sqref="B89:C89">
    <cfRule type="cellIs" dxfId="4281" priority="5437" stopIfTrue="1" operator="equal">
      <formula>"Towel"</formula>
    </cfRule>
    <cfRule type="cellIs" dxfId="4280" priority="5438" stopIfTrue="1" operator="equal">
      <formula>"Napkin Hs"</formula>
    </cfRule>
  </conditionalFormatting>
  <conditionalFormatting sqref="C89">
    <cfRule type="cellIs" dxfId="4279" priority="5433" stopIfTrue="1" operator="equal">
      <formula>"Towel"</formula>
    </cfRule>
    <cfRule type="cellIs" dxfId="4278" priority="5434" stopIfTrue="1" operator="equal">
      <formula>"Napkin Hs"</formula>
    </cfRule>
  </conditionalFormatting>
  <conditionalFormatting sqref="C89">
    <cfRule type="cellIs" dxfId="4277" priority="5435" stopIfTrue="1" operator="equal">
      <formula>"Towel"</formula>
    </cfRule>
    <cfRule type="cellIs" dxfId="4276" priority="5436" stopIfTrue="1" operator="equal">
      <formula>"Napkin Hs"</formula>
    </cfRule>
  </conditionalFormatting>
  <conditionalFormatting sqref="B89:C89">
    <cfRule type="cellIs" dxfId="4275" priority="5429" stopIfTrue="1" operator="equal">
      <formula>"Towel"</formula>
    </cfRule>
    <cfRule type="cellIs" dxfId="4274" priority="5430" stopIfTrue="1" operator="equal">
      <formula>"Napkin Hs"</formula>
    </cfRule>
  </conditionalFormatting>
  <conditionalFormatting sqref="C89">
    <cfRule type="cellIs" dxfId="4273" priority="5431" stopIfTrue="1" operator="equal">
      <formula>"Towel"</formula>
    </cfRule>
    <cfRule type="cellIs" dxfId="4272" priority="5432" stopIfTrue="1" operator="equal">
      <formula>"Napkin Hs"</formula>
    </cfRule>
  </conditionalFormatting>
  <conditionalFormatting sqref="C89">
    <cfRule type="cellIs" dxfId="4271" priority="5427" stopIfTrue="1" operator="equal">
      <formula>"Towel"</formula>
    </cfRule>
    <cfRule type="cellIs" dxfId="4270" priority="5428" stopIfTrue="1" operator="equal">
      <formula>"Napkin Hs"</formula>
    </cfRule>
  </conditionalFormatting>
  <conditionalFormatting sqref="B89:C89">
    <cfRule type="cellIs" dxfId="4269" priority="5425" stopIfTrue="1" operator="equal">
      <formula>"Towel"</formula>
    </cfRule>
    <cfRule type="cellIs" dxfId="4268" priority="5426" stopIfTrue="1" operator="equal">
      <formula>"Napkin Hs"</formula>
    </cfRule>
  </conditionalFormatting>
  <conditionalFormatting sqref="C89">
    <cfRule type="cellIs" dxfId="4267" priority="5421" stopIfTrue="1" operator="equal">
      <formula>"Towel"</formula>
    </cfRule>
    <cfRule type="cellIs" dxfId="4266" priority="5422" stopIfTrue="1" operator="equal">
      <formula>"Napkin Hs"</formula>
    </cfRule>
  </conditionalFormatting>
  <conditionalFormatting sqref="C89">
    <cfRule type="cellIs" dxfId="4265" priority="5423" stopIfTrue="1" operator="equal">
      <formula>"Towel"</formula>
    </cfRule>
    <cfRule type="cellIs" dxfId="4264" priority="5424" stopIfTrue="1" operator="equal">
      <formula>"Napkin Hs"</formula>
    </cfRule>
  </conditionalFormatting>
  <conditionalFormatting sqref="C90">
    <cfRule type="cellIs" dxfId="4263" priority="5417" stopIfTrue="1" operator="equal">
      <formula>"Towel"</formula>
    </cfRule>
    <cfRule type="cellIs" dxfId="4262" priority="5418" stopIfTrue="1" operator="equal">
      <formula>"Napkin Hs"</formula>
    </cfRule>
  </conditionalFormatting>
  <conditionalFormatting sqref="C90">
    <cfRule type="cellIs" dxfId="4261" priority="5419" stopIfTrue="1" operator="equal">
      <formula>"Towel"</formula>
    </cfRule>
    <cfRule type="cellIs" dxfId="4260" priority="5420" stopIfTrue="1" operator="equal">
      <formula>"Napkin Hs"</formula>
    </cfRule>
  </conditionalFormatting>
  <conditionalFormatting sqref="C90">
    <cfRule type="cellIs" dxfId="4259" priority="5413" stopIfTrue="1" operator="equal">
      <formula>"Towel"</formula>
    </cfRule>
    <cfRule type="cellIs" dxfId="4258" priority="5414" stopIfTrue="1" operator="equal">
      <formula>"Napkin Hs"</formula>
    </cfRule>
  </conditionalFormatting>
  <conditionalFormatting sqref="B90:C90">
    <cfRule type="cellIs" dxfId="4257" priority="5415" stopIfTrue="1" operator="equal">
      <formula>"Towel"</formula>
    </cfRule>
    <cfRule type="cellIs" dxfId="4256" priority="5416" stopIfTrue="1" operator="equal">
      <formula>"Napkin Hs"</formula>
    </cfRule>
  </conditionalFormatting>
  <conditionalFormatting sqref="C90">
    <cfRule type="cellIs" dxfId="4255" priority="5411" stopIfTrue="1" operator="equal">
      <formula>"Towel"</formula>
    </cfRule>
    <cfRule type="cellIs" dxfId="4254" priority="5412" stopIfTrue="1" operator="equal">
      <formula>"Napkin Hs"</formula>
    </cfRule>
  </conditionalFormatting>
  <conditionalFormatting sqref="B90:C90">
    <cfRule type="cellIs" dxfId="4253" priority="5409" stopIfTrue="1" operator="equal">
      <formula>"Towel"</formula>
    </cfRule>
    <cfRule type="cellIs" dxfId="4252" priority="5410" stopIfTrue="1" operator="equal">
      <formula>"Napkin Hs"</formula>
    </cfRule>
  </conditionalFormatting>
  <conditionalFormatting sqref="B90:C90">
    <cfRule type="cellIs" dxfId="4251" priority="5407" stopIfTrue="1" operator="equal">
      <formula>"Towel"</formula>
    </cfRule>
    <cfRule type="cellIs" dxfId="4250" priority="5408" stopIfTrue="1" operator="equal">
      <formula>"Napkin Hs"</formula>
    </cfRule>
  </conditionalFormatting>
  <conditionalFormatting sqref="C90">
    <cfRule type="cellIs" dxfId="4249" priority="5401" stopIfTrue="1" operator="equal">
      <formula>"Towel"</formula>
    </cfRule>
    <cfRule type="cellIs" dxfId="4248" priority="5402" stopIfTrue="1" operator="equal">
      <formula>"Napkin Hs"</formula>
    </cfRule>
  </conditionalFormatting>
  <conditionalFormatting sqref="C90">
    <cfRule type="cellIs" dxfId="4247" priority="5403" stopIfTrue="1" operator="equal">
      <formula>"Towel"</formula>
    </cfRule>
    <cfRule type="cellIs" dxfId="4246" priority="5404" stopIfTrue="1" operator="equal">
      <formula>"Napkin Hs"</formula>
    </cfRule>
  </conditionalFormatting>
  <conditionalFormatting sqref="C90">
    <cfRule type="cellIs" dxfId="4245" priority="5399" stopIfTrue="1" operator="equal">
      <formula>"Towel"</formula>
    </cfRule>
    <cfRule type="cellIs" dxfId="4244" priority="5400" stopIfTrue="1" operator="equal">
      <formula>"Napkin Hs"</formula>
    </cfRule>
  </conditionalFormatting>
  <conditionalFormatting sqref="C90">
    <cfRule type="cellIs" dxfId="4243" priority="5397" stopIfTrue="1" operator="equal">
      <formula>"Towel"</formula>
    </cfRule>
    <cfRule type="cellIs" dxfId="4242" priority="5398" stopIfTrue="1" operator="equal">
      <formula>"Napkin Hs"</formula>
    </cfRule>
  </conditionalFormatting>
  <conditionalFormatting sqref="C90">
    <cfRule type="cellIs" dxfId="4241" priority="5393" stopIfTrue="1" operator="equal">
      <formula>"Towel"</formula>
    </cfRule>
    <cfRule type="cellIs" dxfId="4240" priority="5394" stopIfTrue="1" operator="equal">
      <formula>"Napkin Hs"</formula>
    </cfRule>
  </conditionalFormatting>
  <conditionalFormatting sqref="C90">
    <cfRule type="cellIs" dxfId="4239" priority="5395" stopIfTrue="1" operator="equal">
      <formula>"Towel"</formula>
    </cfRule>
    <cfRule type="cellIs" dxfId="4238" priority="5396" stopIfTrue="1" operator="equal">
      <formula>"Napkin Hs"</formula>
    </cfRule>
  </conditionalFormatting>
  <conditionalFormatting sqref="C90">
    <cfRule type="cellIs" dxfId="4237" priority="5391" stopIfTrue="1" operator="equal">
      <formula>"Towel"</formula>
    </cfRule>
    <cfRule type="cellIs" dxfId="4236" priority="5392" stopIfTrue="1" operator="equal">
      <formula>"Napkin Hs"</formula>
    </cfRule>
  </conditionalFormatting>
  <conditionalFormatting sqref="C90">
    <cfRule type="cellIs" dxfId="4235" priority="5375" stopIfTrue="1" operator="equal">
      <formula>"Towel"</formula>
    </cfRule>
    <cfRule type="cellIs" dxfId="4234" priority="5376" stopIfTrue="1" operator="equal">
      <formula>"Napkin Hs"</formula>
    </cfRule>
  </conditionalFormatting>
  <conditionalFormatting sqref="B90">
    <cfRule type="cellIs" dxfId="4233" priority="5373" stopIfTrue="1" operator="equal">
      <formula>"Towel"</formula>
    </cfRule>
    <cfRule type="cellIs" dxfId="4232" priority="5374" stopIfTrue="1" operator="equal">
      <formula>"Napkin Hs"</formula>
    </cfRule>
  </conditionalFormatting>
  <conditionalFormatting sqref="B90">
    <cfRule type="cellIs" dxfId="4231" priority="5389" stopIfTrue="1" operator="equal">
      <formula>"Towel"</formula>
    </cfRule>
    <cfRule type="cellIs" dxfId="4230" priority="5390" stopIfTrue="1" operator="equal">
      <formula>"Napkin Hs"</formula>
    </cfRule>
  </conditionalFormatting>
  <conditionalFormatting sqref="C90">
    <cfRule type="cellIs" dxfId="4229" priority="5385" stopIfTrue="1" operator="equal">
      <formula>"Towel"</formula>
    </cfRule>
    <cfRule type="cellIs" dxfId="4228" priority="5386" stopIfTrue="1" operator="equal">
      <formula>"Napkin Hs"</formula>
    </cfRule>
  </conditionalFormatting>
  <conditionalFormatting sqref="B90">
    <cfRule type="cellIs" dxfId="4227" priority="5387" stopIfTrue="1" operator="equal">
      <formula>"Towel"</formula>
    </cfRule>
    <cfRule type="cellIs" dxfId="4226" priority="5388" stopIfTrue="1" operator="equal">
      <formula>"Napkin Hs"</formula>
    </cfRule>
  </conditionalFormatting>
  <conditionalFormatting sqref="C90">
    <cfRule type="cellIs" dxfId="4225" priority="5381" stopIfTrue="1" operator="equal">
      <formula>"Towel"</formula>
    </cfRule>
    <cfRule type="cellIs" dxfId="4224" priority="5382" stopIfTrue="1" operator="equal">
      <formula>"Napkin Hs"</formula>
    </cfRule>
  </conditionalFormatting>
  <conditionalFormatting sqref="C90">
    <cfRule type="cellIs" dxfId="4223" priority="5383" stopIfTrue="1" operator="equal">
      <formula>"Towel"</formula>
    </cfRule>
    <cfRule type="cellIs" dxfId="4222" priority="5384" stopIfTrue="1" operator="equal">
      <formula>"Napkin Hs"</formula>
    </cfRule>
  </conditionalFormatting>
  <conditionalFormatting sqref="C90">
    <cfRule type="cellIs" dxfId="4221" priority="5379" stopIfTrue="1" operator="equal">
      <formula>"Towel"</formula>
    </cfRule>
    <cfRule type="cellIs" dxfId="4220" priority="5380" stopIfTrue="1" operator="equal">
      <formula>"Napkin Hs"</formula>
    </cfRule>
  </conditionalFormatting>
  <conditionalFormatting sqref="C90">
    <cfRule type="cellIs" dxfId="4219" priority="5377" stopIfTrue="1" operator="equal">
      <formula>"Towel"</formula>
    </cfRule>
    <cfRule type="cellIs" dxfId="4218" priority="5378" stopIfTrue="1" operator="equal">
      <formula>"Napkin Hs"</formula>
    </cfRule>
  </conditionalFormatting>
  <conditionalFormatting sqref="B90">
    <cfRule type="cellIs" dxfId="4217" priority="5371" stopIfTrue="1" operator="equal">
      <formula>"Towel"</formula>
    </cfRule>
    <cfRule type="cellIs" dxfId="4216" priority="5372" stopIfTrue="1" operator="equal">
      <formula>"Napkin Hs"</formula>
    </cfRule>
  </conditionalFormatting>
  <conditionalFormatting sqref="B90:C90">
    <cfRule type="cellIs" dxfId="4215" priority="5369" stopIfTrue="1" operator="equal">
      <formula>"Towel"</formula>
    </cfRule>
    <cfRule type="cellIs" dxfId="4214" priority="5370" stopIfTrue="1" operator="equal">
      <formula>"Napkin Hs"</formula>
    </cfRule>
  </conditionalFormatting>
  <conditionalFormatting sqref="C90">
    <cfRule type="cellIs" dxfId="4213" priority="5367" stopIfTrue="1" operator="equal">
      <formula>"Towel"</formula>
    </cfRule>
    <cfRule type="cellIs" dxfId="4212" priority="5368" stopIfTrue="1" operator="equal">
      <formula>"Napkin Hs"</formula>
    </cfRule>
  </conditionalFormatting>
  <conditionalFormatting sqref="C90">
    <cfRule type="cellIs" dxfId="4211" priority="5365" stopIfTrue="1" operator="equal">
      <formula>"Towel"</formula>
    </cfRule>
    <cfRule type="cellIs" dxfId="4210" priority="5366" stopIfTrue="1" operator="equal">
      <formula>"Napkin Hs"</formula>
    </cfRule>
  </conditionalFormatting>
  <conditionalFormatting sqref="C90">
    <cfRule type="cellIs" dxfId="4209" priority="5355" stopIfTrue="1" operator="equal">
      <formula>"Towel"</formula>
    </cfRule>
    <cfRule type="cellIs" dxfId="4208" priority="5356" stopIfTrue="1" operator="equal">
      <formula>"Napkin Hs"</formula>
    </cfRule>
  </conditionalFormatting>
  <conditionalFormatting sqref="C90">
    <cfRule type="cellIs" dxfId="4207" priority="5357" stopIfTrue="1" operator="equal">
      <formula>"Towel"</formula>
    </cfRule>
    <cfRule type="cellIs" dxfId="4206" priority="5358" stopIfTrue="1" operator="equal">
      <formula>"Napkin Hs"</formula>
    </cfRule>
  </conditionalFormatting>
  <conditionalFormatting sqref="B90:C90">
    <cfRule type="cellIs" dxfId="4205" priority="5353" stopIfTrue="1" operator="equal">
      <formula>"Towel"</formula>
    </cfRule>
    <cfRule type="cellIs" dxfId="4204" priority="5354" stopIfTrue="1" operator="equal">
      <formula>"Napkin Hs"</formula>
    </cfRule>
  </conditionalFormatting>
  <conditionalFormatting sqref="C90">
    <cfRule type="cellIs" dxfId="4203" priority="5351" stopIfTrue="1" operator="equal">
      <formula>"Towel"</formula>
    </cfRule>
    <cfRule type="cellIs" dxfId="4202" priority="5352" stopIfTrue="1" operator="equal">
      <formula>"Napkin Hs"</formula>
    </cfRule>
  </conditionalFormatting>
  <conditionalFormatting sqref="B90:C90">
    <cfRule type="cellIs" dxfId="4201" priority="5347" stopIfTrue="1" operator="equal">
      <formula>"Towel"</formula>
    </cfRule>
    <cfRule type="cellIs" dxfId="4200" priority="5348" stopIfTrue="1" operator="equal">
      <formula>"Napkin Hs"</formula>
    </cfRule>
  </conditionalFormatting>
  <conditionalFormatting sqref="C90">
    <cfRule type="cellIs" dxfId="4199" priority="5349" stopIfTrue="1" operator="equal">
      <formula>"Towel"</formula>
    </cfRule>
    <cfRule type="cellIs" dxfId="4198" priority="5350" stopIfTrue="1" operator="equal">
      <formula>"Napkin Hs"</formula>
    </cfRule>
  </conditionalFormatting>
  <conditionalFormatting sqref="C90">
    <cfRule type="cellIs" dxfId="4197" priority="5406" stopIfTrue="1" operator="equal">
      <formula>"Napkin Hs"</formula>
    </cfRule>
  </conditionalFormatting>
  <conditionalFormatting sqref="C90">
    <cfRule type="cellIs" dxfId="4196" priority="5405" stopIfTrue="1" operator="equal">
      <formula>"Towel"</formula>
    </cfRule>
  </conditionalFormatting>
  <conditionalFormatting sqref="B90:C90">
    <cfRule type="cellIs" dxfId="4195" priority="5363" stopIfTrue="1" operator="equal">
      <formula>"Towel"</formula>
    </cfRule>
    <cfRule type="cellIs" dxfId="4194" priority="5364" stopIfTrue="1" operator="equal">
      <formula>"Napkin Hs"</formula>
    </cfRule>
  </conditionalFormatting>
  <conditionalFormatting sqref="C90">
    <cfRule type="cellIs" dxfId="4193" priority="5361" stopIfTrue="1" operator="equal">
      <formula>"Towel"</formula>
    </cfRule>
    <cfRule type="cellIs" dxfId="4192" priority="5362" stopIfTrue="1" operator="equal">
      <formula>"Napkin Hs"</formula>
    </cfRule>
  </conditionalFormatting>
  <conditionalFormatting sqref="C90">
    <cfRule type="cellIs" dxfId="4191" priority="5359" stopIfTrue="1" operator="equal">
      <formula>"Towel"</formula>
    </cfRule>
    <cfRule type="cellIs" dxfId="4190" priority="5360" stopIfTrue="1" operator="equal">
      <formula>"Napkin Hs"</formula>
    </cfRule>
  </conditionalFormatting>
  <conditionalFormatting sqref="B90:C90">
    <cfRule type="cellIs" dxfId="4189" priority="5343" stopIfTrue="1" operator="equal">
      <formula>"Towel"</formula>
    </cfRule>
    <cfRule type="cellIs" dxfId="4188" priority="5344" stopIfTrue="1" operator="equal">
      <formula>"Napkin Hs"</formula>
    </cfRule>
  </conditionalFormatting>
  <conditionalFormatting sqref="C90">
    <cfRule type="cellIs" dxfId="4187" priority="5345" stopIfTrue="1" operator="equal">
      <formula>"Towel"</formula>
    </cfRule>
    <cfRule type="cellIs" dxfId="4186" priority="5346" stopIfTrue="1" operator="equal">
      <formula>"Napkin Hs"</formula>
    </cfRule>
  </conditionalFormatting>
  <conditionalFormatting sqref="C90">
    <cfRule type="cellIs" dxfId="4185" priority="5341" stopIfTrue="1" operator="equal">
      <formula>"Towel"</formula>
    </cfRule>
    <cfRule type="cellIs" dxfId="4184" priority="5342" stopIfTrue="1" operator="equal">
      <formula>"Napkin Hs"</formula>
    </cfRule>
  </conditionalFormatting>
  <conditionalFormatting sqref="B90:C90">
    <cfRule type="cellIs" dxfId="4183" priority="5339" stopIfTrue="1" operator="equal">
      <formula>"Towel"</formula>
    </cfRule>
    <cfRule type="cellIs" dxfId="4182" priority="5340" stopIfTrue="1" operator="equal">
      <formula>"Napkin Hs"</formula>
    </cfRule>
  </conditionalFormatting>
  <conditionalFormatting sqref="C90">
    <cfRule type="cellIs" dxfId="4181" priority="5335" stopIfTrue="1" operator="equal">
      <formula>"Towel"</formula>
    </cfRule>
    <cfRule type="cellIs" dxfId="4180" priority="5336" stopIfTrue="1" operator="equal">
      <formula>"Napkin Hs"</formula>
    </cfRule>
  </conditionalFormatting>
  <conditionalFormatting sqref="C90">
    <cfRule type="cellIs" dxfId="4179" priority="5337" stopIfTrue="1" operator="equal">
      <formula>"Towel"</formula>
    </cfRule>
    <cfRule type="cellIs" dxfId="4178" priority="5338" stopIfTrue="1" operator="equal">
      <formula>"Napkin Hs"</formula>
    </cfRule>
  </conditionalFormatting>
  <conditionalFormatting sqref="B90:C90">
    <cfRule type="cellIs" dxfId="4177" priority="5331" stopIfTrue="1" operator="equal">
      <formula>"Towel"</formula>
    </cfRule>
    <cfRule type="cellIs" dxfId="4176" priority="5332" stopIfTrue="1" operator="equal">
      <formula>"Napkin Hs"</formula>
    </cfRule>
  </conditionalFormatting>
  <conditionalFormatting sqref="C90">
    <cfRule type="cellIs" dxfId="4175" priority="5333" stopIfTrue="1" operator="equal">
      <formula>"Towel"</formula>
    </cfRule>
    <cfRule type="cellIs" dxfId="4174" priority="5334" stopIfTrue="1" operator="equal">
      <formula>"Napkin Hs"</formula>
    </cfRule>
  </conditionalFormatting>
  <conditionalFormatting sqref="C90">
    <cfRule type="cellIs" dxfId="4173" priority="5329" stopIfTrue="1" operator="equal">
      <formula>"Towel"</formula>
    </cfRule>
    <cfRule type="cellIs" dxfId="4172" priority="5330" stopIfTrue="1" operator="equal">
      <formula>"Napkin Hs"</formula>
    </cfRule>
  </conditionalFormatting>
  <conditionalFormatting sqref="B90:C90">
    <cfRule type="cellIs" dxfId="4171" priority="5327" stopIfTrue="1" operator="equal">
      <formula>"Towel"</formula>
    </cfRule>
    <cfRule type="cellIs" dxfId="4170" priority="5328" stopIfTrue="1" operator="equal">
      <formula>"Napkin Hs"</formula>
    </cfRule>
  </conditionalFormatting>
  <conditionalFormatting sqref="C90">
    <cfRule type="cellIs" dxfId="4169" priority="5323" stopIfTrue="1" operator="equal">
      <formula>"Towel"</formula>
    </cfRule>
    <cfRule type="cellIs" dxfId="4168" priority="5324" stopIfTrue="1" operator="equal">
      <formula>"Napkin Hs"</formula>
    </cfRule>
  </conditionalFormatting>
  <conditionalFormatting sqref="C90">
    <cfRule type="cellIs" dxfId="4167" priority="5325" stopIfTrue="1" operator="equal">
      <formula>"Towel"</formula>
    </cfRule>
    <cfRule type="cellIs" dxfId="4166" priority="5326" stopIfTrue="1" operator="equal">
      <formula>"Napkin Hs"</formula>
    </cfRule>
  </conditionalFormatting>
  <conditionalFormatting sqref="B93:C93">
    <cfRule type="cellIs" dxfId="4165" priority="5321" stopIfTrue="1" operator="equal">
      <formula>"Towel"</formula>
    </cfRule>
    <cfRule type="cellIs" dxfId="4164" priority="5322" stopIfTrue="1" operator="equal">
      <formula>"Napkin Hs"</formula>
    </cfRule>
  </conditionalFormatting>
  <conditionalFormatting sqref="C93">
    <cfRule type="cellIs" dxfId="4163" priority="5319" stopIfTrue="1" operator="equal">
      <formula>"Towel"</formula>
    </cfRule>
    <cfRule type="cellIs" dxfId="4162" priority="5320" stopIfTrue="1" operator="equal">
      <formula>"Napkin Hs"</formula>
    </cfRule>
  </conditionalFormatting>
  <conditionalFormatting sqref="C93">
    <cfRule type="cellIs" dxfId="4161" priority="5315" stopIfTrue="1" operator="equal">
      <formula>"Towel"</formula>
    </cfRule>
    <cfRule type="cellIs" dxfId="4160" priority="5316" stopIfTrue="1" operator="equal">
      <formula>"Napkin Hs"</formula>
    </cfRule>
  </conditionalFormatting>
  <conditionalFormatting sqref="B93:C93">
    <cfRule type="cellIs" dxfId="4159" priority="5311" stopIfTrue="1" operator="equal">
      <formula>"Towel"</formula>
    </cfRule>
    <cfRule type="cellIs" dxfId="4158" priority="5312" stopIfTrue="1" operator="equal">
      <formula>"Napkin Hs"</formula>
    </cfRule>
  </conditionalFormatting>
  <conditionalFormatting sqref="C93">
    <cfRule type="cellIs" dxfId="4157" priority="5313" stopIfTrue="1" operator="equal">
      <formula>"Towel"</formula>
    </cfRule>
    <cfRule type="cellIs" dxfId="4156" priority="5314" stopIfTrue="1" operator="equal">
      <formula>"Napkin Hs"</formula>
    </cfRule>
  </conditionalFormatting>
  <conditionalFormatting sqref="C93">
    <cfRule type="cellIs" dxfId="4155" priority="5309" stopIfTrue="1" operator="equal">
      <formula>"Towel"</formula>
    </cfRule>
    <cfRule type="cellIs" dxfId="4154" priority="5310" stopIfTrue="1" operator="equal">
      <formula>"Napkin Hs"</formula>
    </cfRule>
  </conditionalFormatting>
  <conditionalFormatting sqref="B93:C93">
    <cfRule type="cellIs" dxfId="4153" priority="5305" stopIfTrue="1" operator="equal">
      <formula>"Towel"</formula>
    </cfRule>
    <cfRule type="cellIs" dxfId="4152" priority="5306" stopIfTrue="1" operator="equal">
      <formula>"Napkin Hs"</formula>
    </cfRule>
  </conditionalFormatting>
  <conditionalFormatting sqref="C93">
    <cfRule type="cellIs" dxfId="4151" priority="5307" stopIfTrue="1" operator="equal">
      <formula>"Towel"</formula>
    </cfRule>
    <cfRule type="cellIs" dxfId="4150" priority="5308" stopIfTrue="1" operator="equal">
      <formula>"Napkin Hs"</formula>
    </cfRule>
  </conditionalFormatting>
  <conditionalFormatting sqref="C93">
    <cfRule type="cellIs" dxfId="4149" priority="5317" stopIfTrue="1" operator="equal">
      <formula>"Towel"</formula>
    </cfRule>
    <cfRule type="cellIs" dxfId="4148" priority="5318" stopIfTrue="1" operator="equal">
      <formula>"Napkin Hs"</formula>
    </cfRule>
  </conditionalFormatting>
  <conditionalFormatting sqref="C97">
    <cfRule type="cellIs" dxfId="4147" priority="5295" stopIfTrue="1" operator="equal">
      <formula>"Towel"</formula>
    </cfRule>
    <cfRule type="cellIs" dxfId="4146" priority="5296" stopIfTrue="1" operator="equal">
      <formula>"Napkin Hs"</formula>
    </cfRule>
  </conditionalFormatting>
  <conditionalFormatting sqref="C97">
    <cfRule type="cellIs" dxfId="4145" priority="5297" stopIfTrue="1" operator="equal">
      <formula>"Towel"</formula>
    </cfRule>
    <cfRule type="cellIs" dxfId="4144" priority="5298" stopIfTrue="1" operator="equal">
      <formula>"Napkin Hs"</formula>
    </cfRule>
  </conditionalFormatting>
  <conditionalFormatting sqref="B97:C97">
    <cfRule type="cellIs" dxfId="4143" priority="5293" stopIfTrue="1" operator="equal">
      <formula>"Towel"</formula>
    </cfRule>
    <cfRule type="cellIs" dxfId="4142" priority="5294" stopIfTrue="1" operator="equal">
      <formula>"Napkin Hs"</formula>
    </cfRule>
  </conditionalFormatting>
  <conditionalFormatting sqref="B97:C97">
    <cfRule type="cellIs" dxfId="4141" priority="5287" stopIfTrue="1" operator="equal">
      <formula>"Towel"</formula>
    </cfRule>
    <cfRule type="cellIs" dxfId="4140" priority="5288" stopIfTrue="1" operator="equal">
      <formula>"Napkin Hs"</formula>
    </cfRule>
  </conditionalFormatting>
  <conditionalFormatting sqref="C97">
    <cfRule type="cellIs" dxfId="4139" priority="5289" stopIfTrue="1" operator="equal">
      <formula>"Towel"</formula>
    </cfRule>
    <cfRule type="cellIs" dxfId="4138" priority="5290" stopIfTrue="1" operator="equal">
      <formula>"Napkin Hs"</formula>
    </cfRule>
  </conditionalFormatting>
  <conditionalFormatting sqref="C97">
    <cfRule type="cellIs" dxfId="4137" priority="5291" stopIfTrue="1" operator="equal">
      <formula>"Towel"</formula>
    </cfRule>
    <cfRule type="cellIs" dxfId="4136" priority="5292" stopIfTrue="1" operator="equal">
      <formula>"Napkin Hs"</formula>
    </cfRule>
  </conditionalFormatting>
  <conditionalFormatting sqref="C97">
    <cfRule type="cellIs" dxfId="4135" priority="5259" stopIfTrue="1" operator="equal">
      <formula>"Towel"</formula>
    </cfRule>
    <cfRule type="cellIs" dxfId="4134" priority="5260" stopIfTrue="1" operator="equal">
      <formula>"Napkin Hs"</formula>
    </cfRule>
  </conditionalFormatting>
  <conditionalFormatting sqref="C97">
    <cfRule type="cellIs" dxfId="4133" priority="5261" stopIfTrue="1" operator="equal">
      <formula>"Towel"</formula>
    </cfRule>
    <cfRule type="cellIs" dxfId="4132" priority="5262" stopIfTrue="1" operator="equal">
      <formula>"Napkin Hs"</formula>
    </cfRule>
  </conditionalFormatting>
  <conditionalFormatting sqref="C97">
    <cfRule type="cellIs" dxfId="4131" priority="5257" stopIfTrue="1" operator="equal">
      <formula>"Towel"</formula>
    </cfRule>
    <cfRule type="cellIs" dxfId="4130" priority="5258" stopIfTrue="1" operator="equal">
      <formula>"Napkin Hs"</formula>
    </cfRule>
  </conditionalFormatting>
  <conditionalFormatting sqref="B97">
    <cfRule type="cellIs" dxfId="4129" priority="5251" stopIfTrue="1" operator="equal">
      <formula>"Towel"</formula>
    </cfRule>
    <cfRule type="cellIs" dxfId="4128" priority="5252" stopIfTrue="1" operator="equal">
      <formula>"Napkin Hs"</formula>
    </cfRule>
  </conditionalFormatting>
  <conditionalFormatting sqref="C97">
    <cfRule type="cellIs" dxfId="4127" priority="5253" stopIfTrue="1" operator="equal">
      <formula>"Towel"</formula>
    </cfRule>
    <cfRule type="cellIs" dxfId="4126" priority="5254" stopIfTrue="1" operator="equal">
      <formula>"Napkin Hs"</formula>
    </cfRule>
  </conditionalFormatting>
  <conditionalFormatting sqref="C97">
    <cfRule type="cellIs" dxfId="4125" priority="5255" stopIfTrue="1" operator="equal">
      <formula>"Towel"</formula>
    </cfRule>
    <cfRule type="cellIs" dxfId="4124" priority="5256" stopIfTrue="1" operator="equal">
      <formula>"Napkin Hs"</formula>
    </cfRule>
  </conditionalFormatting>
  <conditionalFormatting sqref="B97:C97">
    <cfRule type="cellIs" dxfId="4123" priority="5205" stopIfTrue="1" operator="equal">
      <formula>"Towel"</formula>
    </cfRule>
    <cfRule type="cellIs" dxfId="4122" priority="5206" stopIfTrue="1" operator="equal">
      <formula>"Napkin Hs"</formula>
    </cfRule>
  </conditionalFormatting>
  <conditionalFormatting sqref="C97">
    <cfRule type="cellIs" dxfId="4121" priority="5207" stopIfTrue="1" operator="equal">
      <formula>"Towel"</formula>
    </cfRule>
    <cfRule type="cellIs" dxfId="4120" priority="5208" stopIfTrue="1" operator="equal">
      <formula>"Napkin Hs"</formula>
    </cfRule>
  </conditionalFormatting>
  <conditionalFormatting sqref="C97">
    <cfRule type="cellIs" dxfId="4119" priority="5203" stopIfTrue="1" operator="equal">
      <formula>"Towel"</formula>
    </cfRule>
    <cfRule type="cellIs" dxfId="4118" priority="5204" stopIfTrue="1" operator="equal">
      <formula>"Napkin Hs"</formula>
    </cfRule>
  </conditionalFormatting>
  <conditionalFormatting sqref="C97">
    <cfRule type="cellIs" dxfId="4117" priority="5201" stopIfTrue="1" operator="equal">
      <formula>"Towel"</formula>
    </cfRule>
    <cfRule type="cellIs" dxfId="4116" priority="5202" stopIfTrue="1" operator="equal">
      <formula>"Napkin Hs"</formula>
    </cfRule>
  </conditionalFormatting>
  <conditionalFormatting sqref="B97">
    <cfRule type="cellIs" dxfId="4115" priority="5249" stopIfTrue="1" operator="equal">
      <formula>"Towel"</formula>
    </cfRule>
    <cfRule type="cellIs" dxfId="4114" priority="5250" stopIfTrue="1" operator="equal">
      <formula>"Napkin Hs"</formula>
    </cfRule>
  </conditionalFormatting>
  <conditionalFormatting sqref="C97">
    <cfRule type="cellIs" dxfId="4113" priority="5245" stopIfTrue="1" operator="equal">
      <formula>"Towel"</formula>
    </cfRule>
    <cfRule type="cellIs" dxfId="4112" priority="5246" stopIfTrue="1" operator="equal">
      <formula>"Napkin Hs"</formula>
    </cfRule>
  </conditionalFormatting>
  <conditionalFormatting sqref="C97">
    <cfRule type="cellIs" dxfId="4111" priority="5239" stopIfTrue="1" operator="equal">
      <formula>"Towel"</formula>
    </cfRule>
    <cfRule type="cellIs" dxfId="4110" priority="5240" stopIfTrue="1" operator="equal">
      <formula>"Napkin Hs"</formula>
    </cfRule>
  </conditionalFormatting>
  <conditionalFormatting sqref="C97">
    <cfRule type="cellIs" dxfId="4109" priority="5243" stopIfTrue="1" operator="equal">
      <formula>"Towel"</formula>
    </cfRule>
    <cfRule type="cellIs" dxfId="4108" priority="5244" stopIfTrue="1" operator="equal">
      <formula>"Napkin Hs"</formula>
    </cfRule>
  </conditionalFormatting>
  <conditionalFormatting sqref="B97:C97">
    <cfRule type="cellIs" dxfId="4107" priority="5241" stopIfTrue="1" operator="equal">
      <formula>"Towel"</formula>
    </cfRule>
    <cfRule type="cellIs" dxfId="4106" priority="5242" stopIfTrue="1" operator="equal">
      <formula>"Napkin Hs"</formula>
    </cfRule>
  </conditionalFormatting>
  <conditionalFormatting sqref="C97">
    <cfRule type="cellIs" dxfId="4105" priority="5233" stopIfTrue="1" operator="equal">
      <formula>"Towel"</formula>
    </cfRule>
    <cfRule type="cellIs" dxfId="4104" priority="5234" stopIfTrue="1" operator="equal">
      <formula>"Napkin Hs"</formula>
    </cfRule>
  </conditionalFormatting>
  <conditionalFormatting sqref="C97">
    <cfRule type="cellIs" dxfId="4103" priority="5235" stopIfTrue="1" operator="equal">
      <formula>"Towel"</formula>
    </cfRule>
    <cfRule type="cellIs" dxfId="4102" priority="5236" stopIfTrue="1" operator="equal">
      <formula>"Napkin Hs"</formula>
    </cfRule>
  </conditionalFormatting>
  <conditionalFormatting sqref="C97">
    <cfRule type="cellIs" dxfId="4101" priority="5237" stopIfTrue="1" operator="equal">
      <formula>"Towel"</formula>
    </cfRule>
    <cfRule type="cellIs" dxfId="4100" priority="5238" stopIfTrue="1" operator="equal">
      <formula>"Napkin Hs"</formula>
    </cfRule>
  </conditionalFormatting>
  <conditionalFormatting sqref="C97">
    <cfRule type="cellIs" dxfId="4099" priority="5227" stopIfTrue="1" operator="equal">
      <formula>"Towel"</formula>
    </cfRule>
    <cfRule type="cellIs" dxfId="4098" priority="5228" stopIfTrue="1" operator="equal">
      <formula>"Napkin Hs"</formula>
    </cfRule>
  </conditionalFormatting>
  <conditionalFormatting sqref="B97:C97">
    <cfRule type="cellIs" dxfId="4097" priority="5231" stopIfTrue="1" operator="equal">
      <formula>"Towel"</formula>
    </cfRule>
    <cfRule type="cellIs" dxfId="4096" priority="5232" stopIfTrue="1" operator="equal">
      <formula>"Napkin Hs"</formula>
    </cfRule>
  </conditionalFormatting>
  <conditionalFormatting sqref="C97">
    <cfRule type="cellIs" dxfId="4095" priority="5229" stopIfTrue="1" operator="equal">
      <formula>"Towel"</formula>
    </cfRule>
    <cfRule type="cellIs" dxfId="4094" priority="5230" stopIfTrue="1" operator="equal">
      <formula>"Napkin Hs"</formula>
    </cfRule>
  </conditionalFormatting>
  <conditionalFormatting sqref="B97:C97">
    <cfRule type="cellIs" dxfId="4093" priority="5221" stopIfTrue="1" operator="equal">
      <formula>"Towel"</formula>
    </cfRule>
    <cfRule type="cellIs" dxfId="4092" priority="5222" stopIfTrue="1" operator="equal">
      <formula>"Napkin Hs"</formula>
    </cfRule>
  </conditionalFormatting>
  <conditionalFormatting sqref="C97">
    <cfRule type="cellIs" dxfId="4091" priority="5223" stopIfTrue="1" operator="equal">
      <formula>"Towel"</formula>
    </cfRule>
    <cfRule type="cellIs" dxfId="4090" priority="5224" stopIfTrue="1" operator="equal">
      <formula>"Napkin Hs"</formula>
    </cfRule>
  </conditionalFormatting>
  <conditionalFormatting sqref="B97:C97">
    <cfRule type="cellIs" dxfId="4089" priority="5225" stopIfTrue="1" operator="equal">
      <formula>"Towel"</formula>
    </cfRule>
    <cfRule type="cellIs" dxfId="4088" priority="5226" stopIfTrue="1" operator="equal">
      <formula>"Napkin Hs"</formula>
    </cfRule>
  </conditionalFormatting>
  <conditionalFormatting sqref="C97">
    <cfRule type="cellIs" dxfId="4087" priority="5219" stopIfTrue="1" operator="equal">
      <formula>"Towel"</formula>
    </cfRule>
    <cfRule type="cellIs" dxfId="4086" priority="5220" stopIfTrue="1" operator="equal">
      <formula>"Napkin Hs"</formula>
    </cfRule>
  </conditionalFormatting>
  <conditionalFormatting sqref="C97">
    <cfRule type="cellIs" dxfId="4085" priority="5215" stopIfTrue="1" operator="equal">
      <formula>"Towel"</formula>
    </cfRule>
    <cfRule type="cellIs" dxfId="4084" priority="5216" stopIfTrue="1" operator="equal">
      <formula>"Napkin Hs"</formula>
    </cfRule>
  </conditionalFormatting>
  <conditionalFormatting sqref="B97:C97">
    <cfRule type="cellIs" dxfId="4083" priority="5217" stopIfTrue="1" operator="equal">
      <formula>"Towel"</formula>
    </cfRule>
    <cfRule type="cellIs" dxfId="4082" priority="5218" stopIfTrue="1" operator="equal">
      <formula>"Napkin Hs"</formula>
    </cfRule>
  </conditionalFormatting>
  <conditionalFormatting sqref="C97">
    <cfRule type="cellIs" dxfId="4081" priority="5213" stopIfTrue="1" operator="equal">
      <formula>"Towel"</formula>
    </cfRule>
    <cfRule type="cellIs" dxfId="4080" priority="5214" stopIfTrue="1" operator="equal">
      <formula>"Napkin Hs"</formula>
    </cfRule>
  </conditionalFormatting>
  <conditionalFormatting sqref="C97">
    <cfRule type="cellIs" dxfId="4079" priority="5211" stopIfTrue="1" operator="equal">
      <formula>"Towel"</formula>
    </cfRule>
    <cfRule type="cellIs" dxfId="4078" priority="5212" stopIfTrue="1" operator="equal">
      <formula>"Napkin Hs"</formula>
    </cfRule>
  </conditionalFormatting>
  <conditionalFormatting sqref="B97:C97">
    <cfRule type="cellIs" dxfId="4077" priority="5209" stopIfTrue="1" operator="equal">
      <formula>"Towel"</formula>
    </cfRule>
    <cfRule type="cellIs" dxfId="4076" priority="5210" stopIfTrue="1" operator="equal">
      <formula>"Napkin Hs"</formula>
    </cfRule>
  </conditionalFormatting>
  <conditionalFormatting sqref="B97:C97">
    <cfRule type="cellIs" dxfId="4075" priority="5285" stopIfTrue="1" operator="equal">
      <formula>"Towel"</formula>
    </cfRule>
    <cfRule type="cellIs" dxfId="4074" priority="5286" stopIfTrue="1" operator="equal">
      <formula>"Napkin Hs"</formula>
    </cfRule>
  </conditionalFormatting>
  <conditionalFormatting sqref="C97">
    <cfRule type="cellIs" dxfId="4073" priority="5281" stopIfTrue="1" operator="equal">
      <formula>"Towel"</formula>
    </cfRule>
    <cfRule type="cellIs" dxfId="4072" priority="5282" stopIfTrue="1" operator="equal">
      <formula>"Napkin Hs"</formula>
    </cfRule>
  </conditionalFormatting>
  <conditionalFormatting sqref="C97">
    <cfRule type="cellIs" dxfId="4071" priority="5284" stopIfTrue="1" operator="equal">
      <formula>"Napkin Hs"</formula>
    </cfRule>
  </conditionalFormatting>
  <conditionalFormatting sqref="C97">
    <cfRule type="cellIs" dxfId="4070" priority="5283" stopIfTrue="1" operator="equal">
      <formula>"Towel"</formula>
    </cfRule>
  </conditionalFormatting>
  <conditionalFormatting sqref="C97">
    <cfRule type="cellIs" dxfId="4069" priority="5275" stopIfTrue="1" operator="equal">
      <formula>"Towel"</formula>
    </cfRule>
    <cfRule type="cellIs" dxfId="4068" priority="5276" stopIfTrue="1" operator="equal">
      <formula>"Napkin Hs"</formula>
    </cfRule>
  </conditionalFormatting>
  <conditionalFormatting sqref="C97">
    <cfRule type="cellIs" dxfId="4067" priority="5279" stopIfTrue="1" operator="equal">
      <formula>"Towel"</formula>
    </cfRule>
    <cfRule type="cellIs" dxfId="4066" priority="5280" stopIfTrue="1" operator="equal">
      <formula>"Napkin Hs"</formula>
    </cfRule>
  </conditionalFormatting>
  <conditionalFormatting sqref="B97">
    <cfRule type="cellIs" dxfId="4065" priority="5265" stopIfTrue="1" operator="equal">
      <formula>"Towel"</formula>
    </cfRule>
    <cfRule type="cellIs" dxfId="4064" priority="5266" stopIfTrue="1" operator="equal">
      <formula>"Napkin Hs"</formula>
    </cfRule>
  </conditionalFormatting>
  <conditionalFormatting sqref="C97">
    <cfRule type="cellIs" dxfId="4063" priority="5277" stopIfTrue="1" operator="equal">
      <formula>"Towel"</formula>
    </cfRule>
    <cfRule type="cellIs" dxfId="4062" priority="5278" stopIfTrue="1" operator="equal">
      <formula>"Napkin Hs"</formula>
    </cfRule>
  </conditionalFormatting>
  <conditionalFormatting sqref="C97">
    <cfRule type="cellIs" dxfId="4061" priority="5269" stopIfTrue="1" operator="equal">
      <formula>"Towel"</formula>
    </cfRule>
    <cfRule type="cellIs" dxfId="4060" priority="5270" stopIfTrue="1" operator="equal">
      <formula>"Napkin Hs"</formula>
    </cfRule>
  </conditionalFormatting>
  <conditionalFormatting sqref="C97">
    <cfRule type="cellIs" dxfId="4059" priority="5271" stopIfTrue="1" operator="equal">
      <formula>"Towel"</formula>
    </cfRule>
    <cfRule type="cellIs" dxfId="4058" priority="5272" stopIfTrue="1" operator="equal">
      <formula>"Napkin Hs"</formula>
    </cfRule>
  </conditionalFormatting>
  <conditionalFormatting sqref="C97">
    <cfRule type="cellIs" dxfId="4057" priority="5273" stopIfTrue="1" operator="equal">
      <formula>"Towel"</formula>
    </cfRule>
    <cfRule type="cellIs" dxfId="4056" priority="5274" stopIfTrue="1" operator="equal">
      <formula>"Napkin Hs"</formula>
    </cfRule>
  </conditionalFormatting>
  <conditionalFormatting sqref="B97">
    <cfRule type="cellIs" dxfId="4055" priority="5267" stopIfTrue="1" operator="equal">
      <formula>"Towel"</formula>
    </cfRule>
    <cfRule type="cellIs" dxfId="4054" priority="5268" stopIfTrue="1" operator="equal">
      <formula>"Napkin Hs"</formula>
    </cfRule>
  </conditionalFormatting>
  <conditionalFormatting sqref="C97">
    <cfRule type="cellIs" dxfId="4053" priority="5263" stopIfTrue="1" operator="equal">
      <formula>"Towel"</formula>
    </cfRule>
    <cfRule type="cellIs" dxfId="4052" priority="5264" stopIfTrue="1" operator="equal">
      <formula>"Napkin Hs"</formula>
    </cfRule>
  </conditionalFormatting>
  <conditionalFormatting sqref="B97:C97">
    <cfRule type="cellIs" dxfId="4051" priority="5247" stopIfTrue="1" operator="equal">
      <formula>"Towel"</formula>
    </cfRule>
    <cfRule type="cellIs" dxfId="4050" priority="5248" stopIfTrue="1" operator="equal">
      <formula>"Napkin Hs"</formula>
    </cfRule>
  </conditionalFormatting>
  <conditionalFormatting sqref="C96">
    <cfRule type="cellIs" dxfId="4049" priority="5197" stopIfTrue="1" operator="equal">
      <formula>"Towel"</formula>
    </cfRule>
    <cfRule type="cellIs" dxfId="4048" priority="5198" stopIfTrue="1" operator="equal">
      <formula>"Napkin Hs"</formula>
    </cfRule>
  </conditionalFormatting>
  <conditionalFormatting sqref="C96">
    <cfRule type="cellIs" dxfId="4047" priority="5199" stopIfTrue="1" operator="equal">
      <formula>"Towel"</formula>
    </cfRule>
    <cfRule type="cellIs" dxfId="4046" priority="5200" stopIfTrue="1" operator="equal">
      <formula>"Napkin Hs"</formula>
    </cfRule>
  </conditionalFormatting>
  <conditionalFormatting sqref="C96">
    <cfRule type="cellIs" dxfId="4045" priority="5193" stopIfTrue="1" operator="equal">
      <formula>"Towel"</formula>
    </cfRule>
    <cfRule type="cellIs" dxfId="4044" priority="5194" stopIfTrue="1" operator="equal">
      <formula>"Napkin Hs"</formula>
    </cfRule>
  </conditionalFormatting>
  <conditionalFormatting sqref="B96:C96">
    <cfRule type="cellIs" dxfId="4043" priority="5195" stopIfTrue="1" operator="equal">
      <formula>"Towel"</formula>
    </cfRule>
    <cfRule type="cellIs" dxfId="4042" priority="5196" stopIfTrue="1" operator="equal">
      <formula>"Napkin Hs"</formula>
    </cfRule>
  </conditionalFormatting>
  <conditionalFormatting sqref="C96">
    <cfRule type="cellIs" dxfId="4041" priority="5191" stopIfTrue="1" operator="equal">
      <formula>"Towel"</formula>
    </cfRule>
    <cfRule type="cellIs" dxfId="4040" priority="5192" stopIfTrue="1" operator="equal">
      <formula>"Napkin Hs"</formula>
    </cfRule>
  </conditionalFormatting>
  <conditionalFormatting sqref="B96:C96">
    <cfRule type="cellIs" dxfId="4039" priority="5189" stopIfTrue="1" operator="equal">
      <formula>"Towel"</formula>
    </cfRule>
    <cfRule type="cellIs" dxfId="4038" priority="5190" stopIfTrue="1" operator="equal">
      <formula>"Napkin Hs"</formula>
    </cfRule>
  </conditionalFormatting>
  <conditionalFormatting sqref="B96:C96">
    <cfRule type="cellIs" dxfId="4037" priority="5187" stopIfTrue="1" operator="equal">
      <formula>"Towel"</formula>
    </cfRule>
    <cfRule type="cellIs" dxfId="4036" priority="5188" stopIfTrue="1" operator="equal">
      <formula>"Napkin Hs"</formula>
    </cfRule>
  </conditionalFormatting>
  <conditionalFormatting sqref="C96">
    <cfRule type="cellIs" dxfId="4035" priority="5181" stopIfTrue="1" operator="equal">
      <formula>"Towel"</formula>
    </cfRule>
    <cfRule type="cellIs" dxfId="4034" priority="5182" stopIfTrue="1" operator="equal">
      <formula>"Napkin Hs"</formula>
    </cfRule>
  </conditionalFormatting>
  <conditionalFormatting sqref="C96">
    <cfRule type="cellIs" dxfId="4033" priority="5183" stopIfTrue="1" operator="equal">
      <formula>"Towel"</formula>
    </cfRule>
    <cfRule type="cellIs" dxfId="4032" priority="5184" stopIfTrue="1" operator="equal">
      <formula>"Napkin Hs"</formula>
    </cfRule>
  </conditionalFormatting>
  <conditionalFormatting sqref="C96">
    <cfRule type="cellIs" dxfId="4031" priority="5179" stopIfTrue="1" operator="equal">
      <formula>"Towel"</formula>
    </cfRule>
    <cfRule type="cellIs" dxfId="4030" priority="5180" stopIfTrue="1" operator="equal">
      <formula>"Napkin Hs"</formula>
    </cfRule>
  </conditionalFormatting>
  <conditionalFormatting sqref="C96">
    <cfRule type="cellIs" dxfId="4029" priority="5177" stopIfTrue="1" operator="equal">
      <formula>"Towel"</formula>
    </cfRule>
    <cfRule type="cellIs" dxfId="4028" priority="5178" stopIfTrue="1" operator="equal">
      <formula>"Napkin Hs"</formula>
    </cfRule>
  </conditionalFormatting>
  <conditionalFormatting sqref="C96">
    <cfRule type="cellIs" dxfId="4027" priority="5173" stopIfTrue="1" operator="equal">
      <formula>"Towel"</formula>
    </cfRule>
    <cfRule type="cellIs" dxfId="4026" priority="5174" stopIfTrue="1" operator="equal">
      <formula>"Napkin Hs"</formula>
    </cfRule>
  </conditionalFormatting>
  <conditionalFormatting sqref="C96">
    <cfRule type="cellIs" dxfId="4025" priority="5175" stopIfTrue="1" operator="equal">
      <formula>"Towel"</formula>
    </cfRule>
    <cfRule type="cellIs" dxfId="4024" priority="5176" stopIfTrue="1" operator="equal">
      <formula>"Napkin Hs"</formula>
    </cfRule>
  </conditionalFormatting>
  <conditionalFormatting sqref="C96">
    <cfRule type="cellIs" dxfId="4023" priority="5171" stopIfTrue="1" operator="equal">
      <formula>"Towel"</formula>
    </cfRule>
    <cfRule type="cellIs" dxfId="4022" priority="5172" stopIfTrue="1" operator="equal">
      <formula>"Napkin Hs"</formula>
    </cfRule>
  </conditionalFormatting>
  <conditionalFormatting sqref="C96">
    <cfRule type="cellIs" dxfId="4021" priority="5155" stopIfTrue="1" operator="equal">
      <formula>"Towel"</formula>
    </cfRule>
    <cfRule type="cellIs" dxfId="4020" priority="5156" stopIfTrue="1" operator="equal">
      <formula>"Napkin Hs"</formula>
    </cfRule>
  </conditionalFormatting>
  <conditionalFormatting sqref="B96">
    <cfRule type="cellIs" dxfId="4019" priority="5153" stopIfTrue="1" operator="equal">
      <formula>"Towel"</formula>
    </cfRule>
    <cfRule type="cellIs" dxfId="4018" priority="5154" stopIfTrue="1" operator="equal">
      <formula>"Napkin Hs"</formula>
    </cfRule>
  </conditionalFormatting>
  <conditionalFormatting sqref="B96">
    <cfRule type="cellIs" dxfId="4017" priority="5169" stopIfTrue="1" operator="equal">
      <formula>"Towel"</formula>
    </cfRule>
    <cfRule type="cellIs" dxfId="4016" priority="5170" stopIfTrue="1" operator="equal">
      <formula>"Napkin Hs"</formula>
    </cfRule>
  </conditionalFormatting>
  <conditionalFormatting sqref="C96">
    <cfRule type="cellIs" dxfId="4015" priority="5165" stopIfTrue="1" operator="equal">
      <formula>"Towel"</formula>
    </cfRule>
    <cfRule type="cellIs" dxfId="4014" priority="5166" stopIfTrue="1" operator="equal">
      <formula>"Napkin Hs"</formula>
    </cfRule>
  </conditionalFormatting>
  <conditionalFormatting sqref="B96">
    <cfRule type="cellIs" dxfId="4013" priority="5167" stopIfTrue="1" operator="equal">
      <formula>"Towel"</formula>
    </cfRule>
    <cfRule type="cellIs" dxfId="4012" priority="5168" stopIfTrue="1" operator="equal">
      <formula>"Napkin Hs"</formula>
    </cfRule>
  </conditionalFormatting>
  <conditionalFormatting sqref="C96">
    <cfRule type="cellIs" dxfId="4011" priority="5161" stopIfTrue="1" operator="equal">
      <formula>"Towel"</formula>
    </cfRule>
    <cfRule type="cellIs" dxfId="4010" priority="5162" stopIfTrue="1" operator="equal">
      <formula>"Napkin Hs"</formula>
    </cfRule>
  </conditionalFormatting>
  <conditionalFormatting sqref="C96">
    <cfRule type="cellIs" dxfId="4009" priority="5163" stopIfTrue="1" operator="equal">
      <formula>"Towel"</formula>
    </cfRule>
    <cfRule type="cellIs" dxfId="4008" priority="5164" stopIfTrue="1" operator="equal">
      <formula>"Napkin Hs"</formula>
    </cfRule>
  </conditionalFormatting>
  <conditionalFormatting sqref="C96">
    <cfRule type="cellIs" dxfId="4007" priority="5159" stopIfTrue="1" operator="equal">
      <formula>"Towel"</formula>
    </cfRule>
    <cfRule type="cellIs" dxfId="4006" priority="5160" stopIfTrue="1" operator="equal">
      <formula>"Napkin Hs"</formula>
    </cfRule>
  </conditionalFormatting>
  <conditionalFormatting sqref="C96">
    <cfRule type="cellIs" dxfId="4005" priority="5157" stopIfTrue="1" operator="equal">
      <formula>"Towel"</formula>
    </cfRule>
    <cfRule type="cellIs" dxfId="4004" priority="5158" stopIfTrue="1" operator="equal">
      <formula>"Napkin Hs"</formula>
    </cfRule>
  </conditionalFormatting>
  <conditionalFormatting sqref="B96">
    <cfRule type="cellIs" dxfId="4003" priority="5151" stopIfTrue="1" operator="equal">
      <formula>"Towel"</formula>
    </cfRule>
    <cfRule type="cellIs" dxfId="4002" priority="5152" stopIfTrue="1" operator="equal">
      <formula>"Napkin Hs"</formula>
    </cfRule>
  </conditionalFormatting>
  <conditionalFormatting sqref="B96:C96">
    <cfRule type="cellIs" dxfId="4001" priority="5149" stopIfTrue="1" operator="equal">
      <formula>"Towel"</formula>
    </cfRule>
    <cfRule type="cellIs" dxfId="4000" priority="5150" stopIfTrue="1" operator="equal">
      <formula>"Napkin Hs"</formula>
    </cfRule>
  </conditionalFormatting>
  <conditionalFormatting sqref="C96">
    <cfRule type="cellIs" dxfId="3999" priority="5147" stopIfTrue="1" operator="equal">
      <formula>"Towel"</formula>
    </cfRule>
    <cfRule type="cellIs" dxfId="3998" priority="5148" stopIfTrue="1" operator="equal">
      <formula>"Napkin Hs"</formula>
    </cfRule>
  </conditionalFormatting>
  <conditionalFormatting sqref="C96">
    <cfRule type="cellIs" dxfId="3997" priority="5145" stopIfTrue="1" operator="equal">
      <formula>"Towel"</formula>
    </cfRule>
    <cfRule type="cellIs" dxfId="3996" priority="5146" stopIfTrue="1" operator="equal">
      <formula>"Napkin Hs"</formula>
    </cfRule>
  </conditionalFormatting>
  <conditionalFormatting sqref="C96">
    <cfRule type="cellIs" dxfId="3995" priority="5135" stopIfTrue="1" operator="equal">
      <formula>"Towel"</formula>
    </cfRule>
    <cfRule type="cellIs" dxfId="3994" priority="5136" stopIfTrue="1" operator="equal">
      <formula>"Napkin Hs"</formula>
    </cfRule>
  </conditionalFormatting>
  <conditionalFormatting sqref="C96">
    <cfRule type="cellIs" dxfId="3993" priority="5137" stopIfTrue="1" operator="equal">
      <formula>"Towel"</formula>
    </cfRule>
    <cfRule type="cellIs" dxfId="3992" priority="5138" stopIfTrue="1" operator="equal">
      <formula>"Napkin Hs"</formula>
    </cfRule>
  </conditionalFormatting>
  <conditionalFormatting sqref="B96:C96">
    <cfRule type="cellIs" dxfId="3991" priority="5133" stopIfTrue="1" operator="equal">
      <formula>"Towel"</formula>
    </cfRule>
    <cfRule type="cellIs" dxfId="3990" priority="5134" stopIfTrue="1" operator="equal">
      <formula>"Napkin Hs"</formula>
    </cfRule>
  </conditionalFormatting>
  <conditionalFormatting sqref="C96">
    <cfRule type="cellIs" dxfId="3989" priority="5131" stopIfTrue="1" operator="equal">
      <formula>"Towel"</formula>
    </cfRule>
    <cfRule type="cellIs" dxfId="3988" priority="5132" stopIfTrue="1" operator="equal">
      <formula>"Napkin Hs"</formula>
    </cfRule>
  </conditionalFormatting>
  <conditionalFormatting sqref="B96:C96">
    <cfRule type="cellIs" dxfId="3987" priority="5127" stopIfTrue="1" operator="equal">
      <formula>"Towel"</formula>
    </cfRule>
    <cfRule type="cellIs" dxfId="3986" priority="5128" stopIfTrue="1" operator="equal">
      <formula>"Napkin Hs"</formula>
    </cfRule>
  </conditionalFormatting>
  <conditionalFormatting sqref="C96">
    <cfRule type="cellIs" dxfId="3985" priority="5129" stopIfTrue="1" operator="equal">
      <formula>"Towel"</formula>
    </cfRule>
    <cfRule type="cellIs" dxfId="3984" priority="5130" stopIfTrue="1" operator="equal">
      <formula>"Napkin Hs"</formula>
    </cfRule>
  </conditionalFormatting>
  <conditionalFormatting sqref="C96">
    <cfRule type="cellIs" dxfId="3983" priority="5186" stopIfTrue="1" operator="equal">
      <formula>"Napkin Hs"</formula>
    </cfRule>
  </conditionalFormatting>
  <conditionalFormatting sqref="C96">
    <cfRule type="cellIs" dxfId="3982" priority="5185" stopIfTrue="1" operator="equal">
      <formula>"Towel"</formula>
    </cfRule>
  </conditionalFormatting>
  <conditionalFormatting sqref="B96:C96">
    <cfRule type="cellIs" dxfId="3981" priority="5143" stopIfTrue="1" operator="equal">
      <formula>"Towel"</formula>
    </cfRule>
    <cfRule type="cellIs" dxfId="3980" priority="5144" stopIfTrue="1" operator="equal">
      <formula>"Napkin Hs"</formula>
    </cfRule>
  </conditionalFormatting>
  <conditionalFormatting sqref="C96">
    <cfRule type="cellIs" dxfId="3979" priority="5141" stopIfTrue="1" operator="equal">
      <formula>"Towel"</formula>
    </cfRule>
    <cfRule type="cellIs" dxfId="3978" priority="5142" stopIfTrue="1" operator="equal">
      <formula>"Napkin Hs"</formula>
    </cfRule>
  </conditionalFormatting>
  <conditionalFormatting sqref="C96">
    <cfRule type="cellIs" dxfId="3977" priority="5139" stopIfTrue="1" operator="equal">
      <formula>"Towel"</formula>
    </cfRule>
    <cfRule type="cellIs" dxfId="3976" priority="5140" stopIfTrue="1" operator="equal">
      <formula>"Napkin Hs"</formula>
    </cfRule>
  </conditionalFormatting>
  <conditionalFormatting sqref="B96:C96">
    <cfRule type="cellIs" dxfId="3975" priority="5123" stopIfTrue="1" operator="equal">
      <formula>"Towel"</formula>
    </cfRule>
    <cfRule type="cellIs" dxfId="3974" priority="5124" stopIfTrue="1" operator="equal">
      <formula>"Napkin Hs"</formula>
    </cfRule>
  </conditionalFormatting>
  <conditionalFormatting sqref="C96">
    <cfRule type="cellIs" dxfId="3973" priority="5125" stopIfTrue="1" operator="equal">
      <formula>"Towel"</formula>
    </cfRule>
    <cfRule type="cellIs" dxfId="3972" priority="5126" stopIfTrue="1" operator="equal">
      <formula>"Napkin Hs"</formula>
    </cfRule>
  </conditionalFormatting>
  <conditionalFormatting sqref="C96">
    <cfRule type="cellIs" dxfId="3971" priority="5121" stopIfTrue="1" operator="equal">
      <formula>"Towel"</formula>
    </cfRule>
    <cfRule type="cellIs" dxfId="3970" priority="5122" stopIfTrue="1" operator="equal">
      <formula>"Napkin Hs"</formula>
    </cfRule>
  </conditionalFormatting>
  <conditionalFormatting sqref="B96:C96">
    <cfRule type="cellIs" dxfId="3969" priority="5119" stopIfTrue="1" operator="equal">
      <formula>"Towel"</formula>
    </cfRule>
    <cfRule type="cellIs" dxfId="3968" priority="5120" stopIfTrue="1" operator="equal">
      <formula>"Napkin Hs"</formula>
    </cfRule>
  </conditionalFormatting>
  <conditionalFormatting sqref="C96">
    <cfRule type="cellIs" dxfId="3967" priority="5115" stopIfTrue="1" operator="equal">
      <formula>"Towel"</formula>
    </cfRule>
    <cfRule type="cellIs" dxfId="3966" priority="5116" stopIfTrue="1" operator="equal">
      <formula>"Napkin Hs"</formula>
    </cfRule>
  </conditionalFormatting>
  <conditionalFormatting sqref="C96">
    <cfRule type="cellIs" dxfId="3965" priority="5117" stopIfTrue="1" operator="equal">
      <formula>"Towel"</formula>
    </cfRule>
    <cfRule type="cellIs" dxfId="3964" priority="5118" stopIfTrue="1" operator="equal">
      <formula>"Napkin Hs"</formula>
    </cfRule>
  </conditionalFormatting>
  <conditionalFormatting sqref="B96:C96">
    <cfRule type="cellIs" dxfId="3963" priority="5111" stopIfTrue="1" operator="equal">
      <formula>"Towel"</formula>
    </cfRule>
    <cfRule type="cellIs" dxfId="3962" priority="5112" stopIfTrue="1" operator="equal">
      <formula>"Napkin Hs"</formula>
    </cfRule>
  </conditionalFormatting>
  <conditionalFormatting sqref="C96">
    <cfRule type="cellIs" dxfId="3961" priority="5113" stopIfTrue="1" operator="equal">
      <formula>"Towel"</formula>
    </cfRule>
    <cfRule type="cellIs" dxfId="3960" priority="5114" stopIfTrue="1" operator="equal">
      <formula>"Napkin Hs"</formula>
    </cfRule>
  </conditionalFormatting>
  <conditionalFormatting sqref="C96">
    <cfRule type="cellIs" dxfId="3959" priority="5109" stopIfTrue="1" operator="equal">
      <formula>"Towel"</formula>
    </cfRule>
    <cfRule type="cellIs" dxfId="3958" priority="5110" stopIfTrue="1" operator="equal">
      <formula>"Napkin Hs"</formula>
    </cfRule>
  </conditionalFormatting>
  <conditionalFormatting sqref="B96:C96">
    <cfRule type="cellIs" dxfId="3957" priority="5107" stopIfTrue="1" operator="equal">
      <formula>"Towel"</formula>
    </cfRule>
    <cfRule type="cellIs" dxfId="3956" priority="5108" stopIfTrue="1" operator="equal">
      <formula>"Napkin Hs"</formula>
    </cfRule>
  </conditionalFormatting>
  <conditionalFormatting sqref="C96">
    <cfRule type="cellIs" dxfId="3955" priority="5103" stopIfTrue="1" operator="equal">
      <formula>"Towel"</formula>
    </cfRule>
    <cfRule type="cellIs" dxfId="3954" priority="5104" stopIfTrue="1" operator="equal">
      <formula>"Napkin Hs"</formula>
    </cfRule>
  </conditionalFormatting>
  <conditionalFormatting sqref="C96">
    <cfRule type="cellIs" dxfId="3953" priority="5105" stopIfTrue="1" operator="equal">
      <formula>"Towel"</formula>
    </cfRule>
    <cfRule type="cellIs" dxfId="3952" priority="5106" stopIfTrue="1" operator="equal">
      <formula>"Napkin Hs"</formula>
    </cfRule>
  </conditionalFormatting>
  <conditionalFormatting sqref="C95">
    <cfRule type="cellIs" dxfId="3951" priority="5099" stopIfTrue="1" operator="equal">
      <formula>"Towel"</formula>
    </cfRule>
    <cfRule type="cellIs" dxfId="3950" priority="5100" stopIfTrue="1" operator="equal">
      <formula>"Napkin Hs"</formula>
    </cfRule>
  </conditionalFormatting>
  <conditionalFormatting sqref="C95">
    <cfRule type="cellIs" dxfId="3949" priority="5101" stopIfTrue="1" operator="equal">
      <formula>"Towel"</formula>
    </cfRule>
    <cfRule type="cellIs" dxfId="3948" priority="5102" stopIfTrue="1" operator="equal">
      <formula>"Napkin Hs"</formula>
    </cfRule>
  </conditionalFormatting>
  <conditionalFormatting sqref="C95">
    <cfRule type="cellIs" dxfId="3947" priority="5095" stopIfTrue="1" operator="equal">
      <formula>"Towel"</formula>
    </cfRule>
    <cfRule type="cellIs" dxfId="3946" priority="5096" stopIfTrue="1" operator="equal">
      <formula>"Napkin Hs"</formula>
    </cfRule>
  </conditionalFormatting>
  <conditionalFormatting sqref="B95:C95">
    <cfRule type="cellIs" dxfId="3945" priority="5097" stopIfTrue="1" operator="equal">
      <formula>"Towel"</formula>
    </cfRule>
    <cfRule type="cellIs" dxfId="3944" priority="5098" stopIfTrue="1" operator="equal">
      <formula>"Napkin Hs"</formula>
    </cfRule>
  </conditionalFormatting>
  <conditionalFormatting sqref="C95">
    <cfRule type="cellIs" dxfId="3943" priority="5093" stopIfTrue="1" operator="equal">
      <formula>"Towel"</formula>
    </cfRule>
    <cfRule type="cellIs" dxfId="3942" priority="5094" stopIfTrue="1" operator="equal">
      <formula>"Napkin Hs"</formula>
    </cfRule>
  </conditionalFormatting>
  <conditionalFormatting sqref="B95:C95">
    <cfRule type="cellIs" dxfId="3941" priority="5091" stopIfTrue="1" operator="equal">
      <formula>"Towel"</formula>
    </cfRule>
    <cfRule type="cellIs" dxfId="3940" priority="5092" stopIfTrue="1" operator="equal">
      <formula>"Napkin Hs"</formula>
    </cfRule>
  </conditionalFormatting>
  <conditionalFormatting sqref="B95:C95">
    <cfRule type="cellIs" dxfId="3939" priority="5089" stopIfTrue="1" operator="equal">
      <formula>"Towel"</formula>
    </cfRule>
    <cfRule type="cellIs" dxfId="3938" priority="5090" stopIfTrue="1" operator="equal">
      <formula>"Napkin Hs"</formula>
    </cfRule>
  </conditionalFormatting>
  <conditionalFormatting sqref="C95">
    <cfRule type="cellIs" dxfId="3937" priority="5083" stopIfTrue="1" operator="equal">
      <formula>"Towel"</formula>
    </cfRule>
    <cfRule type="cellIs" dxfId="3936" priority="5084" stopIfTrue="1" operator="equal">
      <formula>"Napkin Hs"</formula>
    </cfRule>
  </conditionalFormatting>
  <conditionalFormatting sqref="C95">
    <cfRule type="cellIs" dxfId="3935" priority="5085" stopIfTrue="1" operator="equal">
      <formula>"Towel"</formula>
    </cfRule>
    <cfRule type="cellIs" dxfId="3934" priority="5086" stopIfTrue="1" operator="equal">
      <formula>"Napkin Hs"</formula>
    </cfRule>
  </conditionalFormatting>
  <conditionalFormatting sqref="C95">
    <cfRule type="cellIs" dxfId="3933" priority="5081" stopIfTrue="1" operator="equal">
      <formula>"Towel"</formula>
    </cfRule>
    <cfRule type="cellIs" dxfId="3932" priority="5082" stopIfTrue="1" operator="equal">
      <formula>"Napkin Hs"</formula>
    </cfRule>
  </conditionalFormatting>
  <conditionalFormatting sqref="C95">
    <cfRule type="cellIs" dxfId="3931" priority="5079" stopIfTrue="1" operator="equal">
      <formula>"Towel"</formula>
    </cfRule>
    <cfRule type="cellIs" dxfId="3930" priority="5080" stopIfTrue="1" operator="equal">
      <formula>"Napkin Hs"</formula>
    </cfRule>
  </conditionalFormatting>
  <conditionalFormatting sqref="C95">
    <cfRule type="cellIs" dxfId="3929" priority="5075" stopIfTrue="1" operator="equal">
      <formula>"Towel"</formula>
    </cfRule>
    <cfRule type="cellIs" dxfId="3928" priority="5076" stopIfTrue="1" operator="equal">
      <formula>"Napkin Hs"</formula>
    </cfRule>
  </conditionalFormatting>
  <conditionalFormatting sqref="C95">
    <cfRule type="cellIs" dxfId="3927" priority="5077" stopIfTrue="1" operator="equal">
      <formula>"Towel"</formula>
    </cfRule>
    <cfRule type="cellIs" dxfId="3926" priority="5078" stopIfTrue="1" operator="equal">
      <formula>"Napkin Hs"</formula>
    </cfRule>
  </conditionalFormatting>
  <conditionalFormatting sqref="C95">
    <cfRule type="cellIs" dxfId="3925" priority="5073" stopIfTrue="1" operator="equal">
      <formula>"Towel"</formula>
    </cfRule>
    <cfRule type="cellIs" dxfId="3924" priority="5074" stopIfTrue="1" operator="equal">
      <formula>"Napkin Hs"</formula>
    </cfRule>
  </conditionalFormatting>
  <conditionalFormatting sqref="C95">
    <cfRule type="cellIs" dxfId="3923" priority="5057" stopIfTrue="1" operator="equal">
      <formula>"Towel"</formula>
    </cfRule>
    <cfRule type="cellIs" dxfId="3922" priority="5058" stopIfTrue="1" operator="equal">
      <formula>"Napkin Hs"</formula>
    </cfRule>
  </conditionalFormatting>
  <conditionalFormatting sqref="B95">
    <cfRule type="cellIs" dxfId="3921" priority="5055" stopIfTrue="1" operator="equal">
      <formula>"Towel"</formula>
    </cfRule>
    <cfRule type="cellIs" dxfId="3920" priority="5056" stopIfTrue="1" operator="equal">
      <formula>"Napkin Hs"</formula>
    </cfRule>
  </conditionalFormatting>
  <conditionalFormatting sqref="B95">
    <cfRule type="cellIs" dxfId="3919" priority="5071" stopIfTrue="1" operator="equal">
      <formula>"Towel"</formula>
    </cfRule>
    <cfRule type="cellIs" dxfId="3918" priority="5072" stopIfTrue="1" operator="equal">
      <formula>"Napkin Hs"</formula>
    </cfRule>
  </conditionalFormatting>
  <conditionalFormatting sqref="C95">
    <cfRule type="cellIs" dxfId="3917" priority="5067" stopIfTrue="1" operator="equal">
      <formula>"Towel"</formula>
    </cfRule>
    <cfRule type="cellIs" dxfId="3916" priority="5068" stopIfTrue="1" operator="equal">
      <formula>"Napkin Hs"</formula>
    </cfRule>
  </conditionalFormatting>
  <conditionalFormatting sqref="B95">
    <cfRule type="cellIs" dxfId="3915" priority="5069" stopIfTrue="1" operator="equal">
      <formula>"Towel"</formula>
    </cfRule>
    <cfRule type="cellIs" dxfId="3914" priority="5070" stopIfTrue="1" operator="equal">
      <formula>"Napkin Hs"</formula>
    </cfRule>
  </conditionalFormatting>
  <conditionalFormatting sqref="C95">
    <cfRule type="cellIs" dxfId="3913" priority="5063" stopIfTrue="1" operator="equal">
      <formula>"Towel"</formula>
    </cfRule>
    <cfRule type="cellIs" dxfId="3912" priority="5064" stopIfTrue="1" operator="equal">
      <formula>"Napkin Hs"</formula>
    </cfRule>
  </conditionalFormatting>
  <conditionalFormatting sqref="C95">
    <cfRule type="cellIs" dxfId="3911" priority="5065" stopIfTrue="1" operator="equal">
      <formula>"Towel"</formula>
    </cfRule>
    <cfRule type="cellIs" dxfId="3910" priority="5066" stopIfTrue="1" operator="equal">
      <formula>"Napkin Hs"</formula>
    </cfRule>
  </conditionalFormatting>
  <conditionalFormatting sqref="C95">
    <cfRule type="cellIs" dxfId="3909" priority="5061" stopIfTrue="1" operator="equal">
      <formula>"Towel"</formula>
    </cfRule>
    <cfRule type="cellIs" dxfId="3908" priority="5062" stopIfTrue="1" operator="equal">
      <formula>"Napkin Hs"</formula>
    </cfRule>
  </conditionalFormatting>
  <conditionalFormatting sqref="C95">
    <cfRule type="cellIs" dxfId="3907" priority="5059" stopIfTrue="1" operator="equal">
      <formula>"Towel"</formula>
    </cfRule>
    <cfRule type="cellIs" dxfId="3906" priority="5060" stopIfTrue="1" operator="equal">
      <formula>"Napkin Hs"</formula>
    </cfRule>
  </conditionalFormatting>
  <conditionalFormatting sqref="B95">
    <cfRule type="cellIs" dxfId="3905" priority="5053" stopIfTrue="1" operator="equal">
      <formula>"Towel"</formula>
    </cfRule>
    <cfRule type="cellIs" dxfId="3904" priority="5054" stopIfTrue="1" operator="equal">
      <formula>"Napkin Hs"</formula>
    </cfRule>
  </conditionalFormatting>
  <conditionalFormatting sqref="B95:C95">
    <cfRule type="cellIs" dxfId="3903" priority="5051" stopIfTrue="1" operator="equal">
      <formula>"Towel"</formula>
    </cfRule>
    <cfRule type="cellIs" dxfId="3902" priority="5052" stopIfTrue="1" operator="equal">
      <formula>"Napkin Hs"</formula>
    </cfRule>
  </conditionalFormatting>
  <conditionalFormatting sqref="C95">
    <cfRule type="cellIs" dxfId="3901" priority="5049" stopIfTrue="1" operator="equal">
      <formula>"Towel"</formula>
    </cfRule>
    <cfRule type="cellIs" dxfId="3900" priority="5050" stopIfTrue="1" operator="equal">
      <formula>"Napkin Hs"</formula>
    </cfRule>
  </conditionalFormatting>
  <conditionalFormatting sqref="C95">
    <cfRule type="cellIs" dxfId="3899" priority="5047" stopIfTrue="1" operator="equal">
      <formula>"Towel"</formula>
    </cfRule>
    <cfRule type="cellIs" dxfId="3898" priority="5048" stopIfTrue="1" operator="equal">
      <formula>"Napkin Hs"</formula>
    </cfRule>
  </conditionalFormatting>
  <conditionalFormatting sqref="C95">
    <cfRule type="cellIs" dxfId="3897" priority="5037" stopIfTrue="1" operator="equal">
      <formula>"Towel"</formula>
    </cfRule>
    <cfRule type="cellIs" dxfId="3896" priority="5038" stopIfTrue="1" operator="equal">
      <formula>"Napkin Hs"</formula>
    </cfRule>
  </conditionalFormatting>
  <conditionalFormatting sqref="C95">
    <cfRule type="cellIs" dxfId="3895" priority="5039" stopIfTrue="1" operator="equal">
      <formula>"Towel"</formula>
    </cfRule>
    <cfRule type="cellIs" dxfId="3894" priority="5040" stopIfTrue="1" operator="equal">
      <formula>"Napkin Hs"</formula>
    </cfRule>
  </conditionalFormatting>
  <conditionalFormatting sqref="B95:C95">
    <cfRule type="cellIs" dxfId="3893" priority="5035" stopIfTrue="1" operator="equal">
      <formula>"Towel"</formula>
    </cfRule>
    <cfRule type="cellIs" dxfId="3892" priority="5036" stopIfTrue="1" operator="equal">
      <formula>"Napkin Hs"</formula>
    </cfRule>
  </conditionalFormatting>
  <conditionalFormatting sqref="C95">
    <cfRule type="cellIs" dxfId="3891" priority="5033" stopIfTrue="1" operator="equal">
      <formula>"Towel"</formula>
    </cfRule>
    <cfRule type="cellIs" dxfId="3890" priority="5034" stopIfTrue="1" operator="equal">
      <formula>"Napkin Hs"</formula>
    </cfRule>
  </conditionalFormatting>
  <conditionalFormatting sqref="B95:C95">
    <cfRule type="cellIs" dxfId="3889" priority="5029" stopIfTrue="1" operator="equal">
      <formula>"Towel"</formula>
    </cfRule>
    <cfRule type="cellIs" dxfId="3888" priority="5030" stopIfTrue="1" operator="equal">
      <formula>"Napkin Hs"</formula>
    </cfRule>
  </conditionalFormatting>
  <conditionalFormatting sqref="C95">
    <cfRule type="cellIs" dxfId="3887" priority="5031" stopIfTrue="1" operator="equal">
      <formula>"Towel"</formula>
    </cfRule>
    <cfRule type="cellIs" dxfId="3886" priority="5032" stopIfTrue="1" operator="equal">
      <formula>"Napkin Hs"</formula>
    </cfRule>
  </conditionalFormatting>
  <conditionalFormatting sqref="C95">
    <cfRule type="cellIs" dxfId="3885" priority="5088" stopIfTrue="1" operator="equal">
      <formula>"Napkin Hs"</formula>
    </cfRule>
  </conditionalFormatting>
  <conditionalFormatting sqref="C95">
    <cfRule type="cellIs" dxfId="3884" priority="5087" stopIfTrue="1" operator="equal">
      <formula>"Towel"</formula>
    </cfRule>
  </conditionalFormatting>
  <conditionalFormatting sqref="B95:C95">
    <cfRule type="cellIs" dxfId="3883" priority="5045" stopIfTrue="1" operator="equal">
      <formula>"Towel"</formula>
    </cfRule>
    <cfRule type="cellIs" dxfId="3882" priority="5046" stopIfTrue="1" operator="equal">
      <formula>"Napkin Hs"</formula>
    </cfRule>
  </conditionalFormatting>
  <conditionalFormatting sqref="C95">
    <cfRule type="cellIs" dxfId="3881" priority="5043" stopIfTrue="1" operator="equal">
      <formula>"Towel"</formula>
    </cfRule>
    <cfRule type="cellIs" dxfId="3880" priority="5044" stopIfTrue="1" operator="equal">
      <formula>"Napkin Hs"</formula>
    </cfRule>
  </conditionalFormatting>
  <conditionalFormatting sqref="C95">
    <cfRule type="cellIs" dxfId="3879" priority="5041" stopIfTrue="1" operator="equal">
      <formula>"Towel"</formula>
    </cfRule>
    <cfRule type="cellIs" dxfId="3878" priority="5042" stopIfTrue="1" operator="equal">
      <formula>"Napkin Hs"</formula>
    </cfRule>
  </conditionalFormatting>
  <conditionalFormatting sqref="B95:C95">
    <cfRule type="cellIs" dxfId="3877" priority="5025" stopIfTrue="1" operator="equal">
      <formula>"Towel"</formula>
    </cfRule>
    <cfRule type="cellIs" dxfId="3876" priority="5026" stopIfTrue="1" operator="equal">
      <formula>"Napkin Hs"</formula>
    </cfRule>
  </conditionalFormatting>
  <conditionalFormatting sqref="C95">
    <cfRule type="cellIs" dxfId="3875" priority="5027" stopIfTrue="1" operator="equal">
      <formula>"Towel"</formula>
    </cfRule>
    <cfRule type="cellIs" dxfId="3874" priority="5028" stopIfTrue="1" operator="equal">
      <formula>"Napkin Hs"</formula>
    </cfRule>
  </conditionalFormatting>
  <conditionalFormatting sqref="C95">
    <cfRule type="cellIs" dxfId="3873" priority="5023" stopIfTrue="1" operator="equal">
      <formula>"Towel"</formula>
    </cfRule>
    <cfRule type="cellIs" dxfId="3872" priority="5024" stopIfTrue="1" operator="equal">
      <formula>"Napkin Hs"</formula>
    </cfRule>
  </conditionalFormatting>
  <conditionalFormatting sqref="B95:C95">
    <cfRule type="cellIs" dxfId="3871" priority="5021" stopIfTrue="1" operator="equal">
      <formula>"Towel"</formula>
    </cfRule>
    <cfRule type="cellIs" dxfId="3870" priority="5022" stopIfTrue="1" operator="equal">
      <formula>"Napkin Hs"</formula>
    </cfRule>
  </conditionalFormatting>
  <conditionalFormatting sqref="C95">
    <cfRule type="cellIs" dxfId="3869" priority="5017" stopIfTrue="1" operator="equal">
      <formula>"Towel"</formula>
    </cfRule>
    <cfRule type="cellIs" dxfId="3868" priority="5018" stopIfTrue="1" operator="equal">
      <formula>"Napkin Hs"</formula>
    </cfRule>
  </conditionalFormatting>
  <conditionalFormatting sqref="C95">
    <cfRule type="cellIs" dxfId="3867" priority="5019" stopIfTrue="1" operator="equal">
      <formula>"Towel"</formula>
    </cfRule>
    <cfRule type="cellIs" dxfId="3866" priority="5020" stopIfTrue="1" operator="equal">
      <formula>"Napkin Hs"</formula>
    </cfRule>
  </conditionalFormatting>
  <conditionalFormatting sqref="B95:C95">
    <cfRule type="cellIs" dxfId="3865" priority="5013" stopIfTrue="1" operator="equal">
      <formula>"Towel"</formula>
    </cfRule>
    <cfRule type="cellIs" dxfId="3864" priority="5014" stopIfTrue="1" operator="equal">
      <formula>"Napkin Hs"</formula>
    </cfRule>
  </conditionalFormatting>
  <conditionalFormatting sqref="C95">
    <cfRule type="cellIs" dxfId="3863" priority="5015" stopIfTrue="1" operator="equal">
      <formula>"Towel"</formula>
    </cfRule>
    <cfRule type="cellIs" dxfId="3862" priority="5016" stopIfTrue="1" operator="equal">
      <formula>"Napkin Hs"</formula>
    </cfRule>
  </conditionalFormatting>
  <conditionalFormatting sqref="C95">
    <cfRule type="cellIs" dxfId="3861" priority="5011" stopIfTrue="1" operator="equal">
      <formula>"Towel"</formula>
    </cfRule>
    <cfRule type="cellIs" dxfId="3860" priority="5012" stopIfTrue="1" operator="equal">
      <formula>"Napkin Hs"</formula>
    </cfRule>
  </conditionalFormatting>
  <conditionalFormatting sqref="B95:C95">
    <cfRule type="cellIs" dxfId="3859" priority="5009" stopIfTrue="1" operator="equal">
      <formula>"Towel"</formula>
    </cfRule>
    <cfRule type="cellIs" dxfId="3858" priority="5010" stopIfTrue="1" operator="equal">
      <formula>"Napkin Hs"</formula>
    </cfRule>
  </conditionalFormatting>
  <conditionalFormatting sqref="C95">
    <cfRule type="cellIs" dxfId="3857" priority="5005" stopIfTrue="1" operator="equal">
      <formula>"Towel"</formula>
    </cfRule>
    <cfRule type="cellIs" dxfId="3856" priority="5006" stopIfTrue="1" operator="equal">
      <formula>"Napkin Hs"</formula>
    </cfRule>
  </conditionalFormatting>
  <conditionalFormatting sqref="C95">
    <cfRule type="cellIs" dxfId="3855" priority="5007" stopIfTrue="1" operator="equal">
      <formula>"Towel"</formula>
    </cfRule>
    <cfRule type="cellIs" dxfId="3854" priority="5008" stopIfTrue="1" operator="equal">
      <formula>"Napkin Hs"</formula>
    </cfRule>
  </conditionalFormatting>
  <conditionalFormatting sqref="B98:C98">
    <cfRule type="cellIs" dxfId="3853" priority="4209" stopIfTrue="1" operator="equal">
      <formula>"Towel"</formula>
    </cfRule>
    <cfRule type="cellIs" dxfId="3852" priority="4210" stopIfTrue="1" operator="equal">
      <formula>"Napkin Hs"</formula>
    </cfRule>
  </conditionalFormatting>
  <conditionalFormatting sqref="C98">
    <cfRule type="cellIs" dxfId="3851" priority="4211" stopIfTrue="1" operator="equal">
      <formula>"Towel"</formula>
    </cfRule>
    <cfRule type="cellIs" dxfId="3850" priority="4212" stopIfTrue="1" operator="equal">
      <formula>"Napkin Hs"</formula>
    </cfRule>
  </conditionalFormatting>
  <conditionalFormatting sqref="C98">
    <cfRule type="cellIs" dxfId="3849" priority="4207" stopIfTrue="1" operator="equal">
      <formula>"Towel"</formula>
    </cfRule>
    <cfRule type="cellIs" dxfId="3848" priority="4208" stopIfTrue="1" operator="equal">
      <formula>"Napkin Hs"</formula>
    </cfRule>
  </conditionalFormatting>
  <conditionalFormatting sqref="C99">
    <cfRule type="cellIs" dxfId="3847" priority="4199" stopIfTrue="1" operator="equal">
      <formula>"Towel"</formula>
    </cfRule>
    <cfRule type="cellIs" dxfId="3846" priority="4200" stopIfTrue="1" operator="equal">
      <formula>"Napkin Hs"</formula>
    </cfRule>
  </conditionalFormatting>
  <conditionalFormatting sqref="C99">
    <cfRule type="cellIs" dxfId="3845" priority="4197" stopIfTrue="1" operator="equal">
      <formula>"Towel"</formula>
    </cfRule>
    <cfRule type="cellIs" dxfId="3844" priority="4198" stopIfTrue="1" operator="equal">
      <formula>"Napkin Hs"</formula>
    </cfRule>
  </conditionalFormatting>
  <conditionalFormatting sqref="B99:C99">
    <cfRule type="cellIs" dxfId="3843" priority="4195" stopIfTrue="1" operator="equal">
      <formula>"Towel"</formula>
    </cfRule>
    <cfRule type="cellIs" dxfId="3842" priority="4196" stopIfTrue="1" operator="equal">
      <formula>"Napkin Hs"</formula>
    </cfRule>
  </conditionalFormatting>
  <conditionalFormatting sqref="B99:C99">
    <cfRule type="cellIs" dxfId="3841" priority="4205" stopIfTrue="1" operator="equal">
      <formula>"Towel"</formula>
    </cfRule>
    <cfRule type="cellIs" dxfId="3840" priority="4206" stopIfTrue="1" operator="equal">
      <formula>"Napkin Hs"</formula>
    </cfRule>
  </conditionalFormatting>
  <conditionalFormatting sqref="C99">
    <cfRule type="cellIs" dxfId="3839" priority="4203" stopIfTrue="1" operator="equal">
      <formula>"Towel"</formula>
    </cfRule>
    <cfRule type="cellIs" dxfId="3838" priority="4204" stopIfTrue="1" operator="equal">
      <formula>"Napkin Hs"</formula>
    </cfRule>
  </conditionalFormatting>
  <conditionalFormatting sqref="C99">
    <cfRule type="cellIs" dxfId="3837" priority="4201" stopIfTrue="1" operator="equal">
      <formula>"Towel"</formula>
    </cfRule>
    <cfRule type="cellIs" dxfId="3836" priority="4202" stopIfTrue="1" operator="equal">
      <formula>"Napkin Hs"</formula>
    </cfRule>
  </conditionalFormatting>
  <conditionalFormatting sqref="C99">
    <cfRule type="cellIs" dxfId="3835" priority="4193" stopIfTrue="1" operator="equal">
      <formula>"Towel"</formula>
    </cfRule>
    <cfRule type="cellIs" dxfId="3834" priority="4194" stopIfTrue="1" operator="equal">
      <formula>"Napkin Hs"</formula>
    </cfRule>
  </conditionalFormatting>
  <conditionalFormatting sqref="C99">
    <cfRule type="cellIs" dxfId="3833" priority="4191" stopIfTrue="1" operator="equal">
      <formula>"Towel"</formula>
    </cfRule>
    <cfRule type="cellIs" dxfId="3832" priority="4192" stopIfTrue="1" operator="equal">
      <formula>"Napkin Hs"</formula>
    </cfRule>
  </conditionalFormatting>
  <conditionalFormatting sqref="B99:C99">
    <cfRule type="cellIs" dxfId="3831" priority="4189" stopIfTrue="1" operator="equal">
      <formula>"Towel"</formula>
    </cfRule>
    <cfRule type="cellIs" dxfId="3830" priority="4190" stopIfTrue="1" operator="equal">
      <formula>"Napkin Hs"</formula>
    </cfRule>
  </conditionalFormatting>
  <conditionalFormatting sqref="B103:C103">
    <cfRule type="cellIs" dxfId="3829" priority="4125" stopIfTrue="1" operator="equal">
      <formula>"Towel"</formula>
    </cfRule>
    <cfRule type="cellIs" dxfId="3828" priority="4126" stopIfTrue="1" operator="equal">
      <formula>"Napkin Hs"</formula>
    </cfRule>
  </conditionalFormatting>
  <conditionalFormatting sqref="C103">
    <cfRule type="cellIs" dxfId="3827" priority="4127" stopIfTrue="1" operator="equal">
      <formula>"Towel"</formula>
    </cfRule>
    <cfRule type="cellIs" dxfId="3826" priority="4128" stopIfTrue="1" operator="equal">
      <formula>"Napkin Hs"</formula>
    </cfRule>
  </conditionalFormatting>
  <conditionalFormatting sqref="C103">
    <cfRule type="cellIs" dxfId="3825" priority="4123" stopIfTrue="1" operator="equal">
      <formula>"Towel"</formula>
    </cfRule>
    <cfRule type="cellIs" dxfId="3824" priority="4124" stopIfTrue="1" operator="equal">
      <formula>"Napkin Hs"</formula>
    </cfRule>
  </conditionalFormatting>
  <conditionalFormatting sqref="C102">
    <cfRule type="cellIs" dxfId="3823" priority="4119" stopIfTrue="1" operator="equal">
      <formula>"Towel"</formula>
    </cfRule>
    <cfRule type="cellIs" dxfId="3822" priority="4120" stopIfTrue="1" operator="equal">
      <formula>"Napkin Hs"</formula>
    </cfRule>
  </conditionalFormatting>
  <conditionalFormatting sqref="C102">
    <cfRule type="cellIs" dxfId="3821" priority="4121" stopIfTrue="1" operator="equal">
      <formula>"Towel"</formula>
    </cfRule>
    <cfRule type="cellIs" dxfId="3820" priority="4122" stopIfTrue="1" operator="equal">
      <formula>"Napkin Hs"</formula>
    </cfRule>
  </conditionalFormatting>
  <conditionalFormatting sqref="B102:C102">
    <cfRule type="cellIs" dxfId="3819" priority="4117" stopIfTrue="1" operator="equal">
      <formula>"Towel"</formula>
    </cfRule>
    <cfRule type="cellIs" dxfId="3818" priority="4118" stopIfTrue="1" operator="equal">
      <formula>"Napkin Hs"</formula>
    </cfRule>
  </conditionalFormatting>
  <conditionalFormatting sqref="B102:C102">
    <cfRule type="cellIs" dxfId="3817" priority="4111" stopIfTrue="1" operator="equal">
      <formula>"Towel"</formula>
    </cfRule>
    <cfRule type="cellIs" dxfId="3816" priority="4112" stopIfTrue="1" operator="equal">
      <formula>"Napkin Hs"</formula>
    </cfRule>
  </conditionalFormatting>
  <conditionalFormatting sqref="C102">
    <cfRule type="cellIs" dxfId="3815" priority="4113" stopIfTrue="1" operator="equal">
      <formula>"Towel"</formula>
    </cfRule>
    <cfRule type="cellIs" dxfId="3814" priority="4114" stopIfTrue="1" operator="equal">
      <formula>"Napkin Hs"</formula>
    </cfRule>
  </conditionalFormatting>
  <conditionalFormatting sqref="C102">
    <cfRule type="cellIs" dxfId="3813" priority="4115" stopIfTrue="1" operator="equal">
      <formula>"Towel"</formula>
    </cfRule>
    <cfRule type="cellIs" dxfId="3812" priority="4116" stopIfTrue="1" operator="equal">
      <formula>"Napkin Hs"</formula>
    </cfRule>
  </conditionalFormatting>
  <conditionalFormatting sqref="C102">
    <cfRule type="cellIs" dxfId="3811" priority="4083" stopIfTrue="1" operator="equal">
      <formula>"Towel"</formula>
    </cfRule>
    <cfRule type="cellIs" dxfId="3810" priority="4084" stopIfTrue="1" operator="equal">
      <formula>"Napkin Hs"</formula>
    </cfRule>
  </conditionalFormatting>
  <conditionalFormatting sqref="C102">
    <cfRule type="cellIs" dxfId="3809" priority="4085" stopIfTrue="1" operator="equal">
      <formula>"Towel"</formula>
    </cfRule>
    <cfRule type="cellIs" dxfId="3808" priority="4086" stopIfTrue="1" operator="equal">
      <formula>"Napkin Hs"</formula>
    </cfRule>
  </conditionalFormatting>
  <conditionalFormatting sqref="C102">
    <cfRule type="cellIs" dxfId="3807" priority="4081" stopIfTrue="1" operator="equal">
      <formula>"Towel"</formula>
    </cfRule>
    <cfRule type="cellIs" dxfId="3806" priority="4082" stopIfTrue="1" operator="equal">
      <formula>"Napkin Hs"</formula>
    </cfRule>
  </conditionalFormatting>
  <conditionalFormatting sqref="B102">
    <cfRule type="cellIs" dxfId="3805" priority="4075" stopIfTrue="1" operator="equal">
      <formula>"Towel"</formula>
    </cfRule>
    <cfRule type="cellIs" dxfId="3804" priority="4076" stopIfTrue="1" operator="equal">
      <formula>"Napkin Hs"</formula>
    </cfRule>
  </conditionalFormatting>
  <conditionalFormatting sqref="C102">
    <cfRule type="cellIs" dxfId="3803" priority="4077" stopIfTrue="1" operator="equal">
      <formula>"Towel"</formula>
    </cfRule>
    <cfRule type="cellIs" dxfId="3802" priority="4078" stopIfTrue="1" operator="equal">
      <formula>"Napkin Hs"</formula>
    </cfRule>
  </conditionalFormatting>
  <conditionalFormatting sqref="C102">
    <cfRule type="cellIs" dxfId="3801" priority="4079" stopIfTrue="1" operator="equal">
      <formula>"Towel"</formula>
    </cfRule>
    <cfRule type="cellIs" dxfId="3800" priority="4080" stopIfTrue="1" operator="equal">
      <formula>"Napkin Hs"</formula>
    </cfRule>
  </conditionalFormatting>
  <conditionalFormatting sqref="B102:C102">
    <cfRule type="cellIs" dxfId="3799" priority="4029" stopIfTrue="1" operator="equal">
      <formula>"Towel"</formula>
    </cfRule>
    <cfRule type="cellIs" dxfId="3798" priority="4030" stopIfTrue="1" operator="equal">
      <formula>"Napkin Hs"</formula>
    </cfRule>
  </conditionalFormatting>
  <conditionalFormatting sqref="C102">
    <cfRule type="cellIs" dxfId="3797" priority="4031" stopIfTrue="1" operator="equal">
      <formula>"Towel"</formula>
    </cfRule>
    <cfRule type="cellIs" dxfId="3796" priority="4032" stopIfTrue="1" operator="equal">
      <formula>"Napkin Hs"</formula>
    </cfRule>
  </conditionalFormatting>
  <conditionalFormatting sqref="C102">
    <cfRule type="cellIs" dxfId="3795" priority="4027" stopIfTrue="1" operator="equal">
      <formula>"Towel"</formula>
    </cfRule>
    <cfRule type="cellIs" dxfId="3794" priority="4028" stopIfTrue="1" operator="equal">
      <formula>"Napkin Hs"</formula>
    </cfRule>
  </conditionalFormatting>
  <conditionalFormatting sqref="C102">
    <cfRule type="cellIs" dxfId="3793" priority="4025" stopIfTrue="1" operator="equal">
      <formula>"Towel"</formula>
    </cfRule>
    <cfRule type="cellIs" dxfId="3792" priority="4026" stopIfTrue="1" operator="equal">
      <formula>"Napkin Hs"</formula>
    </cfRule>
  </conditionalFormatting>
  <conditionalFormatting sqref="B102">
    <cfRule type="cellIs" dxfId="3791" priority="4073" stopIfTrue="1" operator="equal">
      <formula>"Towel"</formula>
    </cfRule>
    <cfRule type="cellIs" dxfId="3790" priority="4074" stopIfTrue="1" operator="equal">
      <formula>"Napkin Hs"</formula>
    </cfRule>
  </conditionalFormatting>
  <conditionalFormatting sqref="C102">
    <cfRule type="cellIs" dxfId="3789" priority="4069" stopIfTrue="1" operator="equal">
      <formula>"Towel"</formula>
    </cfRule>
    <cfRule type="cellIs" dxfId="3788" priority="4070" stopIfTrue="1" operator="equal">
      <formula>"Napkin Hs"</formula>
    </cfRule>
  </conditionalFormatting>
  <conditionalFormatting sqref="C102">
    <cfRule type="cellIs" dxfId="3787" priority="4063" stopIfTrue="1" operator="equal">
      <formula>"Towel"</formula>
    </cfRule>
    <cfRule type="cellIs" dxfId="3786" priority="4064" stopIfTrue="1" operator="equal">
      <formula>"Napkin Hs"</formula>
    </cfRule>
  </conditionalFormatting>
  <conditionalFormatting sqref="C102">
    <cfRule type="cellIs" dxfId="3785" priority="4067" stopIfTrue="1" operator="equal">
      <formula>"Towel"</formula>
    </cfRule>
    <cfRule type="cellIs" dxfId="3784" priority="4068" stopIfTrue="1" operator="equal">
      <formula>"Napkin Hs"</formula>
    </cfRule>
  </conditionalFormatting>
  <conditionalFormatting sqref="B102:C102">
    <cfRule type="cellIs" dxfId="3783" priority="4065" stopIfTrue="1" operator="equal">
      <formula>"Towel"</formula>
    </cfRule>
    <cfRule type="cellIs" dxfId="3782" priority="4066" stopIfTrue="1" operator="equal">
      <formula>"Napkin Hs"</formula>
    </cfRule>
  </conditionalFormatting>
  <conditionalFormatting sqref="C102">
    <cfRule type="cellIs" dxfId="3781" priority="4057" stopIfTrue="1" operator="equal">
      <formula>"Towel"</formula>
    </cfRule>
    <cfRule type="cellIs" dxfId="3780" priority="4058" stopIfTrue="1" operator="equal">
      <formula>"Napkin Hs"</formula>
    </cfRule>
  </conditionalFormatting>
  <conditionalFormatting sqref="C102">
    <cfRule type="cellIs" dxfId="3779" priority="4059" stopIfTrue="1" operator="equal">
      <formula>"Towel"</formula>
    </cfRule>
    <cfRule type="cellIs" dxfId="3778" priority="4060" stopIfTrue="1" operator="equal">
      <formula>"Napkin Hs"</formula>
    </cfRule>
  </conditionalFormatting>
  <conditionalFormatting sqref="C102">
    <cfRule type="cellIs" dxfId="3777" priority="4061" stopIfTrue="1" operator="equal">
      <formula>"Towel"</formula>
    </cfRule>
    <cfRule type="cellIs" dxfId="3776" priority="4062" stopIfTrue="1" operator="equal">
      <formula>"Napkin Hs"</formula>
    </cfRule>
  </conditionalFormatting>
  <conditionalFormatting sqref="C102">
    <cfRule type="cellIs" dxfId="3775" priority="4051" stopIfTrue="1" operator="equal">
      <formula>"Towel"</formula>
    </cfRule>
    <cfRule type="cellIs" dxfId="3774" priority="4052" stopIfTrue="1" operator="equal">
      <formula>"Napkin Hs"</formula>
    </cfRule>
  </conditionalFormatting>
  <conditionalFormatting sqref="B102:C102">
    <cfRule type="cellIs" dxfId="3773" priority="4055" stopIfTrue="1" operator="equal">
      <formula>"Towel"</formula>
    </cfRule>
    <cfRule type="cellIs" dxfId="3772" priority="4056" stopIfTrue="1" operator="equal">
      <formula>"Napkin Hs"</formula>
    </cfRule>
  </conditionalFormatting>
  <conditionalFormatting sqref="C102">
    <cfRule type="cellIs" dxfId="3771" priority="4053" stopIfTrue="1" operator="equal">
      <formula>"Towel"</formula>
    </cfRule>
    <cfRule type="cellIs" dxfId="3770" priority="4054" stopIfTrue="1" operator="equal">
      <formula>"Napkin Hs"</formula>
    </cfRule>
  </conditionalFormatting>
  <conditionalFormatting sqref="B102:C102">
    <cfRule type="cellIs" dxfId="3769" priority="4045" stopIfTrue="1" operator="equal">
      <formula>"Towel"</formula>
    </cfRule>
    <cfRule type="cellIs" dxfId="3768" priority="4046" stopIfTrue="1" operator="equal">
      <formula>"Napkin Hs"</formula>
    </cfRule>
  </conditionalFormatting>
  <conditionalFormatting sqref="C102">
    <cfRule type="cellIs" dxfId="3767" priority="4047" stopIfTrue="1" operator="equal">
      <formula>"Towel"</formula>
    </cfRule>
    <cfRule type="cellIs" dxfId="3766" priority="4048" stopIfTrue="1" operator="equal">
      <formula>"Napkin Hs"</formula>
    </cfRule>
  </conditionalFormatting>
  <conditionalFormatting sqref="B102:C102">
    <cfRule type="cellIs" dxfId="3765" priority="4049" stopIfTrue="1" operator="equal">
      <formula>"Towel"</formula>
    </cfRule>
    <cfRule type="cellIs" dxfId="3764" priority="4050" stopIfTrue="1" operator="equal">
      <formula>"Napkin Hs"</formula>
    </cfRule>
  </conditionalFormatting>
  <conditionalFormatting sqref="C102">
    <cfRule type="cellIs" dxfId="3763" priority="4043" stopIfTrue="1" operator="equal">
      <formula>"Towel"</formula>
    </cfRule>
    <cfRule type="cellIs" dxfId="3762" priority="4044" stopIfTrue="1" operator="equal">
      <formula>"Napkin Hs"</formula>
    </cfRule>
  </conditionalFormatting>
  <conditionalFormatting sqref="C102">
    <cfRule type="cellIs" dxfId="3761" priority="4039" stopIfTrue="1" operator="equal">
      <formula>"Towel"</formula>
    </cfRule>
    <cfRule type="cellIs" dxfId="3760" priority="4040" stopIfTrue="1" operator="equal">
      <formula>"Napkin Hs"</formula>
    </cfRule>
  </conditionalFormatting>
  <conditionalFormatting sqref="B102:C102">
    <cfRule type="cellIs" dxfId="3759" priority="4041" stopIfTrue="1" operator="equal">
      <formula>"Towel"</formula>
    </cfRule>
    <cfRule type="cellIs" dxfId="3758" priority="4042" stopIfTrue="1" operator="equal">
      <formula>"Napkin Hs"</formula>
    </cfRule>
  </conditionalFormatting>
  <conditionalFormatting sqref="C102">
    <cfRule type="cellIs" dxfId="3757" priority="4037" stopIfTrue="1" operator="equal">
      <formula>"Towel"</formula>
    </cfRule>
    <cfRule type="cellIs" dxfId="3756" priority="4038" stopIfTrue="1" operator="equal">
      <formula>"Napkin Hs"</formula>
    </cfRule>
  </conditionalFormatting>
  <conditionalFormatting sqref="C102">
    <cfRule type="cellIs" dxfId="3755" priority="4035" stopIfTrue="1" operator="equal">
      <formula>"Towel"</formula>
    </cfRule>
    <cfRule type="cellIs" dxfId="3754" priority="4036" stopIfTrue="1" operator="equal">
      <formula>"Napkin Hs"</formula>
    </cfRule>
  </conditionalFormatting>
  <conditionalFormatting sqref="B102:C102">
    <cfRule type="cellIs" dxfId="3753" priority="4033" stopIfTrue="1" operator="equal">
      <formula>"Towel"</formula>
    </cfRule>
    <cfRule type="cellIs" dxfId="3752" priority="4034" stopIfTrue="1" operator="equal">
      <formula>"Napkin Hs"</formula>
    </cfRule>
  </conditionalFormatting>
  <conditionalFormatting sqref="B102:C102">
    <cfRule type="cellIs" dxfId="3751" priority="4109" stopIfTrue="1" operator="equal">
      <formula>"Towel"</formula>
    </cfRule>
    <cfRule type="cellIs" dxfId="3750" priority="4110" stopIfTrue="1" operator="equal">
      <formula>"Napkin Hs"</formula>
    </cfRule>
  </conditionalFormatting>
  <conditionalFormatting sqref="C102">
    <cfRule type="cellIs" dxfId="3749" priority="4105" stopIfTrue="1" operator="equal">
      <formula>"Towel"</formula>
    </cfRule>
    <cfRule type="cellIs" dxfId="3748" priority="4106" stopIfTrue="1" operator="equal">
      <formula>"Napkin Hs"</formula>
    </cfRule>
  </conditionalFormatting>
  <conditionalFormatting sqref="C102">
    <cfRule type="cellIs" dxfId="3747" priority="4108" stopIfTrue="1" operator="equal">
      <formula>"Napkin Hs"</formula>
    </cfRule>
  </conditionalFormatting>
  <conditionalFormatting sqref="C102">
    <cfRule type="cellIs" dxfId="3746" priority="4107" stopIfTrue="1" operator="equal">
      <formula>"Towel"</formula>
    </cfRule>
  </conditionalFormatting>
  <conditionalFormatting sqref="C102">
    <cfRule type="cellIs" dxfId="3745" priority="4099" stopIfTrue="1" operator="equal">
      <formula>"Towel"</formula>
    </cfRule>
    <cfRule type="cellIs" dxfId="3744" priority="4100" stopIfTrue="1" operator="equal">
      <formula>"Napkin Hs"</formula>
    </cfRule>
  </conditionalFormatting>
  <conditionalFormatting sqref="C102">
    <cfRule type="cellIs" dxfId="3743" priority="4103" stopIfTrue="1" operator="equal">
      <formula>"Towel"</formula>
    </cfRule>
    <cfRule type="cellIs" dxfId="3742" priority="4104" stopIfTrue="1" operator="equal">
      <formula>"Napkin Hs"</formula>
    </cfRule>
  </conditionalFormatting>
  <conditionalFormatting sqref="B102">
    <cfRule type="cellIs" dxfId="3741" priority="4089" stopIfTrue="1" operator="equal">
      <formula>"Towel"</formula>
    </cfRule>
    <cfRule type="cellIs" dxfId="3740" priority="4090" stopIfTrue="1" operator="equal">
      <formula>"Napkin Hs"</formula>
    </cfRule>
  </conditionalFormatting>
  <conditionalFormatting sqref="C102">
    <cfRule type="cellIs" dxfId="3739" priority="4101" stopIfTrue="1" operator="equal">
      <formula>"Towel"</formula>
    </cfRule>
    <cfRule type="cellIs" dxfId="3738" priority="4102" stopIfTrue="1" operator="equal">
      <formula>"Napkin Hs"</formula>
    </cfRule>
  </conditionalFormatting>
  <conditionalFormatting sqref="C102">
    <cfRule type="cellIs" dxfId="3737" priority="4093" stopIfTrue="1" operator="equal">
      <formula>"Towel"</formula>
    </cfRule>
    <cfRule type="cellIs" dxfId="3736" priority="4094" stopIfTrue="1" operator="equal">
      <formula>"Napkin Hs"</formula>
    </cfRule>
  </conditionalFormatting>
  <conditionalFormatting sqref="C102">
    <cfRule type="cellIs" dxfId="3735" priority="4095" stopIfTrue="1" operator="equal">
      <formula>"Towel"</formula>
    </cfRule>
    <cfRule type="cellIs" dxfId="3734" priority="4096" stopIfTrue="1" operator="equal">
      <formula>"Napkin Hs"</formula>
    </cfRule>
  </conditionalFormatting>
  <conditionalFormatting sqref="C102">
    <cfRule type="cellIs" dxfId="3733" priority="4097" stopIfTrue="1" operator="equal">
      <formula>"Towel"</formula>
    </cfRule>
    <cfRule type="cellIs" dxfId="3732" priority="4098" stopIfTrue="1" operator="equal">
      <formula>"Napkin Hs"</formula>
    </cfRule>
  </conditionalFormatting>
  <conditionalFormatting sqref="B102">
    <cfRule type="cellIs" dxfId="3731" priority="4091" stopIfTrue="1" operator="equal">
      <formula>"Towel"</formula>
    </cfRule>
    <cfRule type="cellIs" dxfId="3730" priority="4092" stopIfTrue="1" operator="equal">
      <formula>"Napkin Hs"</formula>
    </cfRule>
  </conditionalFormatting>
  <conditionalFormatting sqref="C102">
    <cfRule type="cellIs" dxfId="3729" priority="4087" stopIfTrue="1" operator="equal">
      <formula>"Towel"</formula>
    </cfRule>
    <cfRule type="cellIs" dxfId="3728" priority="4088" stopIfTrue="1" operator="equal">
      <formula>"Napkin Hs"</formula>
    </cfRule>
  </conditionalFormatting>
  <conditionalFormatting sqref="B102:C102">
    <cfRule type="cellIs" dxfId="3727" priority="4071" stopIfTrue="1" operator="equal">
      <formula>"Towel"</formula>
    </cfRule>
    <cfRule type="cellIs" dxfId="3726" priority="4072" stopIfTrue="1" operator="equal">
      <formula>"Napkin Hs"</formula>
    </cfRule>
  </conditionalFormatting>
  <conditionalFormatting sqref="C101">
    <cfRule type="cellIs" dxfId="3725" priority="4021" stopIfTrue="1" operator="equal">
      <formula>"Towel"</formula>
    </cfRule>
    <cfRule type="cellIs" dxfId="3724" priority="4022" stopIfTrue="1" operator="equal">
      <formula>"Napkin Hs"</formula>
    </cfRule>
  </conditionalFormatting>
  <conditionalFormatting sqref="C101">
    <cfRule type="cellIs" dxfId="3723" priority="4023" stopIfTrue="1" operator="equal">
      <formula>"Towel"</formula>
    </cfRule>
    <cfRule type="cellIs" dxfId="3722" priority="4024" stopIfTrue="1" operator="equal">
      <formula>"Napkin Hs"</formula>
    </cfRule>
  </conditionalFormatting>
  <conditionalFormatting sqref="C101">
    <cfRule type="cellIs" dxfId="3721" priority="4017" stopIfTrue="1" operator="equal">
      <formula>"Towel"</formula>
    </cfRule>
    <cfRule type="cellIs" dxfId="3720" priority="4018" stopIfTrue="1" operator="equal">
      <formula>"Napkin Hs"</formula>
    </cfRule>
  </conditionalFormatting>
  <conditionalFormatting sqref="B101:C101">
    <cfRule type="cellIs" dxfId="3719" priority="4019" stopIfTrue="1" operator="equal">
      <formula>"Towel"</formula>
    </cfRule>
    <cfRule type="cellIs" dxfId="3718" priority="4020" stopIfTrue="1" operator="equal">
      <formula>"Napkin Hs"</formula>
    </cfRule>
  </conditionalFormatting>
  <conditionalFormatting sqref="C101">
    <cfRule type="cellIs" dxfId="3717" priority="4015" stopIfTrue="1" operator="equal">
      <formula>"Towel"</formula>
    </cfRule>
    <cfRule type="cellIs" dxfId="3716" priority="4016" stopIfTrue="1" operator="equal">
      <formula>"Napkin Hs"</formula>
    </cfRule>
  </conditionalFormatting>
  <conditionalFormatting sqref="B101:C101">
    <cfRule type="cellIs" dxfId="3715" priority="4013" stopIfTrue="1" operator="equal">
      <formula>"Towel"</formula>
    </cfRule>
    <cfRule type="cellIs" dxfId="3714" priority="4014" stopIfTrue="1" operator="equal">
      <formula>"Napkin Hs"</formula>
    </cfRule>
  </conditionalFormatting>
  <conditionalFormatting sqref="B101:C101">
    <cfRule type="cellIs" dxfId="3713" priority="4011" stopIfTrue="1" operator="equal">
      <formula>"Towel"</formula>
    </cfRule>
    <cfRule type="cellIs" dxfId="3712" priority="4012" stopIfTrue="1" operator="equal">
      <formula>"Napkin Hs"</formula>
    </cfRule>
  </conditionalFormatting>
  <conditionalFormatting sqref="C101">
    <cfRule type="cellIs" dxfId="3711" priority="4005" stopIfTrue="1" operator="equal">
      <formula>"Towel"</formula>
    </cfRule>
    <cfRule type="cellIs" dxfId="3710" priority="4006" stopIfTrue="1" operator="equal">
      <formula>"Napkin Hs"</formula>
    </cfRule>
  </conditionalFormatting>
  <conditionalFormatting sqref="C101">
    <cfRule type="cellIs" dxfId="3709" priority="4007" stopIfTrue="1" operator="equal">
      <formula>"Towel"</formula>
    </cfRule>
    <cfRule type="cellIs" dxfId="3708" priority="4008" stopIfTrue="1" operator="equal">
      <formula>"Napkin Hs"</formula>
    </cfRule>
  </conditionalFormatting>
  <conditionalFormatting sqref="C101">
    <cfRule type="cellIs" dxfId="3707" priority="4003" stopIfTrue="1" operator="equal">
      <formula>"Towel"</formula>
    </cfRule>
    <cfRule type="cellIs" dxfId="3706" priority="4004" stopIfTrue="1" operator="equal">
      <formula>"Napkin Hs"</formula>
    </cfRule>
  </conditionalFormatting>
  <conditionalFormatting sqref="C101">
    <cfRule type="cellIs" dxfId="3705" priority="4001" stopIfTrue="1" operator="equal">
      <formula>"Towel"</formula>
    </cfRule>
    <cfRule type="cellIs" dxfId="3704" priority="4002" stopIfTrue="1" operator="equal">
      <formula>"Napkin Hs"</formula>
    </cfRule>
  </conditionalFormatting>
  <conditionalFormatting sqref="C101">
    <cfRule type="cellIs" dxfId="3703" priority="3997" stopIfTrue="1" operator="equal">
      <formula>"Towel"</formula>
    </cfRule>
    <cfRule type="cellIs" dxfId="3702" priority="3998" stopIfTrue="1" operator="equal">
      <formula>"Napkin Hs"</formula>
    </cfRule>
  </conditionalFormatting>
  <conditionalFormatting sqref="C101">
    <cfRule type="cellIs" dxfId="3701" priority="3999" stopIfTrue="1" operator="equal">
      <formula>"Towel"</formula>
    </cfRule>
    <cfRule type="cellIs" dxfId="3700" priority="4000" stopIfTrue="1" operator="equal">
      <formula>"Napkin Hs"</formula>
    </cfRule>
  </conditionalFormatting>
  <conditionalFormatting sqref="C101">
    <cfRule type="cellIs" dxfId="3699" priority="3995" stopIfTrue="1" operator="equal">
      <formula>"Towel"</formula>
    </cfRule>
    <cfRule type="cellIs" dxfId="3698" priority="3996" stopIfTrue="1" operator="equal">
      <formula>"Napkin Hs"</formula>
    </cfRule>
  </conditionalFormatting>
  <conditionalFormatting sqref="C101">
    <cfRule type="cellIs" dxfId="3697" priority="3979" stopIfTrue="1" operator="equal">
      <formula>"Towel"</formula>
    </cfRule>
    <cfRule type="cellIs" dxfId="3696" priority="3980" stopIfTrue="1" operator="equal">
      <formula>"Napkin Hs"</formula>
    </cfRule>
  </conditionalFormatting>
  <conditionalFormatting sqref="B101">
    <cfRule type="cellIs" dxfId="3695" priority="3977" stopIfTrue="1" operator="equal">
      <formula>"Towel"</formula>
    </cfRule>
    <cfRule type="cellIs" dxfId="3694" priority="3978" stopIfTrue="1" operator="equal">
      <formula>"Napkin Hs"</formula>
    </cfRule>
  </conditionalFormatting>
  <conditionalFormatting sqref="B101">
    <cfRule type="cellIs" dxfId="3693" priority="3993" stopIfTrue="1" operator="equal">
      <formula>"Towel"</formula>
    </cfRule>
    <cfRule type="cellIs" dxfId="3692" priority="3994" stopIfTrue="1" operator="equal">
      <formula>"Napkin Hs"</formula>
    </cfRule>
  </conditionalFormatting>
  <conditionalFormatting sqref="C101">
    <cfRule type="cellIs" dxfId="3691" priority="3989" stopIfTrue="1" operator="equal">
      <formula>"Towel"</formula>
    </cfRule>
    <cfRule type="cellIs" dxfId="3690" priority="3990" stopIfTrue="1" operator="equal">
      <formula>"Napkin Hs"</formula>
    </cfRule>
  </conditionalFormatting>
  <conditionalFormatting sqref="B101">
    <cfRule type="cellIs" dxfId="3689" priority="3991" stopIfTrue="1" operator="equal">
      <formula>"Towel"</formula>
    </cfRule>
    <cfRule type="cellIs" dxfId="3688" priority="3992" stopIfTrue="1" operator="equal">
      <formula>"Napkin Hs"</formula>
    </cfRule>
  </conditionalFormatting>
  <conditionalFormatting sqref="C101">
    <cfRule type="cellIs" dxfId="3687" priority="3985" stopIfTrue="1" operator="equal">
      <formula>"Towel"</formula>
    </cfRule>
    <cfRule type="cellIs" dxfId="3686" priority="3986" stopIfTrue="1" operator="equal">
      <formula>"Napkin Hs"</formula>
    </cfRule>
  </conditionalFormatting>
  <conditionalFormatting sqref="C101">
    <cfRule type="cellIs" dxfId="3685" priority="3987" stopIfTrue="1" operator="equal">
      <formula>"Towel"</formula>
    </cfRule>
    <cfRule type="cellIs" dxfId="3684" priority="3988" stopIfTrue="1" operator="equal">
      <formula>"Napkin Hs"</formula>
    </cfRule>
  </conditionalFormatting>
  <conditionalFormatting sqref="C101">
    <cfRule type="cellIs" dxfId="3683" priority="3983" stopIfTrue="1" operator="equal">
      <formula>"Towel"</formula>
    </cfRule>
    <cfRule type="cellIs" dxfId="3682" priority="3984" stopIfTrue="1" operator="equal">
      <formula>"Napkin Hs"</formula>
    </cfRule>
  </conditionalFormatting>
  <conditionalFormatting sqref="C101">
    <cfRule type="cellIs" dxfId="3681" priority="3981" stopIfTrue="1" operator="equal">
      <formula>"Towel"</formula>
    </cfRule>
    <cfRule type="cellIs" dxfId="3680" priority="3982" stopIfTrue="1" operator="equal">
      <formula>"Napkin Hs"</formula>
    </cfRule>
  </conditionalFormatting>
  <conditionalFormatting sqref="B101">
    <cfRule type="cellIs" dxfId="3679" priority="3975" stopIfTrue="1" operator="equal">
      <formula>"Towel"</formula>
    </cfRule>
    <cfRule type="cellIs" dxfId="3678" priority="3976" stopIfTrue="1" operator="equal">
      <formula>"Napkin Hs"</formula>
    </cfRule>
  </conditionalFormatting>
  <conditionalFormatting sqref="B101:C101">
    <cfRule type="cellIs" dxfId="3677" priority="3973" stopIfTrue="1" operator="equal">
      <formula>"Towel"</formula>
    </cfRule>
    <cfRule type="cellIs" dxfId="3676" priority="3974" stopIfTrue="1" operator="equal">
      <formula>"Napkin Hs"</formula>
    </cfRule>
  </conditionalFormatting>
  <conditionalFormatting sqref="C101">
    <cfRule type="cellIs" dxfId="3675" priority="3971" stopIfTrue="1" operator="equal">
      <formula>"Towel"</formula>
    </cfRule>
    <cfRule type="cellIs" dxfId="3674" priority="3972" stopIfTrue="1" operator="equal">
      <formula>"Napkin Hs"</formula>
    </cfRule>
  </conditionalFormatting>
  <conditionalFormatting sqref="C101">
    <cfRule type="cellIs" dxfId="3673" priority="3969" stopIfTrue="1" operator="equal">
      <formula>"Towel"</formula>
    </cfRule>
    <cfRule type="cellIs" dxfId="3672" priority="3970" stopIfTrue="1" operator="equal">
      <formula>"Napkin Hs"</formula>
    </cfRule>
  </conditionalFormatting>
  <conditionalFormatting sqref="C101">
    <cfRule type="cellIs" dxfId="3671" priority="3959" stopIfTrue="1" operator="equal">
      <formula>"Towel"</formula>
    </cfRule>
    <cfRule type="cellIs" dxfId="3670" priority="3960" stopIfTrue="1" operator="equal">
      <formula>"Napkin Hs"</formula>
    </cfRule>
  </conditionalFormatting>
  <conditionalFormatting sqref="C101">
    <cfRule type="cellIs" dxfId="3669" priority="3961" stopIfTrue="1" operator="equal">
      <formula>"Towel"</formula>
    </cfRule>
    <cfRule type="cellIs" dxfId="3668" priority="3962" stopIfTrue="1" operator="equal">
      <formula>"Napkin Hs"</formula>
    </cfRule>
  </conditionalFormatting>
  <conditionalFormatting sqref="B101:C101">
    <cfRule type="cellIs" dxfId="3667" priority="3957" stopIfTrue="1" operator="equal">
      <formula>"Towel"</formula>
    </cfRule>
    <cfRule type="cellIs" dxfId="3666" priority="3958" stopIfTrue="1" operator="equal">
      <formula>"Napkin Hs"</formula>
    </cfRule>
  </conditionalFormatting>
  <conditionalFormatting sqref="C101">
    <cfRule type="cellIs" dxfId="3665" priority="3955" stopIfTrue="1" operator="equal">
      <formula>"Towel"</formula>
    </cfRule>
    <cfRule type="cellIs" dxfId="3664" priority="3956" stopIfTrue="1" operator="equal">
      <formula>"Napkin Hs"</formula>
    </cfRule>
  </conditionalFormatting>
  <conditionalFormatting sqref="B101:C101">
    <cfRule type="cellIs" dxfId="3663" priority="3951" stopIfTrue="1" operator="equal">
      <formula>"Towel"</formula>
    </cfRule>
    <cfRule type="cellIs" dxfId="3662" priority="3952" stopIfTrue="1" operator="equal">
      <formula>"Napkin Hs"</formula>
    </cfRule>
  </conditionalFormatting>
  <conditionalFormatting sqref="C101">
    <cfRule type="cellIs" dxfId="3661" priority="3953" stopIfTrue="1" operator="equal">
      <formula>"Towel"</formula>
    </cfRule>
    <cfRule type="cellIs" dxfId="3660" priority="3954" stopIfTrue="1" operator="equal">
      <formula>"Napkin Hs"</formula>
    </cfRule>
  </conditionalFormatting>
  <conditionalFormatting sqref="C101">
    <cfRule type="cellIs" dxfId="3659" priority="4010" stopIfTrue="1" operator="equal">
      <formula>"Napkin Hs"</formula>
    </cfRule>
  </conditionalFormatting>
  <conditionalFormatting sqref="C101">
    <cfRule type="cellIs" dxfId="3658" priority="4009" stopIfTrue="1" operator="equal">
      <formula>"Towel"</formula>
    </cfRule>
  </conditionalFormatting>
  <conditionalFormatting sqref="B101:C101">
    <cfRule type="cellIs" dxfId="3657" priority="3967" stopIfTrue="1" operator="equal">
      <formula>"Towel"</formula>
    </cfRule>
    <cfRule type="cellIs" dxfId="3656" priority="3968" stopIfTrue="1" operator="equal">
      <formula>"Napkin Hs"</formula>
    </cfRule>
  </conditionalFormatting>
  <conditionalFormatting sqref="C101">
    <cfRule type="cellIs" dxfId="3655" priority="3965" stopIfTrue="1" operator="equal">
      <formula>"Towel"</formula>
    </cfRule>
    <cfRule type="cellIs" dxfId="3654" priority="3966" stopIfTrue="1" operator="equal">
      <formula>"Napkin Hs"</formula>
    </cfRule>
  </conditionalFormatting>
  <conditionalFormatting sqref="C101">
    <cfRule type="cellIs" dxfId="3653" priority="3963" stopIfTrue="1" operator="equal">
      <formula>"Towel"</formula>
    </cfRule>
    <cfRule type="cellIs" dxfId="3652" priority="3964" stopIfTrue="1" operator="equal">
      <formula>"Napkin Hs"</formula>
    </cfRule>
  </conditionalFormatting>
  <conditionalFormatting sqref="B101:C101">
    <cfRule type="cellIs" dxfId="3651" priority="3947" stopIfTrue="1" operator="equal">
      <formula>"Towel"</formula>
    </cfRule>
    <cfRule type="cellIs" dxfId="3650" priority="3948" stopIfTrue="1" operator="equal">
      <formula>"Napkin Hs"</formula>
    </cfRule>
  </conditionalFormatting>
  <conditionalFormatting sqref="C101">
    <cfRule type="cellIs" dxfId="3649" priority="3949" stopIfTrue="1" operator="equal">
      <formula>"Towel"</formula>
    </cfRule>
    <cfRule type="cellIs" dxfId="3648" priority="3950" stopIfTrue="1" operator="equal">
      <formula>"Napkin Hs"</formula>
    </cfRule>
  </conditionalFormatting>
  <conditionalFormatting sqref="C101">
    <cfRule type="cellIs" dxfId="3647" priority="3945" stopIfTrue="1" operator="equal">
      <formula>"Towel"</formula>
    </cfRule>
    <cfRule type="cellIs" dxfId="3646" priority="3946" stopIfTrue="1" operator="equal">
      <formula>"Napkin Hs"</formula>
    </cfRule>
  </conditionalFormatting>
  <conditionalFormatting sqref="B101:C101">
    <cfRule type="cellIs" dxfId="3645" priority="3943" stopIfTrue="1" operator="equal">
      <formula>"Towel"</formula>
    </cfRule>
    <cfRule type="cellIs" dxfId="3644" priority="3944" stopIfTrue="1" operator="equal">
      <formula>"Napkin Hs"</formula>
    </cfRule>
  </conditionalFormatting>
  <conditionalFormatting sqref="C101">
    <cfRule type="cellIs" dxfId="3643" priority="3939" stopIfTrue="1" operator="equal">
      <formula>"Towel"</formula>
    </cfRule>
    <cfRule type="cellIs" dxfId="3642" priority="3940" stopIfTrue="1" operator="equal">
      <formula>"Napkin Hs"</formula>
    </cfRule>
  </conditionalFormatting>
  <conditionalFormatting sqref="C101">
    <cfRule type="cellIs" dxfId="3641" priority="3941" stopIfTrue="1" operator="equal">
      <formula>"Towel"</formula>
    </cfRule>
    <cfRule type="cellIs" dxfId="3640" priority="3942" stopIfTrue="1" operator="equal">
      <formula>"Napkin Hs"</formula>
    </cfRule>
  </conditionalFormatting>
  <conditionalFormatting sqref="B101:C101">
    <cfRule type="cellIs" dxfId="3639" priority="3935" stopIfTrue="1" operator="equal">
      <formula>"Towel"</formula>
    </cfRule>
    <cfRule type="cellIs" dxfId="3638" priority="3936" stopIfTrue="1" operator="equal">
      <formula>"Napkin Hs"</formula>
    </cfRule>
  </conditionalFormatting>
  <conditionalFormatting sqref="C101">
    <cfRule type="cellIs" dxfId="3637" priority="3937" stopIfTrue="1" operator="equal">
      <formula>"Towel"</formula>
    </cfRule>
    <cfRule type="cellIs" dxfId="3636" priority="3938" stopIfTrue="1" operator="equal">
      <formula>"Napkin Hs"</formula>
    </cfRule>
  </conditionalFormatting>
  <conditionalFormatting sqref="C101">
    <cfRule type="cellIs" dxfId="3635" priority="3933" stopIfTrue="1" operator="equal">
      <formula>"Towel"</formula>
    </cfRule>
    <cfRule type="cellIs" dxfId="3634" priority="3934" stopIfTrue="1" operator="equal">
      <formula>"Napkin Hs"</formula>
    </cfRule>
  </conditionalFormatting>
  <conditionalFormatting sqref="B101:C101">
    <cfRule type="cellIs" dxfId="3633" priority="3931" stopIfTrue="1" operator="equal">
      <formula>"Towel"</formula>
    </cfRule>
    <cfRule type="cellIs" dxfId="3632" priority="3932" stopIfTrue="1" operator="equal">
      <formula>"Napkin Hs"</formula>
    </cfRule>
  </conditionalFormatting>
  <conditionalFormatting sqref="C101">
    <cfRule type="cellIs" dxfId="3631" priority="3927" stopIfTrue="1" operator="equal">
      <formula>"Towel"</formula>
    </cfRule>
    <cfRule type="cellIs" dxfId="3630" priority="3928" stopIfTrue="1" operator="equal">
      <formula>"Napkin Hs"</formula>
    </cfRule>
  </conditionalFormatting>
  <conditionalFormatting sqref="C101">
    <cfRule type="cellIs" dxfId="3629" priority="3929" stopIfTrue="1" operator="equal">
      <formula>"Towel"</formula>
    </cfRule>
    <cfRule type="cellIs" dxfId="3628" priority="3930" stopIfTrue="1" operator="equal">
      <formula>"Napkin Hs"</formula>
    </cfRule>
  </conditionalFormatting>
  <conditionalFormatting sqref="C100">
    <cfRule type="cellIs" dxfId="3627" priority="3923" stopIfTrue="1" operator="equal">
      <formula>"Towel"</formula>
    </cfRule>
    <cfRule type="cellIs" dxfId="3626" priority="3924" stopIfTrue="1" operator="equal">
      <formula>"Napkin Hs"</formula>
    </cfRule>
  </conditionalFormatting>
  <conditionalFormatting sqref="C100">
    <cfRule type="cellIs" dxfId="3625" priority="3925" stopIfTrue="1" operator="equal">
      <formula>"Towel"</formula>
    </cfRule>
    <cfRule type="cellIs" dxfId="3624" priority="3926" stopIfTrue="1" operator="equal">
      <formula>"Napkin Hs"</formula>
    </cfRule>
  </conditionalFormatting>
  <conditionalFormatting sqref="C100">
    <cfRule type="cellIs" dxfId="3623" priority="3919" stopIfTrue="1" operator="equal">
      <formula>"Towel"</formula>
    </cfRule>
    <cfRule type="cellIs" dxfId="3622" priority="3920" stopIfTrue="1" operator="equal">
      <formula>"Napkin Hs"</formula>
    </cfRule>
  </conditionalFormatting>
  <conditionalFormatting sqref="B100:C100">
    <cfRule type="cellIs" dxfId="3621" priority="3921" stopIfTrue="1" operator="equal">
      <formula>"Towel"</formula>
    </cfRule>
    <cfRule type="cellIs" dxfId="3620" priority="3922" stopIfTrue="1" operator="equal">
      <formula>"Napkin Hs"</formula>
    </cfRule>
  </conditionalFormatting>
  <conditionalFormatting sqref="C100">
    <cfRule type="cellIs" dxfId="3619" priority="3917" stopIfTrue="1" operator="equal">
      <formula>"Towel"</formula>
    </cfRule>
    <cfRule type="cellIs" dxfId="3618" priority="3918" stopIfTrue="1" operator="equal">
      <formula>"Napkin Hs"</formula>
    </cfRule>
  </conditionalFormatting>
  <conditionalFormatting sqref="B100:C100">
    <cfRule type="cellIs" dxfId="3617" priority="3915" stopIfTrue="1" operator="equal">
      <formula>"Towel"</formula>
    </cfRule>
    <cfRule type="cellIs" dxfId="3616" priority="3916" stopIfTrue="1" operator="equal">
      <formula>"Napkin Hs"</formula>
    </cfRule>
  </conditionalFormatting>
  <conditionalFormatting sqref="B100:C100">
    <cfRule type="cellIs" dxfId="3615" priority="3913" stopIfTrue="1" operator="equal">
      <formula>"Towel"</formula>
    </cfRule>
    <cfRule type="cellIs" dxfId="3614" priority="3914" stopIfTrue="1" operator="equal">
      <formula>"Napkin Hs"</formula>
    </cfRule>
  </conditionalFormatting>
  <conditionalFormatting sqref="C100">
    <cfRule type="cellIs" dxfId="3613" priority="3907" stopIfTrue="1" operator="equal">
      <formula>"Towel"</formula>
    </cfRule>
    <cfRule type="cellIs" dxfId="3612" priority="3908" stopIfTrue="1" operator="equal">
      <formula>"Napkin Hs"</formula>
    </cfRule>
  </conditionalFormatting>
  <conditionalFormatting sqref="C100">
    <cfRule type="cellIs" dxfId="3611" priority="3909" stopIfTrue="1" operator="equal">
      <formula>"Towel"</formula>
    </cfRule>
    <cfRule type="cellIs" dxfId="3610" priority="3910" stopIfTrue="1" operator="equal">
      <formula>"Napkin Hs"</formula>
    </cfRule>
  </conditionalFormatting>
  <conditionalFormatting sqref="C100">
    <cfRule type="cellIs" dxfId="3609" priority="3905" stopIfTrue="1" operator="equal">
      <formula>"Towel"</formula>
    </cfRule>
    <cfRule type="cellIs" dxfId="3608" priority="3906" stopIfTrue="1" operator="equal">
      <formula>"Napkin Hs"</formula>
    </cfRule>
  </conditionalFormatting>
  <conditionalFormatting sqref="C100">
    <cfRule type="cellIs" dxfId="3607" priority="3903" stopIfTrue="1" operator="equal">
      <formula>"Towel"</formula>
    </cfRule>
    <cfRule type="cellIs" dxfId="3606" priority="3904" stopIfTrue="1" operator="equal">
      <formula>"Napkin Hs"</formula>
    </cfRule>
  </conditionalFormatting>
  <conditionalFormatting sqref="C100">
    <cfRule type="cellIs" dxfId="3605" priority="3899" stopIfTrue="1" operator="equal">
      <formula>"Towel"</formula>
    </cfRule>
    <cfRule type="cellIs" dxfId="3604" priority="3900" stopIfTrue="1" operator="equal">
      <formula>"Napkin Hs"</formula>
    </cfRule>
  </conditionalFormatting>
  <conditionalFormatting sqref="C100">
    <cfRule type="cellIs" dxfId="3603" priority="3901" stopIfTrue="1" operator="equal">
      <formula>"Towel"</formula>
    </cfRule>
    <cfRule type="cellIs" dxfId="3602" priority="3902" stopIfTrue="1" operator="equal">
      <formula>"Napkin Hs"</formula>
    </cfRule>
  </conditionalFormatting>
  <conditionalFormatting sqref="C100">
    <cfRule type="cellIs" dxfId="3601" priority="3897" stopIfTrue="1" operator="equal">
      <formula>"Towel"</formula>
    </cfRule>
    <cfRule type="cellIs" dxfId="3600" priority="3898" stopIfTrue="1" operator="equal">
      <formula>"Napkin Hs"</formula>
    </cfRule>
  </conditionalFormatting>
  <conditionalFormatting sqref="C100">
    <cfRule type="cellIs" dxfId="3599" priority="3881" stopIfTrue="1" operator="equal">
      <formula>"Towel"</formula>
    </cfRule>
    <cfRule type="cellIs" dxfId="3598" priority="3882" stopIfTrue="1" operator="equal">
      <formula>"Napkin Hs"</formula>
    </cfRule>
  </conditionalFormatting>
  <conditionalFormatting sqref="B100">
    <cfRule type="cellIs" dxfId="3597" priority="3879" stopIfTrue="1" operator="equal">
      <formula>"Towel"</formula>
    </cfRule>
    <cfRule type="cellIs" dxfId="3596" priority="3880" stopIfTrue="1" operator="equal">
      <formula>"Napkin Hs"</formula>
    </cfRule>
  </conditionalFormatting>
  <conditionalFormatting sqref="B100">
    <cfRule type="cellIs" dxfId="3595" priority="3895" stopIfTrue="1" operator="equal">
      <formula>"Towel"</formula>
    </cfRule>
    <cfRule type="cellIs" dxfId="3594" priority="3896" stopIfTrue="1" operator="equal">
      <formula>"Napkin Hs"</formula>
    </cfRule>
  </conditionalFormatting>
  <conditionalFormatting sqref="C100">
    <cfRule type="cellIs" dxfId="3593" priority="3891" stopIfTrue="1" operator="equal">
      <formula>"Towel"</formula>
    </cfRule>
    <cfRule type="cellIs" dxfId="3592" priority="3892" stopIfTrue="1" operator="equal">
      <formula>"Napkin Hs"</formula>
    </cfRule>
  </conditionalFormatting>
  <conditionalFormatting sqref="B100">
    <cfRule type="cellIs" dxfId="3591" priority="3893" stopIfTrue="1" operator="equal">
      <formula>"Towel"</formula>
    </cfRule>
    <cfRule type="cellIs" dxfId="3590" priority="3894" stopIfTrue="1" operator="equal">
      <formula>"Napkin Hs"</formula>
    </cfRule>
  </conditionalFormatting>
  <conditionalFormatting sqref="C100">
    <cfRule type="cellIs" dxfId="3589" priority="3887" stopIfTrue="1" operator="equal">
      <formula>"Towel"</formula>
    </cfRule>
    <cfRule type="cellIs" dxfId="3588" priority="3888" stopIfTrue="1" operator="equal">
      <formula>"Napkin Hs"</formula>
    </cfRule>
  </conditionalFormatting>
  <conditionalFormatting sqref="C100">
    <cfRule type="cellIs" dxfId="3587" priority="3889" stopIfTrue="1" operator="equal">
      <formula>"Towel"</formula>
    </cfRule>
    <cfRule type="cellIs" dxfId="3586" priority="3890" stopIfTrue="1" operator="equal">
      <formula>"Napkin Hs"</formula>
    </cfRule>
  </conditionalFormatting>
  <conditionalFormatting sqref="C100">
    <cfRule type="cellIs" dxfId="3585" priority="3885" stopIfTrue="1" operator="equal">
      <formula>"Towel"</formula>
    </cfRule>
    <cfRule type="cellIs" dxfId="3584" priority="3886" stopIfTrue="1" operator="equal">
      <formula>"Napkin Hs"</formula>
    </cfRule>
  </conditionalFormatting>
  <conditionalFormatting sqref="C100">
    <cfRule type="cellIs" dxfId="3583" priority="3883" stopIfTrue="1" operator="equal">
      <formula>"Towel"</formula>
    </cfRule>
    <cfRule type="cellIs" dxfId="3582" priority="3884" stopIfTrue="1" operator="equal">
      <formula>"Napkin Hs"</formula>
    </cfRule>
  </conditionalFormatting>
  <conditionalFormatting sqref="B100">
    <cfRule type="cellIs" dxfId="3581" priority="3877" stopIfTrue="1" operator="equal">
      <formula>"Towel"</formula>
    </cfRule>
    <cfRule type="cellIs" dxfId="3580" priority="3878" stopIfTrue="1" operator="equal">
      <formula>"Napkin Hs"</formula>
    </cfRule>
  </conditionalFormatting>
  <conditionalFormatting sqref="B100:C100">
    <cfRule type="cellIs" dxfId="3579" priority="3875" stopIfTrue="1" operator="equal">
      <formula>"Towel"</formula>
    </cfRule>
    <cfRule type="cellIs" dxfId="3578" priority="3876" stopIfTrue="1" operator="equal">
      <formula>"Napkin Hs"</formula>
    </cfRule>
  </conditionalFormatting>
  <conditionalFormatting sqref="C100">
    <cfRule type="cellIs" dxfId="3577" priority="3873" stopIfTrue="1" operator="equal">
      <formula>"Towel"</formula>
    </cfRule>
    <cfRule type="cellIs" dxfId="3576" priority="3874" stopIfTrue="1" operator="equal">
      <formula>"Napkin Hs"</formula>
    </cfRule>
  </conditionalFormatting>
  <conditionalFormatting sqref="C100">
    <cfRule type="cellIs" dxfId="3575" priority="3871" stopIfTrue="1" operator="equal">
      <formula>"Towel"</formula>
    </cfRule>
    <cfRule type="cellIs" dxfId="3574" priority="3872" stopIfTrue="1" operator="equal">
      <formula>"Napkin Hs"</formula>
    </cfRule>
  </conditionalFormatting>
  <conditionalFormatting sqref="C100">
    <cfRule type="cellIs" dxfId="3573" priority="3861" stopIfTrue="1" operator="equal">
      <formula>"Towel"</formula>
    </cfRule>
    <cfRule type="cellIs" dxfId="3572" priority="3862" stopIfTrue="1" operator="equal">
      <formula>"Napkin Hs"</formula>
    </cfRule>
  </conditionalFormatting>
  <conditionalFormatting sqref="C100">
    <cfRule type="cellIs" dxfId="3571" priority="3863" stopIfTrue="1" operator="equal">
      <formula>"Towel"</formula>
    </cfRule>
    <cfRule type="cellIs" dxfId="3570" priority="3864" stopIfTrue="1" operator="equal">
      <formula>"Napkin Hs"</formula>
    </cfRule>
  </conditionalFormatting>
  <conditionalFormatting sqref="B100:C100">
    <cfRule type="cellIs" dxfId="3569" priority="3859" stopIfTrue="1" operator="equal">
      <formula>"Towel"</formula>
    </cfRule>
    <cfRule type="cellIs" dxfId="3568" priority="3860" stopIfTrue="1" operator="equal">
      <formula>"Napkin Hs"</formula>
    </cfRule>
  </conditionalFormatting>
  <conditionalFormatting sqref="C100">
    <cfRule type="cellIs" dxfId="3567" priority="3857" stopIfTrue="1" operator="equal">
      <formula>"Towel"</formula>
    </cfRule>
    <cfRule type="cellIs" dxfId="3566" priority="3858" stopIfTrue="1" operator="equal">
      <formula>"Napkin Hs"</formula>
    </cfRule>
  </conditionalFormatting>
  <conditionalFormatting sqref="B100:C100">
    <cfRule type="cellIs" dxfId="3565" priority="3853" stopIfTrue="1" operator="equal">
      <formula>"Towel"</formula>
    </cfRule>
    <cfRule type="cellIs" dxfId="3564" priority="3854" stopIfTrue="1" operator="equal">
      <formula>"Napkin Hs"</formula>
    </cfRule>
  </conditionalFormatting>
  <conditionalFormatting sqref="C100">
    <cfRule type="cellIs" dxfId="3563" priority="3855" stopIfTrue="1" operator="equal">
      <formula>"Towel"</formula>
    </cfRule>
    <cfRule type="cellIs" dxfId="3562" priority="3856" stopIfTrue="1" operator="equal">
      <formula>"Napkin Hs"</formula>
    </cfRule>
  </conditionalFormatting>
  <conditionalFormatting sqref="C100">
    <cfRule type="cellIs" dxfId="3561" priority="3912" stopIfTrue="1" operator="equal">
      <formula>"Napkin Hs"</formula>
    </cfRule>
  </conditionalFormatting>
  <conditionalFormatting sqref="C100">
    <cfRule type="cellIs" dxfId="3560" priority="3911" stopIfTrue="1" operator="equal">
      <formula>"Towel"</formula>
    </cfRule>
  </conditionalFormatting>
  <conditionalFormatting sqref="B100:C100">
    <cfRule type="cellIs" dxfId="3559" priority="3869" stopIfTrue="1" operator="equal">
      <formula>"Towel"</formula>
    </cfRule>
    <cfRule type="cellIs" dxfId="3558" priority="3870" stopIfTrue="1" operator="equal">
      <formula>"Napkin Hs"</formula>
    </cfRule>
  </conditionalFormatting>
  <conditionalFormatting sqref="C100">
    <cfRule type="cellIs" dxfId="3557" priority="3867" stopIfTrue="1" operator="equal">
      <formula>"Towel"</formula>
    </cfRule>
    <cfRule type="cellIs" dxfId="3556" priority="3868" stopIfTrue="1" operator="equal">
      <formula>"Napkin Hs"</formula>
    </cfRule>
  </conditionalFormatting>
  <conditionalFormatting sqref="C100">
    <cfRule type="cellIs" dxfId="3555" priority="3865" stopIfTrue="1" operator="equal">
      <formula>"Towel"</formula>
    </cfRule>
    <cfRule type="cellIs" dxfId="3554" priority="3866" stopIfTrue="1" operator="equal">
      <formula>"Napkin Hs"</formula>
    </cfRule>
  </conditionalFormatting>
  <conditionalFormatting sqref="B100:C100">
    <cfRule type="cellIs" dxfId="3553" priority="3849" stopIfTrue="1" operator="equal">
      <formula>"Towel"</formula>
    </cfRule>
    <cfRule type="cellIs" dxfId="3552" priority="3850" stopIfTrue="1" operator="equal">
      <formula>"Napkin Hs"</formula>
    </cfRule>
  </conditionalFormatting>
  <conditionalFormatting sqref="C100">
    <cfRule type="cellIs" dxfId="3551" priority="3851" stopIfTrue="1" operator="equal">
      <formula>"Towel"</formula>
    </cfRule>
    <cfRule type="cellIs" dxfId="3550" priority="3852" stopIfTrue="1" operator="equal">
      <formula>"Napkin Hs"</formula>
    </cfRule>
  </conditionalFormatting>
  <conditionalFormatting sqref="C100">
    <cfRule type="cellIs" dxfId="3549" priority="3847" stopIfTrue="1" operator="equal">
      <formula>"Towel"</formula>
    </cfRule>
    <cfRule type="cellIs" dxfId="3548" priority="3848" stopIfTrue="1" operator="equal">
      <formula>"Napkin Hs"</formula>
    </cfRule>
  </conditionalFormatting>
  <conditionalFormatting sqref="B100:C100">
    <cfRule type="cellIs" dxfId="3547" priority="3845" stopIfTrue="1" operator="equal">
      <formula>"Towel"</formula>
    </cfRule>
    <cfRule type="cellIs" dxfId="3546" priority="3846" stopIfTrue="1" operator="equal">
      <formula>"Napkin Hs"</formula>
    </cfRule>
  </conditionalFormatting>
  <conditionalFormatting sqref="C100">
    <cfRule type="cellIs" dxfId="3545" priority="3841" stopIfTrue="1" operator="equal">
      <formula>"Towel"</formula>
    </cfRule>
    <cfRule type="cellIs" dxfId="3544" priority="3842" stopIfTrue="1" operator="equal">
      <formula>"Napkin Hs"</formula>
    </cfRule>
  </conditionalFormatting>
  <conditionalFormatting sqref="C100">
    <cfRule type="cellIs" dxfId="3543" priority="3843" stopIfTrue="1" operator="equal">
      <formula>"Towel"</formula>
    </cfRule>
    <cfRule type="cellIs" dxfId="3542" priority="3844" stopIfTrue="1" operator="equal">
      <formula>"Napkin Hs"</formula>
    </cfRule>
  </conditionalFormatting>
  <conditionalFormatting sqref="B100:C100">
    <cfRule type="cellIs" dxfId="3541" priority="3837" stopIfTrue="1" operator="equal">
      <formula>"Towel"</formula>
    </cfRule>
    <cfRule type="cellIs" dxfId="3540" priority="3838" stopIfTrue="1" operator="equal">
      <formula>"Napkin Hs"</formula>
    </cfRule>
  </conditionalFormatting>
  <conditionalFormatting sqref="C100">
    <cfRule type="cellIs" dxfId="3539" priority="3839" stopIfTrue="1" operator="equal">
      <formula>"Towel"</formula>
    </cfRule>
    <cfRule type="cellIs" dxfId="3538" priority="3840" stopIfTrue="1" operator="equal">
      <formula>"Napkin Hs"</formula>
    </cfRule>
  </conditionalFormatting>
  <conditionalFormatting sqref="C100">
    <cfRule type="cellIs" dxfId="3537" priority="3835" stopIfTrue="1" operator="equal">
      <formula>"Towel"</formula>
    </cfRule>
    <cfRule type="cellIs" dxfId="3536" priority="3836" stopIfTrue="1" operator="equal">
      <formula>"Napkin Hs"</formula>
    </cfRule>
  </conditionalFormatting>
  <conditionalFormatting sqref="B100:C100">
    <cfRule type="cellIs" dxfId="3535" priority="3833" stopIfTrue="1" operator="equal">
      <formula>"Towel"</formula>
    </cfRule>
    <cfRule type="cellIs" dxfId="3534" priority="3834" stopIfTrue="1" operator="equal">
      <formula>"Napkin Hs"</formula>
    </cfRule>
  </conditionalFormatting>
  <conditionalFormatting sqref="C100">
    <cfRule type="cellIs" dxfId="3533" priority="3829" stopIfTrue="1" operator="equal">
      <formula>"Towel"</formula>
    </cfRule>
    <cfRule type="cellIs" dxfId="3532" priority="3830" stopIfTrue="1" operator="equal">
      <formula>"Napkin Hs"</formula>
    </cfRule>
  </conditionalFormatting>
  <conditionalFormatting sqref="C100">
    <cfRule type="cellIs" dxfId="3531" priority="3831" stopIfTrue="1" operator="equal">
      <formula>"Towel"</formula>
    </cfRule>
    <cfRule type="cellIs" dxfId="3530" priority="3832" stopIfTrue="1" operator="equal">
      <formula>"Napkin Hs"</formula>
    </cfRule>
  </conditionalFormatting>
  <conditionalFormatting sqref="B107:C107">
    <cfRule type="cellIs" dxfId="3529" priority="3821" stopIfTrue="1" operator="equal">
      <formula>"Towel"</formula>
    </cfRule>
    <cfRule type="cellIs" dxfId="3528" priority="3822" stopIfTrue="1" operator="equal">
      <formula>"Napkin Hs"</formula>
    </cfRule>
  </conditionalFormatting>
  <conditionalFormatting sqref="C107">
    <cfRule type="cellIs" dxfId="3527" priority="3817" stopIfTrue="1" operator="equal">
      <formula>"Towel"</formula>
    </cfRule>
    <cfRule type="cellIs" dxfId="3526" priority="3818" stopIfTrue="1" operator="equal">
      <formula>"Napkin Hs"</formula>
    </cfRule>
  </conditionalFormatting>
  <conditionalFormatting sqref="C107">
    <cfRule type="cellIs" dxfId="3525" priority="3819" stopIfTrue="1" operator="equal">
      <formula>"Towel"</formula>
    </cfRule>
    <cfRule type="cellIs" dxfId="3524" priority="3820" stopIfTrue="1" operator="equal">
      <formula>"Napkin Hs"</formula>
    </cfRule>
  </conditionalFormatting>
  <conditionalFormatting sqref="C104">
    <cfRule type="cellIs" dxfId="3523" priority="3809" stopIfTrue="1" operator="equal">
      <formula>"Towel"</formula>
    </cfRule>
    <cfRule type="cellIs" dxfId="3522" priority="3810" stopIfTrue="1" operator="equal">
      <formula>"Napkin Hs"</formula>
    </cfRule>
  </conditionalFormatting>
  <conditionalFormatting sqref="C104">
    <cfRule type="cellIs" dxfId="3521" priority="3807" stopIfTrue="1" operator="equal">
      <formula>"Towel"</formula>
    </cfRule>
    <cfRule type="cellIs" dxfId="3520" priority="3808" stopIfTrue="1" operator="equal">
      <formula>"Napkin Hs"</formula>
    </cfRule>
  </conditionalFormatting>
  <conditionalFormatting sqref="B104:C104">
    <cfRule type="cellIs" dxfId="3519" priority="3805" stopIfTrue="1" operator="equal">
      <formula>"Towel"</formula>
    </cfRule>
    <cfRule type="cellIs" dxfId="3518" priority="3806" stopIfTrue="1" operator="equal">
      <formula>"Napkin Hs"</formula>
    </cfRule>
  </conditionalFormatting>
  <conditionalFormatting sqref="B104:C104">
    <cfRule type="cellIs" dxfId="3517" priority="3815" stopIfTrue="1" operator="equal">
      <formula>"Towel"</formula>
    </cfRule>
    <cfRule type="cellIs" dxfId="3516" priority="3816" stopIfTrue="1" operator="equal">
      <formula>"Napkin Hs"</formula>
    </cfRule>
  </conditionalFormatting>
  <conditionalFormatting sqref="C104">
    <cfRule type="cellIs" dxfId="3515" priority="3813" stopIfTrue="1" operator="equal">
      <formula>"Towel"</formula>
    </cfRule>
    <cfRule type="cellIs" dxfId="3514" priority="3814" stopIfTrue="1" operator="equal">
      <formula>"Napkin Hs"</formula>
    </cfRule>
  </conditionalFormatting>
  <conditionalFormatting sqref="C104">
    <cfRule type="cellIs" dxfId="3513" priority="3811" stopIfTrue="1" operator="equal">
      <formula>"Towel"</formula>
    </cfRule>
    <cfRule type="cellIs" dxfId="3512" priority="3812" stopIfTrue="1" operator="equal">
      <formula>"Napkin Hs"</formula>
    </cfRule>
  </conditionalFormatting>
  <conditionalFormatting sqref="C104">
    <cfRule type="cellIs" dxfId="3511" priority="3803" stopIfTrue="1" operator="equal">
      <formula>"Towel"</formula>
    </cfRule>
    <cfRule type="cellIs" dxfId="3510" priority="3804" stopIfTrue="1" operator="equal">
      <formula>"Napkin Hs"</formula>
    </cfRule>
  </conditionalFormatting>
  <conditionalFormatting sqref="C104">
    <cfRule type="cellIs" dxfId="3509" priority="3801" stopIfTrue="1" operator="equal">
      <formula>"Towel"</formula>
    </cfRule>
    <cfRule type="cellIs" dxfId="3508" priority="3802" stopIfTrue="1" operator="equal">
      <formula>"Napkin Hs"</formula>
    </cfRule>
  </conditionalFormatting>
  <conditionalFormatting sqref="B104:C104">
    <cfRule type="cellIs" dxfId="3507" priority="3799" stopIfTrue="1" operator="equal">
      <formula>"Towel"</formula>
    </cfRule>
    <cfRule type="cellIs" dxfId="3506" priority="3800" stopIfTrue="1" operator="equal">
      <formula>"Napkin Hs"</formula>
    </cfRule>
  </conditionalFormatting>
  <conditionalFormatting sqref="B105:C105">
    <cfRule type="cellIs" dxfId="3505" priority="3797" stopIfTrue="1" operator="equal">
      <formula>"Towel"</formula>
    </cfRule>
    <cfRule type="cellIs" dxfId="3504" priority="3798" stopIfTrue="1" operator="equal">
      <formula>"Napkin Hs"</formula>
    </cfRule>
  </conditionalFormatting>
  <conditionalFormatting sqref="C105">
    <cfRule type="cellIs" dxfId="3503" priority="3795" stopIfTrue="1" operator="equal">
      <formula>"Towel"</formula>
    </cfRule>
    <cfRule type="cellIs" dxfId="3502" priority="3796" stopIfTrue="1" operator="equal">
      <formula>"Napkin Hs"</formula>
    </cfRule>
  </conditionalFormatting>
  <conditionalFormatting sqref="C105">
    <cfRule type="cellIs" dxfId="3501" priority="3793" stopIfTrue="1" operator="equal">
      <formula>"Towel"</formula>
    </cfRule>
    <cfRule type="cellIs" dxfId="3500" priority="3794" stopIfTrue="1" operator="equal">
      <formula>"Napkin Hs"</formula>
    </cfRule>
  </conditionalFormatting>
  <conditionalFormatting sqref="C105">
    <cfRule type="cellIs" dxfId="3499" priority="3785" stopIfTrue="1" operator="equal">
      <formula>"Towel"</formula>
    </cfRule>
    <cfRule type="cellIs" dxfId="3498" priority="3786" stopIfTrue="1" operator="equal">
      <formula>"Napkin Hs"</formula>
    </cfRule>
  </conditionalFormatting>
  <conditionalFormatting sqref="B105:C105">
    <cfRule type="cellIs" dxfId="3497" priority="3787" stopIfTrue="1" operator="equal">
      <formula>"Towel"</formula>
    </cfRule>
    <cfRule type="cellIs" dxfId="3496" priority="3788" stopIfTrue="1" operator="equal">
      <formula>"Napkin Hs"</formula>
    </cfRule>
  </conditionalFormatting>
  <conditionalFormatting sqref="C105">
    <cfRule type="cellIs" dxfId="3495" priority="3783" stopIfTrue="1" operator="equal">
      <formula>"Towel"</formula>
    </cfRule>
    <cfRule type="cellIs" dxfId="3494" priority="3784" stopIfTrue="1" operator="equal">
      <formula>"Napkin Hs"</formula>
    </cfRule>
  </conditionalFormatting>
  <conditionalFormatting sqref="B105:C105">
    <cfRule type="cellIs" dxfId="3493" priority="3781" stopIfTrue="1" operator="equal">
      <formula>"Towel"</formula>
    </cfRule>
    <cfRule type="cellIs" dxfId="3492" priority="3782" stopIfTrue="1" operator="equal">
      <formula>"Napkin Hs"</formula>
    </cfRule>
  </conditionalFormatting>
  <conditionalFormatting sqref="C105">
    <cfRule type="cellIs" dxfId="3491" priority="3789" stopIfTrue="1" operator="equal">
      <formula>"Towel"</formula>
    </cfRule>
    <cfRule type="cellIs" dxfId="3490" priority="3790" stopIfTrue="1" operator="equal">
      <formula>"Napkin Hs"</formula>
    </cfRule>
  </conditionalFormatting>
  <conditionalFormatting sqref="C105">
    <cfRule type="cellIs" dxfId="3489" priority="3791" stopIfTrue="1" operator="equal">
      <formula>"Towel"</formula>
    </cfRule>
    <cfRule type="cellIs" dxfId="3488" priority="3792" stopIfTrue="1" operator="equal">
      <formula>"Napkin Hs"</formula>
    </cfRule>
  </conditionalFormatting>
  <conditionalFormatting sqref="B106:C106">
    <cfRule type="cellIs" dxfId="3487" priority="3779" stopIfTrue="1" operator="equal">
      <formula>"Towel"</formula>
    </cfRule>
    <cfRule type="cellIs" dxfId="3486" priority="3780" stopIfTrue="1" operator="equal">
      <formula>"Napkin Hs"</formula>
    </cfRule>
  </conditionalFormatting>
  <conditionalFormatting sqref="C106">
    <cfRule type="cellIs" dxfId="3485" priority="3777" stopIfTrue="1" operator="equal">
      <formula>"Towel"</formula>
    </cfRule>
    <cfRule type="cellIs" dxfId="3484" priority="3778" stopIfTrue="1" operator="equal">
      <formula>"Napkin Hs"</formula>
    </cfRule>
  </conditionalFormatting>
  <conditionalFormatting sqref="C106">
    <cfRule type="cellIs" dxfId="3483" priority="3775" stopIfTrue="1" operator="equal">
      <formula>"Towel"</formula>
    </cfRule>
    <cfRule type="cellIs" dxfId="3482" priority="3776" stopIfTrue="1" operator="equal">
      <formula>"Napkin Hs"</formula>
    </cfRule>
  </conditionalFormatting>
  <conditionalFormatting sqref="C106">
    <cfRule type="cellIs" dxfId="3481" priority="3767" stopIfTrue="1" operator="equal">
      <formula>"Towel"</formula>
    </cfRule>
    <cfRule type="cellIs" dxfId="3480" priority="3768" stopIfTrue="1" operator="equal">
      <formula>"Napkin Hs"</formula>
    </cfRule>
  </conditionalFormatting>
  <conditionalFormatting sqref="B106:C106">
    <cfRule type="cellIs" dxfId="3479" priority="3769" stopIfTrue="1" operator="equal">
      <formula>"Towel"</formula>
    </cfRule>
    <cfRule type="cellIs" dxfId="3478" priority="3770" stopIfTrue="1" operator="equal">
      <formula>"Napkin Hs"</formula>
    </cfRule>
  </conditionalFormatting>
  <conditionalFormatting sqref="C106">
    <cfRule type="cellIs" dxfId="3477" priority="3765" stopIfTrue="1" operator="equal">
      <formula>"Towel"</formula>
    </cfRule>
    <cfRule type="cellIs" dxfId="3476" priority="3766" stopIfTrue="1" operator="equal">
      <formula>"Napkin Hs"</formula>
    </cfRule>
  </conditionalFormatting>
  <conditionalFormatting sqref="B106:C106">
    <cfRule type="cellIs" dxfId="3475" priority="3763" stopIfTrue="1" operator="equal">
      <formula>"Towel"</formula>
    </cfRule>
    <cfRule type="cellIs" dxfId="3474" priority="3764" stopIfTrue="1" operator="equal">
      <formula>"Napkin Hs"</formula>
    </cfRule>
  </conditionalFormatting>
  <conditionalFormatting sqref="C106">
    <cfRule type="cellIs" dxfId="3473" priority="3771" stopIfTrue="1" operator="equal">
      <formula>"Towel"</formula>
    </cfRule>
    <cfRule type="cellIs" dxfId="3472" priority="3772" stopIfTrue="1" operator="equal">
      <formula>"Napkin Hs"</formula>
    </cfRule>
  </conditionalFormatting>
  <conditionalFormatting sqref="C106">
    <cfRule type="cellIs" dxfId="3471" priority="3773" stopIfTrue="1" operator="equal">
      <formula>"Towel"</formula>
    </cfRule>
    <cfRule type="cellIs" dxfId="3470" priority="3774" stopIfTrue="1" operator="equal">
      <formula>"Napkin Hs"</formula>
    </cfRule>
  </conditionalFormatting>
  <conditionalFormatting sqref="B104:C104">
    <cfRule type="cellIs" dxfId="3469" priority="3759" stopIfTrue="1" operator="equal">
      <formula>"Towel"</formula>
    </cfRule>
    <cfRule type="cellIs" dxfId="3468" priority="3760" stopIfTrue="1" operator="equal">
      <formula>"Napkin Hs"</formula>
    </cfRule>
  </conditionalFormatting>
  <conditionalFormatting sqref="C104">
    <cfRule type="cellIs" dxfId="3467" priority="3761" stopIfTrue="1" operator="equal">
      <formula>"Towel"</formula>
    </cfRule>
    <cfRule type="cellIs" dxfId="3466" priority="3762" stopIfTrue="1" operator="equal">
      <formula>"Napkin Hs"</formula>
    </cfRule>
  </conditionalFormatting>
  <conditionalFormatting sqref="C104">
    <cfRule type="cellIs" dxfId="3465" priority="3757" stopIfTrue="1" operator="equal">
      <formula>"Towel"</formula>
    </cfRule>
    <cfRule type="cellIs" dxfId="3464" priority="3758" stopIfTrue="1" operator="equal">
      <formula>"Napkin Hs"</formula>
    </cfRule>
  </conditionalFormatting>
  <conditionalFormatting sqref="C105">
    <cfRule type="cellIs" dxfId="3463" priority="3743" stopIfTrue="1" operator="equal">
      <formula>"Towel"</formula>
    </cfRule>
    <cfRule type="cellIs" dxfId="3462" priority="3744" stopIfTrue="1" operator="equal">
      <formula>"Napkin Hs"</formula>
    </cfRule>
  </conditionalFormatting>
  <conditionalFormatting sqref="C105">
    <cfRule type="cellIs" dxfId="3461" priority="3741" stopIfTrue="1" operator="equal">
      <formula>"Towel"</formula>
    </cfRule>
    <cfRule type="cellIs" dxfId="3460" priority="3742" stopIfTrue="1" operator="equal">
      <formula>"Napkin Hs"</formula>
    </cfRule>
  </conditionalFormatting>
  <conditionalFormatting sqref="B105:C105">
    <cfRule type="cellIs" dxfId="3459" priority="3739" stopIfTrue="1" operator="equal">
      <formula>"Towel"</formula>
    </cfRule>
    <cfRule type="cellIs" dxfId="3458" priority="3740" stopIfTrue="1" operator="equal">
      <formula>"Napkin Hs"</formula>
    </cfRule>
  </conditionalFormatting>
  <conditionalFormatting sqref="B105:C105">
    <cfRule type="cellIs" dxfId="3457" priority="3749" stopIfTrue="1" operator="equal">
      <formula>"Towel"</formula>
    </cfRule>
    <cfRule type="cellIs" dxfId="3456" priority="3750" stopIfTrue="1" operator="equal">
      <formula>"Napkin Hs"</formula>
    </cfRule>
  </conditionalFormatting>
  <conditionalFormatting sqref="C105">
    <cfRule type="cellIs" dxfId="3455" priority="3747" stopIfTrue="1" operator="equal">
      <formula>"Towel"</formula>
    </cfRule>
    <cfRule type="cellIs" dxfId="3454" priority="3748" stopIfTrue="1" operator="equal">
      <formula>"Napkin Hs"</formula>
    </cfRule>
  </conditionalFormatting>
  <conditionalFormatting sqref="C105">
    <cfRule type="cellIs" dxfId="3453" priority="3745" stopIfTrue="1" operator="equal">
      <formula>"Towel"</formula>
    </cfRule>
    <cfRule type="cellIs" dxfId="3452" priority="3746" stopIfTrue="1" operator="equal">
      <formula>"Napkin Hs"</formula>
    </cfRule>
  </conditionalFormatting>
  <conditionalFormatting sqref="C105">
    <cfRule type="cellIs" dxfId="3451" priority="3737" stopIfTrue="1" operator="equal">
      <formula>"Towel"</formula>
    </cfRule>
    <cfRule type="cellIs" dxfId="3450" priority="3738" stopIfTrue="1" operator="equal">
      <formula>"Napkin Hs"</formula>
    </cfRule>
  </conditionalFormatting>
  <conditionalFormatting sqref="C105">
    <cfRule type="cellIs" dxfId="3449" priority="3735" stopIfTrue="1" operator="equal">
      <formula>"Towel"</formula>
    </cfRule>
    <cfRule type="cellIs" dxfId="3448" priority="3736" stopIfTrue="1" operator="equal">
      <formula>"Napkin Hs"</formula>
    </cfRule>
  </conditionalFormatting>
  <conditionalFormatting sqref="B105:C105">
    <cfRule type="cellIs" dxfId="3447" priority="3733" stopIfTrue="1" operator="equal">
      <formula>"Towel"</formula>
    </cfRule>
    <cfRule type="cellIs" dxfId="3446" priority="3734" stopIfTrue="1" operator="equal">
      <formula>"Napkin Hs"</formula>
    </cfRule>
  </conditionalFormatting>
  <conditionalFormatting sqref="B106:C106">
    <cfRule type="cellIs" dxfId="3445" priority="3731" stopIfTrue="1" operator="equal">
      <formula>"Towel"</formula>
    </cfRule>
    <cfRule type="cellIs" dxfId="3444" priority="3732" stopIfTrue="1" operator="equal">
      <formula>"Napkin Hs"</formula>
    </cfRule>
  </conditionalFormatting>
  <conditionalFormatting sqref="C106">
    <cfRule type="cellIs" dxfId="3443" priority="3729" stopIfTrue="1" operator="equal">
      <formula>"Towel"</formula>
    </cfRule>
    <cfRule type="cellIs" dxfId="3442" priority="3730" stopIfTrue="1" operator="equal">
      <formula>"Napkin Hs"</formula>
    </cfRule>
  </conditionalFormatting>
  <conditionalFormatting sqref="C106">
    <cfRule type="cellIs" dxfId="3441" priority="3727" stopIfTrue="1" operator="equal">
      <formula>"Towel"</formula>
    </cfRule>
    <cfRule type="cellIs" dxfId="3440" priority="3728" stopIfTrue="1" operator="equal">
      <formula>"Napkin Hs"</formula>
    </cfRule>
  </conditionalFormatting>
  <conditionalFormatting sqref="C106">
    <cfRule type="cellIs" dxfId="3439" priority="3719" stopIfTrue="1" operator="equal">
      <formula>"Towel"</formula>
    </cfRule>
    <cfRule type="cellIs" dxfId="3438" priority="3720" stopIfTrue="1" operator="equal">
      <formula>"Napkin Hs"</formula>
    </cfRule>
  </conditionalFormatting>
  <conditionalFormatting sqref="B106:C106">
    <cfRule type="cellIs" dxfId="3437" priority="3721" stopIfTrue="1" operator="equal">
      <formula>"Towel"</formula>
    </cfRule>
    <cfRule type="cellIs" dxfId="3436" priority="3722" stopIfTrue="1" operator="equal">
      <formula>"Napkin Hs"</formula>
    </cfRule>
  </conditionalFormatting>
  <conditionalFormatting sqref="C106">
    <cfRule type="cellIs" dxfId="3435" priority="3717" stopIfTrue="1" operator="equal">
      <formula>"Towel"</formula>
    </cfRule>
    <cfRule type="cellIs" dxfId="3434" priority="3718" stopIfTrue="1" operator="equal">
      <formula>"Napkin Hs"</formula>
    </cfRule>
  </conditionalFormatting>
  <conditionalFormatting sqref="B106:C106">
    <cfRule type="cellIs" dxfId="3433" priority="3715" stopIfTrue="1" operator="equal">
      <formula>"Towel"</formula>
    </cfRule>
    <cfRule type="cellIs" dxfId="3432" priority="3716" stopIfTrue="1" operator="equal">
      <formula>"Napkin Hs"</formula>
    </cfRule>
  </conditionalFormatting>
  <conditionalFormatting sqref="C106">
    <cfRule type="cellIs" dxfId="3431" priority="3723" stopIfTrue="1" operator="equal">
      <formula>"Towel"</formula>
    </cfRule>
    <cfRule type="cellIs" dxfId="3430" priority="3724" stopIfTrue="1" operator="equal">
      <formula>"Napkin Hs"</formula>
    </cfRule>
  </conditionalFormatting>
  <conditionalFormatting sqref="C106">
    <cfRule type="cellIs" dxfId="3429" priority="3725" stopIfTrue="1" operator="equal">
      <formula>"Towel"</formula>
    </cfRule>
    <cfRule type="cellIs" dxfId="3428" priority="3726" stopIfTrue="1" operator="equal">
      <formula>"Napkin Hs"</formula>
    </cfRule>
  </conditionalFormatting>
  <conditionalFormatting sqref="B107:C107">
    <cfRule type="cellIs" dxfId="3427" priority="3713" stopIfTrue="1" operator="equal">
      <formula>"Towel"</formula>
    </cfRule>
    <cfRule type="cellIs" dxfId="3426" priority="3714" stopIfTrue="1" operator="equal">
      <formula>"Napkin Hs"</formula>
    </cfRule>
  </conditionalFormatting>
  <conditionalFormatting sqref="C107">
    <cfRule type="cellIs" dxfId="3425" priority="3711" stopIfTrue="1" operator="equal">
      <formula>"Towel"</formula>
    </cfRule>
    <cfRule type="cellIs" dxfId="3424" priority="3712" stopIfTrue="1" operator="equal">
      <formula>"Napkin Hs"</formula>
    </cfRule>
  </conditionalFormatting>
  <conditionalFormatting sqref="C107">
    <cfRule type="cellIs" dxfId="3423" priority="3709" stopIfTrue="1" operator="equal">
      <formula>"Towel"</formula>
    </cfRule>
    <cfRule type="cellIs" dxfId="3422" priority="3710" stopIfTrue="1" operator="equal">
      <formula>"Napkin Hs"</formula>
    </cfRule>
  </conditionalFormatting>
  <conditionalFormatting sqref="C107">
    <cfRule type="cellIs" dxfId="3421" priority="3701" stopIfTrue="1" operator="equal">
      <formula>"Towel"</formula>
    </cfRule>
    <cfRule type="cellIs" dxfId="3420" priority="3702" stopIfTrue="1" operator="equal">
      <formula>"Napkin Hs"</formula>
    </cfRule>
  </conditionalFormatting>
  <conditionalFormatting sqref="B107:C107">
    <cfRule type="cellIs" dxfId="3419" priority="3703" stopIfTrue="1" operator="equal">
      <formula>"Towel"</formula>
    </cfRule>
    <cfRule type="cellIs" dxfId="3418" priority="3704" stopIfTrue="1" operator="equal">
      <formula>"Napkin Hs"</formula>
    </cfRule>
  </conditionalFormatting>
  <conditionalFormatting sqref="C107">
    <cfRule type="cellIs" dxfId="3417" priority="3699" stopIfTrue="1" operator="equal">
      <formula>"Towel"</formula>
    </cfRule>
    <cfRule type="cellIs" dxfId="3416" priority="3700" stopIfTrue="1" operator="equal">
      <formula>"Napkin Hs"</formula>
    </cfRule>
  </conditionalFormatting>
  <conditionalFormatting sqref="B107:C107">
    <cfRule type="cellIs" dxfId="3415" priority="3697" stopIfTrue="1" operator="equal">
      <formula>"Towel"</formula>
    </cfRule>
    <cfRule type="cellIs" dxfId="3414" priority="3698" stopIfTrue="1" operator="equal">
      <formula>"Napkin Hs"</formula>
    </cfRule>
  </conditionalFormatting>
  <conditionalFormatting sqref="C107">
    <cfRule type="cellIs" dxfId="3413" priority="3705" stopIfTrue="1" operator="equal">
      <formula>"Towel"</formula>
    </cfRule>
    <cfRule type="cellIs" dxfId="3412" priority="3706" stopIfTrue="1" operator="equal">
      <formula>"Napkin Hs"</formula>
    </cfRule>
  </conditionalFormatting>
  <conditionalFormatting sqref="C107">
    <cfRule type="cellIs" dxfId="3411" priority="3707" stopIfTrue="1" operator="equal">
      <formula>"Towel"</formula>
    </cfRule>
    <cfRule type="cellIs" dxfId="3410" priority="3708" stopIfTrue="1" operator="equal">
      <formula>"Napkin Hs"</formula>
    </cfRule>
  </conditionalFormatting>
  <conditionalFormatting sqref="B107:C107">
    <cfRule type="cellIs" dxfId="3409" priority="3609" stopIfTrue="1" operator="equal">
      <formula>"Towel"</formula>
    </cfRule>
    <cfRule type="cellIs" dxfId="3408" priority="3610" stopIfTrue="1" operator="equal">
      <formula>"Napkin Hs"</formula>
    </cfRule>
  </conditionalFormatting>
  <conditionalFormatting sqref="C107">
    <cfRule type="cellIs" dxfId="3407" priority="3611" stopIfTrue="1" operator="equal">
      <formula>"Towel"</formula>
    </cfRule>
    <cfRule type="cellIs" dxfId="3406" priority="3612" stopIfTrue="1" operator="equal">
      <formula>"Napkin Hs"</formula>
    </cfRule>
  </conditionalFormatting>
  <conditionalFormatting sqref="C107">
    <cfRule type="cellIs" dxfId="3405" priority="3607" stopIfTrue="1" operator="equal">
      <formula>"Towel"</formula>
    </cfRule>
    <cfRule type="cellIs" dxfId="3404" priority="3608" stopIfTrue="1" operator="equal">
      <formula>"Napkin Hs"</formula>
    </cfRule>
  </conditionalFormatting>
  <conditionalFormatting sqref="C106">
    <cfRule type="cellIs" dxfId="3403" priority="3603" stopIfTrue="1" operator="equal">
      <formula>"Towel"</formula>
    </cfRule>
    <cfRule type="cellIs" dxfId="3402" priority="3604" stopIfTrue="1" operator="equal">
      <formula>"Napkin Hs"</formula>
    </cfRule>
  </conditionalFormatting>
  <conditionalFormatting sqref="C106">
    <cfRule type="cellIs" dxfId="3401" priority="3605" stopIfTrue="1" operator="equal">
      <formula>"Towel"</formula>
    </cfRule>
    <cfRule type="cellIs" dxfId="3400" priority="3606" stopIfTrue="1" operator="equal">
      <formula>"Napkin Hs"</formula>
    </cfRule>
  </conditionalFormatting>
  <conditionalFormatting sqref="B106:C106">
    <cfRule type="cellIs" dxfId="3399" priority="3601" stopIfTrue="1" operator="equal">
      <formula>"Towel"</formula>
    </cfRule>
    <cfRule type="cellIs" dxfId="3398" priority="3602" stopIfTrue="1" operator="equal">
      <formula>"Napkin Hs"</formula>
    </cfRule>
  </conditionalFormatting>
  <conditionalFormatting sqref="B106:C106">
    <cfRule type="cellIs" dxfId="3397" priority="3595" stopIfTrue="1" operator="equal">
      <formula>"Towel"</formula>
    </cfRule>
    <cfRule type="cellIs" dxfId="3396" priority="3596" stopIfTrue="1" operator="equal">
      <formula>"Napkin Hs"</formula>
    </cfRule>
  </conditionalFormatting>
  <conditionalFormatting sqref="C106">
    <cfRule type="cellIs" dxfId="3395" priority="3597" stopIfTrue="1" operator="equal">
      <formula>"Towel"</formula>
    </cfRule>
    <cfRule type="cellIs" dxfId="3394" priority="3598" stopIfTrue="1" operator="equal">
      <formula>"Napkin Hs"</formula>
    </cfRule>
  </conditionalFormatting>
  <conditionalFormatting sqref="C106">
    <cfRule type="cellIs" dxfId="3393" priority="3599" stopIfTrue="1" operator="equal">
      <formula>"Towel"</formula>
    </cfRule>
    <cfRule type="cellIs" dxfId="3392" priority="3600" stopIfTrue="1" operator="equal">
      <formula>"Napkin Hs"</formula>
    </cfRule>
  </conditionalFormatting>
  <conditionalFormatting sqref="C106">
    <cfRule type="cellIs" dxfId="3391" priority="3567" stopIfTrue="1" operator="equal">
      <formula>"Towel"</formula>
    </cfRule>
    <cfRule type="cellIs" dxfId="3390" priority="3568" stopIfTrue="1" operator="equal">
      <formula>"Napkin Hs"</formula>
    </cfRule>
  </conditionalFormatting>
  <conditionalFormatting sqref="C106">
    <cfRule type="cellIs" dxfId="3389" priority="3569" stopIfTrue="1" operator="equal">
      <formula>"Towel"</formula>
    </cfRule>
    <cfRule type="cellIs" dxfId="3388" priority="3570" stopIfTrue="1" operator="equal">
      <formula>"Napkin Hs"</formula>
    </cfRule>
  </conditionalFormatting>
  <conditionalFormatting sqref="C106">
    <cfRule type="cellIs" dxfId="3387" priority="3565" stopIfTrue="1" operator="equal">
      <formula>"Towel"</formula>
    </cfRule>
    <cfRule type="cellIs" dxfId="3386" priority="3566" stopIfTrue="1" operator="equal">
      <formula>"Napkin Hs"</formula>
    </cfRule>
  </conditionalFormatting>
  <conditionalFormatting sqref="B106">
    <cfRule type="cellIs" dxfId="3385" priority="3559" stopIfTrue="1" operator="equal">
      <formula>"Towel"</formula>
    </cfRule>
    <cfRule type="cellIs" dxfId="3384" priority="3560" stopIfTrue="1" operator="equal">
      <formula>"Napkin Hs"</formula>
    </cfRule>
  </conditionalFormatting>
  <conditionalFormatting sqref="C106">
    <cfRule type="cellIs" dxfId="3383" priority="3561" stopIfTrue="1" operator="equal">
      <formula>"Towel"</formula>
    </cfRule>
    <cfRule type="cellIs" dxfId="3382" priority="3562" stopIfTrue="1" operator="equal">
      <formula>"Napkin Hs"</formula>
    </cfRule>
  </conditionalFormatting>
  <conditionalFormatting sqref="C106">
    <cfRule type="cellIs" dxfId="3381" priority="3563" stopIfTrue="1" operator="equal">
      <formula>"Towel"</formula>
    </cfRule>
    <cfRule type="cellIs" dxfId="3380" priority="3564" stopIfTrue="1" operator="equal">
      <formula>"Napkin Hs"</formula>
    </cfRule>
  </conditionalFormatting>
  <conditionalFormatting sqref="B106:C106">
    <cfRule type="cellIs" dxfId="3379" priority="3513" stopIfTrue="1" operator="equal">
      <formula>"Towel"</formula>
    </cfRule>
    <cfRule type="cellIs" dxfId="3378" priority="3514" stopIfTrue="1" operator="equal">
      <formula>"Napkin Hs"</formula>
    </cfRule>
  </conditionalFormatting>
  <conditionalFormatting sqref="C106">
    <cfRule type="cellIs" dxfId="3377" priority="3515" stopIfTrue="1" operator="equal">
      <formula>"Towel"</formula>
    </cfRule>
    <cfRule type="cellIs" dxfId="3376" priority="3516" stopIfTrue="1" operator="equal">
      <formula>"Napkin Hs"</formula>
    </cfRule>
  </conditionalFormatting>
  <conditionalFormatting sqref="C106">
    <cfRule type="cellIs" dxfId="3375" priority="3511" stopIfTrue="1" operator="equal">
      <formula>"Towel"</formula>
    </cfRule>
    <cfRule type="cellIs" dxfId="3374" priority="3512" stopIfTrue="1" operator="equal">
      <formula>"Napkin Hs"</formula>
    </cfRule>
  </conditionalFormatting>
  <conditionalFormatting sqref="C106">
    <cfRule type="cellIs" dxfId="3373" priority="3509" stopIfTrue="1" operator="equal">
      <formula>"Towel"</formula>
    </cfRule>
    <cfRule type="cellIs" dxfId="3372" priority="3510" stopIfTrue="1" operator="equal">
      <formula>"Napkin Hs"</formula>
    </cfRule>
  </conditionalFormatting>
  <conditionalFormatting sqref="B106">
    <cfRule type="cellIs" dxfId="3371" priority="3557" stopIfTrue="1" operator="equal">
      <formula>"Towel"</formula>
    </cfRule>
    <cfRule type="cellIs" dxfId="3370" priority="3558" stopIfTrue="1" operator="equal">
      <formula>"Napkin Hs"</formula>
    </cfRule>
  </conditionalFormatting>
  <conditionalFormatting sqref="C106">
    <cfRule type="cellIs" dxfId="3369" priority="3553" stopIfTrue="1" operator="equal">
      <formula>"Towel"</formula>
    </cfRule>
    <cfRule type="cellIs" dxfId="3368" priority="3554" stopIfTrue="1" operator="equal">
      <formula>"Napkin Hs"</formula>
    </cfRule>
  </conditionalFormatting>
  <conditionalFormatting sqref="C106">
    <cfRule type="cellIs" dxfId="3367" priority="3547" stopIfTrue="1" operator="equal">
      <formula>"Towel"</formula>
    </cfRule>
    <cfRule type="cellIs" dxfId="3366" priority="3548" stopIfTrue="1" operator="equal">
      <formula>"Napkin Hs"</formula>
    </cfRule>
  </conditionalFormatting>
  <conditionalFormatting sqref="C106">
    <cfRule type="cellIs" dxfId="3365" priority="3551" stopIfTrue="1" operator="equal">
      <formula>"Towel"</formula>
    </cfRule>
    <cfRule type="cellIs" dxfId="3364" priority="3552" stopIfTrue="1" operator="equal">
      <formula>"Napkin Hs"</formula>
    </cfRule>
  </conditionalFormatting>
  <conditionalFormatting sqref="B106:C106">
    <cfRule type="cellIs" dxfId="3363" priority="3549" stopIfTrue="1" operator="equal">
      <formula>"Towel"</formula>
    </cfRule>
    <cfRule type="cellIs" dxfId="3362" priority="3550" stopIfTrue="1" operator="equal">
      <formula>"Napkin Hs"</formula>
    </cfRule>
  </conditionalFormatting>
  <conditionalFormatting sqref="C106">
    <cfRule type="cellIs" dxfId="3361" priority="3541" stopIfTrue="1" operator="equal">
      <formula>"Towel"</formula>
    </cfRule>
    <cfRule type="cellIs" dxfId="3360" priority="3542" stopIfTrue="1" operator="equal">
      <formula>"Napkin Hs"</formula>
    </cfRule>
  </conditionalFormatting>
  <conditionalFormatting sqref="C106">
    <cfRule type="cellIs" dxfId="3359" priority="3543" stopIfTrue="1" operator="equal">
      <formula>"Towel"</formula>
    </cfRule>
    <cfRule type="cellIs" dxfId="3358" priority="3544" stopIfTrue="1" operator="equal">
      <formula>"Napkin Hs"</formula>
    </cfRule>
  </conditionalFormatting>
  <conditionalFormatting sqref="C106">
    <cfRule type="cellIs" dxfId="3357" priority="3545" stopIfTrue="1" operator="equal">
      <formula>"Towel"</formula>
    </cfRule>
    <cfRule type="cellIs" dxfId="3356" priority="3546" stopIfTrue="1" operator="equal">
      <formula>"Napkin Hs"</formula>
    </cfRule>
  </conditionalFormatting>
  <conditionalFormatting sqref="C106">
    <cfRule type="cellIs" dxfId="3355" priority="3535" stopIfTrue="1" operator="equal">
      <formula>"Towel"</formula>
    </cfRule>
    <cfRule type="cellIs" dxfId="3354" priority="3536" stopIfTrue="1" operator="equal">
      <formula>"Napkin Hs"</formula>
    </cfRule>
  </conditionalFormatting>
  <conditionalFormatting sqref="B106:C106">
    <cfRule type="cellIs" dxfId="3353" priority="3539" stopIfTrue="1" operator="equal">
      <formula>"Towel"</formula>
    </cfRule>
    <cfRule type="cellIs" dxfId="3352" priority="3540" stopIfTrue="1" operator="equal">
      <formula>"Napkin Hs"</formula>
    </cfRule>
  </conditionalFormatting>
  <conditionalFormatting sqref="C106">
    <cfRule type="cellIs" dxfId="3351" priority="3537" stopIfTrue="1" operator="equal">
      <formula>"Towel"</formula>
    </cfRule>
    <cfRule type="cellIs" dxfId="3350" priority="3538" stopIfTrue="1" operator="equal">
      <formula>"Napkin Hs"</formula>
    </cfRule>
  </conditionalFormatting>
  <conditionalFormatting sqref="B106:C106">
    <cfRule type="cellIs" dxfId="3349" priority="3529" stopIfTrue="1" operator="equal">
      <formula>"Towel"</formula>
    </cfRule>
    <cfRule type="cellIs" dxfId="3348" priority="3530" stopIfTrue="1" operator="equal">
      <formula>"Napkin Hs"</formula>
    </cfRule>
  </conditionalFormatting>
  <conditionalFormatting sqref="C106">
    <cfRule type="cellIs" dxfId="3347" priority="3531" stopIfTrue="1" operator="equal">
      <formula>"Towel"</formula>
    </cfRule>
    <cfRule type="cellIs" dxfId="3346" priority="3532" stopIfTrue="1" operator="equal">
      <formula>"Napkin Hs"</formula>
    </cfRule>
  </conditionalFormatting>
  <conditionalFormatting sqref="B106:C106">
    <cfRule type="cellIs" dxfId="3345" priority="3533" stopIfTrue="1" operator="equal">
      <formula>"Towel"</formula>
    </cfRule>
    <cfRule type="cellIs" dxfId="3344" priority="3534" stopIfTrue="1" operator="equal">
      <formula>"Napkin Hs"</formula>
    </cfRule>
  </conditionalFormatting>
  <conditionalFormatting sqref="C106">
    <cfRule type="cellIs" dxfId="3343" priority="3527" stopIfTrue="1" operator="equal">
      <formula>"Towel"</formula>
    </cfRule>
    <cfRule type="cellIs" dxfId="3342" priority="3528" stopIfTrue="1" operator="equal">
      <formula>"Napkin Hs"</formula>
    </cfRule>
  </conditionalFormatting>
  <conditionalFormatting sqref="C106">
    <cfRule type="cellIs" dxfId="3341" priority="3523" stopIfTrue="1" operator="equal">
      <formula>"Towel"</formula>
    </cfRule>
    <cfRule type="cellIs" dxfId="3340" priority="3524" stopIfTrue="1" operator="equal">
      <formula>"Napkin Hs"</formula>
    </cfRule>
  </conditionalFormatting>
  <conditionalFormatting sqref="B106:C106">
    <cfRule type="cellIs" dxfId="3339" priority="3525" stopIfTrue="1" operator="equal">
      <formula>"Towel"</formula>
    </cfRule>
    <cfRule type="cellIs" dxfId="3338" priority="3526" stopIfTrue="1" operator="equal">
      <formula>"Napkin Hs"</formula>
    </cfRule>
  </conditionalFormatting>
  <conditionalFormatting sqref="C106">
    <cfRule type="cellIs" dxfId="3337" priority="3521" stopIfTrue="1" operator="equal">
      <formula>"Towel"</formula>
    </cfRule>
    <cfRule type="cellIs" dxfId="3336" priority="3522" stopIfTrue="1" operator="equal">
      <formula>"Napkin Hs"</formula>
    </cfRule>
  </conditionalFormatting>
  <conditionalFormatting sqref="C106">
    <cfRule type="cellIs" dxfId="3335" priority="3519" stopIfTrue="1" operator="equal">
      <formula>"Towel"</formula>
    </cfRule>
    <cfRule type="cellIs" dxfId="3334" priority="3520" stopIfTrue="1" operator="equal">
      <formula>"Napkin Hs"</formula>
    </cfRule>
  </conditionalFormatting>
  <conditionalFormatting sqref="B106:C106">
    <cfRule type="cellIs" dxfId="3333" priority="3517" stopIfTrue="1" operator="equal">
      <formula>"Towel"</formula>
    </cfRule>
    <cfRule type="cellIs" dxfId="3332" priority="3518" stopIfTrue="1" operator="equal">
      <formula>"Napkin Hs"</formula>
    </cfRule>
  </conditionalFormatting>
  <conditionalFormatting sqref="B106:C106">
    <cfRule type="cellIs" dxfId="3331" priority="3593" stopIfTrue="1" operator="equal">
      <formula>"Towel"</formula>
    </cfRule>
    <cfRule type="cellIs" dxfId="3330" priority="3594" stopIfTrue="1" operator="equal">
      <formula>"Napkin Hs"</formula>
    </cfRule>
  </conditionalFormatting>
  <conditionalFormatting sqref="C106">
    <cfRule type="cellIs" dxfId="3329" priority="3589" stopIfTrue="1" operator="equal">
      <formula>"Towel"</formula>
    </cfRule>
    <cfRule type="cellIs" dxfId="3328" priority="3590" stopIfTrue="1" operator="equal">
      <formula>"Napkin Hs"</formula>
    </cfRule>
  </conditionalFormatting>
  <conditionalFormatting sqref="C106">
    <cfRule type="cellIs" dxfId="3327" priority="3592" stopIfTrue="1" operator="equal">
      <formula>"Napkin Hs"</formula>
    </cfRule>
  </conditionalFormatting>
  <conditionalFormatting sqref="C106">
    <cfRule type="cellIs" dxfId="3326" priority="3591" stopIfTrue="1" operator="equal">
      <formula>"Towel"</formula>
    </cfRule>
  </conditionalFormatting>
  <conditionalFormatting sqref="C106">
    <cfRule type="cellIs" dxfId="3325" priority="3583" stopIfTrue="1" operator="equal">
      <formula>"Towel"</formula>
    </cfRule>
    <cfRule type="cellIs" dxfId="3324" priority="3584" stopIfTrue="1" operator="equal">
      <formula>"Napkin Hs"</formula>
    </cfRule>
  </conditionalFormatting>
  <conditionalFormatting sqref="C106">
    <cfRule type="cellIs" dxfId="3323" priority="3587" stopIfTrue="1" operator="equal">
      <formula>"Towel"</formula>
    </cfRule>
    <cfRule type="cellIs" dxfId="3322" priority="3588" stopIfTrue="1" operator="equal">
      <formula>"Napkin Hs"</formula>
    </cfRule>
  </conditionalFormatting>
  <conditionalFormatting sqref="B106">
    <cfRule type="cellIs" dxfId="3321" priority="3573" stopIfTrue="1" operator="equal">
      <formula>"Towel"</formula>
    </cfRule>
    <cfRule type="cellIs" dxfId="3320" priority="3574" stopIfTrue="1" operator="equal">
      <formula>"Napkin Hs"</formula>
    </cfRule>
  </conditionalFormatting>
  <conditionalFormatting sqref="C106">
    <cfRule type="cellIs" dxfId="3319" priority="3585" stopIfTrue="1" operator="equal">
      <formula>"Towel"</formula>
    </cfRule>
    <cfRule type="cellIs" dxfId="3318" priority="3586" stopIfTrue="1" operator="equal">
      <formula>"Napkin Hs"</formula>
    </cfRule>
  </conditionalFormatting>
  <conditionalFormatting sqref="C106">
    <cfRule type="cellIs" dxfId="3317" priority="3577" stopIfTrue="1" operator="equal">
      <formula>"Towel"</formula>
    </cfRule>
    <cfRule type="cellIs" dxfId="3316" priority="3578" stopIfTrue="1" operator="equal">
      <formula>"Napkin Hs"</formula>
    </cfRule>
  </conditionalFormatting>
  <conditionalFormatting sqref="C106">
    <cfRule type="cellIs" dxfId="3315" priority="3579" stopIfTrue="1" operator="equal">
      <formula>"Towel"</formula>
    </cfRule>
    <cfRule type="cellIs" dxfId="3314" priority="3580" stopIfTrue="1" operator="equal">
      <formula>"Napkin Hs"</formula>
    </cfRule>
  </conditionalFormatting>
  <conditionalFormatting sqref="C106">
    <cfRule type="cellIs" dxfId="3313" priority="3581" stopIfTrue="1" operator="equal">
      <formula>"Towel"</formula>
    </cfRule>
    <cfRule type="cellIs" dxfId="3312" priority="3582" stopIfTrue="1" operator="equal">
      <formula>"Napkin Hs"</formula>
    </cfRule>
  </conditionalFormatting>
  <conditionalFormatting sqref="B106">
    <cfRule type="cellIs" dxfId="3311" priority="3575" stopIfTrue="1" operator="equal">
      <formula>"Towel"</formula>
    </cfRule>
    <cfRule type="cellIs" dxfId="3310" priority="3576" stopIfTrue="1" operator="equal">
      <formula>"Napkin Hs"</formula>
    </cfRule>
  </conditionalFormatting>
  <conditionalFormatting sqref="C106">
    <cfRule type="cellIs" dxfId="3309" priority="3571" stopIfTrue="1" operator="equal">
      <formula>"Towel"</formula>
    </cfRule>
    <cfRule type="cellIs" dxfId="3308" priority="3572" stopIfTrue="1" operator="equal">
      <formula>"Napkin Hs"</formula>
    </cfRule>
  </conditionalFormatting>
  <conditionalFormatting sqref="B106:C106">
    <cfRule type="cellIs" dxfId="3307" priority="3555" stopIfTrue="1" operator="equal">
      <formula>"Towel"</formula>
    </cfRule>
    <cfRule type="cellIs" dxfId="3306" priority="3556" stopIfTrue="1" operator="equal">
      <formula>"Napkin Hs"</formula>
    </cfRule>
  </conditionalFormatting>
  <conditionalFormatting sqref="C105">
    <cfRule type="cellIs" dxfId="3305" priority="3505" stopIfTrue="1" operator="equal">
      <formula>"Towel"</formula>
    </cfRule>
    <cfRule type="cellIs" dxfId="3304" priority="3506" stopIfTrue="1" operator="equal">
      <formula>"Napkin Hs"</formula>
    </cfRule>
  </conditionalFormatting>
  <conditionalFormatting sqref="C105">
    <cfRule type="cellIs" dxfId="3303" priority="3507" stopIfTrue="1" operator="equal">
      <formula>"Towel"</formula>
    </cfRule>
    <cfRule type="cellIs" dxfId="3302" priority="3508" stopIfTrue="1" operator="equal">
      <formula>"Napkin Hs"</formula>
    </cfRule>
  </conditionalFormatting>
  <conditionalFormatting sqref="C105">
    <cfRule type="cellIs" dxfId="3301" priority="3501" stopIfTrue="1" operator="equal">
      <formula>"Towel"</formula>
    </cfRule>
    <cfRule type="cellIs" dxfId="3300" priority="3502" stopIfTrue="1" operator="equal">
      <formula>"Napkin Hs"</formula>
    </cfRule>
  </conditionalFormatting>
  <conditionalFormatting sqref="B105:C105">
    <cfRule type="cellIs" dxfId="3299" priority="3503" stopIfTrue="1" operator="equal">
      <formula>"Towel"</formula>
    </cfRule>
    <cfRule type="cellIs" dxfId="3298" priority="3504" stopIfTrue="1" operator="equal">
      <formula>"Napkin Hs"</formula>
    </cfRule>
  </conditionalFormatting>
  <conditionalFormatting sqref="C105">
    <cfRule type="cellIs" dxfId="3297" priority="3499" stopIfTrue="1" operator="equal">
      <formula>"Towel"</formula>
    </cfRule>
    <cfRule type="cellIs" dxfId="3296" priority="3500" stopIfTrue="1" operator="equal">
      <formula>"Napkin Hs"</formula>
    </cfRule>
  </conditionalFormatting>
  <conditionalFormatting sqref="B105:C105">
    <cfRule type="cellIs" dxfId="3295" priority="3497" stopIfTrue="1" operator="equal">
      <formula>"Towel"</formula>
    </cfRule>
    <cfRule type="cellIs" dxfId="3294" priority="3498" stopIfTrue="1" operator="equal">
      <formula>"Napkin Hs"</formula>
    </cfRule>
  </conditionalFormatting>
  <conditionalFormatting sqref="B105:C105">
    <cfRule type="cellIs" dxfId="3293" priority="3495" stopIfTrue="1" operator="equal">
      <formula>"Towel"</formula>
    </cfRule>
    <cfRule type="cellIs" dxfId="3292" priority="3496" stopIfTrue="1" operator="equal">
      <formula>"Napkin Hs"</formula>
    </cfRule>
  </conditionalFormatting>
  <conditionalFormatting sqref="C105">
    <cfRule type="cellIs" dxfId="3291" priority="3489" stopIfTrue="1" operator="equal">
      <formula>"Towel"</formula>
    </cfRule>
    <cfRule type="cellIs" dxfId="3290" priority="3490" stopIfTrue="1" operator="equal">
      <formula>"Napkin Hs"</formula>
    </cfRule>
  </conditionalFormatting>
  <conditionalFormatting sqref="C105">
    <cfRule type="cellIs" dxfId="3289" priority="3491" stopIfTrue="1" operator="equal">
      <formula>"Towel"</formula>
    </cfRule>
    <cfRule type="cellIs" dxfId="3288" priority="3492" stopIfTrue="1" operator="equal">
      <formula>"Napkin Hs"</formula>
    </cfRule>
  </conditionalFormatting>
  <conditionalFormatting sqref="C105">
    <cfRule type="cellIs" dxfId="3287" priority="3487" stopIfTrue="1" operator="equal">
      <formula>"Towel"</formula>
    </cfRule>
    <cfRule type="cellIs" dxfId="3286" priority="3488" stopIfTrue="1" operator="equal">
      <formula>"Napkin Hs"</formula>
    </cfRule>
  </conditionalFormatting>
  <conditionalFormatting sqref="C105">
    <cfRule type="cellIs" dxfId="3285" priority="3485" stopIfTrue="1" operator="equal">
      <formula>"Towel"</formula>
    </cfRule>
    <cfRule type="cellIs" dxfId="3284" priority="3486" stopIfTrue="1" operator="equal">
      <formula>"Napkin Hs"</formula>
    </cfRule>
  </conditionalFormatting>
  <conditionalFormatting sqref="C105">
    <cfRule type="cellIs" dxfId="3283" priority="3481" stopIfTrue="1" operator="equal">
      <formula>"Towel"</formula>
    </cfRule>
    <cfRule type="cellIs" dxfId="3282" priority="3482" stopIfTrue="1" operator="equal">
      <formula>"Napkin Hs"</formula>
    </cfRule>
  </conditionalFormatting>
  <conditionalFormatting sqref="C105">
    <cfRule type="cellIs" dxfId="3281" priority="3483" stopIfTrue="1" operator="equal">
      <formula>"Towel"</formula>
    </cfRule>
    <cfRule type="cellIs" dxfId="3280" priority="3484" stopIfTrue="1" operator="equal">
      <formula>"Napkin Hs"</formula>
    </cfRule>
  </conditionalFormatting>
  <conditionalFormatting sqref="C105">
    <cfRule type="cellIs" dxfId="3279" priority="3479" stopIfTrue="1" operator="equal">
      <formula>"Towel"</formula>
    </cfRule>
    <cfRule type="cellIs" dxfId="3278" priority="3480" stopIfTrue="1" operator="equal">
      <formula>"Napkin Hs"</formula>
    </cfRule>
  </conditionalFormatting>
  <conditionalFormatting sqref="C105">
    <cfRule type="cellIs" dxfId="3277" priority="3463" stopIfTrue="1" operator="equal">
      <formula>"Towel"</formula>
    </cfRule>
    <cfRule type="cellIs" dxfId="3276" priority="3464" stopIfTrue="1" operator="equal">
      <formula>"Napkin Hs"</formula>
    </cfRule>
  </conditionalFormatting>
  <conditionalFormatting sqref="B105">
    <cfRule type="cellIs" dxfId="3275" priority="3461" stopIfTrue="1" operator="equal">
      <formula>"Towel"</formula>
    </cfRule>
    <cfRule type="cellIs" dxfId="3274" priority="3462" stopIfTrue="1" operator="equal">
      <formula>"Napkin Hs"</formula>
    </cfRule>
  </conditionalFormatting>
  <conditionalFormatting sqref="B105">
    <cfRule type="cellIs" dxfId="3273" priority="3477" stopIfTrue="1" operator="equal">
      <formula>"Towel"</formula>
    </cfRule>
    <cfRule type="cellIs" dxfId="3272" priority="3478" stopIfTrue="1" operator="equal">
      <formula>"Napkin Hs"</formula>
    </cfRule>
  </conditionalFormatting>
  <conditionalFormatting sqref="C105">
    <cfRule type="cellIs" dxfId="3271" priority="3473" stopIfTrue="1" operator="equal">
      <formula>"Towel"</formula>
    </cfRule>
    <cfRule type="cellIs" dxfId="3270" priority="3474" stopIfTrue="1" operator="equal">
      <formula>"Napkin Hs"</formula>
    </cfRule>
  </conditionalFormatting>
  <conditionalFormatting sqref="B105">
    <cfRule type="cellIs" dxfId="3269" priority="3475" stopIfTrue="1" operator="equal">
      <formula>"Towel"</formula>
    </cfRule>
    <cfRule type="cellIs" dxfId="3268" priority="3476" stopIfTrue="1" operator="equal">
      <formula>"Napkin Hs"</formula>
    </cfRule>
  </conditionalFormatting>
  <conditionalFormatting sqref="C105">
    <cfRule type="cellIs" dxfId="3267" priority="3469" stopIfTrue="1" operator="equal">
      <formula>"Towel"</formula>
    </cfRule>
    <cfRule type="cellIs" dxfId="3266" priority="3470" stopIfTrue="1" operator="equal">
      <formula>"Napkin Hs"</formula>
    </cfRule>
  </conditionalFormatting>
  <conditionalFormatting sqref="C105">
    <cfRule type="cellIs" dxfId="3265" priority="3471" stopIfTrue="1" operator="equal">
      <formula>"Towel"</formula>
    </cfRule>
    <cfRule type="cellIs" dxfId="3264" priority="3472" stopIfTrue="1" operator="equal">
      <formula>"Napkin Hs"</formula>
    </cfRule>
  </conditionalFormatting>
  <conditionalFormatting sqref="C105">
    <cfRule type="cellIs" dxfId="3263" priority="3467" stopIfTrue="1" operator="equal">
      <formula>"Towel"</formula>
    </cfRule>
    <cfRule type="cellIs" dxfId="3262" priority="3468" stopIfTrue="1" operator="equal">
      <formula>"Napkin Hs"</formula>
    </cfRule>
  </conditionalFormatting>
  <conditionalFormatting sqref="C105">
    <cfRule type="cellIs" dxfId="3261" priority="3465" stopIfTrue="1" operator="equal">
      <formula>"Towel"</formula>
    </cfRule>
    <cfRule type="cellIs" dxfId="3260" priority="3466" stopIfTrue="1" operator="equal">
      <formula>"Napkin Hs"</formula>
    </cfRule>
  </conditionalFormatting>
  <conditionalFormatting sqref="B105">
    <cfRule type="cellIs" dxfId="3259" priority="3459" stopIfTrue="1" operator="equal">
      <formula>"Towel"</formula>
    </cfRule>
    <cfRule type="cellIs" dxfId="3258" priority="3460" stopIfTrue="1" operator="equal">
      <formula>"Napkin Hs"</formula>
    </cfRule>
  </conditionalFormatting>
  <conditionalFormatting sqref="B105:C105">
    <cfRule type="cellIs" dxfId="3257" priority="3457" stopIfTrue="1" operator="equal">
      <formula>"Towel"</formula>
    </cfRule>
    <cfRule type="cellIs" dxfId="3256" priority="3458" stopIfTrue="1" operator="equal">
      <formula>"Napkin Hs"</formula>
    </cfRule>
  </conditionalFormatting>
  <conditionalFormatting sqref="C105">
    <cfRule type="cellIs" dxfId="3255" priority="3455" stopIfTrue="1" operator="equal">
      <formula>"Towel"</formula>
    </cfRule>
    <cfRule type="cellIs" dxfId="3254" priority="3456" stopIfTrue="1" operator="equal">
      <formula>"Napkin Hs"</formula>
    </cfRule>
  </conditionalFormatting>
  <conditionalFormatting sqref="C105">
    <cfRule type="cellIs" dxfId="3253" priority="3453" stopIfTrue="1" operator="equal">
      <formula>"Towel"</formula>
    </cfRule>
    <cfRule type="cellIs" dxfId="3252" priority="3454" stopIfTrue="1" operator="equal">
      <formula>"Napkin Hs"</formula>
    </cfRule>
  </conditionalFormatting>
  <conditionalFormatting sqref="C105">
    <cfRule type="cellIs" dxfId="3251" priority="3443" stopIfTrue="1" operator="equal">
      <formula>"Towel"</formula>
    </cfRule>
    <cfRule type="cellIs" dxfId="3250" priority="3444" stopIfTrue="1" operator="equal">
      <formula>"Napkin Hs"</formula>
    </cfRule>
  </conditionalFormatting>
  <conditionalFormatting sqref="C105">
    <cfRule type="cellIs" dxfId="3249" priority="3445" stopIfTrue="1" operator="equal">
      <formula>"Towel"</formula>
    </cfRule>
    <cfRule type="cellIs" dxfId="3248" priority="3446" stopIfTrue="1" operator="equal">
      <formula>"Napkin Hs"</formula>
    </cfRule>
  </conditionalFormatting>
  <conditionalFormatting sqref="B105:C105">
    <cfRule type="cellIs" dxfId="3247" priority="3441" stopIfTrue="1" operator="equal">
      <formula>"Towel"</formula>
    </cfRule>
    <cfRule type="cellIs" dxfId="3246" priority="3442" stopIfTrue="1" operator="equal">
      <formula>"Napkin Hs"</formula>
    </cfRule>
  </conditionalFormatting>
  <conditionalFormatting sqref="C105">
    <cfRule type="cellIs" dxfId="3245" priority="3439" stopIfTrue="1" operator="equal">
      <formula>"Towel"</formula>
    </cfRule>
    <cfRule type="cellIs" dxfId="3244" priority="3440" stopIfTrue="1" operator="equal">
      <formula>"Napkin Hs"</formula>
    </cfRule>
  </conditionalFormatting>
  <conditionalFormatting sqref="B105:C105">
    <cfRule type="cellIs" dxfId="3243" priority="3435" stopIfTrue="1" operator="equal">
      <formula>"Towel"</formula>
    </cfRule>
    <cfRule type="cellIs" dxfId="3242" priority="3436" stopIfTrue="1" operator="equal">
      <formula>"Napkin Hs"</formula>
    </cfRule>
  </conditionalFormatting>
  <conditionalFormatting sqref="C105">
    <cfRule type="cellIs" dxfId="3241" priority="3437" stopIfTrue="1" operator="equal">
      <formula>"Towel"</formula>
    </cfRule>
    <cfRule type="cellIs" dxfId="3240" priority="3438" stopIfTrue="1" operator="equal">
      <formula>"Napkin Hs"</formula>
    </cfRule>
  </conditionalFormatting>
  <conditionalFormatting sqref="C105">
    <cfRule type="cellIs" dxfId="3239" priority="3494" stopIfTrue="1" operator="equal">
      <formula>"Napkin Hs"</formula>
    </cfRule>
  </conditionalFormatting>
  <conditionalFormatting sqref="C105">
    <cfRule type="cellIs" dxfId="3238" priority="3493" stopIfTrue="1" operator="equal">
      <formula>"Towel"</formula>
    </cfRule>
  </conditionalFormatting>
  <conditionalFormatting sqref="B105:C105">
    <cfRule type="cellIs" dxfId="3237" priority="3451" stopIfTrue="1" operator="equal">
      <formula>"Towel"</formula>
    </cfRule>
    <cfRule type="cellIs" dxfId="3236" priority="3452" stopIfTrue="1" operator="equal">
      <formula>"Napkin Hs"</formula>
    </cfRule>
  </conditionalFormatting>
  <conditionalFormatting sqref="C105">
    <cfRule type="cellIs" dxfId="3235" priority="3449" stopIfTrue="1" operator="equal">
      <formula>"Towel"</formula>
    </cfRule>
    <cfRule type="cellIs" dxfId="3234" priority="3450" stopIfTrue="1" operator="equal">
      <formula>"Napkin Hs"</formula>
    </cfRule>
  </conditionalFormatting>
  <conditionalFormatting sqref="C105">
    <cfRule type="cellIs" dxfId="3233" priority="3447" stopIfTrue="1" operator="equal">
      <formula>"Towel"</formula>
    </cfRule>
    <cfRule type="cellIs" dxfId="3232" priority="3448" stopIfTrue="1" operator="equal">
      <formula>"Napkin Hs"</formula>
    </cfRule>
  </conditionalFormatting>
  <conditionalFormatting sqref="B105:C105">
    <cfRule type="cellIs" dxfId="3231" priority="3431" stopIfTrue="1" operator="equal">
      <formula>"Towel"</formula>
    </cfRule>
    <cfRule type="cellIs" dxfId="3230" priority="3432" stopIfTrue="1" operator="equal">
      <formula>"Napkin Hs"</formula>
    </cfRule>
  </conditionalFormatting>
  <conditionalFormatting sqref="C105">
    <cfRule type="cellIs" dxfId="3229" priority="3433" stopIfTrue="1" operator="equal">
      <formula>"Towel"</formula>
    </cfRule>
    <cfRule type="cellIs" dxfId="3228" priority="3434" stopIfTrue="1" operator="equal">
      <formula>"Napkin Hs"</formula>
    </cfRule>
  </conditionalFormatting>
  <conditionalFormatting sqref="C105">
    <cfRule type="cellIs" dxfId="3227" priority="3429" stopIfTrue="1" operator="equal">
      <formula>"Towel"</formula>
    </cfRule>
    <cfRule type="cellIs" dxfId="3226" priority="3430" stopIfTrue="1" operator="equal">
      <formula>"Napkin Hs"</formula>
    </cfRule>
  </conditionalFormatting>
  <conditionalFormatting sqref="B105:C105">
    <cfRule type="cellIs" dxfId="3225" priority="3427" stopIfTrue="1" operator="equal">
      <formula>"Towel"</formula>
    </cfRule>
    <cfRule type="cellIs" dxfId="3224" priority="3428" stopIfTrue="1" operator="equal">
      <formula>"Napkin Hs"</formula>
    </cfRule>
  </conditionalFormatting>
  <conditionalFormatting sqref="C105">
    <cfRule type="cellIs" dxfId="3223" priority="3423" stopIfTrue="1" operator="equal">
      <formula>"Towel"</formula>
    </cfRule>
    <cfRule type="cellIs" dxfId="3222" priority="3424" stopIfTrue="1" operator="equal">
      <formula>"Napkin Hs"</formula>
    </cfRule>
  </conditionalFormatting>
  <conditionalFormatting sqref="C105">
    <cfRule type="cellIs" dxfId="3221" priority="3425" stopIfTrue="1" operator="equal">
      <formula>"Towel"</formula>
    </cfRule>
    <cfRule type="cellIs" dxfId="3220" priority="3426" stopIfTrue="1" operator="equal">
      <formula>"Napkin Hs"</formula>
    </cfRule>
  </conditionalFormatting>
  <conditionalFormatting sqref="B105:C105">
    <cfRule type="cellIs" dxfId="3219" priority="3419" stopIfTrue="1" operator="equal">
      <formula>"Towel"</formula>
    </cfRule>
    <cfRule type="cellIs" dxfId="3218" priority="3420" stopIfTrue="1" operator="equal">
      <formula>"Napkin Hs"</formula>
    </cfRule>
  </conditionalFormatting>
  <conditionalFormatting sqref="C105">
    <cfRule type="cellIs" dxfId="3217" priority="3421" stopIfTrue="1" operator="equal">
      <formula>"Towel"</formula>
    </cfRule>
    <cfRule type="cellIs" dxfId="3216" priority="3422" stopIfTrue="1" operator="equal">
      <formula>"Napkin Hs"</formula>
    </cfRule>
  </conditionalFormatting>
  <conditionalFormatting sqref="C105">
    <cfRule type="cellIs" dxfId="3215" priority="3417" stopIfTrue="1" operator="equal">
      <formula>"Towel"</formula>
    </cfRule>
    <cfRule type="cellIs" dxfId="3214" priority="3418" stopIfTrue="1" operator="equal">
      <formula>"Napkin Hs"</formula>
    </cfRule>
  </conditionalFormatting>
  <conditionalFormatting sqref="B105:C105">
    <cfRule type="cellIs" dxfId="3213" priority="3415" stopIfTrue="1" operator="equal">
      <formula>"Towel"</formula>
    </cfRule>
    <cfRule type="cellIs" dxfId="3212" priority="3416" stopIfTrue="1" operator="equal">
      <formula>"Napkin Hs"</formula>
    </cfRule>
  </conditionalFormatting>
  <conditionalFormatting sqref="C105">
    <cfRule type="cellIs" dxfId="3211" priority="3411" stopIfTrue="1" operator="equal">
      <formula>"Towel"</formula>
    </cfRule>
    <cfRule type="cellIs" dxfId="3210" priority="3412" stopIfTrue="1" operator="equal">
      <formula>"Napkin Hs"</formula>
    </cfRule>
  </conditionalFormatting>
  <conditionalFormatting sqref="C105">
    <cfRule type="cellIs" dxfId="3209" priority="3413" stopIfTrue="1" operator="equal">
      <formula>"Towel"</formula>
    </cfRule>
    <cfRule type="cellIs" dxfId="3208" priority="3414" stopIfTrue="1" operator="equal">
      <formula>"Napkin Hs"</formula>
    </cfRule>
  </conditionalFormatting>
  <conditionalFormatting sqref="C104">
    <cfRule type="cellIs" dxfId="3207" priority="3407" stopIfTrue="1" operator="equal">
      <formula>"Towel"</formula>
    </cfRule>
    <cfRule type="cellIs" dxfId="3206" priority="3408" stopIfTrue="1" operator="equal">
      <formula>"Napkin Hs"</formula>
    </cfRule>
  </conditionalFormatting>
  <conditionalFormatting sqref="C104">
    <cfRule type="cellIs" dxfId="3205" priority="3409" stopIfTrue="1" operator="equal">
      <formula>"Towel"</formula>
    </cfRule>
    <cfRule type="cellIs" dxfId="3204" priority="3410" stopIfTrue="1" operator="equal">
      <formula>"Napkin Hs"</formula>
    </cfRule>
  </conditionalFormatting>
  <conditionalFormatting sqref="C104">
    <cfRule type="cellIs" dxfId="3203" priority="3403" stopIfTrue="1" operator="equal">
      <formula>"Towel"</formula>
    </cfRule>
    <cfRule type="cellIs" dxfId="3202" priority="3404" stopIfTrue="1" operator="equal">
      <formula>"Napkin Hs"</formula>
    </cfRule>
  </conditionalFormatting>
  <conditionalFormatting sqref="B104:C104">
    <cfRule type="cellIs" dxfId="3201" priority="3405" stopIfTrue="1" operator="equal">
      <formula>"Towel"</formula>
    </cfRule>
    <cfRule type="cellIs" dxfId="3200" priority="3406" stopIfTrue="1" operator="equal">
      <formula>"Napkin Hs"</formula>
    </cfRule>
  </conditionalFormatting>
  <conditionalFormatting sqref="C104">
    <cfRule type="cellIs" dxfId="3199" priority="3401" stopIfTrue="1" operator="equal">
      <formula>"Towel"</formula>
    </cfRule>
    <cfRule type="cellIs" dxfId="3198" priority="3402" stopIfTrue="1" operator="equal">
      <formula>"Napkin Hs"</formula>
    </cfRule>
  </conditionalFormatting>
  <conditionalFormatting sqref="B104:C104">
    <cfRule type="cellIs" dxfId="3197" priority="3399" stopIfTrue="1" operator="equal">
      <formula>"Towel"</formula>
    </cfRule>
    <cfRule type="cellIs" dxfId="3196" priority="3400" stopIfTrue="1" operator="equal">
      <formula>"Napkin Hs"</formula>
    </cfRule>
  </conditionalFormatting>
  <conditionalFormatting sqref="B104:C104">
    <cfRule type="cellIs" dxfId="3195" priority="3397" stopIfTrue="1" operator="equal">
      <formula>"Towel"</formula>
    </cfRule>
    <cfRule type="cellIs" dxfId="3194" priority="3398" stopIfTrue="1" operator="equal">
      <formula>"Napkin Hs"</formula>
    </cfRule>
  </conditionalFormatting>
  <conditionalFormatting sqref="C104">
    <cfRule type="cellIs" dxfId="3193" priority="3391" stopIfTrue="1" operator="equal">
      <formula>"Towel"</formula>
    </cfRule>
    <cfRule type="cellIs" dxfId="3192" priority="3392" stopIfTrue="1" operator="equal">
      <formula>"Napkin Hs"</formula>
    </cfRule>
  </conditionalFormatting>
  <conditionalFormatting sqref="C104">
    <cfRule type="cellIs" dxfId="3191" priority="3393" stopIfTrue="1" operator="equal">
      <formula>"Towel"</formula>
    </cfRule>
    <cfRule type="cellIs" dxfId="3190" priority="3394" stopIfTrue="1" operator="equal">
      <formula>"Napkin Hs"</formula>
    </cfRule>
  </conditionalFormatting>
  <conditionalFormatting sqref="C104">
    <cfRule type="cellIs" dxfId="3189" priority="3389" stopIfTrue="1" operator="equal">
      <formula>"Towel"</formula>
    </cfRule>
    <cfRule type="cellIs" dxfId="3188" priority="3390" stopIfTrue="1" operator="equal">
      <formula>"Napkin Hs"</formula>
    </cfRule>
  </conditionalFormatting>
  <conditionalFormatting sqref="C104">
    <cfRule type="cellIs" dxfId="3187" priority="3387" stopIfTrue="1" operator="equal">
      <formula>"Towel"</formula>
    </cfRule>
    <cfRule type="cellIs" dxfId="3186" priority="3388" stopIfTrue="1" operator="equal">
      <formula>"Napkin Hs"</formula>
    </cfRule>
  </conditionalFormatting>
  <conditionalFormatting sqref="C104">
    <cfRule type="cellIs" dxfId="3185" priority="3383" stopIfTrue="1" operator="equal">
      <formula>"Towel"</formula>
    </cfRule>
    <cfRule type="cellIs" dxfId="3184" priority="3384" stopIfTrue="1" operator="equal">
      <formula>"Napkin Hs"</formula>
    </cfRule>
  </conditionalFormatting>
  <conditionalFormatting sqref="C104">
    <cfRule type="cellIs" dxfId="3183" priority="3385" stopIfTrue="1" operator="equal">
      <formula>"Towel"</formula>
    </cfRule>
    <cfRule type="cellIs" dxfId="3182" priority="3386" stopIfTrue="1" operator="equal">
      <formula>"Napkin Hs"</formula>
    </cfRule>
  </conditionalFormatting>
  <conditionalFormatting sqref="C104">
    <cfRule type="cellIs" dxfId="3181" priority="3381" stopIfTrue="1" operator="equal">
      <formula>"Towel"</formula>
    </cfRule>
    <cfRule type="cellIs" dxfId="3180" priority="3382" stopIfTrue="1" operator="equal">
      <formula>"Napkin Hs"</formula>
    </cfRule>
  </conditionalFormatting>
  <conditionalFormatting sqref="C104">
    <cfRule type="cellIs" dxfId="3179" priority="3365" stopIfTrue="1" operator="equal">
      <formula>"Towel"</formula>
    </cfRule>
    <cfRule type="cellIs" dxfId="3178" priority="3366" stopIfTrue="1" operator="equal">
      <formula>"Napkin Hs"</formula>
    </cfRule>
  </conditionalFormatting>
  <conditionalFormatting sqref="B104">
    <cfRule type="cellIs" dxfId="3177" priority="3363" stopIfTrue="1" operator="equal">
      <formula>"Towel"</formula>
    </cfRule>
    <cfRule type="cellIs" dxfId="3176" priority="3364" stopIfTrue="1" operator="equal">
      <formula>"Napkin Hs"</formula>
    </cfRule>
  </conditionalFormatting>
  <conditionalFormatting sqref="B104">
    <cfRule type="cellIs" dxfId="3175" priority="3379" stopIfTrue="1" operator="equal">
      <formula>"Towel"</formula>
    </cfRule>
    <cfRule type="cellIs" dxfId="3174" priority="3380" stopIfTrue="1" operator="equal">
      <formula>"Napkin Hs"</formula>
    </cfRule>
  </conditionalFormatting>
  <conditionalFormatting sqref="C104">
    <cfRule type="cellIs" dxfId="3173" priority="3375" stopIfTrue="1" operator="equal">
      <formula>"Towel"</formula>
    </cfRule>
    <cfRule type="cellIs" dxfId="3172" priority="3376" stopIfTrue="1" operator="equal">
      <formula>"Napkin Hs"</formula>
    </cfRule>
  </conditionalFormatting>
  <conditionalFormatting sqref="B104">
    <cfRule type="cellIs" dxfId="3171" priority="3377" stopIfTrue="1" operator="equal">
      <formula>"Towel"</formula>
    </cfRule>
    <cfRule type="cellIs" dxfId="3170" priority="3378" stopIfTrue="1" operator="equal">
      <formula>"Napkin Hs"</formula>
    </cfRule>
  </conditionalFormatting>
  <conditionalFormatting sqref="C104">
    <cfRule type="cellIs" dxfId="3169" priority="3371" stopIfTrue="1" operator="equal">
      <formula>"Towel"</formula>
    </cfRule>
    <cfRule type="cellIs" dxfId="3168" priority="3372" stopIfTrue="1" operator="equal">
      <formula>"Napkin Hs"</formula>
    </cfRule>
  </conditionalFormatting>
  <conditionalFormatting sqref="C104">
    <cfRule type="cellIs" dxfId="3167" priority="3373" stopIfTrue="1" operator="equal">
      <formula>"Towel"</formula>
    </cfRule>
    <cfRule type="cellIs" dxfId="3166" priority="3374" stopIfTrue="1" operator="equal">
      <formula>"Napkin Hs"</formula>
    </cfRule>
  </conditionalFormatting>
  <conditionalFormatting sqref="C104">
    <cfRule type="cellIs" dxfId="3165" priority="3369" stopIfTrue="1" operator="equal">
      <formula>"Towel"</formula>
    </cfRule>
    <cfRule type="cellIs" dxfId="3164" priority="3370" stopIfTrue="1" operator="equal">
      <formula>"Napkin Hs"</formula>
    </cfRule>
  </conditionalFormatting>
  <conditionalFormatting sqref="C104">
    <cfRule type="cellIs" dxfId="3163" priority="3367" stopIfTrue="1" operator="equal">
      <formula>"Towel"</formula>
    </cfRule>
    <cfRule type="cellIs" dxfId="3162" priority="3368" stopIfTrue="1" operator="equal">
      <formula>"Napkin Hs"</formula>
    </cfRule>
  </conditionalFormatting>
  <conditionalFormatting sqref="B104">
    <cfRule type="cellIs" dxfId="3161" priority="3361" stopIfTrue="1" operator="equal">
      <formula>"Towel"</formula>
    </cfRule>
    <cfRule type="cellIs" dxfId="3160" priority="3362" stopIfTrue="1" operator="equal">
      <formula>"Napkin Hs"</formula>
    </cfRule>
  </conditionalFormatting>
  <conditionalFormatting sqref="B104:C104">
    <cfRule type="cellIs" dxfId="3159" priority="3359" stopIfTrue="1" operator="equal">
      <formula>"Towel"</formula>
    </cfRule>
    <cfRule type="cellIs" dxfId="3158" priority="3360" stopIfTrue="1" operator="equal">
      <formula>"Napkin Hs"</formula>
    </cfRule>
  </conditionalFormatting>
  <conditionalFormatting sqref="C104">
    <cfRule type="cellIs" dxfId="3157" priority="3357" stopIfTrue="1" operator="equal">
      <formula>"Towel"</formula>
    </cfRule>
    <cfRule type="cellIs" dxfId="3156" priority="3358" stopIfTrue="1" operator="equal">
      <formula>"Napkin Hs"</formula>
    </cfRule>
  </conditionalFormatting>
  <conditionalFormatting sqref="C104">
    <cfRule type="cellIs" dxfId="3155" priority="3355" stopIfTrue="1" operator="equal">
      <formula>"Towel"</formula>
    </cfRule>
    <cfRule type="cellIs" dxfId="3154" priority="3356" stopIfTrue="1" operator="equal">
      <formula>"Napkin Hs"</formula>
    </cfRule>
  </conditionalFormatting>
  <conditionalFormatting sqref="C104">
    <cfRule type="cellIs" dxfId="3153" priority="3345" stopIfTrue="1" operator="equal">
      <formula>"Towel"</formula>
    </cfRule>
    <cfRule type="cellIs" dxfId="3152" priority="3346" stopIfTrue="1" operator="equal">
      <formula>"Napkin Hs"</formula>
    </cfRule>
  </conditionalFormatting>
  <conditionalFormatting sqref="C104">
    <cfRule type="cellIs" dxfId="3151" priority="3347" stopIfTrue="1" operator="equal">
      <formula>"Towel"</formula>
    </cfRule>
    <cfRule type="cellIs" dxfId="3150" priority="3348" stopIfTrue="1" operator="equal">
      <formula>"Napkin Hs"</formula>
    </cfRule>
  </conditionalFormatting>
  <conditionalFormatting sqref="B104:C104">
    <cfRule type="cellIs" dxfId="3149" priority="3343" stopIfTrue="1" operator="equal">
      <formula>"Towel"</formula>
    </cfRule>
    <cfRule type="cellIs" dxfId="3148" priority="3344" stopIfTrue="1" operator="equal">
      <formula>"Napkin Hs"</formula>
    </cfRule>
  </conditionalFormatting>
  <conditionalFormatting sqref="C104">
    <cfRule type="cellIs" dxfId="3147" priority="3341" stopIfTrue="1" operator="equal">
      <formula>"Towel"</formula>
    </cfRule>
    <cfRule type="cellIs" dxfId="3146" priority="3342" stopIfTrue="1" operator="equal">
      <formula>"Napkin Hs"</formula>
    </cfRule>
  </conditionalFormatting>
  <conditionalFormatting sqref="B104:C104">
    <cfRule type="cellIs" dxfId="3145" priority="3337" stopIfTrue="1" operator="equal">
      <formula>"Towel"</formula>
    </cfRule>
    <cfRule type="cellIs" dxfId="3144" priority="3338" stopIfTrue="1" operator="equal">
      <formula>"Napkin Hs"</formula>
    </cfRule>
  </conditionalFormatting>
  <conditionalFormatting sqref="C104">
    <cfRule type="cellIs" dxfId="3143" priority="3339" stopIfTrue="1" operator="equal">
      <formula>"Towel"</formula>
    </cfRule>
    <cfRule type="cellIs" dxfId="3142" priority="3340" stopIfTrue="1" operator="equal">
      <formula>"Napkin Hs"</formula>
    </cfRule>
  </conditionalFormatting>
  <conditionalFormatting sqref="C104">
    <cfRule type="cellIs" dxfId="3141" priority="3396" stopIfTrue="1" operator="equal">
      <formula>"Napkin Hs"</formula>
    </cfRule>
  </conditionalFormatting>
  <conditionalFormatting sqref="C104">
    <cfRule type="cellIs" dxfId="3140" priority="3395" stopIfTrue="1" operator="equal">
      <formula>"Towel"</formula>
    </cfRule>
  </conditionalFormatting>
  <conditionalFormatting sqref="B104:C104">
    <cfRule type="cellIs" dxfId="3139" priority="3353" stopIfTrue="1" operator="equal">
      <formula>"Towel"</formula>
    </cfRule>
    <cfRule type="cellIs" dxfId="3138" priority="3354" stopIfTrue="1" operator="equal">
      <formula>"Napkin Hs"</formula>
    </cfRule>
  </conditionalFormatting>
  <conditionalFormatting sqref="C104">
    <cfRule type="cellIs" dxfId="3137" priority="3351" stopIfTrue="1" operator="equal">
      <formula>"Towel"</formula>
    </cfRule>
    <cfRule type="cellIs" dxfId="3136" priority="3352" stopIfTrue="1" operator="equal">
      <formula>"Napkin Hs"</formula>
    </cfRule>
  </conditionalFormatting>
  <conditionalFormatting sqref="C104">
    <cfRule type="cellIs" dxfId="3135" priority="3349" stopIfTrue="1" operator="equal">
      <formula>"Towel"</formula>
    </cfRule>
    <cfRule type="cellIs" dxfId="3134" priority="3350" stopIfTrue="1" operator="equal">
      <formula>"Napkin Hs"</formula>
    </cfRule>
  </conditionalFormatting>
  <conditionalFormatting sqref="B104:C104">
    <cfRule type="cellIs" dxfId="3133" priority="3333" stopIfTrue="1" operator="equal">
      <formula>"Towel"</formula>
    </cfRule>
    <cfRule type="cellIs" dxfId="3132" priority="3334" stopIfTrue="1" operator="equal">
      <formula>"Napkin Hs"</formula>
    </cfRule>
  </conditionalFormatting>
  <conditionalFormatting sqref="C104">
    <cfRule type="cellIs" dxfId="3131" priority="3335" stopIfTrue="1" operator="equal">
      <formula>"Towel"</formula>
    </cfRule>
    <cfRule type="cellIs" dxfId="3130" priority="3336" stopIfTrue="1" operator="equal">
      <formula>"Napkin Hs"</formula>
    </cfRule>
  </conditionalFormatting>
  <conditionalFormatting sqref="C104">
    <cfRule type="cellIs" dxfId="3129" priority="3331" stopIfTrue="1" operator="equal">
      <formula>"Towel"</formula>
    </cfRule>
    <cfRule type="cellIs" dxfId="3128" priority="3332" stopIfTrue="1" operator="equal">
      <formula>"Napkin Hs"</formula>
    </cfRule>
  </conditionalFormatting>
  <conditionalFormatting sqref="B104:C104">
    <cfRule type="cellIs" dxfId="3127" priority="3329" stopIfTrue="1" operator="equal">
      <formula>"Towel"</formula>
    </cfRule>
    <cfRule type="cellIs" dxfId="3126" priority="3330" stopIfTrue="1" operator="equal">
      <formula>"Napkin Hs"</formula>
    </cfRule>
  </conditionalFormatting>
  <conditionalFormatting sqref="C104">
    <cfRule type="cellIs" dxfId="3125" priority="3325" stopIfTrue="1" operator="equal">
      <formula>"Towel"</formula>
    </cfRule>
    <cfRule type="cellIs" dxfId="3124" priority="3326" stopIfTrue="1" operator="equal">
      <formula>"Napkin Hs"</formula>
    </cfRule>
  </conditionalFormatting>
  <conditionalFormatting sqref="C104">
    <cfRule type="cellIs" dxfId="3123" priority="3327" stopIfTrue="1" operator="equal">
      <formula>"Towel"</formula>
    </cfRule>
    <cfRule type="cellIs" dxfId="3122" priority="3328" stopIfTrue="1" operator="equal">
      <formula>"Napkin Hs"</formula>
    </cfRule>
  </conditionalFormatting>
  <conditionalFormatting sqref="B104:C104">
    <cfRule type="cellIs" dxfId="3121" priority="3321" stopIfTrue="1" operator="equal">
      <formula>"Towel"</formula>
    </cfRule>
    <cfRule type="cellIs" dxfId="3120" priority="3322" stopIfTrue="1" operator="equal">
      <formula>"Napkin Hs"</formula>
    </cfRule>
  </conditionalFormatting>
  <conditionalFormatting sqref="C104">
    <cfRule type="cellIs" dxfId="3119" priority="3323" stopIfTrue="1" operator="equal">
      <formula>"Towel"</formula>
    </cfRule>
    <cfRule type="cellIs" dxfId="3118" priority="3324" stopIfTrue="1" operator="equal">
      <formula>"Napkin Hs"</formula>
    </cfRule>
  </conditionalFormatting>
  <conditionalFormatting sqref="C104">
    <cfRule type="cellIs" dxfId="3117" priority="3319" stopIfTrue="1" operator="equal">
      <formula>"Towel"</formula>
    </cfRule>
    <cfRule type="cellIs" dxfId="3116" priority="3320" stopIfTrue="1" operator="equal">
      <formula>"Napkin Hs"</formula>
    </cfRule>
  </conditionalFormatting>
  <conditionalFormatting sqref="B104:C104">
    <cfRule type="cellIs" dxfId="3115" priority="3317" stopIfTrue="1" operator="equal">
      <formula>"Towel"</formula>
    </cfRule>
    <cfRule type="cellIs" dxfId="3114" priority="3318" stopIfTrue="1" operator="equal">
      <formula>"Napkin Hs"</formula>
    </cfRule>
  </conditionalFormatting>
  <conditionalFormatting sqref="C104">
    <cfRule type="cellIs" dxfId="3113" priority="3313" stopIfTrue="1" operator="equal">
      <formula>"Towel"</formula>
    </cfRule>
    <cfRule type="cellIs" dxfId="3112" priority="3314" stopIfTrue="1" operator="equal">
      <formula>"Napkin Hs"</formula>
    </cfRule>
  </conditionalFormatting>
  <conditionalFormatting sqref="C104">
    <cfRule type="cellIs" dxfId="3111" priority="3315" stopIfTrue="1" operator="equal">
      <formula>"Towel"</formula>
    </cfRule>
    <cfRule type="cellIs" dxfId="3110" priority="3316" stopIfTrue="1" operator="equal">
      <formula>"Napkin Hs"</formula>
    </cfRule>
  </conditionalFormatting>
  <conditionalFormatting sqref="B111:C111">
    <cfRule type="cellIs" dxfId="3109" priority="3311" stopIfTrue="1" operator="equal">
      <formula>"Towel"</formula>
    </cfRule>
    <cfRule type="cellIs" dxfId="3108" priority="3312" stopIfTrue="1" operator="equal">
      <formula>"Napkin Hs"</formula>
    </cfRule>
  </conditionalFormatting>
  <conditionalFormatting sqref="C111">
    <cfRule type="cellIs" dxfId="3107" priority="3307" stopIfTrue="1" operator="equal">
      <formula>"Towel"</formula>
    </cfRule>
    <cfRule type="cellIs" dxfId="3106" priority="3308" stopIfTrue="1" operator="equal">
      <formula>"Napkin Hs"</formula>
    </cfRule>
  </conditionalFormatting>
  <conditionalFormatting sqref="C111">
    <cfRule type="cellIs" dxfId="3105" priority="3309" stopIfTrue="1" operator="equal">
      <formula>"Towel"</formula>
    </cfRule>
    <cfRule type="cellIs" dxfId="3104" priority="3310" stopIfTrue="1" operator="equal">
      <formula>"Napkin Hs"</formula>
    </cfRule>
  </conditionalFormatting>
  <conditionalFormatting sqref="B111:C111">
    <cfRule type="cellIs" dxfId="3103" priority="3305" stopIfTrue="1" operator="equal">
      <formula>"Towel"</formula>
    </cfRule>
    <cfRule type="cellIs" dxfId="3102" priority="3306" stopIfTrue="1" operator="equal">
      <formula>"Napkin Hs"</formula>
    </cfRule>
  </conditionalFormatting>
  <conditionalFormatting sqref="C111">
    <cfRule type="cellIs" dxfId="3101" priority="3303" stopIfTrue="1" operator="equal">
      <formula>"Towel"</formula>
    </cfRule>
    <cfRule type="cellIs" dxfId="3100" priority="3304" stopIfTrue="1" operator="equal">
      <formula>"Napkin Hs"</formula>
    </cfRule>
  </conditionalFormatting>
  <conditionalFormatting sqref="C111">
    <cfRule type="cellIs" dxfId="3099" priority="3301" stopIfTrue="1" operator="equal">
      <formula>"Towel"</formula>
    </cfRule>
    <cfRule type="cellIs" dxfId="3098" priority="3302" stopIfTrue="1" operator="equal">
      <formula>"Napkin Hs"</formula>
    </cfRule>
  </conditionalFormatting>
  <conditionalFormatting sqref="C111">
    <cfRule type="cellIs" dxfId="3097" priority="3293" stopIfTrue="1" operator="equal">
      <formula>"Towel"</formula>
    </cfRule>
    <cfRule type="cellIs" dxfId="3096" priority="3294" stopIfTrue="1" operator="equal">
      <formula>"Napkin Hs"</formula>
    </cfRule>
  </conditionalFormatting>
  <conditionalFormatting sqref="B111:C111">
    <cfRule type="cellIs" dxfId="3095" priority="3295" stopIfTrue="1" operator="equal">
      <formula>"Towel"</formula>
    </cfRule>
    <cfRule type="cellIs" dxfId="3094" priority="3296" stopIfTrue="1" operator="equal">
      <formula>"Napkin Hs"</formula>
    </cfRule>
  </conditionalFormatting>
  <conditionalFormatting sqref="C111">
    <cfRule type="cellIs" dxfId="3093" priority="3291" stopIfTrue="1" operator="equal">
      <formula>"Towel"</formula>
    </cfRule>
    <cfRule type="cellIs" dxfId="3092" priority="3292" stopIfTrue="1" operator="equal">
      <formula>"Napkin Hs"</formula>
    </cfRule>
  </conditionalFormatting>
  <conditionalFormatting sqref="B111:C111">
    <cfRule type="cellIs" dxfId="3091" priority="3289" stopIfTrue="1" operator="equal">
      <formula>"Towel"</formula>
    </cfRule>
    <cfRule type="cellIs" dxfId="3090" priority="3290" stopIfTrue="1" operator="equal">
      <formula>"Napkin Hs"</formula>
    </cfRule>
  </conditionalFormatting>
  <conditionalFormatting sqref="C111">
    <cfRule type="cellIs" dxfId="3089" priority="3297" stopIfTrue="1" operator="equal">
      <formula>"Towel"</formula>
    </cfRule>
    <cfRule type="cellIs" dxfId="3088" priority="3298" stopIfTrue="1" operator="equal">
      <formula>"Napkin Hs"</formula>
    </cfRule>
  </conditionalFormatting>
  <conditionalFormatting sqref="C111">
    <cfRule type="cellIs" dxfId="3087" priority="3299" stopIfTrue="1" operator="equal">
      <formula>"Towel"</formula>
    </cfRule>
    <cfRule type="cellIs" dxfId="3086" priority="3300" stopIfTrue="1" operator="equal">
      <formula>"Napkin Hs"</formula>
    </cfRule>
  </conditionalFormatting>
  <conditionalFormatting sqref="C108:C110">
    <cfRule type="cellIs" dxfId="3085" priority="3281" stopIfTrue="1" operator="equal">
      <formula>"Towel"</formula>
    </cfRule>
    <cfRule type="cellIs" dxfId="3084" priority="3282" stopIfTrue="1" operator="equal">
      <formula>"Napkin Hs"</formula>
    </cfRule>
  </conditionalFormatting>
  <conditionalFormatting sqref="C108:C110">
    <cfRule type="cellIs" dxfId="3083" priority="3279" stopIfTrue="1" operator="equal">
      <formula>"Towel"</formula>
    </cfRule>
    <cfRule type="cellIs" dxfId="3082" priority="3280" stopIfTrue="1" operator="equal">
      <formula>"Napkin Hs"</formula>
    </cfRule>
  </conditionalFormatting>
  <conditionalFormatting sqref="B108:C110">
    <cfRule type="cellIs" dxfId="3081" priority="3277" stopIfTrue="1" operator="equal">
      <formula>"Towel"</formula>
    </cfRule>
    <cfRule type="cellIs" dxfId="3080" priority="3278" stopIfTrue="1" operator="equal">
      <formula>"Napkin Hs"</formula>
    </cfRule>
  </conditionalFormatting>
  <conditionalFormatting sqref="B108:C110">
    <cfRule type="cellIs" dxfId="3079" priority="3287" stopIfTrue="1" operator="equal">
      <formula>"Towel"</formula>
    </cfRule>
    <cfRule type="cellIs" dxfId="3078" priority="3288" stopIfTrue="1" operator="equal">
      <formula>"Napkin Hs"</formula>
    </cfRule>
  </conditionalFormatting>
  <conditionalFormatting sqref="C108:C110">
    <cfRule type="cellIs" dxfId="3077" priority="3285" stopIfTrue="1" operator="equal">
      <formula>"Towel"</formula>
    </cfRule>
    <cfRule type="cellIs" dxfId="3076" priority="3286" stopIfTrue="1" operator="equal">
      <formula>"Napkin Hs"</formula>
    </cfRule>
  </conditionalFormatting>
  <conditionalFormatting sqref="C108:C110">
    <cfRule type="cellIs" dxfId="3075" priority="3283" stopIfTrue="1" operator="equal">
      <formula>"Towel"</formula>
    </cfRule>
    <cfRule type="cellIs" dxfId="3074" priority="3284" stopIfTrue="1" operator="equal">
      <formula>"Napkin Hs"</formula>
    </cfRule>
  </conditionalFormatting>
  <conditionalFormatting sqref="C108:C110">
    <cfRule type="cellIs" dxfId="3073" priority="3275" stopIfTrue="1" operator="equal">
      <formula>"Towel"</formula>
    </cfRule>
    <cfRule type="cellIs" dxfId="3072" priority="3276" stopIfTrue="1" operator="equal">
      <formula>"Napkin Hs"</formula>
    </cfRule>
  </conditionalFormatting>
  <conditionalFormatting sqref="C108:C110">
    <cfRule type="cellIs" dxfId="3071" priority="3273" stopIfTrue="1" operator="equal">
      <formula>"Towel"</formula>
    </cfRule>
    <cfRule type="cellIs" dxfId="3070" priority="3274" stopIfTrue="1" operator="equal">
      <formula>"Napkin Hs"</formula>
    </cfRule>
  </conditionalFormatting>
  <conditionalFormatting sqref="B108:C110">
    <cfRule type="cellIs" dxfId="3069" priority="3271" stopIfTrue="1" operator="equal">
      <formula>"Towel"</formula>
    </cfRule>
    <cfRule type="cellIs" dxfId="3068" priority="3272" stopIfTrue="1" operator="equal">
      <formula>"Napkin Hs"</formula>
    </cfRule>
  </conditionalFormatting>
  <conditionalFormatting sqref="B109:C109">
    <cfRule type="cellIs" dxfId="3067" priority="3269" stopIfTrue="1" operator="equal">
      <formula>"Towel"</formula>
    </cfRule>
    <cfRule type="cellIs" dxfId="3066" priority="3270" stopIfTrue="1" operator="equal">
      <formula>"Napkin Hs"</formula>
    </cfRule>
  </conditionalFormatting>
  <conditionalFormatting sqref="C109">
    <cfRule type="cellIs" dxfId="3065" priority="3267" stopIfTrue="1" operator="equal">
      <formula>"Towel"</formula>
    </cfRule>
    <cfRule type="cellIs" dxfId="3064" priority="3268" stopIfTrue="1" operator="equal">
      <formula>"Napkin Hs"</formula>
    </cfRule>
  </conditionalFormatting>
  <conditionalFormatting sqref="C109">
    <cfRule type="cellIs" dxfId="3063" priority="3265" stopIfTrue="1" operator="equal">
      <formula>"Towel"</formula>
    </cfRule>
    <cfRule type="cellIs" dxfId="3062" priority="3266" stopIfTrue="1" operator="equal">
      <formula>"Napkin Hs"</formula>
    </cfRule>
  </conditionalFormatting>
  <conditionalFormatting sqref="C109">
    <cfRule type="cellIs" dxfId="3061" priority="3257" stopIfTrue="1" operator="equal">
      <formula>"Towel"</formula>
    </cfRule>
    <cfRule type="cellIs" dxfId="3060" priority="3258" stopIfTrue="1" operator="equal">
      <formula>"Napkin Hs"</formula>
    </cfRule>
  </conditionalFormatting>
  <conditionalFormatting sqref="B109:C109">
    <cfRule type="cellIs" dxfId="3059" priority="3259" stopIfTrue="1" operator="equal">
      <formula>"Towel"</formula>
    </cfRule>
    <cfRule type="cellIs" dxfId="3058" priority="3260" stopIfTrue="1" operator="equal">
      <formula>"Napkin Hs"</formula>
    </cfRule>
  </conditionalFormatting>
  <conditionalFormatting sqref="C109">
    <cfRule type="cellIs" dxfId="3057" priority="3255" stopIfTrue="1" operator="equal">
      <formula>"Towel"</formula>
    </cfRule>
    <cfRule type="cellIs" dxfId="3056" priority="3256" stopIfTrue="1" operator="equal">
      <formula>"Napkin Hs"</formula>
    </cfRule>
  </conditionalFormatting>
  <conditionalFormatting sqref="B109:C109">
    <cfRule type="cellIs" dxfId="3055" priority="3253" stopIfTrue="1" operator="equal">
      <formula>"Towel"</formula>
    </cfRule>
    <cfRule type="cellIs" dxfId="3054" priority="3254" stopIfTrue="1" operator="equal">
      <formula>"Napkin Hs"</formula>
    </cfRule>
  </conditionalFormatting>
  <conditionalFormatting sqref="C109">
    <cfRule type="cellIs" dxfId="3053" priority="3261" stopIfTrue="1" operator="equal">
      <formula>"Towel"</formula>
    </cfRule>
    <cfRule type="cellIs" dxfId="3052" priority="3262" stopIfTrue="1" operator="equal">
      <formula>"Napkin Hs"</formula>
    </cfRule>
  </conditionalFormatting>
  <conditionalFormatting sqref="C109">
    <cfRule type="cellIs" dxfId="3051" priority="3263" stopIfTrue="1" operator="equal">
      <formula>"Towel"</formula>
    </cfRule>
    <cfRule type="cellIs" dxfId="3050" priority="3264" stopIfTrue="1" operator="equal">
      <formula>"Napkin Hs"</formula>
    </cfRule>
  </conditionalFormatting>
  <conditionalFormatting sqref="B110:C110">
    <cfRule type="cellIs" dxfId="3049" priority="3251" stopIfTrue="1" operator="equal">
      <formula>"Towel"</formula>
    </cfRule>
    <cfRule type="cellIs" dxfId="3048" priority="3252" stopIfTrue="1" operator="equal">
      <formula>"Napkin Hs"</formula>
    </cfRule>
  </conditionalFormatting>
  <conditionalFormatting sqref="C110">
    <cfRule type="cellIs" dxfId="3047" priority="3249" stopIfTrue="1" operator="equal">
      <formula>"Towel"</formula>
    </cfRule>
    <cfRule type="cellIs" dxfId="3046" priority="3250" stopIfTrue="1" operator="equal">
      <formula>"Napkin Hs"</formula>
    </cfRule>
  </conditionalFormatting>
  <conditionalFormatting sqref="C110">
    <cfRule type="cellIs" dxfId="3045" priority="3247" stopIfTrue="1" operator="equal">
      <formula>"Towel"</formula>
    </cfRule>
    <cfRule type="cellIs" dxfId="3044" priority="3248" stopIfTrue="1" operator="equal">
      <formula>"Napkin Hs"</formula>
    </cfRule>
  </conditionalFormatting>
  <conditionalFormatting sqref="C110">
    <cfRule type="cellIs" dxfId="3043" priority="3239" stopIfTrue="1" operator="equal">
      <formula>"Towel"</formula>
    </cfRule>
    <cfRule type="cellIs" dxfId="3042" priority="3240" stopIfTrue="1" operator="equal">
      <formula>"Napkin Hs"</formula>
    </cfRule>
  </conditionalFormatting>
  <conditionalFormatting sqref="B110:C110">
    <cfRule type="cellIs" dxfId="3041" priority="3241" stopIfTrue="1" operator="equal">
      <formula>"Towel"</formula>
    </cfRule>
    <cfRule type="cellIs" dxfId="3040" priority="3242" stopIfTrue="1" operator="equal">
      <formula>"Napkin Hs"</formula>
    </cfRule>
  </conditionalFormatting>
  <conditionalFormatting sqref="C110">
    <cfRule type="cellIs" dxfId="3039" priority="3237" stopIfTrue="1" operator="equal">
      <formula>"Towel"</formula>
    </cfRule>
    <cfRule type="cellIs" dxfId="3038" priority="3238" stopIfTrue="1" operator="equal">
      <formula>"Napkin Hs"</formula>
    </cfRule>
  </conditionalFormatting>
  <conditionalFormatting sqref="B110:C110">
    <cfRule type="cellIs" dxfId="3037" priority="3235" stopIfTrue="1" operator="equal">
      <formula>"Towel"</formula>
    </cfRule>
    <cfRule type="cellIs" dxfId="3036" priority="3236" stopIfTrue="1" operator="equal">
      <formula>"Napkin Hs"</formula>
    </cfRule>
  </conditionalFormatting>
  <conditionalFormatting sqref="C110">
    <cfRule type="cellIs" dxfId="3035" priority="3243" stopIfTrue="1" operator="equal">
      <formula>"Towel"</formula>
    </cfRule>
    <cfRule type="cellIs" dxfId="3034" priority="3244" stopIfTrue="1" operator="equal">
      <formula>"Napkin Hs"</formula>
    </cfRule>
  </conditionalFormatting>
  <conditionalFormatting sqref="C110">
    <cfRule type="cellIs" dxfId="3033" priority="3245" stopIfTrue="1" operator="equal">
      <formula>"Towel"</formula>
    </cfRule>
    <cfRule type="cellIs" dxfId="3032" priority="3246" stopIfTrue="1" operator="equal">
      <formula>"Napkin Hs"</formula>
    </cfRule>
  </conditionalFormatting>
  <conditionalFormatting sqref="B108:C110">
    <cfRule type="cellIs" dxfId="3031" priority="3231" stopIfTrue="1" operator="equal">
      <formula>"Towel"</formula>
    </cfRule>
    <cfRule type="cellIs" dxfId="3030" priority="3232" stopIfTrue="1" operator="equal">
      <formula>"Napkin Hs"</formula>
    </cfRule>
  </conditionalFormatting>
  <conditionalFormatting sqref="C108:C110">
    <cfRule type="cellIs" dxfId="3029" priority="3233" stopIfTrue="1" operator="equal">
      <formula>"Towel"</formula>
    </cfRule>
    <cfRule type="cellIs" dxfId="3028" priority="3234" stopIfTrue="1" operator="equal">
      <formula>"Napkin Hs"</formula>
    </cfRule>
  </conditionalFormatting>
  <conditionalFormatting sqref="C108:C110">
    <cfRule type="cellIs" dxfId="3027" priority="3229" stopIfTrue="1" operator="equal">
      <formula>"Towel"</formula>
    </cfRule>
    <cfRule type="cellIs" dxfId="3026" priority="3230" stopIfTrue="1" operator="equal">
      <formula>"Napkin Hs"</formula>
    </cfRule>
  </conditionalFormatting>
  <conditionalFormatting sqref="C109">
    <cfRule type="cellIs" dxfId="3025" priority="3221" stopIfTrue="1" operator="equal">
      <formula>"Towel"</formula>
    </cfRule>
    <cfRule type="cellIs" dxfId="3024" priority="3222" stopIfTrue="1" operator="equal">
      <formula>"Napkin Hs"</formula>
    </cfRule>
  </conditionalFormatting>
  <conditionalFormatting sqref="C109">
    <cfRule type="cellIs" dxfId="3023" priority="3219" stopIfTrue="1" operator="equal">
      <formula>"Towel"</formula>
    </cfRule>
    <cfRule type="cellIs" dxfId="3022" priority="3220" stopIfTrue="1" operator="equal">
      <formula>"Napkin Hs"</formula>
    </cfRule>
  </conditionalFormatting>
  <conditionalFormatting sqref="B109:C109">
    <cfRule type="cellIs" dxfId="3021" priority="3217" stopIfTrue="1" operator="equal">
      <formula>"Towel"</formula>
    </cfRule>
    <cfRule type="cellIs" dxfId="3020" priority="3218" stopIfTrue="1" operator="equal">
      <formula>"Napkin Hs"</formula>
    </cfRule>
  </conditionalFormatting>
  <conditionalFormatting sqref="B109:C109">
    <cfRule type="cellIs" dxfId="3019" priority="3227" stopIfTrue="1" operator="equal">
      <formula>"Towel"</formula>
    </cfRule>
    <cfRule type="cellIs" dxfId="3018" priority="3228" stopIfTrue="1" operator="equal">
      <formula>"Napkin Hs"</formula>
    </cfRule>
  </conditionalFormatting>
  <conditionalFormatting sqref="C109">
    <cfRule type="cellIs" dxfId="3017" priority="3225" stopIfTrue="1" operator="equal">
      <formula>"Towel"</formula>
    </cfRule>
    <cfRule type="cellIs" dxfId="3016" priority="3226" stopIfTrue="1" operator="equal">
      <formula>"Napkin Hs"</formula>
    </cfRule>
  </conditionalFormatting>
  <conditionalFormatting sqref="C109">
    <cfRule type="cellIs" dxfId="3015" priority="3223" stopIfTrue="1" operator="equal">
      <formula>"Towel"</formula>
    </cfRule>
    <cfRule type="cellIs" dxfId="3014" priority="3224" stopIfTrue="1" operator="equal">
      <formula>"Napkin Hs"</formula>
    </cfRule>
  </conditionalFormatting>
  <conditionalFormatting sqref="C109">
    <cfRule type="cellIs" dxfId="3013" priority="3215" stopIfTrue="1" operator="equal">
      <formula>"Towel"</formula>
    </cfRule>
    <cfRule type="cellIs" dxfId="3012" priority="3216" stopIfTrue="1" operator="equal">
      <formula>"Napkin Hs"</formula>
    </cfRule>
  </conditionalFormatting>
  <conditionalFormatting sqref="C109">
    <cfRule type="cellIs" dxfId="3011" priority="3213" stopIfTrue="1" operator="equal">
      <formula>"Towel"</formula>
    </cfRule>
    <cfRule type="cellIs" dxfId="3010" priority="3214" stopIfTrue="1" operator="equal">
      <formula>"Napkin Hs"</formula>
    </cfRule>
  </conditionalFormatting>
  <conditionalFormatting sqref="B109:C109">
    <cfRule type="cellIs" dxfId="3009" priority="3211" stopIfTrue="1" operator="equal">
      <formula>"Towel"</formula>
    </cfRule>
    <cfRule type="cellIs" dxfId="3008" priority="3212" stopIfTrue="1" operator="equal">
      <formula>"Napkin Hs"</formula>
    </cfRule>
  </conditionalFormatting>
  <conditionalFormatting sqref="B110:C110">
    <cfRule type="cellIs" dxfId="3007" priority="3209" stopIfTrue="1" operator="equal">
      <formula>"Towel"</formula>
    </cfRule>
    <cfRule type="cellIs" dxfId="3006" priority="3210" stopIfTrue="1" operator="equal">
      <formula>"Napkin Hs"</formula>
    </cfRule>
  </conditionalFormatting>
  <conditionalFormatting sqref="C110">
    <cfRule type="cellIs" dxfId="3005" priority="3207" stopIfTrue="1" operator="equal">
      <formula>"Towel"</formula>
    </cfRule>
    <cfRule type="cellIs" dxfId="3004" priority="3208" stopIfTrue="1" operator="equal">
      <formula>"Napkin Hs"</formula>
    </cfRule>
  </conditionalFormatting>
  <conditionalFormatting sqref="C110">
    <cfRule type="cellIs" dxfId="3003" priority="3205" stopIfTrue="1" operator="equal">
      <formula>"Towel"</formula>
    </cfRule>
    <cfRule type="cellIs" dxfId="3002" priority="3206" stopIfTrue="1" operator="equal">
      <formula>"Napkin Hs"</formula>
    </cfRule>
  </conditionalFormatting>
  <conditionalFormatting sqref="C110">
    <cfRule type="cellIs" dxfId="3001" priority="3197" stopIfTrue="1" operator="equal">
      <formula>"Towel"</formula>
    </cfRule>
    <cfRule type="cellIs" dxfId="3000" priority="3198" stopIfTrue="1" operator="equal">
      <formula>"Napkin Hs"</formula>
    </cfRule>
  </conditionalFormatting>
  <conditionalFormatting sqref="B110:C110">
    <cfRule type="cellIs" dxfId="2999" priority="3199" stopIfTrue="1" operator="equal">
      <formula>"Towel"</formula>
    </cfRule>
    <cfRule type="cellIs" dxfId="2998" priority="3200" stopIfTrue="1" operator="equal">
      <formula>"Napkin Hs"</formula>
    </cfRule>
  </conditionalFormatting>
  <conditionalFormatting sqref="C110">
    <cfRule type="cellIs" dxfId="2997" priority="3195" stopIfTrue="1" operator="equal">
      <formula>"Towel"</formula>
    </cfRule>
    <cfRule type="cellIs" dxfId="2996" priority="3196" stopIfTrue="1" operator="equal">
      <formula>"Napkin Hs"</formula>
    </cfRule>
  </conditionalFormatting>
  <conditionalFormatting sqref="B110:C110">
    <cfRule type="cellIs" dxfId="2995" priority="3193" stopIfTrue="1" operator="equal">
      <formula>"Towel"</formula>
    </cfRule>
    <cfRule type="cellIs" dxfId="2994" priority="3194" stopIfTrue="1" operator="equal">
      <formula>"Napkin Hs"</formula>
    </cfRule>
  </conditionalFormatting>
  <conditionalFormatting sqref="C110">
    <cfRule type="cellIs" dxfId="2993" priority="3201" stopIfTrue="1" operator="equal">
      <formula>"Towel"</formula>
    </cfRule>
    <cfRule type="cellIs" dxfId="2992" priority="3202" stopIfTrue="1" operator="equal">
      <formula>"Napkin Hs"</formula>
    </cfRule>
  </conditionalFormatting>
  <conditionalFormatting sqref="C110">
    <cfRule type="cellIs" dxfId="2991" priority="3203" stopIfTrue="1" operator="equal">
      <formula>"Towel"</formula>
    </cfRule>
    <cfRule type="cellIs" dxfId="2990" priority="3204" stopIfTrue="1" operator="equal">
      <formula>"Napkin Hs"</formula>
    </cfRule>
  </conditionalFormatting>
  <conditionalFormatting sqref="C110">
    <cfRule type="cellIs" dxfId="2989" priority="3189" stopIfTrue="1" operator="equal">
      <formula>"Towel"</formula>
    </cfRule>
    <cfRule type="cellIs" dxfId="2988" priority="3190" stopIfTrue="1" operator="equal">
      <formula>"Napkin Hs"</formula>
    </cfRule>
  </conditionalFormatting>
  <conditionalFormatting sqref="C110">
    <cfRule type="cellIs" dxfId="2987" priority="3191" stopIfTrue="1" operator="equal">
      <formula>"Towel"</formula>
    </cfRule>
    <cfRule type="cellIs" dxfId="2986" priority="3192" stopIfTrue="1" operator="equal">
      <formula>"Napkin Hs"</formula>
    </cfRule>
  </conditionalFormatting>
  <conditionalFormatting sqref="B110:C110">
    <cfRule type="cellIs" dxfId="2985" priority="3187" stopIfTrue="1" operator="equal">
      <formula>"Towel"</formula>
    </cfRule>
    <cfRule type="cellIs" dxfId="2984" priority="3188" stopIfTrue="1" operator="equal">
      <formula>"Napkin Hs"</formula>
    </cfRule>
  </conditionalFormatting>
  <conditionalFormatting sqref="B110:C110">
    <cfRule type="cellIs" dxfId="2983" priority="3181" stopIfTrue="1" operator="equal">
      <formula>"Towel"</formula>
    </cfRule>
    <cfRule type="cellIs" dxfId="2982" priority="3182" stopIfTrue="1" operator="equal">
      <formula>"Napkin Hs"</formula>
    </cfRule>
  </conditionalFormatting>
  <conditionalFormatting sqref="C110">
    <cfRule type="cellIs" dxfId="2981" priority="3183" stopIfTrue="1" operator="equal">
      <formula>"Towel"</formula>
    </cfRule>
    <cfRule type="cellIs" dxfId="2980" priority="3184" stopIfTrue="1" operator="equal">
      <formula>"Napkin Hs"</formula>
    </cfRule>
  </conditionalFormatting>
  <conditionalFormatting sqref="C110">
    <cfRule type="cellIs" dxfId="2979" priority="3185" stopIfTrue="1" operator="equal">
      <formula>"Towel"</formula>
    </cfRule>
    <cfRule type="cellIs" dxfId="2978" priority="3186" stopIfTrue="1" operator="equal">
      <formula>"Napkin Hs"</formula>
    </cfRule>
  </conditionalFormatting>
  <conditionalFormatting sqref="C110">
    <cfRule type="cellIs" dxfId="2977" priority="3153" stopIfTrue="1" operator="equal">
      <formula>"Towel"</formula>
    </cfRule>
    <cfRule type="cellIs" dxfId="2976" priority="3154" stopIfTrue="1" operator="equal">
      <formula>"Napkin Hs"</formula>
    </cfRule>
  </conditionalFormatting>
  <conditionalFormatting sqref="C110">
    <cfRule type="cellIs" dxfId="2975" priority="3155" stopIfTrue="1" operator="equal">
      <formula>"Towel"</formula>
    </cfRule>
    <cfRule type="cellIs" dxfId="2974" priority="3156" stopIfTrue="1" operator="equal">
      <formula>"Napkin Hs"</formula>
    </cfRule>
  </conditionalFormatting>
  <conditionalFormatting sqref="C110">
    <cfRule type="cellIs" dxfId="2973" priority="3151" stopIfTrue="1" operator="equal">
      <formula>"Towel"</formula>
    </cfRule>
    <cfRule type="cellIs" dxfId="2972" priority="3152" stopIfTrue="1" operator="equal">
      <formula>"Napkin Hs"</formula>
    </cfRule>
  </conditionalFormatting>
  <conditionalFormatting sqref="B110">
    <cfRule type="cellIs" dxfId="2971" priority="3145" stopIfTrue="1" operator="equal">
      <formula>"Towel"</formula>
    </cfRule>
    <cfRule type="cellIs" dxfId="2970" priority="3146" stopIfTrue="1" operator="equal">
      <formula>"Napkin Hs"</formula>
    </cfRule>
  </conditionalFormatting>
  <conditionalFormatting sqref="C110">
    <cfRule type="cellIs" dxfId="2969" priority="3147" stopIfTrue="1" operator="equal">
      <formula>"Towel"</formula>
    </cfRule>
    <cfRule type="cellIs" dxfId="2968" priority="3148" stopIfTrue="1" operator="equal">
      <formula>"Napkin Hs"</formula>
    </cfRule>
  </conditionalFormatting>
  <conditionalFormatting sqref="C110">
    <cfRule type="cellIs" dxfId="2967" priority="3149" stopIfTrue="1" operator="equal">
      <formula>"Towel"</formula>
    </cfRule>
    <cfRule type="cellIs" dxfId="2966" priority="3150" stopIfTrue="1" operator="equal">
      <formula>"Napkin Hs"</formula>
    </cfRule>
  </conditionalFormatting>
  <conditionalFormatting sqref="B110:C110">
    <cfRule type="cellIs" dxfId="2965" priority="3099" stopIfTrue="1" operator="equal">
      <formula>"Towel"</formula>
    </cfRule>
    <cfRule type="cellIs" dxfId="2964" priority="3100" stopIfTrue="1" operator="equal">
      <formula>"Napkin Hs"</formula>
    </cfRule>
  </conditionalFormatting>
  <conditionalFormatting sqref="C110">
    <cfRule type="cellIs" dxfId="2963" priority="3101" stopIfTrue="1" operator="equal">
      <formula>"Towel"</formula>
    </cfRule>
    <cfRule type="cellIs" dxfId="2962" priority="3102" stopIfTrue="1" operator="equal">
      <formula>"Napkin Hs"</formula>
    </cfRule>
  </conditionalFormatting>
  <conditionalFormatting sqref="C110">
    <cfRule type="cellIs" dxfId="2961" priority="3097" stopIfTrue="1" operator="equal">
      <formula>"Towel"</formula>
    </cfRule>
    <cfRule type="cellIs" dxfId="2960" priority="3098" stopIfTrue="1" operator="equal">
      <formula>"Napkin Hs"</formula>
    </cfRule>
  </conditionalFormatting>
  <conditionalFormatting sqref="C110">
    <cfRule type="cellIs" dxfId="2959" priority="3095" stopIfTrue="1" operator="equal">
      <formula>"Towel"</formula>
    </cfRule>
    <cfRule type="cellIs" dxfId="2958" priority="3096" stopIfTrue="1" operator="equal">
      <formula>"Napkin Hs"</formula>
    </cfRule>
  </conditionalFormatting>
  <conditionalFormatting sqref="B110">
    <cfRule type="cellIs" dxfId="2957" priority="3143" stopIfTrue="1" operator="equal">
      <formula>"Towel"</formula>
    </cfRule>
    <cfRule type="cellIs" dxfId="2956" priority="3144" stopIfTrue="1" operator="equal">
      <formula>"Napkin Hs"</formula>
    </cfRule>
  </conditionalFormatting>
  <conditionalFormatting sqref="C110">
    <cfRule type="cellIs" dxfId="2955" priority="3139" stopIfTrue="1" operator="equal">
      <formula>"Towel"</formula>
    </cfRule>
    <cfRule type="cellIs" dxfId="2954" priority="3140" stopIfTrue="1" operator="equal">
      <formula>"Napkin Hs"</formula>
    </cfRule>
  </conditionalFormatting>
  <conditionalFormatting sqref="C110">
    <cfRule type="cellIs" dxfId="2953" priority="3133" stopIfTrue="1" operator="equal">
      <formula>"Towel"</formula>
    </cfRule>
    <cfRule type="cellIs" dxfId="2952" priority="3134" stopIfTrue="1" operator="equal">
      <formula>"Napkin Hs"</formula>
    </cfRule>
  </conditionalFormatting>
  <conditionalFormatting sqref="C110">
    <cfRule type="cellIs" dxfId="2951" priority="3137" stopIfTrue="1" operator="equal">
      <formula>"Towel"</formula>
    </cfRule>
    <cfRule type="cellIs" dxfId="2950" priority="3138" stopIfTrue="1" operator="equal">
      <formula>"Napkin Hs"</formula>
    </cfRule>
  </conditionalFormatting>
  <conditionalFormatting sqref="B110:C110">
    <cfRule type="cellIs" dxfId="2949" priority="3135" stopIfTrue="1" operator="equal">
      <formula>"Towel"</formula>
    </cfRule>
    <cfRule type="cellIs" dxfId="2948" priority="3136" stopIfTrue="1" operator="equal">
      <formula>"Napkin Hs"</formula>
    </cfRule>
  </conditionalFormatting>
  <conditionalFormatting sqref="C110">
    <cfRule type="cellIs" dxfId="2947" priority="3127" stopIfTrue="1" operator="equal">
      <formula>"Towel"</formula>
    </cfRule>
    <cfRule type="cellIs" dxfId="2946" priority="3128" stopIfTrue="1" operator="equal">
      <formula>"Napkin Hs"</formula>
    </cfRule>
  </conditionalFormatting>
  <conditionalFormatting sqref="C110">
    <cfRule type="cellIs" dxfId="2945" priority="3129" stopIfTrue="1" operator="equal">
      <formula>"Towel"</formula>
    </cfRule>
    <cfRule type="cellIs" dxfId="2944" priority="3130" stopIfTrue="1" operator="equal">
      <formula>"Napkin Hs"</formula>
    </cfRule>
  </conditionalFormatting>
  <conditionalFormatting sqref="C110">
    <cfRule type="cellIs" dxfId="2943" priority="3131" stopIfTrue="1" operator="equal">
      <formula>"Towel"</formula>
    </cfRule>
    <cfRule type="cellIs" dxfId="2942" priority="3132" stopIfTrue="1" operator="equal">
      <formula>"Napkin Hs"</formula>
    </cfRule>
  </conditionalFormatting>
  <conditionalFormatting sqref="C110">
    <cfRule type="cellIs" dxfId="2941" priority="3121" stopIfTrue="1" operator="equal">
      <formula>"Towel"</formula>
    </cfRule>
    <cfRule type="cellIs" dxfId="2940" priority="3122" stopIfTrue="1" operator="equal">
      <formula>"Napkin Hs"</formula>
    </cfRule>
  </conditionalFormatting>
  <conditionalFormatting sqref="B110:C110">
    <cfRule type="cellIs" dxfId="2939" priority="3125" stopIfTrue="1" operator="equal">
      <formula>"Towel"</formula>
    </cfRule>
    <cfRule type="cellIs" dxfId="2938" priority="3126" stopIfTrue="1" operator="equal">
      <formula>"Napkin Hs"</formula>
    </cfRule>
  </conditionalFormatting>
  <conditionalFormatting sqref="C110">
    <cfRule type="cellIs" dxfId="2937" priority="3123" stopIfTrue="1" operator="equal">
      <formula>"Towel"</formula>
    </cfRule>
    <cfRule type="cellIs" dxfId="2936" priority="3124" stopIfTrue="1" operator="equal">
      <formula>"Napkin Hs"</formula>
    </cfRule>
  </conditionalFormatting>
  <conditionalFormatting sqref="B110:C110">
    <cfRule type="cellIs" dxfId="2935" priority="3115" stopIfTrue="1" operator="equal">
      <formula>"Towel"</formula>
    </cfRule>
    <cfRule type="cellIs" dxfId="2934" priority="3116" stopIfTrue="1" operator="equal">
      <formula>"Napkin Hs"</formula>
    </cfRule>
  </conditionalFormatting>
  <conditionalFormatting sqref="C110">
    <cfRule type="cellIs" dxfId="2933" priority="3117" stopIfTrue="1" operator="equal">
      <formula>"Towel"</formula>
    </cfRule>
    <cfRule type="cellIs" dxfId="2932" priority="3118" stopIfTrue="1" operator="equal">
      <formula>"Napkin Hs"</formula>
    </cfRule>
  </conditionalFormatting>
  <conditionalFormatting sqref="B110:C110">
    <cfRule type="cellIs" dxfId="2931" priority="3119" stopIfTrue="1" operator="equal">
      <formula>"Towel"</formula>
    </cfRule>
    <cfRule type="cellIs" dxfId="2930" priority="3120" stopIfTrue="1" operator="equal">
      <formula>"Napkin Hs"</formula>
    </cfRule>
  </conditionalFormatting>
  <conditionalFormatting sqref="C110">
    <cfRule type="cellIs" dxfId="2929" priority="3113" stopIfTrue="1" operator="equal">
      <formula>"Towel"</formula>
    </cfRule>
    <cfRule type="cellIs" dxfId="2928" priority="3114" stopIfTrue="1" operator="equal">
      <formula>"Napkin Hs"</formula>
    </cfRule>
  </conditionalFormatting>
  <conditionalFormatting sqref="C110">
    <cfRule type="cellIs" dxfId="2927" priority="3109" stopIfTrue="1" operator="equal">
      <formula>"Towel"</formula>
    </cfRule>
    <cfRule type="cellIs" dxfId="2926" priority="3110" stopIfTrue="1" operator="equal">
      <formula>"Napkin Hs"</formula>
    </cfRule>
  </conditionalFormatting>
  <conditionalFormatting sqref="B110:C110">
    <cfRule type="cellIs" dxfId="2925" priority="3111" stopIfTrue="1" operator="equal">
      <formula>"Towel"</formula>
    </cfRule>
    <cfRule type="cellIs" dxfId="2924" priority="3112" stopIfTrue="1" operator="equal">
      <formula>"Napkin Hs"</formula>
    </cfRule>
  </conditionalFormatting>
  <conditionalFormatting sqref="C110">
    <cfRule type="cellIs" dxfId="2923" priority="3107" stopIfTrue="1" operator="equal">
      <formula>"Towel"</formula>
    </cfRule>
    <cfRule type="cellIs" dxfId="2922" priority="3108" stopIfTrue="1" operator="equal">
      <formula>"Napkin Hs"</formula>
    </cfRule>
  </conditionalFormatting>
  <conditionalFormatting sqref="C110">
    <cfRule type="cellIs" dxfId="2921" priority="3105" stopIfTrue="1" operator="equal">
      <formula>"Towel"</formula>
    </cfRule>
    <cfRule type="cellIs" dxfId="2920" priority="3106" stopIfTrue="1" operator="equal">
      <formula>"Napkin Hs"</formula>
    </cfRule>
  </conditionalFormatting>
  <conditionalFormatting sqref="B110:C110">
    <cfRule type="cellIs" dxfId="2919" priority="3103" stopIfTrue="1" operator="equal">
      <formula>"Towel"</formula>
    </cfRule>
    <cfRule type="cellIs" dxfId="2918" priority="3104" stopIfTrue="1" operator="equal">
      <formula>"Napkin Hs"</formula>
    </cfRule>
  </conditionalFormatting>
  <conditionalFormatting sqref="B110:C110">
    <cfRule type="cellIs" dxfId="2917" priority="3179" stopIfTrue="1" operator="equal">
      <formula>"Towel"</formula>
    </cfRule>
    <cfRule type="cellIs" dxfId="2916" priority="3180" stopIfTrue="1" operator="equal">
      <formula>"Napkin Hs"</formula>
    </cfRule>
  </conditionalFormatting>
  <conditionalFormatting sqref="C110">
    <cfRule type="cellIs" dxfId="2915" priority="3175" stopIfTrue="1" operator="equal">
      <formula>"Towel"</formula>
    </cfRule>
    <cfRule type="cellIs" dxfId="2914" priority="3176" stopIfTrue="1" operator="equal">
      <formula>"Napkin Hs"</formula>
    </cfRule>
  </conditionalFormatting>
  <conditionalFormatting sqref="C110">
    <cfRule type="cellIs" dxfId="2913" priority="3178" stopIfTrue="1" operator="equal">
      <formula>"Napkin Hs"</formula>
    </cfRule>
  </conditionalFormatting>
  <conditionalFormatting sqref="C110">
    <cfRule type="cellIs" dxfId="2912" priority="3177" stopIfTrue="1" operator="equal">
      <formula>"Towel"</formula>
    </cfRule>
  </conditionalFormatting>
  <conditionalFormatting sqref="C110">
    <cfRule type="cellIs" dxfId="2911" priority="3169" stopIfTrue="1" operator="equal">
      <formula>"Towel"</formula>
    </cfRule>
    <cfRule type="cellIs" dxfId="2910" priority="3170" stopIfTrue="1" operator="equal">
      <formula>"Napkin Hs"</formula>
    </cfRule>
  </conditionalFormatting>
  <conditionalFormatting sqref="C110">
    <cfRule type="cellIs" dxfId="2909" priority="3173" stopIfTrue="1" operator="equal">
      <formula>"Towel"</formula>
    </cfRule>
    <cfRule type="cellIs" dxfId="2908" priority="3174" stopIfTrue="1" operator="equal">
      <formula>"Napkin Hs"</formula>
    </cfRule>
  </conditionalFormatting>
  <conditionalFormatting sqref="B110">
    <cfRule type="cellIs" dxfId="2907" priority="3159" stopIfTrue="1" operator="equal">
      <formula>"Towel"</formula>
    </cfRule>
    <cfRule type="cellIs" dxfId="2906" priority="3160" stopIfTrue="1" operator="equal">
      <formula>"Napkin Hs"</formula>
    </cfRule>
  </conditionalFormatting>
  <conditionalFormatting sqref="C110">
    <cfRule type="cellIs" dxfId="2905" priority="3171" stopIfTrue="1" operator="equal">
      <formula>"Towel"</formula>
    </cfRule>
    <cfRule type="cellIs" dxfId="2904" priority="3172" stopIfTrue="1" operator="equal">
      <formula>"Napkin Hs"</formula>
    </cfRule>
  </conditionalFormatting>
  <conditionalFormatting sqref="C110">
    <cfRule type="cellIs" dxfId="2903" priority="3163" stopIfTrue="1" operator="equal">
      <formula>"Towel"</formula>
    </cfRule>
    <cfRule type="cellIs" dxfId="2902" priority="3164" stopIfTrue="1" operator="equal">
      <formula>"Napkin Hs"</formula>
    </cfRule>
  </conditionalFormatting>
  <conditionalFormatting sqref="C110">
    <cfRule type="cellIs" dxfId="2901" priority="3165" stopIfTrue="1" operator="equal">
      <formula>"Towel"</formula>
    </cfRule>
    <cfRule type="cellIs" dxfId="2900" priority="3166" stopIfTrue="1" operator="equal">
      <formula>"Napkin Hs"</formula>
    </cfRule>
  </conditionalFormatting>
  <conditionalFormatting sqref="C110">
    <cfRule type="cellIs" dxfId="2899" priority="3167" stopIfTrue="1" operator="equal">
      <formula>"Towel"</formula>
    </cfRule>
    <cfRule type="cellIs" dxfId="2898" priority="3168" stopIfTrue="1" operator="equal">
      <formula>"Napkin Hs"</formula>
    </cfRule>
  </conditionalFormatting>
  <conditionalFormatting sqref="B110">
    <cfRule type="cellIs" dxfId="2897" priority="3161" stopIfTrue="1" operator="equal">
      <formula>"Towel"</formula>
    </cfRule>
    <cfRule type="cellIs" dxfId="2896" priority="3162" stopIfTrue="1" operator="equal">
      <formula>"Napkin Hs"</formula>
    </cfRule>
  </conditionalFormatting>
  <conditionalFormatting sqref="C110">
    <cfRule type="cellIs" dxfId="2895" priority="3157" stopIfTrue="1" operator="equal">
      <formula>"Towel"</formula>
    </cfRule>
    <cfRule type="cellIs" dxfId="2894" priority="3158" stopIfTrue="1" operator="equal">
      <formula>"Napkin Hs"</formula>
    </cfRule>
  </conditionalFormatting>
  <conditionalFormatting sqref="B110:C110">
    <cfRule type="cellIs" dxfId="2893" priority="3141" stopIfTrue="1" operator="equal">
      <formula>"Towel"</formula>
    </cfRule>
    <cfRule type="cellIs" dxfId="2892" priority="3142" stopIfTrue="1" operator="equal">
      <formula>"Napkin Hs"</formula>
    </cfRule>
  </conditionalFormatting>
  <conditionalFormatting sqref="C109">
    <cfRule type="cellIs" dxfId="2891" priority="3091" stopIfTrue="1" operator="equal">
      <formula>"Towel"</formula>
    </cfRule>
    <cfRule type="cellIs" dxfId="2890" priority="3092" stopIfTrue="1" operator="equal">
      <formula>"Napkin Hs"</formula>
    </cfRule>
  </conditionalFormatting>
  <conditionalFormatting sqref="C109">
    <cfRule type="cellIs" dxfId="2889" priority="3093" stopIfTrue="1" operator="equal">
      <formula>"Towel"</formula>
    </cfRule>
    <cfRule type="cellIs" dxfId="2888" priority="3094" stopIfTrue="1" operator="equal">
      <formula>"Napkin Hs"</formula>
    </cfRule>
  </conditionalFormatting>
  <conditionalFormatting sqref="C109">
    <cfRule type="cellIs" dxfId="2887" priority="3087" stopIfTrue="1" operator="equal">
      <formula>"Towel"</formula>
    </cfRule>
    <cfRule type="cellIs" dxfId="2886" priority="3088" stopIfTrue="1" operator="equal">
      <formula>"Napkin Hs"</formula>
    </cfRule>
  </conditionalFormatting>
  <conditionalFormatting sqref="B109:C109">
    <cfRule type="cellIs" dxfId="2885" priority="3089" stopIfTrue="1" operator="equal">
      <formula>"Towel"</formula>
    </cfRule>
    <cfRule type="cellIs" dxfId="2884" priority="3090" stopIfTrue="1" operator="equal">
      <formula>"Napkin Hs"</formula>
    </cfRule>
  </conditionalFormatting>
  <conditionalFormatting sqref="C109">
    <cfRule type="cellIs" dxfId="2883" priority="3085" stopIfTrue="1" operator="equal">
      <formula>"Towel"</formula>
    </cfRule>
    <cfRule type="cellIs" dxfId="2882" priority="3086" stopIfTrue="1" operator="equal">
      <formula>"Napkin Hs"</formula>
    </cfRule>
  </conditionalFormatting>
  <conditionalFormatting sqref="B109:C109">
    <cfRule type="cellIs" dxfId="2881" priority="3083" stopIfTrue="1" operator="equal">
      <formula>"Towel"</formula>
    </cfRule>
    <cfRule type="cellIs" dxfId="2880" priority="3084" stopIfTrue="1" operator="equal">
      <formula>"Napkin Hs"</formula>
    </cfRule>
  </conditionalFormatting>
  <conditionalFormatting sqref="B109:C109">
    <cfRule type="cellIs" dxfId="2879" priority="3081" stopIfTrue="1" operator="equal">
      <formula>"Towel"</formula>
    </cfRule>
    <cfRule type="cellIs" dxfId="2878" priority="3082" stopIfTrue="1" operator="equal">
      <formula>"Napkin Hs"</formula>
    </cfRule>
  </conditionalFormatting>
  <conditionalFormatting sqref="C109">
    <cfRule type="cellIs" dxfId="2877" priority="3075" stopIfTrue="1" operator="equal">
      <formula>"Towel"</formula>
    </cfRule>
    <cfRule type="cellIs" dxfId="2876" priority="3076" stopIfTrue="1" operator="equal">
      <formula>"Napkin Hs"</formula>
    </cfRule>
  </conditionalFormatting>
  <conditionalFormatting sqref="C109">
    <cfRule type="cellIs" dxfId="2875" priority="3077" stopIfTrue="1" operator="equal">
      <formula>"Towel"</formula>
    </cfRule>
    <cfRule type="cellIs" dxfId="2874" priority="3078" stopIfTrue="1" operator="equal">
      <formula>"Napkin Hs"</formula>
    </cfRule>
  </conditionalFormatting>
  <conditionalFormatting sqref="C109">
    <cfRule type="cellIs" dxfId="2873" priority="3073" stopIfTrue="1" operator="equal">
      <formula>"Towel"</formula>
    </cfRule>
    <cfRule type="cellIs" dxfId="2872" priority="3074" stopIfTrue="1" operator="equal">
      <formula>"Napkin Hs"</formula>
    </cfRule>
  </conditionalFormatting>
  <conditionalFormatting sqref="C109">
    <cfRule type="cellIs" dxfId="2871" priority="3071" stopIfTrue="1" operator="equal">
      <formula>"Towel"</formula>
    </cfRule>
    <cfRule type="cellIs" dxfId="2870" priority="3072" stopIfTrue="1" operator="equal">
      <formula>"Napkin Hs"</formula>
    </cfRule>
  </conditionalFormatting>
  <conditionalFormatting sqref="C109">
    <cfRule type="cellIs" dxfId="2869" priority="3067" stopIfTrue="1" operator="equal">
      <formula>"Towel"</formula>
    </cfRule>
    <cfRule type="cellIs" dxfId="2868" priority="3068" stopIfTrue="1" operator="equal">
      <formula>"Napkin Hs"</formula>
    </cfRule>
  </conditionalFormatting>
  <conditionalFormatting sqref="C109">
    <cfRule type="cellIs" dxfId="2867" priority="3069" stopIfTrue="1" operator="equal">
      <formula>"Towel"</formula>
    </cfRule>
    <cfRule type="cellIs" dxfId="2866" priority="3070" stopIfTrue="1" operator="equal">
      <formula>"Napkin Hs"</formula>
    </cfRule>
  </conditionalFormatting>
  <conditionalFormatting sqref="C109">
    <cfRule type="cellIs" dxfId="2865" priority="3065" stopIfTrue="1" operator="equal">
      <formula>"Towel"</formula>
    </cfRule>
    <cfRule type="cellIs" dxfId="2864" priority="3066" stopIfTrue="1" operator="equal">
      <formula>"Napkin Hs"</formula>
    </cfRule>
  </conditionalFormatting>
  <conditionalFormatting sqref="C109">
    <cfRule type="cellIs" dxfId="2863" priority="3049" stopIfTrue="1" operator="equal">
      <formula>"Towel"</formula>
    </cfRule>
    <cfRule type="cellIs" dxfId="2862" priority="3050" stopIfTrue="1" operator="equal">
      <formula>"Napkin Hs"</formula>
    </cfRule>
  </conditionalFormatting>
  <conditionalFormatting sqref="B109">
    <cfRule type="cellIs" dxfId="2861" priority="3047" stopIfTrue="1" operator="equal">
      <formula>"Towel"</formula>
    </cfRule>
    <cfRule type="cellIs" dxfId="2860" priority="3048" stopIfTrue="1" operator="equal">
      <formula>"Napkin Hs"</formula>
    </cfRule>
  </conditionalFormatting>
  <conditionalFormatting sqref="B109">
    <cfRule type="cellIs" dxfId="2859" priority="3063" stopIfTrue="1" operator="equal">
      <formula>"Towel"</formula>
    </cfRule>
    <cfRule type="cellIs" dxfId="2858" priority="3064" stopIfTrue="1" operator="equal">
      <formula>"Napkin Hs"</formula>
    </cfRule>
  </conditionalFormatting>
  <conditionalFormatting sqref="C109">
    <cfRule type="cellIs" dxfId="2857" priority="3059" stopIfTrue="1" operator="equal">
      <formula>"Towel"</formula>
    </cfRule>
    <cfRule type="cellIs" dxfId="2856" priority="3060" stopIfTrue="1" operator="equal">
      <formula>"Napkin Hs"</formula>
    </cfRule>
  </conditionalFormatting>
  <conditionalFormatting sqref="B109">
    <cfRule type="cellIs" dxfId="2855" priority="3061" stopIfTrue="1" operator="equal">
      <formula>"Towel"</formula>
    </cfRule>
    <cfRule type="cellIs" dxfId="2854" priority="3062" stopIfTrue="1" operator="equal">
      <formula>"Napkin Hs"</formula>
    </cfRule>
  </conditionalFormatting>
  <conditionalFormatting sqref="C109">
    <cfRule type="cellIs" dxfId="2853" priority="3055" stopIfTrue="1" operator="equal">
      <formula>"Towel"</formula>
    </cfRule>
    <cfRule type="cellIs" dxfId="2852" priority="3056" stopIfTrue="1" operator="equal">
      <formula>"Napkin Hs"</formula>
    </cfRule>
  </conditionalFormatting>
  <conditionalFormatting sqref="C109">
    <cfRule type="cellIs" dxfId="2851" priority="3057" stopIfTrue="1" operator="equal">
      <formula>"Towel"</formula>
    </cfRule>
    <cfRule type="cellIs" dxfId="2850" priority="3058" stopIfTrue="1" operator="equal">
      <formula>"Napkin Hs"</formula>
    </cfRule>
  </conditionalFormatting>
  <conditionalFormatting sqref="C109">
    <cfRule type="cellIs" dxfId="2849" priority="3053" stopIfTrue="1" operator="equal">
      <formula>"Towel"</formula>
    </cfRule>
    <cfRule type="cellIs" dxfId="2848" priority="3054" stopIfTrue="1" operator="equal">
      <formula>"Napkin Hs"</formula>
    </cfRule>
  </conditionalFormatting>
  <conditionalFormatting sqref="C109">
    <cfRule type="cellIs" dxfId="2847" priority="3051" stopIfTrue="1" operator="equal">
      <formula>"Towel"</formula>
    </cfRule>
    <cfRule type="cellIs" dxfId="2846" priority="3052" stopIfTrue="1" operator="equal">
      <formula>"Napkin Hs"</formula>
    </cfRule>
  </conditionalFormatting>
  <conditionalFormatting sqref="B109">
    <cfRule type="cellIs" dxfId="2845" priority="3045" stopIfTrue="1" operator="equal">
      <formula>"Towel"</formula>
    </cfRule>
    <cfRule type="cellIs" dxfId="2844" priority="3046" stopIfTrue="1" operator="equal">
      <formula>"Napkin Hs"</formula>
    </cfRule>
  </conditionalFormatting>
  <conditionalFormatting sqref="B109:C109">
    <cfRule type="cellIs" dxfId="2843" priority="3043" stopIfTrue="1" operator="equal">
      <formula>"Towel"</formula>
    </cfRule>
    <cfRule type="cellIs" dxfId="2842" priority="3044" stopIfTrue="1" operator="equal">
      <formula>"Napkin Hs"</formula>
    </cfRule>
  </conditionalFormatting>
  <conditionalFormatting sqref="C109">
    <cfRule type="cellIs" dxfId="2841" priority="3041" stopIfTrue="1" operator="equal">
      <formula>"Towel"</formula>
    </cfRule>
    <cfRule type="cellIs" dxfId="2840" priority="3042" stopIfTrue="1" operator="equal">
      <formula>"Napkin Hs"</formula>
    </cfRule>
  </conditionalFormatting>
  <conditionalFormatting sqref="C109">
    <cfRule type="cellIs" dxfId="2839" priority="3039" stopIfTrue="1" operator="equal">
      <formula>"Towel"</formula>
    </cfRule>
    <cfRule type="cellIs" dxfId="2838" priority="3040" stopIfTrue="1" operator="equal">
      <formula>"Napkin Hs"</formula>
    </cfRule>
  </conditionalFormatting>
  <conditionalFormatting sqref="C109">
    <cfRule type="cellIs" dxfId="2837" priority="3029" stopIfTrue="1" operator="equal">
      <formula>"Towel"</formula>
    </cfRule>
    <cfRule type="cellIs" dxfId="2836" priority="3030" stopIfTrue="1" operator="equal">
      <formula>"Napkin Hs"</formula>
    </cfRule>
  </conditionalFormatting>
  <conditionalFormatting sqref="C109">
    <cfRule type="cellIs" dxfId="2835" priority="3031" stopIfTrue="1" operator="equal">
      <formula>"Towel"</formula>
    </cfRule>
    <cfRule type="cellIs" dxfId="2834" priority="3032" stopIfTrue="1" operator="equal">
      <formula>"Napkin Hs"</formula>
    </cfRule>
  </conditionalFormatting>
  <conditionalFormatting sqref="B109:C109">
    <cfRule type="cellIs" dxfId="2833" priority="3027" stopIfTrue="1" operator="equal">
      <formula>"Towel"</formula>
    </cfRule>
    <cfRule type="cellIs" dxfId="2832" priority="3028" stopIfTrue="1" operator="equal">
      <formula>"Napkin Hs"</formula>
    </cfRule>
  </conditionalFormatting>
  <conditionalFormatting sqref="C109">
    <cfRule type="cellIs" dxfId="2831" priority="3025" stopIfTrue="1" operator="equal">
      <formula>"Towel"</formula>
    </cfRule>
    <cfRule type="cellIs" dxfId="2830" priority="3026" stopIfTrue="1" operator="equal">
      <formula>"Napkin Hs"</formula>
    </cfRule>
  </conditionalFormatting>
  <conditionalFormatting sqref="B109:C109">
    <cfRule type="cellIs" dxfId="2829" priority="3021" stopIfTrue="1" operator="equal">
      <formula>"Towel"</formula>
    </cfRule>
    <cfRule type="cellIs" dxfId="2828" priority="3022" stopIfTrue="1" operator="equal">
      <formula>"Napkin Hs"</formula>
    </cfRule>
  </conditionalFormatting>
  <conditionalFormatting sqref="C109">
    <cfRule type="cellIs" dxfId="2827" priority="3023" stopIfTrue="1" operator="equal">
      <formula>"Towel"</formula>
    </cfRule>
    <cfRule type="cellIs" dxfId="2826" priority="3024" stopIfTrue="1" operator="equal">
      <formula>"Napkin Hs"</formula>
    </cfRule>
  </conditionalFormatting>
  <conditionalFormatting sqref="C109">
    <cfRule type="cellIs" dxfId="2825" priority="3080" stopIfTrue="1" operator="equal">
      <formula>"Napkin Hs"</formula>
    </cfRule>
  </conditionalFormatting>
  <conditionalFormatting sqref="C109">
    <cfRule type="cellIs" dxfId="2824" priority="3079" stopIfTrue="1" operator="equal">
      <formula>"Towel"</formula>
    </cfRule>
  </conditionalFormatting>
  <conditionalFormatting sqref="B109:C109">
    <cfRule type="cellIs" dxfId="2823" priority="3037" stopIfTrue="1" operator="equal">
      <formula>"Towel"</formula>
    </cfRule>
    <cfRule type="cellIs" dxfId="2822" priority="3038" stopIfTrue="1" operator="equal">
      <formula>"Napkin Hs"</formula>
    </cfRule>
  </conditionalFormatting>
  <conditionalFormatting sqref="C109">
    <cfRule type="cellIs" dxfId="2821" priority="3035" stopIfTrue="1" operator="equal">
      <formula>"Towel"</formula>
    </cfRule>
    <cfRule type="cellIs" dxfId="2820" priority="3036" stopIfTrue="1" operator="equal">
      <formula>"Napkin Hs"</formula>
    </cfRule>
  </conditionalFormatting>
  <conditionalFormatting sqref="C109">
    <cfRule type="cellIs" dxfId="2819" priority="3033" stopIfTrue="1" operator="equal">
      <formula>"Towel"</formula>
    </cfRule>
    <cfRule type="cellIs" dxfId="2818" priority="3034" stopIfTrue="1" operator="equal">
      <formula>"Napkin Hs"</formula>
    </cfRule>
  </conditionalFormatting>
  <conditionalFormatting sqref="B109:C109">
    <cfRule type="cellIs" dxfId="2817" priority="3017" stopIfTrue="1" operator="equal">
      <formula>"Towel"</formula>
    </cfRule>
    <cfRule type="cellIs" dxfId="2816" priority="3018" stopIfTrue="1" operator="equal">
      <formula>"Napkin Hs"</formula>
    </cfRule>
  </conditionalFormatting>
  <conditionalFormatting sqref="C109">
    <cfRule type="cellIs" dxfId="2815" priority="3019" stopIfTrue="1" operator="equal">
      <formula>"Towel"</formula>
    </cfRule>
    <cfRule type="cellIs" dxfId="2814" priority="3020" stopIfTrue="1" operator="equal">
      <formula>"Napkin Hs"</formula>
    </cfRule>
  </conditionalFormatting>
  <conditionalFormatting sqref="C109">
    <cfRule type="cellIs" dxfId="2813" priority="3015" stopIfTrue="1" operator="equal">
      <formula>"Towel"</formula>
    </cfRule>
    <cfRule type="cellIs" dxfId="2812" priority="3016" stopIfTrue="1" operator="equal">
      <formula>"Napkin Hs"</formula>
    </cfRule>
  </conditionalFormatting>
  <conditionalFormatting sqref="B109:C109">
    <cfRule type="cellIs" dxfId="2811" priority="3013" stopIfTrue="1" operator="equal">
      <formula>"Towel"</formula>
    </cfRule>
    <cfRule type="cellIs" dxfId="2810" priority="3014" stopIfTrue="1" operator="equal">
      <formula>"Napkin Hs"</formula>
    </cfRule>
  </conditionalFormatting>
  <conditionalFormatting sqref="C109">
    <cfRule type="cellIs" dxfId="2809" priority="3009" stopIfTrue="1" operator="equal">
      <formula>"Towel"</formula>
    </cfRule>
    <cfRule type="cellIs" dxfId="2808" priority="3010" stopIfTrue="1" operator="equal">
      <formula>"Napkin Hs"</formula>
    </cfRule>
  </conditionalFormatting>
  <conditionalFormatting sqref="C109">
    <cfRule type="cellIs" dxfId="2807" priority="3011" stopIfTrue="1" operator="equal">
      <formula>"Towel"</formula>
    </cfRule>
    <cfRule type="cellIs" dxfId="2806" priority="3012" stopIfTrue="1" operator="equal">
      <formula>"Napkin Hs"</formula>
    </cfRule>
  </conditionalFormatting>
  <conditionalFormatting sqref="B109:C109">
    <cfRule type="cellIs" dxfId="2805" priority="3005" stopIfTrue="1" operator="equal">
      <formula>"Towel"</formula>
    </cfRule>
    <cfRule type="cellIs" dxfId="2804" priority="3006" stopIfTrue="1" operator="equal">
      <formula>"Napkin Hs"</formula>
    </cfRule>
  </conditionalFormatting>
  <conditionalFormatting sqref="C109">
    <cfRule type="cellIs" dxfId="2803" priority="3007" stopIfTrue="1" operator="equal">
      <formula>"Towel"</formula>
    </cfRule>
    <cfRule type="cellIs" dxfId="2802" priority="3008" stopIfTrue="1" operator="equal">
      <formula>"Napkin Hs"</formula>
    </cfRule>
  </conditionalFormatting>
  <conditionalFormatting sqref="C109">
    <cfRule type="cellIs" dxfId="2801" priority="3003" stopIfTrue="1" operator="equal">
      <formula>"Towel"</formula>
    </cfRule>
    <cfRule type="cellIs" dxfId="2800" priority="3004" stopIfTrue="1" operator="equal">
      <formula>"Napkin Hs"</formula>
    </cfRule>
  </conditionalFormatting>
  <conditionalFormatting sqref="B109:C109">
    <cfRule type="cellIs" dxfId="2799" priority="3001" stopIfTrue="1" operator="equal">
      <formula>"Towel"</formula>
    </cfRule>
    <cfRule type="cellIs" dxfId="2798" priority="3002" stopIfTrue="1" operator="equal">
      <formula>"Napkin Hs"</formula>
    </cfRule>
  </conditionalFormatting>
  <conditionalFormatting sqref="C109">
    <cfRule type="cellIs" dxfId="2797" priority="2997" stopIfTrue="1" operator="equal">
      <formula>"Towel"</formula>
    </cfRule>
    <cfRule type="cellIs" dxfId="2796" priority="2998" stopIfTrue="1" operator="equal">
      <formula>"Napkin Hs"</formula>
    </cfRule>
  </conditionalFormatting>
  <conditionalFormatting sqref="C109">
    <cfRule type="cellIs" dxfId="2795" priority="2999" stopIfTrue="1" operator="equal">
      <formula>"Towel"</formula>
    </cfRule>
    <cfRule type="cellIs" dxfId="2794" priority="3000" stopIfTrue="1" operator="equal">
      <formula>"Napkin Hs"</formula>
    </cfRule>
  </conditionalFormatting>
  <conditionalFormatting sqref="C108:C110">
    <cfRule type="cellIs" dxfId="2793" priority="2993" stopIfTrue="1" operator="equal">
      <formula>"Towel"</formula>
    </cfRule>
    <cfRule type="cellIs" dxfId="2792" priority="2994" stopIfTrue="1" operator="equal">
      <formula>"Napkin Hs"</formula>
    </cfRule>
  </conditionalFormatting>
  <conditionalFormatting sqref="C108:C110">
    <cfRule type="cellIs" dxfId="2791" priority="2995" stopIfTrue="1" operator="equal">
      <formula>"Towel"</formula>
    </cfRule>
    <cfRule type="cellIs" dxfId="2790" priority="2996" stopIfTrue="1" operator="equal">
      <formula>"Napkin Hs"</formula>
    </cfRule>
  </conditionalFormatting>
  <conditionalFormatting sqref="C108:C110">
    <cfRule type="cellIs" dxfId="2789" priority="2989" stopIfTrue="1" operator="equal">
      <formula>"Towel"</formula>
    </cfRule>
    <cfRule type="cellIs" dxfId="2788" priority="2990" stopIfTrue="1" operator="equal">
      <formula>"Napkin Hs"</formula>
    </cfRule>
  </conditionalFormatting>
  <conditionalFormatting sqref="B108:C110">
    <cfRule type="cellIs" dxfId="2787" priority="2991" stopIfTrue="1" operator="equal">
      <formula>"Towel"</formula>
    </cfRule>
    <cfRule type="cellIs" dxfId="2786" priority="2992" stopIfTrue="1" operator="equal">
      <formula>"Napkin Hs"</formula>
    </cfRule>
  </conditionalFormatting>
  <conditionalFormatting sqref="C108:C110">
    <cfRule type="cellIs" dxfId="2785" priority="2987" stopIfTrue="1" operator="equal">
      <formula>"Towel"</formula>
    </cfRule>
    <cfRule type="cellIs" dxfId="2784" priority="2988" stopIfTrue="1" operator="equal">
      <formula>"Napkin Hs"</formula>
    </cfRule>
  </conditionalFormatting>
  <conditionalFormatting sqref="B108:C110">
    <cfRule type="cellIs" dxfId="2783" priority="2985" stopIfTrue="1" operator="equal">
      <formula>"Towel"</formula>
    </cfRule>
    <cfRule type="cellIs" dxfId="2782" priority="2986" stopIfTrue="1" operator="equal">
      <formula>"Napkin Hs"</formula>
    </cfRule>
  </conditionalFormatting>
  <conditionalFormatting sqref="B108:C110">
    <cfRule type="cellIs" dxfId="2781" priority="2983" stopIfTrue="1" operator="equal">
      <formula>"Towel"</formula>
    </cfRule>
    <cfRule type="cellIs" dxfId="2780" priority="2984" stopIfTrue="1" operator="equal">
      <formula>"Napkin Hs"</formula>
    </cfRule>
  </conditionalFormatting>
  <conditionalFormatting sqref="C108:C110">
    <cfRule type="cellIs" dxfId="2779" priority="2977" stopIfTrue="1" operator="equal">
      <formula>"Towel"</formula>
    </cfRule>
    <cfRule type="cellIs" dxfId="2778" priority="2978" stopIfTrue="1" operator="equal">
      <formula>"Napkin Hs"</formula>
    </cfRule>
  </conditionalFormatting>
  <conditionalFormatting sqref="C108:C110">
    <cfRule type="cellIs" dxfId="2777" priority="2979" stopIfTrue="1" operator="equal">
      <formula>"Towel"</formula>
    </cfRule>
    <cfRule type="cellIs" dxfId="2776" priority="2980" stopIfTrue="1" operator="equal">
      <formula>"Napkin Hs"</formula>
    </cfRule>
  </conditionalFormatting>
  <conditionalFormatting sqref="C108:C110">
    <cfRule type="cellIs" dxfId="2775" priority="2975" stopIfTrue="1" operator="equal">
      <formula>"Towel"</formula>
    </cfRule>
    <cfRule type="cellIs" dxfId="2774" priority="2976" stopIfTrue="1" operator="equal">
      <formula>"Napkin Hs"</formula>
    </cfRule>
  </conditionalFormatting>
  <conditionalFormatting sqref="C108:C110">
    <cfRule type="cellIs" dxfId="2773" priority="2973" stopIfTrue="1" operator="equal">
      <formula>"Towel"</formula>
    </cfRule>
    <cfRule type="cellIs" dxfId="2772" priority="2974" stopIfTrue="1" operator="equal">
      <formula>"Napkin Hs"</formula>
    </cfRule>
  </conditionalFormatting>
  <conditionalFormatting sqref="C108:C110">
    <cfRule type="cellIs" dxfId="2771" priority="2969" stopIfTrue="1" operator="equal">
      <formula>"Towel"</formula>
    </cfRule>
    <cfRule type="cellIs" dxfId="2770" priority="2970" stopIfTrue="1" operator="equal">
      <formula>"Napkin Hs"</formula>
    </cfRule>
  </conditionalFormatting>
  <conditionalFormatting sqref="C108:C110">
    <cfRule type="cellIs" dxfId="2769" priority="2971" stopIfTrue="1" operator="equal">
      <formula>"Towel"</formula>
    </cfRule>
    <cfRule type="cellIs" dxfId="2768" priority="2972" stopIfTrue="1" operator="equal">
      <formula>"Napkin Hs"</formula>
    </cfRule>
  </conditionalFormatting>
  <conditionalFormatting sqref="C108:C110">
    <cfRule type="cellIs" dxfId="2767" priority="2967" stopIfTrue="1" operator="equal">
      <formula>"Towel"</formula>
    </cfRule>
    <cfRule type="cellIs" dxfId="2766" priority="2968" stopIfTrue="1" operator="equal">
      <formula>"Napkin Hs"</formula>
    </cfRule>
  </conditionalFormatting>
  <conditionalFormatting sqref="C108:C110">
    <cfRule type="cellIs" dxfId="2765" priority="2951" stopIfTrue="1" operator="equal">
      <formula>"Towel"</formula>
    </cfRule>
    <cfRule type="cellIs" dxfId="2764" priority="2952" stopIfTrue="1" operator="equal">
      <formula>"Napkin Hs"</formula>
    </cfRule>
  </conditionalFormatting>
  <conditionalFormatting sqref="B108:B110">
    <cfRule type="cellIs" dxfId="2763" priority="2949" stopIfTrue="1" operator="equal">
      <formula>"Towel"</formula>
    </cfRule>
    <cfRule type="cellIs" dxfId="2762" priority="2950" stopIfTrue="1" operator="equal">
      <formula>"Napkin Hs"</formula>
    </cfRule>
  </conditionalFormatting>
  <conditionalFormatting sqref="B108:B110">
    <cfRule type="cellIs" dxfId="2761" priority="2965" stopIfTrue="1" operator="equal">
      <formula>"Towel"</formula>
    </cfRule>
    <cfRule type="cellIs" dxfId="2760" priority="2966" stopIfTrue="1" operator="equal">
      <formula>"Napkin Hs"</formula>
    </cfRule>
  </conditionalFormatting>
  <conditionalFormatting sqref="C108:C110">
    <cfRule type="cellIs" dxfId="2759" priority="2961" stopIfTrue="1" operator="equal">
      <formula>"Towel"</formula>
    </cfRule>
    <cfRule type="cellIs" dxfId="2758" priority="2962" stopIfTrue="1" operator="equal">
      <formula>"Napkin Hs"</formula>
    </cfRule>
  </conditionalFormatting>
  <conditionalFormatting sqref="B108:B110">
    <cfRule type="cellIs" dxfId="2757" priority="2963" stopIfTrue="1" operator="equal">
      <formula>"Towel"</formula>
    </cfRule>
    <cfRule type="cellIs" dxfId="2756" priority="2964" stopIfTrue="1" operator="equal">
      <formula>"Napkin Hs"</formula>
    </cfRule>
  </conditionalFormatting>
  <conditionalFormatting sqref="C108:C110">
    <cfRule type="cellIs" dxfId="2755" priority="2957" stopIfTrue="1" operator="equal">
      <formula>"Towel"</formula>
    </cfRule>
    <cfRule type="cellIs" dxfId="2754" priority="2958" stopIfTrue="1" operator="equal">
      <formula>"Napkin Hs"</formula>
    </cfRule>
  </conditionalFormatting>
  <conditionalFormatting sqref="C108:C110">
    <cfRule type="cellIs" dxfId="2753" priority="2959" stopIfTrue="1" operator="equal">
      <formula>"Towel"</formula>
    </cfRule>
    <cfRule type="cellIs" dxfId="2752" priority="2960" stopIfTrue="1" operator="equal">
      <formula>"Napkin Hs"</formula>
    </cfRule>
  </conditionalFormatting>
  <conditionalFormatting sqref="C108:C110">
    <cfRule type="cellIs" dxfId="2751" priority="2955" stopIfTrue="1" operator="equal">
      <formula>"Towel"</formula>
    </cfRule>
    <cfRule type="cellIs" dxfId="2750" priority="2956" stopIfTrue="1" operator="equal">
      <formula>"Napkin Hs"</formula>
    </cfRule>
  </conditionalFormatting>
  <conditionalFormatting sqref="C108:C110">
    <cfRule type="cellIs" dxfId="2749" priority="2953" stopIfTrue="1" operator="equal">
      <formula>"Towel"</formula>
    </cfRule>
    <cfRule type="cellIs" dxfId="2748" priority="2954" stopIfTrue="1" operator="equal">
      <formula>"Napkin Hs"</formula>
    </cfRule>
  </conditionalFormatting>
  <conditionalFormatting sqref="B108:B110">
    <cfRule type="cellIs" dxfId="2747" priority="2947" stopIfTrue="1" operator="equal">
      <formula>"Towel"</formula>
    </cfRule>
    <cfRule type="cellIs" dxfId="2746" priority="2948" stopIfTrue="1" operator="equal">
      <formula>"Napkin Hs"</formula>
    </cfRule>
  </conditionalFormatting>
  <conditionalFormatting sqref="B108:C110">
    <cfRule type="cellIs" dxfId="2745" priority="2945" stopIfTrue="1" operator="equal">
      <formula>"Towel"</formula>
    </cfRule>
    <cfRule type="cellIs" dxfId="2744" priority="2946" stopIfTrue="1" operator="equal">
      <formula>"Napkin Hs"</formula>
    </cfRule>
  </conditionalFormatting>
  <conditionalFormatting sqref="C108:C110">
    <cfRule type="cellIs" dxfId="2743" priority="2943" stopIfTrue="1" operator="equal">
      <formula>"Towel"</formula>
    </cfRule>
    <cfRule type="cellIs" dxfId="2742" priority="2944" stopIfTrue="1" operator="equal">
      <formula>"Napkin Hs"</formula>
    </cfRule>
  </conditionalFormatting>
  <conditionalFormatting sqref="C108:C110">
    <cfRule type="cellIs" dxfId="2741" priority="2941" stopIfTrue="1" operator="equal">
      <formula>"Towel"</formula>
    </cfRule>
    <cfRule type="cellIs" dxfId="2740" priority="2942" stopIfTrue="1" operator="equal">
      <formula>"Napkin Hs"</formula>
    </cfRule>
  </conditionalFormatting>
  <conditionalFormatting sqref="C108:C110">
    <cfRule type="cellIs" dxfId="2739" priority="2931" stopIfTrue="1" operator="equal">
      <formula>"Towel"</formula>
    </cfRule>
    <cfRule type="cellIs" dxfId="2738" priority="2932" stopIfTrue="1" operator="equal">
      <formula>"Napkin Hs"</formula>
    </cfRule>
  </conditionalFormatting>
  <conditionalFormatting sqref="C108:C110">
    <cfRule type="cellIs" dxfId="2737" priority="2933" stopIfTrue="1" operator="equal">
      <formula>"Towel"</formula>
    </cfRule>
    <cfRule type="cellIs" dxfId="2736" priority="2934" stopIfTrue="1" operator="equal">
      <formula>"Napkin Hs"</formula>
    </cfRule>
  </conditionalFormatting>
  <conditionalFormatting sqref="B108:C110">
    <cfRule type="cellIs" dxfId="2735" priority="2929" stopIfTrue="1" operator="equal">
      <formula>"Towel"</formula>
    </cfRule>
    <cfRule type="cellIs" dxfId="2734" priority="2930" stopIfTrue="1" operator="equal">
      <formula>"Napkin Hs"</formula>
    </cfRule>
  </conditionalFormatting>
  <conditionalFormatting sqref="C108:C110">
    <cfRule type="cellIs" dxfId="2733" priority="2927" stopIfTrue="1" operator="equal">
      <formula>"Towel"</formula>
    </cfRule>
    <cfRule type="cellIs" dxfId="2732" priority="2928" stopIfTrue="1" operator="equal">
      <formula>"Napkin Hs"</formula>
    </cfRule>
  </conditionalFormatting>
  <conditionalFormatting sqref="B108:C110">
    <cfRule type="cellIs" dxfId="2731" priority="2923" stopIfTrue="1" operator="equal">
      <formula>"Towel"</formula>
    </cfRule>
    <cfRule type="cellIs" dxfId="2730" priority="2924" stopIfTrue="1" operator="equal">
      <formula>"Napkin Hs"</formula>
    </cfRule>
  </conditionalFormatting>
  <conditionalFormatting sqref="C108:C110">
    <cfRule type="cellIs" dxfId="2729" priority="2925" stopIfTrue="1" operator="equal">
      <formula>"Towel"</formula>
    </cfRule>
    <cfRule type="cellIs" dxfId="2728" priority="2926" stopIfTrue="1" operator="equal">
      <formula>"Napkin Hs"</formula>
    </cfRule>
  </conditionalFormatting>
  <conditionalFormatting sqref="C108:C110">
    <cfRule type="cellIs" dxfId="2727" priority="2982" stopIfTrue="1" operator="equal">
      <formula>"Napkin Hs"</formula>
    </cfRule>
  </conditionalFormatting>
  <conditionalFormatting sqref="C108:C110">
    <cfRule type="cellIs" dxfId="2726" priority="2981" stopIfTrue="1" operator="equal">
      <formula>"Towel"</formula>
    </cfRule>
  </conditionalFormatting>
  <conditionalFormatting sqref="B108:C110">
    <cfRule type="cellIs" dxfId="2725" priority="2939" stopIfTrue="1" operator="equal">
      <formula>"Towel"</formula>
    </cfRule>
    <cfRule type="cellIs" dxfId="2724" priority="2940" stopIfTrue="1" operator="equal">
      <formula>"Napkin Hs"</formula>
    </cfRule>
  </conditionalFormatting>
  <conditionalFormatting sqref="C108:C110">
    <cfRule type="cellIs" dxfId="2723" priority="2937" stopIfTrue="1" operator="equal">
      <formula>"Towel"</formula>
    </cfRule>
    <cfRule type="cellIs" dxfId="2722" priority="2938" stopIfTrue="1" operator="equal">
      <formula>"Napkin Hs"</formula>
    </cfRule>
  </conditionalFormatting>
  <conditionalFormatting sqref="C108:C110">
    <cfRule type="cellIs" dxfId="2721" priority="2935" stopIfTrue="1" operator="equal">
      <formula>"Towel"</formula>
    </cfRule>
    <cfRule type="cellIs" dxfId="2720" priority="2936" stopIfTrue="1" operator="equal">
      <formula>"Napkin Hs"</formula>
    </cfRule>
  </conditionalFormatting>
  <conditionalFormatting sqref="B108:C110">
    <cfRule type="cellIs" dxfId="2719" priority="2919" stopIfTrue="1" operator="equal">
      <formula>"Towel"</formula>
    </cfRule>
    <cfRule type="cellIs" dxfId="2718" priority="2920" stopIfTrue="1" operator="equal">
      <formula>"Napkin Hs"</formula>
    </cfRule>
  </conditionalFormatting>
  <conditionalFormatting sqref="C108:C110">
    <cfRule type="cellIs" dxfId="2717" priority="2921" stopIfTrue="1" operator="equal">
      <formula>"Towel"</formula>
    </cfRule>
    <cfRule type="cellIs" dxfId="2716" priority="2922" stopIfTrue="1" operator="equal">
      <formula>"Napkin Hs"</formula>
    </cfRule>
  </conditionalFormatting>
  <conditionalFormatting sqref="C108:C110">
    <cfRule type="cellIs" dxfId="2715" priority="2917" stopIfTrue="1" operator="equal">
      <formula>"Towel"</formula>
    </cfRule>
    <cfRule type="cellIs" dxfId="2714" priority="2918" stopIfTrue="1" operator="equal">
      <formula>"Napkin Hs"</formula>
    </cfRule>
  </conditionalFormatting>
  <conditionalFormatting sqref="B108:C110">
    <cfRule type="cellIs" dxfId="2713" priority="2915" stopIfTrue="1" operator="equal">
      <formula>"Towel"</formula>
    </cfRule>
    <cfRule type="cellIs" dxfId="2712" priority="2916" stopIfTrue="1" operator="equal">
      <formula>"Napkin Hs"</formula>
    </cfRule>
  </conditionalFormatting>
  <conditionalFormatting sqref="C108:C110">
    <cfRule type="cellIs" dxfId="2711" priority="2911" stopIfTrue="1" operator="equal">
      <formula>"Towel"</formula>
    </cfRule>
    <cfRule type="cellIs" dxfId="2710" priority="2912" stopIfTrue="1" operator="equal">
      <formula>"Napkin Hs"</formula>
    </cfRule>
  </conditionalFormatting>
  <conditionalFormatting sqref="C108:C110">
    <cfRule type="cellIs" dxfId="2709" priority="2913" stopIfTrue="1" operator="equal">
      <formula>"Towel"</formula>
    </cfRule>
    <cfRule type="cellIs" dxfId="2708" priority="2914" stopIfTrue="1" operator="equal">
      <formula>"Napkin Hs"</formula>
    </cfRule>
  </conditionalFormatting>
  <conditionalFormatting sqref="B108:C110">
    <cfRule type="cellIs" dxfId="2707" priority="2907" stopIfTrue="1" operator="equal">
      <formula>"Towel"</formula>
    </cfRule>
    <cfRule type="cellIs" dxfId="2706" priority="2908" stopIfTrue="1" operator="equal">
      <formula>"Napkin Hs"</formula>
    </cfRule>
  </conditionalFormatting>
  <conditionalFormatting sqref="C108:C110">
    <cfRule type="cellIs" dxfId="2705" priority="2909" stopIfTrue="1" operator="equal">
      <formula>"Towel"</formula>
    </cfRule>
    <cfRule type="cellIs" dxfId="2704" priority="2910" stopIfTrue="1" operator="equal">
      <formula>"Napkin Hs"</formula>
    </cfRule>
  </conditionalFormatting>
  <conditionalFormatting sqref="C108:C110">
    <cfRule type="cellIs" dxfId="2703" priority="2905" stopIfTrue="1" operator="equal">
      <formula>"Towel"</formula>
    </cfRule>
    <cfRule type="cellIs" dxfId="2702" priority="2906" stopIfTrue="1" operator="equal">
      <formula>"Napkin Hs"</formula>
    </cfRule>
  </conditionalFormatting>
  <conditionalFormatting sqref="B108:C110">
    <cfRule type="cellIs" dxfId="2701" priority="2903" stopIfTrue="1" operator="equal">
      <formula>"Towel"</formula>
    </cfRule>
    <cfRule type="cellIs" dxfId="2700" priority="2904" stopIfTrue="1" operator="equal">
      <formula>"Napkin Hs"</formula>
    </cfRule>
  </conditionalFormatting>
  <conditionalFormatting sqref="C108:C110">
    <cfRule type="cellIs" dxfId="2699" priority="2899" stopIfTrue="1" operator="equal">
      <formula>"Towel"</formula>
    </cfRule>
    <cfRule type="cellIs" dxfId="2698" priority="2900" stopIfTrue="1" operator="equal">
      <formula>"Napkin Hs"</formula>
    </cfRule>
  </conditionalFormatting>
  <conditionalFormatting sqref="C108:C110">
    <cfRule type="cellIs" dxfId="2697" priority="2901" stopIfTrue="1" operator="equal">
      <formula>"Towel"</formula>
    </cfRule>
    <cfRule type="cellIs" dxfId="2696" priority="2902" stopIfTrue="1" operator="equal">
      <formula>"Napkin Hs"</formula>
    </cfRule>
  </conditionalFormatting>
  <conditionalFormatting sqref="B117:C117">
    <cfRule type="cellIs" dxfId="2695" priority="2895" stopIfTrue="1" operator="equal">
      <formula>"Towel"</formula>
    </cfRule>
    <cfRule type="cellIs" dxfId="2694" priority="2896" stopIfTrue="1" operator="equal">
      <formula>"Napkin Hs"</formula>
    </cfRule>
  </conditionalFormatting>
  <conditionalFormatting sqref="C117">
    <cfRule type="cellIs" dxfId="2693" priority="2897" stopIfTrue="1" operator="equal">
      <formula>"Towel"</formula>
    </cfRule>
    <cfRule type="cellIs" dxfId="2692" priority="2898" stopIfTrue="1" operator="equal">
      <formula>"Napkin Hs"</formula>
    </cfRule>
  </conditionalFormatting>
  <conditionalFormatting sqref="C117">
    <cfRule type="cellIs" dxfId="2691" priority="2893" stopIfTrue="1" operator="equal">
      <formula>"Towel"</formula>
    </cfRule>
    <cfRule type="cellIs" dxfId="2690" priority="2894" stopIfTrue="1" operator="equal">
      <formula>"Napkin Hs"</formula>
    </cfRule>
  </conditionalFormatting>
  <conditionalFormatting sqref="B117:C117">
    <cfRule type="cellIs" dxfId="2689" priority="2891" stopIfTrue="1" operator="equal">
      <formula>"Towel"</formula>
    </cfRule>
    <cfRule type="cellIs" dxfId="2688" priority="2892" stopIfTrue="1" operator="equal">
      <formula>"Napkin Hs"</formula>
    </cfRule>
  </conditionalFormatting>
  <conditionalFormatting sqref="C117">
    <cfRule type="cellIs" dxfId="2687" priority="2889" stopIfTrue="1" operator="equal">
      <formula>"Towel"</formula>
    </cfRule>
    <cfRule type="cellIs" dxfId="2686" priority="2890" stopIfTrue="1" operator="equal">
      <formula>"Napkin Hs"</formula>
    </cfRule>
  </conditionalFormatting>
  <conditionalFormatting sqref="C117">
    <cfRule type="cellIs" dxfId="2685" priority="2887" stopIfTrue="1" operator="equal">
      <formula>"Towel"</formula>
    </cfRule>
    <cfRule type="cellIs" dxfId="2684" priority="2888" stopIfTrue="1" operator="equal">
      <formula>"Napkin Hs"</formula>
    </cfRule>
  </conditionalFormatting>
  <conditionalFormatting sqref="B116:C116">
    <cfRule type="cellIs" dxfId="2683" priority="2885" stopIfTrue="1" operator="equal">
      <formula>"Towel"</formula>
    </cfRule>
    <cfRule type="cellIs" dxfId="2682" priority="2886" stopIfTrue="1" operator="equal">
      <formula>"Napkin Hs"</formula>
    </cfRule>
  </conditionalFormatting>
  <conditionalFormatting sqref="C116">
    <cfRule type="cellIs" dxfId="2681" priority="2881" stopIfTrue="1" operator="equal">
      <formula>"Towel"</formula>
    </cfRule>
    <cfRule type="cellIs" dxfId="2680" priority="2882" stopIfTrue="1" operator="equal">
      <formula>"Napkin Hs"</formula>
    </cfRule>
  </conditionalFormatting>
  <conditionalFormatting sqref="C116">
    <cfRule type="cellIs" dxfId="2679" priority="2883" stopIfTrue="1" operator="equal">
      <formula>"Towel"</formula>
    </cfRule>
    <cfRule type="cellIs" dxfId="2678" priority="2884" stopIfTrue="1" operator="equal">
      <formula>"Napkin Hs"</formula>
    </cfRule>
  </conditionalFormatting>
  <conditionalFormatting sqref="B116:C116">
    <cfRule type="cellIs" dxfId="2677" priority="2879" stopIfTrue="1" operator="equal">
      <formula>"Towel"</formula>
    </cfRule>
    <cfRule type="cellIs" dxfId="2676" priority="2880" stopIfTrue="1" operator="equal">
      <formula>"Napkin Hs"</formula>
    </cfRule>
  </conditionalFormatting>
  <conditionalFormatting sqref="C116">
    <cfRule type="cellIs" dxfId="2675" priority="2877" stopIfTrue="1" operator="equal">
      <formula>"Towel"</formula>
    </cfRule>
    <cfRule type="cellIs" dxfId="2674" priority="2878" stopIfTrue="1" operator="equal">
      <formula>"Napkin Hs"</formula>
    </cfRule>
  </conditionalFormatting>
  <conditionalFormatting sqref="C116">
    <cfRule type="cellIs" dxfId="2673" priority="2875" stopIfTrue="1" operator="equal">
      <formula>"Towel"</formula>
    </cfRule>
    <cfRule type="cellIs" dxfId="2672" priority="2876" stopIfTrue="1" operator="equal">
      <formula>"Napkin Hs"</formula>
    </cfRule>
  </conditionalFormatting>
  <conditionalFormatting sqref="C116">
    <cfRule type="cellIs" dxfId="2671" priority="2867" stopIfTrue="1" operator="equal">
      <formula>"Towel"</formula>
    </cfRule>
    <cfRule type="cellIs" dxfId="2670" priority="2868" stopIfTrue="1" operator="equal">
      <formula>"Napkin Hs"</formula>
    </cfRule>
  </conditionalFormatting>
  <conditionalFormatting sqref="B116:C116">
    <cfRule type="cellIs" dxfId="2669" priority="2869" stopIfTrue="1" operator="equal">
      <formula>"Towel"</formula>
    </cfRule>
    <cfRule type="cellIs" dxfId="2668" priority="2870" stopIfTrue="1" operator="equal">
      <formula>"Napkin Hs"</formula>
    </cfRule>
  </conditionalFormatting>
  <conditionalFormatting sqref="C116">
    <cfRule type="cellIs" dxfId="2667" priority="2865" stopIfTrue="1" operator="equal">
      <formula>"Towel"</formula>
    </cfRule>
    <cfRule type="cellIs" dxfId="2666" priority="2866" stopIfTrue="1" operator="equal">
      <formula>"Napkin Hs"</formula>
    </cfRule>
  </conditionalFormatting>
  <conditionalFormatting sqref="B116:C116">
    <cfRule type="cellIs" dxfId="2665" priority="2863" stopIfTrue="1" operator="equal">
      <formula>"Towel"</formula>
    </cfRule>
    <cfRule type="cellIs" dxfId="2664" priority="2864" stopIfTrue="1" operator="equal">
      <formula>"Napkin Hs"</formula>
    </cfRule>
  </conditionalFormatting>
  <conditionalFormatting sqref="C116">
    <cfRule type="cellIs" dxfId="2663" priority="2871" stopIfTrue="1" operator="equal">
      <formula>"Towel"</formula>
    </cfRule>
    <cfRule type="cellIs" dxfId="2662" priority="2872" stopIfTrue="1" operator="equal">
      <formula>"Napkin Hs"</formula>
    </cfRule>
  </conditionalFormatting>
  <conditionalFormatting sqref="C116">
    <cfRule type="cellIs" dxfId="2661" priority="2873" stopIfTrue="1" operator="equal">
      <formula>"Towel"</formula>
    </cfRule>
    <cfRule type="cellIs" dxfId="2660" priority="2874" stopIfTrue="1" operator="equal">
      <formula>"Napkin Hs"</formula>
    </cfRule>
  </conditionalFormatting>
  <conditionalFormatting sqref="C114:C115">
    <cfRule type="cellIs" dxfId="2659" priority="2855" stopIfTrue="1" operator="equal">
      <formula>"Towel"</formula>
    </cfRule>
    <cfRule type="cellIs" dxfId="2658" priority="2856" stopIfTrue="1" operator="equal">
      <formula>"Napkin Hs"</formula>
    </cfRule>
  </conditionalFormatting>
  <conditionalFormatting sqref="C114:C115">
    <cfRule type="cellIs" dxfId="2657" priority="2853" stopIfTrue="1" operator="equal">
      <formula>"Towel"</formula>
    </cfRule>
    <cfRule type="cellIs" dxfId="2656" priority="2854" stopIfTrue="1" operator="equal">
      <formula>"Napkin Hs"</formula>
    </cfRule>
  </conditionalFormatting>
  <conditionalFormatting sqref="B114:C115">
    <cfRule type="cellIs" dxfId="2655" priority="2851" stopIfTrue="1" operator="equal">
      <formula>"Towel"</formula>
    </cfRule>
    <cfRule type="cellIs" dxfId="2654" priority="2852" stopIfTrue="1" operator="equal">
      <formula>"Napkin Hs"</formula>
    </cfRule>
  </conditionalFormatting>
  <conditionalFormatting sqref="B114:C115">
    <cfRule type="cellIs" dxfId="2653" priority="2861" stopIfTrue="1" operator="equal">
      <formula>"Towel"</formula>
    </cfRule>
    <cfRule type="cellIs" dxfId="2652" priority="2862" stopIfTrue="1" operator="equal">
      <formula>"Napkin Hs"</formula>
    </cfRule>
  </conditionalFormatting>
  <conditionalFormatting sqref="C114:C115">
    <cfRule type="cellIs" dxfId="2651" priority="2859" stopIfTrue="1" operator="equal">
      <formula>"Towel"</formula>
    </cfRule>
    <cfRule type="cellIs" dxfId="2650" priority="2860" stopIfTrue="1" operator="equal">
      <formula>"Napkin Hs"</formula>
    </cfRule>
  </conditionalFormatting>
  <conditionalFormatting sqref="C114:C115">
    <cfRule type="cellIs" dxfId="2649" priority="2857" stopIfTrue="1" operator="equal">
      <formula>"Towel"</formula>
    </cfRule>
    <cfRule type="cellIs" dxfId="2648" priority="2858" stopIfTrue="1" operator="equal">
      <formula>"Napkin Hs"</formula>
    </cfRule>
  </conditionalFormatting>
  <conditionalFormatting sqref="C114:C115">
    <cfRule type="cellIs" dxfId="2647" priority="2849" stopIfTrue="1" operator="equal">
      <formula>"Towel"</formula>
    </cfRule>
    <cfRule type="cellIs" dxfId="2646" priority="2850" stopIfTrue="1" operator="equal">
      <formula>"Napkin Hs"</formula>
    </cfRule>
  </conditionalFormatting>
  <conditionalFormatting sqref="C114:C115">
    <cfRule type="cellIs" dxfId="2645" priority="2847" stopIfTrue="1" operator="equal">
      <formula>"Towel"</formula>
    </cfRule>
    <cfRule type="cellIs" dxfId="2644" priority="2848" stopIfTrue="1" operator="equal">
      <formula>"Napkin Hs"</formula>
    </cfRule>
  </conditionalFormatting>
  <conditionalFormatting sqref="B114:C115">
    <cfRule type="cellIs" dxfId="2643" priority="2845" stopIfTrue="1" operator="equal">
      <formula>"Towel"</formula>
    </cfRule>
    <cfRule type="cellIs" dxfId="2642" priority="2846" stopIfTrue="1" operator="equal">
      <formula>"Napkin Hs"</formula>
    </cfRule>
  </conditionalFormatting>
  <conditionalFormatting sqref="B114:C114 B115">
    <cfRule type="cellIs" dxfId="2641" priority="2843" stopIfTrue="1" operator="equal">
      <formula>"Towel"</formula>
    </cfRule>
    <cfRule type="cellIs" dxfId="2640" priority="2844" stopIfTrue="1" operator="equal">
      <formula>"Napkin Hs"</formula>
    </cfRule>
  </conditionalFormatting>
  <conditionalFormatting sqref="C114">
    <cfRule type="cellIs" dxfId="2639" priority="2841" stopIfTrue="1" operator="equal">
      <formula>"Towel"</formula>
    </cfRule>
    <cfRule type="cellIs" dxfId="2638" priority="2842" stopIfTrue="1" operator="equal">
      <formula>"Napkin Hs"</formula>
    </cfRule>
  </conditionalFormatting>
  <conditionalFormatting sqref="C114">
    <cfRule type="cellIs" dxfId="2637" priority="2839" stopIfTrue="1" operator="equal">
      <formula>"Towel"</formula>
    </cfRule>
    <cfRule type="cellIs" dxfId="2636" priority="2840" stopIfTrue="1" operator="equal">
      <formula>"Napkin Hs"</formula>
    </cfRule>
  </conditionalFormatting>
  <conditionalFormatting sqref="C114">
    <cfRule type="cellIs" dxfId="2635" priority="2831" stopIfTrue="1" operator="equal">
      <formula>"Towel"</formula>
    </cfRule>
    <cfRule type="cellIs" dxfId="2634" priority="2832" stopIfTrue="1" operator="equal">
      <formula>"Napkin Hs"</formula>
    </cfRule>
  </conditionalFormatting>
  <conditionalFormatting sqref="B114:C114 B115">
    <cfRule type="cellIs" dxfId="2633" priority="2833" stopIfTrue="1" operator="equal">
      <formula>"Towel"</formula>
    </cfRule>
    <cfRule type="cellIs" dxfId="2632" priority="2834" stopIfTrue="1" operator="equal">
      <formula>"Napkin Hs"</formula>
    </cfRule>
  </conditionalFormatting>
  <conditionalFormatting sqref="C114">
    <cfRule type="cellIs" dxfId="2631" priority="2829" stopIfTrue="1" operator="equal">
      <formula>"Towel"</formula>
    </cfRule>
    <cfRule type="cellIs" dxfId="2630" priority="2830" stopIfTrue="1" operator="equal">
      <formula>"Napkin Hs"</formula>
    </cfRule>
  </conditionalFormatting>
  <conditionalFormatting sqref="B114:C114 B115">
    <cfRule type="cellIs" dxfId="2629" priority="2827" stopIfTrue="1" operator="equal">
      <formula>"Towel"</formula>
    </cfRule>
    <cfRule type="cellIs" dxfId="2628" priority="2828" stopIfTrue="1" operator="equal">
      <formula>"Napkin Hs"</formula>
    </cfRule>
  </conditionalFormatting>
  <conditionalFormatting sqref="C114">
    <cfRule type="cellIs" dxfId="2627" priority="2835" stopIfTrue="1" operator="equal">
      <formula>"Towel"</formula>
    </cfRule>
    <cfRule type="cellIs" dxfId="2626" priority="2836" stopIfTrue="1" operator="equal">
      <formula>"Napkin Hs"</formula>
    </cfRule>
  </conditionalFormatting>
  <conditionalFormatting sqref="C114">
    <cfRule type="cellIs" dxfId="2625" priority="2837" stopIfTrue="1" operator="equal">
      <formula>"Towel"</formula>
    </cfRule>
    <cfRule type="cellIs" dxfId="2624" priority="2838" stopIfTrue="1" operator="equal">
      <formula>"Napkin Hs"</formula>
    </cfRule>
  </conditionalFormatting>
  <conditionalFormatting sqref="B115:C115">
    <cfRule type="cellIs" dxfId="2623" priority="2825" stopIfTrue="1" operator="equal">
      <formula>"Towel"</formula>
    </cfRule>
    <cfRule type="cellIs" dxfId="2622" priority="2826" stopIfTrue="1" operator="equal">
      <formula>"Napkin Hs"</formula>
    </cfRule>
  </conditionalFormatting>
  <conditionalFormatting sqref="C115">
    <cfRule type="cellIs" dxfId="2621" priority="2823" stopIfTrue="1" operator="equal">
      <formula>"Towel"</formula>
    </cfRule>
    <cfRule type="cellIs" dxfId="2620" priority="2824" stopIfTrue="1" operator="equal">
      <formula>"Napkin Hs"</formula>
    </cfRule>
  </conditionalFormatting>
  <conditionalFormatting sqref="C115">
    <cfRule type="cellIs" dxfId="2619" priority="2821" stopIfTrue="1" operator="equal">
      <formula>"Towel"</formula>
    </cfRule>
    <cfRule type="cellIs" dxfId="2618" priority="2822" stopIfTrue="1" operator="equal">
      <formula>"Napkin Hs"</formula>
    </cfRule>
  </conditionalFormatting>
  <conditionalFormatting sqref="C115">
    <cfRule type="cellIs" dxfId="2617" priority="2813" stopIfTrue="1" operator="equal">
      <formula>"Towel"</formula>
    </cfRule>
    <cfRule type="cellIs" dxfId="2616" priority="2814" stopIfTrue="1" operator="equal">
      <formula>"Napkin Hs"</formula>
    </cfRule>
  </conditionalFormatting>
  <conditionalFormatting sqref="B115:C115">
    <cfRule type="cellIs" dxfId="2615" priority="2815" stopIfTrue="1" operator="equal">
      <formula>"Towel"</formula>
    </cfRule>
    <cfRule type="cellIs" dxfId="2614" priority="2816" stopIfTrue="1" operator="equal">
      <formula>"Napkin Hs"</formula>
    </cfRule>
  </conditionalFormatting>
  <conditionalFormatting sqref="C115">
    <cfRule type="cellIs" dxfId="2613" priority="2811" stopIfTrue="1" operator="equal">
      <formula>"Towel"</formula>
    </cfRule>
    <cfRule type="cellIs" dxfId="2612" priority="2812" stopIfTrue="1" operator="equal">
      <formula>"Napkin Hs"</formula>
    </cfRule>
  </conditionalFormatting>
  <conditionalFormatting sqref="B115:C115">
    <cfRule type="cellIs" dxfId="2611" priority="2809" stopIfTrue="1" operator="equal">
      <formula>"Towel"</formula>
    </cfRule>
    <cfRule type="cellIs" dxfId="2610" priority="2810" stopIfTrue="1" operator="equal">
      <formula>"Napkin Hs"</formula>
    </cfRule>
  </conditionalFormatting>
  <conditionalFormatting sqref="C115">
    <cfRule type="cellIs" dxfId="2609" priority="2817" stopIfTrue="1" operator="equal">
      <formula>"Towel"</formula>
    </cfRule>
    <cfRule type="cellIs" dxfId="2608" priority="2818" stopIfTrue="1" operator="equal">
      <formula>"Napkin Hs"</formula>
    </cfRule>
  </conditionalFormatting>
  <conditionalFormatting sqref="C115">
    <cfRule type="cellIs" dxfId="2607" priority="2819" stopIfTrue="1" operator="equal">
      <formula>"Towel"</formula>
    </cfRule>
    <cfRule type="cellIs" dxfId="2606" priority="2820" stopIfTrue="1" operator="equal">
      <formula>"Napkin Hs"</formula>
    </cfRule>
  </conditionalFormatting>
  <conditionalFormatting sqref="B114:C115">
    <cfRule type="cellIs" dxfId="2605" priority="2805" stopIfTrue="1" operator="equal">
      <formula>"Towel"</formula>
    </cfRule>
    <cfRule type="cellIs" dxfId="2604" priority="2806" stopIfTrue="1" operator="equal">
      <formula>"Napkin Hs"</formula>
    </cfRule>
  </conditionalFormatting>
  <conditionalFormatting sqref="C114:C115">
    <cfRule type="cellIs" dxfId="2603" priority="2807" stopIfTrue="1" operator="equal">
      <formula>"Towel"</formula>
    </cfRule>
    <cfRule type="cellIs" dxfId="2602" priority="2808" stopIfTrue="1" operator="equal">
      <formula>"Napkin Hs"</formula>
    </cfRule>
  </conditionalFormatting>
  <conditionalFormatting sqref="C114:C115">
    <cfRule type="cellIs" dxfId="2601" priority="2803" stopIfTrue="1" operator="equal">
      <formula>"Towel"</formula>
    </cfRule>
    <cfRule type="cellIs" dxfId="2600" priority="2804" stopIfTrue="1" operator="equal">
      <formula>"Napkin Hs"</formula>
    </cfRule>
  </conditionalFormatting>
  <conditionalFormatting sqref="C114">
    <cfRule type="cellIs" dxfId="2599" priority="2795" stopIfTrue="1" operator="equal">
      <formula>"Towel"</formula>
    </cfRule>
    <cfRule type="cellIs" dxfId="2598" priority="2796" stopIfTrue="1" operator="equal">
      <formula>"Napkin Hs"</formula>
    </cfRule>
  </conditionalFormatting>
  <conditionalFormatting sqref="C114">
    <cfRule type="cellIs" dxfId="2597" priority="2793" stopIfTrue="1" operator="equal">
      <formula>"Towel"</formula>
    </cfRule>
    <cfRule type="cellIs" dxfId="2596" priority="2794" stopIfTrue="1" operator="equal">
      <formula>"Napkin Hs"</formula>
    </cfRule>
  </conditionalFormatting>
  <conditionalFormatting sqref="B114:C114 B115">
    <cfRule type="cellIs" dxfId="2595" priority="2791" stopIfTrue="1" operator="equal">
      <formula>"Towel"</formula>
    </cfRule>
    <cfRule type="cellIs" dxfId="2594" priority="2792" stopIfTrue="1" operator="equal">
      <formula>"Napkin Hs"</formula>
    </cfRule>
  </conditionalFormatting>
  <conditionalFormatting sqref="B114:C114 B115">
    <cfRule type="cellIs" dxfId="2593" priority="2801" stopIfTrue="1" operator="equal">
      <formula>"Towel"</formula>
    </cfRule>
    <cfRule type="cellIs" dxfId="2592" priority="2802" stopIfTrue="1" operator="equal">
      <formula>"Napkin Hs"</formula>
    </cfRule>
  </conditionalFormatting>
  <conditionalFormatting sqref="C114">
    <cfRule type="cellIs" dxfId="2591" priority="2799" stopIfTrue="1" operator="equal">
      <formula>"Towel"</formula>
    </cfRule>
    <cfRule type="cellIs" dxfId="2590" priority="2800" stopIfTrue="1" operator="equal">
      <formula>"Napkin Hs"</formula>
    </cfRule>
  </conditionalFormatting>
  <conditionalFormatting sqref="C114">
    <cfRule type="cellIs" dxfId="2589" priority="2797" stopIfTrue="1" operator="equal">
      <formula>"Towel"</formula>
    </cfRule>
    <cfRule type="cellIs" dxfId="2588" priority="2798" stopIfTrue="1" operator="equal">
      <formula>"Napkin Hs"</formula>
    </cfRule>
  </conditionalFormatting>
  <conditionalFormatting sqref="C114">
    <cfRule type="cellIs" dxfId="2587" priority="2789" stopIfTrue="1" operator="equal">
      <formula>"Towel"</formula>
    </cfRule>
    <cfRule type="cellIs" dxfId="2586" priority="2790" stopIfTrue="1" operator="equal">
      <formula>"Napkin Hs"</formula>
    </cfRule>
  </conditionalFormatting>
  <conditionalFormatting sqref="C114">
    <cfRule type="cellIs" dxfId="2585" priority="2787" stopIfTrue="1" operator="equal">
      <formula>"Towel"</formula>
    </cfRule>
    <cfRule type="cellIs" dxfId="2584" priority="2788" stopIfTrue="1" operator="equal">
      <formula>"Napkin Hs"</formula>
    </cfRule>
  </conditionalFormatting>
  <conditionalFormatting sqref="B114:C114 B115">
    <cfRule type="cellIs" dxfId="2583" priority="2785" stopIfTrue="1" operator="equal">
      <formula>"Towel"</formula>
    </cfRule>
    <cfRule type="cellIs" dxfId="2582" priority="2786" stopIfTrue="1" operator="equal">
      <formula>"Napkin Hs"</formula>
    </cfRule>
  </conditionalFormatting>
  <conditionalFormatting sqref="B115:C115">
    <cfRule type="cellIs" dxfId="2581" priority="2783" stopIfTrue="1" operator="equal">
      <formula>"Towel"</formula>
    </cfRule>
    <cfRule type="cellIs" dxfId="2580" priority="2784" stopIfTrue="1" operator="equal">
      <formula>"Napkin Hs"</formula>
    </cfRule>
  </conditionalFormatting>
  <conditionalFormatting sqref="C115">
    <cfRule type="cellIs" dxfId="2579" priority="2781" stopIfTrue="1" operator="equal">
      <formula>"Towel"</formula>
    </cfRule>
    <cfRule type="cellIs" dxfId="2578" priority="2782" stopIfTrue="1" operator="equal">
      <formula>"Napkin Hs"</formula>
    </cfRule>
  </conditionalFormatting>
  <conditionalFormatting sqref="C115">
    <cfRule type="cellIs" dxfId="2577" priority="2779" stopIfTrue="1" operator="equal">
      <formula>"Towel"</formula>
    </cfRule>
    <cfRule type="cellIs" dxfId="2576" priority="2780" stopIfTrue="1" operator="equal">
      <formula>"Napkin Hs"</formula>
    </cfRule>
  </conditionalFormatting>
  <conditionalFormatting sqref="C115">
    <cfRule type="cellIs" dxfId="2575" priority="2771" stopIfTrue="1" operator="equal">
      <formula>"Towel"</formula>
    </cfRule>
    <cfRule type="cellIs" dxfId="2574" priority="2772" stopIfTrue="1" operator="equal">
      <formula>"Napkin Hs"</formula>
    </cfRule>
  </conditionalFormatting>
  <conditionalFormatting sqref="B115:C115">
    <cfRule type="cellIs" dxfId="2573" priority="2773" stopIfTrue="1" operator="equal">
      <formula>"Towel"</formula>
    </cfRule>
    <cfRule type="cellIs" dxfId="2572" priority="2774" stopIfTrue="1" operator="equal">
      <formula>"Napkin Hs"</formula>
    </cfRule>
  </conditionalFormatting>
  <conditionalFormatting sqref="C115">
    <cfRule type="cellIs" dxfId="2571" priority="2769" stopIfTrue="1" operator="equal">
      <formula>"Towel"</formula>
    </cfRule>
    <cfRule type="cellIs" dxfId="2570" priority="2770" stopIfTrue="1" operator="equal">
      <formula>"Napkin Hs"</formula>
    </cfRule>
  </conditionalFormatting>
  <conditionalFormatting sqref="B115:C115">
    <cfRule type="cellIs" dxfId="2569" priority="2767" stopIfTrue="1" operator="equal">
      <formula>"Towel"</formula>
    </cfRule>
    <cfRule type="cellIs" dxfId="2568" priority="2768" stopIfTrue="1" operator="equal">
      <formula>"Napkin Hs"</formula>
    </cfRule>
  </conditionalFormatting>
  <conditionalFormatting sqref="C115">
    <cfRule type="cellIs" dxfId="2567" priority="2775" stopIfTrue="1" operator="equal">
      <formula>"Towel"</formula>
    </cfRule>
    <cfRule type="cellIs" dxfId="2566" priority="2776" stopIfTrue="1" operator="equal">
      <formula>"Napkin Hs"</formula>
    </cfRule>
  </conditionalFormatting>
  <conditionalFormatting sqref="C115">
    <cfRule type="cellIs" dxfId="2565" priority="2777" stopIfTrue="1" operator="equal">
      <formula>"Towel"</formula>
    </cfRule>
    <cfRule type="cellIs" dxfId="2564" priority="2778" stopIfTrue="1" operator="equal">
      <formula>"Napkin Hs"</formula>
    </cfRule>
  </conditionalFormatting>
  <conditionalFormatting sqref="C115">
    <cfRule type="cellIs" dxfId="2563" priority="2763" stopIfTrue="1" operator="equal">
      <formula>"Towel"</formula>
    </cfRule>
    <cfRule type="cellIs" dxfId="2562" priority="2764" stopIfTrue="1" operator="equal">
      <formula>"Napkin Hs"</formula>
    </cfRule>
  </conditionalFormatting>
  <conditionalFormatting sqref="C115">
    <cfRule type="cellIs" dxfId="2561" priority="2765" stopIfTrue="1" operator="equal">
      <formula>"Towel"</formula>
    </cfRule>
    <cfRule type="cellIs" dxfId="2560" priority="2766" stopIfTrue="1" operator="equal">
      <formula>"Napkin Hs"</formula>
    </cfRule>
  </conditionalFormatting>
  <conditionalFormatting sqref="B115:C115">
    <cfRule type="cellIs" dxfId="2559" priority="2761" stopIfTrue="1" operator="equal">
      <formula>"Towel"</formula>
    </cfRule>
    <cfRule type="cellIs" dxfId="2558" priority="2762" stopIfTrue="1" operator="equal">
      <formula>"Napkin Hs"</formula>
    </cfRule>
  </conditionalFormatting>
  <conditionalFormatting sqref="B115:C115">
    <cfRule type="cellIs" dxfId="2557" priority="2755" stopIfTrue="1" operator="equal">
      <formula>"Towel"</formula>
    </cfRule>
    <cfRule type="cellIs" dxfId="2556" priority="2756" stopIfTrue="1" operator="equal">
      <formula>"Napkin Hs"</formula>
    </cfRule>
  </conditionalFormatting>
  <conditionalFormatting sqref="C115">
    <cfRule type="cellIs" dxfId="2555" priority="2757" stopIfTrue="1" operator="equal">
      <formula>"Towel"</formula>
    </cfRule>
    <cfRule type="cellIs" dxfId="2554" priority="2758" stopIfTrue="1" operator="equal">
      <formula>"Napkin Hs"</formula>
    </cfRule>
  </conditionalFormatting>
  <conditionalFormatting sqref="C115">
    <cfRule type="cellIs" dxfId="2553" priority="2759" stopIfTrue="1" operator="equal">
      <formula>"Towel"</formula>
    </cfRule>
    <cfRule type="cellIs" dxfId="2552" priority="2760" stopIfTrue="1" operator="equal">
      <formula>"Napkin Hs"</formula>
    </cfRule>
  </conditionalFormatting>
  <conditionalFormatting sqref="C115">
    <cfRule type="cellIs" dxfId="2551" priority="2727" stopIfTrue="1" operator="equal">
      <formula>"Towel"</formula>
    </cfRule>
    <cfRule type="cellIs" dxfId="2550" priority="2728" stopIfTrue="1" operator="equal">
      <formula>"Napkin Hs"</formula>
    </cfRule>
  </conditionalFormatting>
  <conditionalFormatting sqref="C115">
    <cfRule type="cellIs" dxfId="2549" priority="2729" stopIfTrue="1" operator="equal">
      <formula>"Towel"</formula>
    </cfRule>
    <cfRule type="cellIs" dxfId="2548" priority="2730" stopIfTrue="1" operator="equal">
      <formula>"Napkin Hs"</formula>
    </cfRule>
  </conditionalFormatting>
  <conditionalFormatting sqref="C115">
    <cfRule type="cellIs" dxfId="2547" priority="2725" stopIfTrue="1" operator="equal">
      <formula>"Towel"</formula>
    </cfRule>
    <cfRule type="cellIs" dxfId="2546" priority="2726" stopIfTrue="1" operator="equal">
      <formula>"Napkin Hs"</formula>
    </cfRule>
  </conditionalFormatting>
  <conditionalFormatting sqref="B115">
    <cfRule type="cellIs" dxfId="2545" priority="2719" stopIfTrue="1" operator="equal">
      <formula>"Towel"</formula>
    </cfRule>
    <cfRule type="cellIs" dxfId="2544" priority="2720" stopIfTrue="1" operator="equal">
      <formula>"Napkin Hs"</formula>
    </cfRule>
  </conditionalFormatting>
  <conditionalFormatting sqref="C115">
    <cfRule type="cellIs" dxfId="2543" priority="2721" stopIfTrue="1" operator="equal">
      <formula>"Towel"</formula>
    </cfRule>
    <cfRule type="cellIs" dxfId="2542" priority="2722" stopIfTrue="1" operator="equal">
      <formula>"Napkin Hs"</formula>
    </cfRule>
  </conditionalFormatting>
  <conditionalFormatting sqref="C115">
    <cfRule type="cellIs" dxfId="2541" priority="2723" stopIfTrue="1" operator="equal">
      <formula>"Towel"</formula>
    </cfRule>
    <cfRule type="cellIs" dxfId="2540" priority="2724" stopIfTrue="1" operator="equal">
      <formula>"Napkin Hs"</formula>
    </cfRule>
  </conditionalFormatting>
  <conditionalFormatting sqref="B115:C115">
    <cfRule type="cellIs" dxfId="2539" priority="2673" stopIfTrue="1" operator="equal">
      <formula>"Towel"</formula>
    </cfRule>
    <cfRule type="cellIs" dxfId="2538" priority="2674" stopIfTrue="1" operator="equal">
      <formula>"Napkin Hs"</formula>
    </cfRule>
  </conditionalFormatting>
  <conditionalFormatting sqref="C115">
    <cfRule type="cellIs" dxfId="2537" priority="2675" stopIfTrue="1" operator="equal">
      <formula>"Towel"</formula>
    </cfRule>
    <cfRule type="cellIs" dxfId="2536" priority="2676" stopIfTrue="1" operator="equal">
      <formula>"Napkin Hs"</formula>
    </cfRule>
  </conditionalFormatting>
  <conditionalFormatting sqref="C115">
    <cfRule type="cellIs" dxfId="2535" priority="2671" stopIfTrue="1" operator="equal">
      <formula>"Towel"</formula>
    </cfRule>
    <cfRule type="cellIs" dxfId="2534" priority="2672" stopIfTrue="1" operator="equal">
      <formula>"Napkin Hs"</formula>
    </cfRule>
  </conditionalFormatting>
  <conditionalFormatting sqref="C115">
    <cfRule type="cellIs" dxfId="2533" priority="2669" stopIfTrue="1" operator="equal">
      <formula>"Towel"</formula>
    </cfRule>
    <cfRule type="cellIs" dxfId="2532" priority="2670" stopIfTrue="1" operator="equal">
      <formula>"Napkin Hs"</formula>
    </cfRule>
  </conditionalFormatting>
  <conditionalFormatting sqref="B115">
    <cfRule type="cellIs" dxfId="2531" priority="2717" stopIfTrue="1" operator="equal">
      <formula>"Towel"</formula>
    </cfRule>
    <cfRule type="cellIs" dxfId="2530" priority="2718" stopIfTrue="1" operator="equal">
      <formula>"Napkin Hs"</formula>
    </cfRule>
  </conditionalFormatting>
  <conditionalFormatting sqref="C115">
    <cfRule type="cellIs" dxfId="2529" priority="2713" stopIfTrue="1" operator="equal">
      <formula>"Towel"</formula>
    </cfRule>
    <cfRule type="cellIs" dxfId="2528" priority="2714" stopIfTrue="1" operator="equal">
      <formula>"Napkin Hs"</formula>
    </cfRule>
  </conditionalFormatting>
  <conditionalFormatting sqref="C115">
    <cfRule type="cellIs" dxfId="2527" priority="2707" stopIfTrue="1" operator="equal">
      <formula>"Towel"</formula>
    </cfRule>
    <cfRule type="cellIs" dxfId="2526" priority="2708" stopIfTrue="1" operator="equal">
      <formula>"Napkin Hs"</formula>
    </cfRule>
  </conditionalFormatting>
  <conditionalFormatting sqref="C115">
    <cfRule type="cellIs" dxfId="2525" priority="2711" stopIfTrue="1" operator="equal">
      <formula>"Towel"</formula>
    </cfRule>
    <cfRule type="cellIs" dxfId="2524" priority="2712" stopIfTrue="1" operator="equal">
      <formula>"Napkin Hs"</formula>
    </cfRule>
  </conditionalFormatting>
  <conditionalFormatting sqref="B115:C115">
    <cfRule type="cellIs" dxfId="2523" priority="2709" stopIfTrue="1" operator="equal">
      <formula>"Towel"</formula>
    </cfRule>
    <cfRule type="cellIs" dxfId="2522" priority="2710" stopIfTrue="1" operator="equal">
      <formula>"Napkin Hs"</formula>
    </cfRule>
  </conditionalFormatting>
  <conditionalFormatting sqref="C115">
    <cfRule type="cellIs" dxfId="2521" priority="2701" stopIfTrue="1" operator="equal">
      <formula>"Towel"</formula>
    </cfRule>
    <cfRule type="cellIs" dxfId="2520" priority="2702" stopIfTrue="1" operator="equal">
      <formula>"Napkin Hs"</formula>
    </cfRule>
  </conditionalFormatting>
  <conditionalFormatting sqref="C115">
    <cfRule type="cellIs" dxfId="2519" priority="2703" stopIfTrue="1" operator="equal">
      <formula>"Towel"</formula>
    </cfRule>
    <cfRule type="cellIs" dxfId="2518" priority="2704" stopIfTrue="1" operator="equal">
      <formula>"Napkin Hs"</formula>
    </cfRule>
  </conditionalFormatting>
  <conditionalFormatting sqref="C115">
    <cfRule type="cellIs" dxfId="2517" priority="2705" stopIfTrue="1" operator="equal">
      <formula>"Towel"</formula>
    </cfRule>
    <cfRule type="cellIs" dxfId="2516" priority="2706" stopIfTrue="1" operator="equal">
      <formula>"Napkin Hs"</formula>
    </cfRule>
  </conditionalFormatting>
  <conditionalFormatting sqref="C115">
    <cfRule type="cellIs" dxfId="2515" priority="2695" stopIfTrue="1" operator="equal">
      <formula>"Towel"</formula>
    </cfRule>
    <cfRule type="cellIs" dxfId="2514" priority="2696" stopIfTrue="1" operator="equal">
      <formula>"Napkin Hs"</formula>
    </cfRule>
  </conditionalFormatting>
  <conditionalFormatting sqref="B115:C115">
    <cfRule type="cellIs" dxfId="2513" priority="2699" stopIfTrue="1" operator="equal">
      <formula>"Towel"</formula>
    </cfRule>
    <cfRule type="cellIs" dxfId="2512" priority="2700" stopIfTrue="1" operator="equal">
      <formula>"Napkin Hs"</formula>
    </cfRule>
  </conditionalFormatting>
  <conditionalFormatting sqref="C115">
    <cfRule type="cellIs" dxfId="2511" priority="2697" stopIfTrue="1" operator="equal">
      <formula>"Towel"</formula>
    </cfRule>
    <cfRule type="cellIs" dxfId="2510" priority="2698" stopIfTrue="1" operator="equal">
      <formula>"Napkin Hs"</formula>
    </cfRule>
  </conditionalFormatting>
  <conditionalFormatting sqref="B115:C115">
    <cfRule type="cellIs" dxfId="2509" priority="2689" stopIfTrue="1" operator="equal">
      <formula>"Towel"</formula>
    </cfRule>
    <cfRule type="cellIs" dxfId="2508" priority="2690" stopIfTrue="1" operator="equal">
      <formula>"Napkin Hs"</formula>
    </cfRule>
  </conditionalFormatting>
  <conditionalFormatting sqref="C115">
    <cfRule type="cellIs" dxfId="2507" priority="2691" stopIfTrue="1" operator="equal">
      <formula>"Towel"</formula>
    </cfRule>
    <cfRule type="cellIs" dxfId="2506" priority="2692" stopIfTrue="1" operator="equal">
      <formula>"Napkin Hs"</formula>
    </cfRule>
  </conditionalFormatting>
  <conditionalFormatting sqref="B115:C115">
    <cfRule type="cellIs" dxfId="2505" priority="2693" stopIfTrue="1" operator="equal">
      <formula>"Towel"</formula>
    </cfRule>
    <cfRule type="cellIs" dxfId="2504" priority="2694" stopIfTrue="1" operator="equal">
      <formula>"Napkin Hs"</formula>
    </cfRule>
  </conditionalFormatting>
  <conditionalFormatting sqref="C115">
    <cfRule type="cellIs" dxfId="2503" priority="2687" stopIfTrue="1" operator="equal">
      <formula>"Towel"</formula>
    </cfRule>
    <cfRule type="cellIs" dxfId="2502" priority="2688" stopIfTrue="1" operator="equal">
      <formula>"Napkin Hs"</formula>
    </cfRule>
  </conditionalFormatting>
  <conditionalFormatting sqref="C115">
    <cfRule type="cellIs" dxfId="2501" priority="2683" stopIfTrue="1" operator="equal">
      <formula>"Towel"</formula>
    </cfRule>
    <cfRule type="cellIs" dxfId="2500" priority="2684" stopIfTrue="1" operator="equal">
      <formula>"Napkin Hs"</formula>
    </cfRule>
  </conditionalFormatting>
  <conditionalFormatting sqref="B115:C115">
    <cfRule type="cellIs" dxfId="2499" priority="2685" stopIfTrue="1" operator="equal">
      <formula>"Towel"</formula>
    </cfRule>
    <cfRule type="cellIs" dxfId="2498" priority="2686" stopIfTrue="1" operator="equal">
      <formula>"Napkin Hs"</formula>
    </cfRule>
  </conditionalFormatting>
  <conditionalFormatting sqref="C115">
    <cfRule type="cellIs" dxfId="2497" priority="2681" stopIfTrue="1" operator="equal">
      <formula>"Towel"</formula>
    </cfRule>
    <cfRule type="cellIs" dxfId="2496" priority="2682" stopIfTrue="1" operator="equal">
      <formula>"Napkin Hs"</formula>
    </cfRule>
  </conditionalFormatting>
  <conditionalFormatting sqref="C115">
    <cfRule type="cellIs" dxfId="2495" priority="2679" stopIfTrue="1" operator="equal">
      <formula>"Towel"</formula>
    </cfRule>
    <cfRule type="cellIs" dxfId="2494" priority="2680" stopIfTrue="1" operator="equal">
      <formula>"Napkin Hs"</formula>
    </cfRule>
  </conditionalFormatting>
  <conditionalFormatting sqref="B115:C115">
    <cfRule type="cellIs" dxfId="2493" priority="2677" stopIfTrue="1" operator="equal">
      <formula>"Towel"</formula>
    </cfRule>
    <cfRule type="cellIs" dxfId="2492" priority="2678" stopIfTrue="1" operator="equal">
      <formula>"Napkin Hs"</formula>
    </cfRule>
  </conditionalFormatting>
  <conditionalFormatting sqref="B115:C115">
    <cfRule type="cellIs" dxfId="2491" priority="2753" stopIfTrue="1" operator="equal">
      <formula>"Towel"</formula>
    </cfRule>
    <cfRule type="cellIs" dxfId="2490" priority="2754" stopIfTrue="1" operator="equal">
      <formula>"Napkin Hs"</formula>
    </cfRule>
  </conditionalFormatting>
  <conditionalFormatting sqref="C115">
    <cfRule type="cellIs" dxfId="2489" priority="2749" stopIfTrue="1" operator="equal">
      <formula>"Towel"</formula>
    </cfRule>
    <cfRule type="cellIs" dxfId="2488" priority="2750" stopIfTrue="1" operator="equal">
      <formula>"Napkin Hs"</formula>
    </cfRule>
  </conditionalFormatting>
  <conditionalFormatting sqref="C115">
    <cfRule type="cellIs" dxfId="2487" priority="2752" stopIfTrue="1" operator="equal">
      <formula>"Napkin Hs"</formula>
    </cfRule>
  </conditionalFormatting>
  <conditionalFormatting sqref="C115">
    <cfRule type="cellIs" dxfId="2486" priority="2751" stopIfTrue="1" operator="equal">
      <formula>"Towel"</formula>
    </cfRule>
  </conditionalFormatting>
  <conditionalFormatting sqref="C115">
    <cfRule type="cellIs" dxfId="2485" priority="2743" stopIfTrue="1" operator="equal">
      <formula>"Towel"</formula>
    </cfRule>
    <cfRule type="cellIs" dxfId="2484" priority="2744" stopIfTrue="1" operator="equal">
      <formula>"Napkin Hs"</formula>
    </cfRule>
  </conditionalFormatting>
  <conditionalFormatting sqref="C115">
    <cfRule type="cellIs" dxfId="2483" priority="2747" stopIfTrue="1" operator="equal">
      <formula>"Towel"</formula>
    </cfRule>
    <cfRule type="cellIs" dxfId="2482" priority="2748" stopIfTrue="1" operator="equal">
      <formula>"Napkin Hs"</formula>
    </cfRule>
  </conditionalFormatting>
  <conditionalFormatting sqref="B115">
    <cfRule type="cellIs" dxfId="2481" priority="2733" stopIfTrue="1" operator="equal">
      <formula>"Towel"</formula>
    </cfRule>
    <cfRule type="cellIs" dxfId="2480" priority="2734" stopIfTrue="1" operator="equal">
      <formula>"Napkin Hs"</formula>
    </cfRule>
  </conditionalFormatting>
  <conditionalFormatting sqref="C115">
    <cfRule type="cellIs" dxfId="2479" priority="2745" stopIfTrue="1" operator="equal">
      <formula>"Towel"</formula>
    </cfRule>
    <cfRule type="cellIs" dxfId="2478" priority="2746" stopIfTrue="1" operator="equal">
      <formula>"Napkin Hs"</formula>
    </cfRule>
  </conditionalFormatting>
  <conditionalFormatting sqref="C115">
    <cfRule type="cellIs" dxfId="2477" priority="2737" stopIfTrue="1" operator="equal">
      <formula>"Towel"</formula>
    </cfRule>
    <cfRule type="cellIs" dxfId="2476" priority="2738" stopIfTrue="1" operator="equal">
      <formula>"Napkin Hs"</formula>
    </cfRule>
  </conditionalFormatting>
  <conditionalFormatting sqref="C115">
    <cfRule type="cellIs" dxfId="2475" priority="2739" stopIfTrue="1" operator="equal">
      <formula>"Towel"</formula>
    </cfRule>
    <cfRule type="cellIs" dxfId="2474" priority="2740" stopIfTrue="1" operator="equal">
      <formula>"Napkin Hs"</formula>
    </cfRule>
  </conditionalFormatting>
  <conditionalFormatting sqref="C115">
    <cfRule type="cellIs" dxfId="2473" priority="2741" stopIfTrue="1" operator="equal">
      <formula>"Towel"</formula>
    </cfRule>
    <cfRule type="cellIs" dxfId="2472" priority="2742" stopIfTrue="1" operator="equal">
      <formula>"Napkin Hs"</formula>
    </cfRule>
  </conditionalFormatting>
  <conditionalFormatting sqref="B115">
    <cfRule type="cellIs" dxfId="2471" priority="2735" stopIfTrue="1" operator="equal">
      <formula>"Towel"</formula>
    </cfRule>
    <cfRule type="cellIs" dxfId="2470" priority="2736" stopIfTrue="1" operator="equal">
      <formula>"Napkin Hs"</formula>
    </cfRule>
  </conditionalFormatting>
  <conditionalFormatting sqref="C115">
    <cfRule type="cellIs" dxfId="2469" priority="2731" stopIfTrue="1" operator="equal">
      <formula>"Towel"</formula>
    </cfRule>
    <cfRule type="cellIs" dxfId="2468" priority="2732" stopIfTrue="1" operator="equal">
      <formula>"Napkin Hs"</formula>
    </cfRule>
  </conditionalFormatting>
  <conditionalFormatting sqref="B115:C115">
    <cfRule type="cellIs" dxfId="2467" priority="2715" stopIfTrue="1" operator="equal">
      <formula>"Towel"</formula>
    </cfRule>
    <cfRule type="cellIs" dxfId="2466" priority="2716" stopIfTrue="1" operator="equal">
      <formula>"Napkin Hs"</formula>
    </cfRule>
  </conditionalFormatting>
  <conditionalFormatting sqref="C114">
    <cfRule type="cellIs" dxfId="2465" priority="2665" stopIfTrue="1" operator="equal">
      <formula>"Towel"</formula>
    </cfRule>
    <cfRule type="cellIs" dxfId="2464" priority="2666" stopIfTrue="1" operator="equal">
      <formula>"Napkin Hs"</formula>
    </cfRule>
  </conditionalFormatting>
  <conditionalFormatting sqref="C114">
    <cfRule type="cellIs" dxfId="2463" priority="2667" stopIfTrue="1" operator="equal">
      <formula>"Towel"</formula>
    </cfRule>
    <cfRule type="cellIs" dxfId="2462" priority="2668" stopIfTrue="1" operator="equal">
      <formula>"Napkin Hs"</formula>
    </cfRule>
  </conditionalFormatting>
  <conditionalFormatting sqref="C114">
    <cfRule type="cellIs" dxfId="2461" priority="2661" stopIfTrue="1" operator="equal">
      <formula>"Towel"</formula>
    </cfRule>
    <cfRule type="cellIs" dxfId="2460" priority="2662" stopIfTrue="1" operator="equal">
      <formula>"Napkin Hs"</formula>
    </cfRule>
  </conditionalFormatting>
  <conditionalFormatting sqref="B114:C114 B115">
    <cfRule type="cellIs" dxfId="2459" priority="2663" stopIfTrue="1" operator="equal">
      <formula>"Towel"</formula>
    </cfRule>
    <cfRule type="cellIs" dxfId="2458" priority="2664" stopIfTrue="1" operator="equal">
      <formula>"Napkin Hs"</formula>
    </cfRule>
  </conditionalFormatting>
  <conditionalFormatting sqref="C114">
    <cfRule type="cellIs" dxfId="2457" priority="2659" stopIfTrue="1" operator="equal">
      <formula>"Towel"</formula>
    </cfRule>
    <cfRule type="cellIs" dxfId="2456" priority="2660" stopIfTrue="1" operator="equal">
      <formula>"Napkin Hs"</formula>
    </cfRule>
  </conditionalFormatting>
  <conditionalFormatting sqref="B114:C114 B115">
    <cfRule type="cellIs" dxfId="2455" priority="2657" stopIfTrue="1" operator="equal">
      <formula>"Towel"</formula>
    </cfRule>
    <cfRule type="cellIs" dxfId="2454" priority="2658" stopIfTrue="1" operator="equal">
      <formula>"Napkin Hs"</formula>
    </cfRule>
  </conditionalFormatting>
  <conditionalFormatting sqref="B114:C114 B115">
    <cfRule type="cellIs" dxfId="2453" priority="2655" stopIfTrue="1" operator="equal">
      <formula>"Towel"</formula>
    </cfRule>
    <cfRule type="cellIs" dxfId="2452" priority="2656" stopIfTrue="1" operator="equal">
      <formula>"Napkin Hs"</formula>
    </cfRule>
  </conditionalFormatting>
  <conditionalFormatting sqref="C114">
    <cfRule type="cellIs" dxfId="2451" priority="2649" stopIfTrue="1" operator="equal">
      <formula>"Towel"</formula>
    </cfRule>
    <cfRule type="cellIs" dxfId="2450" priority="2650" stopIfTrue="1" operator="equal">
      <formula>"Napkin Hs"</formula>
    </cfRule>
  </conditionalFormatting>
  <conditionalFormatting sqref="C114">
    <cfRule type="cellIs" dxfId="2449" priority="2651" stopIfTrue="1" operator="equal">
      <formula>"Towel"</formula>
    </cfRule>
    <cfRule type="cellIs" dxfId="2448" priority="2652" stopIfTrue="1" operator="equal">
      <formula>"Napkin Hs"</formula>
    </cfRule>
  </conditionalFormatting>
  <conditionalFormatting sqref="C114">
    <cfRule type="cellIs" dxfId="2447" priority="2647" stopIfTrue="1" operator="equal">
      <formula>"Towel"</formula>
    </cfRule>
    <cfRule type="cellIs" dxfId="2446" priority="2648" stopIfTrue="1" operator="equal">
      <formula>"Napkin Hs"</formula>
    </cfRule>
  </conditionalFormatting>
  <conditionalFormatting sqref="C114">
    <cfRule type="cellIs" dxfId="2445" priority="2645" stopIfTrue="1" operator="equal">
      <formula>"Towel"</formula>
    </cfRule>
    <cfRule type="cellIs" dxfId="2444" priority="2646" stopIfTrue="1" operator="equal">
      <formula>"Napkin Hs"</formula>
    </cfRule>
  </conditionalFormatting>
  <conditionalFormatting sqref="C114">
    <cfRule type="cellIs" dxfId="2443" priority="2641" stopIfTrue="1" operator="equal">
      <formula>"Towel"</formula>
    </cfRule>
    <cfRule type="cellIs" dxfId="2442" priority="2642" stopIfTrue="1" operator="equal">
      <formula>"Napkin Hs"</formula>
    </cfRule>
  </conditionalFormatting>
  <conditionalFormatting sqref="C114">
    <cfRule type="cellIs" dxfId="2441" priority="2643" stopIfTrue="1" operator="equal">
      <formula>"Towel"</formula>
    </cfRule>
    <cfRule type="cellIs" dxfId="2440" priority="2644" stopIfTrue="1" operator="equal">
      <formula>"Napkin Hs"</formula>
    </cfRule>
  </conditionalFormatting>
  <conditionalFormatting sqref="C114">
    <cfRule type="cellIs" dxfId="2439" priority="2639" stopIfTrue="1" operator="equal">
      <formula>"Towel"</formula>
    </cfRule>
    <cfRule type="cellIs" dxfId="2438" priority="2640" stopIfTrue="1" operator="equal">
      <formula>"Napkin Hs"</formula>
    </cfRule>
  </conditionalFormatting>
  <conditionalFormatting sqref="C114">
    <cfRule type="cellIs" dxfId="2437" priority="2623" stopIfTrue="1" operator="equal">
      <formula>"Towel"</formula>
    </cfRule>
    <cfRule type="cellIs" dxfId="2436" priority="2624" stopIfTrue="1" operator="equal">
      <formula>"Napkin Hs"</formula>
    </cfRule>
  </conditionalFormatting>
  <conditionalFormatting sqref="B114:B115">
    <cfRule type="cellIs" dxfId="2435" priority="2621" stopIfTrue="1" operator="equal">
      <formula>"Towel"</formula>
    </cfRule>
    <cfRule type="cellIs" dxfId="2434" priority="2622" stopIfTrue="1" operator="equal">
      <formula>"Napkin Hs"</formula>
    </cfRule>
  </conditionalFormatting>
  <conditionalFormatting sqref="B114:B115">
    <cfRule type="cellIs" dxfId="2433" priority="2637" stopIfTrue="1" operator="equal">
      <formula>"Towel"</formula>
    </cfRule>
    <cfRule type="cellIs" dxfId="2432" priority="2638" stopIfTrue="1" operator="equal">
      <formula>"Napkin Hs"</formula>
    </cfRule>
  </conditionalFormatting>
  <conditionalFormatting sqref="C114">
    <cfRule type="cellIs" dxfId="2431" priority="2633" stopIfTrue="1" operator="equal">
      <formula>"Towel"</formula>
    </cfRule>
    <cfRule type="cellIs" dxfId="2430" priority="2634" stopIfTrue="1" operator="equal">
      <formula>"Napkin Hs"</formula>
    </cfRule>
  </conditionalFormatting>
  <conditionalFormatting sqref="B114:B115">
    <cfRule type="cellIs" dxfId="2429" priority="2635" stopIfTrue="1" operator="equal">
      <formula>"Towel"</formula>
    </cfRule>
    <cfRule type="cellIs" dxfId="2428" priority="2636" stopIfTrue="1" operator="equal">
      <formula>"Napkin Hs"</formula>
    </cfRule>
  </conditionalFormatting>
  <conditionalFormatting sqref="C114">
    <cfRule type="cellIs" dxfId="2427" priority="2629" stopIfTrue="1" operator="equal">
      <formula>"Towel"</formula>
    </cfRule>
    <cfRule type="cellIs" dxfId="2426" priority="2630" stopIfTrue="1" operator="equal">
      <formula>"Napkin Hs"</formula>
    </cfRule>
  </conditionalFormatting>
  <conditionalFormatting sqref="C114">
    <cfRule type="cellIs" dxfId="2425" priority="2631" stopIfTrue="1" operator="equal">
      <formula>"Towel"</formula>
    </cfRule>
    <cfRule type="cellIs" dxfId="2424" priority="2632" stopIfTrue="1" operator="equal">
      <formula>"Napkin Hs"</formula>
    </cfRule>
  </conditionalFormatting>
  <conditionalFormatting sqref="C114">
    <cfRule type="cellIs" dxfId="2423" priority="2627" stopIfTrue="1" operator="equal">
      <formula>"Towel"</formula>
    </cfRule>
    <cfRule type="cellIs" dxfId="2422" priority="2628" stopIfTrue="1" operator="equal">
      <formula>"Napkin Hs"</formula>
    </cfRule>
  </conditionalFormatting>
  <conditionalFormatting sqref="C114">
    <cfRule type="cellIs" dxfId="2421" priority="2625" stopIfTrue="1" operator="equal">
      <formula>"Towel"</formula>
    </cfRule>
    <cfRule type="cellIs" dxfId="2420" priority="2626" stopIfTrue="1" operator="equal">
      <formula>"Napkin Hs"</formula>
    </cfRule>
  </conditionalFormatting>
  <conditionalFormatting sqref="B114:B115">
    <cfRule type="cellIs" dxfId="2419" priority="2619" stopIfTrue="1" operator="equal">
      <formula>"Towel"</formula>
    </cfRule>
    <cfRule type="cellIs" dxfId="2418" priority="2620" stopIfTrue="1" operator="equal">
      <formula>"Napkin Hs"</formula>
    </cfRule>
  </conditionalFormatting>
  <conditionalFormatting sqref="B114:C114 B115">
    <cfRule type="cellIs" dxfId="2417" priority="2617" stopIfTrue="1" operator="equal">
      <formula>"Towel"</formula>
    </cfRule>
    <cfRule type="cellIs" dxfId="2416" priority="2618" stopIfTrue="1" operator="equal">
      <formula>"Napkin Hs"</formula>
    </cfRule>
  </conditionalFormatting>
  <conditionalFormatting sqref="C114">
    <cfRule type="cellIs" dxfId="2415" priority="2615" stopIfTrue="1" operator="equal">
      <formula>"Towel"</formula>
    </cfRule>
    <cfRule type="cellIs" dxfId="2414" priority="2616" stopIfTrue="1" operator="equal">
      <formula>"Napkin Hs"</formula>
    </cfRule>
  </conditionalFormatting>
  <conditionalFormatting sqref="C114">
    <cfRule type="cellIs" dxfId="2413" priority="2613" stopIfTrue="1" operator="equal">
      <formula>"Towel"</formula>
    </cfRule>
    <cfRule type="cellIs" dxfId="2412" priority="2614" stopIfTrue="1" operator="equal">
      <formula>"Napkin Hs"</formula>
    </cfRule>
  </conditionalFormatting>
  <conditionalFormatting sqref="C114">
    <cfRule type="cellIs" dxfId="2411" priority="2603" stopIfTrue="1" operator="equal">
      <formula>"Towel"</formula>
    </cfRule>
    <cfRule type="cellIs" dxfId="2410" priority="2604" stopIfTrue="1" operator="equal">
      <formula>"Napkin Hs"</formula>
    </cfRule>
  </conditionalFormatting>
  <conditionalFormatting sqref="C114">
    <cfRule type="cellIs" dxfId="2409" priority="2605" stopIfTrue="1" operator="equal">
      <formula>"Towel"</formula>
    </cfRule>
    <cfRule type="cellIs" dxfId="2408" priority="2606" stopIfTrue="1" operator="equal">
      <formula>"Napkin Hs"</formula>
    </cfRule>
  </conditionalFormatting>
  <conditionalFormatting sqref="B114:C114 B115">
    <cfRule type="cellIs" dxfId="2407" priority="2601" stopIfTrue="1" operator="equal">
      <formula>"Towel"</formula>
    </cfRule>
    <cfRule type="cellIs" dxfId="2406" priority="2602" stopIfTrue="1" operator="equal">
      <formula>"Napkin Hs"</formula>
    </cfRule>
  </conditionalFormatting>
  <conditionalFormatting sqref="C114">
    <cfRule type="cellIs" dxfId="2405" priority="2599" stopIfTrue="1" operator="equal">
      <formula>"Towel"</formula>
    </cfRule>
    <cfRule type="cellIs" dxfId="2404" priority="2600" stopIfTrue="1" operator="equal">
      <formula>"Napkin Hs"</formula>
    </cfRule>
  </conditionalFormatting>
  <conditionalFormatting sqref="B114:C114 B115">
    <cfRule type="cellIs" dxfId="2403" priority="2595" stopIfTrue="1" operator="equal">
      <formula>"Towel"</formula>
    </cfRule>
    <cfRule type="cellIs" dxfId="2402" priority="2596" stopIfTrue="1" operator="equal">
      <formula>"Napkin Hs"</formula>
    </cfRule>
  </conditionalFormatting>
  <conditionalFormatting sqref="C114">
    <cfRule type="cellIs" dxfId="2401" priority="2597" stopIfTrue="1" operator="equal">
      <formula>"Towel"</formula>
    </cfRule>
    <cfRule type="cellIs" dxfId="2400" priority="2598" stopIfTrue="1" operator="equal">
      <formula>"Napkin Hs"</formula>
    </cfRule>
  </conditionalFormatting>
  <conditionalFormatting sqref="C114">
    <cfRule type="cellIs" dxfId="2399" priority="2654" stopIfTrue="1" operator="equal">
      <formula>"Napkin Hs"</formula>
    </cfRule>
  </conditionalFormatting>
  <conditionalFormatting sqref="C114">
    <cfRule type="cellIs" dxfId="2398" priority="2653" stopIfTrue="1" operator="equal">
      <formula>"Towel"</formula>
    </cfRule>
  </conditionalFormatting>
  <conditionalFormatting sqref="B114:C114 B115">
    <cfRule type="cellIs" dxfId="2397" priority="2611" stopIfTrue="1" operator="equal">
      <formula>"Towel"</formula>
    </cfRule>
    <cfRule type="cellIs" dxfId="2396" priority="2612" stopIfTrue="1" operator="equal">
      <formula>"Napkin Hs"</formula>
    </cfRule>
  </conditionalFormatting>
  <conditionalFormatting sqref="C114">
    <cfRule type="cellIs" dxfId="2395" priority="2609" stopIfTrue="1" operator="equal">
      <formula>"Towel"</formula>
    </cfRule>
    <cfRule type="cellIs" dxfId="2394" priority="2610" stopIfTrue="1" operator="equal">
      <formula>"Napkin Hs"</formula>
    </cfRule>
  </conditionalFormatting>
  <conditionalFormatting sqref="C114">
    <cfRule type="cellIs" dxfId="2393" priority="2607" stopIfTrue="1" operator="equal">
      <formula>"Towel"</formula>
    </cfRule>
    <cfRule type="cellIs" dxfId="2392" priority="2608" stopIfTrue="1" operator="equal">
      <formula>"Napkin Hs"</formula>
    </cfRule>
  </conditionalFormatting>
  <conditionalFormatting sqref="B114:C114 B115">
    <cfRule type="cellIs" dxfId="2391" priority="2591" stopIfTrue="1" operator="equal">
      <formula>"Towel"</formula>
    </cfRule>
    <cfRule type="cellIs" dxfId="2390" priority="2592" stopIfTrue="1" operator="equal">
      <formula>"Napkin Hs"</formula>
    </cfRule>
  </conditionalFormatting>
  <conditionalFormatting sqref="C114">
    <cfRule type="cellIs" dxfId="2389" priority="2593" stopIfTrue="1" operator="equal">
      <formula>"Towel"</formula>
    </cfRule>
    <cfRule type="cellIs" dxfId="2388" priority="2594" stopIfTrue="1" operator="equal">
      <formula>"Napkin Hs"</formula>
    </cfRule>
  </conditionalFormatting>
  <conditionalFormatting sqref="C114">
    <cfRule type="cellIs" dxfId="2387" priority="2589" stopIfTrue="1" operator="equal">
      <formula>"Towel"</formula>
    </cfRule>
    <cfRule type="cellIs" dxfId="2386" priority="2590" stopIfTrue="1" operator="equal">
      <formula>"Napkin Hs"</formula>
    </cfRule>
  </conditionalFormatting>
  <conditionalFormatting sqref="B114:C114 B115">
    <cfRule type="cellIs" dxfId="2385" priority="2587" stopIfTrue="1" operator="equal">
      <formula>"Towel"</formula>
    </cfRule>
    <cfRule type="cellIs" dxfId="2384" priority="2588" stopIfTrue="1" operator="equal">
      <formula>"Napkin Hs"</formula>
    </cfRule>
  </conditionalFormatting>
  <conditionalFormatting sqref="C114">
    <cfRule type="cellIs" dxfId="2383" priority="2583" stopIfTrue="1" operator="equal">
      <formula>"Towel"</formula>
    </cfRule>
    <cfRule type="cellIs" dxfId="2382" priority="2584" stopIfTrue="1" operator="equal">
      <formula>"Napkin Hs"</formula>
    </cfRule>
  </conditionalFormatting>
  <conditionalFormatting sqref="C114">
    <cfRule type="cellIs" dxfId="2381" priority="2585" stopIfTrue="1" operator="equal">
      <formula>"Towel"</formula>
    </cfRule>
    <cfRule type="cellIs" dxfId="2380" priority="2586" stopIfTrue="1" operator="equal">
      <formula>"Napkin Hs"</formula>
    </cfRule>
  </conditionalFormatting>
  <conditionalFormatting sqref="B114:C114 B115">
    <cfRule type="cellIs" dxfId="2379" priority="2579" stopIfTrue="1" operator="equal">
      <formula>"Towel"</formula>
    </cfRule>
    <cfRule type="cellIs" dxfId="2378" priority="2580" stopIfTrue="1" operator="equal">
      <formula>"Napkin Hs"</formula>
    </cfRule>
  </conditionalFormatting>
  <conditionalFormatting sqref="C114">
    <cfRule type="cellIs" dxfId="2377" priority="2581" stopIfTrue="1" operator="equal">
      <formula>"Towel"</formula>
    </cfRule>
    <cfRule type="cellIs" dxfId="2376" priority="2582" stopIfTrue="1" operator="equal">
      <formula>"Napkin Hs"</formula>
    </cfRule>
  </conditionalFormatting>
  <conditionalFormatting sqref="C114">
    <cfRule type="cellIs" dxfId="2375" priority="2577" stopIfTrue="1" operator="equal">
      <formula>"Towel"</formula>
    </cfRule>
    <cfRule type="cellIs" dxfId="2374" priority="2578" stopIfTrue="1" operator="equal">
      <formula>"Napkin Hs"</formula>
    </cfRule>
  </conditionalFormatting>
  <conditionalFormatting sqref="B114:C114 B115">
    <cfRule type="cellIs" dxfId="2373" priority="2575" stopIfTrue="1" operator="equal">
      <formula>"Towel"</formula>
    </cfRule>
    <cfRule type="cellIs" dxfId="2372" priority="2576" stopIfTrue="1" operator="equal">
      <formula>"Napkin Hs"</formula>
    </cfRule>
  </conditionalFormatting>
  <conditionalFormatting sqref="C114">
    <cfRule type="cellIs" dxfId="2371" priority="2571" stopIfTrue="1" operator="equal">
      <formula>"Towel"</formula>
    </cfRule>
    <cfRule type="cellIs" dxfId="2370" priority="2572" stopIfTrue="1" operator="equal">
      <formula>"Napkin Hs"</formula>
    </cfRule>
  </conditionalFormatting>
  <conditionalFormatting sqref="C114">
    <cfRule type="cellIs" dxfId="2369" priority="2573" stopIfTrue="1" operator="equal">
      <formula>"Towel"</formula>
    </cfRule>
    <cfRule type="cellIs" dxfId="2368" priority="2574" stopIfTrue="1" operator="equal">
      <formula>"Napkin Hs"</formula>
    </cfRule>
  </conditionalFormatting>
  <conditionalFormatting sqref="C114:C115">
    <cfRule type="cellIs" dxfId="2367" priority="2567" stopIfTrue="1" operator="equal">
      <formula>"Towel"</formula>
    </cfRule>
    <cfRule type="cellIs" dxfId="2366" priority="2568" stopIfTrue="1" operator="equal">
      <formula>"Napkin Hs"</formula>
    </cfRule>
  </conditionalFormatting>
  <conditionalFormatting sqref="C114:C115">
    <cfRule type="cellIs" dxfId="2365" priority="2569" stopIfTrue="1" operator="equal">
      <formula>"Towel"</formula>
    </cfRule>
    <cfRule type="cellIs" dxfId="2364" priority="2570" stopIfTrue="1" operator="equal">
      <formula>"Napkin Hs"</formula>
    </cfRule>
  </conditionalFormatting>
  <conditionalFormatting sqref="C114:C115">
    <cfRule type="cellIs" dxfId="2363" priority="2563" stopIfTrue="1" operator="equal">
      <formula>"Towel"</formula>
    </cfRule>
    <cfRule type="cellIs" dxfId="2362" priority="2564" stopIfTrue="1" operator="equal">
      <formula>"Napkin Hs"</formula>
    </cfRule>
  </conditionalFormatting>
  <conditionalFormatting sqref="B114:C115">
    <cfRule type="cellIs" dxfId="2361" priority="2565" stopIfTrue="1" operator="equal">
      <formula>"Towel"</formula>
    </cfRule>
    <cfRule type="cellIs" dxfId="2360" priority="2566" stopIfTrue="1" operator="equal">
      <formula>"Napkin Hs"</formula>
    </cfRule>
  </conditionalFormatting>
  <conditionalFormatting sqref="C114:C115">
    <cfRule type="cellIs" dxfId="2359" priority="2561" stopIfTrue="1" operator="equal">
      <formula>"Towel"</formula>
    </cfRule>
    <cfRule type="cellIs" dxfId="2358" priority="2562" stopIfTrue="1" operator="equal">
      <formula>"Napkin Hs"</formula>
    </cfRule>
  </conditionalFormatting>
  <conditionalFormatting sqref="B114:C115">
    <cfRule type="cellIs" dxfId="2357" priority="2559" stopIfTrue="1" operator="equal">
      <formula>"Towel"</formula>
    </cfRule>
    <cfRule type="cellIs" dxfId="2356" priority="2560" stopIfTrue="1" operator="equal">
      <formula>"Napkin Hs"</formula>
    </cfRule>
  </conditionalFormatting>
  <conditionalFormatting sqref="B114:C115">
    <cfRule type="cellIs" dxfId="2355" priority="2557" stopIfTrue="1" operator="equal">
      <formula>"Towel"</formula>
    </cfRule>
    <cfRule type="cellIs" dxfId="2354" priority="2558" stopIfTrue="1" operator="equal">
      <formula>"Napkin Hs"</formula>
    </cfRule>
  </conditionalFormatting>
  <conditionalFormatting sqref="C114:C115">
    <cfRule type="cellIs" dxfId="2353" priority="2551" stopIfTrue="1" operator="equal">
      <formula>"Towel"</formula>
    </cfRule>
    <cfRule type="cellIs" dxfId="2352" priority="2552" stopIfTrue="1" operator="equal">
      <formula>"Napkin Hs"</formula>
    </cfRule>
  </conditionalFormatting>
  <conditionalFormatting sqref="C114:C115">
    <cfRule type="cellIs" dxfId="2351" priority="2553" stopIfTrue="1" operator="equal">
      <formula>"Towel"</formula>
    </cfRule>
    <cfRule type="cellIs" dxfId="2350" priority="2554" stopIfTrue="1" operator="equal">
      <formula>"Napkin Hs"</formula>
    </cfRule>
  </conditionalFormatting>
  <conditionalFormatting sqref="C114:C115">
    <cfRule type="cellIs" dxfId="2349" priority="2549" stopIfTrue="1" operator="equal">
      <formula>"Towel"</formula>
    </cfRule>
    <cfRule type="cellIs" dxfId="2348" priority="2550" stopIfTrue="1" operator="equal">
      <formula>"Napkin Hs"</formula>
    </cfRule>
  </conditionalFormatting>
  <conditionalFormatting sqref="C114:C115">
    <cfRule type="cellIs" dxfId="2347" priority="2547" stopIfTrue="1" operator="equal">
      <formula>"Towel"</formula>
    </cfRule>
    <cfRule type="cellIs" dxfId="2346" priority="2548" stopIfTrue="1" operator="equal">
      <formula>"Napkin Hs"</formula>
    </cfRule>
  </conditionalFormatting>
  <conditionalFormatting sqref="C114:C115">
    <cfRule type="cellIs" dxfId="2345" priority="2543" stopIfTrue="1" operator="equal">
      <formula>"Towel"</formula>
    </cfRule>
    <cfRule type="cellIs" dxfId="2344" priority="2544" stopIfTrue="1" operator="equal">
      <formula>"Napkin Hs"</formula>
    </cfRule>
  </conditionalFormatting>
  <conditionalFormatting sqref="C114:C115">
    <cfRule type="cellIs" dxfId="2343" priority="2545" stopIfTrue="1" operator="equal">
      <formula>"Towel"</formula>
    </cfRule>
    <cfRule type="cellIs" dxfId="2342" priority="2546" stopIfTrue="1" operator="equal">
      <formula>"Napkin Hs"</formula>
    </cfRule>
  </conditionalFormatting>
  <conditionalFormatting sqref="C114:C115">
    <cfRule type="cellIs" dxfId="2341" priority="2541" stopIfTrue="1" operator="equal">
      <formula>"Towel"</formula>
    </cfRule>
    <cfRule type="cellIs" dxfId="2340" priority="2542" stopIfTrue="1" operator="equal">
      <formula>"Napkin Hs"</formula>
    </cfRule>
  </conditionalFormatting>
  <conditionalFormatting sqref="C114:C115">
    <cfRule type="cellIs" dxfId="2339" priority="2525" stopIfTrue="1" operator="equal">
      <formula>"Towel"</formula>
    </cfRule>
    <cfRule type="cellIs" dxfId="2338" priority="2526" stopIfTrue="1" operator="equal">
      <formula>"Napkin Hs"</formula>
    </cfRule>
  </conditionalFormatting>
  <conditionalFormatting sqref="B114:B115">
    <cfRule type="cellIs" dxfId="2337" priority="2523" stopIfTrue="1" operator="equal">
      <formula>"Towel"</formula>
    </cfRule>
    <cfRule type="cellIs" dxfId="2336" priority="2524" stopIfTrue="1" operator="equal">
      <formula>"Napkin Hs"</formula>
    </cfRule>
  </conditionalFormatting>
  <conditionalFormatting sqref="B114:B115">
    <cfRule type="cellIs" dxfId="2335" priority="2539" stopIfTrue="1" operator="equal">
      <formula>"Towel"</formula>
    </cfRule>
    <cfRule type="cellIs" dxfId="2334" priority="2540" stopIfTrue="1" operator="equal">
      <formula>"Napkin Hs"</formula>
    </cfRule>
  </conditionalFormatting>
  <conditionalFormatting sqref="C114:C115">
    <cfRule type="cellIs" dxfId="2333" priority="2535" stopIfTrue="1" operator="equal">
      <formula>"Towel"</formula>
    </cfRule>
    <cfRule type="cellIs" dxfId="2332" priority="2536" stopIfTrue="1" operator="equal">
      <formula>"Napkin Hs"</formula>
    </cfRule>
  </conditionalFormatting>
  <conditionalFormatting sqref="B114:B115">
    <cfRule type="cellIs" dxfId="2331" priority="2537" stopIfTrue="1" operator="equal">
      <formula>"Towel"</formula>
    </cfRule>
    <cfRule type="cellIs" dxfId="2330" priority="2538" stopIfTrue="1" operator="equal">
      <formula>"Napkin Hs"</formula>
    </cfRule>
  </conditionalFormatting>
  <conditionalFormatting sqref="C114:C115">
    <cfRule type="cellIs" dxfId="2329" priority="2531" stopIfTrue="1" operator="equal">
      <formula>"Towel"</formula>
    </cfRule>
    <cfRule type="cellIs" dxfId="2328" priority="2532" stopIfTrue="1" operator="equal">
      <formula>"Napkin Hs"</formula>
    </cfRule>
  </conditionalFormatting>
  <conditionalFormatting sqref="C114:C115">
    <cfRule type="cellIs" dxfId="2327" priority="2533" stopIfTrue="1" operator="equal">
      <formula>"Towel"</formula>
    </cfRule>
    <cfRule type="cellIs" dxfId="2326" priority="2534" stopIfTrue="1" operator="equal">
      <formula>"Napkin Hs"</formula>
    </cfRule>
  </conditionalFormatting>
  <conditionalFormatting sqref="C114:C115">
    <cfRule type="cellIs" dxfId="2325" priority="2529" stopIfTrue="1" operator="equal">
      <formula>"Towel"</formula>
    </cfRule>
    <cfRule type="cellIs" dxfId="2324" priority="2530" stopIfTrue="1" operator="equal">
      <formula>"Napkin Hs"</formula>
    </cfRule>
  </conditionalFormatting>
  <conditionalFormatting sqref="C114:C115">
    <cfRule type="cellIs" dxfId="2323" priority="2527" stopIfTrue="1" operator="equal">
      <formula>"Towel"</formula>
    </cfRule>
    <cfRule type="cellIs" dxfId="2322" priority="2528" stopIfTrue="1" operator="equal">
      <formula>"Napkin Hs"</formula>
    </cfRule>
  </conditionalFormatting>
  <conditionalFormatting sqref="B114:B115">
    <cfRule type="cellIs" dxfId="2321" priority="2521" stopIfTrue="1" operator="equal">
      <formula>"Towel"</formula>
    </cfRule>
    <cfRule type="cellIs" dxfId="2320" priority="2522" stopIfTrue="1" operator="equal">
      <formula>"Napkin Hs"</formula>
    </cfRule>
  </conditionalFormatting>
  <conditionalFormatting sqref="B114:C115">
    <cfRule type="cellIs" dxfId="2319" priority="2519" stopIfTrue="1" operator="equal">
      <formula>"Towel"</formula>
    </cfRule>
    <cfRule type="cellIs" dxfId="2318" priority="2520" stopIfTrue="1" operator="equal">
      <formula>"Napkin Hs"</formula>
    </cfRule>
  </conditionalFormatting>
  <conditionalFormatting sqref="C114:C115">
    <cfRule type="cellIs" dxfId="2317" priority="2517" stopIfTrue="1" operator="equal">
      <formula>"Towel"</formula>
    </cfRule>
    <cfRule type="cellIs" dxfId="2316" priority="2518" stopIfTrue="1" operator="equal">
      <formula>"Napkin Hs"</formula>
    </cfRule>
  </conditionalFormatting>
  <conditionalFormatting sqref="C114:C115">
    <cfRule type="cellIs" dxfId="2315" priority="2515" stopIfTrue="1" operator="equal">
      <formula>"Towel"</formula>
    </cfRule>
    <cfRule type="cellIs" dxfId="2314" priority="2516" stopIfTrue="1" operator="equal">
      <formula>"Napkin Hs"</formula>
    </cfRule>
  </conditionalFormatting>
  <conditionalFormatting sqref="C114:C115">
    <cfRule type="cellIs" dxfId="2313" priority="2505" stopIfTrue="1" operator="equal">
      <formula>"Towel"</formula>
    </cfRule>
    <cfRule type="cellIs" dxfId="2312" priority="2506" stopIfTrue="1" operator="equal">
      <formula>"Napkin Hs"</formula>
    </cfRule>
  </conditionalFormatting>
  <conditionalFormatting sqref="C114:C115">
    <cfRule type="cellIs" dxfId="2311" priority="2507" stopIfTrue="1" operator="equal">
      <formula>"Towel"</formula>
    </cfRule>
    <cfRule type="cellIs" dxfId="2310" priority="2508" stopIfTrue="1" operator="equal">
      <formula>"Napkin Hs"</formula>
    </cfRule>
  </conditionalFormatting>
  <conditionalFormatting sqref="B114:C115">
    <cfRule type="cellIs" dxfId="2309" priority="2503" stopIfTrue="1" operator="equal">
      <formula>"Towel"</formula>
    </cfRule>
    <cfRule type="cellIs" dxfId="2308" priority="2504" stopIfTrue="1" operator="equal">
      <formula>"Napkin Hs"</formula>
    </cfRule>
  </conditionalFormatting>
  <conditionalFormatting sqref="C114:C115">
    <cfRule type="cellIs" dxfId="2307" priority="2501" stopIfTrue="1" operator="equal">
      <formula>"Towel"</formula>
    </cfRule>
    <cfRule type="cellIs" dxfId="2306" priority="2502" stopIfTrue="1" operator="equal">
      <formula>"Napkin Hs"</formula>
    </cfRule>
  </conditionalFormatting>
  <conditionalFormatting sqref="B114:C115">
    <cfRule type="cellIs" dxfId="2305" priority="2497" stopIfTrue="1" operator="equal">
      <formula>"Towel"</formula>
    </cfRule>
    <cfRule type="cellIs" dxfId="2304" priority="2498" stopIfTrue="1" operator="equal">
      <formula>"Napkin Hs"</formula>
    </cfRule>
  </conditionalFormatting>
  <conditionalFormatting sqref="C114:C115">
    <cfRule type="cellIs" dxfId="2303" priority="2499" stopIfTrue="1" operator="equal">
      <formula>"Towel"</formula>
    </cfRule>
    <cfRule type="cellIs" dxfId="2302" priority="2500" stopIfTrue="1" operator="equal">
      <formula>"Napkin Hs"</formula>
    </cfRule>
  </conditionalFormatting>
  <conditionalFormatting sqref="C114:C115">
    <cfRule type="cellIs" dxfId="2301" priority="2556" stopIfTrue="1" operator="equal">
      <formula>"Napkin Hs"</formula>
    </cfRule>
  </conditionalFormatting>
  <conditionalFormatting sqref="C114:C115">
    <cfRule type="cellIs" dxfId="2300" priority="2555" stopIfTrue="1" operator="equal">
      <formula>"Towel"</formula>
    </cfRule>
  </conditionalFormatting>
  <conditionalFormatting sqref="B114:C115">
    <cfRule type="cellIs" dxfId="2299" priority="2513" stopIfTrue="1" operator="equal">
      <formula>"Towel"</formula>
    </cfRule>
    <cfRule type="cellIs" dxfId="2298" priority="2514" stopIfTrue="1" operator="equal">
      <formula>"Napkin Hs"</formula>
    </cfRule>
  </conditionalFormatting>
  <conditionalFormatting sqref="C114:C115">
    <cfRule type="cellIs" dxfId="2297" priority="2511" stopIfTrue="1" operator="equal">
      <formula>"Towel"</formula>
    </cfRule>
    <cfRule type="cellIs" dxfId="2296" priority="2512" stopIfTrue="1" operator="equal">
      <formula>"Napkin Hs"</formula>
    </cfRule>
  </conditionalFormatting>
  <conditionalFormatting sqref="C114:C115">
    <cfRule type="cellIs" dxfId="2295" priority="2509" stopIfTrue="1" operator="equal">
      <formula>"Towel"</formula>
    </cfRule>
    <cfRule type="cellIs" dxfId="2294" priority="2510" stopIfTrue="1" operator="equal">
      <formula>"Napkin Hs"</formula>
    </cfRule>
  </conditionalFormatting>
  <conditionalFormatting sqref="B114:C115">
    <cfRule type="cellIs" dxfId="2293" priority="2493" stopIfTrue="1" operator="equal">
      <formula>"Towel"</formula>
    </cfRule>
    <cfRule type="cellIs" dxfId="2292" priority="2494" stopIfTrue="1" operator="equal">
      <formula>"Napkin Hs"</formula>
    </cfRule>
  </conditionalFormatting>
  <conditionalFormatting sqref="C114:C115">
    <cfRule type="cellIs" dxfId="2291" priority="2495" stopIfTrue="1" operator="equal">
      <formula>"Towel"</formula>
    </cfRule>
    <cfRule type="cellIs" dxfId="2290" priority="2496" stopIfTrue="1" operator="equal">
      <formula>"Napkin Hs"</formula>
    </cfRule>
  </conditionalFormatting>
  <conditionalFormatting sqref="C114:C115">
    <cfRule type="cellIs" dxfId="2289" priority="2491" stopIfTrue="1" operator="equal">
      <formula>"Towel"</formula>
    </cfRule>
    <cfRule type="cellIs" dxfId="2288" priority="2492" stopIfTrue="1" operator="equal">
      <formula>"Napkin Hs"</formula>
    </cfRule>
  </conditionalFormatting>
  <conditionalFormatting sqref="B114:C115">
    <cfRule type="cellIs" dxfId="2287" priority="2489" stopIfTrue="1" operator="equal">
      <formula>"Towel"</formula>
    </cfRule>
    <cfRule type="cellIs" dxfId="2286" priority="2490" stopIfTrue="1" operator="equal">
      <formula>"Napkin Hs"</formula>
    </cfRule>
  </conditionalFormatting>
  <conditionalFormatting sqref="C114:C115">
    <cfRule type="cellIs" dxfId="2285" priority="2485" stopIfTrue="1" operator="equal">
      <formula>"Towel"</formula>
    </cfRule>
    <cfRule type="cellIs" dxfId="2284" priority="2486" stopIfTrue="1" operator="equal">
      <formula>"Napkin Hs"</formula>
    </cfRule>
  </conditionalFormatting>
  <conditionalFormatting sqref="C114:C115">
    <cfRule type="cellIs" dxfId="2283" priority="2487" stopIfTrue="1" operator="equal">
      <formula>"Towel"</formula>
    </cfRule>
    <cfRule type="cellIs" dxfId="2282" priority="2488" stopIfTrue="1" operator="equal">
      <formula>"Napkin Hs"</formula>
    </cfRule>
  </conditionalFormatting>
  <conditionalFormatting sqref="B114:C115">
    <cfRule type="cellIs" dxfId="2281" priority="2481" stopIfTrue="1" operator="equal">
      <formula>"Towel"</formula>
    </cfRule>
    <cfRule type="cellIs" dxfId="2280" priority="2482" stopIfTrue="1" operator="equal">
      <formula>"Napkin Hs"</formula>
    </cfRule>
  </conditionalFormatting>
  <conditionalFormatting sqref="C114:C115">
    <cfRule type="cellIs" dxfId="2279" priority="2483" stopIfTrue="1" operator="equal">
      <formula>"Towel"</formula>
    </cfRule>
    <cfRule type="cellIs" dxfId="2278" priority="2484" stopIfTrue="1" operator="equal">
      <formula>"Napkin Hs"</formula>
    </cfRule>
  </conditionalFormatting>
  <conditionalFormatting sqref="C114:C115">
    <cfRule type="cellIs" dxfId="2277" priority="2479" stopIfTrue="1" operator="equal">
      <formula>"Towel"</formula>
    </cfRule>
    <cfRule type="cellIs" dxfId="2276" priority="2480" stopIfTrue="1" operator="equal">
      <formula>"Napkin Hs"</formula>
    </cfRule>
  </conditionalFormatting>
  <conditionalFormatting sqref="B114:C115">
    <cfRule type="cellIs" dxfId="2275" priority="2477" stopIfTrue="1" operator="equal">
      <formula>"Towel"</formula>
    </cfRule>
    <cfRule type="cellIs" dxfId="2274" priority="2478" stopIfTrue="1" operator="equal">
      <formula>"Napkin Hs"</formula>
    </cfRule>
  </conditionalFormatting>
  <conditionalFormatting sqref="C114:C115">
    <cfRule type="cellIs" dxfId="2273" priority="2473" stopIfTrue="1" operator="equal">
      <formula>"Towel"</formula>
    </cfRule>
    <cfRule type="cellIs" dxfId="2272" priority="2474" stopIfTrue="1" operator="equal">
      <formula>"Napkin Hs"</formula>
    </cfRule>
  </conditionalFormatting>
  <conditionalFormatting sqref="C114:C115">
    <cfRule type="cellIs" dxfId="2271" priority="2475" stopIfTrue="1" operator="equal">
      <formula>"Towel"</formula>
    </cfRule>
    <cfRule type="cellIs" dxfId="2270" priority="2476" stopIfTrue="1" operator="equal">
      <formula>"Napkin Hs"</formula>
    </cfRule>
  </conditionalFormatting>
  <conditionalFormatting sqref="C113">
    <cfRule type="cellIs" dxfId="2269" priority="2465" stopIfTrue="1" operator="equal">
      <formula>"Towel"</formula>
    </cfRule>
    <cfRule type="cellIs" dxfId="2268" priority="2466" stopIfTrue="1" operator="equal">
      <formula>"Napkin Hs"</formula>
    </cfRule>
  </conditionalFormatting>
  <conditionalFormatting sqref="C113">
    <cfRule type="cellIs" dxfId="2267" priority="2463" stopIfTrue="1" operator="equal">
      <formula>"Towel"</formula>
    </cfRule>
    <cfRule type="cellIs" dxfId="2266" priority="2464" stopIfTrue="1" operator="equal">
      <formula>"Napkin Hs"</formula>
    </cfRule>
  </conditionalFormatting>
  <conditionalFormatting sqref="B113:C113">
    <cfRule type="cellIs" dxfId="2265" priority="2461" stopIfTrue="1" operator="equal">
      <formula>"Towel"</formula>
    </cfRule>
    <cfRule type="cellIs" dxfId="2264" priority="2462" stopIfTrue="1" operator="equal">
      <formula>"Napkin Hs"</formula>
    </cfRule>
  </conditionalFormatting>
  <conditionalFormatting sqref="B113:C113">
    <cfRule type="cellIs" dxfId="2263" priority="2471" stopIfTrue="1" operator="equal">
      <formula>"Towel"</formula>
    </cfRule>
    <cfRule type="cellIs" dxfId="2262" priority="2472" stopIfTrue="1" operator="equal">
      <formula>"Napkin Hs"</formula>
    </cfRule>
  </conditionalFormatting>
  <conditionalFormatting sqref="C113">
    <cfRule type="cellIs" dxfId="2261" priority="2469" stopIfTrue="1" operator="equal">
      <formula>"Towel"</formula>
    </cfRule>
    <cfRule type="cellIs" dxfId="2260" priority="2470" stopIfTrue="1" operator="equal">
      <formula>"Napkin Hs"</formula>
    </cfRule>
  </conditionalFormatting>
  <conditionalFormatting sqref="C113">
    <cfRule type="cellIs" dxfId="2259" priority="2467" stopIfTrue="1" operator="equal">
      <formula>"Towel"</formula>
    </cfRule>
    <cfRule type="cellIs" dxfId="2258" priority="2468" stopIfTrue="1" operator="equal">
      <formula>"Napkin Hs"</formula>
    </cfRule>
  </conditionalFormatting>
  <conditionalFormatting sqref="C113">
    <cfRule type="cellIs" dxfId="2257" priority="2459" stopIfTrue="1" operator="equal">
      <formula>"Towel"</formula>
    </cfRule>
    <cfRule type="cellIs" dxfId="2256" priority="2460" stopIfTrue="1" operator="equal">
      <formula>"Napkin Hs"</formula>
    </cfRule>
  </conditionalFormatting>
  <conditionalFormatting sqref="C113">
    <cfRule type="cellIs" dxfId="2255" priority="2457" stopIfTrue="1" operator="equal">
      <formula>"Towel"</formula>
    </cfRule>
    <cfRule type="cellIs" dxfId="2254" priority="2458" stopIfTrue="1" operator="equal">
      <formula>"Napkin Hs"</formula>
    </cfRule>
  </conditionalFormatting>
  <conditionalFormatting sqref="B113:C113">
    <cfRule type="cellIs" dxfId="2253" priority="2455" stopIfTrue="1" operator="equal">
      <formula>"Towel"</formula>
    </cfRule>
    <cfRule type="cellIs" dxfId="2252" priority="2456" stopIfTrue="1" operator="equal">
      <formula>"Napkin Hs"</formula>
    </cfRule>
  </conditionalFormatting>
  <conditionalFormatting sqref="B113:C113">
    <cfRule type="cellIs" dxfId="2251" priority="2453" stopIfTrue="1" operator="equal">
      <formula>"Towel"</formula>
    </cfRule>
    <cfRule type="cellIs" dxfId="2250" priority="2454" stopIfTrue="1" operator="equal">
      <formula>"Napkin Hs"</formula>
    </cfRule>
  </conditionalFormatting>
  <conditionalFormatting sqref="C113">
    <cfRule type="cellIs" dxfId="2249" priority="2451" stopIfTrue="1" operator="equal">
      <formula>"Towel"</formula>
    </cfRule>
    <cfRule type="cellIs" dxfId="2248" priority="2452" stopIfTrue="1" operator="equal">
      <formula>"Napkin Hs"</formula>
    </cfRule>
  </conditionalFormatting>
  <conditionalFormatting sqref="C113">
    <cfRule type="cellIs" dxfId="2247" priority="2449" stopIfTrue="1" operator="equal">
      <formula>"Towel"</formula>
    </cfRule>
    <cfRule type="cellIs" dxfId="2246" priority="2450" stopIfTrue="1" operator="equal">
      <formula>"Napkin Hs"</formula>
    </cfRule>
  </conditionalFormatting>
  <conditionalFormatting sqref="C113">
    <cfRule type="cellIs" dxfId="2245" priority="2441" stopIfTrue="1" operator="equal">
      <formula>"Towel"</formula>
    </cfRule>
    <cfRule type="cellIs" dxfId="2244" priority="2442" stopIfTrue="1" operator="equal">
      <formula>"Napkin Hs"</formula>
    </cfRule>
  </conditionalFormatting>
  <conditionalFormatting sqref="B113:C113">
    <cfRule type="cellIs" dxfId="2243" priority="2443" stopIfTrue="1" operator="equal">
      <formula>"Towel"</formula>
    </cfRule>
    <cfRule type="cellIs" dxfId="2242" priority="2444" stopIfTrue="1" operator="equal">
      <formula>"Napkin Hs"</formula>
    </cfRule>
  </conditionalFormatting>
  <conditionalFormatting sqref="C113">
    <cfRule type="cellIs" dxfId="2241" priority="2439" stopIfTrue="1" operator="equal">
      <formula>"Towel"</formula>
    </cfRule>
    <cfRule type="cellIs" dxfId="2240" priority="2440" stopIfTrue="1" operator="equal">
      <formula>"Napkin Hs"</formula>
    </cfRule>
  </conditionalFormatting>
  <conditionalFormatting sqref="B113:C113">
    <cfRule type="cellIs" dxfId="2239" priority="2437" stopIfTrue="1" operator="equal">
      <formula>"Towel"</formula>
    </cfRule>
    <cfRule type="cellIs" dxfId="2238" priority="2438" stopIfTrue="1" operator="equal">
      <formula>"Napkin Hs"</formula>
    </cfRule>
  </conditionalFormatting>
  <conditionalFormatting sqref="C113">
    <cfRule type="cellIs" dxfId="2237" priority="2445" stopIfTrue="1" operator="equal">
      <formula>"Towel"</formula>
    </cfRule>
    <cfRule type="cellIs" dxfId="2236" priority="2446" stopIfTrue="1" operator="equal">
      <formula>"Napkin Hs"</formula>
    </cfRule>
  </conditionalFormatting>
  <conditionalFormatting sqref="C113">
    <cfRule type="cellIs" dxfId="2235" priority="2447" stopIfTrue="1" operator="equal">
      <formula>"Towel"</formula>
    </cfRule>
    <cfRule type="cellIs" dxfId="2234" priority="2448" stopIfTrue="1" operator="equal">
      <formula>"Napkin Hs"</formula>
    </cfRule>
  </conditionalFormatting>
  <conditionalFormatting sqref="B113:C113">
    <cfRule type="cellIs" dxfId="2233" priority="2433" stopIfTrue="1" operator="equal">
      <formula>"Towel"</formula>
    </cfRule>
    <cfRule type="cellIs" dxfId="2232" priority="2434" stopIfTrue="1" operator="equal">
      <formula>"Napkin Hs"</formula>
    </cfRule>
  </conditionalFormatting>
  <conditionalFormatting sqref="C113">
    <cfRule type="cellIs" dxfId="2231" priority="2435" stopIfTrue="1" operator="equal">
      <formula>"Towel"</formula>
    </cfRule>
    <cfRule type="cellIs" dxfId="2230" priority="2436" stopIfTrue="1" operator="equal">
      <formula>"Napkin Hs"</formula>
    </cfRule>
  </conditionalFormatting>
  <conditionalFormatting sqref="C113">
    <cfRule type="cellIs" dxfId="2229" priority="2431" stopIfTrue="1" operator="equal">
      <formula>"Towel"</formula>
    </cfRule>
    <cfRule type="cellIs" dxfId="2228" priority="2432" stopIfTrue="1" operator="equal">
      <formula>"Napkin Hs"</formula>
    </cfRule>
  </conditionalFormatting>
  <conditionalFormatting sqref="B113:C113">
    <cfRule type="cellIs" dxfId="2227" priority="2429" stopIfTrue="1" operator="equal">
      <formula>"Towel"</formula>
    </cfRule>
    <cfRule type="cellIs" dxfId="2226" priority="2430" stopIfTrue="1" operator="equal">
      <formula>"Napkin Hs"</formula>
    </cfRule>
  </conditionalFormatting>
  <conditionalFormatting sqref="C113">
    <cfRule type="cellIs" dxfId="2225" priority="2427" stopIfTrue="1" operator="equal">
      <formula>"Towel"</formula>
    </cfRule>
    <cfRule type="cellIs" dxfId="2224" priority="2428" stopIfTrue="1" operator="equal">
      <formula>"Napkin Hs"</formula>
    </cfRule>
  </conditionalFormatting>
  <conditionalFormatting sqref="C113">
    <cfRule type="cellIs" dxfId="2223" priority="2425" stopIfTrue="1" operator="equal">
      <formula>"Towel"</formula>
    </cfRule>
    <cfRule type="cellIs" dxfId="2222" priority="2426" stopIfTrue="1" operator="equal">
      <formula>"Napkin Hs"</formula>
    </cfRule>
  </conditionalFormatting>
  <conditionalFormatting sqref="C113">
    <cfRule type="cellIs" dxfId="2221" priority="2417" stopIfTrue="1" operator="equal">
      <formula>"Towel"</formula>
    </cfRule>
    <cfRule type="cellIs" dxfId="2220" priority="2418" stopIfTrue="1" operator="equal">
      <formula>"Napkin Hs"</formula>
    </cfRule>
  </conditionalFormatting>
  <conditionalFormatting sqref="B113:C113">
    <cfRule type="cellIs" dxfId="2219" priority="2419" stopIfTrue="1" operator="equal">
      <formula>"Towel"</formula>
    </cfRule>
    <cfRule type="cellIs" dxfId="2218" priority="2420" stopIfTrue="1" operator="equal">
      <formula>"Napkin Hs"</formula>
    </cfRule>
  </conditionalFormatting>
  <conditionalFormatting sqref="C113">
    <cfRule type="cellIs" dxfId="2217" priority="2415" stopIfTrue="1" operator="equal">
      <formula>"Towel"</formula>
    </cfRule>
    <cfRule type="cellIs" dxfId="2216" priority="2416" stopIfTrue="1" operator="equal">
      <formula>"Napkin Hs"</formula>
    </cfRule>
  </conditionalFormatting>
  <conditionalFormatting sqref="B113:C113">
    <cfRule type="cellIs" dxfId="2215" priority="2413" stopIfTrue="1" operator="equal">
      <formula>"Towel"</formula>
    </cfRule>
    <cfRule type="cellIs" dxfId="2214" priority="2414" stopIfTrue="1" operator="equal">
      <formula>"Napkin Hs"</formula>
    </cfRule>
  </conditionalFormatting>
  <conditionalFormatting sqref="C113">
    <cfRule type="cellIs" dxfId="2213" priority="2421" stopIfTrue="1" operator="equal">
      <formula>"Towel"</formula>
    </cfRule>
    <cfRule type="cellIs" dxfId="2212" priority="2422" stopIfTrue="1" operator="equal">
      <formula>"Napkin Hs"</formula>
    </cfRule>
  </conditionalFormatting>
  <conditionalFormatting sqref="C113">
    <cfRule type="cellIs" dxfId="2211" priority="2423" stopIfTrue="1" operator="equal">
      <formula>"Towel"</formula>
    </cfRule>
    <cfRule type="cellIs" dxfId="2210" priority="2424" stopIfTrue="1" operator="equal">
      <formula>"Napkin Hs"</formula>
    </cfRule>
  </conditionalFormatting>
  <conditionalFormatting sqref="C113">
    <cfRule type="cellIs" dxfId="2209" priority="2409" stopIfTrue="1" operator="equal">
      <formula>"Towel"</formula>
    </cfRule>
    <cfRule type="cellIs" dxfId="2208" priority="2410" stopIfTrue="1" operator="equal">
      <formula>"Napkin Hs"</formula>
    </cfRule>
  </conditionalFormatting>
  <conditionalFormatting sqref="C113">
    <cfRule type="cellIs" dxfId="2207" priority="2411" stopIfTrue="1" operator="equal">
      <formula>"Towel"</formula>
    </cfRule>
    <cfRule type="cellIs" dxfId="2206" priority="2412" stopIfTrue="1" operator="equal">
      <formula>"Napkin Hs"</formula>
    </cfRule>
  </conditionalFormatting>
  <conditionalFormatting sqref="B113:C113">
    <cfRule type="cellIs" dxfId="2205" priority="2407" stopIfTrue="1" operator="equal">
      <formula>"Towel"</formula>
    </cfRule>
    <cfRule type="cellIs" dxfId="2204" priority="2408" stopIfTrue="1" operator="equal">
      <formula>"Napkin Hs"</formula>
    </cfRule>
  </conditionalFormatting>
  <conditionalFormatting sqref="B113:C113">
    <cfRule type="cellIs" dxfId="2203" priority="2401" stopIfTrue="1" operator="equal">
      <formula>"Towel"</formula>
    </cfRule>
    <cfRule type="cellIs" dxfId="2202" priority="2402" stopIfTrue="1" operator="equal">
      <formula>"Napkin Hs"</formula>
    </cfRule>
  </conditionalFormatting>
  <conditionalFormatting sqref="C113">
    <cfRule type="cellIs" dxfId="2201" priority="2403" stopIfTrue="1" operator="equal">
      <formula>"Towel"</formula>
    </cfRule>
    <cfRule type="cellIs" dxfId="2200" priority="2404" stopIfTrue="1" operator="equal">
      <formula>"Napkin Hs"</formula>
    </cfRule>
  </conditionalFormatting>
  <conditionalFormatting sqref="C113">
    <cfRule type="cellIs" dxfId="2199" priority="2405" stopIfTrue="1" operator="equal">
      <formula>"Towel"</formula>
    </cfRule>
    <cfRule type="cellIs" dxfId="2198" priority="2406" stopIfTrue="1" operator="equal">
      <formula>"Napkin Hs"</formula>
    </cfRule>
  </conditionalFormatting>
  <conditionalFormatting sqref="C113">
    <cfRule type="cellIs" dxfId="2197" priority="2373" stopIfTrue="1" operator="equal">
      <formula>"Towel"</formula>
    </cfRule>
    <cfRule type="cellIs" dxfId="2196" priority="2374" stopIfTrue="1" operator="equal">
      <formula>"Napkin Hs"</formula>
    </cfRule>
  </conditionalFormatting>
  <conditionalFormatting sqref="C113">
    <cfRule type="cellIs" dxfId="2195" priority="2375" stopIfTrue="1" operator="equal">
      <formula>"Towel"</formula>
    </cfRule>
    <cfRule type="cellIs" dxfId="2194" priority="2376" stopIfTrue="1" operator="equal">
      <formula>"Napkin Hs"</formula>
    </cfRule>
  </conditionalFormatting>
  <conditionalFormatting sqref="C113">
    <cfRule type="cellIs" dxfId="2193" priority="2371" stopIfTrue="1" operator="equal">
      <formula>"Towel"</formula>
    </cfRule>
    <cfRule type="cellIs" dxfId="2192" priority="2372" stopIfTrue="1" operator="equal">
      <formula>"Napkin Hs"</formula>
    </cfRule>
  </conditionalFormatting>
  <conditionalFormatting sqref="B113">
    <cfRule type="cellIs" dxfId="2191" priority="2365" stopIfTrue="1" operator="equal">
      <formula>"Towel"</formula>
    </cfRule>
    <cfRule type="cellIs" dxfId="2190" priority="2366" stopIfTrue="1" operator="equal">
      <formula>"Napkin Hs"</formula>
    </cfRule>
  </conditionalFormatting>
  <conditionalFormatting sqref="C113">
    <cfRule type="cellIs" dxfId="2189" priority="2367" stopIfTrue="1" operator="equal">
      <formula>"Towel"</formula>
    </cfRule>
    <cfRule type="cellIs" dxfId="2188" priority="2368" stopIfTrue="1" operator="equal">
      <formula>"Napkin Hs"</formula>
    </cfRule>
  </conditionalFormatting>
  <conditionalFormatting sqref="C113">
    <cfRule type="cellIs" dxfId="2187" priority="2369" stopIfTrue="1" operator="equal">
      <formula>"Towel"</formula>
    </cfRule>
    <cfRule type="cellIs" dxfId="2186" priority="2370" stopIfTrue="1" operator="equal">
      <formula>"Napkin Hs"</formula>
    </cfRule>
  </conditionalFormatting>
  <conditionalFormatting sqref="B113:C113">
    <cfRule type="cellIs" dxfId="2185" priority="2319" stopIfTrue="1" operator="equal">
      <formula>"Towel"</formula>
    </cfRule>
    <cfRule type="cellIs" dxfId="2184" priority="2320" stopIfTrue="1" operator="equal">
      <formula>"Napkin Hs"</formula>
    </cfRule>
  </conditionalFormatting>
  <conditionalFormatting sqref="C113">
    <cfRule type="cellIs" dxfId="2183" priority="2321" stopIfTrue="1" operator="equal">
      <formula>"Towel"</formula>
    </cfRule>
    <cfRule type="cellIs" dxfId="2182" priority="2322" stopIfTrue="1" operator="equal">
      <formula>"Napkin Hs"</formula>
    </cfRule>
  </conditionalFormatting>
  <conditionalFormatting sqref="C113">
    <cfRule type="cellIs" dxfId="2181" priority="2317" stopIfTrue="1" operator="equal">
      <formula>"Towel"</formula>
    </cfRule>
    <cfRule type="cellIs" dxfId="2180" priority="2318" stopIfTrue="1" operator="equal">
      <formula>"Napkin Hs"</formula>
    </cfRule>
  </conditionalFormatting>
  <conditionalFormatting sqref="C113">
    <cfRule type="cellIs" dxfId="2179" priority="2315" stopIfTrue="1" operator="equal">
      <formula>"Towel"</formula>
    </cfRule>
    <cfRule type="cellIs" dxfId="2178" priority="2316" stopIfTrue="1" operator="equal">
      <formula>"Napkin Hs"</formula>
    </cfRule>
  </conditionalFormatting>
  <conditionalFormatting sqref="B113">
    <cfRule type="cellIs" dxfId="2177" priority="2363" stopIfTrue="1" operator="equal">
      <formula>"Towel"</formula>
    </cfRule>
    <cfRule type="cellIs" dxfId="2176" priority="2364" stopIfTrue="1" operator="equal">
      <formula>"Napkin Hs"</formula>
    </cfRule>
  </conditionalFormatting>
  <conditionalFormatting sqref="C113">
    <cfRule type="cellIs" dxfId="2175" priority="2359" stopIfTrue="1" operator="equal">
      <formula>"Towel"</formula>
    </cfRule>
    <cfRule type="cellIs" dxfId="2174" priority="2360" stopIfTrue="1" operator="equal">
      <formula>"Napkin Hs"</formula>
    </cfRule>
  </conditionalFormatting>
  <conditionalFormatting sqref="C113">
    <cfRule type="cellIs" dxfId="2173" priority="2353" stopIfTrue="1" operator="equal">
      <formula>"Towel"</formula>
    </cfRule>
    <cfRule type="cellIs" dxfId="2172" priority="2354" stopIfTrue="1" operator="equal">
      <formula>"Napkin Hs"</formula>
    </cfRule>
  </conditionalFormatting>
  <conditionalFormatting sqref="C113">
    <cfRule type="cellIs" dxfId="2171" priority="2357" stopIfTrue="1" operator="equal">
      <formula>"Towel"</formula>
    </cfRule>
    <cfRule type="cellIs" dxfId="2170" priority="2358" stopIfTrue="1" operator="equal">
      <formula>"Napkin Hs"</formula>
    </cfRule>
  </conditionalFormatting>
  <conditionalFormatting sqref="B113:C113">
    <cfRule type="cellIs" dxfId="2169" priority="2355" stopIfTrue="1" operator="equal">
      <formula>"Towel"</formula>
    </cfRule>
    <cfRule type="cellIs" dxfId="2168" priority="2356" stopIfTrue="1" operator="equal">
      <formula>"Napkin Hs"</formula>
    </cfRule>
  </conditionalFormatting>
  <conditionalFormatting sqref="C113">
    <cfRule type="cellIs" dxfId="2167" priority="2347" stopIfTrue="1" operator="equal">
      <formula>"Towel"</formula>
    </cfRule>
    <cfRule type="cellIs" dxfId="2166" priority="2348" stopIfTrue="1" operator="equal">
      <formula>"Napkin Hs"</formula>
    </cfRule>
  </conditionalFormatting>
  <conditionalFormatting sqref="C113">
    <cfRule type="cellIs" dxfId="2165" priority="2349" stopIfTrue="1" operator="equal">
      <formula>"Towel"</formula>
    </cfRule>
    <cfRule type="cellIs" dxfId="2164" priority="2350" stopIfTrue="1" operator="equal">
      <formula>"Napkin Hs"</formula>
    </cfRule>
  </conditionalFormatting>
  <conditionalFormatting sqref="C113">
    <cfRule type="cellIs" dxfId="2163" priority="2351" stopIfTrue="1" operator="equal">
      <formula>"Towel"</formula>
    </cfRule>
    <cfRule type="cellIs" dxfId="2162" priority="2352" stopIfTrue="1" operator="equal">
      <formula>"Napkin Hs"</formula>
    </cfRule>
  </conditionalFormatting>
  <conditionalFormatting sqref="C113">
    <cfRule type="cellIs" dxfId="2161" priority="2341" stopIfTrue="1" operator="equal">
      <formula>"Towel"</formula>
    </cfRule>
    <cfRule type="cellIs" dxfId="2160" priority="2342" stopIfTrue="1" operator="equal">
      <formula>"Napkin Hs"</formula>
    </cfRule>
  </conditionalFormatting>
  <conditionalFormatting sqref="B113:C113">
    <cfRule type="cellIs" dxfId="2159" priority="2345" stopIfTrue="1" operator="equal">
      <formula>"Towel"</formula>
    </cfRule>
    <cfRule type="cellIs" dxfId="2158" priority="2346" stopIfTrue="1" operator="equal">
      <formula>"Napkin Hs"</formula>
    </cfRule>
  </conditionalFormatting>
  <conditionalFormatting sqref="C113">
    <cfRule type="cellIs" dxfId="2157" priority="2343" stopIfTrue="1" operator="equal">
      <formula>"Towel"</formula>
    </cfRule>
    <cfRule type="cellIs" dxfId="2156" priority="2344" stopIfTrue="1" operator="equal">
      <formula>"Napkin Hs"</formula>
    </cfRule>
  </conditionalFormatting>
  <conditionalFormatting sqref="B113:C113">
    <cfRule type="cellIs" dxfId="2155" priority="2335" stopIfTrue="1" operator="equal">
      <formula>"Towel"</formula>
    </cfRule>
    <cfRule type="cellIs" dxfId="2154" priority="2336" stopIfTrue="1" operator="equal">
      <formula>"Napkin Hs"</formula>
    </cfRule>
  </conditionalFormatting>
  <conditionalFormatting sqref="C113">
    <cfRule type="cellIs" dxfId="2153" priority="2337" stopIfTrue="1" operator="equal">
      <formula>"Towel"</formula>
    </cfRule>
    <cfRule type="cellIs" dxfId="2152" priority="2338" stopIfTrue="1" operator="equal">
      <formula>"Napkin Hs"</formula>
    </cfRule>
  </conditionalFormatting>
  <conditionalFormatting sqref="B113:C113">
    <cfRule type="cellIs" dxfId="2151" priority="2339" stopIfTrue="1" operator="equal">
      <formula>"Towel"</formula>
    </cfRule>
    <cfRule type="cellIs" dxfId="2150" priority="2340" stopIfTrue="1" operator="equal">
      <formula>"Napkin Hs"</formula>
    </cfRule>
  </conditionalFormatting>
  <conditionalFormatting sqref="C113">
    <cfRule type="cellIs" dxfId="2149" priority="2333" stopIfTrue="1" operator="equal">
      <formula>"Towel"</formula>
    </cfRule>
    <cfRule type="cellIs" dxfId="2148" priority="2334" stopIfTrue="1" operator="equal">
      <formula>"Napkin Hs"</formula>
    </cfRule>
  </conditionalFormatting>
  <conditionalFormatting sqref="C113">
    <cfRule type="cellIs" dxfId="2147" priority="2329" stopIfTrue="1" operator="equal">
      <formula>"Towel"</formula>
    </cfRule>
    <cfRule type="cellIs" dxfId="2146" priority="2330" stopIfTrue="1" operator="equal">
      <formula>"Napkin Hs"</formula>
    </cfRule>
  </conditionalFormatting>
  <conditionalFormatting sqref="B113:C113">
    <cfRule type="cellIs" dxfId="2145" priority="2331" stopIfTrue="1" operator="equal">
      <formula>"Towel"</formula>
    </cfRule>
    <cfRule type="cellIs" dxfId="2144" priority="2332" stopIfTrue="1" operator="equal">
      <formula>"Napkin Hs"</formula>
    </cfRule>
  </conditionalFormatting>
  <conditionalFormatting sqref="C113">
    <cfRule type="cellIs" dxfId="2143" priority="2327" stopIfTrue="1" operator="equal">
      <formula>"Towel"</formula>
    </cfRule>
    <cfRule type="cellIs" dxfId="2142" priority="2328" stopIfTrue="1" operator="equal">
      <formula>"Napkin Hs"</formula>
    </cfRule>
  </conditionalFormatting>
  <conditionalFormatting sqref="C113">
    <cfRule type="cellIs" dxfId="2141" priority="2325" stopIfTrue="1" operator="equal">
      <formula>"Towel"</formula>
    </cfRule>
    <cfRule type="cellIs" dxfId="2140" priority="2326" stopIfTrue="1" operator="equal">
      <formula>"Napkin Hs"</formula>
    </cfRule>
  </conditionalFormatting>
  <conditionalFormatting sqref="B113:C113">
    <cfRule type="cellIs" dxfId="2139" priority="2323" stopIfTrue="1" operator="equal">
      <formula>"Towel"</formula>
    </cfRule>
    <cfRule type="cellIs" dxfId="2138" priority="2324" stopIfTrue="1" operator="equal">
      <formula>"Napkin Hs"</formula>
    </cfRule>
  </conditionalFormatting>
  <conditionalFormatting sqref="B113:C113">
    <cfRule type="cellIs" dxfId="2137" priority="2399" stopIfTrue="1" operator="equal">
      <formula>"Towel"</formula>
    </cfRule>
    <cfRule type="cellIs" dxfId="2136" priority="2400" stopIfTrue="1" operator="equal">
      <formula>"Napkin Hs"</formula>
    </cfRule>
  </conditionalFormatting>
  <conditionalFormatting sqref="C113">
    <cfRule type="cellIs" dxfId="2135" priority="2395" stopIfTrue="1" operator="equal">
      <formula>"Towel"</formula>
    </cfRule>
    <cfRule type="cellIs" dxfId="2134" priority="2396" stopIfTrue="1" operator="equal">
      <formula>"Napkin Hs"</formula>
    </cfRule>
  </conditionalFormatting>
  <conditionalFormatting sqref="C113">
    <cfRule type="cellIs" dxfId="2133" priority="2398" stopIfTrue="1" operator="equal">
      <formula>"Napkin Hs"</formula>
    </cfRule>
  </conditionalFormatting>
  <conditionalFormatting sqref="C113">
    <cfRule type="cellIs" dxfId="2132" priority="2397" stopIfTrue="1" operator="equal">
      <formula>"Towel"</formula>
    </cfRule>
  </conditionalFormatting>
  <conditionalFormatting sqref="C113">
    <cfRule type="cellIs" dxfId="2131" priority="2389" stopIfTrue="1" operator="equal">
      <formula>"Towel"</formula>
    </cfRule>
    <cfRule type="cellIs" dxfId="2130" priority="2390" stopIfTrue="1" operator="equal">
      <formula>"Napkin Hs"</formula>
    </cfRule>
  </conditionalFormatting>
  <conditionalFormatting sqref="C113">
    <cfRule type="cellIs" dxfId="2129" priority="2393" stopIfTrue="1" operator="equal">
      <formula>"Towel"</formula>
    </cfRule>
    <cfRule type="cellIs" dxfId="2128" priority="2394" stopIfTrue="1" operator="equal">
      <formula>"Napkin Hs"</formula>
    </cfRule>
  </conditionalFormatting>
  <conditionalFormatting sqref="B113">
    <cfRule type="cellIs" dxfId="2127" priority="2379" stopIfTrue="1" operator="equal">
      <formula>"Towel"</formula>
    </cfRule>
    <cfRule type="cellIs" dxfId="2126" priority="2380" stopIfTrue="1" operator="equal">
      <formula>"Napkin Hs"</formula>
    </cfRule>
  </conditionalFormatting>
  <conditionalFormatting sqref="C113">
    <cfRule type="cellIs" dxfId="2125" priority="2391" stopIfTrue="1" operator="equal">
      <formula>"Towel"</formula>
    </cfRule>
    <cfRule type="cellIs" dxfId="2124" priority="2392" stopIfTrue="1" operator="equal">
      <formula>"Napkin Hs"</formula>
    </cfRule>
  </conditionalFormatting>
  <conditionalFormatting sqref="C113">
    <cfRule type="cellIs" dxfId="2123" priority="2383" stopIfTrue="1" operator="equal">
      <formula>"Towel"</formula>
    </cfRule>
    <cfRule type="cellIs" dxfId="2122" priority="2384" stopIfTrue="1" operator="equal">
      <formula>"Napkin Hs"</formula>
    </cfRule>
  </conditionalFormatting>
  <conditionalFormatting sqref="C113">
    <cfRule type="cellIs" dxfId="2121" priority="2385" stopIfTrue="1" operator="equal">
      <formula>"Towel"</formula>
    </cfRule>
    <cfRule type="cellIs" dxfId="2120" priority="2386" stopIfTrue="1" operator="equal">
      <formula>"Napkin Hs"</formula>
    </cfRule>
  </conditionalFormatting>
  <conditionalFormatting sqref="C113">
    <cfRule type="cellIs" dxfId="2119" priority="2387" stopIfTrue="1" operator="equal">
      <formula>"Towel"</formula>
    </cfRule>
    <cfRule type="cellIs" dxfId="2118" priority="2388" stopIfTrue="1" operator="equal">
      <formula>"Napkin Hs"</formula>
    </cfRule>
  </conditionalFormatting>
  <conditionalFormatting sqref="B113">
    <cfRule type="cellIs" dxfId="2117" priority="2381" stopIfTrue="1" operator="equal">
      <formula>"Towel"</formula>
    </cfRule>
    <cfRule type="cellIs" dxfId="2116" priority="2382" stopIfTrue="1" operator="equal">
      <formula>"Napkin Hs"</formula>
    </cfRule>
  </conditionalFormatting>
  <conditionalFormatting sqref="C113">
    <cfRule type="cellIs" dxfId="2115" priority="2377" stopIfTrue="1" operator="equal">
      <formula>"Towel"</formula>
    </cfRule>
    <cfRule type="cellIs" dxfId="2114" priority="2378" stopIfTrue="1" operator="equal">
      <formula>"Napkin Hs"</formula>
    </cfRule>
  </conditionalFormatting>
  <conditionalFormatting sqref="B113:C113">
    <cfRule type="cellIs" dxfId="2113" priority="2361" stopIfTrue="1" operator="equal">
      <formula>"Towel"</formula>
    </cfRule>
    <cfRule type="cellIs" dxfId="2112" priority="2362" stopIfTrue="1" operator="equal">
      <formula>"Napkin Hs"</formula>
    </cfRule>
  </conditionalFormatting>
  <conditionalFormatting sqref="C113">
    <cfRule type="cellIs" dxfId="2111" priority="2311" stopIfTrue="1" operator="equal">
      <formula>"Towel"</formula>
    </cfRule>
    <cfRule type="cellIs" dxfId="2110" priority="2312" stopIfTrue="1" operator="equal">
      <formula>"Napkin Hs"</formula>
    </cfRule>
  </conditionalFormatting>
  <conditionalFormatting sqref="C113">
    <cfRule type="cellIs" dxfId="2109" priority="2313" stopIfTrue="1" operator="equal">
      <formula>"Towel"</formula>
    </cfRule>
    <cfRule type="cellIs" dxfId="2108" priority="2314" stopIfTrue="1" operator="equal">
      <formula>"Napkin Hs"</formula>
    </cfRule>
  </conditionalFormatting>
  <conditionalFormatting sqref="C113">
    <cfRule type="cellIs" dxfId="2107" priority="2307" stopIfTrue="1" operator="equal">
      <formula>"Towel"</formula>
    </cfRule>
    <cfRule type="cellIs" dxfId="2106" priority="2308" stopIfTrue="1" operator="equal">
      <formula>"Napkin Hs"</formula>
    </cfRule>
  </conditionalFormatting>
  <conditionalFormatting sqref="B113:C113">
    <cfRule type="cellIs" dxfId="2105" priority="2309" stopIfTrue="1" operator="equal">
      <formula>"Towel"</formula>
    </cfRule>
    <cfRule type="cellIs" dxfId="2104" priority="2310" stopIfTrue="1" operator="equal">
      <formula>"Napkin Hs"</formula>
    </cfRule>
  </conditionalFormatting>
  <conditionalFormatting sqref="C113">
    <cfRule type="cellIs" dxfId="2103" priority="2305" stopIfTrue="1" operator="equal">
      <formula>"Towel"</formula>
    </cfRule>
    <cfRule type="cellIs" dxfId="2102" priority="2306" stopIfTrue="1" operator="equal">
      <formula>"Napkin Hs"</formula>
    </cfRule>
  </conditionalFormatting>
  <conditionalFormatting sqref="B113:C113">
    <cfRule type="cellIs" dxfId="2101" priority="2303" stopIfTrue="1" operator="equal">
      <formula>"Towel"</formula>
    </cfRule>
    <cfRule type="cellIs" dxfId="2100" priority="2304" stopIfTrue="1" operator="equal">
      <formula>"Napkin Hs"</formula>
    </cfRule>
  </conditionalFormatting>
  <conditionalFormatting sqref="B113:C113">
    <cfRule type="cellIs" dxfId="2099" priority="2301" stopIfTrue="1" operator="equal">
      <formula>"Towel"</formula>
    </cfRule>
    <cfRule type="cellIs" dxfId="2098" priority="2302" stopIfTrue="1" operator="equal">
      <formula>"Napkin Hs"</formula>
    </cfRule>
  </conditionalFormatting>
  <conditionalFormatting sqref="C113">
    <cfRule type="cellIs" dxfId="2097" priority="2295" stopIfTrue="1" operator="equal">
      <formula>"Towel"</formula>
    </cfRule>
    <cfRule type="cellIs" dxfId="2096" priority="2296" stopIfTrue="1" operator="equal">
      <formula>"Napkin Hs"</formula>
    </cfRule>
  </conditionalFormatting>
  <conditionalFormatting sqref="C113">
    <cfRule type="cellIs" dxfId="2095" priority="2297" stopIfTrue="1" operator="equal">
      <formula>"Towel"</formula>
    </cfRule>
    <cfRule type="cellIs" dxfId="2094" priority="2298" stopIfTrue="1" operator="equal">
      <formula>"Napkin Hs"</formula>
    </cfRule>
  </conditionalFormatting>
  <conditionalFormatting sqref="C113">
    <cfRule type="cellIs" dxfId="2093" priority="2293" stopIfTrue="1" operator="equal">
      <formula>"Towel"</formula>
    </cfRule>
    <cfRule type="cellIs" dxfId="2092" priority="2294" stopIfTrue="1" operator="equal">
      <formula>"Napkin Hs"</formula>
    </cfRule>
  </conditionalFormatting>
  <conditionalFormatting sqref="C113">
    <cfRule type="cellIs" dxfId="2091" priority="2291" stopIfTrue="1" operator="equal">
      <formula>"Towel"</formula>
    </cfRule>
    <cfRule type="cellIs" dxfId="2090" priority="2292" stopIfTrue="1" operator="equal">
      <formula>"Napkin Hs"</formula>
    </cfRule>
  </conditionalFormatting>
  <conditionalFormatting sqref="C113">
    <cfRule type="cellIs" dxfId="2089" priority="2287" stopIfTrue="1" operator="equal">
      <formula>"Towel"</formula>
    </cfRule>
    <cfRule type="cellIs" dxfId="2088" priority="2288" stopIfTrue="1" operator="equal">
      <formula>"Napkin Hs"</formula>
    </cfRule>
  </conditionalFormatting>
  <conditionalFormatting sqref="C113">
    <cfRule type="cellIs" dxfId="2087" priority="2289" stopIfTrue="1" operator="equal">
      <formula>"Towel"</formula>
    </cfRule>
    <cfRule type="cellIs" dxfId="2086" priority="2290" stopIfTrue="1" operator="equal">
      <formula>"Napkin Hs"</formula>
    </cfRule>
  </conditionalFormatting>
  <conditionalFormatting sqref="C113">
    <cfRule type="cellIs" dxfId="2085" priority="2285" stopIfTrue="1" operator="equal">
      <formula>"Towel"</formula>
    </cfRule>
    <cfRule type="cellIs" dxfId="2084" priority="2286" stopIfTrue="1" operator="equal">
      <formula>"Napkin Hs"</formula>
    </cfRule>
  </conditionalFormatting>
  <conditionalFormatting sqref="C113">
    <cfRule type="cellIs" dxfId="2083" priority="2269" stopIfTrue="1" operator="equal">
      <formula>"Towel"</formula>
    </cfRule>
    <cfRule type="cellIs" dxfId="2082" priority="2270" stopIfTrue="1" operator="equal">
      <formula>"Napkin Hs"</formula>
    </cfRule>
  </conditionalFormatting>
  <conditionalFormatting sqref="B113">
    <cfRule type="cellIs" dxfId="2081" priority="2267" stopIfTrue="1" operator="equal">
      <formula>"Towel"</formula>
    </cfRule>
    <cfRule type="cellIs" dxfId="2080" priority="2268" stopIfTrue="1" operator="equal">
      <formula>"Napkin Hs"</formula>
    </cfRule>
  </conditionalFormatting>
  <conditionalFormatting sqref="B113">
    <cfRule type="cellIs" dxfId="2079" priority="2283" stopIfTrue="1" operator="equal">
      <formula>"Towel"</formula>
    </cfRule>
    <cfRule type="cellIs" dxfId="2078" priority="2284" stopIfTrue="1" operator="equal">
      <formula>"Napkin Hs"</formula>
    </cfRule>
  </conditionalFormatting>
  <conditionalFormatting sqref="C113">
    <cfRule type="cellIs" dxfId="2077" priority="2279" stopIfTrue="1" operator="equal">
      <formula>"Towel"</formula>
    </cfRule>
    <cfRule type="cellIs" dxfId="2076" priority="2280" stopIfTrue="1" operator="equal">
      <formula>"Napkin Hs"</formula>
    </cfRule>
  </conditionalFormatting>
  <conditionalFormatting sqref="B113">
    <cfRule type="cellIs" dxfId="2075" priority="2281" stopIfTrue="1" operator="equal">
      <formula>"Towel"</formula>
    </cfRule>
    <cfRule type="cellIs" dxfId="2074" priority="2282" stopIfTrue="1" operator="equal">
      <formula>"Napkin Hs"</formula>
    </cfRule>
  </conditionalFormatting>
  <conditionalFormatting sqref="C113">
    <cfRule type="cellIs" dxfId="2073" priority="2275" stopIfTrue="1" operator="equal">
      <formula>"Towel"</formula>
    </cfRule>
    <cfRule type="cellIs" dxfId="2072" priority="2276" stopIfTrue="1" operator="equal">
      <formula>"Napkin Hs"</formula>
    </cfRule>
  </conditionalFormatting>
  <conditionalFormatting sqref="C113">
    <cfRule type="cellIs" dxfId="2071" priority="2277" stopIfTrue="1" operator="equal">
      <formula>"Towel"</formula>
    </cfRule>
    <cfRule type="cellIs" dxfId="2070" priority="2278" stopIfTrue="1" operator="equal">
      <formula>"Napkin Hs"</formula>
    </cfRule>
  </conditionalFormatting>
  <conditionalFormatting sqref="C113">
    <cfRule type="cellIs" dxfId="2069" priority="2273" stopIfTrue="1" operator="equal">
      <formula>"Towel"</formula>
    </cfRule>
    <cfRule type="cellIs" dxfId="2068" priority="2274" stopIfTrue="1" operator="equal">
      <formula>"Napkin Hs"</formula>
    </cfRule>
  </conditionalFormatting>
  <conditionalFormatting sqref="C113">
    <cfRule type="cellIs" dxfId="2067" priority="2271" stopIfTrue="1" operator="equal">
      <formula>"Towel"</formula>
    </cfRule>
    <cfRule type="cellIs" dxfId="2066" priority="2272" stopIfTrue="1" operator="equal">
      <formula>"Napkin Hs"</formula>
    </cfRule>
  </conditionalFormatting>
  <conditionalFormatting sqref="B113">
    <cfRule type="cellIs" dxfId="2065" priority="2265" stopIfTrue="1" operator="equal">
      <formula>"Towel"</formula>
    </cfRule>
    <cfRule type="cellIs" dxfId="2064" priority="2266" stopIfTrue="1" operator="equal">
      <formula>"Napkin Hs"</formula>
    </cfRule>
  </conditionalFormatting>
  <conditionalFormatting sqref="B113:C113">
    <cfRule type="cellIs" dxfId="2063" priority="2263" stopIfTrue="1" operator="equal">
      <formula>"Towel"</formula>
    </cfRule>
    <cfRule type="cellIs" dxfId="2062" priority="2264" stopIfTrue="1" operator="equal">
      <formula>"Napkin Hs"</formula>
    </cfRule>
  </conditionalFormatting>
  <conditionalFormatting sqref="C113">
    <cfRule type="cellIs" dxfId="2061" priority="2261" stopIfTrue="1" operator="equal">
      <formula>"Towel"</formula>
    </cfRule>
    <cfRule type="cellIs" dxfId="2060" priority="2262" stopIfTrue="1" operator="equal">
      <formula>"Napkin Hs"</formula>
    </cfRule>
  </conditionalFormatting>
  <conditionalFormatting sqref="C113">
    <cfRule type="cellIs" dxfId="2059" priority="2259" stopIfTrue="1" operator="equal">
      <formula>"Towel"</formula>
    </cfRule>
    <cfRule type="cellIs" dxfId="2058" priority="2260" stopIfTrue="1" operator="equal">
      <formula>"Napkin Hs"</formula>
    </cfRule>
  </conditionalFormatting>
  <conditionalFormatting sqref="C113">
    <cfRule type="cellIs" dxfId="2057" priority="2249" stopIfTrue="1" operator="equal">
      <formula>"Towel"</formula>
    </cfRule>
    <cfRule type="cellIs" dxfId="2056" priority="2250" stopIfTrue="1" operator="equal">
      <formula>"Napkin Hs"</formula>
    </cfRule>
  </conditionalFormatting>
  <conditionalFormatting sqref="C113">
    <cfRule type="cellIs" dxfId="2055" priority="2251" stopIfTrue="1" operator="equal">
      <formula>"Towel"</formula>
    </cfRule>
    <cfRule type="cellIs" dxfId="2054" priority="2252" stopIfTrue="1" operator="equal">
      <formula>"Napkin Hs"</formula>
    </cfRule>
  </conditionalFormatting>
  <conditionalFormatting sqref="B113:C113">
    <cfRule type="cellIs" dxfId="2053" priority="2247" stopIfTrue="1" operator="equal">
      <formula>"Towel"</formula>
    </cfRule>
    <cfRule type="cellIs" dxfId="2052" priority="2248" stopIfTrue="1" operator="equal">
      <formula>"Napkin Hs"</formula>
    </cfRule>
  </conditionalFormatting>
  <conditionalFormatting sqref="C113">
    <cfRule type="cellIs" dxfId="2051" priority="2245" stopIfTrue="1" operator="equal">
      <formula>"Towel"</formula>
    </cfRule>
    <cfRule type="cellIs" dxfId="2050" priority="2246" stopIfTrue="1" operator="equal">
      <formula>"Napkin Hs"</formula>
    </cfRule>
  </conditionalFormatting>
  <conditionalFormatting sqref="B113:C113">
    <cfRule type="cellIs" dxfId="2049" priority="2241" stopIfTrue="1" operator="equal">
      <formula>"Towel"</formula>
    </cfRule>
    <cfRule type="cellIs" dxfId="2048" priority="2242" stopIfTrue="1" operator="equal">
      <formula>"Napkin Hs"</formula>
    </cfRule>
  </conditionalFormatting>
  <conditionalFormatting sqref="C113">
    <cfRule type="cellIs" dxfId="2047" priority="2243" stopIfTrue="1" operator="equal">
      <formula>"Towel"</formula>
    </cfRule>
    <cfRule type="cellIs" dxfId="2046" priority="2244" stopIfTrue="1" operator="equal">
      <formula>"Napkin Hs"</formula>
    </cfRule>
  </conditionalFormatting>
  <conditionalFormatting sqref="C113">
    <cfRule type="cellIs" dxfId="2045" priority="2300" stopIfTrue="1" operator="equal">
      <formula>"Napkin Hs"</formula>
    </cfRule>
  </conditionalFormatting>
  <conditionalFormatting sqref="C113">
    <cfRule type="cellIs" dxfId="2044" priority="2299" stopIfTrue="1" operator="equal">
      <formula>"Towel"</formula>
    </cfRule>
  </conditionalFormatting>
  <conditionalFormatting sqref="B113:C113">
    <cfRule type="cellIs" dxfId="2043" priority="2257" stopIfTrue="1" operator="equal">
      <formula>"Towel"</formula>
    </cfRule>
    <cfRule type="cellIs" dxfId="2042" priority="2258" stopIfTrue="1" operator="equal">
      <formula>"Napkin Hs"</formula>
    </cfRule>
  </conditionalFormatting>
  <conditionalFormatting sqref="C113">
    <cfRule type="cellIs" dxfId="2041" priority="2255" stopIfTrue="1" operator="equal">
      <formula>"Towel"</formula>
    </cfRule>
    <cfRule type="cellIs" dxfId="2040" priority="2256" stopIfTrue="1" operator="equal">
      <formula>"Napkin Hs"</formula>
    </cfRule>
  </conditionalFormatting>
  <conditionalFormatting sqref="C113">
    <cfRule type="cellIs" dxfId="2039" priority="2253" stopIfTrue="1" operator="equal">
      <formula>"Towel"</formula>
    </cfRule>
    <cfRule type="cellIs" dxfId="2038" priority="2254" stopIfTrue="1" operator="equal">
      <formula>"Napkin Hs"</formula>
    </cfRule>
  </conditionalFormatting>
  <conditionalFormatting sqref="B113:C113">
    <cfRule type="cellIs" dxfId="2037" priority="2237" stopIfTrue="1" operator="equal">
      <formula>"Towel"</formula>
    </cfRule>
    <cfRule type="cellIs" dxfId="2036" priority="2238" stopIfTrue="1" operator="equal">
      <formula>"Napkin Hs"</formula>
    </cfRule>
  </conditionalFormatting>
  <conditionalFormatting sqref="C113">
    <cfRule type="cellIs" dxfId="2035" priority="2239" stopIfTrue="1" operator="equal">
      <formula>"Towel"</formula>
    </cfRule>
    <cfRule type="cellIs" dxfId="2034" priority="2240" stopIfTrue="1" operator="equal">
      <formula>"Napkin Hs"</formula>
    </cfRule>
  </conditionalFormatting>
  <conditionalFormatting sqref="C113">
    <cfRule type="cellIs" dxfId="2033" priority="2235" stopIfTrue="1" operator="equal">
      <formula>"Towel"</formula>
    </cfRule>
    <cfRule type="cellIs" dxfId="2032" priority="2236" stopIfTrue="1" operator="equal">
      <formula>"Napkin Hs"</formula>
    </cfRule>
  </conditionalFormatting>
  <conditionalFormatting sqref="B113:C113">
    <cfRule type="cellIs" dxfId="2031" priority="2233" stopIfTrue="1" operator="equal">
      <formula>"Towel"</formula>
    </cfRule>
    <cfRule type="cellIs" dxfId="2030" priority="2234" stopIfTrue="1" operator="equal">
      <formula>"Napkin Hs"</formula>
    </cfRule>
  </conditionalFormatting>
  <conditionalFormatting sqref="C113">
    <cfRule type="cellIs" dxfId="2029" priority="2229" stopIfTrue="1" operator="equal">
      <formula>"Towel"</formula>
    </cfRule>
    <cfRule type="cellIs" dxfId="2028" priority="2230" stopIfTrue="1" operator="equal">
      <formula>"Napkin Hs"</formula>
    </cfRule>
  </conditionalFormatting>
  <conditionalFormatting sqref="C113">
    <cfRule type="cellIs" dxfId="2027" priority="2231" stopIfTrue="1" operator="equal">
      <formula>"Towel"</formula>
    </cfRule>
    <cfRule type="cellIs" dxfId="2026" priority="2232" stopIfTrue="1" operator="equal">
      <formula>"Napkin Hs"</formula>
    </cfRule>
  </conditionalFormatting>
  <conditionalFormatting sqref="B113:C113">
    <cfRule type="cellIs" dxfId="2025" priority="2225" stopIfTrue="1" operator="equal">
      <formula>"Towel"</formula>
    </cfRule>
    <cfRule type="cellIs" dxfId="2024" priority="2226" stopIfTrue="1" operator="equal">
      <formula>"Napkin Hs"</formula>
    </cfRule>
  </conditionalFormatting>
  <conditionalFormatting sqref="C113">
    <cfRule type="cellIs" dxfId="2023" priority="2227" stopIfTrue="1" operator="equal">
      <formula>"Towel"</formula>
    </cfRule>
    <cfRule type="cellIs" dxfId="2022" priority="2228" stopIfTrue="1" operator="equal">
      <formula>"Napkin Hs"</formula>
    </cfRule>
  </conditionalFormatting>
  <conditionalFormatting sqref="C113">
    <cfRule type="cellIs" dxfId="2021" priority="2223" stopIfTrue="1" operator="equal">
      <formula>"Towel"</formula>
    </cfRule>
    <cfRule type="cellIs" dxfId="2020" priority="2224" stopIfTrue="1" operator="equal">
      <formula>"Napkin Hs"</formula>
    </cfRule>
  </conditionalFormatting>
  <conditionalFormatting sqref="B113:C113">
    <cfRule type="cellIs" dxfId="2019" priority="2221" stopIfTrue="1" operator="equal">
      <formula>"Towel"</formula>
    </cfRule>
    <cfRule type="cellIs" dxfId="2018" priority="2222" stopIfTrue="1" operator="equal">
      <formula>"Napkin Hs"</formula>
    </cfRule>
  </conditionalFormatting>
  <conditionalFormatting sqref="C113">
    <cfRule type="cellIs" dxfId="2017" priority="2217" stopIfTrue="1" operator="equal">
      <formula>"Towel"</formula>
    </cfRule>
    <cfRule type="cellIs" dxfId="2016" priority="2218" stopIfTrue="1" operator="equal">
      <formula>"Napkin Hs"</formula>
    </cfRule>
  </conditionalFormatting>
  <conditionalFormatting sqref="C113">
    <cfRule type="cellIs" dxfId="2015" priority="2219" stopIfTrue="1" operator="equal">
      <formula>"Towel"</formula>
    </cfRule>
    <cfRule type="cellIs" dxfId="2014" priority="2220" stopIfTrue="1" operator="equal">
      <formula>"Napkin Hs"</formula>
    </cfRule>
  </conditionalFormatting>
  <conditionalFormatting sqref="B121:C121">
    <cfRule type="cellIs" dxfId="2013" priority="2215" stopIfTrue="1" operator="equal">
      <formula>"Towel"</formula>
    </cfRule>
    <cfRule type="cellIs" dxfId="2012" priority="2216" stopIfTrue="1" operator="equal">
      <formula>"Napkin Hs"</formula>
    </cfRule>
  </conditionalFormatting>
  <conditionalFormatting sqref="C121">
    <cfRule type="cellIs" dxfId="2011" priority="2211" stopIfTrue="1" operator="equal">
      <formula>"Towel"</formula>
    </cfRule>
    <cfRule type="cellIs" dxfId="2010" priority="2212" stopIfTrue="1" operator="equal">
      <formula>"Napkin Hs"</formula>
    </cfRule>
  </conditionalFormatting>
  <conditionalFormatting sqref="C121">
    <cfRule type="cellIs" dxfId="2009" priority="2213" stopIfTrue="1" operator="equal">
      <formula>"Towel"</formula>
    </cfRule>
    <cfRule type="cellIs" dxfId="2008" priority="2214" stopIfTrue="1" operator="equal">
      <formula>"Napkin Hs"</formula>
    </cfRule>
  </conditionalFormatting>
  <conditionalFormatting sqref="B121:C121">
    <cfRule type="cellIs" dxfId="2007" priority="2209" stopIfTrue="1" operator="equal">
      <formula>"Towel"</formula>
    </cfRule>
    <cfRule type="cellIs" dxfId="2006" priority="2210" stopIfTrue="1" operator="equal">
      <formula>"Napkin Hs"</formula>
    </cfRule>
  </conditionalFormatting>
  <conditionalFormatting sqref="C121">
    <cfRule type="cellIs" dxfId="2005" priority="2207" stopIfTrue="1" operator="equal">
      <formula>"Towel"</formula>
    </cfRule>
    <cfRule type="cellIs" dxfId="2004" priority="2208" stopIfTrue="1" operator="equal">
      <formula>"Napkin Hs"</formula>
    </cfRule>
  </conditionalFormatting>
  <conditionalFormatting sqref="C121">
    <cfRule type="cellIs" dxfId="2003" priority="2205" stopIfTrue="1" operator="equal">
      <formula>"Towel"</formula>
    </cfRule>
    <cfRule type="cellIs" dxfId="2002" priority="2206" stopIfTrue="1" operator="equal">
      <formula>"Napkin Hs"</formula>
    </cfRule>
  </conditionalFormatting>
  <conditionalFormatting sqref="C121">
    <cfRule type="cellIs" dxfId="2001" priority="2197" stopIfTrue="1" operator="equal">
      <formula>"Towel"</formula>
    </cfRule>
    <cfRule type="cellIs" dxfId="2000" priority="2198" stopIfTrue="1" operator="equal">
      <formula>"Napkin Hs"</formula>
    </cfRule>
  </conditionalFormatting>
  <conditionalFormatting sqref="B121:C121">
    <cfRule type="cellIs" dxfId="1999" priority="2199" stopIfTrue="1" operator="equal">
      <formula>"Towel"</formula>
    </cfRule>
    <cfRule type="cellIs" dxfId="1998" priority="2200" stopIfTrue="1" operator="equal">
      <formula>"Napkin Hs"</formula>
    </cfRule>
  </conditionalFormatting>
  <conditionalFormatting sqref="C121">
    <cfRule type="cellIs" dxfId="1997" priority="2195" stopIfTrue="1" operator="equal">
      <formula>"Towel"</formula>
    </cfRule>
    <cfRule type="cellIs" dxfId="1996" priority="2196" stopIfTrue="1" operator="equal">
      <formula>"Napkin Hs"</formula>
    </cfRule>
  </conditionalFormatting>
  <conditionalFormatting sqref="B121:C121">
    <cfRule type="cellIs" dxfId="1995" priority="2193" stopIfTrue="1" operator="equal">
      <formula>"Towel"</formula>
    </cfRule>
    <cfRule type="cellIs" dxfId="1994" priority="2194" stopIfTrue="1" operator="equal">
      <formula>"Napkin Hs"</formula>
    </cfRule>
  </conditionalFormatting>
  <conditionalFormatting sqref="C121">
    <cfRule type="cellIs" dxfId="1993" priority="2201" stopIfTrue="1" operator="equal">
      <formula>"Towel"</formula>
    </cfRule>
    <cfRule type="cellIs" dxfId="1992" priority="2202" stopIfTrue="1" operator="equal">
      <formula>"Napkin Hs"</formula>
    </cfRule>
  </conditionalFormatting>
  <conditionalFormatting sqref="C121">
    <cfRule type="cellIs" dxfId="1991" priority="2203" stopIfTrue="1" operator="equal">
      <formula>"Towel"</formula>
    </cfRule>
    <cfRule type="cellIs" dxfId="1990" priority="2204" stopIfTrue="1" operator="equal">
      <formula>"Napkin Hs"</formula>
    </cfRule>
  </conditionalFormatting>
  <conditionalFormatting sqref="C119:C120">
    <cfRule type="cellIs" dxfId="1989" priority="2185" stopIfTrue="1" operator="equal">
      <formula>"Towel"</formula>
    </cfRule>
    <cfRule type="cellIs" dxfId="1988" priority="2186" stopIfTrue="1" operator="equal">
      <formula>"Napkin Hs"</formula>
    </cfRule>
  </conditionalFormatting>
  <conditionalFormatting sqref="C119:C120">
    <cfRule type="cellIs" dxfId="1987" priority="2183" stopIfTrue="1" operator="equal">
      <formula>"Towel"</formula>
    </cfRule>
    <cfRule type="cellIs" dxfId="1986" priority="2184" stopIfTrue="1" operator="equal">
      <formula>"Napkin Hs"</formula>
    </cfRule>
  </conditionalFormatting>
  <conditionalFormatting sqref="B120:C120 C119">
    <cfRule type="cellIs" dxfId="1985" priority="2181" stopIfTrue="1" operator="equal">
      <formula>"Towel"</formula>
    </cfRule>
    <cfRule type="cellIs" dxfId="1984" priority="2182" stopIfTrue="1" operator="equal">
      <formula>"Napkin Hs"</formula>
    </cfRule>
  </conditionalFormatting>
  <conditionalFormatting sqref="B120:C120 C119">
    <cfRule type="cellIs" dxfId="1983" priority="2191" stopIfTrue="1" operator="equal">
      <formula>"Towel"</formula>
    </cfRule>
    <cfRule type="cellIs" dxfId="1982" priority="2192" stopIfTrue="1" operator="equal">
      <formula>"Napkin Hs"</formula>
    </cfRule>
  </conditionalFormatting>
  <conditionalFormatting sqref="C119:C120">
    <cfRule type="cellIs" dxfId="1981" priority="2189" stopIfTrue="1" operator="equal">
      <formula>"Towel"</formula>
    </cfRule>
    <cfRule type="cellIs" dxfId="1980" priority="2190" stopIfTrue="1" operator="equal">
      <formula>"Napkin Hs"</formula>
    </cfRule>
  </conditionalFormatting>
  <conditionalFormatting sqref="C119:C120">
    <cfRule type="cellIs" dxfId="1979" priority="2187" stopIfTrue="1" operator="equal">
      <formula>"Towel"</formula>
    </cfRule>
    <cfRule type="cellIs" dxfId="1978" priority="2188" stopIfTrue="1" operator="equal">
      <formula>"Napkin Hs"</formula>
    </cfRule>
  </conditionalFormatting>
  <conditionalFormatting sqref="C119:C120">
    <cfRule type="cellIs" dxfId="1977" priority="2179" stopIfTrue="1" operator="equal">
      <formula>"Towel"</formula>
    </cfRule>
    <cfRule type="cellIs" dxfId="1976" priority="2180" stopIfTrue="1" operator="equal">
      <formula>"Napkin Hs"</formula>
    </cfRule>
  </conditionalFormatting>
  <conditionalFormatting sqref="C119:C120">
    <cfRule type="cellIs" dxfId="1975" priority="2177" stopIfTrue="1" operator="equal">
      <formula>"Towel"</formula>
    </cfRule>
    <cfRule type="cellIs" dxfId="1974" priority="2178" stopIfTrue="1" operator="equal">
      <formula>"Napkin Hs"</formula>
    </cfRule>
  </conditionalFormatting>
  <conditionalFormatting sqref="B120:C120 C119">
    <cfRule type="cellIs" dxfId="1973" priority="2175" stopIfTrue="1" operator="equal">
      <formula>"Towel"</formula>
    </cfRule>
    <cfRule type="cellIs" dxfId="1972" priority="2176" stopIfTrue="1" operator="equal">
      <formula>"Napkin Hs"</formula>
    </cfRule>
  </conditionalFormatting>
  <conditionalFormatting sqref="C119 B120">
    <cfRule type="cellIs" dxfId="1971" priority="2173" stopIfTrue="1" operator="equal">
      <formula>"Towel"</formula>
    </cfRule>
    <cfRule type="cellIs" dxfId="1970" priority="2174" stopIfTrue="1" operator="equal">
      <formula>"Napkin Hs"</formula>
    </cfRule>
  </conditionalFormatting>
  <conditionalFormatting sqref="C119">
    <cfRule type="cellIs" dxfId="1969" priority="2171" stopIfTrue="1" operator="equal">
      <formula>"Towel"</formula>
    </cfRule>
    <cfRule type="cellIs" dxfId="1968" priority="2172" stopIfTrue="1" operator="equal">
      <formula>"Napkin Hs"</formula>
    </cfRule>
  </conditionalFormatting>
  <conditionalFormatting sqref="C119">
    <cfRule type="cellIs" dxfId="1967" priority="2169" stopIfTrue="1" operator="equal">
      <formula>"Towel"</formula>
    </cfRule>
    <cfRule type="cellIs" dxfId="1966" priority="2170" stopIfTrue="1" operator="equal">
      <formula>"Napkin Hs"</formula>
    </cfRule>
  </conditionalFormatting>
  <conditionalFormatting sqref="C119">
    <cfRule type="cellIs" dxfId="1965" priority="2161" stopIfTrue="1" operator="equal">
      <formula>"Towel"</formula>
    </cfRule>
    <cfRule type="cellIs" dxfId="1964" priority="2162" stopIfTrue="1" operator="equal">
      <formula>"Napkin Hs"</formula>
    </cfRule>
  </conditionalFormatting>
  <conditionalFormatting sqref="C119 B120">
    <cfRule type="cellIs" dxfId="1963" priority="2163" stopIfTrue="1" operator="equal">
      <formula>"Towel"</formula>
    </cfRule>
    <cfRule type="cellIs" dxfId="1962" priority="2164" stopIfTrue="1" operator="equal">
      <formula>"Napkin Hs"</formula>
    </cfRule>
  </conditionalFormatting>
  <conditionalFormatting sqref="C119">
    <cfRule type="cellIs" dxfId="1961" priority="2159" stopIfTrue="1" operator="equal">
      <formula>"Towel"</formula>
    </cfRule>
    <cfRule type="cellIs" dxfId="1960" priority="2160" stopIfTrue="1" operator="equal">
      <formula>"Napkin Hs"</formula>
    </cfRule>
  </conditionalFormatting>
  <conditionalFormatting sqref="C119 B120">
    <cfRule type="cellIs" dxfId="1959" priority="2157" stopIfTrue="1" operator="equal">
      <formula>"Towel"</formula>
    </cfRule>
    <cfRule type="cellIs" dxfId="1958" priority="2158" stopIfTrue="1" operator="equal">
      <formula>"Napkin Hs"</formula>
    </cfRule>
  </conditionalFormatting>
  <conditionalFormatting sqref="C119">
    <cfRule type="cellIs" dxfId="1957" priority="2165" stopIfTrue="1" operator="equal">
      <formula>"Towel"</formula>
    </cfRule>
    <cfRule type="cellIs" dxfId="1956" priority="2166" stopIfTrue="1" operator="equal">
      <formula>"Napkin Hs"</formula>
    </cfRule>
  </conditionalFormatting>
  <conditionalFormatting sqref="C119">
    <cfRule type="cellIs" dxfId="1955" priority="2167" stopIfTrue="1" operator="equal">
      <formula>"Towel"</formula>
    </cfRule>
    <cfRule type="cellIs" dxfId="1954" priority="2168" stopIfTrue="1" operator="equal">
      <formula>"Napkin Hs"</formula>
    </cfRule>
  </conditionalFormatting>
  <conditionalFormatting sqref="B120:C120">
    <cfRule type="cellIs" dxfId="1953" priority="2155" stopIfTrue="1" operator="equal">
      <formula>"Towel"</formula>
    </cfRule>
    <cfRule type="cellIs" dxfId="1952" priority="2156" stopIfTrue="1" operator="equal">
      <formula>"Napkin Hs"</formula>
    </cfRule>
  </conditionalFormatting>
  <conditionalFormatting sqref="C120">
    <cfRule type="cellIs" dxfId="1951" priority="2153" stopIfTrue="1" operator="equal">
      <formula>"Towel"</formula>
    </cfRule>
    <cfRule type="cellIs" dxfId="1950" priority="2154" stopIfTrue="1" operator="equal">
      <formula>"Napkin Hs"</formula>
    </cfRule>
  </conditionalFormatting>
  <conditionalFormatting sqref="C120">
    <cfRule type="cellIs" dxfId="1949" priority="2151" stopIfTrue="1" operator="equal">
      <formula>"Towel"</formula>
    </cfRule>
    <cfRule type="cellIs" dxfId="1948" priority="2152" stopIfTrue="1" operator="equal">
      <formula>"Napkin Hs"</formula>
    </cfRule>
  </conditionalFormatting>
  <conditionalFormatting sqref="C120">
    <cfRule type="cellIs" dxfId="1947" priority="2143" stopIfTrue="1" operator="equal">
      <formula>"Towel"</formula>
    </cfRule>
    <cfRule type="cellIs" dxfId="1946" priority="2144" stopIfTrue="1" operator="equal">
      <formula>"Napkin Hs"</formula>
    </cfRule>
  </conditionalFormatting>
  <conditionalFormatting sqref="B120:C120">
    <cfRule type="cellIs" dxfId="1945" priority="2145" stopIfTrue="1" operator="equal">
      <formula>"Towel"</formula>
    </cfRule>
    <cfRule type="cellIs" dxfId="1944" priority="2146" stopIfTrue="1" operator="equal">
      <formula>"Napkin Hs"</formula>
    </cfRule>
  </conditionalFormatting>
  <conditionalFormatting sqref="C120">
    <cfRule type="cellIs" dxfId="1943" priority="2141" stopIfTrue="1" operator="equal">
      <formula>"Towel"</formula>
    </cfRule>
    <cfRule type="cellIs" dxfId="1942" priority="2142" stopIfTrue="1" operator="equal">
      <formula>"Napkin Hs"</formula>
    </cfRule>
  </conditionalFormatting>
  <conditionalFormatting sqref="B120:C120">
    <cfRule type="cellIs" dxfId="1941" priority="2139" stopIfTrue="1" operator="equal">
      <formula>"Towel"</formula>
    </cfRule>
    <cfRule type="cellIs" dxfId="1940" priority="2140" stopIfTrue="1" operator="equal">
      <formula>"Napkin Hs"</formula>
    </cfRule>
  </conditionalFormatting>
  <conditionalFormatting sqref="C120">
    <cfRule type="cellIs" dxfId="1939" priority="2147" stopIfTrue="1" operator="equal">
      <formula>"Towel"</formula>
    </cfRule>
    <cfRule type="cellIs" dxfId="1938" priority="2148" stopIfTrue="1" operator="equal">
      <formula>"Napkin Hs"</formula>
    </cfRule>
  </conditionalFormatting>
  <conditionalFormatting sqref="C120">
    <cfRule type="cellIs" dxfId="1937" priority="2149" stopIfTrue="1" operator="equal">
      <formula>"Towel"</formula>
    </cfRule>
    <cfRule type="cellIs" dxfId="1936" priority="2150" stopIfTrue="1" operator="equal">
      <formula>"Napkin Hs"</formula>
    </cfRule>
  </conditionalFormatting>
  <conditionalFormatting sqref="B120:C120 C119">
    <cfRule type="cellIs" dxfId="1935" priority="2135" stopIfTrue="1" operator="equal">
      <formula>"Towel"</formula>
    </cfRule>
    <cfRule type="cellIs" dxfId="1934" priority="2136" stopIfTrue="1" operator="equal">
      <formula>"Napkin Hs"</formula>
    </cfRule>
  </conditionalFormatting>
  <conditionalFormatting sqref="C119:C120">
    <cfRule type="cellIs" dxfId="1933" priority="2137" stopIfTrue="1" operator="equal">
      <formula>"Towel"</formula>
    </cfRule>
    <cfRule type="cellIs" dxfId="1932" priority="2138" stopIfTrue="1" operator="equal">
      <formula>"Napkin Hs"</formula>
    </cfRule>
  </conditionalFormatting>
  <conditionalFormatting sqref="C119:C120">
    <cfRule type="cellIs" dxfId="1931" priority="2133" stopIfTrue="1" operator="equal">
      <formula>"Towel"</formula>
    </cfRule>
    <cfRule type="cellIs" dxfId="1930" priority="2134" stopIfTrue="1" operator="equal">
      <formula>"Napkin Hs"</formula>
    </cfRule>
  </conditionalFormatting>
  <conditionalFormatting sqref="C119">
    <cfRule type="cellIs" dxfId="1929" priority="2125" stopIfTrue="1" operator="equal">
      <formula>"Towel"</formula>
    </cfRule>
    <cfRule type="cellIs" dxfId="1928" priority="2126" stopIfTrue="1" operator="equal">
      <formula>"Napkin Hs"</formula>
    </cfRule>
  </conditionalFormatting>
  <conditionalFormatting sqref="C119">
    <cfRule type="cellIs" dxfId="1927" priority="2123" stopIfTrue="1" operator="equal">
      <formula>"Towel"</formula>
    </cfRule>
    <cfRule type="cellIs" dxfId="1926" priority="2124" stopIfTrue="1" operator="equal">
      <formula>"Napkin Hs"</formula>
    </cfRule>
  </conditionalFormatting>
  <conditionalFormatting sqref="C119 B120">
    <cfRule type="cellIs" dxfId="1925" priority="2121" stopIfTrue="1" operator="equal">
      <formula>"Towel"</formula>
    </cfRule>
    <cfRule type="cellIs" dxfId="1924" priority="2122" stopIfTrue="1" operator="equal">
      <formula>"Napkin Hs"</formula>
    </cfRule>
  </conditionalFormatting>
  <conditionalFormatting sqref="C119 B120">
    <cfRule type="cellIs" dxfId="1923" priority="2131" stopIfTrue="1" operator="equal">
      <formula>"Towel"</formula>
    </cfRule>
    <cfRule type="cellIs" dxfId="1922" priority="2132" stopIfTrue="1" operator="equal">
      <formula>"Napkin Hs"</formula>
    </cfRule>
  </conditionalFormatting>
  <conditionalFormatting sqref="C119">
    <cfRule type="cellIs" dxfId="1921" priority="2129" stopIfTrue="1" operator="equal">
      <formula>"Towel"</formula>
    </cfRule>
    <cfRule type="cellIs" dxfId="1920" priority="2130" stopIfTrue="1" operator="equal">
      <formula>"Napkin Hs"</formula>
    </cfRule>
  </conditionalFormatting>
  <conditionalFormatting sqref="C119">
    <cfRule type="cellIs" dxfId="1919" priority="2127" stopIfTrue="1" operator="equal">
      <formula>"Towel"</formula>
    </cfRule>
    <cfRule type="cellIs" dxfId="1918" priority="2128" stopIfTrue="1" operator="equal">
      <formula>"Napkin Hs"</formula>
    </cfRule>
  </conditionalFormatting>
  <conditionalFormatting sqref="C119">
    <cfRule type="cellIs" dxfId="1917" priority="2119" stopIfTrue="1" operator="equal">
      <formula>"Towel"</formula>
    </cfRule>
    <cfRule type="cellIs" dxfId="1916" priority="2120" stopIfTrue="1" operator="equal">
      <formula>"Napkin Hs"</formula>
    </cfRule>
  </conditionalFormatting>
  <conditionalFormatting sqref="C119">
    <cfRule type="cellIs" dxfId="1915" priority="2117" stopIfTrue="1" operator="equal">
      <formula>"Towel"</formula>
    </cfRule>
    <cfRule type="cellIs" dxfId="1914" priority="2118" stopIfTrue="1" operator="equal">
      <formula>"Napkin Hs"</formula>
    </cfRule>
  </conditionalFormatting>
  <conditionalFormatting sqref="C119 B120">
    <cfRule type="cellIs" dxfId="1913" priority="2115" stopIfTrue="1" operator="equal">
      <formula>"Towel"</formula>
    </cfRule>
    <cfRule type="cellIs" dxfId="1912" priority="2116" stopIfTrue="1" operator="equal">
      <formula>"Napkin Hs"</formula>
    </cfRule>
  </conditionalFormatting>
  <conditionalFormatting sqref="B120:C120">
    <cfRule type="cellIs" dxfId="1911" priority="2113" stopIfTrue="1" operator="equal">
      <formula>"Towel"</formula>
    </cfRule>
    <cfRule type="cellIs" dxfId="1910" priority="2114" stopIfTrue="1" operator="equal">
      <formula>"Napkin Hs"</formula>
    </cfRule>
  </conditionalFormatting>
  <conditionalFormatting sqref="C120">
    <cfRule type="cellIs" dxfId="1909" priority="2111" stopIfTrue="1" operator="equal">
      <formula>"Towel"</formula>
    </cfRule>
    <cfRule type="cellIs" dxfId="1908" priority="2112" stopIfTrue="1" operator="equal">
      <formula>"Napkin Hs"</formula>
    </cfRule>
  </conditionalFormatting>
  <conditionalFormatting sqref="C120">
    <cfRule type="cellIs" dxfId="1907" priority="2109" stopIfTrue="1" operator="equal">
      <formula>"Towel"</formula>
    </cfRule>
    <cfRule type="cellIs" dxfId="1906" priority="2110" stopIfTrue="1" operator="equal">
      <formula>"Napkin Hs"</formula>
    </cfRule>
  </conditionalFormatting>
  <conditionalFormatting sqref="C120">
    <cfRule type="cellIs" dxfId="1905" priority="2101" stopIfTrue="1" operator="equal">
      <formula>"Towel"</formula>
    </cfRule>
    <cfRule type="cellIs" dxfId="1904" priority="2102" stopIfTrue="1" operator="equal">
      <formula>"Napkin Hs"</formula>
    </cfRule>
  </conditionalFormatting>
  <conditionalFormatting sqref="B120:C120">
    <cfRule type="cellIs" dxfId="1903" priority="2103" stopIfTrue="1" operator="equal">
      <formula>"Towel"</formula>
    </cfRule>
    <cfRule type="cellIs" dxfId="1902" priority="2104" stopIfTrue="1" operator="equal">
      <formula>"Napkin Hs"</formula>
    </cfRule>
  </conditionalFormatting>
  <conditionalFormatting sqref="C120">
    <cfRule type="cellIs" dxfId="1901" priority="2099" stopIfTrue="1" operator="equal">
      <formula>"Towel"</formula>
    </cfRule>
    <cfRule type="cellIs" dxfId="1900" priority="2100" stopIfTrue="1" operator="equal">
      <formula>"Napkin Hs"</formula>
    </cfRule>
  </conditionalFormatting>
  <conditionalFormatting sqref="B120:C120">
    <cfRule type="cellIs" dxfId="1899" priority="2097" stopIfTrue="1" operator="equal">
      <formula>"Towel"</formula>
    </cfRule>
    <cfRule type="cellIs" dxfId="1898" priority="2098" stopIfTrue="1" operator="equal">
      <formula>"Napkin Hs"</formula>
    </cfRule>
  </conditionalFormatting>
  <conditionalFormatting sqref="C120">
    <cfRule type="cellIs" dxfId="1897" priority="2105" stopIfTrue="1" operator="equal">
      <formula>"Towel"</formula>
    </cfRule>
    <cfRule type="cellIs" dxfId="1896" priority="2106" stopIfTrue="1" operator="equal">
      <formula>"Napkin Hs"</formula>
    </cfRule>
  </conditionalFormatting>
  <conditionalFormatting sqref="C120">
    <cfRule type="cellIs" dxfId="1895" priority="2107" stopIfTrue="1" operator="equal">
      <formula>"Towel"</formula>
    </cfRule>
    <cfRule type="cellIs" dxfId="1894" priority="2108" stopIfTrue="1" operator="equal">
      <formula>"Napkin Hs"</formula>
    </cfRule>
  </conditionalFormatting>
  <conditionalFormatting sqref="C120">
    <cfRule type="cellIs" dxfId="1893" priority="2093" stopIfTrue="1" operator="equal">
      <formula>"Towel"</formula>
    </cfRule>
    <cfRule type="cellIs" dxfId="1892" priority="2094" stopIfTrue="1" operator="equal">
      <formula>"Napkin Hs"</formula>
    </cfRule>
  </conditionalFormatting>
  <conditionalFormatting sqref="C120">
    <cfRule type="cellIs" dxfId="1891" priority="2095" stopIfTrue="1" operator="equal">
      <formula>"Towel"</formula>
    </cfRule>
    <cfRule type="cellIs" dxfId="1890" priority="2096" stopIfTrue="1" operator="equal">
      <formula>"Napkin Hs"</formula>
    </cfRule>
  </conditionalFormatting>
  <conditionalFormatting sqref="B120:C120">
    <cfRule type="cellIs" dxfId="1889" priority="2091" stopIfTrue="1" operator="equal">
      <formula>"Towel"</formula>
    </cfRule>
    <cfRule type="cellIs" dxfId="1888" priority="2092" stopIfTrue="1" operator="equal">
      <formula>"Napkin Hs"</formula>
    </cfRule>
  </conditionalFormatting>
  <conditionalFormatting sqref="B120:C120">
    <cfRule type="cellIs" dxfId="1887" priority="2085" stopIfTrue="1" operator="equal">
      <formula>"Towel"</formula>
    </cfRule>
    <cfRule type="cellIs" dxfId="1886" priority="2086" stopIfTrue="1" operator="equal">
      <formula>"Napkin Hs"</formula>
    </cfRule>
  </conditionalFormatting>
  <conditionalFormatting sqref="C120">
    <cfRule type="cellIs" dxfId="1885" priority="2087" stopIfTrue="1" operator="equal">
      <formula>"Towel"</formula>
    </cfRule>
    <cfRule type="cellIs" dxfId="1884" priority="2088" stopIfTrue="1" operator="equal">
      <formula>"Napkin Hs"</formula>
    </cfRule>
  </conditionalFormatting>
  <conditionalFormatting sqref="C120">
    <cfRule type="cellIs" dxfId="1883" priority="2089" stopIfTrue="1" operator="equal">
      <formula>"Towel"</formula>
    </cfRule>
    <cfRule type="cellIs" dxfId="1882" priority="2090" stopIfTrue="1" operator="equal">
      <formula>"Napkin Hs"</formula>
    </cfRule>
  </conditionalFormatting>
  <conditionalFormatting sqref="C120">
    <cfRule type="cellIs" dxfId="1881" priority="2057" stopIfTrue="1" operator="equal">
      <formula>"Towel"</formula>
    </cfRule>
    <cfRule type="cellIs" dxfId="1880" priority="2058" stopIfTrue="1" operator="equal">
      <formula>"Napkin Hs"</formula>
    </cfRule>
  </conditionalFormatting>
  <conditionalFormatting sqref="C120">
    <cfRule type="cellIs" dxfId="1879" priority="2059" stopIfTrue="1" operator="equal">
      <formula>"Towel"</formula>
    </cfRule>
    <cfRule type="cellIs" dxfId="1878" priority="2060" stopIfTrue="1" operator="equal">
      <formula>"Napkin Hs"</formula>
    </cfRule>
  </conditionalFormatting>
  <conditionalFormatting sqref="C120">
    <cfRule type="cellIs" dxfId="1877" priority="2055" stopIfTrue="1" operator="equal">
      <formula>"Towel"</formula>
    </cfRule>
    <cfRule type="cellIs" dxfId="1876" priority="2056" stopIfTrue="1" operator="equal">
      <formula>"Napkin Hs"</formula>
    </cfRule>
  </conditionalFormatting>
  <conditionalFormatting sqref="B120">
    <cfRule type="cellIs" dxfId="1875" priority="2049" stopIfTrue="1" operator="equal">
      <formula>"Towel"</formula>
    </cfRule>
    <cfRule type="cellIs" dxfId="1874" priority="2050" stopIfTrue="1" operator="equal">
      <formula>"Napkin Hs"</formula>
    </cfRule>
  </conditionalFormatting>
  <conditionalFormatting sqref="C120">
    <cfRule type="cellIs" dxfId="1873" priority="2051" stopIfTrue="1" operator="equal">
      <formula>"Towel"</formula>
    </cfRule>
    <cfRule type="cellIs" dxfId="1872" priority="2052" stopIfTrue="1" operator="equal">
      <formula>"Napkin Hs"</formula>
    </cfRule>
  </conditionalFormatting>
  <conditionalFormatting sqref="C120">
    <cfRule type="cellIs" dxfId="1871" priority="2053" stopIfTrue="1" operator="equal">
      <formula>"Towel"</formula>
    </cfRule>
    <cfRule type="cellIs" dxfId="1870" priority="2054" stopIfTrue="1" operator="equal">
      <formula>"Napkin Hs"</formula>
    </cfRule>
  </conditionalFormatting>
  <conditionalFormatting sqref="B120:C120">
    <cfRule type="cellIs" dxfId="1869" priority="2003" stopIfTrue="1" operator="equal">
      <formula>"Towel"</formula>
    </cfRule>
    <cfRule type="cellIs" dxfId="1868" priority="2004" stopIfTrue="1" operator="equal">
      <formula>"Napkin Hs"</formula>
    </cfRule>
  </conditionalFormatting>
  <conditionalFormatting sqref="C120">
    <cfRule type="cellIs" dxfId="1867" priority="2005" stopIfTrue="1" operator="equal">
      <formula>"Towel"</formula>
    </cfRule>
    <cfRule type="cellIs" dxfId="1866" priority="2006" stopIfTrue="1" operator="equal">
      <formula>"Napkin Hs"</formula>
    </cfRule>
  </conditionalFormatting>
  <conditionalFormatting sqref="C120">
    <cfRule type="cellIs" dxfId="1865" priority="2001" stopIfTrue="1" operator="equal">
      <formula>"Towel"</formula>
    </cfRule>
    <cfRule type="cellIs" dxfId="1864" priority="2002" stopIfTrue="1" operator="equal">
      <formula>"Napkin Hs"</formula>
    </cfRule>
  </conditionalFormatting>
  <conditionalFormatting sqref="C120">
    <cfRule type="cellIs" dxfId="1863" priority="1999" stopIfTrue="1" operator="equal">
      <formula>"Towel"</formula>
    </cfRule>
    <cfRule type="cellIs" dxfId="1862" priority="2000" stopIfTrue="1" operator="equal">
      <formula>"Napkin Hs"</formula>
    </cfRule>
  </conditionalFormatting>
  <conditionalFormatting sqref="B120">
    <cfRule type="cellIs" dxfId="1861" priority="2047" stopIfTrue="1" operator="equal">
      <formula>"Towel"</formula>
    </cfRule>
    <cfRule type="cellIs" dxfId="1860" priority="2048" stopIfTrue="1" operator="equal">
      <formula>"Napkin Hs"</formula>
    </cfRule>
  </conditionalFormatting>
  <conditionalFormatting sqref="C120">
    <cfRule type="cellIs" dxfId="1859" priority="2043" stopIfTrue="1" operator="equal">
      <formula>"Towel"</formula>
    </cfRule>
    <cfRule type="cellIs" dxfId="1858" priority="2044" stopIfTrue="1" operator="equal">
      <formula>"Napkin Hs"</formula>
    </cfRule>
  </conditionalFormatting>
  <conditionalFormatting sqref="C120">
    <cfRule type="cellIs" dxfId="1857" priority="2037" stopIfTrue="1" operator="equal">
      <formula>"Towel"</formula>
    </cfRule>
    <cfRule type="cellIs" dxfId="1856" priority="2038" stopIfTrue="1" operator="equal">
      <formula>"Napkin Hs"</formula>
    </cfRule>
  </conditionalFormatting>
  <conditionalFormatting sqref="C120">
    <cfRule type="cellIs" dxfId="1855" priority="2041" stopIfTrue="1" operator="equal">
      <formula>"Towel"</formula>
    </cfRule>
    <cfRule type="cellIs" dxfId="1854" priority="2042" stopIfTrue="1" operator="equal">
      <formula>"Napkin Hs"</formula>
    </cfRule>
  </conditionalFormatting>
  <conditionalFormatting sqref="B120:C120">
    <cfRule type="cellIs" dxfId="1853" priority="2039" stopIfTrue="1" operator="equal">
      <formula>"Towel"</formula>
    </cfRule>
    <cfRule type="cellIs" dxfId="1852" priority="2040" stopIfTrue="1" operator="equal">
      <formula>"Napkin Hs"</formula>
    </cfRule>
  </conditionalFormatting>
  <conditionalFormatting sqref="C120">
    <cfRule type="cellIs" dxfId="1851" priority="2031" stopIfTrue="1" operator="equal">
      <formula>"Towel"</formula>
    </cfRule>
    <cfRule type="cellIs" dxfId="1850" priority="2032" stopIfTrue="1" operator="equal">
      <formula>"Napkin Hs"</formula>
    </cfRule>
  </conditionalFormatting>
  <conditionalFormatting sqref="C120">
    <cfRule type="cellIs" dxfId="1849" priority="2033" stopIfTrue="1" operator="equal">
      <formula>"Towel"</formula>
    </cfRule>
    <cfRule type="cellIs" dxfId="1848" priority="2034" stopIfTrue="1" operator="equal">
      <formula>"Napkin Hs"</formula>
    </cfRule>
  </conditionalFormatting>
  <conditionalFormatting sqref="C120">
    <cfRule type="cellIs" dxfId="1847" priority="2035" stopIfTrue="1" operator="equal">
      <formula>"Towel"</formula>
    </cfRule>
    <cfRule type="cellIs" dxfId="1846" priority="2036" stopIfTrue="1" operator="equal">
      <formula>"Napkin Hs"</formula>
    </cfRule>
  </conditionalFormatting>
  <conditionalFormatting sqref="C120">
    <cfRule type="cellIs" dxfId="1845" priority="2025" stopIfTrue="1" operator="equal">
      <formula>"Towel"</formula>
    </cfRule>
    <cfRule type="cellIs" dxfId="1844" priority="2026" stopIfTrue="1" operator="equal">
      <formula>"Napkin Hs"</formula>
    </cfRule>
  </conditionalFormatting>
  <conditionalFormatting sqref="B120:C120">
    <cfRule type="cellIs" dxfId="1843" priority="2029" stopIfTrue="1" operator="equal">
      <formula>"Towel"</formula>
    </cfRule>
    <cfRule type="cellIs" dxfId="1842" priority="2030" stopIfTrue="1" operator="equal">
      <formula>"Napkin Hs"</formula>
    </cfRule>
  </conditionalFormatting>
  <conditionalFormatting sqref="C120">
    <cfRule type="cellIs" dxfId="1841" priority="2027" stopIfTrue="1" operator="equal">
      <formula>"Towel"</formula>
    </cfRule>
    <cfRule type="cellIs" dxfId="1840" priority="2028" stopIfTrue="1" operator="equal">
      <formula>"Napkin Hs"</formula>
    </cfRule>
  </conditionalFormatting>
  <conditionalFormatting sqref="B120:C120">
    <cfRule type="cellIs" dxfId="1839" priority="2019" stopIfTrue="1" operator="equal">
      <formula>"Towel"</formula>
    </cfRule>
    <cfRule type="cellIs" dxfId="1838" priority="2020" stopIfTrue="1" operator="equal">
      <formula>"Napkin Hs"</formula>
    </cfRule>
  </conditionalFormatting>
  <conditionalFormatting sqref="C120">
    <cfRule type="cellIs" dxfId="1837" priority="2021" stopIfTrue="1" operator="equal">
      <formula>"Towel"</formula>
    </cfRule>
    <cfRule type="cellIs" dxfId="1836" priority="2022" stopIfTrue="1" operator="equal">
      <formula>"Napkin Hs"</formula>
    </cfRule>
  </conditionalFormatting>
  <conditionalFormatting sqref="B120:C120">
    <cfRule type="cellIs" dxfId="1835" priority="2023" stopIfTrue="1" operator="equal">
      <formula>"Towel"</formula>
    </cfRule>
    <cfRule type="cellIs" dxfId="1834" priority="2024" stopIfTrue="1" operator="equal">
      <formula>"Napkin Hs"</formula>
    </cfRule>
  </conditionalFormatting>
  <conditionalFormatting sqref="C120">
    <cfRule type="cellIs" dxfId="1833" priority="2017" stopIfTrue="1" operator="equal">
      <formula>"Towel"</formula>
    </cfRule>
    <cfRule type="cellIs" dxfId="1832" priority="2018" stopIfTrue="1" operator="equal">
      <formula>"Napkin Hs"</formula>
    </cfRule>
  </conditionalFormatting>
  <conditionalFormatting sqref="C120">
    <cfRule type="cellIs" dxfId="1831" priority="2013" stopIfTrue="1" operator="equal">
      <formula>"Towel"</formula>
    </cfRule>
    <cfRule type="cellIs" dxfId="1830" priority="2014" stopIfTrue="1" operator="equal">
      <formula>"Napkin Hs"</formula>
    </cfRule>
  </conditionalFormatting>
  <conditionalFormatting sqref="B120:C120">
    <cfRule type="cellIs" dxfId="1829" priority="2015" stopIfTrue="1" operator="equal">
      <formula>"Towel"</formula>
    </cfRule>
    <cfRule type="cellIs" dxfId="1828" priority="2016" stopIfTrue="1" operator="equal">
      <formula>"Napkin Hs"</formula>
    </cfRule>
  </conditionalFormatting>
  <conditionalFormatting sqref="C120">
    <cfRule type="cellIs" dxfId="1827" priority="2011" stopIfTrue="1" operator="equal">
      <formula>"Towel"</formula>
    </cfRule>
    <cfRule type="cellIs" dxfId="1826" priority="2012" stopIfTrue="1" operator="equal">
      <formula>"Napkin Hs"</formula>
    </cfRule>
  </conditionalFormatting>
  <conditionalFormatting sqref="C120">
    <cfRule type="cellIs" dxfId="1825" priority="2009" stopIfTrue="1" operator="equal">
      <formula>"Towel"</formula>
    </cfRule>
    <cfRule type="cellIs" dxfId="1824" priority="2010" stopIfTrue="1" operator="equal">
      <formula>"Napkin Hs"</formula>
    </cfRule>
  </conditionalFormatting>
  <conditionalFormatting sqref="B120:C120">
    <cfRule type="cellIs" dxfId="1823" priority="2007" stopIfTrue="1" operator="equal">
      <formula>"Towel"</formula>
    </cfRule>
    <cfRule type="cellIs" dxfId="1822" priority="2008" stopIfTrue="1" operator="equal">
      <formula>"Napkin Hs"</formula>
    </cfRule>
  </conditionalFormatting>
  <conditionalFormatting sqref="B120:C120">
    <cfRule type="cellIs" dxfId="1821" priority="2083" stopIfTrue="1" operator="equal">
      <formula>"Towel"</formula>
    </cfRule>
    <cfRule type="cellIs" dxfId="1820" priority="2084" stopIfTrue="1" operator="equal">
      <formula>"Napkin Hs"</formula>
    </cfRule>
  </conditionalFormatting>
  <conditionalFormatting sqref="C120">
    <cfRule type="cellIs" dxfId="1819" priority="2079" stopIfTrue="1" operator="equal">
      <formula>"Towel"</formula>
    </cfRule>
    <cfRule type="cellIs" dxfId="1818" priority="2080" stopIfTrue="1" operator="equal">
      <formula>"Napkin Hs"</formula>
    </cfRule>
  </conditionalFormatting>
  <conditionalFormatting sqref="C120">
    <cfRule type="cellIs" dxfId="1817" priority="2082" stopIfTrue="1" operator="equal">
      <formula>"Napkin Hs"</formula>
    </cfRule>
  </conditionalFormatting>
  <conditionalFormatting sqref="C120">
    <cfRule type="cellIs" dxfId="1816" priority="2081" stopIfTrue="1" operator="equal">
      <formula>"Towel"</formula>
    </cfRule>
  </conditionalFormatting>
  <conditionalFormatting sqref="C120">
    <cfRule type="cellIs" dxfId="1815" priority="2073" stopIfTrue="1" operator="equal">
      <formula>"Towel"</formula>
    </cfRule>
    <cfRule type="cellIs" dxfId="1814" priority="2074" stopIfTrue="1" operator="equal">
      <formula>"Napkin Hs"</formula>
    </cfRule>
  </conditionalFormatting>
  <conditionalFormatting sqref="C120">
    <cfRule type="cellIs" dxfId="1813" priority="2077" stopIfTrue="1" operator="equal">
      <formula>"Towel"</formula>
    </cfRule>
    <cfRule type="cellIs" dxfId="1812" priority="2078" stopIfTrue="1" operator="equal">
      <formula>"Napkin Hs"</formula>
    </cfRule>
  </conditionalFormatting>
  <conditionalFormatting sqref="B120">
    <cfRule type="cellIs" dxfId="1811" priority="2063" stopIfTrue="1" operator="equal">
      <formula>"Towel"</formula>
    </cfRule>
    <cfRule type="cellIs" dxfId="1810" priority="2064" stopIfTrue="1" operator="equal">
      <formula>"Napkin Hs"</formula>
    </cfRule>
  </conditionalFormatting>
  <conditionalFormatting sqref="C120">
    <cfRule type="cellIs" dxfId="1809" priority="2075" stopIfTrue="1" operator="equal">
      <formula>"Towel"</formula>
    </cfRule>
    <cfRule type="cellIs" dxfId="1808" priority="2076" stopIfTrue="1" operator="equal">
      <formula>"Napkin Hs"</formula>
    </cfRule>
  </conditionalFormatting>
  <conditionalFormatting sqref="C120">
    <cfRule type="cellIs" dxfId="1807" priority="2067" stopIfTrue="1" operator="equal">
      <formula>"Towel"</formula>
    </cfRule>
    <cfRule type="cellIs" dxfId="1806" priority="2068" stopIfTrue="1" operator="equal">
      <formula>"Napkin Hs"</formula>
    </cfRule>
  </conditionalFormatting>
  <conditionalFormatting sqref="C120">
    <cfRule type="cellIs" dxfId="1805" priority="2069" stopIfTrue="1" operator="equal">
      <formula>"Towel"</formula>
    </cfRule>
    <cfRule type="cellIs" dxfId="1804" priority="2070" stopIfTrue="1" operator="equal">
      <formula>"Napkin Hs"</formula>
    </cfRule>
  </conditionalFormatting>
  <conditionalFormatting sqref="C120">
    <cfRule type="cellIs" dxfId="1803" priority="2071" stopIfTrue="1" operator="equal">
      <formula>"Towel"</formula>
    </cfRule>
    <cfRule type="cellIs" dxfId="1802" priority="2072" stopIfTrue="1" operator="equal">
      <formula>"Napkin Hs"</formula>
    </cfRule>
  </conditionalFormatting>
  <conditionalFormatting sqref="B120">
    <cfRule type="cellIs" dxfId="1801" priority="2065" stopIfTrue="1" operator="equal">
      <formula>"Towel"</formula>
    </cfRule>
    <cfRule type="cellIs" dxfId="1800" priority="2066" stopIfTrue="1" operator="equal">
      <formula>"Napkin Hs"</formula>
    </cfRule>
  </conditionalFormatting>
  <conditionalFormatting sqref="C120">
    <cfRule type="cellIs" dxfId="1799" priority="2061" stopIfTrue="1" operator="equal">
      <formula>"Towel"</formula>
    </cfRule>
    <cfRule type="cellIs" dxfId="1798" priority="2062" stopIfTrue="1" operator="equal">
      <formula>"Napkin Hs"</formula>
    </cfRule>
  </conditionalFormatting>
  <conditionalFormatting sqref="B120:C120">
    <cfRule type="cellIs" dxfId="1797" priority="2045" stopIfTrue="1" operator="equal">
      <formula>"Towel"</formula>
    </cfRule>
    <cfRule type="cellIs" dxfId="1796" priority="2046" stopIfTrue="1" operator="equal">
      <formula>"Napkin Hs"</formula>
    </cfRule>
  </conditionalFormatting>
  <conditionalFormatting sqref="C119">
    <cfRule type="cellIs" dxfId="1795" priority="1995" stopIfTrue="1" operator="equal">
      <formula>"Towel"</formula>
    </cfRule>
    <cfRule type="cellIs" dxfId="1794" priority="1996" stopIfTrue="1" operator="equal">
      <formula>"Napkin Hs"</formula>
    </cfRule>
  </conditionalFormatting>
  <conditionalFormatting sqref="C119">
    <cfRule type="cellIs" dxfId="1793" priority="1997" stopIfTrue="1" operator="equal">
      <formula>"Towel"</formula>
    </cfRule>
    <cfRule type="cellIs" dxfId="1792" priority="1998" stopIfTrue="1" operator="equal">
      <formula>"Napkin Hs"</formula>
    </cfRule>
  </conditionalFormatting>
  <conditionalFormatting sqref="C119">
    <cfRule type="cellIs" dxfId="1791" priority="1991" stopIfTrue="1" operator="equal">
      <formula>"Towel"</formula>
    </cfRule>
    <cfRule type="cellIs" dxfId="1790" priority="1992" stopIfTrue="1" operator="equal">
      <formula>"Napkin Hs"</formula>
    </cfRule>
  </conditionalFormatting>
  <conditionalFormatting sqref="C119 B120">
    <cfRule type="cellIs" dxfId="1789" priority="1993" stopIfTrue="1" operator="equal">
      <formula>"Towel"</formula>
    </cfRule>
    <cfRule type="cellIs" dxfId="1788" priority="1994" stopIfTrue="1" operator="equal">
      <formula>"Napkin Hs"</formula>
    </cfRule>
  </conditionalFormatting>
  <conditionalFormatting sqref="C119">
    <cfRule type="cellIs" dxfId="1787" priority="1989" stopIfTrue="1" operator="equal">
      <formula>"Towel"</formula>
    </cfRule>
    <cfRule type="cellIs" dxfId="1786" priority="1990" stopIfTrue="1" operator="equal">
      <formula>"Napkin Hs"</formula>
    </cfRule>
  </conditionalFormatting>
  <conditionalFormatting sqref="C119 B120">
    <cfRule type="cellIs" dxfId="1785" priority="1987" stopIfTrue="1" operator="equal">
      <formula>"Towel"</formula>
    </cfRule>
    <cfRule type="cellIs" dxfId="1784" priority="1988" stopIfTrue="1" operator="equal">
      <formula>"Napkin Hs"</formula>
    </cfRule>
  </conditionalFormatting>
  <conditionalFormatting sqref="C119 B120">
    <cfRule type="cellIs" dxfId="1783" priority="1985" stopIfTrue="1" operator="equal">
      <formula>"Towel"</formula>
    </cfRule>
    <cfRule type="cellIs" dxfId="1782" priority="1986" stopIfTrue="1" operator="equal">
      <formula>"Napkin Hs"</formula>
    </cfRule>
  </conditionalFormatting>
  <conditionalFormatting sqref="C119">
    <cfRule type="cellIs" dxfId="1781" priority="1979" stopIfTrue="1" operator="equal">
      <formula>"Towel"</formula>
    </cfRule>
    <cfRule type="cellIs" dxfId="1780" priority="1980" stopIfTrue="1" operator="equal">
      <formula>"Napkin Hs"</formula>
    </cfRule>
  </conditionalFormatting>
  <conditionalFormatting sqref="C119">
    <cfRule type="cellIs" dxfId="1779" priority="1981" stopIfTrue="1" operator="equal">
      <formula>"Towel"</formula>
    </cfRule>
    <cfRule type="cellIs" dxfId="1778" priority="1982" stopIfTrue="1" operator="equal">
      <formula>"Napkin Hs"</formula>
    </cfRule>
  </conditionalFormatting>
  <conditionalFormatting sqref="C119">
    <cfRule type="cellIs" dxfId="1777" priority="1977" stopIfTrue="1" operator="equal">
      <formula>"Towel"</formula>
    </cfRule>
    <cfRule type="cellIs" dxfId="1776" priority="1978" stopIfTrue="1" operator="equal">
      <formula>"Napkin Hs"</formula>
    </cfRule>
  </conditionalFormatting>
  <conditionalFormatting sqref="C119">
    <cfRule type="cellIs" dxfId="1775" priority="1975" stopIfTrue="1" operator="equal">
      <formula>"Towel"</formula>
    </cfRule>
    <cfRule type="cellIs" dxfId="1774" priority="1976" stopIfTrue="1" operator="equal">
      <formula>"Napkin Hs"</formula>
    </cfRule>
  </conditionalFormatting>
  <conditionalFormatting sqref="C119">
    <cfRule type="cellIs" dxfId="1773" priority="1971" stopIfTrue="1" operator="equal">
      <formula>"Towel"</formula>
    </cfRule>
    <cfRule type="cellIs" dxfId="1772" priority="1972" stopIfTrue="1" operator="equal">
      <formula>"Napkin Hs"</formula>
    </cfRule>
  </conditionalFormatting>
  <conditionalFormatting sqref="C119">
    <cfRule type="cellIs" dxfId="1771" priority="1973" stopIfTrue="1" operator="equal">
      <formula>"Towel"</formula>
    </cfRule>
    <cfRule type="cellIs" dxfId="1770" priority="1974" stopIfTrue="1" operator="equal">
      <formula>"Napkin Hs"</formula>
    </cfRule>
  </conditionalFormatting>
  <conditionalFormatting sqref="C119">
    <cfRule type="cellIs" dxfId="1769" priority="1969" stopIfTrue="1" operator="equal">
      <formula>"Towel"</formula>
    </cfRule>
    <cfRule type="cellIs" dxfId="1768" priority="1970" stopIfTrue="1" operator="equal">
      <formula>"Napkin Hs"</formula>
    </cfRule>
  </conditionalFormatting>
  <conditionalFormatting sqref="C119">
    <cfRule type="cellIs" dxfId="1767" priority="1953" stopIfTrue="1" operator="equal">
      <formula>"Towel"</formula>
    </cfRule>
    <cfRule type="cellIs" dxfId="1766" priority="1954" stopIfTrue="1" operator="equal">
      <formula>"Napkin Hs"</formula>
    </cfRule>
  </conditionalFormatting>
  <conditionalFormatting sqref="B120">
    <cfRule type="cellIs" dxfId="1765" priority="1951" stopIfTrue="1" operator="equal">
      <formula>"Towel"</formula>
    </cfRule>
    <cfRule type="cellIs" dxfId="1764" priority="1952" stopIfTrue="1" operator="equal">
      <formula>"Napkin Hs"</formula>
    </cfRule>
  </conditionalFormatting>
  <conditionalFormatting sqref="B120">
    <cfRule type="cellIs" dxfId="1763" priority="1967" stopIfTrue="1" operator="equal">
      <formula>"Towel"</formula>
    </cfRule>
    <cfRule type="cellIs" dxfId="1762" priority="1968" stopIfTrue="1" operator="equal">
      <formula>"Napkin Hs"</formula>
    </cfRule>
  </conditionalFormatting>
  <conditionalFormatting sqref="C119">
    <cfRule type="cellIs" dxfId="1761" priority="1963" stopIfTrue="1" operator="equal">
      <formula>"Towel"</formula>
    </cfRule>
    <cfRule type="cellIs" dxfId="1760" priority="1964" stopIfTrue="1" operator="equal">
      <formula>"Napkin Hs"</formula>
    </cfRule>
  </conditionalFormatting>
  <conditionalFormatting sqref="B120">
    <cfRule type="cellIs" dxfId="1759" priority="1965" stopIfTrue="1" operator="equal">
      <formula>"Towel"</formula>
    </cfRule>
    <cfRule type="cellIs" dxfId="1758" priority="1966" stopIfTrue="1" operator="equal">
      <formula>"Napkin Hs"</formula>
    </cfRule>
  </conditionalFormatting>
  <conditionalFormatting sqref="C119">
    <cfRule type="cellIs" dxfId="1757" priority="1959" stopIfTrue="1" operator="equal">
      <formula>"Towel"</formula>
    </cfRule>
    <cfRule type="cellIs" dxfId="1756" priority="1960" stopIfTrue="1" operator="equal">
      <formula>"Napkin Hs"</formula>
    </cfRule>
  </conditionalFormatting>
  <conditionalFormatting sqref="C119">
    <cfRule type="cellIs" dxfId="1755" priority="1961" stopIfTrue="1" operator="equal">
      <formula>"Towel"</formula>
    </cfRule>
    <cfRule type="cellIs" dxfId="1754" priority="1962" stopIfTrue="1" operator="equal">
      <formula>"Napkin Hs"</formula>
    </cfRule>
  </conditionalFormatting>
  <conditionalFormatting sqref="C119">
    <cfRule type="cellIs" dxfId="1753" priority="1957" stopIfTrue="1" operator="equal">
      <formula>"Towel"</formula>
    </cfRule>
    <cfRule type="cellIs" dxfId="1752" priority="1958" stopIfTrue="1" operator="equal">
      <formula>"Napkin Hs"</formula>
    </cfRule>
  </conditionalFormatting>
  <conditionalFormatting sqref="C119">
    <cfRule type="cellIs" dxfId="1751" priority="1955" stopIfTrue="1" operator="equal">
      <formula>"Towel"</formula>
    </cfRule>
    <cfRule type="cellIs" dxfId="1750" priority="1956" stopIfTrue="1" operator="equal">
      <formula>"Napkin Hs"</formula>
    </cfRule>
  </conditionalFormatting>
  <conditionalFormatting sqref="B120">
    <cfRule type="cellIs" dxfId="1749" priority="1949" stopIfTrue="1" operator="equal">
      <formula>"Towel"</formula>
    </cfRule>
    <cfRule type="cellIs" dxfId="1748" priority="1950" stopIfTrue="1" operator="equal">
      <formula>"Napkin Hs"</formula>
    </cfRule>
  </conditionalFormatting>
  <conditionalFormatting sqref="C119 B120">
    <cfRule type="cellIs" dxfId="1747" priority="1947" stopIfTrue="1" operator="equal">
      <formula>"Towel"</formula>
    </cfRule>
    <cfRule type="cellIs" dxfId="1746" priority="1948" stopIfTrue="1" operator="equal">
      <formula>"Napkin Hs"</formula>
    </cfRule>
  </conditionalFormatting>
  <conditionalFormatting sqref="C119">
    <cfRule type="cellIs" dxfId="1745" priority="1945" stopIfTrue="1" operator="equal">
      <formula>"Towel"</formula>
    </cfRule>
    <cfRule type="cellIs" dxfId="1744" priority="1946" stopIfTrue="1" operator="equal">
      <formula>"Napkin Hs"</formula>
    </cfRule>
  </conditionalFormatting>
  <conditionalFormatting sqref="C119">
    <cfRule type="cellIs" dxfId="1743" priority="1943" stopIfTrue="1" operator="equal">
      <formula>"Towel"</formula>
    </cfRule>
    <cfRule type="cellIs" dxfId="1742" priority="1944" stopIfTrue="1" operator="equal">
      <formula>"Napkin Hs"</formula>
    </cfRule>
  </conditionalFormatting>
  <conditionalFormatting sqref="C119">
    <cfRule type="cellIs" dxfId="1741" priority="1933" stopIfTrue="1" operator="equal">
      <formula>"Towel"</formula>
    </cfRule>
    <cfRule type="cellIs" dxfId="1740" priority="1934" stopIfTrue="1" operator="equal">
      <formula>"Napkin Hs"</formula>
    </cfRule>
  </conditionalFormatting>
  <conditionalFormatting sqref="C119">
    <cfRule type="cellIs" dxfId="1739" priority="1935" stopIfTrue="1" operator="equal">
      <formula>"Towel"</formula>
    </cfRule>
    <cfRule type="cellIs" dxfId="1738" priority="1936" stopIfTrue="1" operator="equal">
      <formula>"Napkin Hs"</formula>
    </cfRule>
  </conditionalFormatting>
  <conditionalFormatting sqref="C119 B120">
    <cfRule type="cellIs" dxfId="1737" priority="1931" stopIfTrue="1" operator="equal">
      <formula>"Towel"</formula>
    </cfRule>
    <cfRule type="cellIs" dxfId="1736" priority="1932" stopIfTrue="1" operator="equal">
      <formula>"Napkin Hs"</formula>
    </cfRule>
  </conditionalFormatting>
  <conditionalFormatting sqref="C119">
    <cfRule type="cellIs" dxfId="1735" priority="1929" stopIfTrue="1" operator="equal">
      <formula>"Towel"</formula>
    </cfRule>
    <cfRule type="cellIs" dxfId="1734" priority="1930" stopIfTrue="1" operator="equal">
      <formula>"Napkin Hs"</formula>
    </cfRule>
  </conditionalFormatting>
  <conditionalFormatting sqref="C119 B120">
    <cfRule type="cellIs" dxfId="1733" priority="1925" stopIfTrue="1" operator="equal">
      <formula>"Towel"</formula>
    </cfRule>
    <cfRule type="cellIs" dxfId="1732" priority="1926" stopIfTrue="1" operator="equal">
      <formula>"Napkin Hs"</formula>
    </cfRule>
  </conditionalFormatting>
  <conditionalFormatting sqref="C119">
    <cfRule type="cellIs" dxfId="1731" priority="1927" stopIfTrue="1" operator="equal">
      <formula>"Towel"</formula>
    </cfRule>
    <cfRule type="cellIs" dxfId="1730" priority="1928" stopIfTrue="1" operator="equal">
      <formula>"Napkin Hs"</formula>
    </cfRule>
  </conditionalFormatting>
  <conditionalFormatting sqref="C119">
    <cfRule type="cellIs" dxfId="1729" priority="1984" stopIfTrue="1" operator="equal">
      <formula>"Napkin Hs"</formula>
    </cfRule>
  </conditionalFormatting>
  <conditionalFormatting sqref="C119">
    <cfRule type="cellIs" dxfId="1728" priority="1983" stopIfTrue="1" operator="equal">
      <formula>"Towel"</formula>
    </cfRule>
  </conditionalFormatting>
  <conditionalFormatting sqref="C119 B120">
    <cfRule type="cellIs" dxfId="1727" priority="1941" stopIfTrue="1" operator="equal">
      <formula>"Towel"</formula>
    </cfRule>
    <cfRule type="cellIs" dxfId="1726" priority="1942" stopIfTrue="1" operator="equal">
      <formula>"Napkin Hs"</formula>
    </cfRule>
  </conditionalFormatting>
  <conditionalFormatting sqref="C119">
    <cfRule type="cellIs" dxfId="1725" priority="1939" stopIfTrue="1" operator="equal">
      <formula>"Towel"</formula>
    </cfRule>
    <cfRule type="cellIs" dxfId="1724" priority="1940" stopIfTrue="1" operator="equal">
      <formula>"Napkin Hs"</formula>
    </cfRule>
  </conditionalFormatting>
  <conditionalFormatting sqref="C119">
    <cfRule type="cellIs" dxfId="1723" priority="1937" stopIfTrue="1" operator="equal">
      <formula>"Towel"</formula>
    </cfRule>
    <cfRule type="cellIs" dxfId="1722" priority="1938" stopIfTrue="1" operator="equal">
      <formula>"Napkin Hs"</formula>
    </cfRule>
  </conditionalFormatting>
  <conditionalFormatting sqref="C119 B120">
    <cfRule type="cellIs" dxfId="1721" priority="1921" stopIfTrue="1" operator="equal">
      <formula>"Towel"</formula>
    </cfRule>
    <cfRule type="cellIs" dxfId="1720" priority="1922" stopIfTrue="1" operator="equal">
      <formula>"Napkin Hs"</formula>
    </cfRule>
  </conditionalFormatting>
  <conditionalFormatting sqref="C119">
    <cfRule type="cellIs" dxfId="1719" priority="1923" stopIfTrue="1" operator="equal">
      <formula>"Towel"</formula>
    </cfRule>
    <cfRule type="cellIs" dxfId="1718" priority="1924" stopIfTrue="1" operator="equal">
      <formula>"Napkin Hs"</formula>
    </cfRule>
  </conditionalFormatting>
  <conditionalFormatting sqref="C119">
    <cfRule type="cellIs" dxfId="1717" priority="1919" stopIfTrue="1" operator="equal">
      <formula>"Towel"</formula>
    </cfRule>
    <cfRule type="cellIs" dxfId="1716" priority="1920" stopIfTrue="1" operator="equal">
      <formula>"Napkin Hs"</formula>
    </cfRule>
  </conditionalFormatting>
  <conditionalFormatting sqref="C119 B120">
    <cfRule type="cellIs" dxfId="1715" priority="1917" stopIfTrue="1" operator="equal">
      <formula>"Towel"</formula>
    </cfRule>
    <cfRule type="cellIs" dxfId="1714" priority="1918" stopIfTrue="1" operator="equal">
      <formula>"Napkin Hs"</formula>
    </cfRule>
  </conditionalFormatting>
  <conditionalFormatting sqref="C119">
    <cfRule type="cellIs" dxfId="1713" priority="1913" stopIfTrue="1" operator="equal">
      <formula>"Towel"</formula>
    </cfRule>
    <cfRule type="cellIs" dxfId="1712" priority="1914" stopIfTrue="1" operator="equal">
      <formula>"Napkin Hs"</formula>
    </cfRule>
  </conditionalFormatting>
  <conditionalFormatting sqref="C119">
    <cfRule type="cellIs" dxfId="1711" priority="1915" stopIfTrue="1" operator="equal">
      <formula>"Towel"</formula>
    </cfRule>
    <cfRule type="cellIs" dxfId="1710" priority="1916" stopIfTrue="1" operator="equal">
      <formula>"Napkin Hs"</formula>
    </cfRule>
  </conditionalFormatting>
  <conditionalFormatting sqref="C119 B120">
    <cfRule type="cellIs" dxfId="1709" priority="1909" stopIfTrue="1" operator="equal">
      <formula>"Towel"</formula>
    </cfRule>
    <cfRule type="cellIs" dxfId="1708" priority="1910" stopIfTrue="1" operator="equal">
      <formula>"Napkin Hs"</formula>
    </cfRule>
  </conditionalFormatting>
  <conditionalFormatting sqref="C119">
    <cfRule type="cellIs" dxfId="1707" priority="1911" stopIfTrue="1" operator="equal">
      <formula>"Towel"</formula>
    </cfRule>
    <cfRule type="cellIs" dxfId="1706" priority="1912" stopIfTrue="1" operator="equal">
      <formula>"Napkin Hs"</formula>
    </cfRule>
  </conditionalFormatting>
  <conditionalFormatting sqref="C119">
    <cfRule type="cellIs" dxfId="1705" priority="1907" stopIfTrue="1" operator="equal">
      <formula>"Towel"</formula>
    </cfRule>
    <cfRule type="cellIs" dxfId="1704" priority="1908" stopIfTrue="1" operator="equal">
      <formula>"Napkin Hs"</formula>
    </cfRule>
  </conditionalFormatting>
  <conditionalFormatting sqref="C119 B120">
    <cfRule type="cellIs" dxfId="1703" priority="1905" stopIfTrue="1" operator="equal">
      <formula>"Towel"</formula>
    </cfRule>
    <cfRule type="cellIs" dxfId="1702" priority="1906" stopIfTrue="1" operator="equal">
      <formula>"Napkin Hs"</formula>
    </cfRule>
  </conditionalFormatting>
  <conditionalFormatting sqref="C119">
    <cfRule type="cellIs" dxfId="1701" priority="1901" stopIfTrue="1" operator="equal">
      <formula>"Towel"</formula>
    </cfRule>
    <cfRule type="cellIs" dxfId="1700" priority="1902" stopIfTrue="1" operator="equal">
      <formula>"Napkin Hs"</formula>
    </cfRule>
  </conditionalFormatting>
  <conditionalFormatting sqref="C119">
    <cfRule type="cellIs" dxfId="1699" priority="1903" stopIfTrue="1" operator="equal">
      <formula>"Towel"</formula>
    </cfRule>
    <cfRule type="cellIs" dxfId="1698" priority="1904" stopIfTrue="1" operator="equal">
      <formula>"Napkin Hs"</formula>
    </cfRule>
  </conditionalFormatting>
  <conditionalFormatting sqref="C119:C120">
    <cfRule type="cellIs" dxfId="1697" priority="1897" stopIfTrue="1" operator="equal">
      <formula>"Towel"</formula>
    </cfRule>
    <cfRule type="cellIs" dxfId="1696" priority="1898" stopIfTrue="1" operator="equal">
      <formula>"Napkin Hs"</formula>
    </cfRule>
  </conditionalFormatting>
  <conditionalFormatting sqref="C119:C120">
    <cfRule type="cellIs" dxfId="1695" priority="1899" stopIfTrue="1" operator="equal">
      <formula>"Towel"</formula>
    </cfRule>
    <cfRule type="cellIs" dxfId="1694" priority="1900" stopIfTrue="1" operator="equal">
      <formula>"Napkin Hs"</formula>
    </cfRule>
  </conditionalFormatting>
  <conditionalFormatting sqref="C119:C120">
    <cfRule type="cellIs" dxfId="1693" priority="1893" stopIfTrue="1" operator="equal">
      <formula>"Towel"</formula>
    </cfRule>
    <cfRule type="cellIs" dxfId="1692" priority="1894" stopIfTrue="1" operator="equal">
      <formula>"Napkin Hs"</formula>
    </cfRule>
  </conditionalFormatting>
  <conditionalFormatting sqref="B120:C120 C119">
    <cfRule type="cellIs" dxfId="1691" priority="1895" stopIfTrue="1" operator="equal">
      <formula>"Towel"</formula>
    </cfRule>
    <cfRule type="cellIs" dxfId="1690" priority="1896" stopIfTrue="1" operator="equal">
      <formula>"Napkin Hs"</formula>
    </cfRule>
  </conditionalFormatting>
  <conditionalFormatting sqref="C119:C120">
    <cfRule type="cellIs" dxfId="1689" priority="1891" stopIfTrue="1" operator="equal">
      <formula>"Towel"</formula>
    </cfRule>
    <cfRule type="cellIs" dxfId="1688" priority="1892" stopIfTrue="1" operator="equal">
      <formula>"Napkin Hs"</formula>
    </cfRule>
  </conditionalFormatting>
  <conditionalFormatting sqref="B120:C120 C119">
    <cfRule type="cellIs" dxfId="1687" priority="1889" stopIfTrue="1" operator="equal">
      <formula>"Towel"</formula>
    </cfRule>
    <cfRule type="cellIs" dxfId="1686" priority="1890" stopIfTrue="1" operator="equal">
      <formula>"Napkin Hs"</formula>
    </cfRule>
  </conditionalFormatting>
  <conditionalFormatting sqref="B120:C120 C119">
    <cfRule type="cellIs" dxfId="1685" priority="1887" stopIfTrue="1" operator="equal">
      <formula>"Towel"</formula>
    </cfRule>
    <cfRule type="cellIs" dxfId="1684" priority="1888" stopIfTrue="1" operator="equal">
      <formula>"Napkin Hs"</formula>
    </cfRule>
  </conditionalFormatting>
  <conditionalFormatting sqref="C119:C120">
    <cfRule type="cellIs" dxfId="1683" priority="1881" stopIfTrue="1" operator="equal">
      <formula>"Towel"</formula>
    </cfRule>
    <cfRule type="cellIs" dxfId="1682" priority="1882" stopIfTrue="1" operator="equal">
      <formula>"Napkin Hs"</formula>
    </cfRule>
  </conditionalFormatting>
  <conditionalFormatting sqref="C119:C120">
    <cfRule type="cellIs" dxfId="1681" priority="1883" stopIfTrue="1" operator="equal">
      <formula>"Towel"</formula>
    </cfRule>
    <cfRule type="cellIs" dxfId="1680" priority="1884" stopIfTrue="1" operator="equal">
      <formula>"Napkin Hs"</formula>
    </cfRule>
  </conditionalFormatting>
  <conditionalFormatting sqref="C119:C120">
    <cfRule type="cellIs" dxfId="1679" priority="1879" stopIfTrue="1" operator="equal">
      <formula>"Towel"</formula>
    </cfRule>
    <cfRule type="cellIs" dxfId="1678" priority="1880" stopIfTrue="1" operator="equal">
      <formula>"Napkin Hs"</formula>
    </cfRule>
  </conditionalFormatting>
  <conditionalFormatting sqref="C119:C120">
    <cfRule type="cellIs" dxfId="1677" priority="1877" stopIfTrue="1" operator="equal">
      <formula>"Towel"</formula>
    </cfRule>
    <cfRule type="cellIs" dxfId="1676" priority="1878" stopIfTrue="1" operator="equal">
      <formula>"Napkin Hs"</formula>
    </cfRule>
  </conditionalFormatting>
  <conditionalFormatting sqref="C119:C120">
    <cfRule type="cellIs" dxfId="1675" priority="1873" stopIfTrue="1" operator="equal">
      <formula>"Towel"</formula>
    </cfRule>
    <cfRule type="cellIs" dxfId="1674" priority="1874" stopIfTrue="1" operator="equal">
      <formula>"Napkin Hs"</formula>
    </cfRule>
  </conditionalFormatting>
  <conditionalFormatting sqref="C119:C120">
    <cfRule type="cellIs" dxfId="1673" priority="1875" stopIfTrue="1" operator="equal">
      <formula>"Towel"</formula>
    </cfRule>
    <cfRule type="cellIs" dxfId="1672" priority="1876" stopIfTrue="1" operator="equal">
      <formula>"Napkin Hs"</formula>
    </cfRule>
  </conditionalFormatting>
  <conditionalFormatting sqref="C119:C120">
    <cfRule type="cellIs" dxfId="1671" priority="1871" stopIfTrue="1" operator="equal">
      <formula>"Towel"</formula>
    </cfRule>
    <cfRule type="cellIs" dxfId="1670" priority="1872" stopIfTrue="1" operator="equal">
      <formula>"Napkin Hs"</formula>
    </cfRule>
  </conditionalFormatting>
  <conditionalFormatting sqref="C119:C120">
    <cfRule type="cellIs" dxfId="1669" priority="1855" stopIfTrue="1" operator="equal">
      <formula>"Towel"</formula>
    </cfRule>
    <cfRule type="cellIs" dxfId="1668" priority="1856" stopIfTrue="1" operator="equal">
      <formula>"Napkin Hs"</formula>
    </cfRule>
  </conditionalFormatting>
  <conditionalFormatting sqref="B120">
    <cfRule type="cellIs" dxfId="1667" priority="1853" stopIfTrue="1" operator="equal">
      <formula>"Towel"</formula>
    </cfRule>
    <cfRule type="cellIs" dxfId="1666" priority="1854" stopIfTrue="1" operator="equal">
      <formula>"Napkin Hs"</formula>
    </cfRule>
  </conditionalFormatting>
  <conditionalFormatting sqref="B120">
    <cfRule type="cellIs" dxfId="1665" priority="1869" stopIfTrue="1" operator="equal">
      <formula>"Towel"</formula>
    </cfRule>
    <cfRule type="cellIs" dxfId="1664" priority="1870" stopIfTrue="1" operator="equal">
      <formula>"Napkin Hs"</formula>
    </cfRule>
  </conditionalFormatting>
  <conditionalFormatting sqref="C119:C120">
    <cfRule type="cellIs" dxfId="1663" priority="1865" stopIfTrue="1" operator="equal">
      <formula>"Towel"</formula>
    </cfRule>
    <cfRule type="cellIs" dxfId="1662" priority="1866" stopIfTrue="1" operator="equal">
      <formula>"Napkin Hs"</formula>
    </cfRule>
  </conditionalFormatting>
  <conditionalFormatting sqref="B120">
    <cfRule type="cellIs" dxfId="1661" priority="1867" stopIfTrue="1" operator="equal">
      <formula>"Towel"</formula>
    </cfRule>
    <cfRule type="cellIs" dxfId="1660" priority="1868" stopIfTrue="1" operator="equal">
      <formula>"Napkin Hs"</formula>
    </cfRule>
  </conditionalFormatting>
  <conditionalFormatting sqref="C119:C120">
    <cfRule type="cellIs" dxfId="1659" priority="1861" stopIfTrue="1" operator="equal">
      <formula>"Towel"</formula>
    </cfRule>
    <cfRule type="cellIs" dxfId="1658" priority="1862" stopIfTrue="1" operator="equal">
      <formula>"Napkin Hs"</formula>
    </cfRule>
  </conditionalFormatting>
  <conditionalFormatting sqref="C119:C120">
    <cfRule type="cellIs" dxfId="1657" priority="1863" stopIfTrue="1" operator="equal">
      <formula>"Towel"</formula>
    </cfRule>
    <cfRule type="cellIs" dxfId="1656" priority="1864" stopIfTrue="1" operator="equal">
      <formula>"Napkin Hs"</formula>
    </cfRule>
  </conditionalFormatting>
  <conditionalFormatting sqref="C119:C120">
    <cfRule type="cellIs" dxfId="1655" priority="1859" stopIfTrue="1" operator="equal">
      <formula>"Towel"</formula>
    </cfRule>
    <cfRule type="cellIs" dxfId="1654" priority="1860" stopIfTrue="1" operator="equal">
      <formula>"Napkin Hs"</formula>
    </cfRule>
  </conditionalFormatting>
  <conditionalFormatting sqref="C119:C120">
    <cfRule type="cellIs" dxfId="1653" priority="1857" stopIfTrue="1" operator="equal">
      <formula>"Towel"</formula>
    </cfRule>
    <cfRule type="cellIs" dxfId="1652" priority="1858" stopIfTrue="1" operator="equal">
      <formula>"Napkin Hs"</formula>
    </cfRule>
  </conditionalFormatting>
  <conditionalFormatting sqref="B120">
    <cfRule type="cellIs" dxfId="1651" priority="1851" stopIfTrue="1" operator="equal">
      <formula>"Towel"</formula>
    </cfRule>
    <cfRule type="cellIs" dxfId="1650" priority="1852" stopIfTrue="1" operator="equal">
      <formula>"Napkin Hs"</formula>
    </cfRule>
  </conditionalFormatting>
  <conditionalFormatting sqref="B120:C120 C119">
    <cfRule type="cellIs" dxfId="1649" priority="1849" stopIfTrue="1" operator="equal">
      <formula>"Towel"</formula>
    </cfRule>
    <cfRule type="cellIs" dxfId="1648" priority="1850" stopIfTrue="1" operator="equal">
      <formula>"Napkin Hs"</formula>
    </cfRule>
  </conditionalFormatting>
  <conditionalFormatting sqref="C119:C120">
    <cfRule type="cellIs" dxfId="1647" priority="1847" stopIfTrue="1" operator="equal">
      <formula>"Towel"</formula>
    </cfRule>
    <cfRule type="cellIs" dxfId="1646" priority="1848" stopIfTrue="1" operator="equal">
      <formula>"Napkin Hs"</formula>
    </cfRule>
  </conditionalFormatting>
  <conditionalFormatting sqref="C119:C120">
    <cfRule type="cellIs" dxfId="1645" priority="1845" stopIfTrue="1" operator="equal">
      <formula>"Towel"</formula>
    </cfRule>
    <cfRule type="cellIs" dxfId="1644" priority="1846" stopIfTrue="1" operator="equal">
      <formula>"Napkin Hs"</formula>
    </cfRule>
  </conditionalFormatting>
  <conditionalFormatting sqref="C119:C120">
    <cfRule type="cellIs" dxfId="1643" priority="1835" stopIfTrue="1" operator="equal">
      <formula>"Towel"</formula>
    </cfRule>
    <cfRule type="cellIs" dxfId="1642" priority="1836" stopIfTrue="1" operator="equal">
      <formula>"Napkin Hs"</formula>
    </cfRule>
  </conditionalFormatting>
  <conditionalFormatting sqref="C119:C120">
    <cfRule type="cellIs" dxfId="1641" priority="1837" stopIfTrue="1" operator="equal">
      <formula>"Towel"</formula>
    </cfRule>
    <cfRule type="cellIs" dxfId="1640" priority="1838" stopIfTrue="1" operator="equal">
      <formula>"Napkin Hs"</formula>
    </cfRule>
  </conditionalFormatting>
  <conditionalFormatting sqref="B120:C120 C119">
    <cfRule type="cellIs" dxfId="1639" priority="1833" stopIfTrue="1" operator="equal">
      <formula>"Towel"</formula>
    </cfRule>
    <cfRule type="cellIs" dxfId="1638" priority="1834" stopIfTrue="1" operator="equal">
      <formula>"Napkin Hs"</formula>
    </cfRule>
  </conditionalFormatting>
  <conditionalFormatting sqref="C119:C120">
    <cfRule type="cellIs" dxfId="1637" priority="1831" stopIfTrue="1" operator="equal">
      <formula>"Towel"</formula>
    </cfRule>
    <cfRule type="cellIs" dxfId="1636" priority="1832" stopIfTrue="1" operator="equal">
      <formula>"Napkin Hs"</formula>
    </cfRule>
  </conditionalFormatting>
  <conditionalFormatting sqref="B120:C120 C119">
    <cfRule type="cellIs" dxfId="1635" priority="1827" stopIfTrue="1" operator="equal">
      <formula>"Towel"</formula>
    </cfRule>
    <cfRule type="cellIs" dxfId="1634" priority="1828" stopIfTrue="1" operator="equal">
      <formula>"Napkin Hs"</formula>
    </cfRule>
  </conditionalFormatting>
  <conditionalFormatting sqref="C119:C120">
    <cfRule type="cellIs" dxfId="1633" priority="1829" stopIfTrue="1" operator="equal">
      <formula>"Towel"</formula>
    </cfRule>
    <cfRule type="cellIs" dxfId="1632" priority="1830" stopIfTrue="1" operator="equal">
      <formula>"Napkin Hs"</formula>
    </cfRule>
  </conditionalFormatting>
  <conditionalFormatting sqref="C119:C120">
    <cfRule type="cellIs" dxfId="1631" priority="1886" stopIfTrue="1" operator="equal">
      <formula>"Napkin Hs"</formula>
    </cfRule>
  </conditionalFormatting>
  <conditionalFormatting sqref="C119:C120">
    <cfRule type="cellIs" dxfId="1630" priority="1885" stopIfTrue="1" operator="equal">
      <formula>"Towel"</formula>
    </cfRule>
  </conditionalFormatting>
  <conditionalFormatting sqref="B120:C120 C119">
    <cfRule type="cellIs" dxfId="1629" priority="1843" stopIfTrue="1" operator="equal">
      <formula>"Towel"</formula>
    </cfRule>
    <cfRule type="cellIs" dxfId="1628" priority="1844" stopIfTrue="1" operator="equal">
      <formula>"Napkin Hs"</formula>
    </cfRule>
  </conditionalFormatting>
  <conditionalFormatting sqref="C119:C120">
    <cfRule type="cellIs" dxfId="1627" priority="1841" stopIfTrue="1" operator="equal">
      <formula>"Towel"</formula>
    </cfRule>
    <cfRule type="cellIs" dxfId="1626" priority="1842" stopIfTrue="1" operator="equal">
      <formula>"Napkin Hs"</formula>
    </cfRule>
  </conditionalFormatting>
  <conditionalFormatting sqref="C119:C120">
    <cfRule type="cellIs" dxfId="1625" priority="1839" stopIfTrue="1" operator="equal">
      <formula>"Towel"</formula>
    </cfRule>
    <cfRule type="cellIs" dxfId="1624" priority="1840" stopIfTrue="1" operator="equal">
      <formula>"Napkin Hs"</formula>
    </cfRule>
  </conditionalFormatting>
  <conditionalFormatting sqref="B120:C120 C119">
    <cfRule type="cellIs" dxfId="1623" priority="1823" stopIfTrue="1" operator="equal">
      <formula>"Towel"</formula>
    </cfRule>
    <cfRule type="cellIs" dxfId="1622" priority="1824" stopIfTrue="1" operator="equal">
      <formula>"Napkin Hs"</formula>
    </cfRule>
  </conditionalFormatting>
  <conditionalFormatting sqref="C119:C120">
    <cfRule type="cellIs" dxfId="1621" priority="1825" stopIfTrue="1" operator="equal">
      <formula>"Towel"</formula>
    </cfRule>
    <cfRule type="cellIs" dxfId="1620" priority="1826" stopIfTrue="1" operator="equal">
      <formula>"Napkin Hs"</formula>
    </cfRule>
  </conditionalFormatting>
  <conditionalFormatting sqref="C119:C120">
    <cfRule type="cellIs" dxfId="1619" priority="1821" stopIfTrue="1" operator="equal">
      <formula>"Towel"</formula>
    </cfRule>
    <cfRule type="cellIs" dxfId="1618" priority="1822" stopIfTrue="1" operator="equal">
      <formula>"Napkin Hs"</formula>
    </cfRule>
  </conditionalFormatting>
  <conditionalFormatting sqref="B120:C120 C119">
    <cfRule type="cellIs" dxfId="1617" priority="1819" stopIfTrue="1" operator="equal">
      <formula>"Towel"</formula>
    </cfRule>
    <cfRule type="cellIs" dxfId="1616" priority="1820" stopIfTrue="1" operator="equal">
      <formula>"Napkin Hs"</formula>
    </cfRule>
  </conditionalFormatting>
  <conditionalFormatting sqref="C119:C120">
    <cfRule type="cellIs" dxfId="1615" priority="1815" stopIfTrue="1" operator="equal">
      <formula>"Towel"</formula>
    </cfRule>
    <cfRule type="cellIs" dxfId="1614" priority="1816" stopIfTrue="1" operator="equal">
      <formula>"Napkin Hs"</formula>
    </cfRule>
  </conditionalFormatting>
  <conditionalFormatting sqref="C119:C120">
    <cfRule type="cellIs" dxfId="1613" priority="1817" stopIfTrue="1" operator="equal">
      <formula>"Towel"</formula>
    </cfRule>
    <cfRule type="cellIs" dxfId="1612" priority="1818" stopIfTrue="1" operator="equal">
      <formula>"Napkin Hs"</formula>
    </cfRule>
  </conditionalFormatting>
  <conditionalFormatting sqref="B120:C120 C119">
    <cfRule type="cellIs" dxfId="1611" priority="1811" stopIfTrue="1" operator="equal">
      <formula>"Towel"</formula>
    </cfRule>
    <cfRule type="cellIs" dxfId="1610" priority="1812" stopIfTrue="1" operator="equal">
      <formula>"Napkin Hs"</formula>
    </cfRule>
  </conditionalFormatting>
  <conditionalFormatting sqref="C119:C120">
    <cfRule type="cellIs" dxfId="1609" priority="1813" stopIfTrue="1" operator="equal">
      <formula>"Towel"</formula>
    </cfRule>
    <cfRule type="cellIs" dxfId="1608" priority="1814" stopIfTrue="1" operator="equal">
      <formula>"Napkin Hs"</formula>
    </cfRule>
  </conditionalFormatting>
  <conditionalFormatting sqref="C119:C120">
    <cfRule type="cellIs" dxfId="1607" priority="1809" stopIfTrue="1" operator="equal">
      <formula>"Towel"</formula>
    </cfRule>
    <cfRule type="cellIs" dxfId="1606" priority="1810" stopIfTrue="1" operator="equal">
      <formula>"Napkin Hs"</formula>
    </cfRule>
  </conditionalFormatting>
  <conditionalFormatting sqref="B120:C120 C119">
    <cfRule type="cellIs" dxfId="1605" priority="1807" stopIfTrue="1" operator="equal">
      <formula>"Towel"</formula>
    </cfRule>
    <cfRule type="cellIs" dxfId="1604" priority="1808" stopIfTrue="1" operator="equal">
      <formula>"Napkin Hs"</formula>
    </cfRule>
  </conditionalFormatting>
  <conditionalFormatting sqref="C119:C120">
    <cfRule type="cellIs" dxfId="1603" priority="1803" stopIfTrue="1" operator="equal">
      <formula>"Towel"</formula>
    </cfRule>
    <cfRule type="cellIs" dxfId="1602" priority="1804" stopIfTrue="1" operator="equal">
      <formula>"Napkin Hs"</formula>
    </cfRule>
  </conditionalFormatting>
  <conditionalFormatting sqref="C119:C120">
    <cfRule type="cellIs" dxfId="1601" priority="1805" stopIfTrue="1" operator="equal">
      <formula>"Towel"</formula>
    </cfRule>
    <cfRule type="cellIs" dxfId="1600" priority="1806" stopIfTrue="1" operator="equal">
      <formula>"Napkin Hs"</formula>
    </cfRule>
  </conditionalFormatting>
  <conditionalFormatting sqref="C118">
    <cfRule type="cellIs" dxfId="1599" priority="1795" stopIfTrue="1" operator="equal">
      <formula>"Towel"</formula>
    </cfRule>
    <cfRule type="cellIs" dxfId="1598" priority="1796" stopIfTrue="1" operator="equal">
      <formula>"Napkin Hs"</formula>
    </cfRule>
  </conditionalFormatting>
  <conditionalFormatting sqref="C118">
    <cfRule type="cellIs" dxfId="1597" priority="1793" stopIfTrue="1" operator="equal">
      <formula>"Towel"</formula>
    </cfRule>
    <cfRule type="cellIs" dxfId="1596" priority="1794" stopIfTrue="1" operator="equal">
      <formula>"Napkin Hs"</formula>
    </cfRule>
  </conditionalFormatting>
  <conditionalFormatting sqref="B118:C118">
    <cfRule type="cellIs" dxfId="1595" priority="1791" stopIfTrue="1" operator="equal">
      <formula>"Towel"</formula>
    </cfRule>
    <cfRule type="cellIs" dxfId="1594" priority="1792" stopIfTrue="1" operator="equal">
      <formula>"Napkin Hs"</formula>
    </cfRule>
  </conditionalFormatting>
  <conditionalFormatting sqref="B118:C118">
    <cfRule type="cellIs" dxfId="1593" priority="1801" stopIfTrue="1" operator="equal">
      <formula>"Towel"</formula>
    </cfRule>
    <cfRule type="cellIs" dxfId="1592" priority="1802" stopIfTrue="1" operator="equal">
      <formula>"Napkin Hs"</formula>
    </cfRule>
  </conditionalFormatting>
  <conditionalFormatting sqref="C118">
    <cfRule type="cellIs" dxfId="1591" priority="1799" stopIfTrue="1" operator="equal">
      <formula>"Towel"</formula>
    </cfRule>
    <cfRule type="cellIs" dxfId="1590" priority="1800" stopIfTrue="1" operator="equal">
      <formula>"Napkin Hs"</formula>
    </cfRule>
  </conditionalFormatting>
  <conditionalFormatting sqref="C118">
    <cfRule type="cellIs" dxfId="1589" priority="1797" stopIfTrue="1" operator="equal">
      <formula>"Towel"</formula>
    </cfRule>
    <cfRule type="cellIs" dxfId="1588" priority="1798" stopIfTrue="1" operator="equal">
      <formula>"Napkin Hs"</formula>
    </cfRule>
  </conditionalFormatting>
  <conditionalFormatting sqref="C118">
    <cfRule type="cellIs" dxfId="1587" priority="1789" stopIfTrue="1" operator="equal">
      <formula>"Towel"</formula>
    </cfRule>
    <cfRule type="cellIs" dxfId="1586" priority="1790" stopIfTrue="1" operator="equal">
      <formula>"Napkin Hs"</formula>
    </cfRule>
  </conditionalFormatting>
  <conditionalFormatting sqref="C118">
    <cfRule type="cellIs" dxfId="1585" priority="1787" stopIfTrue="1" operator="equal">
      <formula>"Towel"</formula>
    </cfRule>
    <cfRule type="cellIs" dxfId="1584" priority="1788" stopIfTrue="1" operator="equal">
      <formula>"Napkin Hs"</formula>
    </cfRule>
  </conditionalFormatting>
  <conditionalFormatting sqref="B118:C118">
    <cfRule type="cellIs" dxfId="1583" priority="1785" stopIfTrue="1" operator="equal">
      <formula>"Towel"</formula>
    </cfRule>
    <cfRule type="cellIs" dxfId="1582" priority="1786" stopIfTrue="1" operator="equal">
      <formula>"Napkin Hs"</formula>
    </cfRule>
  </conditionalFormatting>
  <conditionalFormatting sqref="B118">
    <cfRule type="cellIs" dxfId="1581" priority="1783" stopIfTrue="1" operator="equal">
      <formula>"Towel"</formula>
    </cfRule>
    <cfRule type="cellIs" dxfId="1580" priority="1784" stopIfTrue="1" operator="equal">
      <formula>"Napkin Hs"</formula>
    </cfRule>
  </conditionalFormatting>
  <conditionalFormatting sqref="B118">
    <cfRule type="cellIs" dxfId="1579" priority="1781" stopIfTrue="1" operator="equal">
      <formula>"Towel"</formula>
    </cfRule>
    <cfRule type="cellIs" dxfId="1578" priority="1782" stopIfTrue="1" operator="equal">
      <formula>"Napkin Hs"</formula>
    </cfRule>
  </conditionalFormatting>
  <conditionalFormatting sqref="B118">
    <cfRule type="cellIs" dxfId="1577" priority="1779" stopIfTrue="1" operator="equal">
      <formula>"Towel"</formula>
    </cfRule>
    <cfRule type="cellIs" dxfId="1576" priority="1780" stopIfTrue="1" operator="equal">
      <formula>"Napkin Hs"</formula>
    </cfRule>
  </conditionalFormatting>
  <conditionalFormatting sqref="B118:C118">
    <cfRule type="cellIs" dxfId="1575" priority="1777" stopIfTrue="1" operator="equal">
      <formula>"Towel"</formula>
    </cfRule>
    <cfRule type="cellIs" dxfId="1574" priority="1778" stopIfTrue="1" operator="equal">
      <formula>"Napkin Hs"</formula>
    </cfRule>
  </conditionalFormatting>
  <conditionalFormatting sqref="C118">
    <cfRule type="cellIs" dxfId="1573" priority="1775" stopIfTrue="1" operator="equal">
      <formula>"Towel"</formula>
    </cfRule>
    <cfRule type="cellIs" dxfId="1572" priority="1776" stopIfTrue="1" operator="equal">
      <formula>"Napkin Hs"</formula>
    </cfRule>
  </conditionalFormatting>
  <conditionalFormatting sqref="C118">
    <cfRule type="cellIs" dxfId="1571" priority="1773" stopIfTrue="1" operator="equal">
      <formula>"Towel"</formula>
    </cfRule>
    <cfRule type="cellIs" dxfId="1570" priority="1774" stopIfTrue="1" operator="equal">
      <formula>"Napkin Hs"</formula>
    </cfRule>
  </conditionalFormatting>
  <conditionalFormatting sqref="C118">
    <cfRule type="cellIs" dxfId="1569" priority="1765" stopIfTrue="1" operator="equal">
      <formula>"Towel"</formula>
    </cfRule>
    <cfRule type="cellIs" dxfId="1568" priority="1766" stopIfTrue="1" operator="equal">
      <formula>"Napkin Hs"</formula>
    </cfRule>
  </conditionalFormatting>
  <conditionalFormatting sqref="B118:C118">
    <cfRule type="cellIs" dxfId="1567" priority="1767" stopIfTrue="1" operator="equal">
      <formula>"Towel"</formula>
    </cfRule>
    <cfRule type="cellIs" dxfId="1566" priority="1768" stopIfTrue="1" operator="equal">
      <formula>"Napkin Hs"</formula>
    </cfRule>
  </conditionalFormatting>
  <conditionalFormatting sqref="C118">
    <cfRule type="cellIs" dxfId="1565" priority="1763" stopIfTrue="1" operator="equal">
      <formula>"Towel"</formula>
    </cfRule>
    <cfRule type="cellIs" dxfId="1564" priority="1764" stopIfTrue="1" operator="equal">
      <formula>"Napkin Hs"</formula>
    </cfRule>
  </conditionalFormatting>
  <conditionalFormatting sqref="B118:C118">
    <cfRule type="cellIs" dxfId="1563" priority="1761" stopIfTrue="1" operator="equal">
      <formula>"Towel"</formula>
    </cfRule>
    <cfRule type="cellIs" dxfId="1562" priority="1762" stopIfTrue="1" operator="equal">
      <formula>"Napkin Hs"</formula>
    </cfRule>
  </conditionalFormatting>
  <conditionalFormatting sqref="C118">
    <cfRule type="cellIs" dxfId="1561" priority="1769" stopIfTrue="1" operator="equal">
      <formula>"Towel"</formula>
    </cfRule>
    <cfRule type="cellIs" dxfId="1560" priority="1770" stopIfTrue="1" operator="equal">
      <formula>"Napkin Hs"</formula>
    </cfRule>
  </conditionalFormatting>
  <conditionalFormatting sqref="C118">
    <cfRule type="cellIs" dxfId="1559" priority="1771" stopIfTrue="1" operator="equal">
      <formula>"Towel"</formula>
    </cfRule>
    <cfRule type="cellIs" dxfId="1558" priority="1772" stopIfTrue="1" operator="equal">
      <formula>"Napkin Hs"</formula>
    </cfRule>
  </conditionalFormatting>
  <conditionalFormatting sqref="B118:C118">
    <cfRule type="cellIs" dxfId="1557" priority="1757" stopIfTrue="1" operator="equal">
      <formula>"Towel"</formula>
    </cfRule>
    <cfRule type="cellIs" dxfId="1556" priority="1758" stopIfTrue="1" operator="equal">
      <formula>"Napkin Hs"</formula>
    </cfRule>
  </conditionalFormatting>
  <conditionalFormatting sqref="C118">
    <cfRule type="cellIs" dxfId="1555" priority="1759" stopIfTrue="1" operator="equal">
      <formula>"Towel"</formula>
    </cfRule>
    <cfRule type="cellIs" dxfId="1554" priority="1760" stopIfTrue="1" operator="equal">
      <formula>"Napkin Hs"</formula>
    </cfRule>
  </conditionalFormatting>
  <conditionalFormatting sqref="C118">
    <cfRule type="cellIs" dxfId="1553" priority="1755" stopIfTrue="1" operator="equal">
      <formula>"Towel"</formula>
    </cfRule>
    <cfRule type="cellIs" dxfId="1552" priority="1756" stopIfTrue="1" operator="equal">
      <formula>"Napkin Hs"</formula>
    </cfRule>
  </conditionalFormatting>
  <conditionalFormatting sqref="B118">
    <cfRule type="cellIs" dxfId="1551" priority="1751" stopIfTrue="1" operator="equal">
      <formula>"Towel"</formula>
    </cfRule>
    <cfRule type="cellIs" dxfId="1550" priority="1752" stopIfTrue="1" operator="equal">
      <formula>"Napkin Hs"</formula>
    </cfRule>
  </conditionalFormatting>
  <conditionalFormatting sqref="B118">
    <cfRule type="cellIs" dxfId="1549" priority="1753" stopIfTrue="1" operator="equal">
      <formula>"Towel"</formula>
    </cfRule>
    <cfRule type="cellIs" dxfId="1548" priority="1754" stopIfTrue="1" operator="equal">
      <formula>"Napkin Hs"</formula>
    </cfRule>
  </conditionalFormatting>
  <conditionalFormatting sqref="B118">
    <cfRule type="cellIs" dxfId="1547" priority="1749" stopIfTrue="1" operator="equal">
      <formula>"Towel"</formula>
    </cfRule>
    <cfRule type="cellIs" dxfId="1546" priority="1750" stopIfTrue="1" operator="equal">
      <formula>"Napkin Hs"</formula>
    </cfRule>
  </conditionalFormatting>
  <conditionalFormatting sqref="B118:C118">
    <cfRule type="cellIs" dxfId="1545" priority="1747" stopIfTrue="1" operator="equal">
      <formula>"Towel"</formula>
    </cfRule>
    <cfRule type="cellIs" dxfId="1544" priority="1748" stopIfTrue="1" operator="equal">
      <formula>"Napkin Hs"</formula>
    </cfRule>
  </conditionalFormatting>
  <conditionalFormatting sqref="C118">
    <cfRule type="cellIs" dxfId="1543" priority="1745" stopIfTrue="1" operator="equal">
      <formula>"Towel"</formula>
    </cfRule>
    <cfRule type="cellIs" dxfId="1542" priority="1746" stopIfTrue="1" operator="equal">
      <formula>"Napkin Hs"</formula>
    </cfRule>
  </conditionalFormatting>
  <conditionalFormatting sqref="C118">
    <cfRule type="cellIs" dxfId="1541" priority="1743" stopIfTrue="1" operator="equal">
      <formula>"Towel"</formula>
    </cfRule>
    <cfRule type="cellIs" dxfId="1540" priority="1744" stopIfTrue="1" operator="equal">
      <formula>"Napkin Hs"</formula>
    </cfRule>
  </conditionalFormatting>
  <conditionalFormatting sqref="C118">
    <cfRule type="cellIs" dxfId="1539" priority="1735" stopIfTrue="1" operator="equal">
      <formula>"Towel"</formula>
    </cfRule>
    <cfRule type="cellIs" dxfId="1538" priority="1736" stopIfTrue="1" operator="equal">
      <formula>"Napkin Hs"</formula>
    </cfRule>
  </conditionalFormatting>
  <conditionalFormatting sqref="B118:C118">
    <cfRule type="cellIs" dxfId="1537" priority="1737" stopIfTrue="1" operator="equal">
      <formula>"Towel"</formula>
    </cfRule>
    <cfRule type="cellIs" dxfId="1536" priority="1738" stopIfTrue="1" operator="equal">
      <formula>"Napkin Hs"</formula>
    </cfRule>
  </conditionalFormatting>
  <conditionalFormatting sqref="C118">
    <cfRule type="cellIs" dxfId="1535" priority="1733" stopIfTrue="1" operator="equal">
      <formula>"Towel"</formula>
    </cfRule>
    <cfRule type="cellIs" dxfId="1534" priority="1734" stopIfTrue="1" operator="equal">
      <formula>"Napkin Hs"</formula>
    </cfRule>
  </conditionalFormatting>
  <conditionalFormatting sqref="B118:C118">
    <cfRule type="cellIs" dxfId="1533" priority="1731" stopIfTrue="1" operator="equal">
      <formula>"Towel"</formula>
    </cfRule>
    <cfRule type="cellIs" dxfId="1532" priority="1732" stopIfTrue="1" operator="equal">
      <formula>"Napkin Hs"</formula>
    </cfRule>
  </conditionalFormatting>
  <conditionalFormatting sqref="C118">
    <cfRule type="cellIs" dxfId="1531" priority="1739" stopIfTrue="1" operator="equal">
      <formula>"Towel"</formula>
    </cfRule>
    <cfRule type="cellIs" dxfId="1530" priority="1740" stopIfTrue="1" operator="equal">
      <formula>"Napkin Hs"</formula>
    </cfRule>
  </conditionalFormatting>
  <conditionalFormatting sqref="C118">
    <cfRule type="cellIs" dxfId="1529" priority="1741" stopIfTrue="1" operator="equal">
      <formula>"Towel"</formula>
    </cfRule>
    <cfRule type="cellIs" dxfId="1528" priority="1742" stopIfTrue="1" operator="equal">
      <formula>"Napkin Hs"</formula>
    </cfRule>
  </conditionalFormatting>
  <conditionalFormatting sqref="C118">
    <cfRule type="cellIs" dxfId="1527" priority="1727" stopIfTrue="1" operator="equal">
      <formula>"Towel"</formula>
    </cfRule>
    <cfRule type="cellIs" dxfId="1526" priority="1728" stopIfTrue="1" operator="equal">
      <formula>"Napkin Hs"</formula>
    </cfRule>
  </conditionalFormatting>
  <conditionalFormatting sqref="C118">
    <cfRule type="cellIs" dxfId="1525" priority="1729" stopIfTrue="1" operator="equal">
      <formula>"Towel"</formula>
    </cfRule>
    <cfRule type="cellIs" dxfId="1524" priority="1730" stopIfTrue="1" operator="equal">
      <formula>"Napkin Hs"</formula>
    </cfRule>
  </conditionalFormatting>
  <conditionalFormatting sqref="B118:C118">
    <cfRule type="cellIs" dxfId="1523" priority="1725" stopIfTrue="1" operator="equal">
      <formula>"Towel"</formula>
    </cfRule>
    <cfRule type="cellIs" dxfId="1522" priority="1726" stopIfTrue="1" operator="equal">
      <formula>"Napkin Hs"</formula>
    </cfRule>
  </conditionalFormatting>
  <conditionalFormatting sqref="B118:C118">
    <cfRule type="cellIs" dxfId="1521" priority="1719" stopIfTrue="1" operator="equal">
      <formula>"Towel"</formula>
    </cfRule>
    <cfRule type="cellIs" dxfId="1520" priority="1720" stopIfTrue="1" operator="equal">
      <formula>"Napkin Hs"</formula>
    </cfRule>
  </conditionalFormatting>
  <conditionalFormatting sqref="C118">
    <cfRule type="cellIs" dxfId="1519" priority="1721" stopIfTrue="1" operator="equal">
      <formula>"Towel"</formula>
    </cfRule>
    <cfRule type="cellIs" dxfId="1518" priority="1722" stopIfTrue="1" operator="equal">
      <formula>"Napkin Hs"</formula>
    </cfRule>
  </conditionalFormatting>
  <conditionalFormatting sqref="C118">
    <cfRule type="cellIs" dxfId="1517" priority="1723" stopIfTrue="1" operator="equal">
      <formula>"Towel"</formula>
    </cfRule>
    <cfRule type="cellIs" dxfId="1516" priority="1724" stopIfTrue="1" operator="equal">
      <formula>"Napkin Hs"</formula>
    </cfRule>
  </conditionalFormatting>
  <conditionalFormatting sqref="C118">
    <cfRule type="cellIs" dxfId="1515" priority="1691" stopIfTrue="1" operator="equal">
      <formula>"Towel"</formula>
    </cfRule>
    <cfRule type="cellIs" dxfId="1514" priority="1692" stopIfTrue="1" operator="equal">
      <formula>"Napkin Hs"</formula>
    </cfRule>
  </conditionalFormatting>
  <conditionalFormatting sqref="C118">
    <cfRule type="cellIs" dxfId="1513" priority="1693" stopIfTrue="1" operator="equal">
      <formula>"Towel"</formula>
    </cfRule>
    <cfRule type="cellIs" dxfId="1512" priority="1694" stopIfTrue="1" operator="equal">
      <formula>"Napkin Hs"</formula>
    </cfRule>
  </conditionalFormatting>
  <conditionalFormatting sqref="C118">
    <cfRule type="cellIs" dxfId="1511" priority="1689" stopIfTrue="1" operator="equal">
      <formula>"Towel"</formula>
    </cfRule>
    <cfRule type="cellIs" dxfId="1510" priority="1690" stopIfTrue="1" operator="equal">
      <formula>"Napkin Hs"</formula>
    </cfRule>
  </conditionalFormatting>
  <conditionalFormatting sqref="B118">
    <cfRule type="cellIs" dxfId="1509" priority="1683" stopIfTrue="1" operator="equal">
      <formula>"Towel"</formula>
    </cfRule>
    <cfRule type="cellIs" dxfId="1508" priority="1684" stopIfTrue="1" operator="equal">
      <formula>"Napkin Hs"</formula>
    </cfRule>
  </conditionalFormatting>
  <conditionalFormatting sqref="C118">
    <cfRule type="cellIs" dxfId="1507" priority="1685" stopIfTrue="1" operator="equal">
      <formula>"Towel"</formula>
    </cfRule>
    <cfRule type="cellIs" dxfId="1506" priority="1686" stopIfTrue="1" operator="equal">
      <formula>"Napkin Hs"</formula>
    </cfRule>
  </conditionalFormatting>
  <conditionalFormatting sqref="C118">
    <cfRule type="cellIs" dxfId="1505" priority="1687" stopIfTrue="1" operator="equal">
      <formula>"Towel"</formula>
    </cfRule>
    <cfRule type="cellIs" dxfId="1504" priority="1688" stopIfTrue="1" operator="equal">
      <formula>"Napkin Hs"</formula>
    </cfRule>
  </conditionalFormatting>
  <conditionalFormatting sqref="B118:C118">
    <cfRule type="cellIs" dxfId="1503" priority="1637" stopIfTrue="1" operator="equal">
      <formula>"Towel"</formula>
    </cfRule>
    <cfRule type="cellIs" dxfId="1502" priority="1638" stopIfTrue="1" operator="equal">
      <formula>"Napkin Hs"</formula>
    </cfRule>
  </conditionalFormatting>
  <conditionalFormatting sqref="C118">
    <cfRule type="cellIs" dxfId="1501" priority="1639" stopIfTrue="1" operator="equal">
      <formula>"Towel"</formula>
    </cfRule>
    <cfRule type="cellIs" dxfId="1500" priority="1640" stopIfTrue="1" operator="equal">
      <formula>"Napkin Hs"</formula>
    </cfRule>
  </conditionalFormatting>
  <conditionalFormatting sqref="C118">
    <cfRule type="cellIs" dxfId="1499" priority="1635" stopIfTrue="1" operator="equal">
      <formula>"Towel"</formula>
    </cfRule>
    <cfRule type="cellIs" dxfId="1498" priority="1636" stopIfTrue="1" operator="equal">
      <formula>"Napkin Hs"</formula>
    </cfRule>
  </conditionalFormatting>
  <conditionalFormatting sqref="C118">
    <cfRule type="cellIs" dxfId="1497" priority="1633" stopIfTrue="1" operator="equal">
      <formula>"Towel"</formula>
    </cfRule>
    <cfRule type="cellIs" dxfId="1496" priority="1634" stopIfTrue="1" operator="equal">
      <formula>"Napkin Hs"</formula>
    </cfRule>
  </conditionalFormatting>
  <conditionalFormatting sqref="B118">
    <cfRule type="cellIs" dxfId="1495" priority="1681" stopIfTrue="1" operator="equal">
      <formula>"Towel"</formula>
    </cfRule>
    <cfRule type="cellIs" dxfId="1494" priority="1682" stopIfTrue="1" operator="equal">
      <formula>"Napkin Hs"</formula>
    </cfRule>
  </conditionalFormatting>
  <conditionalFormatting sqref="C118">
    <cfRule type="cellIs" dxfId="1493" priority="1677" stopIfTrue="1" operator="equal">
      <formula>"Towel"</formula>
    </cfRule>
    <cfRule type="cellIs" dxfId="1492" priority="1678" stopIfTrue="1" operator="equal">
      <formula>"Napkin Hs"</formula>
    </cfRule>
  </conditionalFormatting>
  <conditionalFormatting sqref="C118">
    <cfRule type="cellIs" dxfId="1491" priority="1671" stopIfTrue="1" operator="equal">
      <formula>"Towel"</formula>
    </cfRule>
    <cfRule type="cellIs" dxfId="1490" priority="1672" stopIfTrue="1" operator="equal">
      <formula>"Napkin Hs"</formula>
    </cfRule>
  </conditionalFormatting>
  <conditionalFormatting sqref="C118">
    <cfRule type="cellIs" dxfId="1489" priority="1675" stopIfTrue="1" operator="equal">
      <formula>"Towel"</formula>
    </cfRule>
    <cfRule type="cellIs" dxfId="1488" priority="1676" stopIfTrue="1" operator="equal">
      <formula>"Napkin Hs"</formula>
    </cfRule>
  </conditionalFormatting>
  <conditionalFormatting sqref="B118:C118">
    <cfRule type="cellIs" dxfId="1487" priority="1673" stopIfTrue="1" operator="equal">
      <formula>"Towel"</formula>
    </cfRule>
    <cfRule type="cellIs" dxfId="1486" priority="1674" stopIfTrue="1" operator="equal">
      <formula>"Napkin Hs"</formula>
    </cfRule>
  </conditionalFormatting>
  <conditionalFormatting sqref="C118">
    <cfRule type="cellIs" dxfId="1485" priority="1665" stopIfTrue="1" operator="equal">
      <formula>"Towel"</formula>
    </cfRule>
    <cfRule type="cellIs" dxfId="1484" priority="1666" stopIfTrue="1" operator="equal">
      <formula>"Napkin Hs"</formula>
    </cfRule>
  </conditionalFormatting>
  <conditionalFormatting sqref="C118">
    <cfRule type="cellIs" dxfId="1483" priority="1667" stopIfTrue="1" operator="equal">
      <formula>"Towel"</formula>
    </cfRule>
    <cfRule type="cellIs" dxfId="1482" priority="1668" stopIfTrue="1" operator="equal">
      <formula>"Napkin Hs"</formula>
    </cfRule>
  </conditionalFormatting>
  <conditionalFormatting sqref="C118">
    <cfRule type="cellIs" dxfId="1481" priority="1669" stopIfTrue="1" operator="equal">
      <formula>"Towel"</formula>
    </cfRule>
    <cfRule type="cellIs" dxfId="1480" priority="1670" stopIfTrue="1" operator="equal">
      <formula>"Napkin Hs"</formula>
    </cfRule>
  </conditionalFormatting>
  <conditionalFormatting sqref="C118">
    <cfRule type="cellIs" dxfId="1479" priority="1659" stopIfTrue="1" operator="equal">
      <formula>"Towel"</formula>
    </cfRule>
    <cfRule type="cellIs" dxfId="1478" priority="1660" stopIfTrue="1" operator="equal">
      <formula>"Napkin Hs"</formula>
    </cfRule>
  </conditionalFormatting>
  <conditionalFormatting sqref="B118:C118">
    <cfRule type="cellIs" dxfId="1477" priority="1663" stopIfTrue="1" operator="equal">
      <formula>"Towel"</formula>
    </cfRule>
    <cfRule type="cellIs" dxfId="1476" priority="1664" stopIfTrue="1" operator="equal">
      <formula>"Napkin Hs"</formula>
    </cfRule>
  </conditionalFormatting>
  <conditionalFormatting sqref="C118">
    <cfRule type="cellIs" dxfId="1475" priority="1661" stopIfTrue="1" operator="equal">
      <formula>"Towel"</formula>
    </cfRule>
    <cfRule type="cellIs" dxfId="1474" priority="1662" stopIfTrue="1" operator="equal">
      <formula>"Napkin Hs"</formula>
    </cfRule>
  </conditionalFormatting>
  <conditionalFormatting sqref="B118:C118">
    <cfRule type="cellIs" dxfId="1473" priority="1653" stopIfTrue="1" operator="equal">
      <formula>"Towel"</formula>
    </cfRule>
    <cfRule type="cellIs" dxfId="1472" priority="1654" stopIfTrue="1" operator="equal">
      <formula>"Napkin Hs"</formula>
    </cfRule>
  </conditionalFormatting>
  <conditionalFormatting sqref="C118">
    <cfRule type="cellIs" dxfId="1471" priority="1655" stopIfTrue="1" operator="equal">
      <formula>"Towel"</formula>
    </cfRule>
    <cfRule type="cellIs" dxfId="1470" priority="1656" stopIfTrue="1" operator="equal">
      <formula>"Napkin Hs"</formula>
    </cfRule>
  </conditionalFormatting>
  <conditionalFormatting sqref="B118:C118">
    <cfRule type="cellIs" dxfId="1469" priority="1657" stopIfTrue="1" operator="equal">
      <formula>"Towel"</formula>
    </cfRule>
    <cfRule type="cellIs" dxfId="1468" priority="1658" stopIfTrue="1" operator="equal">
      <formula>"Napkin Hs"</formula>
    </cfRule>
  </conditionalFormatting>
  <conditionalFormatting sqref="C118">
    <cfRule type="cellIs" dxfId="1467" priority="1651" stopIfTrue="1" operator="equal">
      <formula>"Towel"</formula>
    </cfRule>
    <cfRule type="cellIs" dxfId="1466" priority="1652" stopIfTrue="1" operator="equal">
      <formula>"Napkin Hs"</formula>
    </cfRule>
  </conditionalFormatting>
  <conditionalFormatting sqref="C118">
    <cfRule type="cellIs" dxfId="1465" priority="1647" stopIfTrue="1" operator="equal">
      <formula>"Towel"</formula>
    </cfRule>
    <cfRule type="cellIs" dxfId="1464" priority="1648" stopIfTrue="1" operator="equal">
      <formula>"Napkin Hs"</formula>
    </cfRule>
  </conditionalFormatting>
  <conditionalFormatting sqref="B118:C118">
    <cfRule type="cellIs" dxfId="1463" priority="1649" stopIfTrue="1" operator="equal">
      <formula>"Towel"</formula>
    </cfRule>
    <cfRule type="cellIs" dxfId="1462" priority="1650" stopIfTrue="1" operator="equal">
      <formula>"Napkin Hs"</formula>
    </cfRule>
  </conditionalFormatting>
  <conditionalFormatting sqref="C118">
    <cfRule type="cellIs" dxfId="1461" priority="1645" stopIfTrue="1" operator="equal">
      <formula>"Towel"</formula>
    </cfRule>
    <cfRule type="cellIs" dxfId="1460" priority="1646" stopIfTrue="1" operator="equal">
      <formula>"Napkin Hs"</formula>
    </cfRule>
  </conditionalFormatting>
  <conditionalFormatting sqref="C118">
    <cfRule type="cellIs" dxfId="1459" priority="1643" stopIfTrue="1" operator="equal">
      <formula>"Towel"</formula>
    </cfRule>
    <cfRule type="cellIs" dxfId="1458" priority="1644" stopIfTrue="1" operator="equal">
      <formula>"Napkin Hs"</formula>
    </cfRule>
  </conditionalFormatting>
  <conditionalFormatting sqref="B118:C118">
    <cfRule type="cellIs" dxfId="1457" priority="1641" stopIfTrue="1" operator="equal">
      <formula>"Towel"</formula>
    </cfRule>
    <cfRule type="cellIs" dxfId="1456" priority="1642" stopIfTrue="1" operator="equal">
      <formula>"Napkin Hs"</formula>
    </cfRule>
  </conditionalFormatting>
  <conditionalFormatting sqref="B118:C118">
    <cfRule type="cellIs" dxfId="1455" priority="1717" stopIfTrue="1" operator="equal">
      <formula>"Towel"</formula>
    </cfRule>
    <cfRule type="cellIs" dxfId="1454" priority="1718" stopIfTrue="1" operator="equal">
      <formula>"Napkin Hs"</formula>
    </cfRule>
  </conditionalFormatting>
  <conditionalFormatting sqref="C118">
    <cfRule type="cellIs" dxfId="1453" priority="1713" stopIfTrue="1" operator="equal">
      <formula>"Towel"</formula>
    </cfRule>
    <cfRule type="cellIs" dxfId="1452" priority="1714" stopIfTrue="1" operator="equal">
      <formula>"Napkin Hs"</formula>
    </cfRule>
  </conditionalFormatting>
  <conditionalFormatting sqref="C118">
    <cfRule type="cellIs" dxfId="1451" priority="1716" stopIfTrue="1" operator="equal">
      <formula>"Napkin Hs"</formula>
    </cfRule>
  </conditionalFormatting>
  <conditionalFormatting sqref="C118">
    <cfRule type="cellIs" dxfId="1450" priority="1715" stopIfTrue="1" operator="equal">
      <formula>"Towel"</formula>
    </cfRule>
  </conditionalFormatting>
  <conditionalFormatting sqref="C118">
    <cfRule type="cellIs" dxfId="1449" priority="1707" stopIfTrue="1" operator="equal">
      <formula>"Towel"</formula>
    </cfRule>
    <cfRule type="cellIs" dxfId="1448" priority="1708" stopIfTrue="1" operator="equal">
      <formula>"Napkin Hs"</formula>
    </cfRule>
  </conditionalFormatting>
  <conditionalFormatting sqref="C118">
    <cfRule type="cellIs" dxfId="1447" priority="1711" stopIfTrue="1" operator="equal">
      <formula>"Towel"</formula>
    </cfRule>
    <cfRule type="cellIs" dxfId="1446" priority="1712" stopIfTrue="1" operator="equal">
      <formula>"Napkin Hs"</formula>
    </cfRule>
  </conditionalFormatting>
  <conditionalFormatting sqref="B118">
    <cfRule type="cellIs" dxfId="1445" priority="1697" stopIfTrue="1" operator="equal">
      <formula>"Towel"</formula>
    </cfRule>
    <cfRule type="cellIs" dxfId="1444" priority="1698" stopIfTrue="1" operator="equal">
      <formula>"Napkin Hs"</formula>
    </cfRule>
  </conditionalFormatting>
  <conditionalFormatting sqref="C118">
    <cfRule type="cellIs" dxfId="1443" priority="1709" stopIfTrue="1" operator="equal">
      <formula>"Towel"</formula>
    </cfRule>
    <cfRule type="cellIs" dxfId="1442" priority="1710" stopIfTrue="1" operator="equal">
      <formula>"Napkin Hs"</formula>
    </cfRule>
  </conditionalFormatting>
  <conditionalFormatting sqref="C118">
    <cfRule type="cellIs" dxfId="1441" priority="1701" stopIfTrue="1" operator="equal">
      <formula>"Towel"</formula>
    </cfRule>
    <cfRule type="cellIs" dxfId="1440" priority="1702" stopIfTrue="1" operator="equal">
      <formula>"Napkin Hs"</formula>
    </cfRule>
  </conditionalFormatting>
  <conditionalFormatting sqref="C118">
    <cfRule type="cellIs" dxfId="1439" priority="1703" stopIfTrue="1" operator="equal">
      <formula>"Towel"</formula>
    </cfRule>
    <cfRule type="cellIs" dxfId="1438" priority="1704" stopIfTrue="1" operator="equal">
      <formula>"Napkin Hs"</formula>
    </cfRule>
  </conditionalFormatting>
  <conditionalFormatting sqref="C118">
    <cfRule type="cellIs" dxfId="1437" priority="1705" stopIfTrue="1" operator="equal">
      <formula>"Towel"</formula>
    </cfRule>
    <cfRule type="cellIs" dxfId="1436" priority="1706" stopIfTrue="1" operator="equal">
      <formula>"Napkin Hs"</formula>
    </cfRule>
  </conditionalFormatting>
  <conditionalFormatting sqref="B118">
    <cfRule type="cellIs" dxfId="1435" priority="1699" stopIfTrue="1" operator="equal">
      <formula>"Towel"</formula>
    </cfRule>
    <cfRule type="cellIs" dxfId="1434" priority="1700" stopIfTrue="1" operator="equal">
      <formula>"Napkin Hs"</formula>
    </cfRule>
  </conditionalFormatting>
  <conditionalFormatting sqref="C118">
    <cfRule type="cellIs" dxfId="1433" priority="1695" stopIfTrue="1" operator="equal">
      <formula>"Towel"</formula>
    </cfRule>
    <cfRule type="cellIs" dxfId="1432" priority="1696" stopIfTrue="1" operator="equal">
      <formula>"Napkin Hs"</formula>
    </cfRule>
  </conditionalFormatting>
  <conditionalFormatting sqref="B118:C118">
    <cfRule type="cellIs" dxfId="1431" priority="1679" stopIfTrue="1" operator="equal">
      <formula>"Towel"</formula>
    </cfRule>
    <cfRule type="cellIs" dxfId="1430" priority="1680" stopIfTrue="1" operator="equal">
      <formula>"Napkin Hs"</formula>
    </cfRule>
  </conditionalFormatting>
  <conditionalFormatting sqref="B118">
    <cfRule type="cellIs" dxfId="1429" priority="1631" stopIfTrue="1" operator="equal">
      <formula>"Towel"</formula>
    </cfRule>
    <cfRule type="cellIs" dxfId="1428" priority="1632" stopIfTrue="1" operator="equal">
      <formula>"Napkin Hs"</formula>
    </cfRule>
  </conditionalFormatting>
  <conditionalFormatting sqref="B118">
    <cfRule type="cellIs" dxfId="1427" priority="1629" stopIfTrue="1" operator="equal">
      <formula>"Towel"</formula>
    </cfRule>
    <cfRule type="cellIs" dxfId="1426" priority="1630" stopIfTrue="1" operator="equal">
      <formula>"Napkin Hs"</formula>
    </cfRule>
  </conditionalFormatting>
  <conditionalFormatting sqref="B118">
    <cfRule type="cellIs" dxfId="1425" priority="1627" stopIfTrue="1" operator="equal">
      <formula>"Towel"</formula>
    </cfRule>
    <cfRule type="cellIs" dxfId="1424" priority="1628" stopIfTrue="1" operator="equal">
      <formula>"Napkin Hs"</formula>
    </cfRule>
  </conditionalFormatting>
  <conditionalFormatting sqref="B118">
    <cfRule type="cellIs" dxfId="1423" priority="1621" stopIfTrue="1" operator="equal">
      <formula>"Towel"</formula>
    </cfRule>
    <cfRule type="cellIs" dxfId="1422" priority="1622" stopIfTrue="1" operator="equal">
      <formula>"Napkin Hs"</formula>
    </cfRule>
  </conditionalFormatting>
  <conditionalFormatting sqref="B118">
    <cfRule type="cellIs" dxfId="1421" priority="1625" stopIfTrue="1" operator="equal">
      <formula>"Towel"</formula>
    </cfRule>
    <cfRule type="cellIs" dxfId="1420" priority="1626" stopIfTrue="1" operator="equal">
      <formula>"Napkin Hs"</formula>
    </cfRule>
  </conditionalFormatting>
  <conditionalFormatting sqref="B118">
    <cfRule type="cellIs" dxfId="1419" priority="1623" stopIfTrue="1" operator="equal">
      <formula>"Towel"</formula>
    </cfRule>
    <cfRule type="cellIs" dxfId="1418" priority="1624" stopIfTrue="1" operator="equal">
      <formula>"Napkin Hs"</formula>
    </cfRule>
  </conditionalFormatting>
  <conditionalFormatting sqref="B118">
    <cfRule type="cellIs" dxfId="1417" priority="1619" stopIfTrue="1" operator="equal">
      <formula>"Towel"</formula>
    </cfRule>
    <cfRule type="cellIs" dxfId="1416" priority="1620" stopIfTrue="1" operator="equal">
      <formula>"Napkin Hs"</formula>
    </cfRule>
  </conditionalFormatting>
  <conditionalFormatting sqref="B118">
    <cfRule type="cellIs" dxfId="1415" priority="1617" stopIfTrue="1" operator="equal">
      <formula>"Towel"</formula>
    </cfRule>
    <cfRule type="cellIs" dxfId="1414" priority="1618" stopIfTrue="1" operator="equal">
      <formula>"Napkin Hs"</formula>
    </cfRule>
  </conditionalFormatting>
  <conditionalFormatting sqref="B118">
    <cfRule type="cellIs" dxfId="1413" priority="1613" stopIfTrue="1" operator="equal">
      <formula>"Towel"</formula>
    </cfRule>
    <cfRule type="cellIs" dxfId="1412" priority="1614" stopIfTrue="1" operator="equal">
      <formula>"Napkin Hs"</formula>
    </cfRule>
  </conditionalFormatting>
  <conditionalFormatting sqref="B118">
    <cfRule type="cellIs" dxfId="1411" priority="1611" stopIfTrue="1" operator="equal">
      <formula>"Towel"</formula>
    </cfRule>
    <cfRule type="cellIs" dxfId="1410" priority="1612" stopIfTrue="1" operator="equal">
      <formula>"Napkin Hs"</formula>
    </cfRule>
  </conditionalFormatting>
  <conditionalFormatting sqref="B118">
    <cfRule type="cellIs" dxfId="1409" priority="1615" stopIfTrue="1" operator="equal">
      <formula>"Towel"</formula>
    </cfRule>
    <cfRule type="cellIs" dxfId="1408" priority="1616" stopIfTrue="1" operator="equal">
      <formula>"Napkin Hs"</formula>
    </cfRule>
  </conditionalFormatting>
  <conditionalFormatting sqref="B118">
    <cfRule type="cellIs" dxfId="1407" priority="1609" stopIfTrue="1" operator="equal">
      <formula>"Towel"</formula>
    </cfRule>
    <cfRule type="cellIs" dxfId="1406" priority="1610" stopIfTrue="1" operator="equal">
      <formula>"Napkin Hs"</formula>
    </cfRule>
  </conditionalFormatting>
  <conditionalFormatting sqref="B118">
    <cfRule type="cellIs" dxfId="1405" priority="1607" stopIfTrue="1" operator="equal">
      <formula>"Towel"</formula>
    </cfRule>
    <cfRule type="cellIs" dxfId="1404" priority="1608" stopIfTrue="1" operator="equal">
      <formula>"Napkin Hs"</formula>
    </cfRule>
  </conditionalFormatting>
  <conditionalFormatting sqref="B118">
    <cfRule type="cellIs" dxfId="1403" priority="1605" stopIfTrue="1" operator="equal">
      <formula>"Towel"</formula>
    </cfRule>
    <cfRule type="cellIs" dxfId="1402" priority="1606" stopIfTrue="1" operator="equal">
      <formula>"Napkin Hs"</formula>
    </cfRule>
  </conditionalFormatting>
  <conditionalFormatting sqref="B118">
    <cfRule type="cellIs" dxfId="1401" priority="1603" stopIfTrue="1" operator="equal">
      <formula>"Towel"</formula>
    </cfRule>
    <cfRule type="cellIs" dxfId="1400" priority="1604" stopIfTrue="1" operator="equal">
      <formula>"Napkin Hs"</formula>
    </cfRule>
  </conditionalFormatting>
  <conditionalFormatting sqref="C118">
    <cfRule type="cellIs" dxfId="1399" priority="1599" stopIfTrue="1" operator="equal">
      <formula>"Towel"</formula>
    </cfRule>
    <cfRule type="cellIs" dxfId="1398" priority="1600" stopIfTrue="1" operator="equal">
      <formula>"Napkin Hs"</formula>
    </cfRule>
  </conditionalFormatting>
  <conditionalFormatting sqref="C118">
    <cfRule type="cellIs" dxfId="1397" priority="1601" stopIfTrue="1" operator="equal">
      <formula>"Towel"</formula>
    </cfRule>
    <cfRule type="cellIs" dxfId="1396" priority="1602" stopIfTrue="1" operator="equal">
      <formula>"Napkin Hs"</formula>
    </cfRule>
  </conditionalFormatting>
  <conditionalFormatting sqref="C118">
    <cfRule type="cellIs" dxfId="1395" priority="1595" stopIfTrue="1" operator="equal">
      <formula>"Towel"</formula>
    </cfRule>
    <cfRule type="cellIs" dxfId="1394" priority="1596" stopIfTrue="1" operator="equal">
      <formula>"Napkin Hs"</formula>
    </cfRule>
  </conditionalFormatting>
  <conditionalFormatting sqref="B118:C118">
    <cfRule type="cellIs" dxfId="1393" priority="1597" stopIfTrue="1" operator="equal">
      <formula>"Towel"</formula>
    </cfRule>
    <cfRule type="cellIs" dxfId="1392" priority="1598" stopIfTrue="1" operator="equal">
      <formula>"Napkin Hs"</formula>
    </cfRule>
  </conditionalFormatting>
  <conditionalFormatting sqref="C118">
    <cfRule type="cellIs" dxfId="1391" priority="1593" stopIfTrue="1" operator="equal">
      <formula>"Towel"</formula>
    </cfRule>
    <cfRule type="cellIs" dxfId="1390" priority="1594" stopIfTrue="1" operator="equal">
      <formula>"Napkin Hs"</formula>
    </cfRule>
  </conditionalFormatting>
  <conditionalFormatting sqref="B118:C118">
    <cfRule type="cellIs" dxfId="1389" priority="1591" stopIfTrue="1" operator="equal">
      <formula>"Towel"</formula>
    </cfRule>
    <cfRule type="cellIs" dxfId="1388" priority="1592" stopIfTrue="1" operator="equal">
      <formula>"Napkin Hs"</formula>
    </cfRule>
  </conditionalFormatting>
  <conditionalFormatting sqref="B118:C118">
    <cfRule type="cellIs" dxfId="1387" priority="1589" stopIfTrue="1" operator="equal">
      <formula>"Towel"</formula>
    </cfRule>
    <cfRule type="cellIs" dxfId="1386" priority="1590" stopIfTrue="1" operator="equal">
      <formula>"Napkin Hs"</formula>
    </cfRule>
  </conditionalFormatting>
  <conditionalFormatting sqref="C118">
    <cfRule type="cellIs" dxfId="1385" priority="1583" stopIfTrue="1" operator="equal">
      <formula>"Towel"</formula>
    </cfRule>
    <cfRule type="cellIs" dxfId="1384" priority="1584" stopIfTrue="1" operator="equal">
      <formula>"Napkin Hs"</formula>
    </cfRule>
  </conditionalFormatting>
  <conditionalFormatting sqref="C118">
    <cfRule type="cellIs" dxfId="1383" priority="1585" stopIfTrue="1" operator="equal">
      <formula>"Towel"</formula>
    </cfRule>
    <cfRule type="cellIs" dxfId="1382" priority="1586" stopIfTrue="1" operator="equal">
      <formula>"Napkin Hs"</formula>
    </cfRule>
  </conditionalFormatting>
  <conditionalFormatting sqref="C118">
    <cfRule type="cellIs" dxfId="1381" priority="1581" stopIfTrue="1" operator="equal">
      <formula>"Towel"</formula>
    </cfRule>
    <cfRule type="cellIs" dxfId="1380" priority="1582" stopIfTrue="1" operator="equal">
      <formula>"Napkin Hs"</formula>
    </cfRule>
  </conditionalFormatting>
  <conditionalFormatting sqref="C118">
    <cfRule type="cellIs" dxfId="1379" priority="1579" stopIfTrue="1" operator="equal">
      <formula>"Towel"</formula>
    </cfRule>
    <cfRule type="cellIs" dxfId="1378" priority="1580" stopIfTrue="1" operator="equal">
      <formula>"Napkin Hs"</formula>
    </cfRule>
  </conditionalFormatting>
  <conditionalFormatting sqref="C118">
    <cfRule type="cellIs" dxfId="1377" priority="1575" stopIfTrue="1" operator="equal">
      <formula>"Towel"</formula>
    </cfRule>
    <cfRule type="cellIs" dxfId="1376" priority="1576" stopIfTrue="1" operator="equal">
      <formula>"Napkin Hs"</formula>
    </cfRule>
  </conditionalFormatting>
  <conditionalFormatting sqref="C118">
    <cfRule type="cellIs" dxfId="1375" priority="1577" stopIfTrue="1" operator="equal">
      <formula>"Towel"</formula>
    </cfRule>
    <cfRule type="cellIs" dxfId="1374" priority="1578" stopIfTrue="1" operator="equal">
      <formula>"Napkin Hs"</formula>
    </cfRule>
  </conditionalFormatting>
  <conditionalFormatting sqref="C118">
    <cfRule type="cellIs" dxfId="1373" priority="1573" stopIfTrue="1" operator="equal">
      <formula>"Towel"</formula>
    </cfRule>
    <cfRule type="cellIs" dxfId="1372" priority="1574" stopIfTrue="1" operator="equal">
      <formula>"Napkin Hs"</formula>
    </cfRule>
  </conditionalFormatting>
  <conditionalFormatting sqref="C118">
    <cfRule type="cellIs" dxfId="1371" priority="1557" stopIfTrue="1" operator="equal">
      <formula>"Towel"</formula>
    </cfRule>
    <cfRule type="cellIs" dxfId="1370" priority="1558" stopIfTrue="1" operator="equal">
      <formula>"Napkin Hs"</formula>
    </cfRule>
  </conditionalFormatting>
  <conditionalFormatting sqref="B118">
    <cfRule type="cellIs" dxfId="1369" priority="1555" stopIfTrue="1" operator="equal">
      <formula>"Towel"</formula>
    </cfRule>
    <cfRule type="cellIs" dxfId="1368" priority="1556" stopIfTrue="1" operator="equal">
      <formula>"Napkin Hs"</formula>
    </cfRule>
  </conditionalFormatting>
  <conditionalFormatting sqref="B118">
    <cfRule type="cellIs" dxfId="1367" priority="1571" stopIfTrue="1" operator="equal">
      <formula>"Towel"</formula>
    </cfRule>
    <cfRule type="cellIs" dxfId="1366" priority="1572" stopIfTrue="1" operator="equal">
      <formula>"Napkin Hs"</formula>
    </cfRule>
  </conditionalFormatting>
  <conditionalFormatting sqref="C118">
    <cfRule type="cellIs" dxfId="1365" priority="1567" stopIfTrue="1" operator="equal">
      <formula>"Towel"</formula>
    </cfRule>
    <cfRule type="cellIs" dxfId="1364" priority="1568" stopIfTrue="1" operator="equal">
      <formula>"Napkin Hs"</formula>
    </cfRule>
  </conditionalFormatting>
  <conditionalFormatting sqref="B118">
    <cfRule type="cellIs" dxfId="1363" priority="1569" stopIfTrue="1" operator="equal">
      <formula>"Towel"</formula>
    </cfRule>
    <cfRule type="cellIs" dxfId="1362" priority="1570" stopIfTrue="1" operator="equal">
      <formula>"Napkin Hs"</formula>
    </cfRule>
  </conditionalFormatting>
  <conditionalFormatting sqref="C118">
    <cfRule type="cellIs" dxfId="1361" priority="1563" stopIfTrue="1" operator="equal">
      <formula>"Towel"</formula>
    </cfRule>
    <cfRule type="cellIs" dxfId="1360" priority="1564" stopIfTrue="1" operator="equal">
      <formula>"Napkin Hs"</formula>
    </cfRule>
  </conditionalFormatting>
  <conditionalFormatting sqref="C118">
    <cfRule type="cellIs" dxfId="1359" priority="1565" stopIfTrue="1" operator="equal">
      <formula>"Towel"</formula>
    </cfRule>
    <cfRule type="cellIs" dxfId="1358" priority="1566" stopIfTrue="1" operator="equal">
      <formula>"Napkin Hs"</formula>
    </cfRule>
  </conditionalFormatting>
  <conditionalFormatting sqref="C118">
    <cfRule type="cellIs" dxfId="1357" priority="1561" stopIfTrue="1" operator="equal">
      <formula>"Towel"</formula>
    </cfRule>
    <cfRule type="cellIs" dxfId="1356" priority="1562" stopIfTrue="1" operator="equal">
      <formula>"Napkin Hs"</formula>
    </cfRule>
  </conditionalFormatting>
  <conditionalFormatting sqref="C118">
    <cfRule type="cellIs" dxfId="1355" priority="1559" stopIfTrue="1" operator="equal">
      <formula>"Towel"</formula>
    </cfRule>
    <cfRule type="cellIs" dxfId="1354" priority="1560" stopIfTrue="1" operator="equal">
      <formula>"Napkin Hs"</formula>
    </cfRule>
  </conditionalFormatting>
  <conditionalFormatting sqref="B118">
    <cfRule type="cellIs" dxfId="1353" priority="1553" stopIfTrue="1" operator="equal">
      <formula>"Towel"</formula>
    </cfRule>
    <cfRule type="cellIs" dxfId="1352" priority="1554" stopIfTrue="1" operator="equal">
      <formula>"Napkin Hs"</formula>
    </cfRule>
  </conditionalFormatting>
  <conditionalFormatting sqref="B118:C118">
    <cfRule type="cellIs" dxfId="1351" priority="1551" stopIfTrue="1" operator="equal">
      <formula>"Towel"</formula>
    </cfRule>
    <cfRule type="cellIs" dxfId="1350" priority="1552" stopIfTrue="1" operator="equal">
      <formula>"Napkin Hs"</formula>
    </cfRule>
  </conditionalFormatting>
  <conditionalFormatting sqref="C118">
    <cfRule type="cellIs" dxfId="1349" priority="1549" stopIfTrue="1" operator="equal">
      <formula>"Towel"</formula>
    </cfRule>
    <cfRule type="cellIs" dxfId="1348" priority="1550" stopIfTrue="1" operator="equal">
      <formula>"Napkin Hs"</formula>
    </cfRule>
  </conditionalFormatting>
  <conditionalFormatting sqref="C118">
    <cfRule type="cellIs" dxfId="1347" priority="1547" stopIfTrue="1" operator="equal">
      <formula>"Towel"</formula>
    </cfRule>
    <cfRule type="cellIs" dxfId="1346" priority="1548" stopIfTrue="1" operator="equal">
      <formula>"Napkin Hs"</formula>
    </cfRule>
  </conditionalFormatting>
  <conditionalFormatting sqref="C118">
    <cfRule type="cellIs" dxfId="1345" priority="1537" stopIfTrue="1" operator="equal">
      <formula>"Towel"</formula>
    </cfRule>
    <cfRule type="cellIs" dxfId="1344" priority="1538" stopIfTrue="1" operator="equal">
      <formula>"Napkin Hs"</formula>
    </cfRule>
  </conditionalFormatting>
  <conditionalFormatting sqref="C118">
    <cfRule type="cellIs" dxfId="1343" priority="1539" stopIfTrue="1" operator="equal">
      <formula>"Towel"</formula>
    </cfRule>
    <cfRule type="cellIs" dxfId="1342" priority="1540" stopIfTrue="1" operator="equal">
      <formula>"Napkin Hs"</formula>
    </cfRule>
  </conditionalFormatting>
  <conditionalFormatting sqref="B118:C118">
    <cfRule type="cellIs" dxfId="1341" priority="1535" stopIfTrue="1" operator="equal">
      <formula>"Towel"</formula>
    </cfRule>
    <cfRule type="cellIs" dxfId="1340" priority="1536" stopIfTrue="1" operator="equal">
      <formula>"Napkin Hs"</formula>
    </cfRule>
  </conditionalFormatting>
  <conditionalFormatting sqref="C118">
    <cfRule type="cellIs" dxfId="1339" priority="1533" stopIfTrue="1" operator="equal">
      <formula>"Towel"</formula>
    </cfRule>
    <cfRule type="cellIs" dxfId="1338" priority="1534" stopIfTrue="1" operator="equal">
      <formula>"Napkin Hs"</formula>
    </cfRule>
  </conditionalFormatting>
  <conditionalFormatting sqref="B118:C118">
    <cfRule type="cellIs" dxfId="1337" priority="1529" stopIfTrue="1" operator="equal">
      <formula>"Towel"</formula>
    </cfRule>
    <cfRule type="cellIs" dxfId="1336" priority="1530" stopIfTrue="1" operator="equal">
      <formula>"Napkin Hs"</formula>
    </cfRule>
  </conditionalFormatting>
  <conditionalFormatting sqref="C118">
    <cfRule type="cellIs" dxfId="1335" priority="1531" stopIfTrue="1" operator="equal">
      <formula>"Towel"</formula>
    </cfRule>
    <cfRule type="cellIs" dxfId="1334" priority="1532" stopIfTrue="1" operator="equal">
      <formula>"Napkin Hs"</formula>
    </cfRule>
  </conditionalFormatting>
  <conditionalFormatting sqref="C118">
    <cfRule type="cellIs" dxfId="1333" priority="1588" stopIfTrue="1" operator="equal">
      <formula>"Napkin Hs"</formula>
    </cfRule>
  </conditionalFormatting>
  <conditionalFormatting sqref="C118">
    <cfRule type="cellIs" dxfId="1332" priority="1587" stopIfTrue="1" operator="equal">
      <formula>"Towel"</formula>
    </cfRule>
  </conditionalFormatting>
  <conditionalFormatting sqref="B118:C118">
    <cfRule type="cellIs" dxfId="1331" priority="1545" stopIfTrue="1" operator="equal">
      <formula>"Towel"</formula>
    </cfRule>
    <cfRule type="cellIs" dxfId="1330" priority="1546" stopIfTrue="1" operator="equal">
      <formula>"Napkin Hs"</formula>
    </cfRule>
  </conditionalFormatting>
  <conditionalFormatting sqref="C118">
    <cfRule type="cellIs" dxfId="1329" priority="1543" stopIfTrue="1" operator="equal">
      <formula>"Towel"</formula>
    </cfRule>
    <cfRule type="cellIs" dxfId="1328" priority="1544" stopIfTrue="1" operator="equal">
      <formula>"Napkin Hs"</formula>
    </cfRule>
  </conditionalFormatting>
  <conditionalFormatting sqref="C118">
    <cfRule type="cellIs" dxfId="1327" priority="1541" stopIfTrue="1" operator="equal">
      <formula>"Towel"</formula>
    </cfRule>
    <cfRule type="cellIs" dxfId="1326" priority="1542" stopIfTrue="1" operator="equal">
      <formula>"Napkin Hs"</formula>
    </cfRule>
  </conditionalFormatting>
  <conditionalFormatting sqref="B118:C118">
    <cfRule type="cellIs" dxfId="1325" priority="1525" stopIfTrue="1" operator="equal">
      <formula>"Towel"</formula>
    </cfRule>
    <cfRule type="cellIs" dxfId="1324" priority="1526" stopIfTrue="1" operator="equal">
      <formula>"Napkin Hs"</formula>
    </cfRule>
  </conditionalFormatting>
  <conditionalFormatting sqref="C118">
    <cfRule type="cellIs" dxfId="1323" priority="1527" stopIfTrue="1" operator="equal">
      <formula>"Towel"</formula>
    </cfRule>
    <cfRule type="cellIs" dxfId="1322" priority="1528" stopIfTrue="1" operator="equal">
      <formula>"Napkin Hs"</formula>
    </cfRule>
  </conditionalFormatting>
  <conditionalFormatting sqref="C118">
    <cfRule type="cellIs" dxfId="1321" priority="1523" stopIfTrue="1" operator="equal">
      <formula>"Towel"</formula>
    </cfRule>
    <cfRule type="cellIs" dxfId="1320" priority="1524" stopIfTrue="1" operator="equal">
      <formula>"Napkin Hs"</formula>
    </cfRule>
  </conditionalFormatting>
  <conditionalFormatting sqref="B118:C118">
    <cfRule type="cellIs" dxfId="1319" priority="1521" stopIfTrue="1" operator="equal">
      <formula>"Towel"</formula>
    </cfRule>
    <cfRule type="cellIs" dxfId="1318" priority="1522" stopIfTrue="1" operator="equal">
      <formula>"Napkin Hs"</formula>
    </cfRule>
  </conditionalFormatting>
  <conditionalFormatting sqref="C118">
    <cfRule type="cellIs" dxfId="1317" priority="1517" stopIfTrue="1" operator="equal">
      <formula>"Towel"</formula>
    </cfRule>
    <cfRule type="cellIs" dxfId="1316" priority="1518" stopIfTrue="1" operator="equal">
      <formula>"Napkin Hs"</formula>
    </cfRule>
  </conditionalFormatting>
  <conditionalFormatting sqref="C118">
    <cfRule type="cellIs" dxfId="1315" priority="1519" stopIfTrue="1" operator="equal">
      <formula>"Towel"</formula>
    </cfRule>
    <cfRule type="cellIs" dxfId="1314" priority="1520" stopIfTrue="1" operator="equal">
      <formula>"Napkin Hs"</formula>
    </cfRule>
  </conditionalFormatting>
  <conditionalFormatting sqref="B118:C118">
    <cfRule type="cellIs" dxfId="1313" priority="1513" stopIfTrue="1" operator="equal">
      <formula>"Towel"</formula>
    </cfRule>
    <cfRule type="cellIs" dxfId="1312" priority="1514" stopIfTrue="1" operator="equal">
      <formula>"Napkin Hs"</formula>
    </cfRule>
  </conditionalFormatting>
  <conditionalFormatting sqref="C118">
    <cfRule type="cellIs" dxfId="1311" priority="1515" stopIfTrue="1" operator="equal">
      <formula>"Towel"</formula>
    </cfRule>
    <cfRule type="cellIs" dxfId="1310" priority="1516" stopIfTrue="1" operator="equal">
      <formula>"Napkin Hs"</formula>
    </cfRule>
  </conditionalFormatting>
  <conditionalFormatting sqref="C118">
    <cfRule type="cellIs" dxfId="1309" priority="1511" stopIfTrue="1" operator="equal">
      <formula>"Towel"</formula>
    </cfRule>
    <cfRule type="cellIs" dxfId="1308" priority="1512" stopIfTrue="1" operator="equal">
      <formula>"Napkin Hs"</formula>
    </cfRule>
  </conditionalFormatting>
  <conditionalFormatting sqref="B118:C118">
    <cfRule type="cellIs" dxfId="1307" priority="1509" stopIfTrue="1" operator="equal">
      <formula>"Towel"</formula>
    </cfRule>
    <cfRule type="cellIs" dxfId="1306" priority="1510" stopIfTrue="1" operator="equal">
      <formula>"Napkin Hs"</formula>
    </cfRule>
  </conditionalFormatting>
  <conditionalFormatting sqref="C118">
    <cfRule type="cellIs" dxfId="1305" priority="1505" stopIfTrue="1" operator="equal">
      <formula>"Towel"</formula>
    </cfRule>
    <cfRule type="cellIs" dxfId="1304" priority="1506" stopIfTrue="1" operator="equal">
      <formula>"Napkin Hs"</formula>
    </cfRule>
  </conditionalFormatting>
  <conditionalFormatting sqref="C118">
    <cfRule type="cellIs" dxfId="1303" priority="1507" stopIfTrue="1" operator="equal">
      <formula>"Towel"</formula>
    </cfRule>
    <cfRule type="cellIs" dxfId="1302" priority="1508" stopIfTrue="1" operator="equal">
      <formula>"Napkin Hs"</formula>
    </cfRule>
  </conditionalFormatting>
  <conditionalFormatting sqref="B119">
    <cfRule type="cellIs" dxfId="1301" priority="1503" stopIfTrue="1" operator="equal">
      <formula>"Towel"</formula>
    </cfRule>
    <cfRule type="cellIs" dxfId="1300" priority="1504" stopIfTrue="1" operator="equal">
      <formula>"Napkin Hs"</formula>
    </cfRule>
  </conditionalFormatting>
  <conditionalFormatting sqref="B119">
    <cfRule type="cellIs" dxfId="1299" priority="1501" stopIfTrue="1" operator="equal">
      <formula>"Towel"</formula>
    </cfRule>
    <cfRule type="cellIs" dxfId="1298" priority="1502" stopIfTrue="1" operator="equal">
      <formula>"Napkin Hs"</formula>
    </cfRule>
  </conditionalFormatting>
  <conditionalFormatting sqref="B119">
    <cfRule type="cellIs" dxfId="1297" priority="1499" stopIfTrue="1" operator="equal">
      <formula>"Towel"</formula>
    </cfRule>
    <cfRule type="cellIs" dxfId="1296" priority="1500" stopIfTrue="1" operator="equal">
      <formula>"Napkin Hs"</formula>
    </cfRule>
  </conditionalFormatting>
  <conditionalFormatting sqref="B119">
    <cfRule type="cellIs" dxfId="1295" priority="1497" stopIfTrue="1" operator="equal">
      <formula>"Towel"</formula>
    </cfRule>
    <cfRule type="cellIs" dxfId="1294" priority="1498" stopIfTrue="1" operator="equal">
      <formula>"Napkin Hs"</formula>
    </cfRule>
  </conditionalFormatting>
  <conditionalFormatting sqref="B125:C125">
    <cfRule type="cellIs" dxfId="1293" priority="1495" stopIfTrue="1" operator="equal">
      <formula>"Towel"</formula>
    </cfRule>
    <cfRule type="cellIs" dxfId="1292" priority="1496" stopIfTrue="1" operator="equal">
      <formula>"Napkin Hs"</formula>
    </cfRule>
  </conditionalFormatting>
  <conditionalFormatting sqref="C125">
    <cfRule type="cellIs" dxfId="1291" priority="1491" stopIfTrue="1" operator="equal">
      <formula>"Towel"</formula>
    </cfRule>
    <cfRule type="cellIs" dxfId="1290" priority="1492" stopIfTrue="1" operator="equal">
      <formula>"Napkin Hs"</formula>
    </cfRule>
  </conditionalFormatting>
  <conditionalFormatting sqref="C125">
    <cfRule type="cellIs" dxfId="1289" priority="1493" stopIfTrue="1" operator="equal">
      <formula>"Towel"</formula>
    </cfRule>
    <cfRule type="cellIs" dxfId="1288" priority="1494" stopIfTrue="1" operator="equal">
      <formula>"Napkin Hs"</formula>
    </cfRule>
  </conditionalFormatting>
  <conditionalFormatting sqref="B128:C128">
    <cfRule type="cellIs" dxfId="1287" priority="1489" stopIfTrue="1" operator="equal">
      <formula>"Towel"</formula>
    </cfRule>
    <cfRule type="cellIs" dxfId="1286" priority="1490" stopIfTrue="1" operator="equal">
      <formula>"Napkin Hs"</formula>
    </cfRule>
  </conditionalFormatting>
  <conditionalFormatting sqref="C128">
    <cfRule type="cellIs" dxfId="1285" priority="1469" stopIfTrue="1" operator="equal">
      <formula>"Towel"</formula>
    </cfRule>
    <cfRule type="cellIs" dxfId="1284" priority="1470" stopIfTrue="1" operator="equal">
      <formula>"Napkin Hs"</formula>
    </cfRule>
  </conditionalFormatting>
  <conditionalFormatting sqref="B128:C128">
    <cfRule type="cellIs" dxfId="1283" priority="1467" stopIfTrue="1" operator="equal">
      <formula>"Towel"</formula>
    </cfRule>
    <cfRule type="cellIs" dxfId="1282" priority="1468" stopIfTrue="1" operator="equal">
      <formula>"Napkin Hs"</formula>
    </cfRule>
  </conditionalFormatting>
  <conditionalFormatting sqref="C127">
    <cfRule type="cellIs" dxfId="1281" priority="1465" stopIfTrue="1" operator="equal">
      <formula>"Towel"</formula>
    </cfRule>
    <cfRule type="cellIs" dxfId="1280" priority="1466" stopIfTrue="1" operator="equal">
      <formula>"Napkin Hs"</formula>
    </cfRule>
  </conditionalFormatting>
  <conditionalFormatting sqref="C127">
    <cfRule type="cellIs" dxfId="1279" priority="1457" stopIfTrue="1" operator="equal">
      <formula>"Towel"</formula>
    </cfRule>
    <cfRule type="cellIs" dxfId="1278" priority="1458" stopIfTrue="1" operator="equal">
      <formula>"Napkin Hs"</formula>
    </cfRule>
  </conditionalFormatting>
  <conditionalFormatting sqref="C127">
    <cfRule type="cellIs" dxfId="1277" priority="1455" stopIfTrue="1" operator="equal">
      <formula>"Towel"</formula>
    </cfRule>
    <cfRule type="cellIs" dxfId="1276" priority="1456" stopIfTrue="1" operator="equal">
      <formula>"Napkin Hs"</formula>
    </cfRule>
  </conditionalFormatting>
  <conditionalFormatting sqref="C127">
    <cfRule type="cellIs" dxfId="1275" priority="1453" stopIfTrue="1" operator="equal">
      <formula>"Towel"</formula>
    </cfRule>
    <cfRule type="cellIs" dxfId="1274" priority="1454" stopIfTrue="1" operator="equal">
      <formula>"Napkin Hs"</formula>
    </cfRule>
  </conditionalFormatting>
  <conditionalFormatting sqref="C127">
    <cfRule type="cellIs" dxfId="1273" priority="1447" stopIfTrue="1" operator="equal">
      <formula>"Towel"</formula>
    </cfRule>
    <cfRule type="cellIs" dxfId="1272" priority="1448" stopIfTrue="1" operator="equal">
      <formula>"Napkin Hs"</formula>
    </cfRule>
  </conditionalFormatting>
  <conditionalFormatting sqref="C127">
    <cfRule type="cellIs" dxfId="1271" priority="1449" stopIfTrue="1" operator="equal">
      <formula>"Towel"</formula>
    </cfRule>
    <cfRule type="cellIs" dxfId="1270" priority="1450" stopIfTrue="1" operator="equal">
      <formula>"Napkin Hs"</formula>
    </cfRule>
  </conditionalFormatting>
  <conditionalFormatting sqref="C127">
    <cfRule type="cellIs" dxfId="1269" priority="1451" stopIfTrue="1" operator="equal">
      <formula>"Towel"</formula>
    </cfRule>
    <cfRule type="cellIs" dxfId="1268" priority="1452" stopIfTrue="1" operator="equal">
      <formula>"Napkin Hs"</formula>
    </cfRule>
  </conditionalFormatting>
  <conditionalFormatting sqref="C127">
    <cfRule type="cellIs" dxfId="1267" priority="1463" stopIfTrue="1" operator="equal">
      <formula>"Towel"</formula>
    </cfRule>
    <cfRule type="cellIs" dxfId="1266" priority="1464" stopIfTrue="1" operator="equal">
      <formula>"Napkin Hs"</formula>
    </cfRule>
  </conditionalFormatting>
  <conditionalFormatting sqref="C127">
    <cfRule type="cellIs" dxfId="1265" priority="1461" stopIfTrue="1" operator="equal">
      <formula>"Towel"</formula>
    </cfRule>
    <cfRule type="cellIs" dxfId="1264" priority="1462" stopIfTrue="1" operator="equal">
      <formula>"Napkin Hs"</formula>
    </cfRule>
  </conditionalFormatting>
  <conditionalFormatting sqref="C127">
    <cfRule type="cellIs" dxfId="1263" priority="1459" stopIfTrue="1" operator="equal">
      <formula>"Towel"</formula>
    </cfRule>
    <cfRule type="cellIs" dxfId="1262" priority="1460" stopIfTrue="1" operator="equal">
      <formula>"Napkin Hs"</formula>
    </cfRule>
  </conditionalFormatting>
  <conditionalFormatting sqref="B126:C126">
    <cfRule type="cellIs" dxfId="1261" priority="1433" stopIfTrue="1" operator="equal">
      <formula>"Towel"</formula>
    </cfRule>
    <cfRule type="cellIs" dxfId="1260" priority="1434" stopIfTrue="1" operator="equal">
      <formula>"Napkin Hs"</formula>
    </cfRule>
  </conditionalFormatting>
  <conditionalFormatting sqref="C126">
    <cfRule type="cellIs" dxfId="1259" priority="1431" stopIfTrue="1" operator="equal">
      <formula>"Towel"</formula>
    </cfRule>
    <cfRule type="cellIs" dxfId="1258" priority="1432" stopIfTrue="1" operator="equal">
      <formula>"Napkin Hs"</formula>
    </cfRule>
  </conditionalFormatting>
  <conditionalFormatting sqref="C126">
    <cfRule type="cellIs" dxfId="1257" priority="1429" stopIfTrue="1" operator="equal">
      <formula>"Towel"</formula>
    </cfRule>
    <cfRule type="cellIs" dxfId="1256" priority="1430" stopIfTrue="1" operator="equal">
      <formula>"Napkin Hs"</formula>
    </cfRule>
  </conditionalFormatting>
  <conditionalFormatting sqref="B127">
    <cfRule type="cellIs" dxfId="1255" priority="1439" stopIfTrue="1" operator="equal">
      <formula>"Towel"</formula>
    </cfRule>
    <cfRule type="cellIs" dxfId="1254" priority="1440" stopIfTrue="1" operator="equal">
      <formula>"Napkin Hs"</formula>
    </cfRule>
  </conditionalFormatting>
  <conditionalFormatting sqref="B127">
    <cfRule type="cellIs" dxfId="1253" priority="1437" stopIfTrue="1" operator="equal">
      <formula>"Towel"</formula>
    </cfRule>
    <cfRule type="cellIs" dxfId="1252" priority="1438" stopIfTrue="1" operator="equal">
      <formula>"Napkin Hs"</formula>
    </cfRule>
  </conditionalFormatting>
  <conditionalFormatting sqref="B127">
    <cfRule type="cellIs" dxfId="1251" priority="1435" stopIfTrue="1" operator="equal">
      <formula>"Towel"</formula>
    </cfRule>
    <cfRule type="cellIs" dxfId="1250" priority="1436" stopIfTrue="1" operator="equal">
      <formula>"Napkin Hs"</formula>
    </cfRule>
  </conditionalFormatting>
  <conditionalFormatting sqref="B126:C126">
    <cfRule type="cellIs" dxfId="1249" priority="1427" stopIfTrue="1" operator="equal">
      <formula>"Towel"</formula>
    </cfRule>
    <cfRule type="cellIs" dxfId="1248" priority="1428" stopIfTrue="1" operator="equal">
      <formula>"Napkin Hs"</formula>
    </cfRule>
  </conditionalFormatting>
  <conditionalFormatting sqref="C126">
    <cfRule type="cellIs" dxfId="1247" priority="1425" stopIfTrue="1" operator="equal">
      <formula>"Towel"</formula>
    </cfRule>
    <cfRule type="cellIs" dxfId="1246" priority="1426" stopIfTrue="1" operator="equal">
      <formula>"Napkin Hs"</formula>
    </cfRule>
  </conditionalFormatting>
  <conditionalFormatting sqref="C126">
    <cfRule type="cellIs" dxfId="1245" priority="1423" stopIfTrue="1" operator="equal">
      <formula>"Towel"</formula>
    </cfRule>
    <cfRule type="cellIs" dxfId="1244" priority="1424" stopIfTrue="1" operator="equal">
      <formula>"Napkin Hs"</formula>
    </cfRule>
  </conditionalFormatting>
  <conditionalFormatting sqref="C127">
    <cfRule type="cellIs" dxfId="1243" priority="1445" stopIfTrue="1" operator="equal">
      <formula>"Towel"</formula>
    </cfRule>
    <cfRule type="cellIs" dxfId="1242" priority="1446" stopIfTrue="1" operator="equal">
      <formula>"Napkin Hs"</formula>
    </cfRule>
  </conditionalFormatting>
  <conditionalFormatting sqref="C127">
    <cfRule type="cellIs" dxfId="1241" priority="1443" stopIfTrue="1" operator="equal">
      <formula>"Towel"</formula>
    </cfRule>
    <cfRule type="cellIs" dxfId="1240" priority="1444" stopIfTrue="1" operator="equal">
      <formula>"Napkin Hs"</formula>
    </cfRule>
  </conditionalFormatting>
  <conditionalFormatting sqref="B127">
    <cfRule type="cellIs" dxfId="1239" priority="1441" stopIfTrue="1" operator="equal">
      <formula>"Towel"</formula>
    </cfRule>
    <cfRule type="cellIs" dxfId="1238" priority="1442" stopIfTrue="1" operator="equal">
      <formula>"Napkin Hs"</formula>
    </cfRule>
  </conditionalFormatting>
  <conditionalFormatting sqref="C126">
    <cfRule type="cellIs" dxfId="1237" priority="1415" stopIfTrue="1" operator="equal">
      <formula>"Towel"</formula>
    </cfRule>
    <cfRule type="cellIs" dxfId="1236" priority="1416" stopIfTrue="1" operator="equal">
      <formula>"Napkin Hs"</formula>
    </cfRule>
  </conditionalFormatting>
  <conditionalFormatting sqref="B126:C126">
    <cfRule type="cellIs" dxfId="1235" priority="1417" stopIfTrue="1" operator="equal">
      <formula>"Towel"</formula>
    </cfRule>
    <cfRule type="cellIs" dxfId="1234" priority="1418" stopIfTrue="1" operator="equal">
      <formula>"Napkin Hs"</formula>
    </cfRule>
  </conditionalFormatting>
  <conditionalFormatting sqref="C126">
    <cfRule type="cellIs" dxfId="1233" priority="1413" stopIfTrue="1" operator="equal">
      <formula>"Towel"</formula>
    </cfRule>
    <cfRule type="cellIs" dxfId="1232" priority="1414" stopIfTrue="1" operator="equal">
      <formula>"Napkin Hs"</formula>
    </cfRule>
  </conditionalFormatting>
  <conditionalFormatting sqref="B126:C126">
    <cfRule type="cellIs" dxfId="1231" priority="1411" stopIfTrue="1" operator="equal">
      <formula>"Towel"</formula>
    </cfRule>
    <cfRule type="cellIs" dxfId="1230" priority="1412" stopIfTrue="1" operator="equal">
      <formula>"Napkin Hs"</formula>
    </cfRule>
  </conditionalFormatting>
  <conditionalFormatting sqref="C126">
    <cfRule type="cellIs" dxfId="1229" priority="1419" stopIfTrue="1" operator="equal">
      <formula>"Towel"</formula>
    </cfRule>
    <cfRule type="cellIs" dxfId="1228" priority="1420" stopIfTrue="1" operator="equal">
      <formula>"Napkin Hs"</formula>
    </cfRule>
  </conditionalFormatting>
  <conditionalFormatting sqref="C126">
    <cfRule type="cellIs" dxfId="1227" priority="1421" stopIfTrue="1" operator="equal">
      <formula>"Towel"</formula>
    </cfRule>
    <cfRule type="cellIs" dxfId="1226" priority="1422" stopIfTrue="1" operator="equal">
      <formula>"Napkin Hs"</formula>
    </cfRule>
  </conditionalFormatting>
  <conditionalFormatting sqref="C128">
    <cfRule type="cellIs" dxfId="1225" priority="1485" stopIfTrue="1" operator="equal">
      <formula>"Towel"</formula>
    </cfRule>
    <cfRule type="cellIs" dxfId="1224" priority="1486" stopIfTrue="1" operator="equal">
      <formula>"Napkin Hs"</formula>
    </cfRule>
  </conditionalFormatting>
  <conditionalFormatting sqref="C128">
    <cfRule type="cellIs" dxfId="1223" priority="1487" stopIfTrue="1" operator="equal">
      <formula>"Towel"</formula>
    </cfRule>
    <cfRule type="cellIs" dxfId="1222" priority="1488" stopIfTrue="1" operator="equal">
      <formula>"Napkin Hs"</formula>
    </cfRule>
  </conditionalFormatting>
  <conditionalFormatting sqref="B128:C128">
    <cfRule type="cellIs" dxfId="1221" priority="1483" stopIfTrue="1" operator="equal">
      <formula>"Towel"</formula>
    </cfRule>
    <cfRule type="cellIs" dxfId="1220" priority="1484" stopIfTrue="1" operator="equal">
      <formula>"Napkin Hs"</formula>
    </cfRule>
  </conditionalFormatting>
  <conditionalFormatting sqref="C128">
    <cfRule type="cellIs" dxfId="1219" priority="1481" stopIfTrue="1" operator="equal">
      <formula>"Towel"</formula>
    </cfRule>
    <cfRule type="cellIs" dxfId="1218" priority="1482" stopIfTrue="1" operator="equal">
      <formula>"Napkin Hs"</formula>
    </cfRule>
  </conditionalFormatting>
  <conditionalFormatting sqref="C128">
    <cfRule type="cellIs" dxfId="1217" priority="1479" stopIfTrue="1" operator="equal">
      <formula>"Towel"</formula>
    </cfRule>
    <cfRule type="cellIs" dxfId="1216" priority="1480" stopIfTrue="1" operator="equal">
      <formula>"Napkin Hs"</formula>
    </cfRule>
  </conditionalFormatting>
  <conditionalFormatting sqref="C128">
    <cfRule type="cellIs" dxfId="1215" priority="1471" stopIfTrue="1" operator="equal">
      <formula>"Towel"</formula>
    </cfRule>
    <cfRule type="cellIs" dxfId="1214" priority="1472" stopIfTrue="1" operator="equal">
      <formula>"Napkin Hs"</formula>
    </cfRule>
  </conditionalFormatting>
  <conditionalFormatting sqref="B128:C128">
    <cfRule type="cellIs" dxfId="1213" priority="1473" stopIfTrue="1" operator="equal">
      <formula>"Towel"</formula>
    </cfRule>
    <cfRule type="cellIs" dxfId="1212" priority="1474" stopIfTrue="1" operator="equal">
      <formula>"Napkin Hs"</formula>
    </cfRule>
  </conditionalFormatting>
  <conditionalFormatting sqref="C128">
    <cfRule type="cellIs" dxfId="1211" priority="1475" stopIfTrue="1" operator="equal">
      <formula>"Towel"</formula>
    </cfRule>
    <cfRule type="cellIs" dxfId="1210" priority="1476" stopIfTrue="1" operator="equal">
      <formula>"Napkin Hs"</formula>
    </cfRule>
  </conditionalFormatting>
  <conditionalFormatting sqref="C128">
    <cfRule type="cellIs" dxfId="1209" priority="1477" stopIfTrue="1" operator="equal">
      <formula>"Towel"</formula>
    </cfRule>
    <cfRule type="cellIs" dxfId="1208" priority="1478" stopIfTrue="1" operator="equal">
      <formula>"Napkin Hs"</formula>
    </cfRule>
  </conditionalFormatting>
  <conditionalFormatting sqref="C124">
    <cfRule type="cellIs" dxfId="1207" priority="1403" stopIfTrue="1" operator="equal">
      <formula>"Towel"</formula>
    </cfRule>
    <cfRule type="cellIs" dxfId="1206" priority="1404" stopIfTrue="1" operator="equal">
      <formula>"Napkin Hs"</formula>
    </cfRule>
  </conditionalFormatting>
  <conditionalFormatting sqref="C124">
    <cfRule type="cellIs" dxfId="1205" priority="1401" stopIfTrue="1" operator="equal">
      <formula>"Towel"</formula>
    </cfRule>
    <cfRule type="cellIs" dxfId="1204" priority="1402" stopIfTrue="1" operator="equal">
      <formula>"Napkin Hs"</formula>
    </cfRule>
  </conditionalFormatting>
  <conditionalFormatting sqref="B124:C124">
    <cfRule type="cellIs" dxfId="1203" priority="1399" stopIfTrue="1" operator="equal">
      <formula>"Towel"</formula>
    </cfRule>
    <cfRule type="cellIs" dxfId="1202" priority="1400" stopIfTrue="1" operator="equal">
      <formula>"Napkin Hs"</formula>
    </cfRule>
  </conditionalFormatting>
  <conditionalFormatting sqref="B124:C124">
    <cfRule type="cellIs" dxfId="1201" priority="1409" stopIfTrue="1" operator="equal">
      <formula>"Towel"</formula>
    </cfRule>
    <cfRule type="cellIs" dxfId="1200" priority="1410" stopIfTrue="1" operator="equal">
      <formula>"Napkin Hs"</formula>
    </cfRule>
  </conditionalFormatting>
  <conditionalFormatting sqref="C124">
    <cfRule type="cellIs" dxfId="1199" priority="1407" stopIfTrue="1" operator="equal">
      <formula>"Towel"</formula>
    </cfRule>
    <cfRule type="cellIs" dxfId="1198" priority="1408" stopIfTrue="1" operator="equal">
      <formula>"Napkin Hs"</formula>
    </cfRule>
  </conditionalFormatting>
  <conditionalFormatting sqref="C124">
    <cfRule type="cellIs" dxfId="1197" priority="1405" stopIfTrue="1" operator="equal">
      <formula>"Towel"</formula>
    </cfRule>
    <cfRule type="cellIs" dxfId="1196" priority="1406" stopIfTrue="1" operator="equal">
      <formula>"Napkin Hs"</formula>
    </cfRule>
  </conditionalFormatting>
  <conditionalFormatting sqref="C124">
    <cfRule type="cellIs" dxfId="1195" priority="1397" stopIfTrue="1" operator="equal">
      <formula>"Towel"</formula>
    </cfRule>
    <cfRule type="cellIs" dxfId="1194" priority="1398" stopIfTrue="1" operator="equal">
      <formula>"Napkin Hs"</formula>
    </cfRule>
  </conditionalFormatting>
  <conditionalFormatting sqref="C124">
    <cfRule type="cellIs" dxfId="1193" priority="1395" stopIfTrue="1" operator="equal">
      <formula>"Towel"</formula>
    </cfRule>
    <cfRule type="cellIs" dxfId="1192" priority="1396" stopIfTrue="1" operator="equal">
      <formula>"Napkin Hs"</formula>
    </cfRule>
  </conditionalFormatting>
  <conditionalFormatting sqref="B124:C124">
    <cfRule type="cellIs" dxfId="1191" priority="1393" stopIfTrue="1" operator="equal">
      <formula>"Towel"</formula>
    </cfRule>
    <cfRule type="cellIs" dxfId="1190" priority="1394" stopIfTrue="1" operator="equal">
      <formula>"Napkin Hs"</formula>
    </cfRule>
  </conditionalFormatting>
  <conditionalFormatting sqref="B124">
    <cfRule type="cellIs" dxfId="1189" priority="1391" stopIfTrue="1" operator="equal">
      <formula>"Towel"</formula>
    </cfRule>
    <cfRule type="cellIs" dxfId="1188" priority="1392" stopIfTrue="1" operator="equal">
      <formula>"Napkin Hs"</formula>
    </cfRule>
  </conditionalFormatting>
  <conditionalFormatting sqref="B124">
    <cfRule type="cellIs" dxfId="1187" priority="1389" stopIfTrue="1" operator="equal">
      <formula>"Towel"</formula>
    </cfRule>
    <cfRule type="cellIs" dxfId="1186" priority="1390" stopIfTrue="1" operator="equal">
      <formula>"Napkin Hs"</formula>
    </cfRule>
  </conditionalFormatting>
  <conditionalFormatting sqref="B124">
    <cfRule type="cellIs" dxfId="1185" priority="1387" stopIfTrue="1" operator="equal">
      <formula>"Towel"</formula>
    </cfRule>
    <cfRule type="cellIs" dxfId="1184" priority="1388" stopIfTrue="1" operator="equal">
      <formula>"Napkin Hs"</formula>
    </cfRule>
  </conditionalFormatting>
  <conditionalFormatting sqref="B124:C124">
    <cfRule type="cellIs" dxfId="1183" priority="1385" stopIfTrue="1" operator="equal">
      <formula>"Towel"</formula>
    </cfRule>
    <cfRule type="cellIs" dxfId="1182" priority="1386" stopIfTrue="1" operator="equal">
      <formula>"Napkin Hs"</formula>
    </cfRule>
  </conditionalFormatting>
  <conditionalFormatting sqref="C124">
    <cfRule type="cellIs" dxfId="1181" priority="1383" stopIfTrue="1" operator="equal">
      <formula>"Towel"</formula>
    </cfRule>
    <cfRule type="cellIs" dxfId="1180" priority="1384" stopIfTrue="1" operator="equal">
      <formula>"Napkin Hs"</formula>
    </cfRule>
  </conditionalFormatting>
  <conditionalFormatting sqref="C124">
    <cfRule type="cellIs" dxfId="1179" priority="1381" stopIfTrue="1" operator="equal">
      <formula>"Towel"</formula>
    </cfRule>
    <cfRule type="cellIs" dxfId="1178" priority="1382" stopIfTrue="1" operator="equal">
      <formula>"Napkin Hs"</formula>
    </cfRule>
  </conditionalFormatting>
  <conditionalFormatting sqref="C124">
    <cfRule type="cellIs" dxfId="1177" priority="1373" stopIfTrue="1" operator="equal">
      <formula>"Towel"</formula>
    </cfRule>
    <cfRule type="cellIs" dxfId="1176" priority="1374" stopIfTrue="1" operator="equal">
      <formula>"Napkin Hs"</formula>
    </cfRule>
  </conditionalFormatting>
  <conditionalFormatting sqref="B124:C124">
    <cfRule type="cellIs" dxfId="1175" priority="1375" stopIfTrue="1" operator="equal">
      <formula>"Towel"</formula>
    </cfRule>
    <cfRule type="cellIs" dxfId="1174" priority="1376" stopIfTrue="1" operator="equal">
      <formula>"Napkin Hs"</formula>
    </cfRule>
  </conditionalFormatting>
  <conditionalFormatting sqref="C124">
    <cfRule type="cellIs" dxfId="1173" priority="1371" stopIfTrue="1" operator="equal">
      <formula>"Towel"</formula>
    </cfRule>
    <cfRule type="cellIs" dxfId="1172" priority="1372" stopIfTrue="1" operator="equal">
      <formula>"Napkin Hs"</formula>
    </cfRule>
  </conditionalFormatting>
  <conditionalFormatting sqref="B124:C124">
    <cfRule type="cellIs" dxfId="1171" priority="1369" stopIfTrue="1" operator="equal">
      <formula>"Towel"</formula>
    </cfRule>
    <cfRule type="cellIs" dxfId="1170" priority="1370" stopIfTrue="1" operator="equal">
      <formula>"Napkin Hs"</formula>
    </cfRule>
  </conditionalFormatting>
  <conditionalFormatting sqref="C124">
    <cfRule type="cellIs" dxfId="1169" priority="1377" stopIfTrue="1" operator="equal">
      <formula>"Towel"</formula>
    </cfRule>
    <cfRule type="cellIs" dxfId="1168" priority="1378" stopIfTrue="1" operator="equal">
      <formula>"Napkin Hs"</formula>
    </cfRule>
  </conditionalFormatting>
  <conditionalFormatting sqref="C124">
    <cfRule type="cellIs" dxfId="1167" priority="1379" stopIfTrue="1" operator="equal">
      <formula>"Towel"</formula>
    </cfRule>
    <cfRule type="cellIs" dxfId="1166" priority="1380" stopIfTrue="1" operator="equal">
      <formula>"Napkin Hs"</formula>
    </cfRule>
  </conditionalFormatting>
  <conditionalFormatting sqref="B124:C124">
    <cfRule type="cellIs" dxfId="1165" priority="1365" stopIfTrue="1" operator="equal">
      <formula>"Towel"</formula>
    </cfRule>
    <cfRule type="cellIs" dxfId="1164" priority="1366" stopIfTrue="1" operator="equal">
      <formula>"Napkin Hs"</formula>
    </cfRule>
  </conditionalFormatting>
  <conditionalFormatting sqref="C124">
    <cfRule type="cellIs" dxfId="1163" priority="1367" stopIfTrue="1" operator="equal">
      <formula>"Towel"</formula>
    </cfRule>
    <cfRule type="cellIs" dxfId="1162" priority="1368" stopIfTrue="1" operator="equal">
      <formula>"Napkin Hs"</formula>
    </cfRule>
  </conditionalFormatting>
  <conditionalFormatting sqref="C124">
    <cfRule type="cellIs" dxfId="1161" priority="1363" stopIfTrue="1" operator="equal">
      <formula>"Towel"</formula>
    </cfRule>
    <cfRule type="cellIs" dxfId="1160" priority="1364" stopIfTrue="1" operator="equal">
      <formula>"Napkin Hs"</formula>
    </cfRule>
  </conditionalFormatting>
  <conditionalFormatting sqref="B124">
    <cfRule type="cellIs" dxfId="1159" priority="1359" stopIfTrue="1" operator="equal">
      <formula>"Towel"</formula>
    </cfRule>
    <cfRule type="cellIs" dxfId="1158" priority="1360" stopIfTrue="1" operator="equal">
      <formula>"Napkin Hs"</formula>
    </cfRule>
  </conditionalFormatting>
  <conditionalFormatting sqref="B124">
    <cfRule type="cellIs" dxfId="1157" priority="1361" stopIfTrue="1" operator="equal">
      <formula>"Towel"</formula>
    </cfRule>
    <cfRule type="cellIs" dxfId="1156" priority="1362" stopIfTrue="1" operator="equal">
      <formula>"Napkin Hs"</formula>
    </cfRule>
  </conditionalFormatting>
  <conditionalFormatting sqref="B124">
    <cfRule type="cellIs" dxfId="1155" priority="1357" stopIfTrue="1" operator="equal">
      <formula>"Towel"</formula>
    </cfRule>
    <cfRule type="cellIs" dxfId="1154" priority="1358" stopIfTrue="1" operator="equal">
      <formula>"Napkin Hs"</formula>
    </cfRule>
  </conditionalFormatting>
  <conditionalFormatting sqref="B124:C124">
    <cfRule type="cellIs" dxfId="1153" priority="1355" stopIfTrue="1" operator="equal">
      <formula>"Towel"</formula>
    </cfRule>
    <cfRule type="cellIs" dxfId="1152" priority="1356" stopIfTrue="1" operator="equal">
      <formula>"Napkin Hs"</formula>
    </cfRule>
  </conditionalFormatting>
  <conditionalFormatting sqref="C124">
    <cfRule type="cellIs" dxfId="1151" priority="1353" stopIfTrue="1" operator="equal">
      <formula>"Towel"</formula>
    </cfRule>
    <cfRule type="cellIs" dxfId="1150" priority="1354" stopIfTrue="1" operator="equal">
      <formula>"Napkin Hs"</formula>
    </cfRule>
  </conditionalFormatting>
  <conditionalFormatting sqref="C124">
    <cfRule type="cellIs" dxfId="1149" priority="1351" stopIfTrue="1" operator="equal">
      <formula>"Towel"</formula>
    </cfRule>
    <cfRule type="cellIs" dxfId="1148" priority="1352" stopIfTrue="1" operator="equal">
      <formula>"Napkin Hs"</formula>
    </cfRule>
  </conditionalFormatting>
  <conditionalFormatting sqref="C124">
    <cfRule type="cellIs" dxfId="1147" priority="1343" stopIfTrue="1" operator="equal">
      <formula>"Towel"</formula>
    </cfRule>
    <cfRule type="cellIs" dxfId="1146" priority="1344" stopIfTrue="1" operator="equal">
      <formula>"Napkin Hs"</formula>
    </cfRule>
  </conditionalFormatting>
  <conditionalFormatting sqref="B124:C124">
    <cfRule type="cellIs" dxfId="1145" priority="1345" stopIfTrue="1" operator="equal">
      <formula>"Towel"</formula>
    </cfRule>
    <cfRule type="cellIs" dxfId="1144" priority="1346" stopIfTrue="1" operator="equal">
      <formula>"Napkin Hs"</formula>
    </cfRule>
  </conditionalFormatting>
  <conditionalFormatting sqref="C124">
    <cfRule type="cellIs" dxfId="1143" priority="1341" stopIfTrue="1" operator="equal">
      <formula>"Towel"</formula>
    </cfRule>
    <cfRule type="cellIs" dxfId="1142" priority="1342" stopIfTrue="1" operator="equal">
      <formula>"Napkin Hs"</formula>
    </cfRule>
  </conditionalFormatting>
  <conditionalFormatting sqref="B124:C124">
    <cfRule type="cellIs" dxfId="1141" priority="1339" stopIfTrue="1" operator="equal">
      <formula>"Towel"</formula>
    </cfRule>
    <cfRule type="cellIs" dxfId="1140" priority="1340" stopIfTrue="1" operator="equal">
      <formula>"Napkin Hs"</formula>
    </cfRule>
  </conditionalFormatting>
  <conditionalFormatting sqref="C124">
    <cfRule type="cellIs" dxfId="1139" priority="1347" stopIfTrue="1" operator="equal">
      <formula>"Towel"</formula>
    </cfRule>
    <cfRule type="cellIs" dxfId="1138" priority="1348" stopIfTrue="1" operator="equal">
      <formula>"Napkin Hs"</formula>
    </cfRule>
  </conditionalFormatting>
  <conditionalFormatting sqref="C124">
    <cfRule type="cellIs" dxfId="1137" priority="1349" stopIfTrue="1" operator="equal">
      <formula>"Towel"</formula>
    </cfRule>
    <cfRule type="cellIs" dxfId="1136" priority="1350" stopIfTrue="1" operator="equal">
      <formula>"Napkin Hs"</formula>
    </cfRule>
  </conditionalFormatting>
  <conditionalFormatting sqref="C124">
    <cfRule type="cellIs" dxfId="1135" priority="1335" stopIfTrue="1" operator="equal">
      <formula>"Towel"</formula>
    </cfRule>
    <cfRule type="cellIs" dxfId="1134" priority="1336" stopIfTrue="1" operator="equal">
      <formula>"Napkin Hs"</formula>
    </cfRule>
  </conditionalFormatting>
  <conditionalFormatting sqref="C124">
    <cfRule type="cellIs" dxfId="1133" priority="1337" stopIfTrue="1" operator="equal">
      <formula>"Towel"</formula>
    </cfRule>
    <cfRule type="cellIs" dxfId="1132" priority="1338" stopIfTrue="1" operator="equal">
      <formula>"Napkin Hs"</formula>
    </cfRule>
  </conditionalFormatting>
  <conditionalFormatting sqref="B124:C124">
    <cfRule type="cellIs" dxfId="1131" priority="1333" stopIfTrue="1" operator="equal">
      <formula>"Towel"</formula>
    </cfRule>
    <cfRule type="cellIs" dxfId="1130" priority="1334" stopIfTrue="1" operator="equal">
      <formula>"Napkin Hs"</formula>
    </cfRule>
  </conditionalFormatting>
  <conditionalFormatting sqref="B124:C124">
    <cfRule type="cellIs" dxfId="1129" priority="1327" stopIfTrue="1" operator="equal">
      <formula>"Towel"</formula>
    </cfRule>
    <cfRule type="cellIs" dxfId="1128" priority="1328" stopIfTrue="1" operator="equal">
      <formula>"Napkin Hs"</formula>
    </cfRule>
  </conditionalFormatting>
  <conditionalFormatting sqref="C124">
    <cfRule type="cellIs" dxfId="1127" priority="1329" stopIfTrue="1" operator="equal">
      <formula>"Towel"</formula>
    </cfRule>
    <cfRule type="cellIs" dxfId="1126" priority="1330" stopIfTrue="1" operator="equal">
      <formula>"Napkin Hs"</formula>
    </cfRule>
  </conditionalFormatting>
  <conditionalFormatting sqref="C124">
    <cfRule type="cellIs" dxfId="1125" priority="1331" stopIfTrue="1" operator="equal">
      <formula>"Towel"</formula>
    </cfRule>
    <cfRule type="cellIs" dxfId="1124" priority="1332" stopIfTrue="1" operator="equal">
      <formula>"Napkin Hs"</formula>
    </cfRule>
  </conditionalFormatting>
  <conditionalFormatting sqref="C124">
    <cfRule type="cellIs" dxfId="1123" priority="1299" stopIfTrue="1" operator="equal">
      <formula>"Towel"</formula>
    </cfRule>
    <cfRule type="cellIs" dxfId="1122" priority="1300" stopIfTrue="1" operator="equal">
      <formula>"Napkin Hs"</formula>
    </cfRule>
  </conditionalFormatting>
  <conditionalFormatting sqref="C124">
    <cfRule type="cellIs" dxfId="1121" priority="1301" stopIfTrue="1" operator="equal">
      <formula>"Towel"</formula>
    </cfRule>
    <cfRule type="cellIs" dxfId="1120" priority="1302" stopIfTrue="1" operator="equal">
      <formula>"Napkin Hs"</formula>
    </cfRule>
  </conditionalFormatting>
  <conditionalFormatting sqref="C124">
    <cfRule type="cellIs" dxfId="1119" priority="1297" stopIfTrue="1" operator="equal">
      <formula>"Towel"</formula>
    </cfRule>
    <cfRule type="cellIs" dxfId="1118" priority="1298" stopIfTrue="1" operator="equal">
      <formula>"Napkin Hs"</formula>
    </cfRule>
  </conditionalFormatting>
  <conditionalFormatting sqref="B124">
    <cfRule type="cellIs" dxfId="1117" priority="1291" stopIfTrue="1" operator="equal">
      <formula>"Towel"</formula>
    </cfRule>
    <cfRule type="cellIs" dxfId="1116" priority="1292" stopIfTrue="1" operator="equal">
      <formula>"Napkin Hs"</formula>
    </cfRule>
  </conditionalFormatting>
  <conditionalFormatting sqref="C124">
    <cfRule type="cellIs" dxfId="1115" priority="1293" stopIfTrue="1" operator="equal">
      <formula>"Towel"</formula>
    </cfRule>
    <cfRule type="cellIs" dxfId="1114" priority="1294" stopIfTrue="1" operator="equal">
      <formula>"Napkin Hs"</formula>
    </cfRule>
  </conditionalFormatting>
  <conditionalFormatting sqref="C124">
    <cfRule type="cellIs" dxfId="1113" priority="1295" stopIfTrue="1" operator="equal">
      <formula>"Towel"</formula>
    </cfRule>
    <cfRule type="cellIs" dxfId="1112" priority="1296" stopIfTrue="1" operator="equal">
      <formula>"Napkin Hs"</formula>
    </cfRule>
  </conditionalFormatting>
  <conditionalFormatting sqref="B124:C124">
    <cfRule type="cellIs" dxfId="1111" priority="1245" stopIfTrue="1" operator="equal">
      <formula>"Towel"</formula>
    </cfRule>
    <cfRule type="cellIs" dxfId="1110" priority="1246" stopIfTrue="1" operator="equal">
      <formula>"Napkin Hs"</formula>
    </cfRule>
  </conditionalFormatting>
  <conditionalFormatting sqref="C124">
    <cfRule type="cellIs" dxfId="1109" priority="1247" stopIfTrue="1" operator="equal">
      <formula>"Towel"</formula>
    </cfRule>
    <cfRule type="cellIs" dxfId="1108" priority="1248" stopIfTrue="1" operator="equal">
      <formula>"Napkin Hs"</formula>
    </cfRule>
  </conditionalFormatting>
  <conditionalFormatting sqref="C124">
    <cfRule type="cellIs" dxfId="1107" priority="1243" stopIfTrue="1" operator="equal">
      <formula>"Towel"</formula>
    </cfRule>
    <cfRule type="cellIs" dxfId="1106" priority="1244" stopIfTrue="1" operator="equal">
      <formula>"Napkin Hs"</formula>
    </cfRule>
  </conditionalFormatting>
  <conditionalFormatting sqref="C124">
    <cfRule type="cellIs" dxfId="1105" priority="1241" stopIfTrue="1" operator="equal">
      <formula>"Towel"</formula>
    </cfRule>
    <cfRule type="cellIs" dxfId="1104" priority="1242" stopIfTrue="1" operator="equal">
      <formula>"Napkin Hs"</formula>
    </cfRule>
  </conditionalFormatting>
  <conditionalFormatting sqref="B124">
    <cfRule type="cellIs" dxfId="1103" priority="1289" stopIfTrue="1" operator="equal">
      <formula>"Towel"</formula>
    </cfRule>
    <cfRule type="cellIs" dxfId="1102" priority="1290" stopIfTrue="1" operator="equal">
      <formula>"Napkin Hs"</formula>
    </cfRule>
  </conditionalFormatting>
  <conditionalFormatting sqref="C124">
    <cfRule type="cellIs" dxfId="1101" priority="1285" stopIfTrue="1" operator="equal">
      <formula>"Towel"</formula>
    </cfRule>
    <cfRule type="cellIs" dxfId="1100" priority="1286" stopIfTrue="1" operator="equal">
      <formula>"Napkin Hs"</formula>
    </cfRule>
  </conditionalFormatting>
  <conditionalFormatting sqref="C124">
    <cfRule type="cellIs" dxfId="1099" priority="1279" stopIfTrue="1" operator="equal">
      <formula>"Towel"</formula>
    </cfRule>
    <cfRule type="cellIs" dxfId="1098" priority="1280" stopIfTrue="1" operator="equal">
      <formula>"Napkin Hs"</formula>
    </cfRule>
  </conditionalFormatting>
  <conditionalFormatting sqref="C124">
    <cfRule type="cellIs" dxfId="1097" priority="1283" stopIfTrue="1" operator="equal">
      <formula>"Towel"</formula>
    </cfRule>
    <cfRule type="cellIs" dxfId="1096" priority="1284" stopIfTrue="1" operator="equal">
      <formula>"Napkin Hs"</formula>
    </cfRule>
  </conditionalFormatting>
  <conditionalFormatting sqref="B124:C124">
    <cfRule type="cellIs" dxfId="1095" priority="1281" stopIfTrue="1" operator="equal">
      <formula>"Towel"</formula>
    </cfRule>
    <cfRule type="cellIs" dxfId="1094" priority="1282" stopIfTrue="1" operator="equal">
      <formula>"Napkin Hs"</formula>
    </cfRule>
  </conditionalFormatting>
  <conditionalFormatting sqref="C124">
    <cfRule type="cellIs" dxfId="1093" priority="1273" stopIfTrue="1" operator="equal">
      <formula>"Towel"</formula>
    </cfRule>
    <cfRule type="cellIs" dxfId="1092" priority="1274" stopIfTrue="1" operator="equal">
      <formula>"Napkin Hs"</formula>
    </cfRule>
  </conditionalFormatting>
  <conditionalFormatting sqref="C124">
    <cfRule type="cellIs" dxfId="1091" priority="1275" stopIfTrue="1" operator="equal">
      <formula>"Towel"</formula>
    </cfRule>
    <cfRule type="cellIs" dxfId="1090" priority="1276" stopIfTrue="1" operator="equal">
      <formula>"Napkin Hs"</formula>
    </cfRule>
  </conditionalFormatting>
  <conditionalFormatting sqref="C124">
    <cfRule type="cellIs" dxfId="1089" priority="1277" stopIfTrue="1" operator="equal">
      <formula>"Towel"</formula>
    </cfRule>
    <cfRule type="cellIs" dxfId="1088" priority="1278" stopIfTrue="1" operator="equal">
      <formula>"Napkin Hs"</formula>
    </cfRule>
  </conditionalFormatting>
  <conditionalFormatting sqref="C124">
    <cfRule type="cellIs" dxfId="1087" priority="1267" stopIfTrue="1" operator="equal">
      <formula>"Towel"</formula>
    </cfRule>
    <cfRule type="cellIs" dxfId="1086" priority="1268" stopIfTrue="1" operator="equal">
      <formula>"Napkin Hs"</formula>
    </cfRule>
  </conditionalFormatting>
  <conditionalFormatting sqref="B124:C124">
    <cfRule type="cellIs" dxfId="1085" priority="1271" stopIfTrue="1" operator="equal">
      <formula>"Towel"</formula>
    </cfRule>
    <cfRule type="cellIs" dxfId="1084" priority="1272" stopIfTrue="1" operator="equal">
      <formula>"Napkin Hs"</formula>
    </cfRule>
  </conditionalFormatting>
  <conditionalFormatting sqref="C124">
    <cfRule type="cellIs" dxfId="1083" priority="1269" stopIfTrue="1" operator="equal">
      <formula>"Towel"</formula>
    </cfRule>
    <cfRule type="cellIs" dxfId="1082" priority="1270" stopIfTrue="1" operator="equal">
      <formula>"Napkin Hs"</formula>
    </cfRule>
  </conditionalFormatting>
  <conditionalFormatting sqref="B124:C124">
    <cfRule type="cellIs" dxfId="1081" priority="1261" stopIfTrue="1" operator="equal">
      <formula>"Towel"</formula>
    </cfRule>
    <cfRule type="cellIs" dxfId="1080" priority="1262" stopIfTrue="1" operator="equal">
      <formula>"Napkin Hs"</formula>
    </cfRule>
  </conditionalFormatting>
  <conditionalFormatting sqref="C124">
    <cfRule type="cellIs" dxfId="1079" priority="1263" stopIfTrue="1" operator="equal">
      <formula>"Towel"</formula>
    </cfRule>
    <cfRule type="cellIs" dxfId="1078" priority="1264" stopIfTrue="1" operator="equal">
      <formula>"Napkin Hs"</formula>
    </cfRule>
  </conditionalFormatting>
  <conditionalFormatting sqref="B124:C124">
    <cfRule type="cellIs" dxfId="1077" priority="1265" stopIfTrue="1" operator="equal">
      <formula>"Towel"</formula>
    </cfRule>
    <cfRule type="cellIs" dxfId="1076" priority="1266" stopIfTrue="1" operator="equal">
      <formula>"Napkin Hs"</formula>
    </cfRule>
  </conditionalFormatting>
  <conditionalFormatting sqref="C124">
    <cfRule type="cellIs" dxfId="1075" priority="1259" stopIfTrue="1" operator="equal">
      <formula>"Towel"</formula>
    </cfRule>
    <cfRule type="cellIs" dxfId="1074" priority="1260" stopIfTrue="1" operator="equal">
      <formula>"Napkin Hs"</formula>
    </cfRule>
  </conditionalFormatting>
  <conditionalFormatting sqref="C124">
    <cfRule type="cellIs" dxfId="1073" priority="1255" stopIfTrue="1" operator="equal">
      <formula>"Towel"</formula>
    </cfRule>
    <cfRule type="cellIs" dxfId="1072" priority="1256" stopIfTrue="1" operator="equal">
      <formula>"Napkin Hs"</formula>
    </cfRule>
  </conditionalFormatting>
  <conditionalFormatting sqref="B124:C124">
    <cfRule type="cellIs" dxfId="1071" priority="1257" stopIfTrue="1" operator="equal">
      <formula>"Towel"</formula>
    </cfRule>
    <cfRule type="cellIs" dxfId="1070" priority="1258" stopIfTrue="1" operator="equal">
      <formula>"Napkin Hs"</formula>
    </cfRule>
  </conditionalFormatting>
  <conditionalFormatting sqref="C124">
    <cfRule type="cellIs" dxfId="1069" priority="1253" stopIfTrue="1" operator="equal">
      <formula>"Towel"</formula>
    </cfRule>
    <cfRule type="cellIs" dxfId="1068" priority="1254" stopIfTrue="1" operator="equal">
      <formula>"Napkin Hs"</formula>
    </cfRule>
  </conditionalFormatting>
  <conditionalFormatting sqref="C124">
    <cfRule type="cellIs" dxfId="1067" priority="1251" stopIfTrue="1" operator="equal">
      <formula>"Towel"</formula>
    </cfRule>
    <cfRule type="cellIs" dxfId="1066" priority="1252" stopIfTrue="1" operator="equal">
      <formula>"Napkin Hs"</formula>
    </cfRule>
  </conditionalFormatting>
  <conditionalFormatting sqref="B124:C124">
    <cfRule type="cellIs" dxfId="1065" priority="1249" stopIfTrue="1" operator="equal">
      <formula>"Towel"</formula>
    </cfRule>
    <cfRule type="cellIs" dxfId="1064" priority="1250" stopIfTrue="1" operator="equal">
      <formula>"Napkin Hs"</formula>
    </cfRule>
  </conditionalFormatting>
  <conditionalFormatting sqref="B124:C124">
    <cfRule type="cellIs" dxfId="1063" priority="1325" stopIfTrue="1" operator="equal">
      <formula>"Towel"</formula>
    </cfRule>
    <cfRule type="cellIs" dxfId="1062" priority="1326" stopIfTrue="1" operator="equal">
      <formula>"Napkin Hs"</formula>
    </cfRule>
  </conditionalFormatting>
  <conditionalFormatting sqref="C124">
    <cfRule type="cellIs" dxfId="1061" priority="1321" stopIfTrue="1" operator="equal">
      <formula>"Towel"</formula>
    </cfRule>
    <cfRule type="cellIs" dxfId="1060" priority="1322" stopIfTrue="1" operator="equal">
      <formula>"Napkin Hs"</formula>
    </cfRule>
  </conditionalFormatting>
  <conditionalFormatting sqref="C124">
    <cfRule type="cellIs" dxfId="1059" priority="1324" stopIfTrue="1" operator="equal">
      <formula>"Napkin Hs"</formula>
    </cfRule>
  </conditionalFormatting>
  <conditionalFormatting sqref="C124">
    <cfRule type="cellIs" dxfId="1058" priority="1323" stopIfTrue="1" operator="equal">
      <formula>"Towel"</formula>
    </cfRule>
  </conditionalFormatting>
  <conditionalFormatting sqref="C124">
    <cfRule type="cellIs" dxfId="1057" priority="1315" stopIfTrue="1" operator="equal">
      <formula>"Towel"</formula>
    </cfRule>
    <cfRule type="cellIs" dxfId="1056" priority="1316" stopIfTrue="1" operator="equal">
      <formula>"Napkin Hs"</formula>
    </cfRule>
  </conditionalFormatting>
  <conditionalFormatting sqref="C124">
    <cfRule type="cellIs" dxfId="1055" priority="1319" stopIfTrue="1" operator="equal">
      <formula>"Towel"</formula>
    </cfRule>
    <cfRule type="cellIs" dxfId="1054" priority="1320" stopIfTrue="1" operator="equal">
      <formula>"Napkin Hs"</formula>
    </cfRule>
  </conditionalFormatting>
  <conditionalFormatting sqref="B124">
    <cfRule type="cellIs" dxfId="1053" priority="1305" stopIfTrue="1" operator="equal">
      <formula>"Towel"</formula>
    </cfRule>
    <cfRule type="cellIs" dxfId="1052" priority="1306" stopIfTrue="1" operator="equal">
      <formula>"Napkin Hs"</formula>
    </cfRule>
  </conditionalFormatting>
  <conditionalFormatting sqref="C124">
    <cfRule type="cellIs" dxfId="1051" priority="1317" stopIfTrue="1" operator="equal">
      <formula>"Towel"</formula>
    </cfRule>
    <cfRule type="cellIs" dxfId="1050" priority="1318" stopIfTrue="1" operator="equal">
      <formula>"Napkin Hs"</formula>
    </cfRule>
  </conditionalFormatting>
  <conditionalFormatting sqref="C124">
    <cfRule type="cellIs" dxfId="1049" priority="1309" stopIfTrue="1" operator="equal">
      <formula>"Towel"</formula>
    </cfRule>
    <cfRule type="cellIs" dxfId="1048" priority="1310" stopIfTrue="1" operator="equal">
      <formula>"Napkin Hs"</formula>
    </cfRule>
  </conditionalFormatting>
  <conditionalFormatting sqref="C124">
    <cfRule type="cellIs" dxfId="1047" priority="1311" stopIfTrue="1" operator="equal">
      <formula>"Towel"</formula>
    </cfRule>
    <cfRule type="cellIs" dxfId="1046" priority="1312" stopIfTrue="1" operator="equal">
      <formula>"Napkin Hs"</formula>
    </cfRule>
  </conditionalFormatting>
  <conditionalFormatting sqref="C124">
    <cfRule type="cellIs" dxfId="1045" priority="1313" stopIfTrue="1" operator="equal">
      <formula>"Towel"</formula>
    </cfRule>
    <cfRule type="cellIs" dxfId="1044" priority="1314" stopIfTrue="1" operator="equal">
      <formula>"Napkin Hs"</formula>
    </cfRule>
  </conditionalFormatting>
  <conditionalFormatting sqref="B124">
    <cfRule type="cellIs" dxfId="1043" priority="1307" stopIfTrue="1" operator="equal">
      <formula>"Towel"</formula>
    </cfRule>
    <cfRule type="cellIs" dxfId="1042" priority="1308" stopIfTrue="1" operator="equal">
      <formula>"Napkin Hs"</formula>
    </cfRule>
  </conditionalFormatting>
  <conditionalFormatting sqref="C124">
    <cfRule type="cellIs" dxfId="1041" priority="1303" stopIfTrue="1" operator="equal">
      <formula>"Towel"</formula>
    </cfRule>
    <cfRule type="cellIs" dxfId="1040" priority="1304" stopIfTrue="1" operator="equal">
      <formula>"Napkin Hs"</formula>
    </cfRule>
  </conditionalFormatting>
  <conditionalFormatting sqref="B124:C124">
    <cfRule type="cellIs" dxfId="1039" priority="1287" stopIfTrue="1" operator="equal">
      <formula>"Towel"</formula>
    </cfRule>
    <cfRule type="cellIs" dxfId="1038" priority="1288" stopIfTrue="1" operator="equal">
      <formula>"Napkin Hs"</formula>
    </cfRule>
  </conditionalFormatting>
  <conditionalFormatting sqref="B124">
    <cfRule type="cellIs" dxfId="1037" priority="1239" stopIfTrue="1" operator="equal">
      <formula>"Towel"</formula>
    </cfRule>
    <cfRule type="cellIs" dxfId="1036" priority="1240" stopIfTrue="1" operator="equal">
      <formula>"Napkin Hs"</formula>
    </cfRule>
  </conditionalFormatting>
  <conditionalFormatting sqref="B124">
    <cfRule type="cellIs" dxfId="1035" priority="1237" stopIfTrue="1" operator="equal">
      <formula>"Towel"</formula>
    </cfRule>
    <cfRule type="cellIs" dxfId="1034" priority="1238" stopIfTrue="1" operator="equal">
      <formula>"Napkin Hs"</formula>
    </cfRule>
  </conditionalFormatting>
  <conditionalFormatting sqref="B124">
    <cfRule type="cellIs" dxfId="1033" priority="1235" stopIfTrue="1" operator="equal">
      <formula>"Towel"</formula>
    </cfRule>
    <cfRule type="cellIs" dxfId="1032" priority="1236" stopIfTrue="1" operator="equal">
      <formula>"Napkin Hs"</formula>
    </cfRule>
  </conditionalFormatting>
  <conditionalFormatting sqref="B124">
    <cfRule type="cellIs" dxfId="1031" priority="1229" stopIfTrue="1" operator="equal">
      <formula>"Towel"</formula>
    </cfRule>
    <cfRule type="cellIs" dxfId="1030" priority="1230" stopIfTrue="1" operator="equal">
      <formula>"Napkin Hs"</formula>
    </cfRule>
  </conditionalFormatting>
  <conditionalFormatting sqref="B124">
    <cfRule type="cellIs" dxfId="1029" priority="1233" stopIfTrue="1" operator="equal">
      <formula>"Towel"</formula>
    </cfRule>
    <cfRule type="cellIs" dxfId="1028" priority="1234" stopIfTrue="1" operator="equal">
      <formula>"Napkin Hs"</formula>
    </cfRule>
  </conditionalFormatting>
  <conditionalFormatting sqref="B124">
    <cfRule type="cellIs" dxfId="1027" priority="1231" stopIfTrue="1" operator="equal">
      <formula>"Towel"</formula>
    </cfRule>
    <cfRule type="cellIs" dxfId="1026" priority="1232" stopIfTrue="1" operator="equal">
      <formula>"Napkin Hs"</formula>
    </cfRule>
  </conditionalFormatting>
  <conditionalFormatting sqref="B124">
    <cfRule type="cellIs" dxfId="1025" priority="1227" stopIfTrue="1" operator="equal">
      <formula>"Towel"</formula>
    </cfRule>
    <cfRule type="cellIs" dxfId="1024" priority="1228" stopIfTrue="1" operator="equal">
      <formula>"Napkin Hs"</formula>
    </cfRule>
  </conditionalFormatting>
  <conditionalFormatting sqref="B124">
    <cfRule type="cellIs" dxfId="1023" priority="1225" stopIfTrue="1" operator="equal">
      <formula>"Towel"</formula>
    </cfRule>
    <cfRule type="cellIs" dxfId="1022" priority="1226" stopIfTrue="1" operator="equal">
      <formula>"Napkin Hs"</formula>
    </cfRule>
  </conditionalFormatting>
  <conditionalFormatting sqref="B124">
    <cfRule type="cellIs" dxfId="1021" priority="1221" stopIfTrue="1" operator="equal">
      <formula>"Towel"</formula>
    </cfRule>
    <cfRule type="cellIs" dxfId="1020" priority="1222" stopIfTrue="1" operator="equal">
      <formula>"Napkin Hs"</formula>
    </cfRule>
  </conditionalFormatting>
  <conditionalFormatting sqref="B124">
    <cfRule type="cellIs" dxfId="1019" priority="1219" stopIfTrue="1" operator="equal">
      <formula>"Towel"</formula>
    </cfRule>
    <cfRule type="cellIs" dxfId="1018" priority="1220" stopIfTrue="1" operator="equal">
      <formula>"Napkin Hs"</formula>
    </cfRule>
  </conditionalFormatting>
  <conditionalFormatting sqref="B124">
    <cfRule type="cellIs" dxfId="1017" priority="1223" stopIfTrue="1" operator="equal">
      <formula>"Towel"</formula>
    </cfRule>
    <cfRule type="cellIs" dxfId="1016" priority="1224" stopIfTrue="1" operator="equal">
      <formula>"Napkin Hs"</formula>
    </cfRule>
  </conditionalFormatting>
  <conditionalFormatting sqref="B124">
    <cfRule type="cellIs" dxfId="1015" priority="1217" stopIfTrue="1" operator="equal">
      <formula>"Towel"</formula>
    </cfRule>
    <cfRule type="cellIs" dxfId="1014" priority="1218" stopIfTrue="1" operator="equal">
      <formula>"Napkin Hs"</formula>
    </cfRule>
  </conditionalFormatting>
  <conditionalFormatting sqref="B124">
    <cfRule type="cellIs" dxfId="1013" priority="1215" stopIfTrue="1" operator="equal">
      <formula>"Towel"</formula>
    </cfRule>
    <cfRule type="cellIs" dxfId="1012" priority="1216" stopIfTrue="1" operator="equal">
      <formula>"Napkin Hs"</formula>
    </cfRule>
  </conditionalFormatting>
  <conditionalFormatting sqref="B124">
    <cfRule type="cellIs" dxfId="1011" priority="1213" stopIfTrue="1" operator="equal">
      <formula>"Towel"</formula>
    </cfRule>
    <cfRule type="cellIs" dxfId="1010" priority="1214" stopIfTrue="1" operator="equal">
      <formula>"Napkin Hs"</formula>
    </cfRule>
  </conditionalFormatting>
  <conditionalFormatting sqref="B124">
    <cfRule type="cellIs" dxfId="1009" priority="1211" stopIfTrue="1" operator="equal">
      <formula>"Towel"</formula>
    </cfRule>
    <cfRule type="cellIs" dxfId="1008" priority="1212" stopIfTrue="1" operator="equal">
      <formula>"Napkin Hs"</formula>
    </cfRule>
  </conditionalFormatting>
  <conditionalFormatting sqref="C124">
    <cfRule type="cellIs" dxfId="1007" priority="1207" stopIfTrue="1" operator="equal">
      <formula>"Towel"</formula>
    </cfRule>
    <cfRule type="cellIs" dxfId="1006" priority="1208" stopIfTrue="1" operator="equal">
      <formula>"Napkin Hs"</formula>
    </cfRule>
  </conditionalFormatting>
  <conditionalFormatting sqref="C124">
    <cfRule type="cellIs" dxfId="1005" priority="1209" stopIfTrue="1" operator="equal">
      <formula>"Towel"</formula>
    </cfRule>
    <cfRule type="cellIs" dxfId="1004" priority="1210" stopIfTrue="1" operator="equal">
      <formula>"Napkin Hs"</formula>
    </cfRule>
  </conditionalFormatting>
  <conditionalFormatting sqref="C124">
    <cfRule type="cellIs" dxfId="1003" priority="1203" stopIfTrue="1" operator="equal">
      <formula>"Towel"</formula>
    </cfRule>
    <cfRule type="cellIs" dxfId="1002" priority="1204" stopIfTrue="1" operator="equal">
      <formula>"Napkin Hs"</formula>
    </cfRule>
  </conditionalFormatting>
  <conditionalFormatting sqref="B124:C124">
    <cfRule type="cellIs" dxfId="1001" priority="1205" stopIfTrue="1" operator="equal">
      <formula>"Towel"</formula>
    </cfRule>
    <cfRule type="cellIs" dxfId="1000" priority="1206" stopIfTrue="1" operator="equal">
      <formula>"Napkin Hs"</formula>
    </cfRule>
  </conditionalFormatting>
  <conditionalFormatting sqref="C124">
    <cfRule type="cellIs" dxfId="999" priority="1201" stopIfTrue="1" operator="equal">
      <formula>"Towel"</formula>
    </cfRule>
    <cfRule type="cellIs" dxfId="998" priority="1202" stopIfTrue="1" operator="equal">
      <formula>"Napkin Hs"</formula>
    </cfRule>
  </conditionalFormatting>
  <conditionalFormatting sqref="B124:C124">
    <cfRule type="cellIs" dxfId="997" priority="1199" stopIfTrue="1" operator="equal">
      <formula>"Towel"</formula>
    </cfRule>
    <cfRule type="cellIs" dxfId="996" priority="1200" stopIfTrue="1" operator="equal">
      <formula>"Napkin Hs"</formula>
    </cfRule>
  </conditionalFormatting>
  <conditionalFormatting sqref="B124:C124">
    <cfRule type="cellIs" dxfId="995" priority="1197" stopIfTrue="1" operator="equal">
      <formula>"Towel"</formula>
    </cfRule>
    <cfRule type="cellIs" dxfId="994" priority="1198" stopIfTrue="1" operator="equal">
      <formula>"Napkin Hs"</formula>
    </cfRule>
  </conditionalFormatting>
  <conditionalFormatting sqref="C124">
    <cfRule type="cellIs" dxfId="993" priority="1191" stopIfTrue="1" operator="equal">
      <formula>"Towel"</formula>
    </cfRule>
    <cfRule type="cellIs" dxfId="992" priority="1192" stopIfTrue="1" operator="equal">
      <formula>"Napkin Hs"</formula>
    </cfRule>
  </conditionalFormatting>
  <conditionalFormatting sqref="C124">
    <cfRule type="cellIs" dxfId="991" priority="1193" stopIfTrue="1" operator="equal">
      <formula>"Towel"</formula>
    </cfRule>
    <cfRule type="cellIs" dxfId="990" priority="1194" stopIfTrue="1" operator="equal">
      <formula>"Napkin Hs"</formula>
    </cfRule>
  </conditionalFormatting>
  <conditionalFormatting sqref="C124">
    <cfRule type="cellIs" dxfId="989" priority="1189" stopIfTrue="1" operator="equal">
      <formula>"Towel"</formula>
    </cfRule>
    <cfRule type="cellIs" dxfId="988" priority="1190" stopIfTrue="1" operator="equal">
      <formula>"Napkin Hs"</formula>
    </cfRule>
  </conditionalFormatting>
  <conditionalFormatting sqref="C124">
    <cfRule type="cellIs" dxfId="987" priority="1187" stopIfTrue="1" operator="equal">
      <formula>"Towel"</formula>
    </cfRule>
    <cfRule type="cellIs" dxfId="986" priority="1188" stopIfTrue="1" operator="equal">
      <formula>"Napkin Hs"</formula>
    </cfRule>
  </conditionalFormatting>
  <conditionalFormatting sqref="C124">
    <cfRule type="cellIs" dxfId="985" priority="1183" stopIfTrue="1" operator="equal">
      <formula>"Towel"</formula>
    </cfRule>
    <cfRule type="cellIs" dxfId="984" priority="1184" stopIfTrue="1" operator="equal">
      <formula>"Napkin Hs"</formula>
    </cfRule>
  </conditionalFormatting>
  <conditionalFormatting sqref="C124">
    <cfRule type="cellIs" dxfId="983" priority="1185" stopIfTrue="1" operator="equal">
      <formula>"Towel"</formula>
    </cfRule>
    <cfRule type="cellIs" dxfId="982" priority="1186" stopIfTrue="1" operator="equal">
      <formula>"Napkin Hs"</formula>
    </cfRule>
  </conditionalFormatting>
  <conditionalFormatting sqref="C124">
    <cfRule type="cellIs" dxfId="981" priority="1181" stopIfTrue="1" operator="equal">
      <formula>"Towel"</formula>
    </cfRule>
    <cfRule type="cellIs" dxfId="980" priority="1182" stopIfTrue="1" operator="equal">
      <formula>"Napkin Hs"</formula>
    </cfRule>
  </conditionalFormatting>
  <conditionalFormatting sqref="C124">
    <cfRule type="cellIs" dxfId="979" priority="1165" stopIfTrue="1" operator="equal">
      <formula>"Towel"</formula>
    </cfRule>
    <cfRule type="cellIs" dxfId="978" priority="1166" stopIfTrue="1" operator="equal">
      <formula>"Napkin Hs"</formula>
    </cfRule>
  </conditionalFormatting>
  <conditionalFormatting sqref="B124">
    <cfRule type="cellIs" dxfId="977" priority="1163" stopIfTrue="1" operator="equal">
      <formula>"Towel"</formula>
    </cfRule>
    <cfRule type="cellIs" dxfId="976" priority="1164" stopIfTrue="1" operator="equal">
      <formula>"Napkin Hs"</formula>
    </cfRule>
  </conditionalFormatting>
  <conditionalFormatting sqref="B124">
    <cfRule type="cellIs" dxfId="975" priority="1179" stopIfTrue="1" operator="equal">
      <formula>"Towel"</formula>
    </cfRule>
    <cfRule type="cellIs" dxfId="974" priority="1180" stopIfTrue="1" operator="equal">
      <formula>"Napkin Hs"</formula>
    </cfRule>
  </conditionalFormatting>
  <conditionalFormatting sqref="C124">
    <cfRule type="cellIs" dxfId="973" priority="1175" stopIfTrue="1" operator="equal">
      <formula>"Towel"</formula>
    </cfRule>
    <cfRule type="cellIs" dxfId="972" priority="1176" stopIfTrue="1" operator="equal">
      <formula>"Napkin Hs"</formula>
    </cfRule>
  </conditionalFormatting>
  <conditionalFormatting sqref="B124">
    <cfRule type="cellIs" dxfId="971" priority="1177" stopIfTrue="1" operator="equal">
      <formula>"Towel"</formula>
    </cfRule>
    <cfRule type="cellIs" dxfId="970" priority="1178" stopIfTrue="1" operator="equal">
      <formula>"Napkin Hs"</formula>
    </cfRule>
  </conditionalFormatting>
  <conditionalFormatting sqref="C124">
    <cfRule type="cellIs" dxfId="969" priority="1171" stopIfTrue="1" operator="equal">
      <formula>"Towel"</formula>
    </cfRule>
    <cfRule type="cellIs" dxfId="968" priority="1172" stopIfTrue="1" operator="equal">
      <formula>"Napkin Hs"</formula>
    </cfRule>
  </conditionalFormatting>
  <conditionalFormatting sqref="C124">
    <cfRule type="cellIs" dxfId="967" priority="1173" stopIfTrue="1" operator="equal">
      <formula>"Towel"</formula>
    </cfRule>
    <cfRule type="cellIs" dxfId="966" priority="1174" stopIfTrue="1" operator="equal">
      <formula>"Napkin Hs"</formula>
    </cfRule>
  </conditionalFormatting>
  <conditionalFormatting sqref="C124">
    <cfRule type="cellIs" dxfId="965" priority="1169" stopIfTrue="1" operator="equal">
      <formula>"Towel"</formula>
    </cfRule>
    <cfRule type="cellIs" dxfId="964" priority="1170" stopIfTrue="1" operator="equal">
      <formula>"Napkin Hs"</formula>
    </cfRule>
  </conditionalFormatting>
  <conditionalFormatting sqref="C124">
    <cfRule type="cellIs" dxfId="963" priority="1167" stopIfTrue="1" operator="equal">
      <formula>"Towel"</formula>
    </cfRule>
    <cfRule type="cellIs" dxfId="962" priority="1168" stopIfTrue="1" operator="equal">
      <formula>"Napkin Hs"</formula>
    </cfRule>
  </conditionalFormatting>
  <conditionalFormatting sqref="B124">
    <cfRule type="cellIs" dxfId="961" priority="1161" stopIfTrue="1" operator="equal">
      <formula>"Towel"</formula>
    </cfRule>
    <cfRule type="cellIs" dxfId="960" priority="1162" stopIfTrue="1" operator="equal">
      <formula>"Napkin Hs"</formula>
    </cfRule>
  </conditionalFormatting>
  <conditionalFormatting sqref="B124:C124">
    <cfRule type="cellIs" dxfId="959" priority="1159" stopIfTrue="1" operator="equal">
      <formula>"Towel"</formula>
    </cfRule>
    <cfRule type="cellIs" dxfId="958" priority="1160" stopIfTrue="1" operator="equal">
      <formula>"Napkin Hs"</formula>
    </cfRule>
  </conditionalFormatting>
  <conditionalFormatting sqref="C124">
    <cfRule type="cellIs" dxfId="957" priority="1157" stopIfTrue="1" operator="equal">
      <formula>"Towel"</formula>
    </cfRule>
    <cfRule type="cellIs" dxfId="956" priority="1158" stopIfTrue="1" operator="equal">
      <formula>"Napkin Hs"</formula>
    </cfRule>
  </conditionalFormatting>
  <conditionalFormatting sqref="C124">
    <cfRule type="cellIs" dxfId="955" priority="1155" stopIfTrue="1" operator="equal">
      <formula>"Towel"</formula>
    </cfRule>
    <cfRule type="cellIs" dxfId="954" priority="1156" stopIfTrue="1" operator="equal">
      <formula>"Napkin Hs"</formula>
    </cfRule>
  </conditionalFormatting>
  <conditionalFormatting sqref="C124">
    <cfRule type="cellIs" dxfId="953" priority="1145" stopIfTrue="1" operator="equal">
      <formula>"Towel"</formula>
    </cfRule>
    <cfRule type="cellIs" dxfId="952" priority="1146" stopIfTrue="1" operator="equal">
      <formula>"Napkin Hs"</formula>
    </cfRule>
  </conditionalFormatting>
  <conditionalFormatting sqref="C124">
    <cfRule type="cellIs" dxfId="951" priority="1147" stopIfTrue="1" operator="equal">
      <formula>"Towel"</formula>
    </cfRule>
    <cfRule type="cellIs" dxfId="950" priority="1148" stopIfTrue="1" operator="equal">
      <formula>"Napkin Hs"</formula>
    </cfRule>
  </conditionalFormatting>
  <conditionalFormatting sqref="B124:C124">
    <cfRule type="cellIs" dxfId="949" priority="1143" stopIfTrue="1" operator="equal">
      <formula>"Towel"</formula>
    </cfRule>
    <cfRule type="cellIs" dxfId="948" priority="1144" stopIfTrue="1" operator="equal">
      <formula>"Napkin Hs"</formula>
    </cfRule>
  </conditionalFormatting>
  <conditionalFormatting sqref="C124">
    <cfRule type="cellIs" dxfId="947" priority="1141" stopIfTrue="1" operator="equal">
      <formula>"Towel"</formula>
    </cfRule>
    <cfRule type="cellIs" dxfId="946" priority="1142" stopIfTrue="1" operator="equal">
      <formula>"Napkin Hs"</formula>
    </cfRule>
  </conditionalFormatting>
  <conditionalFormatting sqref="B124:C124">
    <cfRule type="cellIs" dxfId="945" priority="1137" stopIfTrue="1" operator="equal">
      <formula>"Towel"</formula>
    </cfRule>
    <cfRule type="cellIs" dxfId="944" priority="1138" stopIfTrue="1" operator="equal">
      <formula>"Napkin Hs"</formula>
    </cfRule>
  </conditionalFormatting>
  <conditionalFormatting sqref="C124">
    <cfRule type="cellIs" dxfId="943" priority="1139" stopIfTrue="1" operator="equal">
      <formula>"Towel"</formula>
    </cfRule>
    <cfRule type="cellIs" dxfId="942" priority="1140" stopIfTrue="1" operator="equal">
      <formula>"Napkin Hs"</formula>
    </cfRule>
  </conditionalFormatting>
  <conditionalFormatting sqref="C124">
    <cfRule type="cellIs" dxfId="941" priority="1196" stopIfTrue="1" operator="equal">
      <formula>"Napkin Hs"</formula>
    </cfRule>
  </conditionalFormatting>
  <conditionalFormatting sqref="C124">
    <cfRule type="cellIs" dxfId="940" priority="1195" stopIfTrue="1" operator="equal">
      <formula>"Towel"</formula>
    </cfRule>
  </conditionalFormatting>
  <conditionalFormatting sqref="B124:C124">
    <cfRule type="cellIs" dxfId="939" priority="1153" stopIfTrue="1" operator="equal">
      <formula>"Towel"</formula>
    </cfRule>
    <cfRule type="cellIs" dxfId="938" priority="1154" stopIfTrue="1" operator="equal">
      <formula>"Napkin Hs"</formula>
    </cfRule>
  </conditionalFormatting>
  <conditionalFormatting sqref="C124">
    <cfRule type="cellIs" dxfId="937" priority="1151" stopIfTrue="1" operator="equal">
      <formula>"Towel"</formula>
    </cfRule>
    <cfRule type="cellIs" dxfId="936" priority="1152" stopIfTrue="1" operator="equal">
      <formula>"Napkin Hs"</formula>
    </cfRule>
  </conditionalFormatting>
  <conditionalFormatting sqref="C124">
    <cfRule type="cellIs" dxfId="935" priority="1149" stopIfTrue="1" operator="equal">
      <formula>"Towel"</formula>
    </cfRule>
    <cfRule type="cellIs" dxfId="934" priority="1150" stopIfTrue="1" operator="equal">
      <formula>"Napkin Hs"</formula>
    </cfRule>
  </conditionalFormatting>
  <conditionalFormatting sqref="B124:C124">
    <cfRule type="cellIs" dxfId="933" priority="1133" stopIfTrue="1" operator="equal">
      <formula>"Towel"</formula>
    </cfRule>
    <cfRule type="cellIs" dxfId="932" priority="1134" stopIfTrue="1" operator="equal">
      <formula>"Napkin Hs"</formula>
    </cfRule>
  </conditionalFormatting>
  <conditionalFormatting sqref="C124">
    <cfRule type="cellIs" dxfId="931" priority="1135" stopIfTrue="1" operator="equal">
      <formula>"Towel"</formula>
    </cfRule>
    <cfRule type="cellIs" dxfId="930" priority="1136" stopIfTrue="1" operator="equal">
      <formula>"Napkin Hs"</formula>
    </cfRule>
  </conditionalFormatting>
  <conditionalFormatting sqref="C124">
    <cfRule type="cellIs" dxfId="929" priority="1131" stopIfTrue="1" operator="equal">
      <formula>"Towel"</formula>
    </cfRule>
    <cfRule type="cellIs" dxfId="928" priority="1132" stopIfTrue="1" operator="equal">
      <formula>"Napkin Hs"</formula>
    </cfRule>
  </conditionalFormatting>
  <conditionalFormatting sqref="B124:C124">
    <cfRule type="cellIs" dxfId="927" priority="1129" stopIfTrue="1" operator="equal">
      <formula>"Towel"</formula>
    </cfRule>
    <cfRule type="cellIs" dxfId="926" priority="1130" stopIfTrue="1" operator="equal">
      <formula>"Napkin Hs"</formula>
    </cfRule>
  </conditionalFormatting>
  <conditionalFormatting sqref="C124">
    <cfRule type="cellIs" dxfId="925" priority="1125" stopIfTrue="1" operator="equal">
      <formula>"Towel"</formula>
    </cfRule>
    <cfRule type="cellIs" dxfId="924" priority="1126" stopIfTrue="1" operator="equal">
      <formula>"Napkin Hs"</formula>
    </cfRule>
  </conditionalFormatting>
  <conditionalFormatting sqref="C124">
    <cfRule type="cellIs" dxfId="923" priority="1127" stopIfTrue="1" operator="equal">
      <formula>"Towel"</formula>
    </cfRule>
    <cfRule type="cellIs" dxfId="922" priority="1128" stopIfTrue="1" operator="equal">
      <formula>"Napkin Hs"</formula>
    </cfRule>
  </conditionalFormatting>
  <conditionalFormatting sqref="B124:C124">
    <cfRule type="cellIs" dxfId="921" priority="1121" stopIfTrue="1" operator="equal">
      <formula>"Towel"</formula>
    </cfRule>
    <cfRule type="cellIs" dxfId="920" priority="1122" stopIfTrue="1" operator="equal">
      <formula>"Napkin Hs"</formula>
    </cfRule>
  </conditionalFormatting>
  <conditionalFormatting sqref="C124">
    <cfRule type="cellIs" dxfId="919" priority="1123" stopIfTrue="1" operator="equal">
      <formula>"Towel"</formula>
    </cfRule>
    <cfRule type="cellIs" dxfId="918" priority="1124" stopIfTrue="1" operator="equal">
      <formula>"Napkin Hs"</formula>
    </cfRule>
  </conditionalFormatting>
  <conditionalFormatting sqref="C124">
    <cfRule type="cellIs" dxfId="917" priority="1119" stopIfTrue="1" operator="equal">
      <formula>"Towel"</formula>
    </cfRule>
    <cfRule type="cellIs" dxfId="916" priority="1120" stopIfTrue="1" operator="equal">
      <formula>"Napkin Hs"</formula>
    </cfRule>
  </conditionalFormatting>
  <conditionalFormatting sqref="B124:C124">
    <cfRule type="cellIs" dxfId="915" priority="1117" stopIfTrue="1" operator="equal">
      <formula>"Towel"</formula>
    </cfRule>
    <cfRule type="cellIs" dxfId="914" priority="1118" stopIfTrue="1" operator="equal">
      <formula>"Napkin Hs"</formula>
    </cfRule>
  </conditionalFormatting>
  <conditionalFormatting sqref="C124">
    <cfRule type="cellIs" dxfId="913" priority="1113" stopIfTrue="1" operator="equal">
      <formula>"Towel"</formula>
    </cfRule>
    <cfRule type="cellIs" dxfId="912" priority="1114" stopIfTrue="1" operator="equal">
      <formula>"Napkin Hs"</formula>
    </cfRule>
  </conditionalFormatting>
  <conditionalFormatting sqref="C124">
    <cfRule type="cellIs" dxfId="911" priority="1115" stopIfTrue="1" operator="equal">
      <formula>"Towel"</formula>
    </cfRule>
    <cfRule type="cellIs" dxfId="910" priority="1116" stopIfTrue="1" operator="equal">
      <formula>"Napkin Hs"</formula>
    </cfRule>
  </conditionalFormatting>
  <conditionalFormatting sqref="C122">
    <cfRule type="cellIs" dxfId="909" priority="1105" stopIfTrue="1" operator="equal">
      <formula>"Towel"</formula>
    </cfRule>
    <cfRule type="cellIs" dxfId="908" priority="1106" stopIfTrue="1" operator="equal">
      <formula>"Napkin Hs"</formula>
    </cfRule>
  </conditionalFormatting>
  <conditionalFormatting sqref="C122">
    <cfRule type="cellIs" dxfId="907" priority="1103" stopIfTrue="1" operator="equal">
      <formula>"Towel"</formula>
    </cfRule>
    <cfRule type="cellIs" dxfId="906" priority="1104" stopIfTrue="1" operator="equal">
      <formula>"Napkin Hs"</formula>
    </cfRule>
  </conditionalFormatting>
  <conditionalFormatting sqref="B122:C122">
    <cfRule type="cellIs" dxfId="905" priority="1101" stopIfTrue="1" operator="equal">
      <formula>"Towel"</formula>
    </cfRule>
    <cfRule type="cellIs" dxfId="904" priority="1102" stopIfTrue="1" operator="equal">
      <formula>"Napkin Hs"</formula>
    </cfRule>
  </conditionalFormatting>
  <conditionalFormatting sqref="B122:C122">
    <cfRule type="cellIs" dxfId="903" priority="1111" stopIfTrue="1" operator="equal">
      <formula>"Towel"</formula>
    </cfRule>
    <cfRule type="cellIs" dxfId="902" priority="1112" stopIfTrue="1" operator="equal">
      <formula>"Napkin Hs"</formula>
    </cfRule>
  </conditionalFormatting>
  <conditionalFormatting sqref="C122">
    <cfRule type="cellIs" dxfId="901" priority="1109" stopIfTrue="1" operator="equal">
      <formula>"Towel"</formula>
    </cfRule>
    <cfRule type="cellIs" dxfId="900" priority="1110" stopIfTrue="1" operator="equal">
      <formula>"Napkin Hs"</formula>
    </cfRule>
  </conditionalFormatting>
  <conditionalFormatting sqref="C122">
    <cfRule type="cellIs" dxfId="899" priority="1107" stopIfTrue="1" operator="equal">
      <formula>"Towel"</formula>
    </cfRule>
    <cfRule type="cellIs" dxfId="898" priority="1108" stopIfTrue="1" operator="equal">
      <formula>"Napkin Hs"</formula>
    </cfRule>
  </conditionalFormatting>
  <conditionalFormatting sqref="C122">
    <cfRule type="cellIs" dxfId="897" priority="1099" stopIfTrue="1" operator="equal">
      <formula>"Towel"</formula>
    </cfRule>
    <cfRule type="cellIs" dxfId="896" priority="1100" stopIfTrue="1" operator="equal">
      <formula>"Napkin Hs"</formula>
    </cfRule>
  </conditionalFormatting>
  <conditionalFormatting sqref="C122">
    <cfRule type="cellIs" dxfId="895" priority="1097" stopIfTrue="1" operator="equal">
      <formula>"Towel"</formula>
    </cfRule>
    <cfRule type="cellIs" dxfId="894" priority="1098" stopIfTrue="1" operator="equal">
      <formula>"Napkin Hs"</formula>
    </cfRule>
  </conditionalFormatting>
  <conditionalFormatting sqref="B122:C122">
    <cfRule type="cellIs" dxfId="893" priority="1095" stopIfTrue="1" operator="equal">
      <formula>"Towel"</formula>
    </cfRule>
    <cfRule type="cellIs" dxfId="892" priority="1096" stopIfTrue="1" operator="equal">
      <formula>"Napkin Hs"</formula>
    </cfRule>
  </conditionalFormatting>
  <conditionalFormatting sqref="B122">
    <cfRule type="cellIs" dxfId="891" priority="1093" stopIfTrue="1" operator="equal">
      <formula>"Towel"</formula>
    </cfRule>
    <cfRule type="cellIs" dxfId="890" priority="1094" stopIfTrue="1" operator="equal">
      <formula>"Napkin Hs"</formula>
    </cfRule>
  </conditionalFormatting>
  <conditionalFormatting sqref="B122">
    <cfRule type="cellIs" dxfId="889" priority="1091" stopIfTrue="1" operator="equal">
      <formula>"Towel"</formula>
    </cfRule>
    <cfRule type="cellIs" dxfId="888" priority="1092" stopIfTrue="1" operator="equal">
      <formula>"Napkin Hs"</formula>
    </cfRule>
  </conditionalFormatting>
  <conditionalFormatting sqref="B122">
    <cfRule type="cellIs" dxfId="887" priority="1089" stopIfTrue="1" operator="equal">
      <formula>"Towel"</formula>
    </cfRule>
    <cfRule type="cellIs" dxfId="886" priority="1090" stopIfTrue="1" operator="equal">
      <formula>"Napkin Hs"</formula>
    </cfRule>
  </conditionalFormatting>
  <conditionalFormatting sqref="B122:C122">
    <cfRule type="cellIs" dxfId="885" priority="1087" stopIfTrue="1" operator="equal">
      <formula>"Towel"</formula>
    </cfRule>
    <cfRule type="cellIs" dxfId="884" priority="1088" stopIfTrue="1" operator="equal">
      <formula>"Napkin Hs"</formula>
    </cfRule>
  </conditionalFormatting>
  <conditionalFormatting sqref="C122">
    <cfRule type="cellIs" dxfId="883" priority="1085" stopIfTrue="1" operator="equal">
      <formula>"Towel"</formula>
    </cfRule>
    <cfRule type="cellIs" dxfId="882" priority="1086" stopIfTrue="1" operator="equal">
      <formula>"Napkin Hs"</formula>
    </cfRule>
  </conditionalFormatting>
  <conditionalFormatting sqref="C122">
    <cfRule type="cellIs" dxfId="881" priority="1083" stopIfTrue="1" operator="equal">
      <formula>"Towel"</formula>
    </cfRule>
    <cfRule type="cellIs" dxfId="880" priority="1084" stopIfTrue="1" operator="equal">
      <formula>"Napkin Hs"</formula>
    </cfRule>
  </conditionalFormatting>
  <conditionalFormatting sqref="C122">
    <cfRule type="cellIs" dxfId="879" priority="1075" stopIfTrue="1" operator="equal">
      <formula>"Towel"</formula>
    </cfRule>
    <cfRule type="cellIs" dxfId="878" priority="1076" stopIfTrue="1" operator="equal">
      <formula>"Napkin Hs"</formula>
    </cfRule>
  </conditionalFormatting>
  <conditionalFormatting sqref="B122:C122">
    <cfRule type="cellIs" dxfId="877" priority="1077" stopIfTrue="1" operator="equal">
      <formula>"Towel"</formula>
    </cfRule>
    <cfRule type="cellIs" dxfId="876" priority="1078" stopIfTrue="1" operator="equal">
      <formula>"Napkin Hs"</formula>
    </cfRule>
  </conditionalFormatting>
  <conditionalFormatting sqref="C122">
    <cfRule type="cellIs" dxfId="875" priority="1073" stopIfTrue="1" operator="equal">
      <formula>"Towel"</formula>
    </cfRule>
    <cfRule type="cellIs" dxfId="874" priority="1074" stopIfTrue="1" operator="equal">
      <formula>"Napkin Hs"</formula>
    </cfRule>
  </conditionalFormatting>
  <conditionalFormatting sqref="B122:C122">
    <cfRule type="cellIs" dxfId="873" priority="1071" stopIfTrue="1" operator="equal">
      <formula>"Towel"</formula>
    </cfRule>
    <cfRule type="cellIs" dxfId="872" priority="1072" stopIfTrue="1" operator="equal">
      <formula>"Napkin Hs"</formula>
    </cfRule>
  </conditionalFormatting>
  <conditionalFormatting sqref="C122">
    <cfRule type="cellIs" dxfId="871" priority="1079" stopIfTrue="1" operator="equal">
      <formula>"Towel"</formula>
    </cfRule>
    <cfRule type="cellIs" dxfId="870" priority="1080" stopIfTrue="1" operator="equal">
      <formula>"Napkin Hs"</formula>
    </cfRule>
  </conditionalFormatting>
  <conditionalFormatting sqref="C122">
    <cfRule type="cellIs" dxfId="869" priority="1081" stopIfTrue="1" operator="equal">
      <formula>"Towel"</formula>
    </cfRule>
    <cfRule type="cellIs" dxfId="868" priority="1082" stopIfTrue="1" operator="equal">
      <formula>"Napkin Hs"</formula>
    </cfRule>
  </conditionalFormatting>
  <conditionalFormatting sqref="B122:C122">
    <cfRule type="cellIs" dxfId="867" priority="1067" stopIfTrue="1" operator="equal">
      <formula>"Towel"</formula>
    </cfRule>
    <cfRule type="cellIs" dxfId="866" priority="1068" stopIfTrue="1" operator="equal">
      <formula>"Napkin Hs"</formula>
    </cfRule>
  </conditionalFormatting>
  <conditionalFormatting sqref="C122">
    <cfRule type="cellIs" dxfId="865" priority="1069" stopIfTrue="1" operator="equal">
      <formula>"Towel"</formula>
    </cfRule>
    <cfRule type="cellIs" dxfId="864" priority="1070" stopIfTrue="1" operator="equal">
      <formula>"Napkin Hs"</formula>
    </cfRule>
  </conditionalFormatting>
  <conditionalFormatting sqref="C122">
    <cfRule type="cellIs" dxfId="863" priority="1065" stopIfTrue="1" operator="equal">
      <formula>"Towel"</formula>
    </cfRule>
    <cfRule type="cellIs" dxfId="862" priority="1066" stopIfTrue="1" operator="equal">
      <formula>"Napkin Hs"</formula>
    </cfRule>
  </conditionalFormatting>
  <conditionalFormatting sqref="B122">
    <cfRule type="cellIs" dxfId="861" priority="1061" stopIfTrue="1" operator="equal">
      <formula>"Towel"</formula>
    </cfRule>
    <cfRule type="cellIs" dxfId="860" priority="1062" stopIfTrue="1" operator="equal">
      <formula>"Napkin Hs"</formula>
    </cfRule>
  </conditionalFormatting>
  <conditionalFormatting sqref="B122">
    <cfRule type="cellIs" dxfId="859" priority="1063" stopIfTrue="1" operator="equal">
      <formula>"Towel"</formula>
    </cfRule>
    <cfRule type="cellIs" dxfId="858" priority="1064" stopIfTrue="1" operator="equal">
      <formula>"Napkin Hs"</formula>
    </cfRule>
  </conditionalFormatting>
  <conditionalFormatting sqref="B122">
    <cfRule type="cellIs" dxfId="857" priority="1059" stopIfTrue="1" operator="equal">
      <formula>"Towel"</formula>
    </cfRule>
    <cfRule type="cellIs" dxfId="856" priority="1060" stopIfTrue="1" operator="equal">
      <formula>"Napkin Hs"</formula>
    </cfRule>
  </conditionalFormatting>
  <conditionalFormatting sqref="B122:C122">
    <cfRule type="cellIs" dxfId="855" priority="1057" stopIfTrue="1" operator="equal">
      <formula>"Towel"</formula>
    </cfRule>
    <cfRule type="cellIs" dxfId="854" priority="1058" stopIfTrue="1" operator="equal">
      <formula>"Napkin Hs"</formula>
    </cfRule>
  </conditionalFormatting>
  <conditionalFormatting sqref="C122">
    <cfRule type="cellIs" dxfId="853" priority="1055" stopIfTrue="1" operator="equal">
      <formula>"Towel"</formula>
    </cfRule>
    <cfRule type="cellIs" dxfId="852" priority="1056" stopIfTrue="1" operator="equal">
      <formula>"Napkin Hs"</formula>
    </cfRule>
  </conditionalFormatting>
  <conditionalFormatting sqref="C122">
    <cfRule type="cellIs" dxfId="851" priority="1053" stopIfTrue="1" operator="equal">
      <formula>"Towel"</formula>
    </cfRule>
    <cfRule type="cellIs" dxfId="850" priority="1054" stopIfTrue="1" operator="equal">
      <formula>"Napkin Hs"</formula>
    </cfRule>
  </conditionalFormatting>
  <conditionalFormatting sqref="C122">
    <cfRule type="cellIs" dxfId="849" priority="1045" stopIfTrue="1" operator="equal">
      <formula>"Towel"</formula>
    </cfRule>
    <cfRule type="cellIs" dxfId="848" priority="1046" stopIfTrue="1" operator="equal">
      <formula>"Napkin Hs"</formula>
    </cfRule>
  </conditionalFormatting>
  <conditionalFormatting sqref="B122:C122">
    <cfRule type="cellIs" dxfId="847" priority="1047" stopIfTrue="1" operator="equal">
      <formula>"Towel"</formula>
    </cfRule>
    <cfRule type="cellIs" dxfId="846" priority="1048" stopIfTrue="1" operator="equal">
      <formula>"Napkin Hs"</formula>
    </cfRule>
  </conditionalFormatting>
  <conditionalFormatting sqref="C122">
    <cfRule type="cellIs" dxfId="845" priority="1043" stopIfTrue="1" operator="equal">
      <formula>"Towel"</formula>
    </cfRule>
    <cfRule type="cellIs" dxfId="844" priority="1044" stopIfTrue="1" operator="equal">
      <formula>"Napkin Hs"</formula>
    </cfRule>
  </conditionalFormatting>
  <conditionalFormatting sqref="B122:C122">
    <cfRule type="cellIs" dxfId="843" priority="1041" stopIfTrue="1" operator="equal">
      <formula>"Towel"</formula>
    </cfRule>
    <cfRule type="cellIs" dxfId="842" priority="1042" stopIfTrue="1" operator="equal">
      <formula>"Napkin Hs"</formula>
    </cfRule>
  </conditionalFormatting>
  <conditionalFormatting sqref="C122">
    <cfRule type="cellIs" dxfId="841" priority="1049" stopIfTrue="1" operator="equal">
      <formula>"Towel"</formula>
    </cfRule>
    <cfRule type="cellIs" dxfId="840" priority="1050" stopIfTrue="1" operator="equal">
      <formula>"Napkin Hs"</formula>
    </cfRule>
  </conditionalFormatting>
  <conditionalFormatting sqref="C122">
    <cfRule type="cellIs" dxfId="839" priority="1051" stopIfTrue="1" operator="equal">
      <formula>"Towel"</formula>
    </cfRule>
    <cfRule type="cellIs" dxfId="838" priority="1052" stopIfTrue="1" operator="equal">
      <formula>"Napkin Hs"</formula>
    </cfRule>
  </conditionalFormatting>
  <conditionalFormatting sqref="C122">
    <cfRule type="cellIs" dxfId="837" priority="1037" stopIfTrue="1" operator="equal">
      <formula>"Towel"</formula>
    </cfRule>
    <cfRule type="cellIs" dxfId="836" priority="1038" stopIfTrue="1" operator="equal">
      <formula>"Napkin Hs"</formula>
    </cfRule>
  </conditionalFormatting>
  <conditionalFormatting sqref="C122">
    <cfRule type="cellIs" dxfId="835" priority="1039" stopIfTrue="1" operator="equal">
      <formula>"Towel"</formula>
    </cfRule>
    <cfRule type="cellIs" dxfId="834" priority="1040" stopIfTrue="1" operator="equal">
      <formula>"Napkin Hs"</formula>
    </cfRule>
  </conditionalFormatting>
  <conditionalFormatting sqref="B122:C122">
    <cfRule type="cellIs" dxfId="833" priority="1035" stopIfTrue="1" operator="equal">
      <formula>"Towel"</formula>
    </cfRule>
    <cfRule type="cellIs" dxfId="832" priority="1036" stopIfTrue="1" operator="equal">
      <formula>"Napkin Hs"</formula>
    </cfRule>
  </conditionalFormatting>
  <conditionalFormatting sqref="B122:C122">
    <cfRule type="cellIs" dxfId="831" priority="1029" stopIfTrue="1" operator="equal">
      <formula>"Towel"</formula>
    </cfRule>
    <cfRule type="cellIs" dxfId="830" priority="1030" stopIfTrue="1" operator="equal">
      <formula>"Napkin Hs"</formula>
    </cfRule>
  </conditionalFormatting>
  <conditionalFormatting sqref="C122">
    <cfRule type="cellIs" dxfId="829" priority="1031" stopIfTrue="1" operator="equal">
      <formula>"Towel"</formula>
    </cfRule>
    <cfRule type="cellIs" dxfId="828" priority="1032" stopIfTrue="1" operator="equal">
      <formula>"Napkin Hs"</formula>
    </cfRule>
  </conditionalFormatting>
  <conditionalFormatting sqref="C122">
    <cfRule type="cellIs" dxfId="827" priority="1033" stopIfTrue="1" operator="equal">
      <formula>"Towel"</formula>
    </cfRule>
    <cfRule type="cellIs" dxfId="826" priority="1034" stopIfTrue="1" operator="equal">
      <formula>"Napkin Hs"</formula>
    </cfRule>
  </conditionalFormatting>
  <conditionalFormatting sqref="C122">
    <cfRule type="cellIs" dxfId="825" priority="1001" stopIfTrue="1" operator="equal">
      <formula>"Towel"</formula>
    </cfRule>
    <cfRule type="cellIs" dxfId="824" priority="1002" stopIfTrue="1" operator="equal">
      <formula>"Napkin Hs"</formula>
    </cfRule>
  </conditionalFormatting>
  <conditionalFormatting sqref="C122">
    <cfRule type="cellIs" dxfId="823" priority="1003" stopIfTrue="1" operator="equal">
      <formula>"Towel"</formula>
    </cfRule>
    <cfRule type="cellIs" dxfId="822" priority="1004" stopIfTrue="1" operator="equal">
      <formula>"Napkin Hs"</formula>
    </cfRule>
  </conditionalFormatting>
  <conditionalFormatting sqref="C122">
    <cfRule type="cellIs" dxfId="821" priority="999" stopIfTrue="1" operator="equal">
      <formula>"Towel"</formula>
    </cfRule>
    <cfRule type="cellIs" dxfId="820" priority="1000" stopIfTrue="1" operator="equal">
      <formula>"Napkin Hs"</formula>
    </cfRule>
  </conditionalFormatting>
  <conditionalFormatting sqref="B122">
    <cfRule type="cellIs" dxfId="819" priority="993" stopIfTrue="1" operator="equal">
      <formula>"Towel"</formula>
    </cfRule>
    <cfRule type="cellIs" dxfId="818" priority="994" stopIfTrue="1" operator="equal">
      <formula>"Napkin Hs"</formula>
    </cfRule>
  </conditionalFormatting>
  <conditionalFormatting sqref="C122">
    <cfRule type="cellIs" dxfId="817" priority="995" stopIfTrue="1" operator="equal">
      <formula>"Towel"</formula>
    </cfRule>
    <cfRule type="cellIs" dxfId="816" priority="996" stopIfTrue="1" operator="equal">
      <formula>"Napkin Hs"</formula>
    </cfRule>
  </conditionalFormatting>
  <conditionalFormatting sqref="C122">
    <cfRule type="cellIs" dxfId="815" priority="997" stopIfTrue="1" operator="equal">
      <formula>"Towel"</formula>
    </cfRule>
    <cfRule type="cellIs" dxfId="814" priority="998" stopIfTrue="1" operator="equal">
      <formula>"Napkin Hs"</formula>
    </cfRule>
  </conditionalFormatting>
  <conditionalFormatting sqref="B122:C122">
    <cfRule type="cellIs" dxfId="813" priority="947" stopIfTrue="1" operator="equal">
      <formula>"Towel"</formula>
    </cfRule>
    <cfRule type="cellIs" dxfId="812" priority="948" stopIfTrue="1" operator="equal">
      <formula>"Napkin Hs"</formula>
    </cfRule>
  </conditionalFormatting>
  <conditionalFormatting sqref="C122">
    <cfRule type="cellIs" dxfId="811" priority="949" stopIfTrue="1" operator="equal">
      <formula>"Towel"</formula>
    </cfRule>
    <cfRule type="cellIs" dxfId="810" priority="950" stopIfTrue="1" operator="equal">
      <formula>"Napkin Hs"</formula>
    </cfRule>
  </conditionalFormatting>
  <conditionalFormatting sqref="C122">
    <cfRule type="cellIs" dxfId="809" priority="945" stopIfTrue="1" operator="equal">
      <formula>"Towel"</formula>
    </cfRule>
    <cfRule type="cellIs" dxfId="808" priority="946" stopIfTrue="1" operator="equal">
      <formula>"Napkin Hs"</formula>
    </cfRule>
  </conditionalFormatting>
  <conditionalFormatting sqref="C122">
    <cfRule type="cellIs" dxfId="807" priority="943" stopIfTrue="1" operator="equal">
      <formula>"Towel"</formula>
    </cfRule>
    <cfRule type="cellIs" dxfId="806" priority="944" stopIfTrue="1" operator="equal">
      <formula>"Napkin Hs"</formula>
    </cfRule>
  </conditionalFormatting>
  <conditionalFormatting sqref="B122">
    <cfRule type="cellIs" dxfId="805" priority="991" stopIfTrue="1" operator="equal">
      <formula>"Towel"</formula>
    </cfRule>
    <cfRule type="cellIs" dxfId="804" priority="992" stopIfTrue="1" operator="equal">
      <formula>"Napkin Hs"</formula>
    </cfRule>
  </conditionalFormatting>
  <conditionalFormatting sqref="C122">
    <cfRule type="cellIs" dxfId="803" priority="987" stopIfTrue="1" operator="equal">
      <formula>"Towel"</formula>
    </cfRule>
    <cfRule type="cellIs" dxfId="802" priority="988" stopIfTrue="1" operator="equal">
      <formula>"Napkin Hs"</formula>
    </cfRule>
  </conditionalFormatting>
  <conditionalFormatting sqref="C122">
    <cfRule type="cellIs" dxfId="801" priority="981" stopIfTrue="1" operator="equal">
      <formula>"Towel"</formula>
    </cfRule>
    <cfRule type="cellIs" dxfId="800" priority="982" stopIfTrue="1" operator="equal">
      <formula>"Napkin Hs"</formula>
    </cfRule>
  </conditionalFormatting>
  <conditionalFormatting sqref="C122">
    <cfRule type="cellIs" dxfId="799" priority="985" stopIfTrue="1" operator="equal">
      <formula>"Towel"</formula>
    </cfRule>
    <cfRule type="cellIs" dxfId="798" priority="986" stopIfTrue="1" operator="equal">
      <formula>"Napkin Hs"</formula>
    </cfRule>
  </conditionalFormatting>
  <conditionalFormatting sqref="B122:C122">
    <cfRule type="cellIs" dxfId="797" priority="983" stopIfTrue="1" operator="equal">
      <formula>"Towel"</formula>
    </cfRule>
    <cfRule type="cellIs" dxfId="796" priority="984" stopIfTrue="1" operator="equal">
      <formula>"Napkin Hs"</formula>
    </cfRule>
  </conditionalFormatting>
  <conditionalFormatting sqref="C122">
    <cfRule type="cellIs" dxfId="795" priority="975" stopIfTrue="1" operator="equal">
      <formula>"Towel"</formula>
    </cfRule>
    <cfRule type="cellIs" dxfId="794" priority="976" stopIfTrue="1" operator="equal">
      <formula>"Napkin Hs"</formula>
    </cfRule>
  </conditionalFormatting>
  <conditionalFormatting sqref="C122">
    <cfRule type="cellIs" dxfId="793" priority="977" stopIfTrue="1" operator="equal">
      <formula>"Towel"</formula>
    </cfRule>
    <cfRule type="cellIs" dxfId="792" priority="978" stopIfTrue="1" operator="equal">
      <formula>"Napkin Hs"</formula>
    </cfRule>
  </conditionalFormatting>
  <conditionalFormatting sqref="C122">
    <cfRule type="cellIs" dxfId="791" priority="979" stopIfTrue="1" operator="equal">
      <formula>"Towel"</formula>
    </cfRule>
    <cfRule type="cellIs" dxfId="790" priority="980" stopIfTrue="1" operator="equal">
      <formula>"Napkin Hs"</formula>
    </cfRule>
  </conditionalFormatting>
  <conditionalFormatting sqref="C122">
    <cfRule type="cellIs" dxfId="789" priority="969" stopIfTrue="1" operator="equal">
      <formula>"Towel"</formula>
    </cfRule>
    <cfRule type="cellIs" dxfId="788" priority="970" stopIfTrue="1" operator="equal">
      <formula>"Napkin Hs"</formula>
    </cfRule>
  </conditionalFormatting>
  <conditionalFormatting sqref="B122:C122">
    <cfRule type="cellIs" dxfId="787" priority="973" stopIfTrue="1" operator="equal">
      <formula>"Towel"</formula>
    </cfRule>
    <cfRule type="cellIs" dxfId="786" priority="974" stopIfTrue="1" operator="equal">
      <formula>"Napkin Hs"</formula>
    </cfRule>
  </conditionalFormatting>
  <conditionalFormatting sqref="C122">
    <cfRule type="cellIs" dxfId="785" priority="971" stopIfTrue="1" operator="equal">
      <formula>"Towel"</formula>
    </cfRule>
    <cfRule type="cellIs" dxfId="784" priority="972" stopIfTrue="1" operator="equal">
      <formula>"Napkin Hs"</formula>
    </cfRule>
  </conditionalFormatting>
  <conditionalFormatting sqref="B122:C122">
    <cfRule type="cellIs" dxfId="783" priority="963" stopIfTrue="1" operator="equal">
      <formula>"Towel"</formula>
    </cfRule>
    <cfRule type="cellIs" dxfId="782" priority="964" stopIfTrue="1" operator="equal">
      <formula>"Napkin Hs"</formula>
    </cfRule>
  </conditionalFormatting>
  <conditionalFormatting sqref="C122">
    <cfRule type="cellIs" dxfId="781" priority="965" stopIfTrue="1" operator="equal">
      <formula>"Towel"</formula>
    </cfRule>
    <cfRule type="cellIs" dxfId="780" priority="966" stopIfTrue="1" operator="equal">
      <formula>"Napkin Hs"</formula>
    </cfRule>
  </conditionalFormatting>
  <conditionalFormatting sqref="B122:C122">
    <cfRule type="cellIs" dxfId="779" priority="967" stopIfTrue="1" operator="equal">
      <formula>"Towel"</formula>
    </cfRule>
    <cfRule type="cellIs" dxfId="778" priority="968" stopIfTrue="1" operator="equal">
      <formula>"Napkin Hs"</formula>
    </cfRule>
  </conditionalFormatting>
  <conditionalFormatting sqref="C122">
    <cfRule type="cellIs" dxfId="777" priority="961" stopIfTrue="1" operator="equal">
      <formula>"Towel"</formula>
    </cfRule>
    <cfRule type="cellIs" dxfId="776" priority="962" stopIfTrue="1" operator="equal">
      <formula>"Napkin Hs"</formula>
    </cfRule>
  </conditionalFormatting>
  <conditionalFormatting sqref="C122">
    <cfRule type="cellIs" dxfId="775" priority="957" stopIfTrue="1" operator="equal">
      <formula>"Towel"</formula>
    </cfRule>
    <cfRule type="cellIs" dxfId="774" priority="958" stopIfTrue="1" operator="equal">
      <formula>"Napkin Hs"</formula>
    </cfRule>
  </conditionalFormatting>
  <conditionalFormatting sqref="B122:C122">
    <cfRule type="cellIs" dxfId="773" priority="959" stopIfTrue="1" operator="equal">
      <formula>"Towel"</formula>
    </cfRule>
    <cfRule type="cellIs" dxfId="772" priority="960" stopIfTrue="1" operator="equal">
      <formula>"Napkin Hs"</formula>
    </cfRule>
  </conditionalFormatting>
  <conditionalFormatting sqref="C122">
    <cfRule type="cellIs" dxfId="771" priority="955" stopIfTrue="1" operator="equal">
      <formula>"Towel"</formula>
    </cfRule>
    <cfRule type="cellIs" dxfId="770" priority="956" stopIfTrue="1" operator="equal">
      <formula>"Napkin Hs"</formula>
    </cfRule>
  </conditionalFormatting>
  <conditionalFormatting sqref="C122">
    <cfRule type="cellIs" dxfId="769" priority="953" stopIfTrue="1" operator="equal">
      <formula>"Towel"</formula>
    </cfRule>
    <cfRule type="cellIs" dxfId="768" priority="954" stopIfTrue="1" operator="equal">
      <formula>"Napkin Hs"</formula>
    </cfRule>
  </conditionalFormatting>
  <conditionalFormatting sqref="B122:C122">
    <cfRule type="cellIs" dxfId="767" priority="951" stopIfTrue="1" operator="equal">
      <formula>"Towel"</formula>
    </cfRule>
    <cfRule type="cellIs" dxfId="766" priority="952" stopIfTrue="1" operator="equal">
      <formula>"Napkin Hs"</formula>
    </cfRule>
  </conditionalFormatting>
  <conditionalFormatting sqref="B122:C122">
    <cfRule type="cellIs" dxfId="765" priority="1027" stopIfTrue="1" operator="equal">
      <formula>"Towel"</formula>
    </cfRule>
    <cfRule type="cellIs" dxfId="764" priority="1028" stopIfTrue="1" operator="equal">
      <formula>"Napkin Hs"</formula>
    </cfRule>
  </conditionalFormatting>
  <conditionalFormatting sqref="C122">
    <cfRule type="cellIs" dxfId="763" priority="1023" stopIfTrue="1" operator="equal">
      <formula>"Towel"</formula>
    </cfRule>
    <cfRule type="cellIs" dxfId="762" priority="1024" stopIfTrue="1" operator="equal">
      <formula>"Napkin Hs"</formula>
    </cfRule>
  </conditionalFormatting>
  <conditionalFormatting sqref="C122">
    <cfRule type="cellIs" dxfId="761" priority="1026" stopIfTrue="1" operator="equal">
      <formula>"Napkin Hs"</formula>
    </cfRule>
  </conditionalFormatting>
  <conditionalFormatting sqref="C122">
    <cfRule type="cellIs" dxfId="760" priority="1025" stopIfTrue="1" operator="equal">
      <formula>"Towel"</formula>
    </cfRule>
  </conditionalFormatting>
  <conditionalFormatting sqref="C122">
    <cfRule type="cellIs" dxfId="759" priority="1017" stopIfTrue="1" operator="equal">
      <formula>"Towel"</formula>
    </cfRule>
    <cfRule type="cellIs" dxfId="758" priority="1018" stopIfTrue="1" operator="equal">
      <formula>"Napkin Hs"</formula>
    </cfRule>
  </conditionalFormatting>
  <conditionalFormatting sqref="C122">
    <cfRule type="cellIs" dxfId="757" priority="1021" stopIfTrue="1" operator="equal">
      <formula>"Towel"</formula>
    </cfRule>
    <cfRule type="cellIs" dxfId="756" priority="1022" stopIfTrue="1" operator="equal">
      <formula>"Napkin Hs"</formula>
    </cfRule>
  </conditionalFormatting>
  <conditionalFormatting sqref="B122">
    <cfRule type="cellIs" dxfId="755" priority="1007" stopIfTrue="1" operator="equal">
      <formula>"Towel"</formula>
    </cfRule>
    <cfRule type="cellIs" dxfId="754" priority="1008" stopIfTrue="1" operator="equal">
      <formula>"Napkin Hs"</formula>
    </cfRule>
  </conditionalFormatting>
  <conditionalFormatting sqref="C122">
    <cfRule type="cellIs" dxfId="753" priority="1019" stopIfTrue="1" operator="equal">
      <formula>"Towel"</formula>
    </cfRule>
    <cfRule type="cellIs" dxfId="752" priority="1020" stopIfTrue="1" operator="equal">
      <formula>"Napkin Hs"</formula>
    </cfRule>
  </conditionalFormatting>
  <conditionalFormatting sqref="C122">
    <cfRule type="cellIs" dxfId="751" priority="1011" stopIfTrue="1" operator="equal">
      <formula>"Towel"</formula>
    </cfRule>
    <cfRule type="cellIs" dxfId="750" priority="1012" stopIfTrue="1" operator="equal">
      <formula>"Napkin Hs"</formula>
    </cfRule>
  </conditionalFormatting>
  <conditionalFormatting sqref="C122">
    <cfRule type="cellIs" dxfId="749" priority="1013" stopIfTrue="1" operator="equal">
      <formula>"Towel"</formula>
    </cfRule>
    <cfRule type="cellIs" dxfId="748" priority="1014" stopIfTrue="1" operator="equal">
      <formula>"Napkin Hs"</formula>
    </cfRule>
  </conditionalFormatting>
  <conditionalFormatting sqref="C122">
    <cfRule type="cellIs" dxfId="747" priority="1015" stopIfTrue="1" operator="equal">
      <formula>"Towel"</formula>
    </cfRule>
    <cfRule type="cellIs" dxfId="746" priority="1016" stopIfTrue="1" operator="equal">
      <formula>"Napkin Hs"</formula>
    </cfRule>
  </conditionalFormatting>
  <conditionalFormatting sqref="B122">
    <cfRule type="cellIs" dxfId="745" priority="1009" stopIfTrue="1" operator="equal">
      <formula>"Towel"</formula>
    </cfRule>
    <cfRule type="cellIs" dxfId="744" priority="1010" stopIfTrue="1" operator="equal">
      <formula>"Napkin Hs"</formula>
    </cfRule>
  </conditionalFormatting>
  <conditionalFormatting sqref="C122">
    <cfRule type="cellIs" dxfId="743" priority="1005" stopIfTrue="1" operator="equal">
      <formula>"Towel"</formula>
    </cfRule>
    <cfRule type="cellIs" dxfId="742" priority="1006" stopIfTrue="1" operator="equal">
      <formula>"Napkin Hs"</formula>
    </cfRule>
  </conditionalFormatting>
  <conditionalFormatting sqref="B122:C122">
    <cfRule type="cellIs" dxfId="741" priority="989" stopIfTrue="1" operator="equal">
      <formula>"Towel"</formula>
    </cfRule>
    <cfRule type="cellIs" dxfId="740" priority="990" stopIfTrue="1" operator="equal">
      <formula>"Napkin Hs"</formula>
    </cfRule>
  </conditionalFormatting>
  <conditionalFormatting sqref="B122">
    <cfRule type="cellIs" dxfId="739" priority="941" stopIfTrue="1" operator="equal">
      <formula>"Towel"</formula>
    </cfRule>
    <cfRule type="cellIs" dxfId="738" priority="942" stopIfTrue="1" operator="equal">
      <formula>"Napkin Hs"</formula>
    </cfRule>
  </conditionalFormatting>
  <conditionalFormatting sqref="B122">
    <cfRule type="cellIs" dxfId="737" priority="939" stopIfTrue="1" operator="equal">
      <formula>"Towel"</formula>
    </cfRule>
    <cfRule type="cellIs" dxfId="736" priority="940" stopIfTrue="1" operator="equal">
      <formula>"Napkin Hs"</formula>
    </cfRule>
  </conditionalFormatting>
  <conditionalFormatting sqref="B122">
    <cfRule type="cellIs" dxfId="735" priority="937" stopIfTrue="1" operator="equal">
      <formula>"Towel"</formula>
    </cfRule>
    <cfRule type="cellIs" dxfId="734" priority="938" stopIfTrue="1" operator="equal">
      <formula>"Napkin Hs"</formula>
    </cfRule>
  </conditionalFormatting>
  <conditionalFormatting sqref="B122">
    <cfRule type="cellIs" dxfId="733" priority="931" stopIfTrue="1" operator="equal">
      <formula>"Towel"</formula>
    </cfRule>
    <cfRule type="cellIs" dxfId="732" priority="932" stopIfTrue="1" operator="equal">
      <formula>"Napkin Hs"</formula>
    </cfRule>
  </conditionalFormatting>
  <conditionalFormatting sqref="B122">
    <cfRule type="cellIs" dxfId="731" priority="935" stopIfTrue="1" operator="equal">
      <formula>"Towel"</formula>
    </cfRule>
    <cfRule type="cellIs" dxfId="730" priority="936" stopIfTrue="1" operator="equal">
      <formula>"Napkin Hs"</formula>
    </cfRule>
  </conditionalFormatting>
  <conditionalFormatting sqref="B122">
    <cfRule type="cellIs" dxfId="729" priority="933" stopIfTrue="1" operator="equal">
      <formula>"Towel"</formula>
    </cfRule>
    <cfRule type="cellIs" dxfId="728" priority="934" stopIfTrue="1" operator="equal">
      <formula>"Napkin Hs"</formula>
    </cfRule>
  </conditionalFormatting>
  <conditionalFormatting sqref="B122">
    <cfRule type="cellIs" dxfId="727" priority="929" stopIfTrue="1" operator="equal">
      <formula>"Towel"</formula>
    </cfRule>
    <cfRule type="cellIs" dxfId="726" priority="930" stopIfTrue="1" operator="equal">
      <formula>"Napkin Hs"</formula>
    </cfRule>
  </conditionalFormatting>
  <conditionalFormatting sqref="B122">
    <cfRule type="cellIs" dxfId="725" priority="927" stopIfTrue="1" operator="equal">
      <formula>"Towel"</formula>
    </cfRule>
    <cfRule type="cellIs" dxfId="724" priority="928" stopIfTrue="1" operator="equal">
      <formula>"Napkin Hs"</formula>
    </cfRule>
  </conditionalFormatting>
  <conditionalFormatting sqref="B122">
    <cfRule type="cellIs" dxfId="723" priority="923" stopIfTrue="1" operator="equal">
      <formula>"Towel"</formula>
    </cfRule>
    <cfRule type="cellIs" dxfId="722" priority="924" stopIfTrue="1" operator="equal">
      <formula>"Napkin Hs"</formula>
    </cfRule>
  </conditionalFormatting>
  <conditionalFormatting sqref="B122">
    <cfRule type="cellIs" dxfId="721" priority="921" stopIfTrue="1" operator="equal">
      <formula>"Towel"</formula>
    </cfRule>
    <cfRule type="cellIs" dxfId="720" priority="922" stopIfTrue="1" operator="equal">
      <formula>"Napkin Hs"</formula>
    </cfRule>
  </conditionalFormatting>
  <conditionalFormatting sqref="B122">
    <cfRule type="cellIs" dxfId="719" priority="925" stopIfTrue="1" operator="equal">
      <formula>"Towel"</formula>
    </cfRule>
    <cfRule type="cellIs" dxfId="718" priority="926" stopIfTrue="1" operator="equal">
      <formula>"Napkin Hs"</formula>
    </cfRule>
  </conditionalFormatting>
  <conditionalFormatting sqref="B122">
    <cfRule type="cellIs" dxfId="717" priority="919" stopIfTrue="1" operator="equal">
      <formula>"Towel"</formula>
    </cfRule>
    <cfRule type="cellIs" dxfId="716" priority="920" stopIfTrue="1" operator="equal">
      <formula>"Napkin Hs"</formula>
    </cfRule>
  </conditionalFormatting>
  <conditionalFormatting sqref="B122">
    <cfRule type="cellIs" dxfId="715" priority="917" stopIfTrue="1" operator="equal">
      <formula>"Towel"</formula>
    </cfRule>
    <cfRule type="cellIs" dxfId="714" priority="918" stopIfTrue="1" operator="equal">
      <formula>"Napkin Hs"</formula>
    </cfRule>
  </conditionalFormatting>
  <conditionalFormatting sqref="B122">
    <cfRule type="cellIs" dxfId="713" priority="915" stopIfTrue="1" operator="equal">
      <formula>"Towel"</formula>
    </cfRule>
    <cfRule type="cellIs" dxfId="712" priority="916" stopIfTrue="1" operator="equal">
      <formula>"Napkin Hs"</formula>
    </cfRule>
  </conditionalFormatting>
  <conditionalFormatting sqref="B122">
    <cfRule type="cellIs" dxfId="711" priority="913" stopIfTrue="1" operator="equal">
      <formula>"Towel"</formula>
    </cfRule>
    <cfRule type="cellIs" dxfId="710" priority="914" stopIfTrue="1" operator="equal">
      <formula>"Napkin Hs"</formula>
    </cfRule>
  </conditionalFormatting>
  <conditionalFormatting sqref="C122">
    <cfRule type="cellIs" dxfId="709" priority="909" stopIfTrue="1" operator="equal">
      <formula>"Towel"</formula>
    </cfRule>
    <cfRule type="cellIs" dxfId="708" priority="910" stopIfTrue="1" operator="equal">
      <formula>"Napkin Hs"</formula>
    </cfRule>
  </conditionalFormatting>
  <conditionalFormatting sqref="C122">
    <cfRule type="cellIs" dxfId="707" priority="911" stopIfTrue="1" operator="equal">
      <formula>"Towel"</formula>
    </cfRule>
    <cfRule type="cellIs" dxfId="706" priority="912" stopIfTrue="1" operator="equal">
      <formula>"Napkin Hs"</formula>
    </cfRule>
  </conditionalFormatting>
  <conditionalFormatting sqref="C122">
    <cfRule type="cellIs" dxfId="705" priority="905" stopIfTrue="1" operator="equal">
      <formula>"Towel"</formula>
    </cfRule>
    <cfRule type="cellIs" dxfId="704" priority="906" stopIfTrue="1" operator="equal">
      <formula>"Napkin Hs"</formula>
    </cfRule>
  </conditionalFormatting>
  <conditionalFormatting sqref="B122:C122">
    <cfRule type="cellIs" dxfId="703" priority="907" stopIfTrue="1" operator="equal">
      <formula>"Towel"</formula>
    </cfRule>
    <cfRule type="cellIs" dxfId="702" priority="908" stopIfTrue="1" operator="equal">
      <formula>"Napkin Hs"</formula>
    </cfRule>
  </conditionalFormatting>
  <conditionalFormatting sqref="C122">
    <cfRule type="cellIs" dxfId="701" priority="903" stopIfTrue="1" operator="equal">
      <formula>"Towel"</formula>
    </cfRule>
    <cfRule type="cellIs" dxfId="700" priority="904" stopIfTrue="1" operator="equal">
      <formula>"Napkin Hs"</formula>
    </cfRule>
  </conditionalFormatting>
  <conditionalFormatting sqref="B122:C122">
    <cfRule type="cellIs" dxfId="699" priority="901" stopIfTrue="1" operator="equal">
      <formula>"Towel"</formula>
    </cfRule>
    <cfRule type="cellIs" dxfId="698" priority="902" stopIfTrue="1" operator="equal">
      <formula>"Napkin Hs"</formula>
    </cfRule>
  </conditionalFormatting>
  <conditionalFormatting sqref="B122:C122">
    <cfRule type="cellIs" dxfId="697" priority="899" stopIfTrue="1" operator="equal">
      <formula>"Towel"</formula>
    </cfRule>
    <cfRule type="cellIs" dxfId="696" priority="900" stopIfTrue="1" operator="equal">
      <formula>"Napkin Hs"</formula>
    </cfRule>
  </conditionalFormatting>
  <conditionalFormatting sqref="C122">
    <cfRule type="cellIs" dxfId="695" priority="893" stopIfTrue="1" operator="equal">
      <formula>"Towel"</formula>
    </cfRule>
    <cfRule type="cellIs" dxfId="694" priority="894" stopIfTrue="1" operator="equal">
      <formula>"Napkin Hs"</formula>
    </cfRule>
  </conditionalFormatting>
  <conditionalFormatting sqref="C122">
    <cfRule type="cellIs" dxfId="693" priority="895" stopIfTrue="1" operator="equal">
      <formula>"Towel"</formula>
    </cfRule>
    <cfRule type="cellIs" dxfId="692" priority="896" stopIfTrue="1" operator="equal">
      <formula>"Napkin Hs"</formula>
    </cfRule>
  </conditionalFormatting>
  <conditionalFormatting sqref="C122">
    <cfRule type="cellIs" dxfId="691" priority="891" stopIfTrue="1" operator="equal">
      <formula>"Towel"</formula>
    </cfRule>
    <cfRule type="cellIs" dxfId="690" priority="892" stopIfTrue="1" operator="equal">
      <formula>"Napkin Hs"</formula>
    </cfRule>
  </conditionalFormatting>
  <conditionalFormatting sqref="C122">
    <cfRule type="cellIs" dxfId="689" priority="889" stopIfTrue="1" operator="equal">
      <formula>"Towel"</formula>
    </cfRule>
    <cfRule type="cellIs" dxfId="688" priority="890" stopIfTrue="1" operator="equal">
      <formula>"Napkin Hs"</formula>
    </cfRule>
  </conditionalFormatting>
  <conditionalFormatting sqref="C122">
    <cfRule type="cellIs" dxfId="687" priority="885" stopIfTrue="1" operator="equal">
      <formula>"Towel"</formula>
    </cfRule>
    <cfRule type="cellIs" dxfId="686" priority="886" stopIfTrue="1" operator="equal">
      <formula>"Napkin Hs"</formula>
    </cfRule>
  </conditionalFormatting>
  <conditionalFormatting sqref="C122">
    <cfRule type="cellIs" dxfId="685" priority="887" stopIfTrue="1" operator="equal">
      <formula>"Towel"</formula>
    </cfRule>
    <cfRule type="cellIs" dxfId="684" priority="888" stopIfTrue="1" operator="equal">
      <formula>"Napkin Hs"</formula>
    </cfRule>
  </conditionalFormatting>
  <conditionalFormatting sqref="C122">
    <cfRule type="cellIs" dxfId="683" priority="883" stopIfTrue="1" operator="equal">
      <formula>"Towel"</formula>
    </cfRule>
    <cfRule type="cellIs" dxfId="682" priority="884" stopIfTrue="1" operator="equal">
      <formula>"Napkin Hs"</formula>
    </cfRule>
  </conditionalFormatting>
  <conditionalFormatting sqref="C122">
    <cfRule type="cellIs" dxfId="681" priority="867" stopIfTrue="1" operator="equal">
      <formula>"Towel"</formula>
    </cfRule>
    <cfRule type="cellIs" dxfId="680" priority="868" stopIfTrue="1" operator="equal">
      <formula>"Napkin Hs"</formula>
    </cfRule>
  </conditionalFormatting>
  <conditionalFormatting sqref="B122">
    <cfRule type="cellIs" dxfId="679" priority="865" stopIfTrue="1" operator="equal">
      <formula>"Towel"</formula>
    </cfRule>
    <cfRule type="cellIs" dxfId="678" priority="866" stopIfTrue="1" operator="equal">
      <formula>"Napkin Hs"</formula>
    </cfRule>
  </conditionalFormatting>
  <conditionalFormatting sqref="B122">
    <cfRule type="cellIs" dxfId="677" priority="881" stopIfTrue="1" operator="equal">
      <formula>"Towel"</formula>
    </cfRule>
    <cfRule type="cellIs" dxfId="676" priority="882" stopIfTrue="1" operator="equal">
      <formula>"Napkin Hs"</formula>
    </cfRule>
  </conditionalFormatting>
  <conditionalFormatting sqref="C122">
    <cfRule type="cellIs" dxfId="675" priority="877" stopIfTrue="1" operator="equal">
      <formula>"Towel"</formula>
    </cfRule>
    <cfRule type="cellIs" dxfId="674" priority="878" stopIfTrue="1" operator="equal">
      <formula>"Napkin Hs"</formula>
    </cfRule>
  </conditionalFormatting>
  <conditionalFormatting sqref="B122">
    <cfRule type="cellIs" dxfId="673" priority="879" stopIfTrue="1" operator="equal">
      <formula>"Towel"</formula>
    </cfRule>
    <cfRule type="cellIs" dxfId="672" priority="880" stopIfTrue="1" operator="equal">
      <formula>"Napkin Hs"</formula>
    </cfRule>
  </conditionalFormatting>
  <conditionalFormatting sqref="C122">
    <cfRule type="cellIs" dxfId="671" priority="873" stopIfTrue="1" operator="equal">
      <formula>"Towel"</formula>
    </cfRule>
    <cfRule type="cellIs" dxfId="670" priority="874" stopIfTrue="1" operator="equal">
      <formula>"Napkin Hs"</formula>
    </cfRule>
  </conditionalFormatting>
  <conditionalFormatting sqref="C122">
    <cfRule type="cellIs" dxfId="669" priority="875" stopIfTrue="1" operator="equal">
      <formula>"Towel"</formula>
    </cfRule>
    <cfRule type="cellIs" dxfId="668" priority="876" stopIfTrue="1" operator="equal">
      <formula>"Napkin Hs"</formula>
    </cfRule>
  </conditionalFormatting>
  <conditionalFormatting sqref="C122">
    <cfRule type="cellIs" dxfId="667" priority="871" stopIfTrue="1" operator="equal">
      <formula>"Towel"</formula>
    </cfRule>
    <cfRule type="cellIs" dxfId="666" priority="872" stopIfTrue="1" operator="equal">
      <formula>"Napkin Hs"</formula>
    </cfRule>
  </conditionalFormatting>
  <conditionalFormatting sqref="C122">
    <cfRule type="cellIs" dxfId="665" priority="869" stopIfTrue="1" operator="equal">
      <formula>"Towel"</formula>
    </cfRule>
    <cfRule type="cellIs" dxfId="664" priority="870" stopIfTrue="1" operator="equal">
      <formula>"Napkin Hs"</formula>
    </cfRule>
  </conditionalFormatting>
  <conditionalFormatting sqref="B122">
    <cfRule type="cellIs" dxfId="663" priority="863" stopIfTrue="1" operator="equal">
      <formula>"Towel"</formula>
    </cfRule>
    <cfRule type="cellIs" dxfId="662" priority="864" stopIfTrue="1" operator="equal">
      <formula>"Napkin Hs"</formula>
    </cfRule>
  </conditionalFormatting>
  <conditionalFormatting sqref="B122:C122">
    <cfRule type="cellIs" dxfId="661" priority="861" stopIfTrue="1" operator="equal">
      <formula>"Towel"</formula>
    </cfRule>
    <cfRule type="cellIs" dxfId="660" priority="862" stopIfTrue="1" operator="equal">
      <formula>"Napkin Hs"</formula>
    </cfRule>
  </conditionalFormatting>
  <conditionalFormatting sqref="C122">
    <cfRule type="cellIs" dxfId="659" priority="859" stopIfTrue="1" operator="equal">
      <formula>"Towel"</formula>
    </cfRule>
    <cfRule type="cellIs" dxfId="658" priority="860" stopIfTrue="1" operator="equal">
      <formula>"Napkin Hs"</formula>
    </cfRule>
  </conditionalFormatting>
  <conditionalFormatting sqref="C122">
    <cfRule type="cellIs" dxfId="657" priority="857" stopIfTrue="1" operator="equal">
      <formula>"Towel"</formula>
    </cfRule>
    <cfRule type="cellIs" dxfId="656" priority="858" stopIfTrue="1" operator="equal">
      <formula>"Napkin Hs"</formula>
    </cfRule>
  </conditionalFormatting>
  <conditionalFormatting sqref="C122">
    <cfRule type="cellIs" dxfId="655" priority="847" stopIfTrue="1" operator="equal">
      <formula>"Towel"</formula>
    </cfRule>
    <cfRule type="cellIs" dxfId="654" priority="848" stopIfTrue="1" operator="equal">
      <formula>"Napkin Hs"</formula>
    </cfRule>
  </conditionalFormatting>
  <conditionalFormatting sqref="C122">
    <cfRule type="cellIs" dxfId="653" priority="849" stopIfTrue="1" operator="equal">
      <formula>"Towel"</formula>
    </cfRule>
    <cfRule type="cellIs" dxfId="652" priority="850" stopIfTrue="1" operator="equal">
      <formula>"Napkin Hs"</formula>
    </cfRule>
  </conditionalFormatting>
  <conditionalFormatting sqref="B122:C122">
    <cfRule type="cellIs" dxfId="651" priority="845" stopIfTrue="1" operator="equal">
      <formula>"Towel"</formula>
    </cfRule>
    <cfRule type="cellIs" dxfId="650" priority="846" stopIfTrue="1" operator="equal">
      <formula>"Napkin Hs"</formula>
    </cfRule>
  </conditionalFormatting>
  <conditionalFormatting sqref="C122">
    <cfRule type="cellIs" dxfId="649" priority="843" stopIfTrue="1" operator="equal">
      <formula>"Towel"</formula>
    </cfRule>
    <cfRule type="cellIs" dxfId="648" priority="844" stopIfTrue="1" operator="equal">
      <formula>"Napkin Hs"</formula>
    </cfRule>
  </conditionalFormatting>
  <conditionalFormatting sqref="B122:C122">
    <cfRule type="cellIs" dxfId="647" priority="839" stopIfTrue="1" operator="equal">
      <formula>"Towel"</formula>
    </cfRule>
    <cfRule type="cellIs" dxfId="646" priority="840" stopIfTrue="1" operator="equal">
      <formula>"Napkin Hs"</formula>
    </cfRule>
  </conditionalFormatting>
  <conditionalFormatting sqref="C122">
    <cfRule type="cellIs" dxfId="645" priority="841" stopIfTrue="1" operator="equal">
      <formula>"Towel"</formula>
    </cfRule>
    <cfRule type="cellIs" dxfId="644" priority="842" stopIfTrue="1" operator="equal">
      <formula>"Napkin Hs"</formula>
    </cfRule>
  </conditionalFormatting>
  <conditionalFormatting sqref="C122">
    <cfRule type="cellIs" dxfId="643" priority="898" stopIfTrue="1" operator="equal">
      <formula>"Napkin Hs"</formula>
    </cfRule>
  </conditionalFormatting>
  <conditionalFormatting sqref="C122">
    <cfRule type="cellIs" dxfId="642" priority="897" stopIfTrue="1" operator="equal">
      <formula>"Towel"</formula>
    </cfRule>
  </conditionalFormatting>
  <conditionalFormatting sqref="B122:C122">
    <cfRule type="cellIs" dxfId="641" priority="855" stopIfTrue="1" operator="equal">
      <formula>"Towel"</formula>
    </cfRule>
    <cfRule type="cellIs" dxfId="640" priority="856" stopIfTrue="1" operator="equal">
      <formula>"Napkin Hs"</formula>
    </cfRule>
  </conditionalFormatting>
  <conditionalFormatting sqref="C122">
    <cfRule type="cellIs" dxfId="639" priority="853" stopIfTrue="1" operator="equal">
      <formula>"Towel"</formula>
    </cfRule>
    <cfRule type="cellIs" dxfId="638" priority="854" stopIfTrue="1" operator="equal">
      <formula>"Napkin Hs"</formula>
    </cfRule>
  </conditionalFormatting>
  <conditionalFormatting sqref="C122">
    <cfRule type="cellIs" dxfId="637" priority="851" stopIfTrue="1" operator="equal">
      <formula>"Towel"</formula>
    </cfRule>
    <cfRule type="cellIs" dxfId="636" priority="852" stopIfTrue="1" operator="equal">
      <formula>"Napkin Hs"</formula>
    </cfRule>
  </conditionalFormatting>
  <conditionalFormatting sqref="B122:C122">
    <cfRule type="cellIs" dxfId="635" priority="835" stopIfTrue="1" operator="equal">
      <formula>"Towel"</formula>
    </cfRule>
    <cfRule type="cellIs" dxfId="634" priority="836" stopIfTrue="1" operator="equal">
      <formula>"Napkin Hs"</formula>
    </cfRule>
  </conditionalFormatting>
  <conditionalFormatting sqref="C122">
    <cfRule type="cellIs" dxfId="633" priority="837" stopIfTrue="1" operator="equal">
      <formula>"Towel"</formula>
    </cfRule>
    <cfRule type="cellIs" dxfId="632" priority="838" stopIfTrue="1" operator="equal">
      <formula>"Napkin Hs"</formula>
    </cfRule>
  </conditionalFormatting>
  <conditionalFormatting sqref="C122">
    <cfRule type="cellIs" dxfId="631" priority="833" stopIfTrue="1" operator="equal">
      <formula>"Towel"</formula>
    </cfRule>
    <cfRule type="cellIs" dxfId="630" priority="834" stopIfTrue="1" operator="equal">
      <formula>"Napkin Hs"</formula>
    </cfRule>
  </conditionalFormatting>
  <conditionalFormatting sqref="B122:C122">
    <cfRule type="cellIs" dxfId="629" priority="831" stopIfTrue="1" operator="equal">
      <formula>"Towel"</formula>
    </cfRule>
    <cfRule type="cellIs" dxfId="628" priority="832" stopIfTrue="1" operator="equal">
      <formula>"Napkin Hs"</formula>
    </cfRule>
  </conditionalFormatting>
  <conditionalFormatting sqref="C122">
    <cfRule type="cellIs" dxfId="627" priority="827" stopIfTrue="1" operator="equal">
      <formula>"Towel"</formula>
    </cfRule>
    <cfRule type="cellIs" dxfId="626" priority="828" stopIfTrue="1" operator="equal">
      <formula>"Napkin Hs"</formula>
    </cfRule>
  </conditionalFormatting>
  <conditionalFormatting sqref="C122">
    <cfRule type="cellIs" dxfId="625" priority="829" stopIfTrue="1" operator="equal">
      <formula>"Towel"</formula>
    </cfRule>
    <cfRule type="cellIs" dxfId="624" priority="830" stopIfTrue="1" operator="equal">
      <formula>"Napkin Hs"</formula>
    </cfRule>
  </conditionalFormatting>
  <conditionalFormatting sqref="B122:C122">
    <cfRule type="cellIs" dxfId="623" priority="823" stopIfTrue="1" operator="equal">
      <formula>"Towel"</formula>
    </cfRule>
    <cfRule type="cellIs" dxfId="622" priority="824" stopIfTrue="1" operator="equal">
      <formula>"Napkin Hs"</formula>
    </cfRule>
  </conditionalFormatting>
  <conditionalFormatting sqref="C122">
    <cfRule type="cellIs" dxfId="621" priority="825" stopIfTrue="1" operator="equal">
      <formula>"Towel"</formula>
    </cfRule>
    <cfRule type="cellIs" dxfId="620" priority="826" stopIfTrue="1" operator="equal">
      <formula>"Napkin Hs"</formula>
    </cfRule>
  </conditionalFormatting>
  <conditionalFormatting sqref="C122">
    <cfRule type="cellIs" dxfId="619" priority="821" stopIfTrue="1" operator="equal">
      <formula>"Towel"</formula>
    </cfRule>
    <cfRule type="cellIs" dxfId="618" priority="822" stopIfTrue="1" operator="equal">
      <formula>"Napkin Hs"</formula>
    </cfRule>
  </conditionalFormatting>
  <conditionalFormatting sqref="B122:C122">
    <cfRule type="cellIs" dxfId="617" priority="819" stopIfTrue="1" operator="equal">
      <formula>"Towel"</formula>
    </cfRule>
    <cfRule type="cellIs" dxfId="616" priority="820" stopIfTrue="1" operator="equal">
      <formula>"Napkin Hs"</formula>
    </cfRule>
  </conditionalFormatting>
  <conditionalFormatting sqref="C122">
    <cfRule type="cellIs" dxfId="615" priority="815" stopIfTrue="1" operator="equal">
      <formula>"Towel"</formula>
    </cfRule>
    <cfRule type="cellIs" dxfId="614" priority="816" stopIfTrue="1" operator="equal">
      <formula>"Napkin Hs"</formula>
    </cfRule>
  </conditionalFormatting>
  <conditionalFormatting sqref="C122">
    <cfRule type="cellIs" dxfId="613" priority="817" stopIfTrue="1" operator="equal">
      <formula>"Towel"</formula>
    </cfRule>
    <cfRule type="cellIs" dxfId="612" priority="818" stopIfTrue="1" operator="equal">
      <formula>"Napkin Hs"</formula>
    </cfRule>
  </conditionalFormatting>
  <conditionalFormatting sqref="C123">
    <cfRule type="cellIs" dxfId="611" priority="807" stopIfTrue="1" operator="equal">
      <formula>"Towel"</formula>
    </cfRule>
    <cfRule type="cellIs" dxfId="610" priority="808" stopIfTrue="1" operator="equal">
      <formula>"Napkin Hs"</formula>
    </cfRule>
  </conditionalFormatting>
  <conditionalFormatting sqref="C123">
    <cfRule type="cellIs" dxfId="609" priority="805" stopIfTrue="1" operator="equal">
      <formula>"Towel"</formula>
    </cfRule>
    <cfRule type="cellIs" dxfId="608" priority="806" stopIfTrue="1" operator="equal">
      <formula>"Napkin Hs"</formula>
    </cfRule>
  </conditionalFormatting>
  <conditionalFormatting sqref="B123:C123">
    <cfRule type="cellIs" dxfId="607" priority="803" stopIfTrue="1" operator="equal">
      <formula>"Towel"</formula>
    </cfRule>
    <cfRule type="cellIs" dxfId="606" priority="804" stopIfTrue="1" operator="equal">
      <formula>"Napkin Hs"</formula>
    </cfRule>
  </conditionalFormatting>
  <conditionalFormatting sqref="B123:C123">
    <cfRule type="cellIs" dxfId="605" priority="813" stopIfTrue="1" operator="equal">
      <formula>"Towel"</formula>
    </cfRule>
    <cfRule type="cellIs" dxfId="604" priority="814" stopIfTrue="1" operator="equal">
      <formula>"Napkin Hs"</formula>
    </cfRule>
  </conditionalFormatting>
  <conditionalFormatting sqref="C123">
    <cfRule type="cellIs" dxfId="603" priority="811" stopIfTrue="1" operator="equal">
      <formula>"Towel"</formula>
    </cfRule>
    <cfRule type="cellIs" dxfId="602" priority="812" stopIfTrue="1" operator="equal">
      <formula>"Napkin Hs"</formula>
    </cfRule>
  </conditionalFormatting>
  <conditionalFormatting sqref="C123">
    <cfRule type="cellIs" dxfId="601" priority="809" stopIfTrue="1" operator="equal">
      <formula>"Towel"</formula>
    </cfRule>
    <cfRule type="cellIs" dxfId="600" priority="810" stopIfTrue="1" operator="equal">
      <formula>"Napkin Hs"</formula>
    </cfRule>
  </conditionalFormatting>
  <conditionalFormatting sqref="C123">
    <cfRule type="cellIs" dxfId="599" priority="801" stopIfTrue="1" operator="equal">
      <formula>"Towel"</formula>
    </cfRule>
    <cfRule type="cellIs" dxfId="598" priority="802" stopIfTrue="1" operator="equal">
      <formula>"Napkin Hs"</formula>
    </cfRule>
  </conditionalFormatting>
  <conditionalFormatting sqref="C123">
    <cfRule type="cellIs" dxfId="597" priority="799" stopIfTrue="1" operator="equal">
      <formula>"Towel"</formula>
    </cfRule>
    <cfRule type="cellIs" dxfId="596" priority="800" stopIfTrue="1" operator="equal">
      <formula>"Napkin Hs"</formula>
    </cfRule>
  </conditionalFormatting>
  <conditionalFormatting sqref="B123:C123">
    <cfRule type="cellIs" dxfId="595" priority="797" stopIfTrue="1" operator="equal">
      <formula>"Towel"</formula>
    </cfRule>
    <cfRule type="cellIs" dxfId="594" priority="798" stopIfTrue="1" operator="equal">
      <formula>"Napkin Hs"</formula>
    </cfRule>
  </conditionalFormatting>
  <conditionalFormatting sqref="B123">
    <cfRule type="cellIs" dxfId="593" priority="795" stopIfTrue="1" operator="equal">
      <formula>"Towel"</formula>
    </cfRule>
    <cfRule type="cellIs" dxfId="592" priority="796" stopIfTrue="1" operator="equal">
      <formula>"Napkin Hs"</formula>
    </cfRule>
  </conditionalFormatting>
  <conditionalFormatting sqref="B123">
    <cfRule type="cellIs" dxfId="591" priority="793" stopIfTrue="1" operator="equal">
      <formula>"Towel"</formula>
    </cfRule>
    <cfRule type="cellIs" dxfId="590" priority="794" stopIfTrue="1" operator="equal">
      <formula>"Napkin Hs"</formula>
    </cfRule>
  </conditionalFormatting>
  <conditionalFormatting sqref="B123">
    <cfRule type="cellIs" dxfId="589" priority="791" stopIfTrue="1" operator="equal">
      <formula>"Towel"</formula>
    </cfRule>
    <cfRule type="cellIs" dxfId="588" priority="792" stopIfTrue="1" operator="equal">
      <formula>"Napkin Hs"</formula>
    </cfRule>
  </conditionalFormatting>
  <conditionalFormatting sqref="B123:C123">
    <cfRule type="cellIs" dxfId="587" priority="789" stopIfTrue="1" operator="equal">
      <formula>"Towel"</formula>
    </cfRule>
    <cfRule type="cellIs" dxfId="586" priority="790" stopIfTrue="1" operator="equal">
      <formula>"Napkin Hs"</formula>
    </cfRule>
  </conditionalFormatting>
  <conditionalFormatting sqref="C123">
    <cfRule type="cellIs" dxfId="585" priority="787" stopIfTrue="1" operator="equal">
      <formula>"Towel"</formula>
    </cfRule>
    <cfRule type="cellIs" dxfId="584" priority="788" stopIfTrue="1" operator="equal">
      <formula>"Napkin Hs"</formula>
    </cfRule>
  </conditionalFormatting>
  <conditionalFormatting sqref="C123">
    <cfRule type="cellIs" dxfId="583" priority="785" stopIfTrue="1" operator="equal">
      <formula>"Towel"</formula>
    </cfRule>
    <cfRule type="cellIs" dxfId="582" priority="786" stopIfTrue="1" operator="equal">
      <formula>"Napkin Hs"</formula>
    </cfRule>
  </conditionalFormatting>
  <conditionalFormatting sqref="C123">
    <cfRule type="cellIs" dxfId="581" priority="777" stopIfTrue="1" operator="equal">
      <formula>"Towel"</formula>
    </cfRule>
    <cfRule type="cellIs" dxfId="580" priority="778" stopIfTrue="1" operator="equal">
      <formula>"Napkin Hs"</formula>
    </cfRule>
  </conditionalFormatting>
  <conditionalFormatting sqref="B123:C123">
    <cfRule type="cellIs" dxfId="579" priority="779" stopIfTrue="1" operator="equal">
      <formula>"Towel"</formula>
    </cfRule>
    <cfRule type="cellIs" dxfId="578" priority="780" stopIfTrue="1" operator="equal">
      <formula>"Napkin Hs"</formula>
    </cfRule>
  </conditionalFormatting>
  <conditionalFormatting sqref="C123">
    <cfRule type="cellIs" dxfId="577" priority="775" stopIfTrue="1" operator="equal">
      <formula>"Towel"</formula>
    </cfRule>
    <cfRule type="cellIs" dxfId="576" priority="776" stopIfTrue="1" operator="equal">
      <formula>"Napkin Hs"</formula>
    </cfRule>
  </conditionalFormatting>
  <conditionalFormatting sqref="B123:C123">
    <cfRule type="cellIs" dxfId="575" priority="773" stopIfTrue="1" operator="equal">
      <formula>"Towel"</formula>
    </cfRule>
    <cfRule type="cellIs" dxfId="574" priority="774" stopIfTrue="1" operator="equal">
      <formula>"Napkin Hs"</formula>
    </cfRule>
  </conditionalFormatting>
  <conditionalFormatting sqref="C123">
    <cfRule type="cellIs" dxfId="573" priority="781" stopIfTrue="1" operator="equal">
      <formula>"Towel"</formula>
    </cfRule>
    <cfRule type="cellIs" dxfId="572" priority="782" stopIfTrue="1" operator="equal">
      <formula>"Napkin Hs"</formula>
    </cfRule>
  </conditionalFormatting>
  <conditionalFormatting sqref="C123">
    <cfRule type="cellIs" dxfId="571" priority="783" stopIfTrue="1" operator="equal">
      <formula>"Towel"</formula>
    </cfRule>
    <cfRule type="cellIs" dxfId="570" priority="784" stopIfTrue="1" operator="equal">
      <formula>"Napkin Hs"</formula>
    </cfRule>
  </conditionalFormatting>
  <conditionalFormatting sqref="B123:C123">
    <cfRule type="cellIs" dxfId="569" priority="769" stopIfTrue="1" operator="equal">
      <formula>"Towel"</formula>
    </cfRule>
    <cfRule type="cellIs" dxfId="568" priority="770" stopIfTrue="1" operator="equal">
      <formula>"Napkin Hs"</formula>
    </cfRule>
  </conditionalFormatting>
  <conditionalFormatting sqref="C123">
    <cfRule type="cellIs" dxfId="567" priority="771" stopIfTrue="1" operator="equal">
      <formula>"Towel"</formula>
    </cfRule>
    <cfRule type="cellIs" dxfId="566" priority="772" stopIfTrue="1" operator="equal">
      <formula>"Napkin Hs"</formula>
    </cfRule>
  </conditionalFormatting>
  <conditionalFormatting sqref="C123">
    <cfRule type="cellIs" dxfId="565" priority="767" stopIfTrue="1" operator="equal">
      <formula>"Towel"</formula>
    </cfRule>
    <cfRule type="cellIs" dxfId="564" priority="768" stopIfTrue="1" operator="equal">
      <formula>"Napkin Hs"</formula>
    </cfRule>
  </conditionalFormatting>
  <conditionalFormatting sqref="B123">
    <cfRule type="cellIs" dxfId="563" priority="763" stopIfTrue="1" operator="equal">
      <formula>"Towel"</formula>
    </cfRule>
    <cfRule type="cellIs" dxfId="562" priority="764" stopIfTrue="1" operator="equal">
      <formula>"Napkin Hs"</formula>
    </cfRule>
  </conditionalFormatting>
  <conditionalFormatting sqref="B123">
    <cfRule type="cellIs" dxfId="561" priority="765" stopIfTrue="1" operator="equal">
      <formula>"Towel"</formula>
    </cfRule>
    <cfRule type="cellIs" dxfId="560" priority="766" stopIfTrue="1" operator="equal">
      <formula>"Napkin Hs"</formula>
    </cfRule>
  </conditionalFormatting>
  <conditionalFormatting sqref="B123">
    <cfRule type="cellIs" dxfId="559" priority="761" stopIfTrue="1" operator="equal">
      <formula>"Towel"</formula>
    </cfRule>
    <cfRule type="cellIs" dxfId="558" priority="762" stopIfTrue="1" operator="equal">
      <formula>"Napkin Hs"</formula>
    </cfRule>
  </conditionalFormatting>
  <conditionalFormatting sqref="B123:C123">
    <cfRule type="cellIs" dxfId="557" priority="759" stopIfTrue="1" operator="equal">
      <formula>"Towel"</formula>
    </cfRule>
    <cfRule type="cellIs" dxfId="556" priority="760" stopIfTrue="1" operator="equal">
      <formula>"Napkin Hs"</formula>
    </cfRule>
  </conditionalFormatting>
  <conditionalFormatting sqref="C123">
    <cfRule type="cellIs" dxfId="555" priority="757" stopIfTrue="1" operator="equal">
      <formula>"Towel"</formula>
    </cfRule>
    <cfRule type="cellIs" dxfId="554" priority="758" stopIfTrue="1" operator="equal">
      <formula>"Napkin Hs"</formula>
    </cfRule>
  </conditionalFormatting>
  <conditionalFormatting sqref="C123">
    <cfRule type="cellIs" dxfId="553" priority="755" stopIfTrue="1" operator="equal">
      <formula>"Towel"</formula>
    </cfRule>
    <cfRule type="cellIs" dxfId="552" priority="756" stopIfTrue="1" operator="equal">
      <formula>"Napkin Hs"</formula>
    </cfRule>
  </conditionalFormatting>
  <conditionalFormatting sqref="C123">
    <cfRule type="cellIs" dxfId="551" priority="747" stopIfTrue="1" operator="equal">
      <formula>"Towel"</formula>
    </cfRule>
    <cfRule type="cellIs" dxfId="550" priority="748" stopIfTrue="1" operator="equal">
      <formula>"Napkin Hs"</formula>
    </cfRule>
  </conditionalFormatting>
  <conditionalFormatting sqref="B123:C123">
    <cfRule type="cellIs" dxfId="549" priority="749" stopIfTrue="1" operator="equal">
      <formula>"Towel"</formula>
    </cfRule>
    <cfRule type="cellIs" dxfId="548" priority="750" stopIfTrue="1" operator="equal">
      <formula>"Napkin Hs"</formula>
    </cfRule>
  </conditionalFormatting>
  <conditionalFormatting sqref="C123">
    <cfRule type="cellIs" dxfId="547" priority="745" stopIfTrue="1" operator="equal">
      <formula>"Towel"</formula>
    </cfRule>
    <cfRule type="cellIs" dxfId="546" priority="746" stopIfTrue="1" operator="equal">
      <formula>"Napkin Hs"</formula>
    </cfRule>
  </conditionalFormatting>
  <conditionalFormatting sqref="B123:C123">
    <cfRule type="cellIs" dxfId="545" priority="743" stopIfTrue="1" operator="equal">
      <formula>"Towel"</formula>
    </cfRule>
    <cfRule type="cellIs" dxfId="544" priority="744" stopIfTrue="1" operator="equal">
      <formula>"Napkin Hs"</formula>
    </cfRule>
  </conditionalFormatting>
  <conditionalFormatting sqref="C123">
    <cfRule type="cellIs" dxfId="543" priority="751" stopIfTrue="1" operator="equal">
      <formula>"Towel"</formula>
    </cfRule>
    <cfRule type="cellIs" dxfId="542" priority="752" stopIfTrue="1" operator="equal">
      <formula>"Napkin Hs"</formula>
    </cfRule>
  </conditionalFormatting>
  <conditionalFormatting sqref="C123">
    <cfRule type="cellIs" dxfId="541" priority="753" stopIfTrue="1" operator="equal">
      <formula>"Towel"</formula>
    </cfRule>
    <cfRule type="cellIs" dxfId="540" priority="754" stopIfTrue="1" operator="equal">
      <formula>"Napkin Hs"</formula>
    </cfRule>
  </conditionalFormatting>
  <conditionalFormatting sqref="C123">
    <cfRule type="cellIs" dxfId="539" priority="739" stopIfTrue="1" operator="equal">
      <formula>"Towel"</formula>
    </cfRule>
    <cfRule type="cellIs" dxfId="538" priority="740" stopIfTrue="1" operator="equal">
      <formula>"Napkin Hs"</formula>
    </cfRule>
  </conditionalFormatting>
  <conditionalFormatting sqref="C123">
    <cfRule type="cellIs" dxfId="537" priority="741" stopIfTrue="1" operator="equal">
      <formula>"Towel"</formula>
    </cfRule>
    <cfRule type="cellIs" dxfId="536" priority="742" stopIfTrue="1" operator="equal">
      <formula>"Napkin Hs"</formula>
    </cfRule>
  </conditionalFormatting>
  <conditionalFormatting sqref="B123:C123">
    <cfRule type="cellIs" dxfId="535" priority="737" stopIfTrue="1" operator="equal">
      <formula>"Towel"</formula>
    </cfRule>
    <cfRule type="cellIs" dxfId="534" priority="738" stopIfTrue="1" operator="equal">
      <formula>"Napkin Hs"</formula>
    </cfRule>
  </conditionalFormatting>
  <conditionalFormatting sqref="B123:C123">
    <cfRule type="cellIs" dxfId="533" priority="731" stopIfTrue="1" operator="equal">
      <formula>"Towel"</formula>
    </cfRule>
    <cfRule type="cellIs" dxfId="532" priority="732" stopIfTrue="1" operator="equal">
      <formula>"Napkin Hs"</formula>
    </cfRule>
  </conditionalFormatting>
  <conditionalFormatting sqref="C123">
    <cfRule type="cellIs" dxfId="531" priority="733" stopIfTrue="1" operator="equal">
      <formula>"Towel"</formula>
    </cfRule>
    <cfRule type="cellIs" dxfId="530" priority="734" stopIfTrue="1" operator="equal">
      <formula>"Napkin Hs"</formula>
    </cfRule>
  </conditionalFormatting>
  <conditionalFormatting sqref="C123">
    <cfRule type="cellIs" dxfId="529" priority="735" stopIfTrue="1" operator="equal">
      <formula>"Towel"</formula>
    </cfRule>
    <cfRule type="cellIs" dxfId="528" priority="736" stopIfTrue="1" operator="equal">
      <formula>"Napkin Hs"</formula>
    </cfRule>
  </conditionalFormatting>
  <conditionalFormatting sqref="C123">
    <cfRule type="cellIs" dxfId="527" priority="703" stopIfTrue="1" operator="equal">
      <formula>"Towel"</formula>
    </cfRule>
    <cfRule type="cellIs" dxfId="526" priority="704" stopIfTrue="1" operator="equal">
      <formula>"Napkin Hs"</formula>
    </cfRule>
  </conditionalFormatting>
  <conditionalFormatting sqref="C123">
    <cfRule type="cellIs" dxfId="525" priority="705" stopIfTrue="1" operator="equal">
      <formula>"Towel"</formula>
    </cfRule>
    <cfRule type="cellIs" dxfId="524" priority="706" stopIfTrue="1" operator="equal">
      <formula>"Napkin Hs"</formula>
    </cfRule>
  </conditionalFormatting>
  <conditionalFormatting sqref="C123">
    <cfRule type="cellIs" dxfId="523" priority="701" stopIfTrue="1" operator="equal">
      <formula>"Towel"</formula>
    </cfRule>
    <cfRule type="cellIs" dxfId="522" priority="702" stopIfTrue="1" operator="equal">
      <formula>"Napkin Hs"</formula>
    </cfRule>
  </conditionalFormatting>
  <conditionalFormatting sqref="B123">
    <cfRule type="cellIs" dxfId="521" priority="695" stopIfTrue="1" operator="equal">
      <formula>"Towel"</formula>
    </cfRule>
    <cfRule type="cellIs" dxfId="520" priority="696" stopIfTrue="1" operator="equal">
      <formula>"Napkin Hs"</formula>
    </cfRule>
  </conditionalFormatting>
  <conditionalFormatting sqref="C123">
    <cfRule type="cellIs" dxfId="519" priority="697" stopIfTrue="1" operator="equal">
      <formula>"Towel"</formula>
    </cfRule>
    <cfRule type="cellIs" dxfId="518" priority="698" stopIfTrue="1" operator="equal">
      <formula>"Napkin Hs"</formula>
    </cfRule>
  </conditionalFormatting>
  <conditionalFormatting sqref="C123">
    <cfRule type="cellIs" dxfId="517" priority="699" stopIfTrue="1" operator="equal">
      <formula>"Towel"</formula>
    </cfRule>
    <cfRule type="cellIs" dxfId="516" priority="700" stopIfTrue="1" operator="equal">
      <formula>"Napkin Hs"</formula>
    </cfRule>
  </conditionalFormatting>
  <conditionalFormatting sqref="B123:C123">
    <cfRule type="cellIs" dxfId="515" priority="649" stopIfTrue="1" operator="equal">
      <formula>"Towel"</formula>
    </cfRule>
    <cfRule type="cellIs" dxfId="514" priority="650" stopIfTrue="1" operator="equal">
      <formula>"Napkin Hs"</formula>
    </cfRule>
  </conditionalFormatting>
  <conditionalFormatting sqref="C123">
    <cfRule type="cellIs" dxfId="513" priority="651" stopIfTrue="1" operator="equal">
      <formula>"Towel"</formula>
    </cfRule>
    <cfRule type="cellIs" dxfId="512" priority="652" stopIfTrue="1" operator="equal">
      <formula>"Napkin Hs"</formula>
    </cfRule>
  </conditionalFormatting>
  <conditionalFormatting sqref="C123">
    <cfRule type="cellIs" dxfId="511" priority="647" stopIfTrue="1" operator="equal">
      <formula>"Towel"</formula>
    </cfRule>
    <cfRule type="cellIs" dxfId="510" priority="648" stopIfTrue="1" operator="equal">
      <formula>"Napkin Hs"</formula>
    </cfRule>
  </conditionalFormatting>
  <conditionalFormatting sqref="C123">
    <cfRule type="cellIs" dxfId="509" priority="645" stopIfTrue="1" operator="equal">
      <formula>"Towel"</formula>
    </cfRule>
    <cfRule type="cellIs" dxfId="508" priority="646" stopIfTrue="1" operator="equal">
      <formula>"Napkin Hs"</formula>
    </cfRule>
  </conditionalFormatting>
  <conditionalFormatting sqref="B123">
    <cfRule type="cellIs" dxfId="507" priority="693" stopIfTrue="1" operator="equal">
      <formula>"Towel"</formula>
    </cfRule>
    <cfRule type="cellIs" dxfId="506" priority="694" stopIfTrue="1" operator="equal">
      <formula>"Napkin Hs"</formula>
    </cfRule>
  </conditionalFormatting>
  <conditionalFormatting sqref="C123">
    <cfRule type="cellIs" dxfId="505" priority="689" stopIfTrue="1" operator="equal">
      <formula>"Towel"</formula>
    </cfRule>
    <cfRule type="cellIs" dxfId="504" priority="690" stopIfTrue="1" operator="equal">
      <formula>"Napkin Hs"</formula>
    </cfRule>
  </conditionalFormatting>
  <conditionalFormatting sqref="C123">
    <cfRule type="cellIs" dxfId="503" priority="683" stopIfTrue="1" operator="equal">
      <formula>"Towel"</formula>
    </cfRule>
    <cfRule type="cellIs" dxfId="502" priority="684" stopIfTrue="1" operator="equal">
      <formula>"Napkin Hs"</formula>
    </cfRule>
  </conditionalFormatting>
  <conditionalFormatting sqref="C123">
    <cfRule type="cellIs" dxfId="501" priority="687" stopIfTrue="1" operator="equal">
      <formula>"Towel"</formula>
    </cfRule>
    <cfRule type="cellIs" dxfId="500" priority="688" stopIfTrue="1" operator="equal">
      <formula>"Napkin Hs"</formula>
    </cfRule>
  </conditionalFormatting>
  <conditionalFormatting sqref="B123:C123">
    <cfRule type="cellIs" dxfId="499" priority="685" stopIfTrue="1" operator="equal">
      <formula>"Towel"</formula>
    </cfRule>
    <cfRule type="cellIs" dxfId="498" priority="686" stopIfTrue="1" operator="equal">
      <formula>"Napkin Hs"</formula>
    </cfRule>
  </conditionalFormatting>
  <conditionalFormatting sqref="C123">
    <cfRule type="cellIs" dxfId="497" priority="677" stopIfTrue="1" operator="equal">
      <formula>"Towel"</formula>
    </cfRule>
    <cfRule type="cellIs" dxfId="496" priority="678" stopIfTrue="1" operator="equal">
      <formula>"Napkin Hs"</formula>
    </cfRule>
  </conditionalFormatting>
  <conditionalFormatting sqref="C123">
    <cfRule type="cellIs" dxfId="495" priority="679" stopIfTrue="1" operator="equal">
      <formula>"Towel"</formula>
    </cfRule>
    <cfRule type="cellIs" dxfId="494" priority="680" stopIfTrue="1" operator="equal">
      <formula>"Napkin Hs"</formula>
    </cfRule>
  </conditionalFormatting>
  <conditionalFormatting sqref="C123">
    <cfRule type="cellIs" dxfId="493" priority="681" stopIfTrue="1" operator="equal">
      <formula>"Towel"</formula>
    </cfRule>
    <cfRule type="cellIs" dxfId="492" priority="682" stopIfTrue="1" operator="equal">
      <formula>"Napkin Hs"</formula>
    </cfRule>
  </conditionalFormatting>
  <conditionalFormatting sqref="C123">
    <cfRule type="cellIs" dxfId="491" priority="671" stopIfTrue="1" operator="equal">
      <formula>"Towel"</formula>
    </cfRule>
    <cfRule type="cellIs" dxfId="490" priority="672" stopIfTrue="1" operator="equal">
      <formula>"Napkin Hs"</formula>
    </cfRule>
  </conditionalFormatting>
  <conditionalFormatting sqref="B123:C123">
    <cfRule type="cellIs" dxfId="489" priority="675" stopIfTrue="1" operator="equal">
      <formula>"Towel"</formula>
    </cfRule>
    <cfRule type="cellIs" dxfId="488" priority="676" stopIfTrue="1" operator="equal">
      <formula>"Napkin Hs"</formula>
    </cfRule>
  </conditionalFormatting>
  <conditionalFormatting sqref="C123">
    <cfRule type="cellIs" dxfId="487" priority="673" stopIfTrue="1" operator="equal">
      <formula>"Towel"</formula>
    </cfRule>
    <cfRule type="cellIs" dxfId="486" priority="674" stopIfTrue="1" operator="equal">
      <formula>"Napkin Hs"</formula>
    </cfRule>
  </conditionalFormatting>
  <conditionalFormatting sqref="B123:C123">
    <cfRule type="cellIs" dxfId="485" priority="665" stopIfTrue="1" operator="equal">
      <formula>"Towel"</formula>
    </cfRule>
    <cfRule type="cellIs" dxfId="484" priority="666" stopIfTrue="1" operator="equal">
      <formula>"Napkin Hs"</formula>
    </cfRule>
  </conditionalFormatting>
  <conditionalFormatting sqref="C123">
    <cfRule type="cellIs" dxfId="483" priority="667" stopIfTrue="1" operator="equal">
      <formula>"Towel"</formula>
    </cfRule>
    <cfRule type="cellIs" dxfId="482" priority="668" stopIfTrue="1" operator="equal">
      <formula>"Napkin Hs"</formula>
    </cfRule>
  </conditionalFormatting>
  <conditionalFormatting sqref="B123:C123">
    <cfRule type="cellIs" dxfId="481" priority="669" stopIfTrue="1" operator="equal">
      <formula>"Towel"</formula>
    </cfRule>
    <cfRule type="cellIs" dxfId="480" priority="670" stopIfTrue="1" operator="equal">
      <formula>"Napkin Hs"</formula>
    </cfRule>
  </conditionalFormatting>
  <conditionalFormatting sqref="C123">
    <cfRule type="cellIs" dxfId="479" priority="663" stopIfTrue="1" operator="equal">
      <formula>"Towel"</formula>
    </cfRule>
    <cfRule type="cellIs" dxfId="478" priority="664" stopIfTrue="1" operator="equal">
      <formula>"Napkin Hs"</formula>
    </cfRule>
  </conditionalFormatting>
  <conditionalFormatting sqref="C123">
    <cfRule type="cellIs" dxfId="477" priority="659" stopIfTrue="1" operator="equal">
      <formula>"Towel"</formula>
    </cfRule>
    <cfRule type="cellIs" dxfId="476" priority="660" stopIfTrue="1" operator="equal">
      <formula>"Napkin Hs"</formula>
    </cfRule>
  </conditionalFormatting>
  <conditionalFormatting sqref="B123:C123">
    <cfRule type="cellIs" dxfId="475" priority="661" stopIfTrue="1" operator="equal">
      <formula>"Towel"</formula>
    </cfRule>
    <cfRule type="cellIs" dxfId="474" priority="662" stopIfTrue="1" operator="equal">
      <formula>"Napkin Hs"</formula>
    </cfRule>
  </conditionalFormatting>
  <conditionalFormatting sqref="C123">
    <cfRule type="cellIs" dxfId="473" priority="657" stopIfTrue="1" operator="equal">
      <formula>"Towel"</formula>
    </cfRule>
    <cfRule type="cellIs" dxfId="472" priority="658" stopIfTrue="1" operator="equal">
      <formula>"Napkin Hs"</formula>
    </cfRule>
  </conditionalFormatting>
  <conditionalFormatting sqref="C123">
    <cfRule type="cellIs" dxfId="471" priority="655" stopIfTrue="1" operator="equal">
      <formula>"Towel"</formula>
    </cfRule>
    <cfRule type="cellIs" dxfId="470" priority="656" stopIfTrue="1" operator="equal">
      <formula>"Napkin Hs"</formula>
    </cfRule>
  </conditionalFormatting>
  <conditionalFormatting sqref="B123:C123">
    <cfRule type="cellIs" dxfId="469" priority="653" stopIfTrue="1" operator="equal">
      <formula>"Towel"</formula>
    </cfRule>
    <cfRule type="cellIs" dxfId="468" priority="654" stopIfTrue="1" operator="equal">
      <formula>"Napkin Hs"</formula>
    </cfRule>
  </conditionalFormatting>
  <conditionalFormatting sqref="B123:C123">
    <cfRule type="cellIs" dxfId="467" priority="729" stopIfTrue="1" operator="equal">
      <formula>"Towel"</formula>
    </cfRule>
    <cfRule type="cellIs" dxfId="466" priority="730" stopIfTrue="1" operator="equal">
      <formula>"Napkin Hs"</formula>
    </cfRule>
  </conditionalFormatting>
  <conditionalFormatting sqref="C123">
    <cfRule type="cellIs" dxfId="465" priority="725" stopIfTrue="1" operator="equal">
      <formula>"Towel"</formula>
    </cfRule>
    <cfRule type="cellIs" dxfId="464" priority="726" stopIfTrue="1" operator="equal">
      <formula>"Napkin Hs"</formula>
    </cfRule>
  </conditionalFormatting>
  <conditionalFormatting sqref="C123">
    <cfRule type="cellIs" dxfId="463" priority="728" stopIfTrue="1" operator="equal">
      <formula>"Napkin Hs"</formula>
    </cfRule>
  </conditionalFormatting>
  <conditionalFormatting sqref="C123">
    <cfRule type="cellIs" dxfId="462" priority="727" stopIfTrue="1" operator="equal">
      <formula>"Towel"</formula>
    </cfRule>
  </conditionalFormatting>
  <conditionalFormatting sqref="C123">
    <cfRule type="cellIs" dxfId="461" priority="719" stopIfTrue="1" operator="equal">
      <formula>"Towel"</formula>
    </cfRule>
    <cfRule type="cellIs" dxfId="460" priority="720" stopIfTrue="1" operator="equal">
      <formula>"Napkin Hs"</formula>
    </cfRule>
  </conditionalFormatting>
  <conditionalFormatting sqref="C123">
    <cfRule type="cellIs" dxfId="459" priority="723" stopIfTrue="1" operator="equal">
      <formula>"Towel"</formula>
    </cfRule>
    <cfRule type="cellIs" dxfId="458" priority="724" stopIfTrue="1" operator="equal">
      <formula>"Napkin Hs"</formula>
    </cfRule>
  </conditionalFormatting>
  <conditionalFormatting sqref="B123">
    <cfRule type="cellIs" dxfId="457" priority="709" stopIfTrue="1" operator="equal">
      <formula>"Towel"</formula>
    </cfRule>
    <cfRule type="cellIs" dxfId="456" priority="710" stopIfTrue="1" operator="equal">
      <formula>"Napkin Hs"</formula>
    </cfRule>
  </conditionalFormatting>
  <conditionalFormatting sqref="C123">
    <cfRule type="cellIs" dxfId="455" priority="721" stopIfTrue="1" operator="equal">
      <formula>"Towel"</formula>
    </cfRule>
    <cfRule type="cellIs" dxfId="454" priority="722" stopIfTrue="1" operator="equal">
      <formula>"Napkin Hs"</formula>
    </cfRule>
  </conditionalFormatting>
  <conditionalFormatting sqref="C123">
    <cfRule type="cellIs" dxfId="453" priority="713" stopIfTrue="1" operator="equal">
      <formula>"Towel"</formula>
    </cfRule>
    <cfRule type="cellIs" dxfId="452" priority="714" stopIfTrue="1" operator="equal">
      <formula>"Napkin Hs"</formula>
    </cfRule>
  </conditionalFormatting>
  <conditionalFormatting sqref="C123">
    <cfRule type="cellIs" dxfId="451" priority="715" stopIfTrue="1" operator="equal">
      <formula>"Towel"</formula>
    </cfRule>
    <cfRule type="cellIs" dxfId="450" priority="716" stopIfTrue="1" operator="equal">
      <formula>"Napkin Hs"</formula>
    </cfRule>
  </conditionalFormatting>
  <conditionalFormatting sqref="C123">
    <cfRule type="cellIs" dxfId="449" priority="717" stopIfTrue="1" operator="equal">
      <formula>"Towel"</formula>
    </cfRule>
    <cfRule type="cellIs" dxfId="448" priority="718" stopIfTrue="1" operator="equal">
      <formula>"Napkin Hs"</formula>
    </cfRule>
  </conditionalFormatting>
  <conditionalFormatting sqref="B123">
    <cfRule type="cellIs" dxfId="447" priority="711" stopIfTrue="1" operator="equal">
      <formula>"Towel"</formula>
    </cfRule>
    <cfRule type="cellIs" dxfId="446" priority="712" stopIfTrue="1" operator="equal">
      <formula>"Napkin Hs"</formula>
    </cfRule>
  </conditionalFormatting>
  <conditionalFormatting sqref="C123">
    <cfRule type="cellIs" dxfId="445" priority="707" stopIfTrue="1" operator="equal">
      <formula>"Towel"</formula>
    </cfRule>
    <cfRule type="cellIs" dxfId="444" priority="708" stopIfTrue="1" operator="equal">
      <formula>"Napkin Hs"</formula>
    </cfRule>
  </conditionalFormatting>
  <conditionalFormatting sqref="B123:C123">
    <cfRule type="cellIs" dxfId="443" priority="691" stopIfTrue="1" operator="equal">
      <formula>"Towel"</formula>
    </cfRule>
    <cfRule type="cellIs" dxfId="442" priority="692" stopIfTrue="1" operator="equal">
      <formula>"Napkin Hs"</formula>
    </cfRule>
  </conditionalFormatting>
  <conditionalFormatting sqref="B123">
    <cfRule type="cellIs" dxfId="441" priority="643" stopIfTrue="1" operator="equal">
      <formula>"Towel"</formula>
    </cfRule>
    <cfRule type="cellIs" dxfId="440" priority="644" stopIfTrue="1" operator="equal">
      <formula>"Napkin Hs"</formula>
    </cfRule>
  </conditionalFormatting>
  <conditionalFormatting sqref="B123">
    <cfRule type="cellIs" dxfId="439" priority="641" stopIfTrue="1" operator="equal">
      <formula>"Towel"</formula>
    </cfRule>
    <cfRule type="cellIs" dxfId="438" priority="642" stopIfTrue="1" operator="equal">
      <formula>"Napkin Hs"</formula>
    </cfRule>
  </conditionalFormatting>
  <conditionalFormatting sqref="B123">
    <cfRule type="cellIs" dxfId="437" priority="639" stopIfTrue="1" operator="equal">
      <formula>"Towel"</formula>
    </cfRule>
    <cfRule type="cellIs" dxfId="436" priority="640" stopIfTrue="1" operator="equal">
      <formula>"Napkin Hs"</formula>
    </cfRule>
  </conditionalFormatting>
  <conditionalFormatting sqref="B123">
    <cfRule type="cellIs" dxfId="435" priority="633" stopIfTrue="1" operator="equal">
      <formula>"Towel"</formula>
    </cfRule>
    <cfRule type="cellIs" dxfId="434" priority="634" stopIfTrue="1" operator="equal">
      <formula>"Napkin Hs"</formula>
    </cfRule>
  </conditionalFormatting>
  <conditionalFormatting sqref="B123">
    <cfRule type="cellIs" dxfId="433" priority="637" stopIfTrue="1" operator="equal">
      <formula>"Towel"</formula>
    </cfRule>
    <cfRule type="cellIs" dxfId="432" priority="638" stopIfTrue="1" operator="equal">
      <formula>"Napkin Hs"</formula>
    </cfRule>
  </conditionalFormatting>
  <conditionalFormatting sqref="B123">
    <cfRule type="cellIs" dxfId="431" priority="635" stopIfTrue="1" operator="equal">
      <formula>"Towel"</formula>
    </cfRule>
    <cfRule type="cellIs" dxfId="430" priority="636" stopIfTrue="1" operator="equal">
      <formula>"Napkin Hs"</formula>
    </cfRule>
  </conditionalFormatting>
  <conditionalFormatting sqref="B123">
    <cfRule type="cellIs" dxfId="429" priority="631" stopIfTrue="1" operator="equal">
      <formula>"Towel"</formula>
    </cfRule>
    <cfRule type="cellIs" dxfId="428" priority="632" stopIfTrue="1" operator="equal">
      <formula>"Napkin Hs"</formula>
    </cfRule>
  </conditionalFormatting>
  <conditionalFormatting sqref="B123">
    <cfRule type="cellIs" dxfId="427" priority="629" stopIfTrue="1" operator="equal">
      <formula>"Towel"</formula>
    </cfRule>
    <cfRule type="cellIs" dxfId="426" priority="630" stopIfTrue="1" operator="equal">
      <formula>"Napkin Hs"</formula>
    </cfRule>
  </conditionalFormatting>
  <conditionalFormatting sqref="B123">
    <cfRule type="cellIs" dxfId="425" priority="625" stopIfTrue="1" operator="equal">
      <formula>"Towel"</formula>
    </cfRule>
    <cfRule type="cellIs" dxfId="424" priority="626" stopIfTrue="1" operator="equal">
      <formula>"Napkin Hs"</formula>
    </cfRule>
  </conditionalFormatting>
  <conditionalFormatting sqref="B123">
    <cfRule type="cellIs" dxfId="423" priority="623" stopIfTrue="1" operator="equal">
      <formula>"Towel"</formula>
    </cfRule>
    <cfRule type="cellIs" dxfId="422" priority="624" stopIfTrue="1" operator="equal">
      <formula>"Napkin Hs"</formula>
    </cfRule>
  </conditionalFormatting>
  <conditionalFormatting sqref="B123">
    <cfRule type="cellIs" dxfId="421" priority="627" stopIfTrue="1" operator="equal">
      <formula>"Towel"</formula>
    </cfRule>
    <cfRule type="cellIs" dxfId="420" priority="628" stopIfTrue="1" operator="equal">
      <formula>"Napkin Hs"</formula>
    </cfRule>
  </conditionalFormatting>
  <conditionalFormatting sqref="B123">
    <cfRule type="cellIs" dxfId="419" priority="621" stopIfTrue="1" operator="equal">
      <formula>"Towel"</formula>
    </cfRule>
    <cfRule type="cellIs" dxfId="418" priority="622" stopIfTrue="1" operator="equal">
      <formula>"Napkin Hs"</formula>
    </cfRule>
  </conditionalFormatting>
  <conditionalFormatting sqref="B123">
    <cfRule type="cellIs" dxfId="417" priority="619" stopIfTrue="1" operator="equal">
      <formula>"Towel"</formula>
    </cfRule>
    <cfRule type="cellIs" dxfId="416" priority="620" stopIfTrue="1" operator="equal">
      <formula>"Napkin Hs"</formula>
    </cfRule>
  </conditionalFormatting>
  <conditionalFormatting sqref="B123">
    <cfRule type="cellIs" dxfId="415" priority="617" stopIfTrue="1" operator="equal">
      <formula>"Towel"</formula>
    </cfRule>
    <cfRule type="cellIs" dxfId="414" priority="618" stopIfTrue="1" operator="equal">
      <formula>"Napkin Hs"</formula>
    </cfRule>
  </conditionalFormatting>
  <conditionalFormatting sqref="B123">
    <cfRule type="cellIs" dxfId="413" priority="615" stopIfTrue="1" operator="equal">
      <formula>"Towel"</formula>
    </cfRule>
    <cfRule type="cellIs" dxfId="412" priority="616" stopIfTrue="1" operator="equal">
      <formula>"Napkin Hs"</formula>
    </cfRule>
  </conditionalFormatting>
  <conditionalFormatting sqref="C123">
    <cfRule type="cellIs" dxfId="411" priority="611" stopIfTrue="1" operator="equal">
      <formula>"Towel"</formula>
    </cfRule>
    <cfRule type="cellIs" dxfId="410" priority="612" stopIfTrue="1" operator="equal">
      <formula>"Napkin Hs"</formula>
    </cfRule>
  </conditionalFormatting>
  <conditionalFormatting sqref="C123">
    <cfRule type="cellIs" dxfId="409" priority="613" stopIfTrue="1" operator="equal">
      <formula>"Towel"</formula>
    </cfRule>
    <cfRule type="cellIs" dxfId="408" priority="614" stopIfTrue="1" operator="equal">
      <formula>"Napkin Hs"</formula>
    </cfRule>
  </conditionalFormatting>
  <conditionalFormatting sqref="C123">
    <cfRule type="cellIs" dxfId="407" priority="607" stopIfTrue="1" operator="equal">
      <formula>"Towel"</formula>
    </cfRule>
    <cfRule type="cellIs" dxfId="406" priority="608" stopIfTrue="1" operator="equal">
      <formula>"Napkin Hs"</formula>
    </cfRule>
  </conditionalFormatting>
  <conditionalFormatting sqref="B123:C123">
    <cfRule type="cellIs" dxfId="405" priority="609" stopIfTrue="1" operator="equal">
      <formula>"Towel"</formula>
    </cfRule>
    <cfRule type="cellIs" dxfId="404" priority="610" stopIfTrue="1" operator="equal">
      <formula>"Napkin Hs"</formula>
    </cfRule>
  </conditionalFormatting>
  <conditionalFormatting sqref="C123">
    <cfRule type="cellIs" dxfId="403" priority="605" stopIfTrue="1" operator="equal">
      <formula>"Towel"</formula>
    </cfRule>
    <cfRule type="cellIs" dxfId="402" priority="606" stopIfTrue="1" operator="equal">
      <formula>"Napkin Hs"</formula>
    </cfRule>
  </conditionalFormatting>
  <conditionalFormatting sqref="B123:C123">
    <cfRule type="cellIs" dxfId="401" priority="603" stopIfTrue="1" operator="equal">
      <formula>"Towel"</formula>
    </cfRule>
    <cfRule type="cellIs" dxfId="400" priority="604" stopIfTrue="1" operator="equal">
      <formula>"Napkin Hs"</formula>
    </cfRule>
  </conditionalFormatting>
  <conditionalFormatting sqref="B123:C123">
    <cfRule type="cellIs" dxfId="399" priority="601" stopIfTrue="1" operator="equal">
      <formula>"Towel"</formula>
    </cfRule>
    <cfRule type="cellIs" dxfId="398" priority="602" stopIfTrue="1" operator="equal">
      <formula>"Napkin Hs"</formula>
    </cfRule>
  </conditionalFormatting>
  <conditionalFormatting sqref="C123">
    <cfRule type="cellIs" dxfId="397" priority="595" stopIfTrue="1" operator="equal">
      <formula>"Towel"</formula>
    </cfRule>
    <cfRule type="cellIs" dxfId="396" priority="596" stopIfTrue="1" operator="equal">
      <formula>"Napkin Hs"</formula>
    </cfRule>
  </conditionalFormatting>
  <conditionalFormatting sqref="C123">
    <cfRule type="cellIs" dxfId="395" priority="597" stopIfTrue="1" operator="equal">
      <formula>"Towel"</formula>
    </cfRule>
    <cfRule type="cellIs" dxfId="394" priority="598" stopIfTrue="1" operator="equal">
      <formula>"Napkin Hs"</formula>
    </cfRule>
  </conditionalFormatting>
  <conditionalFormatting sqref="C123">
    <cfRule type="cellIs" dxfId="393" priority="593" stopIfTrue="1" operator="equal">
      <formula>"Towel"</formula>
    </cfRule>
    <cfRule type="cellIs" dxfId="392" priority="594" stopIfTrue="1" operator="equal">
      <formula>"Napkin Hs"</formula>
    </cfRule>
  </conditionalFormatting>
  <conditionalFormatting sqref="C123">
    <cfRule type="cellIs" dxfId="391" priority="591" stopIfTrue="1" operator="equal">
      <formula>"Towel"</formula>
    </cfRule>
    <cfRule type="cellIs" dxfId="390" priority="592" stopIfTrue="1" operator="equal">
      <formula>"Napkin Hs"</formula>
    </cfRule>
  </conditionalFormatting>
  <conditionalFormatting sqref="C123">
    <cfRule type="cellIs" dxfId="389" priority="587" stopIfTrue="1" operator="equal">
      <formula>"Towel"</formula>
    </cfRule>
    <cfRule type="cellIs" dxfId="388" priority="588" stopIfTrue="1" operator="equal">
      <formula>"Napkin Hs"</formula>
    </cfRule>
  </conditionalFormatting>
  <conditionalFormatting sqref="C123">
    <cfRule type="cellIs" dxfId="387" priority="589" stopIfTrue="1" operator="equal">
      <formula>"Towel"</formula>
    </cfRule>
    <cfRule type="cellIs" dxfId="386" priority="590" stopIfTrue="1" operator="equal">
      <formula>"Napkin Hs"</formula>
    </cfRule>
  </conditionalFormatting>
  <conditionalFormatting sqref="C123">
    <cfRule type="cellIs" dxfId="385" priority="585" stopIfTrue="1" operator="equal">
      <formula>"Towel"</formula>
    </cfRule>
    <cfRule type="cellIs" dxfId="384" priority="586" stopIfTrue="1" operator="equal">
      <formula>"Napkin Hs"</formula>
    </cfRule>
  </conditionalFormatting>
  <conditionalFormatting sqref="C123">
    <cfRule type="cellIs" dxfId="383" priority="569" stopIfTrue="1" operator="equal">
      <formula>"Towel"</formula>
    </cfRule>
    <cfRule type="cellIs" dxfId="382" priority="570" stopIfTrue="1" operator="equal">
      <formula>"Napkin Hs"</formula>
    </cfRule>
  </conditionalFormatting>
  <conditionalFormatting sqref="B123">
    <cfRule type="cellIs" dxfId="381" priority="567" stopIfTrue="1" operator="equal">
      <formula>"Towel"</formula>
    </cfRule>
    <cfRule type="cellIs" dxfId="380" priority="568" stopIfTrue="1" operator="equal">
      <formula>"Napkin Hs"</formula>
    </cfRule>
  </conditionalFormatting>
  <conditionalFormatting sqref="B123">
    <cfRule type="cellIs" dxfId="379" priority="583" stopIfTrue="1" operator="equal">
      <formula>"Towel"</formula>
    </cfRule>
    <cfRule type="cellIs" dxfId="378" priority="584" stopIfTrue="1" operator="equal">
      <formula>"Napkin Hs"</formula>
    </cfRule>
  </conditionalFormatting>
  <conditionalFormatting sqref="C123">
    <cfRule type="cellIs" dxfId="377" priority="579" stopIfTrue="1" operator="equal">
      <formula>"Towel"</formula>
    </cfRule>
    <cfRule type="cellIs" dxfId="376" priority="580" stopIfTrue="1" operator="equal">
      <formula>"Napkin Hs"</formula>
    </cfRule>
  </conditionalFormatting>
  <conditionalFormatting sqref="B123">
    <cfRule type="cellIs" dxfId="375" priority="581" stopIfTrue="1" operator="equal">
      <formula>"Towel"</formula>
    </cfRule>
    <cfRule type="cellIs" dxfId="374" priority="582" stopIfTrue="1" operator="equal">
      <formula>"Napkin Hs"</formula>
    </cfRule>
  </conditionalFormatting>
  <conditionalFormatting sqref="C123">
    <cfRule type="cellIs" dxfId="373" priority="575" stopIfTrue="1" operator="equal">
      <formula>"Towel"</formula>
    </cfRule>
    <cfRule type="cellIs" dxfId="372" priority="576" stopIfTrue="1" operator="equal">
      <formula>"Napkin Hs"</formula>
    </cfRule>
  </conditionalFormatting>
  <conditionalFormatting sqref="C123">
    <cfRule type="cellIs" dxfId="371" priority="577" stopIfTrue="1" operator="equal">
      <formula>"Towel"</formula>
    </cfRule>
    <cfRule type="cellIs" dxfId="370" priority="578" stopIfTrue="1" operator="equal">
      <formula>"Napkin Hs"</formula>
    </cfRule>
  </conditionalFormatting>
  <conditionalFormatting sqref="C123">
    <cfRule type="cellIs" dxfId="369" priority="573" stopIfTrue="1" operator="equal">
      <formula>"Towel"</formula>
    </cfRule>
    <cfRule type="cellIs" dxfId="368" priority="574" stopIfTrue="1" operator="equal">
      <formula>"Napkin Hs"</formula>
    </cfRule>
  </conditionalFormatting>
  <conditionalFormatting sqref="C123">
    <cfRule type="cellIs" dxfId="367" priority="571" stopIfTrue="1" operator="equal">
      <formula>"Towel"</formula>
    </cfRule>
    <cfRule type="cellIs" dxfId="366" priority="572" stopIfTrue="1" operator="equal">
      <formula>"Napkin Hs"</formula>
    </cfRule>
  </conditionalFormatting>
  <conditionalFormatting sqref="B123">
    <cfRule type="cellIs" dxfId="365" priority="565" stopIfTrue="1" operator="equal">
      <formula>"Towel"</formula>
    </cfRule>
    <cfRule type="cellIs" dxfId="364" priority="566" stopIfTrue="1" operator="equal">
      <formula>"Napkin Hs"</formula>
    </cfRule>
  </conditionalFormatting>
  <conditionalFormatting sqref="B123:C123">
    <cfRule type="cellIs" dxfId="363" priority="563" stopIfTrue="1" operator="equal">
      <formula>"Towel"</formula>
    </cfRule>
    <cfRule type="cellIs" dxfId="362" priority="564" stopIfTrue="1" operator="equal">
      <formula>"Napkin Hs"</formula>
    </cfRule>
  </conditionalFormatting>
  <conditionalFormatting sqref="C123">
    <cfRule type="cellIs" dxfId="361" priority="561" stopIfTrue="1" operator="equal">
      <formula>"Towel"</formula>
    </cfRule>
    <cfRule type="cellIs" dxfId="360" priority="562" stopIfTrue="1" operator="equal">
      <formula>"Napkin Hs"</formula>
    </cfRule>
  </conditionalFormatting>
  <conditionalFormatting sqref="C123">
    <cfRule type="cellIs" dxfId="359" priority="559" stopIfTrue="1" operator="equal">
      <formula>"Towel"</formula>
    </cfRule>
    <cfRule type="cellIs" dxfId="358" priority="560" stopIfTrue="1" operator="equal">
      <formula>"Napkin Hs"</formula>
    </cfRule>
  </conditionalFormatting>
  <conditionalFormatting sqref="C123">
    <cfRule type="cellIs" dxfId="357" priority="549" stopIfTrue="1" operator="equal">
      <formula>"Towel"</formula>
    </cfRule>
    <cfRule type="cellIs" dxfId="356" priority="550" stopIfTrue="1" operator="equal">
      <formula>"Napkin Hs"</formula>
    </cfRule>
  </conditionalFormatting>
  <conditionalFormatting sqref="C123">
    <cfRule type="cellIs" dxfId="355" priority="551" stopIfTrue="1" operator="equal">
      <formula>"Towel"</formula>
    </cfRule>
    <cfRule type="cellIs" dxfId="354" priority="552" stopIfTrue="1" operator="equal">
      <formula>"Napkin Hs"</formula>
    </cfRule>
  </conditionalFormatting>
  <conditionalFormatting sqref="B123:C123">
    <cfRule type="cellIs" dxfId="353" priority="547" stopIfTrue="1" operator="equal">
      <formula>"Towel"</formula>
    </cfRule>
    <cfRule type="cellIs" dxfId="352" priority="548" stopIfTrue="1" operator="equal">
      <formula>"Napkin Hs"</formula>
    </cfRule>
  </conditionalFormatting>
  <conditionalFormatting sqref="C123">
    <cfRule type="cellIs" dxfId="351" priority="545" stopIfTrue="1" operator="equal">
      <formula>"Towel"</formula>
    </cfRule>
    <cfRule type="cellIs" dxfId="350" priority="546" stopIfTrue="1" operator="equal">
      <formula>"Napkin Hs"</formula>
    </cfRule>
  </conditionalFormatting>
  <conditionalFormatting sqref="B123:C123">
    <cfRule type="cellIs" dxfId="349" priority="541" stopIfTrue="1" operator="equal">
      <formula>"Towel"</formula>
    </cfRule>
    <cfRule type="cellIs" dxfId="348" priority="542" stopIfTrue="1" operator="equal">
      <formula>"Napkin Hs"</formula>
    </cfRule>
  </conditionalFormatting>
  <conditionalFormatting sqref="C123">
    <cfRule type="cellIs" dxfId="347" priority="543" stopIfTrue="1" operator="equal">
      <formula>"Towel"</formula>
    </cfRule>
    <cfRule type="cellIs" dxfId="346" priority="544" stopIfTrue="1" operator="equal">
      <formula>"Napkin Hs"</formula>
    </cfRule>
  </conditionalFormatting>
  <conditionalFormatting sqref="C123">
    <cfRule type="cellIs" dxfId="345" priority="600" stopIfTrue="1" operator="equal">
      <formula>"Napkin Hs"</formula>
    </cfRule>
  </conditionalFormatting>
  <conditionalFormatting sqref="C123">
    <cfRule type="cellIs" dxfId="344" priority="599" stopIfTrue="1" operator="equal">
      <formula>"Towel"</formula>
    </cfRule>
  </conditionalFormatting>
  <conditionalFormatting sqref="B123:C123">
    <cfRule type="cellIs" dxfId="343" priority="557" stopIfTrue="1" operator="equal">
      <formula>"Towel"</formula>
    </cfRule>
    <cfRule type="cellIs" dxfId="342" priority="558" stopIfTrue="1" operator="equal">
      <formula>"Napkin Hs"</formula>
    </cfRule>
  </conditionalFormatting>
  <conditionalFormatting sqref="C123">
    <cfRule type="cellIs" dxfId="341" priority="555" stopIfTrue="1" operator="equal">
      <formula>"Towel"</formula>
    </cfRule>
    <cfRule type="cellIs" dxfId="340" priority="556" stopIfTrue="1" operator="equal">
      <formula>"Napkin Hs"</formula>
    </cfRule>
  </conditionalFormatting>
  <conditionalFormatting sqref="C123">
    <cfRule type="cellIs" dxfId="339" priority="553" stopIfTrue="1" operator="equal">
      <formula>"Towel"</formula>
    </cfRule>
    <cfRule type="cellIs" dxfId="338" priority="554" stopIfTrue="1" operator="equal">
      <formula>"Napkin Hs"</formula>
    </cfRule>
  </conditionalFormatting>
  <conditionalFormatting sqref="B123:C123">
    <cfRule type="cellIs" dxfId="337" priority="537" stopIfTrue="1" operator="equal">
      <formula>"Towel"</formula>
    </cfRule>
    <cfRule type="cellIs" dxfId="336" priority="538" stopIfTrue="1" operator="equal">
      <formula>"Napkin Hs"</formula>
    </cfRule>
  </conditionalFormatting>
  <conditionalFormatting sqref="C123">
    <cfRule type="cellIs" dxfId="335" priority="539" stopIfTrue="1" operator="equal">
      <formula>"Towel"</formula>
    </cfRule>
    <cfRule type="cellIs" dxfId="334" priority="540" stopIfTrue="1" operator="equal">
      <formula>"Napkin Hs"</formula>
    </cfRule>
  </conditionalFormatting>
  <conditionalFormatting sqref="C123">
    <cfRule type="cellIs" dxfId="333" priority="535" stopIfTrue="1" operator="equal">
      <formula>"Towel"</formula>
    </cfRule>
    <cfRule type="cellIs" dxfId="332" priority="536" stopIfTrue="1" operator="equal">
      <formula>"Napkin Hs"</formula>
    </cfRule>
  </conditionalFormatting>
  <conditionalFormatting sqref="B123:C123">
    <cfRule type="cellIs" dxfId="331" priority="533" stopIfTrue="1" operator="equal">
      <formula>"Towel"</formula>
    </cfRule>
    <cfRule type="cellIs" dxfId="330" priority="534" stopIfTrue="1" operator="equal">
      <formula>"Napkin Hs"</formula>
    </cfRule>
  </conditionalFormatting>
  <conditionalFormatting sqref="C123">
    <cfRule type="cellIs" dxfId="329" priority="529" stopIfTrue="1" operator="equal">
      <formula>"Towel"</formula>
    </cfRule>
    <cfRule type="cellIs" dxfId="328" priority="530" stopIfTrue="1" operator="equal">
      <formula>"Napkin Hs"</formula>
    </cfRule>
  </conditionalFormatting>
  <conditionalFormatting sqref="C123">
    <cfRule type="cellIs" dxfId="327" priority="531" stopIfTrue="1" operator="equal">
      <formula>"Towel"</formula>
    </cfRule>
    <cfRule type="cellIs" dxfId="326" priority="532" stopIfTrue="1" operator="equal">
      <formula>"Napkin Hs"</formula>
    </cfRule>
  </conditionalFormatting>
  <conditionalFormatting sqref="B123:C123">
    <cfRule type="cellIs" dxfId="325" priority="525" stopIfTrue="1" operator="equal">
      <formula>"Towel"</formula>
    </cfRule>
    <cfRule type="cellIs" dxfId="324" priority="526" stopIfTrue="1" operator="equal">
      <formula>"Napkin Hs"</formula>
    </cfRule>
  </conditionalFormatting>
  <conditionalFormatting sqref="C123">
    <cfRule type="cellIs" dxfId="323" priority="527" stopIfTrue="1" operator="equal">
      <formula>"Towel"</formula>
    </cfRule>
    <cfRule type="cellIs" dxfId="322" priority="528" stopIfTrue="1" operator="equal">
      <formula>"Napkin Hs"</formula>
    </cfRule>
  </conditionalFormatting>
  <conditionalFormatting sqref="C123">
    <cfRule type="cellIs" dxfId="321" priority="523" stopIfTrue="1" operator="equal">
      <formula>"Towel"</formula>
    </cfRule>
    <cfRule type="cellIs" dxfId="320" priority="524" stopIfTrue="1" operator="equal">
      <formula>"Napkin Hs"</formula>
    </cfRule>
  </conditionalFormatting>
  <conditionalFormatting sqref="B123:C123">
    <cfRule type="cellIs" dxfId="319" priority="521" stopIfTrue="1" operator="equal">
      <formula>"Towel"</formula>
    </cfRule>
    <cfRule type="cellIs" dxfId="318" priority="522" stopIfTrue="1" operator="equal">
      <formula>"Napkin Hs"</formula>
    </cfRule>
  </conditionalFormatting>
  <conditionalFormatting sqref="C123">
    <cfRule type="cellIs" dxfId="317" priority="517" stopIfTrue="1" operator="equal">
      <formula>"Towel"</formula>
    </cfRule>
    <cfRule type="cellIs" dxfId="316" priority="518" stopIfTrue="1" operator="equal">
      <formula>"Napkin Hs"</formula>
    </cfRule>
  </conditionalFormatting>
  <conditionalFormatting sqref="C123">
    <cfRule type="cellIs" dxfId="315" priority="519" stopIfTrue="1" operator="equal">
      <formula>"Towel"</formula>
    </cfRule>
    <cfRule type="cellIs" dxfId="314" priority="520" stopIfTrue="1" operator="equal">
      <formula>"Napkin Hs"</formula>
    </cfRule>
  </conditionalFormatting>
  <conditionalFormatting sqref="B145:C145">
    <cfRule type="cellIs" dxfId="313" priority="515" stopIfTrue="1" operator="equal">
      <formula>"Towel"</formula>
    </cfRule>
    <cfRule type="cellIs" dxfId="312" priority="516" stopIfTrue="1" operator="equal">
      <formula>"Napkin Hs"</formula>
    </cfRule>
  </conditionalFormatting>
  <conditionalFormatting sqref="C145">
    <cfRule type="cellIs" dxfId="311" priority="514" stopIfTrue="1" operator="equal">
      <formula>"Napkin Hs"</formula>
    </cfRule>
  </conditionalFormatting>
  <conditionalFormatting sqref="C145">
    <cfRule type="cellIs" dxfId="310" priority="513" stopIfTrue="1" operator="equal">
      <formula>"Towel"</formula>
    </cfRule>
  </conditionalFormatting>
  <conditionalFormatting sqref="C145">
    <cfRule type="cellIs" dxfId="309" priority="511" stopIfTrue="1" operator="equal">
      <formula>"Towel"</formula>
    </cfRule>
    <cfRule type="cellIs" dxfId="308" priority="512" stopIfTrue="1" operator="equal">
      <formula>"Napkin Hs"</formula>
    </cfRule>
  </conditionalFormatting>
  <conditionalFormatting sqref="B144:C144">
    <cfRule type="cellIs" dxfId="307" priority="509" stopIfTrue="1" operator="equal">
      <formula>"Towel"</formula>
    </cfRule>
    <cfRule type="cellIs" dxfId="306" priority="510" stopIfTrue="1" operator="equal">
      <formula>"Napkin Hs"</formula>
    </cfRule>
  </conditionalFormatting>
  <conditionalFormatting sqref="C144">
    <cfRule type="cellIs" dxfId="305" priority="508" stopIfTrue="1" operator="equal">
      <formula>"Napkin Hs"</formula>
    </cfRule>
  </conditionalFormatting>
  <conditionalFormatting sqref="C144">
    <cfRule type="cellIs" dxfId="304" priority="507" stopIfTrue="1" operator="equal">
      <formula>"Towel"</formula>
    </cfRule>
  </conditionalFormatting>
  <conditionalFormatting sqref="C144">
    <cfRule type="cellIs" dxfId="303" priority="505" stopIfTrue="1" operator="equal">
      <formula>"Towel"</formula>
    </cfRule>
    <cfRule type="cellIs" dxfId="302" priority="506" stopIfTrue="1" operator="equal">
      <formula>"Napkin Hs"</formula>
    </cfRule>
  </conditionalFormatting>
  <conditionalFormatting sqref="B142:C142">
    <cfRule type="cellIs" dxfId="301" priority="503" stopIfTrue="1" operator="equal">
      <formula>"Towel"</formula>
    </cfRule>
    <cfRule type="cellIs" dxfId="300" priority="504" stopIfTrue="1" operator="equal">
      <formula>"Napkin Hs"</formula>
    </cfRule>
  </conditionalFormatting>
  <conditionalFormatting sqref="C142">
    <cfRule type="cellIs" dxfId="299" priority="499" stopIfTrue="1" operator="equal">
      <formula>"Towel"</formula>
    </cfRule>
    <cfRule type="cellIs" dxfId="298" priority="500" stopIfTrue="1" operator="equal">
      <formula>"Napkin Hs"</formula>
    </cfRule>
  </conditionalFormatting>
  <conditionalFormatting sqref="C142">
    <cfRule type="cellIs" dxfId="297" priority="501" stopIfTrue="1" operator="equal">
      <formula>"Towel"</formula>
    </cfRule>
    <cfRule type="cellIs" dxfId="296" priority="502" stopIfTrue="1" operator="equal">
      <formula>"Napkin Hs"</formula>
    </cfRule>
  </conditionalFormatting>
  <conditionalFormatting sqref="B142:C142">
    <cfRule type="cellIs" dxfId="295" priority="497" stopIfTrue="1" operator="equal">
      <formula>"Towel"</formula>
    </cfRule>
    <cfRule type="cellIs" dxfId="294" priority="498" stopIfTrue="1" operator="equal">
      <formula>"Napkin Hs"</formula>
    </cfRule>
  </conditionalFormatting>
  <conditionalFormatting sqref="C142">
    <cfRule type="cellIs" dxfId="293" priority="495" stopIfTrue="1" operator="equal">
      <formula>"Towel"</formula>
    </cfRule>
    <cfRule type="cellIs" dxfId="292" priority="496" stopIfTrue="1" operator="equal">
      <formula>"Napkin Hs"</formula>
    </cfRule>
  </conditionalFormatting>
  <conditionalFormatting sqref="C142">
    <cfRule type="cellIs" dxfId="291" priority="493" stopIfTrue="1" operator="equal">
      <formula>"Towel"</formula>
    </cfRule>
    <cfRule type="cellIs" dxfId="290" priority="494" stopIfTrue="1" operator="equal">
      <formula>"Napkin Hs"</formula>
    </cfRule>
  </conditionalFormatting>
  <conditionalFormatting sqref="C142">
    <cfRule type="cellIs" dxfId="289" priority="485" stopIfTrue="1" operator="equal">
      <formula>"Towel"</formula>
    </cfRule>
    <cfRule type="cellIs" dxfId="288" priority="486" stopIfTrue="1" operator="equal">
      <formula>"Napkin Hs"</formula>
    </cfRule>
  </conditionalFormatting>
  <conditionalFormatting sqref="B142:C142">
    <cfRule type="cellIs" dxfId="287" priority="487" stopIfTrue="1" operator="equal">
      <formula>"Towel"</formula>
    </cfRule>
    <cfRule type="cellIs" dxfId="286" priority="488" stopIfTrue="1" operator="equal">
      <formula>"Napkin Hs"</formula>
    </cfRule>
  </conditionalFormatting>
  <conditionalFormatting sqref="C142">
    <cfRule type="cellIs" dxfId="285" priority="483" stopIfTrue="1" operator="equal">
      <formula>"Towel"</formula>
    </cfRule>
    <cfRule type="cellIs" dxfId="284" priority="484" stopIfTrue="1" operator="equal">
      <formula>"Napkin Hs"</formula>
    </cfRule>
  </conditionalFormatting>
  <conditionalFormatting sqref="B142:C142">
    <cfRule type="cellIs" dxfId="283" priority="481" stopIfTrue="1" operator="equal">
      <formula>"Towel"</formula>
    </cfRule>
    <cfRule type="cellIs" dxfId="282" priority="482" stopIfTrue="1" operator="equal">
      <formula>"Napkin Hs"</formula>
    </cfRule>
  </conditionalFormatting>
  <conditionalFormatting sqref="C142">
    <cfRule type="cellIs" dxfId="281" priority="489" stopIfTrue="1" operator="equal">
      <formula>"Towel"</formula>
    </cfRule>
    <cfRule type="cellIs" dxfId="280" priority="490" stopIfTrue="1" operator="equal">
      <formula>"Napkin Hs"</formula>
    </cfRule>
  </conditionalFormatting>
  <conditionalFormatting sqref="C142">
    <cfRule type="cellIs" dxfId="279" priority="491" stopIfTrue="1" operator="equal">
      <formula>"Towel"</formula>
    </cfRule>
    <cfRule type="cellIs" dxfId="278" priority="492" stopIfTrue="1" operator="equal">
      <formula>"Napkin Hs"</formula>
    </cfRule>
  </conditionalFormatting>
  <conditionalFormatting sqref="B141:C141">
    <cfRule type="cellIs" dxfId="277" priority="479" stopIfTrue="1" operator="equal">
      <formula>"Towel"</formula>
    </cfRule>
    <cfRule type="cellIs" dxfId="276" priority="480" stopIfTrue="1" operator="equal">
      <formula>"Napkin Hs"</formula>
    </cfRule>
  </conditionalFormatting>
  <conditionalFormatting sqref="C141">
    <cfRule type="cellIs" dxfId="275" priority="475" stopIfTrue="1" operator="equal">
      <formula>"Towel"</formula>
    </cfRule>
    <cfRule type="cellIs" dxfId="274" priority="476" stopIfTrue="1" operator="equal">
      <formula>"Napkin Hs"</formula>
    </cfRule>
  </conditionalFormatting>
  <conditionalFormatting sqref="C141">
    <cfRule type="cellIs" dxfId="273" priority="477" stopIfTrue="1" operator="equal">
      <formula>"Towel"</formula>
    </cfRule>
    <cfRule type="cellIs" dxfId="272" priority="478" stopIfTrue="1" operator="equal">
      <formula>"Napkin Hs"</formula>
    </cfRule>
  </conditionalFormatting>
  <conditionalFormatting sqref="B141:C141">
    <cfRule type="cellIs" dxfId="271" priority="473" stopIfTrue="1" operator="equal">
      <formula>"Towel"</formula>
    </cfRule>
    <cfRule type="cellIs" dxfId="270" priority="474" stopIfTrue="1" operator="equal">
      <formula>"Napkin Hs"</formula>
    </cfRule>
  </conditionalFormatting>
  <conditionalFormatting sqref="C141">
    <cfRule type="cellIs" dxfId="269" priority="471" stopIfTrue="1" operator="equal">
      <formula>"Towel"</formula>
    </cfRule>
    <cfRule type="cellIs" dxfId="268" priority="472" stopIfTrue="1" operator="equal">
      <formula>"Napkin Hs"</formula>
    </cfRule>
  </conditionalFormatting>
  <conditionalFormatting sqref="C141">
    <cfRule type="cellIs" dxfId="267" priority="469" stopIfTrue="1" operator="equal">
      <formula>"Towel"</formula>
    </cfRule>
    <cfRule type="cellIs" dxfId="266" priority="470" stopIfTrue="1" operator="equal">
      <formula>"Napkin Hs"</formula>
    </cfRule>
  </conditionalFormatting>
  <conditionalFormatting sqref="C141">
    <cfRule type="cellIs" dxfId="265" priority="461" stopIfTrue="1" operator="equal">
      <formula>"Towel"</formula>
    </cfRule>
    <cfRule type="cellIs" dxfId="264" priority="462" stopIfTrue="1" operator="equal">
      <formula>"Napkin Hs"</formula>
    </cfRule>
  </conditionalFormatting>
  <conditionalFormatting sqref="B141:C141">
    <cfRule type="cellIs" dxfId="263" priority="463" stopIfTrue="1" operator="equal">
      <formula>"Towel"</formula>
    </cfRule>
    <cfRule type="cellIs" dxfId="262" priority="464" stopIfTrue="1" operator="equal">
      <formula>"Napkin Hs"</formula>
    </cfRule>
  </conditionalFormatting>
  <conditionalFormatting sqref="C141">
    <cfRule type="cellIs" dxfId="261" priority="459" stopIfTrue="1" operator="equal">
      <formula>"Towel"</formula>
    </cfRule>
    <cfRule type="cellIs" dxfId="260" priority="460" stopIfTrue="1" operator="equal">
      <formula>"Napkin Hs"</formula>
    </cfRule>
  </conditionalFormatting>
  <conditionalFormatting sqref="B141:C141">
    <cfRule type="cellIs" dxfId="259" priority="457" stopIfTrue="1" operator="equal">
      <formula>"Towel"</formula>
    </cfRule>
    <cfRule type="cellIs" dxfId="258" priority="458" stopIfTrue="1" operator="equal">
      <formula>"Napkin Hs"</formula>
    </cfRule>
  </conditionalFormatting>
  <conditionalFormatting sqref="C141">
    <cfRule type="cellIs" dxfId="257" priority="465" stopIfTrue="1" operator="equal">
      <formula>"Towel"</formula>
    </cfRule>
    <cfRule type="cellIs" dxfId="256" priority="466" stopIfTrue="1" operator="equal">
      <formula>"Napkin Hs"</formula>
    </cfRule>
  </conditionalFormatting>
  <conditionalFormatting sqref="C141">
    <cfRule type="cellIs" dxfId="255" priority="467" stopIfTrue="1" operator="equal">
      <formula>"Towel"</formula>
    </cfRule>
    <cfRule type="cellIs" dxfId="254" priority="468" stopIfTrue="1" operator="equal">
      <formula>"Napkin Hs"</formula>
    </cfRule>
  </conditionalFormatting>
  <conditionalFormatting sqref="B143:C143">
    <cfRule type="cellIs" dxfId="253" priority="455" stopIfTrue="1" operator="equal">
      <formula>"Towel"</formula>
    </cfRule>
    <cfRule type="cellIs" dxfId="252" priority="456" stopIfTrue="1" operator="equal">
      <formula>"Napkin Hs"</formula>
    </cfRule>
  </conditionalFormatting>
  <conditionalFormatting sqref="C143">
    <cfRule type="cellIs" dxfId="251" priority="451" stopIfTrue="1" operator="equal">
      <formula>"Towel"</formula>
    </cfRule>
    <cfRule type="cellIs" dxfId="250" priority="452" stopIfTrue="1" operator="equal">
      <formula>"Napkin Hs"</formula>
    </cfRule>
  </conditionalFormatting>
  <conditionalFormatting sqref="C143">
    <cfRule type="cellIs" dxfId="249" priority="453" stopIfTrue="1" operator="equal">
      <formula>"Towel"</formula>
    </cfRule>
    <cfRule type="cellIs" dxfId="248" priority="454" stopIfTrue="1" operator="equal">
      <formula>"Napkin Hs"</formula>
    </cfRule>
  </conditionalFormatting>
  <conditionalFormatting sqref="B143:C143">
    <cfRule type="cellIs" dxfId="247" priority="449" stopIfTrue="1" operator="equal">
      <formula>"Towel"</formula>
    </cfRule>
    <cfRule type="cellIs" dxfId="246" priority="450" stopIfTrue="1" operator="equal">
      <formula>"Napkin Hs"</formula>
    </cfRule>
  </conditionalFormatting>
  <conditionalFormatting sqref="C143">
    <cfRule type="cellIs" dxfId="245" priority="447" stopIfTrue="1" operator="equal">
      <formula>"Towel"</formula>
    </cfRule>
    <cfRule type="cellIs" dxfId="244" priority="448" stopIfTrue="1" operator="equal">
      <formula>"Napkin Hs"</formula>
    </cfRule>
  </conditionalFormatting>
  <conditionalFormatting sqref="C143">
    <cfRule type="cellIs" dxfId="243" priority="445" stopIfTrue="1" operator="equal">
      <formula>"Towel"</formula>
    </cfRule>
    <cfRule type="cellIs" dxfId="242" priority="446" stopIfTrue="1" operator="equal">
      <formula>"Napkin Hs"</formula>
    </cfRule>
  </conditionalFormatting>
  <conditionalFormatting sqref="C143">
    <cfRule type="cellIs" dxfId="241" priority="437" stopIfTrue="1" operator="equal">
      <formula>"Towel"</formula>
    </cfRule>
    <cfRule type="cellIs" dxfId="240" priority="438" stopIfTrue="1" operator="equal">
      <formula>"Napkin Hs"</formula>
    </cfRule>
  </conditionalFormatting>
  <conditionalFormatting sqref="B143:C143">
    <cfRule type="cellIs" dxfId="239" priority="439" stopIfTrue="1" operator="equal">
      <formula>"Towel"</formula>
    </cfRule>
    <cfRule type="cellIs" dxfId="238" priority="440" stopIfTrue="1" operator="equal">
      <formula>"Napkin Hs"</formula>
    </cfRule>
  </conditionalFormatting>
  <conditionalFormatting sqref="C143">
    <cfRule type="cellIs" dxfId="237" priority="435" stopIfTrue="1" operator="equal">
      <formula>"Towel"</formula>
    </cfRule>
    <cfRule type="cellIs" dxfId="236" priority="436" stopIfTrue="1" operator="equal">
      <formula>"Napkin Hs"</formula>
    </cfRule>
  </conditionalFormatting>
  <conditionalFormatting sqref="B143:C143">
    <cfRule type="cellIs" dxfId="235" priority="433" stopIfTrue="1" operator="equal">
      <formula>"Towel"</formula>
    </cfRule>
    <cfRule type="cellIs" dxfId="234" priority="434" stopIfTrue="1" operator="equal">
      <formula>"Napkin Hs"</formula>
    </cfRule>
  </conditionalFormatting>
  <conditionalFormatting sqref="C143">
    <cfRule type="cellIs" dxfId="233" priority="441" stopIfTrue="1" operator="equal">
      <formula>"Towel"</formula>
    </cfRule>
    <cfRule type="cellIs" dxfId="232" priority="442" stopIfTrue="1" operator="equal">
      <formula>"Napkin Hs"</formula>
    </cfRule>
  </conditionalFormatting>
  <conditionalFormatting sqref="C143">
    <cfRule type="cellIs" dxfId="231" priority="443" stopIfTrue="1" operator="equal">
      <formula>"Towel"</formula>
    </cfRule>
    <cfRule type="cellIs" dxfId="230" priority="444" stopIfTrue="1" operator="equal">
      <formula>"Napkin Hs"</formula>
    </cfRule>
  </conditionalFormatting>
  <conditionalFormatting sqref="B149:C149">
    <cfRule type="cellIs" dxfId="229" priority="275" stopIfTrue="1" operator="equal">
      <formula>"Towel"</formula>
    </cfRule>
    <cfRule type="cellIs" dxfId="228" priority="276" stopIfTrue="1" operator="equal">
      <formula>"Napkin Hs"</formula>
    </cfRule>
  </conditionalFormatting>
  <conditionalFormatting sqref="C149">
    <cfRule type="cellIs" dxfId="227" priority="274" stopIfTrue="1" operator="equal">
      <formula>"Napkin Hs"</formula>
    </cfRule>
  </conditionalFormatting>
  <conditionalFormatting sqref="C149">
    <cfRule type="cellIs" dxfId="226" priority="273" stopIfTrue="1" operator="equal">
      <formula>"Towel"</formula>
    </cfRule>
  </conditionalFormatting>
  <conditionalFormatting sqref="C149">
    <cfRule type="cellIs" dxfId="225" priority="271" stopIfTrue="1" operator="equal">
      <formula>"Towel"</formula>
    </cfRule>
    <cfRule type="cellIs" dxfId="224" priority="272" stopIfTrue="1" operator="equal">
      <formula>"Napkin Hs"</formula>
    </cfRule>
  </conditionalFormatting>
  <conditionalFormatting sqref="B148:C148">
    <cfRule type="cellIs" dxfId="223" priority="263" stopIfTrue="1" operator="equal">
      <formula>"Towel"</formula>
    </cfRule>
    <cfRule type="cellIs" dxfId="222" priority="264" stopIfTrue="1" operator="equal">
      <formula>"Napkin Hs"</formula>
    </cfRule>
  </conditionalFormatting>
  <conditionalFormatting sqref="C148">
    <cfRule type="cellIs" dxfId="221" priority="259" stopIfTrue="1" operator="equal">
      <formula>"Towel"</formula>
    </cfRule>
    <cfRule type="cellIs" dxfId="220" priority="260" stopIfTrue="1" operator="equal">
      <formula>"Napkin Hs"</formula>
    </cfRule>
  </conditionalFormatting>
  <conditionalFormatting sqref="C148">
    <cfRule type="cellIs" dxfId="219" priority="261" stopIfTrue="1" operator="equal">
      <formula>"Towel"</formula>
    </cfRule>
    <cfRule type="cellIs" dxfId="218" priority="262" stopIfTrue="1" operator="equal">
      <formula>"Napkin Hs"</formula>
    </cfRule>
  </conditionalFormatting>
  <conditionalFormatting sqref="B148:C148">
    <cfRule type="cellIs" dxfId="217" priority="257" stopIfTrue="1" operator="equal">
      <formula>"Towel"</formula>
    </cfRule>
    <cfRule type="cellIs" dxfId="216" priority="258" stopIfTrue="1" operator="equal">
      <formula>"Napkin Hs"</formula>
    </cfRule>
  </conditionalFormatting>
  <conditionalFormatting sqref="C148">
    <cfRule type="cellIs" dxfId="215" priority="255" stopIfTrue="1" operator="equal">
      <formula>"Towel"</formula>
    </cfRule>
    <cfRule type="cellIs" dxfId="214" priority="256" stopIfTrue="1" operator="equal">
      <formula>"Napkin Hs"</formula>
    </cfRule>
  </conditionalFormatting>
  <conditionalFormatting sqref="C148">
    <cfRule type="cellIs" dxfId="213" priority="253" stopIfTrue="1" operator="equal">
      <formula>"Towel"</formula>
    </cfRule>
    <cfRule type="cellIs" dxfId="212" priority="254" stopIfTrue="1" operator="equal">
      <formula>"Napkin Hs"</formula>
    </cfRule>
  </conditionalFormatting>
  <conditionalFormatting sqref="C148">
    <cfRule type="cellIs" dxfId="211" priority="245" stopIfTrue="1" operator="equal">
      <formula>"Towel"</formula>
    </cfRule>
    <cfRule type="cellIs" dxfId="210" priority="246" stopIfTrue="1" operator="equal">
      <formula>"Napkin Hs"</formula>
    </cfRule>
  </conditionalFormatting>
  <conditionalFormatting sqref="B148:C148">
    <cfRule type="cellIs" dxfId="209" priority="247" stopIfTrue="1" operator="equal">
      <formula>"Towel"</formula>
    </cfRule>
    <cfRule type="cellIs" dxfId="208" priority="248" stopIfTrue="1" operator="equal">
      <formula>"Napkin Hs"</formula>
    </cfRule>
  </conditionalFormatting>
  <conditionalFormatting sqref="C148">
    <cfRule type="cellIs" dxfId="207" priority="243" stopIfTrue="1" operator="equal">
      <formula>"Towel"</formula>
    </cfRule>
    <cfRule type="cellIs" dxfId="206" priority="244" stopIfTrue="1" operator="equal">
      <formula>"Napkin Hs"</formula>
    </cfRule>
  </conditionalFormatting>
  <conditionalFormatting sqref="B148:C148">
    <cfRule type="cellIs" dxfId="205" priority="241" stopIfTrue="1" operator="equal">
      <formula>"Towel"</formula>
    </cfRule>
    <cfRule type="cellIs" dxfId="204" priority="242" stopIfTrue="1" operator="equal">
      <formula>"Napkin Hs"</formula>
    </cfRule>
  </conditionalFormatting>
  <conditionalFormatting sqref="C148">
    <cfRule type="cellIs" dxfId="203" priority="249" stopIfTrue="1" operator="equal">
      <formula>"Towel"</formula>
    </cfRule>
    <cfRule type="cellIs" dxfId="202" priority="250" stopIfTrue="1" operator="equal">
      <formula>"Napkin Hs"</formula>
    </cfRule>
  </conditionalFormatting>
  <conditionalFormatting sqref="C148">
    <cfRule type="cellIs" dxfId="201" priority="251" stopIfTrue="1" operator="equal">
      <formula>"Towel"</formula>
    </cfRule>
    <cfRule type="cellIs" dxfId="200" priority="252" stopIfTrue="1" operator="equal">
      <formula>"Napkin Hs"</formula>
    </cfRule>
  </conditionalFormatting>
  <conditionalFormatting sqref="B146:C146">
    <cfRule type="cellIs" dxfId="199" priority="239" stopIfTrue="1" operator="equal">
      <formula>"Towel"</formula>
    </cfRule>
    <cfRule type="cellIs" dxfId="198" priority="240" stopIfTrue="1" operator="equal">
      <formula>"Napkin Hs"</formula>
    </cfRule>
  </conditionalFormatting>
  <conditionalFormatting sqref="C146">
    <cfRule type="cellIs" dxfId="197" priority="235" stopIfTrue="1" operator="equal">
      <formula>"Towel"</formula>
    </cfRule>
    <cfRule type="cellIs" dxfId="196" priority="236" stopIfTrue="1" operator="equal">
      <formula>"Napkin Hs"</formula>
    </cfRule>
  </conditionalFormatting>
  <conditionalFormatting sqref="C146">
    <cfRule type="cellIs" dxfId="195" priority="237" stopIfTrue="1" operator="equal">
      <formula>"Towel"</formula>
    </cfRule>
    <cfRule type="cellIs" dxfId="194" priority="238" stopIfTrue="1" operator="equal">
      <formula>"Napkin Hs"</formula>
    </cfRule>
  </conditionalFormatting>
  <conditionalFormatting sqref="B146:C146">
    <cfRule type="cellIs" dxfId="193" priority="233" stopIfTrue="1" operator="equal">
      <formula>"Towel"</formula>
    </cfRule>
    <cfRule type="cellIs" dxfId="192" priority="234" stopIfTrue="1" operator="equal">
      <formula>"Napkin Hs"</formula>
    </cfRule>
  </conditionalFormatting>
  <conditionalFormatting sqref="C146">
    <cfRule type="cellIs" dxfId="191" priority="231" stopIfTrue="1" operator="equal">
      <formula>"Towel"</formula>
    </cfRule>
    <cfRule type="cellIs" dxfId="190" priority="232" stopIfTrue="1" operator="equal">
      <formula>"Napkin Hs"</formula>
    </cfRule>
  </conditionalFormatting>
  <conditionalFormatting sqref="C146">
    <cfRule type="cellIs" dxfId="189" priority="229" stopIfTrue="1" operator="equal">
      <formula>"Towel"</formula>
    </cfRule>
    <cfRule type="cellIs" dxfId="188" priority="230" stopIfTrue="1" operator="equal">
      <formula>"Napkin Hs"</formula>
    </cfRule>
  </conditionalFormatting>
  <conditionalFormatting sqref="C146">
    <cfRule type="cellIs" dxfId="187" priority="221" stopIfTrue="1" operator="equal">
      <formula>"Towel"</formula>
    </cfRule>
    <cfRule type="cellIs" dxfId="186" priority="222" stopIfTrue="1" operator="equal">
      <formula>"Napkin Hs"</formula>
    </cfRule>
  </conditionalFormatting>
  <conditionalFormatting sqref="B146:C146">
    <cfRule type="cellIs" dxfId="185" priority="223" stopIfTrue="1" operator="equal">
      <formula>"Towel"</formula>
    </cfRule>
    <cfRule type="cellIs" dxfId="184" priority="224" stopIfTrue="1" operator="equal">
      <formula>"Napkin Hs"</formula>
    </cfRule>
  </conditionalFormatting>
  <conditionalFormatting sqref="C146">
    <cfRule type="cellIs" dxfId="183" priority="219" stopIfTrue="1" operator="equal">
      <formula>"Towel"</formula>
    </cfRule>
    <cfRule type="cellIs" dxfId="182" priority="220" stopIfTrue="1" operator="equal">
      <formula>"Napkin Hs"</formula>
    </cfRule>
  </conditionalFormatting>
  <conditionalFormatting sqref="B146:C146">
    <cfRule type="cellIs" dxfId="181" priority="217" stopIfTrue="1" operator="equal">
      <formula>"Towel"</formula>
    </cfRule>
    <cfRule type="cellIs" dxfId="180" priority="218" stopIfTrue="1" operator="equal">
      <formula>"Napkin Hs"</formula>
    </cfRule>
  </conditionalFormatting>
  <conditionalFormatting sqref="C146">
    <cfRule type="cellIs" dxfId="179" priority="225" stopIfTrue="1" operator="equal">
      <formula>"Towel"</formula>
    </cfRule>
    <cfRule type="cellIs" dxfId="178" priority="226" stopIfTrue="1" operator="equal">
      <formula>"Napkin Hs"</formula>
    </cfRule>
  </conditionalFormatting>
  <conditionalFormatting sqref="C146">
    <cfRule type="cellIs" dxfId="177" priority="227" stopIfTrue="1" operator="equal">
      <formula>"Towel"</formula>
    </cfRule>
    <cfRule type="cellIs" dxfId="176" priority="228" stopIfTrue="1" operator="equal">
      <formula>"Napkin Hs"</formula>
    </cfRule>
  </conditionalFormatting>
  <conditionalFormatting sqref="B147:C147">
    <cfRule type="cellIs" dxfId="175" priority="215" stopIfTrue="1" operator="equal">
      <formula>"Towel"</formula>
    </cfRule>
    <cfRule type="cellIs" dxfId="174" priority="216" stopIfTrue="1" operator="equal">
      <formula>"Napkin Hs"</formula>
    </cfRule>
  </conditionalFormatting>
  <conditionalFormatting sqref="C147">
    <cfRule type="cellIs" dxfId="173" priority="211" stopIfTrue="1" operator="equal">
      <formula>"Towel"</formula>
    </cfRule>
    <cfRule type="cellIs" dxfId="172" priority="212" stopIfTrue="1" operator="equal">
      <formula>"Napkin Hs"</formula>
    </cfRule>
  </conditionalFormatting>
  <conditionalFormatting sqref="C147">
    <cfRule type="cellIs" dxfId="171" priority="213" stopIfTrue="1" operator="equal">
      <formula>"Towel"</formula>
    </cfRule>
    <cfRule type="cellIs" dxfId="170" priority="214" stopIfTrue="1" operator="equal">
      <formula>"Napkin Hs"</formula>
    </cfRule>
  </conditionalFormatting>
  <conditionalFormatting sqref="B147:C147">
    <cfRule type="cellIs" dxfId="169" priority="209" stopIfTrue="1" operator="equal">
      <formula>"Towel"</formula>
    </cfRule>
    <cfRule type="cellIs" dxfId="168" priority="210" stopIfTrue="1" operator="equal">
      <formula>"Napkin Hs"</formula>
    </cfRule>
  </conditionalFormatting>
  <conditionalFormatting sqref="C147">
    <cfRule type="cellIs" dxfId="167" priority="207" stopIfTrue="1" operator="equal">
      <formula>"Towel"</formula>
    </cfRule>
    <cfRule type="cellIs" dxfId="166" priority="208" stopIfTrue="1" operator="equal">
      <formula>"Napkin Hs"</formula>
    </cfRule>
  </conditionalFormatting>
  <conditionalFormatting sqref="C147">
    <cfRule type="cellIs" dxfId="165" priority="205" stopIfTrue="1" operator="equal">
      <formula>"Towel"</formula>
    </cfRule>
    <cfRule type="cellIs" dxfId="164" priority="206" stopIfTrue="1" operator="equal">
      <formula>"Napkin Hs"</formula>
    </cfRule>
  </conditionalFormatting>
  <conditionalFormatting sqref="C147">
    <cfRule type="cellIs" dxfId="163" priority="197" stopIfTrue="1" operator="equal">
      <formula>"Towel"</formula>
    </cfRule>
    <cfRule type="cellIs" dxfId="162" priority="198" stopIfTrue="1" operator="equal">
      <formula>"Napkin Hs"</formula>
    </cfRule>
  </conditionalFormatting>
  <conditionalFormatting sqref="B147:C147">
    <cfRule type="cellIs" dxfId="161" priority="199" stopIfTrue="1" operator="equal">
      <formula>"Towel"</formula>
    </cfRule>
    <cfRule type="cellIs" dxfId="160" priority="200" stopIfTrue="1" operator="equal">
      <formula>"Napkin Hs"</formula>
    </cfRule>
  </conditionalFormatting>
  <conditionalFormatting sqref="C147">
    <cfRule type="cellIs" dxfId="159" priority="195" stopIfTrue="1" operator="equal">
      <formula>"Towel"</formula>
    </cfRule>
    <cfRule type="cellIs" dxfId="158" priority="196" stopIfTrue="1" operator="equal">
      <formula>"Napkin Hs"</formula>
    </cfRule>
  </conditionalFormatting>
  <conditionalFormatting sqref="B147:C147">
    <cfRule type="cellIs" dxfId="157" priority="193" stopIfTrue="1" operator="equal">
      <formula>"Towel"</formula>
    </cfRule>
    <cfRule type="cellIs" dxfId="156" priority="194" stopIfTrue="1" operator="equal">
      <formula>"Napkin Hs"</formula>
    </cfRule>
  </conditionalFormatting>
  <conditionalFormatting sqref="C147">
    <cfRule type="cellIs" dxfId="155" priority="201" stopIfTrue="1" operator="equal">
      <formula>"Towel"</formula>
    </cfRule>
    <cfRule type="cellIs" dxfId="154" priority="202" stopIfTrue="1" operator="equal">
      <formula>"Napkin Hs"</formula>
    </cfRule>
  </conditionalFormatting>
  <conditionalFormatting sqref="C147">
    <cfRule type="cellIs" dxfId="153" priority="203" stopIfTrue="1" operator="equal">
      <formula>"Towel"</formula>
    </cfRule>
    <cfRule type="cellIs" dxfId="152" priority="204" stopIfTrue="1" operator="equal">
      <formula>"Napkin Hs"</formula>
    </cfRule>
  </conditionalFormatting>
  <conditionalFormatting sqref="B154:C154">
    <cfRule type="cellIs" dxfId="151" priority="143" stopIfTrue="1" operator="equal">
      <formula>"Towel"</formula>
    </cfRule>
    <cfRule type="cellIs" dxfId="150" priority="144" stopIfTrue="1" operator="equal">
      <formula>"Napkin Hs"</formula>
    </cfRule>
  </conditionalFormatting>
  <conditionalFormatting sqref="C154">
    <cfRule type="cellIs" dxfId="149" priority="142" stopIfTrue="1" operator="equal">
      <formula>"Napkin Hs"</formula>
    </cfRule>
  </conditionalFormatting>
  <conditionalFormatting sqref="C154">
    <cfRule type="cellIs" dxfId="148" priority="141" stopIfTrue="1" operator="equal">
      <formula>"Towel"</formula>
    </cfRule>
  </conditionalFormatting>
  <conditionalFormatting sqref="C154">
    <cfRule type="cellIs" dxfId="147" priority="139" stopIfTrue="1" operator="equal">
      <formula>"Towel"</formula>
    </cfRule>
    <cfRule type="cellIs" dxfId="146" priority="140" stopIfTrue="1" operator="equal">
      <formula>"Napkin Hs"</formula>
    </cfRule>
  </conditionalFormatting>
  <conditionalFormatting sqref="B153:C153">
    <cfRule type="cellIs" dxfId="145" priority="137" stopIfTrue="1" operator="equal">
      <formula>"Towel"</formula>
    </cfRule>
    <cfRule type="cellIs" dxfId="144" priority="138" stopIfTrue="1" operator="equal">
      <formula>"Napkin Hs"</formula>
    </cfRule>
  </conditionalFormatting>
  <conditionalFormatting sqref="C153">
    <cfRule type="cellIs" dxfId="143" priority="136" stopIfTrue="1" operator="equal">
      <formula>"Napkin Hs"</formula>
    </cfRule>
  </conditionalFormatting>
  <conditionalFormatting sqref="C153">
    <cfRule type="cellIs" dxfId="142" priority="135" stopIfTrue="1" operator="equal">
      <formula>"Towel"</formula>
    </cfRule>
  </conditionalFormatting>
  <conditionalFormatting sqref="C153">
    <cfRule type="cellIs" dxfId="141" priority="133" stopIfTrue="1" operator="equal">
      <formula>"Towel"</formula>
    </cfRule>
    <cfRule type="cellIs" dxfId="140" priority="134" stopIfTrue="1" operator="equal">
      <formula>"Napkin Hs"</formula>
    </cfRule>
  </conditionalFormatting>
  <conditionalFormatting sqref="B150:C150">
    <cfRule type="cellIs" dxfId="139" priority="131" stopIfTrue="1" operator="equal">
      <formula>"Towel"</formula>
    </cfRule>
    <cfRule type="cellIs" dxfId="138" priority="132" stopIfTrue="1" operator="equal">
      <formula>"Napkin Hs"</formula>
    </cfRule>
  </conditionalFormatting>
  <conditionalFormatting sqref="C150">
    <cfRule type="cellIs" dxfId="137" priority="127" stopIfTrue="1" operator="equal">
      <formula>"Towel"</formula>
    </cfRule>
    <cfRule type="cellIs" dxfId="136" priority="128" stopIfTrue="1" operator="equal">
      <formula>"Napkin Hs"</formula>
    </cfRule>
  </conditionalFormatting>
  <conditionalFormatting sqref="C150">
    <cfRule type="cellIs" dxfId="135" priority="129" stopIfTrue="1" operator="equal">
      <formula>"Towel"</formula>
    </cfRule>
    <cfRule type="cellIs" dxfId="134" priority="130" stopIfTrue="1" operator="equal">
      <formula>"Napkin Hs"</formula>
    </cfRule>
  </conditionalFormatting>
  <conditionalFormatting sqref="B150:C150">
    <cfRule type="cellIs" dxfId="133" priority="125" stopIfTrue="1" operator="equal">
      <formula>"Towel"</formula>
    </cfRule>
    <cfRule type="cellIs" dxfId="132" priority="126" stopIfTrue="1" operator="equal">
      <formula>"Napkin Hs"</formula>
    </cfRule>
  </conditionalFormatting>
  <conditionalFormatting sqref="C150">
    <cfRule type="cellIs" dxfId="131" priority="123" stopIfTrue="1" operator="equal">
      <formula>"Towel"</formula>
    </cfRule>
    <cfRule type="cellIs" dxfId="130" priority="124" stopIfTrue="1" operator="equal">
      <formula>"Napkin Hs"</formula>
    </cfRule>
  </conditionalFormatting>
  <conditionalFormatting sqref="C150">
    <cfRule type="cellIs" dxfId="129" priority="121" stopIfTrue="1" operator="equal">
      <formula>"Towel"</formula>
    </cfRule>
    <cfRule type="cellIs" dxfId="128" priority="122" stopIfTrue="1" operator="equal">
      <formula>"Napkin Hs"</formula>
    </cfRule>
  </conditionalFormatting>
  <conditionalFormatting sqref="C150">
    <cfRule type="cellIs" dxfId="127" priority="113" stopIfTrue="1" operator="equal">
      <formula>"Towel"</formula>
    </cfRule>
    <cfRule type="cellIs" dxfId="126" priority="114" stopIfTrue="1" operator="equal">
      <formula>"Napkin Hs"</formula>
    </cfRule>
  </conditionalFormatting>
  <conditionalFormatting sqref="B150:C150">
    <cfRule type="cellIs" dxfId="125" priority="115" stopIfTrue="1" operator="equal">
      <formula>"Towel"</formula>
    </cfRule>
    <cfRule type="cellIs" dxfId="124" priority="116" stopIfTrue="1" operator="equal">
      <formula>"Napkin Hs"</formula>
    </cfRule>
  </conditionalFormatting>
  <conditionalFormatting sqref="C150">
    <cfRule type="cellIs" dxfId="123" priority="111" stopIfTrue="1" operator="equal">
      <formula>"Towel"</formula>
    </cfRule>
    <cfRule type="cellIs" dxfId="122" priority="112" stopIfTrue="1" operator="equal">
      <formula>"Napkin Hs"</formula>
    </cfRule>
  </conditionalFormatting>
  <conditionalFormatting sqref="B150:C150">
    <cfRule type="cellIs" dxfId="121" priority="109" stopIfTrue="1" operator="equal">
      <formula>"Towel"</formula>
    </cfRule>
    <cfRule type="cellIs" dxfId="120" priority="110" stopIfTrue="1" operator="equal">
      <formula>"Napkin Hs"</formula>
    </cfRule>
  </conditionalFormatting>
  <conditionalFormatting sqref="C150">
    <cfRule type="cellIs" dxfId="119" priority="117" stopIfTrue="1" operator="equal">
      <formula>"Towel"</formula>
    </cfRule>
    <cfRule type="cellIs" dxfId="118" priority="118" stopIfTrue="1" operator="equal">
      <formula>"Napkin Hs"</formula>
    </cfRule>
  </conditionalFormatting>
  <conditionalFormatting sqref="C150">
    <cfRule type="cellIs" dxfId="117" priority="119" stopIfTrue="1" operator="equal">
      <formula>"Towel"</formula>
    </cfRule>
    <cfRule type="cellIs" dxfId="116" priority="120" stopIfTrue="1" operator="equal">
      <formula>"Napkin Hs"</formula>
    </cfRule>
  </conditionalFormatting>
  <conditionalFormatting sqref="B151:C151 C152">
    <cfRule type="cellIs" dxfId="115" priority="107" stopIfTrue="1" operator="equal">
      <formula>"Towel"</formula>
    </cfRule>
    <cfRule type="cellIs" dxfId="114" priority="108" stopIfTrue="1" operator="equal">
      <formula>"Napkin Hs"</formula>
    </cfRule>
  </conditionalFormatting>
  <conditionalFormatting sqref="C151:C152">
    <cfRule type="cellIs" dxfId="113" priority="103" stopIfTrue="1" operator="equal">
      <formula>"Towel"</formula>
    </cfRule>
    <cfRule type="cellIs" dxfId="112" priority="104" stopIfTrue="1" operator="equal">
      <formula>"Napkin Hs"</formula>
    </cfRule>
  </conditionalFormatting>
  <conditionalFormatting sqref="C151:C152">
    <cfRule type="cellIs" dxfId="111" priority="105" stopIfTrue="1" operator="equal">
      <formula>"Towel"</formula>
    </cfRule>
    <cfRule type="cellIs" dxfId="110" priority="106" stopIfTrue="1" operator="equal">
      <formula>"Napkin Hs"</formula>
    </cfRule>
  </conditionalFormatting>
  <conditionalFormatting sqref="B151:C151 C152">
    <cfRule type="cellIs" dxfId="109" priority="101" stopIfTrue="1" operator="equal">
      <formula>"Towel"</formula>
    </cfRule>
    <cfRule type="cellIs" dxfId="108" priority="102" stopIfTrue="1" operator="equal">
      <formula>"Napkin Hs"</formula>
    </cfRule>
  </conditionalFormatting>
  <conditionalFormatting sqref="C151:C152">
    <cfRule type="cellIs" dxfId="107" priority="99" stopIfTrue="1" operator="equal">
      <formula>"Towel"</formula>
    </cfRule>
    <cfRule type="cellIs" dxfId="106" priority="100" stopIfTrue="1" operator="equal">
      <formula>"Napkin Hs"</formula>
    </cfRule>
  </conditionalFormatting>
  <conditionalFormatting sqref="C151:C152">
    <cfRule type="cellIs" dxfId="105" priority="97" stopIfTrue="1" operator="equal">
      <formula>"Towel"</formula>
    </cfRule>
    <cfRule type="cellIs" dxfId="104" priority="98" stopIfTrue="1" operator="equal">
      <formula>"Napkin Hs"</formula>
    </cfRule>
  </conditionalFormatting>
  <conditionalFormatting sqref="C151:C152">
    <cfRule type="cellIs" dxfId="103" priority="89" stopIfTrue="1" operator="equal">
      <formula>"Towel"</formula>
    </cfRule>
    <cfRule type="cellIs" dxfId="102" priority="90" stopIfTrue="1" operator="equal">
      <formula>"Napkin Hs"</formula>
    </cfRule>
  </conditionalFormatting>
  <conditionalFormatting sqref="B151:C151 C152">
    <cfRule type="cellIs" dxfId="101" priority="91" stopIfTrue="1" operator="equal">
      <formula>"Towel"</formula>
    </cfRule>
    <cfRule type="cellIs" dxfId="100" priority="92" stopIfTrue="1" operator="equal">
      <formula>"Napkin Hs"</formula>
    </cfRule>
  </conditionalFormatting>
  <conditionalFormatting sqref="C151:C152">
    <cfRule type="cellIs" dxfId="99" priority="87" stopIfTrue="1" operator="equal">
      <formula>"Towel"</formula>
    </cfRule>
    <cfRule type="cellIs" dxfId="98" priority="88" stopIfTrue="1" operator="equal">
      <formula>"Napkin Hs"</formula>
    </cfRule>
  </conditionalFormatting>
  <conditionalFormatting sqref="B151:C151 C152">
    <cfRule type="cellIs" dxfId="97" priority="85" stopIfTrue="1" operator="equal">
      <formula>"Towel"</formula>
    </cfRule>
    <cfRule type="cellIs" dxfId="96" priority="86" stopIfTrue="1" operator="equal">
      <formula>"Napkin Hs"</formula>
    </cfRule>
  </conditionalFormatting>
  <conditionalFormatting sqref="C151:C152">
    <cfRule type="cellIs" dxfId="95" priority="93" stopIfTrue="1" operator="equal">
      <formula>"Towel"</formula>
    </cfRule>
    <cfRule type="cellIs" dxfId="94" priority="94" stopIfTrue="1" operator="equal">
      <formula>"Napkin Hs"</formula>
    </cfRule>
  </conditionalFormatting>
  <conditionalFormatting sqref="C151:C152">
    <cfRule type="cellIs" dxfId="93" priority="95" stopIfTrue="1" operator="equal">
      <formula>"Towel"</formula>
    </cfRule>
    <cfRule type="cellIs" dxfId="92" priority="96" stopIfTrue="1" operator="equal">
      <formula>"Napkin Hs"</formula>
    </cfRule>
  </conditionalFormatting>
  <conditionalFormatting sqref="B152">
    <cfRule type="cellIs" dxfId="91" priority="83" stopIfTrue="1" operator="equal">
      <formula>"Towel"</formula>
    </cfRule>
    <cfRule type="cellIs" dxfId="90" priority="84" stopIfTrue="1" operator="equal">
      <formula>"Napkin Hs"</formula>
    </cfRule>
  </conditionalFormatting>
  <conditionalFormatting sqref="B152">
    <cfRule type="cellIs" dxfId="89" priority="81" stopIfTrue="1" operator="equal">
      <formula>"Towel"</formula>
    </cfRule>
    <cfRule type="cellIs" dxfId="88" priority="82" stopIfTrue="1" operator="equal">
      <formula>"Napkin Hs"</formula>
    </cfRule>
  </conditionalFormatting>
  <conditionalFormatting sqref="B152">
    <cfRule type="cellIs" dxfId="87" priority="79" stopIfTrue="1" operator="equal">
      <formula>"Towel"</formula>
    </cfRule>
    <cfRule type="cellIs" dxfId="86" priority="80" stopIfTrue="1" operator="equal">
      <formula>"Napkin Hs"</formula>
    </cfRule>
  </conditionalFormatting>
  <conditionalFormatting sqref="B152">
    <cfRule type="cellIs" dxfId="85" priority="77" stopIfTrue="1" operator="equal">
      <formula>"Towel"</formula>
    </cfRule>
    <cfRule type="cellIs" dxfId="84" priority="78" stopIfTrue="1" operator="equal">
      <formula>"Napkin Hs"</formula>
    </cfRule>
  </conditionalFormatting>
  <conditionalFormatting sqref="B159:C160">
    <cfRule type="cellIs" dxfId="83" priority="75" stopIfTrue="1" operator="equal">
      <formula>"Towel"</formula>
    </cfRule>
    <cfRule type="cellIs" dxfId="82" priority="76" stopIfTrue="1" operator="equal">
      <formula>"Napkin Hs"</formula>
    </cfRule>
  </conditionalFormatting>
  <conditionalFormatting sqref="C159:C160">
    <cfRule type="cellIs" dxfId="81" priority="74" stopIfTrue="1" operator="equal">
      <formula>"Napkin Hs"</formula>
    </cfRule>
  </conditionalFormatting>
  <conditionalFormatting sqref="C159:C160">
    <cfRule type="cellIs" dxfId="80" priority="73" stopIfTrue="1" operator="equal">
      <formula>"Towel"</formula>
    </cfRule>
  </conditionalFormatting>
  <conditionalFormatting sqref="C159:C160">
    <cfRule type="cellIs" dxfId="79" priority="71" stopIfTrue="1" operator="equal">
      <formula>"Towel"</formula>
    </cfRule>
    <cfRule type="cellIs" dxfId="78" priority="72" stopIfTrue="1" operator="equal">
      <formula>"Napkin Hs"</formula>
    </cfRule>
  </conditionalFormatting>
  <conditionalFormatting sqref="B158:C158">
    <cfRule type="cellIs" dxfId="77" priority="69" stopIfTrue="1" operator="equal">
      <formula>"Towel"</formula>
    </cfRule>
    <cfRule type="cellIs" dxfId="76" priority="70" stopIfTrue="1" operator="equal">
      <formula>"Napkin Hs"</formula>
    </cfRule>
  </conditionalFormatting>
  <conditionalFormatting sqref="C158">
    <cfRule type="cellIs" dxfId="75" priority="68" stopIfTrue="1" operator="equal">
      <formula>"Napkin Hs"</formula>
    </cfRule>
  </conditionalFormatting>
  <conditionalFormatting sqref="C158">
    <cfRule type="cellIs" dxfId="74" priority="67" stopIfTrue="1" operator="equal">
      <formula>"Towel"</formula>
    </cfRule>
  </conditionalFormatting>
  <conditionalFormatting sqref="C158">
    <cfRule type="cellIs" dxfId="73" priority="65" stopIfTrue="1" operator="equal">
      <formula>"Towel"</formula>
    </cfRule>
    <cfRule type="cellIs" dxfId="72" priority="66" stopIfTrue="1" operator="equal">
      <formula>"Napkin Hs"</formula>
    </cfRule>
  </conditionalFormatting>
  <conditionalFormatting sqref="B156:C156 C157">
    <cfRule type="cellIs" dxfId="71" priority="63" stopIfTrue="1" operator="equal">
      <formula>"Towel"</formula>
    </cfRule>
    <cfRule type="cellIs" dxfId="70" priority="64" stopIfTrue="1" operator="equal">
      <formula>"Napkin Hs"</formula>
    </cfRule>
  </conditionalFormatting>
  <conditionalFormatting sqref="C156:C157">
    <cfRule type="cellIs" dxfId="69" priority="59" stopIfTrue="1" operator="equal">
      <formula>"Towel"</formula>
    </cfRule>
    <cfRule type="cellIs" dxfId="68" priority="60" stopIfTrue="1" operator="equal">
      <formula>"Napkin Hs"</formula>
    </cfRule>
  </conditionalFormatting>
  <conditionalFormatting sqref="C156:C157">
    <cfRule type="cellIs" dxfId="67" priority="61" stopIfTrue="1" operator="equal">
      <formula>"Towel"</formula>
    </cfRule>
    <cfRule type="cellIs" dxfId="66" priority="62" stopIfTrue="1" operator="equal">
      <formula>"Napkin Hs"</formula>
    </cfRule>
  </conditionalFormatting>
  <conditionalFormatting sqref="B156:C156 C157">
    <cfRule type="cellIs" dxfId="65" priority="57" stopIfTrue="1" operator="equal">
      <formula>"Towel"</formula>
    </cfRule>
    <cfRule type="cellIs" dxfId="64" priority="58" stopIfTrue="1" operator="equal">
      <formula>"Napkin Hs"</formula>
    </cfRule>
  </conditionalFormatting>
  <conditionalFormatting sqref="C156:C157">
    <cfRule type="cellIs" dxfId="63" priority="55" stopIfTrue="1" operator="equal">
      <formula>"Towel"</formula>
    </cfRule>
    <cfRule type="cellIs" dxfId="62" priority="56" stopIfTrue="1" operator="equal">
      <formula>"Napkin Hs"</formula>
    </cfRule>
  </conditionalFormatting>
  <conditionalFormatting sqref="C156:C157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56:C157">
    <cfRule type="cellIs" dxfId="59" priority="45" stopIfTrue="1" operator="equal">
      <formula>"Towel"</formula>
    </cfRule>
    <cfRule type="cellIs" dxfId="58" priority="46" stopIfTrue="1" operator="equal">
      <formula>"Napkin Hs"</formula>
    </cfRule>
  </conditionalFormatting>
  <conditionalFormatting sqref="B156:C156 C157">
    <cfRule type="cellIs" dxfId="57" priority="47" stopIfTrue="1" operator="equal">
      <formula>"Towel"</formula>
    </cfRule>
    <cfRule type="cellIs" dxfId="56" priority="48" stopIfTrue="1" operator="equal">
      <formula>"Napkin Hs"</formula>
    </cfRule>
  </conditionalFormatting>
  <conditionalFormatting sqref="C156:C157">
    <cfRule type="cellIs" dxfId="55" priority="43" stopIfTrue="1" operator="equal">
      <formula>"Towel"</formula>
    </cfRule>
    <cfRule type="cellIs" dxfId="54" priority="44" stopIfTrue="1" operator="equal">
      <formula>"Napkin Hs"</formula>
    </cfRule>
  </conditionalFormatting>
  <conditionalFormatting sqref="B156:C156 C157">
    <cfRule type="cellIs" dxfId="53" priority="41" stopIfTrue="1" operator="equal">
      <formula>"Towel"</formula>
    </cfRule>
    <cfRule type="cellIs" dxfId="52" priority="42" stopIfTrue="1" operator="equal">
      <formula>"Napkin Hs"</formula>
    </cfRule>
  </conditionalFormatting>
  <conditionalFormatting sqref="C156:C157">
    <cfRule type="cellIs" dxfId="51" priority="49" stopIfTrue="1" operator="equal">
      <formula>"Towel"</formula>
    </cfRule>
    <cfRule type="cellIs" dxfId="50" priority="50" stopIfTrue="1" operator="equal">
      <formula>"Napkin Hs"</formula>
    </cfRule>
  </conditionalFormatting>
  <conditionalFormatting sqref="C156:C157">
    <cfRule type="cellIs" dxfId="49" priority="51" stopIfTrue="1" operator="equal">
      <formula>"Towel"</formula>
    </cfRule>
    <cfRule type="cellIs" dxfId="48" priority="52" stopIfTrue="1" operator="equal">
      <formula>"Napkin Hs"</formula>
    </cfRule>
  </conditionalFormatting>
  <conditionalFormatting sqref="B157">
    <cfRule type="cellIs" dxfId="47" priority="39" stopIfTrue="1" operator="equal">
      <formula>"Towel"</formula>
    </cfRule>
    <cfRule type="cellIs" dxfId="46" priority="40" stopIfTrue="1" operator="equal">
      <formula>"Napkin Hs"</formula>
    </cfRule>
  </conditionalFormatting>
  <conditionalFormatting sqref="B157">
    <cfRule type="cellIs" dxfId="45" priority="37" stopIfTrue="1" operator="equal">
      <formula>"Towel"</formula>
    </cfRule>
    <cfRule type="cellIs" dxfId="44" priority="38" stopIfTrue="1" operator="equal">
      <formula>"Napkin Hs"</formula>
    </cfRule>
  </conditionalFormatting>
  <conditionalFormatting sqref="B157">
    <cfRule type="cellIs" dxfId="43" priority="35" stopIfTrue="1" operator="equal">
      <formula>"Towel"</formula>
    </cfRule>
    <cfRule type="cellIs" dxfId="42" priority="36" stopIfTrue="1" operator="equal">
      <formula>"Napkin Hs"</formula>
    </cfRule>
  </conditionalFormatting>
  <conditionalFormatting sqref="B157">
    <cfRule type="cellIs" dxfId="41" priority="33" stopIfTrue="1" operator="equal">
      <formula>"Towel"</formula>
    </cfRule>
    <cfRule type="cellIs" dxfId="40" priority="34" stopIfTrue="1" operator="equal">
      <formula>"Napkin Hs"</formula>
    </cfRule>
  </conditionalFormatting>
  <conditionalFormatting sqref="C155">
    <cfRule type="cellIs" dxfId="39" priority="31" stopIfTrue="1" operator="equal">
      <formula>"Towel"</formula>
    </cfRule>
    <cfRule type="cellIs" dxfId="38" priority="32" stopIfTrue="1" operator="equal">
      <formula>"Napkin Hs"</formula>
    </cfRule>
  </conditionalFormatting>
  <conditionalFormatting sqref="C155">
    <cfRule type="cellIs" dxfId="37" priority="27" stopIfTrue="1" operator="equal">
      <formula>"Towel"</formula>
    </cfRule>
    <cfRule type="cellIs" dxfId="36" priority="28" stopIfTrue="1" operator="equal">
      <formula>"Napkin Hs"</formula>
    </cfRule>
  </conditionalFormatting>
  <conditionalFormatting sqref="C155">
    <cfRule type="cellIs" dxfId="35" priority="29" stopIfTrue="1" operator="equal">
      <formula>"Towel"</formula>
    </cfRule>
    <cfRule type="cellIs" dxfId="34" priority="30" stopIfTrue="1" operator="equal">
      <formula>"Napkin Hs"</formula>
    </cfRule>
  </conditionalFormatting>
  <conditionalFormatting sqref="C155">
    <cfRule type="cellIs" dxfId="33" priority="25" stopIfTrue="1" operator="equal">
      <formula>"Towel"</formula>
    </cfRule>
    <cfRule type="cellIs" dxfId="32" priority="26" stopIfTrue="1" operator="equal">
      <formula>"Napkin Hs"</formula>
    </cfRule>
  </conditionalFormatting>
  <conditionalFormatting sqref="C155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155">
    <cfRule type="cellIs" dxfId="29" priority="21" stopIfTrue="1" operator="equal">
      <formula>"Towel"</formula>
    </cfRule>
    <cfRule type="cellIs" dxfId="28" priority="22" stopIfTrue="1" operator="equal">
      <formula>"Napkin Hs"</formula>
    </cfRule>
  </conditionalFormatting>
  <conditionalFormatting sqref="C155">
    <cfRule type="cellIs" dxfId="27" priority="13" stopIfTrue="1" operator="equal">
      <formula>"Towel"</formula>
    </cfRule>
    <cfRule type="cellIs" dxfId="26" priority="14" stopIfTrue="1" operator="equal">
      <formula>"Napkin Hs"</formula>
    </cfRule>
  </conditionalFormatting>
  <conditionalFormatting sqref="C155">
    <cfRule type="cellIs" dxfId="25" priority="15" stopIfTrue="1" operator="equal">
      <formula>"Towel"</formula>
    </cfRule>
    <cfRule type="cellIs" dxfId="24" priority="16" stopIfTrue="1" operator="equal">
      <formula>"Napkin Hs"</formula>
    </cfRule>
  </conditionalFormatting>
  <conditionalFormatting sqref="C155">
    <cfRule type="cellIs" dxfId="23" priority="11" stopIfTrue="1" operator="equal">
      <formula>"Towel"</formula>
    </cfRule>
    <cfRule type="cellIs" dxfId="22" priority="12" stopIfTrue="1" operator="equal">
      <formula>"Napkin Hs"</formula>
    </cfRule>
  </conditionalFormatting>
  <conditionalFormatting sqref="C155">
    <cfRule type="cellIs" dxfId="21" priority="9" stopIfTrue="1" operator="equal">
      <formula>"Towel"</formula>
    </cfRule>
    <cfRule type="cellIs" dxfId="20" priority="10" stopIfTrue="1" operator="equal">
      <formula>"Napkin Hs"</formula>
    </cfRule>
  </conditionalFormatting>
  <conditionalFormatting sqref="C155">
    <cfRule type="cellIs" dxfId="19" priority="17" stopIfTrue="1" operator="equal">
      <formula>"Towel"</formula>
    </cfRule>
    <cfRule type="cellIs" dxfId="18" priority="18" stopIfTrue="1" operator="equal">
      <formula>"Napkin Hs"</formula>
    </cfRule>
  </conditionalFormatting>
  <conditionalFormatting sqref="C155">
    <cfRule type="cellIs" dxfId="17" priority="19" stopIfTrue="1" operator="equal">
      <formula>"Towel"</formula>
    </cfRule>
    <cfRule type="cellIs" dxfId="16" priority="20" stopIfTrue="1" operator="equal">
      <formula>"Napkin Hs"</formula>
    </cfRule>
  </conditionalFormatting>
  <conditionalFormatting sqref="B155">
    <cfRule type="cellIs" dxfId="15" priority="7" stopIfTrue="1" operator="equal">
      <formula>"Towel"</formula>
    </cfRule>
    <cfRule type="cellIs" dxfId="14" priority="8" stopIfTrue="1" operator="equal">
      <formula>"Napkin Hs"</formula>
    </cfRule>
  </conditionalFormatting>
  <conditionalFormatting sqref="B155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B155">
    <cfRule type="cellIs" dxfId="11" priority="3" stopIfTrue="1" operator="equal">
      <formula>"Towel"</formula>
    </cfRule>
    <cfRule type="cellIs" dxfId="10" priority="4" stopIfTrue="1" operator="equal">
      <formula>"Napkin Hs"</formula>
    </cfRule>
  </conditionalFormatting>
  <conditionalFormatting sqref="B155">
    <cfRule type="cellIs" dxfId="9" priority="1" stopIfTrue="1" operator="equal">
      <formula>"Towel"</formula>
    </cfRule>
    <cfRule type="cellIs" dxfId="8" priority="2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JG27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KS39" sqref="KS39"/>
    </sheetView>
  </sheetViews>
  <sheetFormatPr defaultColWidth="10.42578125" defaultRowHeight="15" customHeight="1"/>
  <cols>
    <col min="1" max="1" width="8.140625" style="265" customWidth="1"/>
    <col min="2" max="2" width="13.5703125" style="265" customWidth="1"/>
    <col min="3" max="3" width="12.5703125" style="266" customWidth="1"/>
    <col min="4" max="4" width="11.140625" style="266" customWidth="1"/>
    <col min="5" max="5" width="11" style="267" customWidth="1"/>
    <col min="6" max="17" width="12.42578125" style="533" customWidth="1"/>
    <col min="18" max="20" width="12.42578125" style="533" hidden="1" customWidth="1"/>
    <col min="21" max="23" width="12.42578125" style="533" customWidth="1"/>
    <col min="24" max="32" width="12.42578125" style="533" hidden="1" customWidth="1"/>
    <col min="33" max="41" width="12.42578125" style="533" customWidth="1"/>
    <col min="42" max="47" width="12.42578125" style="533" hidden="1" customWidth="1"/>
    <col min="48" max="53" width="12.42578125" style="533" customWidth="1"/>
    <col min="54" max="77" width="12.42578125" style="533" hidden="1" customWidth="1"/>
    <col min="78" max="89" width="12.42578125" style="533" customWidth="1"/>
    <col min="90" max="104" width="12.42578125" style="533" hidden="1" customWidth="1"/>
    <col min="105" max="107" width="12.42578125" style="533" customWidth="1"/>
    <col min="108" max="128" width="12.42578125" style="533" hidden="1" customWidth="1"/>
    <col min="129" max="143" width="12.42578125" style="533" customWidth="1"/>
    <col min="144" max="188" width="12.42578125" style="533" hidden="1" customWidth="1"/>
    <col min="189" max="206" width="12.42578125" style="533" customWidth="1"/>
    <col min="207" max="221" width="12.42578125" style="533" hidden="1" customWidth="1"/>
    <col min="222" max="242" width="12.42578125" style="533" customWidth="1"/>
    <col min="243" max="245" width="12.42578125" style="533" hidden="1" customWidth="1"/>
    <col min="246" max="260" width="12.42578125" style="533" customWidth="1"/>
    <col min="261" max="266" width="12.42578125" style="533" hidden="1" customWidth="1"/>
    <col min="267" max="269" width="9.28515625" style="533" customWidth="1"/>
    <col min="270" max="270" width="7.5703125" style="533" customWidth="1"/>
    <col min="271" max="275" width="12.28515625" style="533" customWidth="1"/>
    <col min="276" max="281" width="12.28515625" style="533" hidden="1" customWidth="1"/>
    <col min="282" max="300" width="5.5703125" style="533" hidden="1" customWidth="1"/>
    <col min="301" max="301" width="8.7109375" style="533" hidden="1" customWidth="1"/>
    <col min="302" max="302" width="7.7109375" style="533" hidden="1" customWidth="1"/>
    <col min="303" max="303" width="21" style="533" bestFit="1" customWidth="1"/>
    <col min="304" max="304" width="19.85546875" style="533" bestFit="1" customWidth="1"/>
    <col min="305" max="16384" width="10.42578125" style="265"/>
  </cols>
  <sheetData>
    <row r="1" spans="1:306" ht="15" customHeight="1">
      <c r="A1" s="261"/>
      <c r="B1" s="262"/>
      <c r="C1" s="263"/>
      <c r="D1" s="263"/>
      <c r="E1" s="264"/>
    </row>
    <row r="2" spans="1:306" ht="15" customHeight="1">
      <c r="A2" s="261"/>
    </row>
    <row r="3" spans="1:306" ht="15" customHeight="1">
      <c r="A3" s="269"/>
    </row>
    <row r="4" spans="1:306" ht="15" customHeight="1">
      <c r="A4" s="502" t="s">
        <v>367</v>
      </c>
    </row>
    <row r="5" spans="1:306" ht="15" customHeight="1" thickBot="1">
      <c r="F5" s="718" t="s">
        <v>308</v>
      </c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  <c r="Y5" s="719"/>
      <c r="Z5" s="719"/>
      <c r="AA5" s="719"/>
      <c r="AB5" s="719"/>
      <c r="AC5" s="719"/>
      <c r="AD5" s="719"/>
      <c r="AE5" s="719"/>
      <c r="AF5" s="719"/>
      <c r="AG5" s="719"/>
      <c r="AH5" s="719"/>
      <c r="AI5" s="719"/>
      <c r="AJ5" s="719"/>
      <c r="AK5" s="719"/>
      <c r="AL5" s="719"/>
      <c r="AM5" s="719"/>
      <c r="AN5" s="719"/>
      <c r="AO5" s="719"/>
      <c r="AP5" s="719"/>
      <c r="AQ5" s="719"/>
      <c r="AR5" s="719"/>
      <c r="AS5" s="719"/>
      <c r="AT5" s="719"/>
      <c r="AU5" s="719"/>
      <c r="AV5" s="719"/>
      <c r="AW5" s="719"/>
      <c r="AX5" s="719"/>
      <c r="AY5" s="719"/>
      <c r="AZ5" s="719"/>
      <c r="BA5" s="719"/>
      <c r="BB5" s="719"/>
      <c r="BC5" s="719"/>
      <c r="BD5" s="719"/>
      <c r="BE5" s="719"/>
      <c r="BF5" s="719"/>
      <c r="BG5" s="719"/>
      <c r="BH5" s="719"/>
      <c r="BI5" s="719"/>
      <c r="BJ5" s="719"/>
      <c r="BK5" s="719"/>
      <c r="BL5" s="719"/>
      <c r="BM5" s="719"/>
      <c r="BN5" s="719"/>
      <c r="BO5" s="719"/>
      <c r="BP5" s="719"/>
      <c r="BQ5" s="719"/>
      <c r="BR5" s="719"/>
      <c r="BS5" s="719"/>
      <c r="BT5" s="719"/>
      <c r="BU5" s="719"/>
      <c r="BV5" s="719"/>
      <c r="BW5" s="719"/>
      <c r="BX5" s="719"/>
      <c r="BY5" s="719"/>
      <c r="BZ5" s="719"/>
      <c r="CA5" s="719"/>
      <c r="CB5" s="719"/>
      <c r="CC5" s="719"/>
      <c r="CD5" s="719"/>
      <c r="CE5" s="719"/>
      <c r="CF5" s="719"/>
      <c r="CG5" s="719"/>
      <c r="CH5" s="719"/>
      <c r="CI5" s="719"/>
      <c r="CJ5" s="719"/>
      <c r="CK5" s="719"/>
      <c r="CL5" s="719"/>
      <c r="CM5" s="719"/>
      <c r="CN5" s="719"/>
      <c r="CO5" s="719"/>
      <c r="CP5" s="719"/>
      <c r="CQ5" s="719"/>
      <c r="CR5" s="719"/>
      <c r="CS5" s="719"/>
      <c r="CT5" s="719"/>
      <c r="CU5" s="719"/>
      <c r="CV5" s="719"/>
      <c r="CW5" s="719"/>
      <c r="CX5" s="719"/>
      <c r="CY5" s="719"/>
      <c r="CZ5" s="719"/>
      <c r="DA5" s="719"/>
      <c r="DB5" s="719"/>
      <c r="DC5" s="719"/>
      <c r="DD5" s="719"/>
      <c r="DE5" s="719"/>
      <c r="DF5" s="719"/>
      <c r="DG5" s="719"/>
      <c r="DH5" s="719"/>
      <c r="DI5" s="719"/>
      <c r="DJ5" s="719"/>
      <c r="DK5" s="719"/>
      <c r="DL5" s="719"/>
      <c r="DM5" s="719"/>
      <c r="DN5" s="719"/>
      <c r="DO5" s="719"/>
      <c r="DP5" s="719"/>
      <c r="DQ5" s="719"/>
      <c r="DR5" s="719"/>
      <c r="DS5" s="719"/>
      <c r="DT5" s="719"/>
      <c r="DU5" s="719"/>
      <c r="DV5" s="719"/>
      <c r="DW5" s="719"/>
      <c r="DX5" s="719"/>
      <c r="DY5" s="719"/>
      <c r="DZ5" s="719"/>
      <c r="EA5" s="719"/>
      <c r="EB5" s="719"/>
      <c r="EC5" s="719"/>
      <c r="ED5" s="719"/>
      <c r="EE5" s="719"/>
      <c r="EF5" s="719"/>
      <c r="EG5" s="719"/>
      <c r="EH5" s="719"/>
      <c r="EI5" s="719"/>
      <c r="EJ5" s="719"/>
      <c r="EK5" s="719"/>
      <c r="EL5" s="719"/>
      <c r="EM5" s="719"/>
      <c r="EN5" s="719"/>
      <c r="EO5" s="719"/>
      <c r="EP5" s="719"/>
      <c r="EQ5" s="719"/>
      <c r="ER5" s="719"/>
      <c r="ES5" s="719"/>
      <c r="ET5" s="719"/>
      <c r="EU5" s="719"/>
      <c r="EV5" s="719"/>
      <c r="EW5" s="719"/>
      <c r="EX5" s="719"/>
      <c r="EY5" s="719"/>
      <c r="EZ5" s="719"/>
      <c r="FA5" s="719"/>
      <c r="FB5" s="719"/>
      <c r="FC5" s="719"/>
      <c r="FD5" s="719"/>
      <c r="FE5" s="719"/>
      <c r="FF5" s="719"/>
      <c r="FG5" s="719"/>
      <c r="FH5" s="719"/>
      <c r="FI5" s="719"/>
      <c r="FJ5" s="719"/>
      <c r="FK5" s="719"/>
      <c r="FL5" s="719"/>
      <c r="FM5" s="719"/>
      <c r="FN5" s="719"/>
      <c r="FO5" s="719"/>
      <c r="FP5" s="719"/>
      <c r="FQ5" s="719"/>
      <c r="FR5" s="719"/>
      <c r="FS5" s="719"/>
      <c r="FT5" s="719"/>
      <c r="FU5" s="719"/>
      <c r="FV5" s="719"/>
      <c r="FW5" s="719"/>
      <c r="FX5" s="719"/>
      <c r="FY5" s="719"/>
      <c r="FZ5" s="719"/>
      <c r="GA5" s="719"/>
      <c r="GB5" s="719"/>
      <c r="GC5" s="720"/>
      <c r="GD5" s="718" t="s">
        <v>309</v>
      </c>
      <c r="GE5" s="719"/>
      <c r="GF5" s="719"/>
      <c r="GG5" s="719"/>
      <c r="GH5" s="719"/>
      <c r="GI5" s="719"/>
      <c r="GJ5" s="719"/>
      <c r="GK5" s="719"/>
      <c r="GL5" s="719"/>
      <c r="GM5" s="719"/>
      <c r="GN5" s="719"/>
      <c r="GO5" s="719"/>
      <c r="GP5" s="719"/>
      <c r="GQ5" s="719"/>
      <c r="GR5" s="719"/>
      <c r="GS5" s="719"/>
      <c r="GT5" s="719"/>
      <c r="GU5" s="719"/>
      <c r="GV5" s="719"/>
      <c r="GW5" s="719"/>
      <c r="GX5" s="719"/>
      <c r="GY5" s="719"/>
      <c r="GZ5" s="719"/>
      <c r="HA5" s="719"/>
      <c r="HB5" s="719"/>
      <c r="HC5" s="719"/>
      <c r="HD5" s="719"/>
      <c r="HE5" s="719"/>
      <c r="HF5" s="719"/>
      <c r="HG5" s="719"/>
      <c r="HH5" s="719"/>
      <c r="HI5" s="719"/>
      <c r="HJ5" s="719"/>
      <c r="HK5" s="719"/>
      <c r="HL5" s="719"/>
      <c r="HM5" s="719"/>
      <c r="HN5" s="719"/>
      <c r="HO5" s="719"/>
      <c r="HP5" s="719"/>
      <c r="HQ5" s="719"/>
      <c r="HR5" s="719"/>
      <c r="HS5" s="719"/>
      <c r="HT5" s="719"/>
      <c r="HU5" s="719"/>
      <c r="HV5" s="719"/>
      <c r="HW5" s="719"/>
      <c r="HX5" s="719"/>
      <c r="HY5" s="719"/>
      <c r="HZ5" s="719"/>
      <c r="IA5" s="719"/>
      <c r="IB5" s="719"/>
      <c r="IC5" s="719"/>
      <c r="ID5" s="719"/>
      <c r="IE5" s="719"/>
      <c r="IF5" s="719"/>
      <c r="IG5" s="719"/>
      <c r="IH5" s="719"/>
      <c r="II5" s="719"/>
      <c r="IJ5" s="719"/>
      <c r="IK5" s="719"/>
      <c r="IL5" s="719"/>
      <c r="IM5" s="719"/>
      <c r="IN5" s="719"/>
      <c r="IO5" s="719"/>
      <c r="IP5" s="719"/>
      <c r="IQ5" s="719"/>
      <c r="IR5" s="719"/>
      <c r="IS5" s="719"/>
      <c r="IT5" s="719"/>
      <c r="IU5" s="719"/>
      <c r="IV5" s="719"/>
      <c r="IW5" s="719"/>
      <c r="IX5" s="719"/>
      <c r="IY5" s="719"/>
      <c r="IZ5" s="719"/>
      <c r="JA5" s="719"/>
      <c r="JB5" s="719"/>
      <c r="JC5" s="719"/>
      <c r="JD5" s="719"/>
      <c r="JE5" s="719"/>
      <c r="JF5" s="719"/>
      <c r="JG5" s="719"/>
      <c r="JH5" s="719"/>
      <c r="JI5" s="719"/>
      <c r="JJ5" s="719"/>
      <c r="JK5" s="719"/>
      <c r="JL5" s="719"/>
      <c r="JM5" s="719"/>
      <c r="JN5" s="719"/>
      <c r="JO5" s="719"/>
      <c r="JP5" s="719"/>
      <c r="JQ5" s="719"/>
      <c r="JR5" s="719"/>
      <c r="JS5" s="719"/>
      <c r="JT5" s="719"/>
      <c r="JU5" s="719"/>
      <c r="JV5" s="719"/>
      <c r="JW5" s="719"/>
      <c r="JX5" s="719"/>
      <c r="JY5" s="719"/>
      <c r="JZ5" s="719"/>
      <c r="KA5" s="719"/>
      <c r="KB5" s="719"/>
      <c r="KC5" s="719"/>
      <c r="KD5" s="719"/>
      <c r="KE5" s="719"/>
      <c r="KF5" s="719"/>
      <c r="KG5" s="719"/>
      <c r="KH5" s="719"/>
      <c r="KI5" s="719"/>
      <c r="KJ5" s="719"/>
      <c r="KK5" s="719"/>
      <c r="KL5" s="719"/>
      <c r="KM5" s="719"/>
      <c r="KN5" s="719"/>
      <c r="KO5" s="719"/>
      <c r="KP5" s="720"/>
      <c r="KQ5" s="721" t="s">
        <v>310</v>
      </c>
      <c r="KR5" s="721" t="s">
        <v>309</v>
      </c>
    </row>
    <row r="6" spans="1:306" ht="31.5" customHeight="1">
      <c r="A6" s="726" t="s">
        <v>31</v>
      </c>
      <c r="B6" s="729" t="s">
        <v>5</v>
      </c>
      <c r="C6" s="729" t="s">
        <v>6</v>
      </c>
      <c r="D6" s="735" t="s">
        <v>46</v>
      </c>
      <c r="E6" s="732" t="s">
        <v>44</v>
      </c>
      <c r="F6" s="709" t="s">
        <v>311</v>
      </c>
      <c r="G6" s="722"/>
      <c r="H6" s="710"/>
      <c r="I6" s="709" t="s">
        <v>312</v>
      </c>
      <c r="J6" s="722"/>
      <c r="K6" s="710"/>
      <c r="L6" s="709" t="s">
        <v>313</v>
      </c>
      <c r="M6" s="722"/>
      <c r="N6" s="710"/>
      <c r="O6" s="709" t="s">
        <v>314</v>
      </c>
      <c r="P6" s="722"/>
      <c r="Q6" s="710"/>
      <c r="R6" s="709" t="s">
        <v>315</v>
      </c>
      <c r="S6" s="722"/>
      <c r="T6" s="710"/>
      <c r="U6" s="709" t="s">
        <v>316</v>
      </c>
      <c r="V6" s="722"/>
      <c r="W6" s="710"/>
      <c r="X6" s="709" t="s">
        <v>317</v>
      </c>
      <c r="Y6" s="722"/>
      <c r="Z6" s="710"/>
      <c r="AA6" s="709" t="s">
        <v>318</v>
      </c>
      <c r="AB6" s="722"/>
      <c r="AC6" s="710"/>
      <c r="AD6" s="709" t="s">
        <v>319</v>
      </c>
      <c r="AE6" s="722"/>
      <c r="AF6" s="710"/>
      <c r="AG6" s="709" t="s">
        <v>320</v>
      </c>
      <c r="AH6" s="722"/>
      <c r="AI6" s="710"/>
      <c r="AJ6" s="709" t="s">
        <v>321</v>
      </c>
      <c r="AK6" s="722"/>
      <c r="AL6" s="710"/>
      <c r="AM6" s="709" t="s">
        <v>322</v>
      </c>
      <c r="AN6" s="722"/>
      <c r="AO6" s="710"/>
      <c r="AP6" s="709" t="s">
        <v>323</v>
      </c>
      <c r="AQ6" s="722"/>
      <c r="AR6" s="710"/>
      <c r="AS6" s="709" t="s">
        <v>324</v>
      </c>
      <c r="AT6" s="722"/>
      <c r="AU6" s="710"/>
      <c r="AV6" s="709" t="s">
        <v>325</v>
      </c>
      <c r="AW6" s="722"/>
      <c r="AX6" s="710"/>
      <c r="AY6" s="712" t="s">
        <v>326</v>
      </c>
      <c r="AZ6" s="713"/>
      <c r="BA6" s="713"/>
      <c r="BB6" s="712" t="s">
        <v>327</v>
      </c>
      <c r="BC6" s="713"/>
      <c r="BD6" s="714"/>
      <c r="BE6" s="712" t="s">
        <v>328</v>
      </c>
      <c r="BF6" s="713"/>
      <c r="BG6" s="713"/>
      <c r="BH6" s="712" t="s">
        <v>329</v>
      </c>
      <c r="BI6" s="713"/>
      <c r="BJ6" s="714"/>
      <c r="BK6" s="712" t="s">
        <v>330</v>
      </c>
      <c r="BL6" s="713"/>
      <c r="BM6" s="713"/>
      <c r="BN6" s="712" t="s">
        <v>331</v>
      </c>
      <c r="BO6" s="713"/>
      <c r="BP6" s="714"/>
      <c r="BQ6" s="712" t="s">
        <v>332</v>
      </c>
      <c r="BR6" s="713"/>
      <c r="BS6" s="713"/>
      <c r="BT6" s="712" t="s">
        <v>333</v>
      </c>
      <c r="BU6" s="713"/>
      <c r="BV6" s="714"/>
      <c r="BW6" s="712" t="s">
        <v>334</v>
      </c>
      <c r="BX6" s="713"/>
      <c r="BY6" s="713"/>
      <c r="BZ6" s="712" t="s">
        <v>335</v>
      </c>
      <c r="CA6" s="713"/>
      <c r="CB6" s="714"/>
      <c r="CC6" s="712" t="s">
        <v>336</v>
      </c>
      <c r="CD6" s="713"/>
      <c r="CE6" s="713"/>
      <c r="CF6" s="712" t="s">
        <v>337</v>
      </c>
      <c r="CG6" s="713"/>
      <c r="CH6" s="714"/>
      <c r="CI6" s="712" t="s">
        <v>338</v>
      </c>
      <c r="CJ6" s="713"/>
      <c r="CK6" s="713"/>
      <c r="CL6" s="712" t="s">
        <v>339</v>
      </c>
      <c r="CM6" s="713"/>
      <c r="CN6" s="714"/>
      <c r="CO6" s="712" t="s">
        <v>340</v>
      </c>
      <c r="CP6" s="713"/>
      <c r="CQ6" s="713"/>
      <c r="CR6" s="712" t="s">
        <v>341</v>
      </c>
      <c r="CS6" s="713"/>
      <c r="CT6" s="714"/>
      <c r="CU6" s="712" t="s">
        <v>232</v>
      </c>
      <c r="CV6" s="713"/>
      <c r="CW6" s="713"/>
      <c r="CX6" s="712" t="s">
        <v>342</v>
      </c>
      <c r="CY6" s="713"/>
      <c r="CZ6" s="714"/>
      <c r="DA6" s="712" t="s">
        <v>343</v>
      </c>
      <c r="DB6" s="713"/>
      <c r="DC6" s="713"/>
      <c r="DD6" s="712" t="s">
        <v>344</v>
      </c>
      <c r="DE6" s="713"/>
      <c r="DF6" s="714"/>
      <c r="DG6" s="712" t="s">
        <v>345</v>
      </c>
      <c r="DH6" s="713"/>
      <c r="DI6" s="713"/>
      <c r="DJ6" s="712" t="s">
        <v>346</v>
      </c>
      <c r="DK6" s="713"/>
      <c r="DL6" s="714"/>
      <c r="DM6" s="712" t="s">
        <v>347</v>
      </c>
      <c r="DN6" s="713"/>
      <c r="DO6" s="713"/>
      <c r="DP6" s="712" t="s">
        <v>348</v>
      </c>
      <c r="DQ6" s="713"/>
      <c r="DR6" s="714"/>
      <c r="DS6" s="712" t="s">
        <v>349</v>
      </c>
      <c r="DT6" s="713"/>
      <c r="DU6" s="713"/>
      <c r="DV6" s="712" t="s">
        <v>350</v>
      </c>
      <c r="DW6" s="713"/>
      <c r="DX6" s="714"/>
      <c r="DY6" s="712" t="s">
        <v>351</v>
      </c>
      <c r="DZ6" s="713"/>
      <c r="EA6" s="713"/>
      <c r="EB6" s="712" t="s">
        <v>373</v>
      </c>
      <c r="EC6" s="713"/>
      <c r="ED6" s="714"/>
      <c r="EE6" s="715" t="s">
        <v>467</v>
      </c>
      <c r="EF6" s="713"/>
      <c r="EG6" s="713"/>
      <c r="EH6" s="715" t="s">
        <v>457</v>
      </c>
      <c r="EI6" s="713"/>
      <c r="EJ6" s="713"/>
      <c r="EK6" s="712"/>
      <c r="EL6" s="713"/>
      <c r="EM6" s="713"/>
      <c r="EN6" s="712"/>
      <c r="EO6" s="713"/>
      <c r="EP6" s="714"/>
      <c r="EQ6" s="712"/>
      <c r="ER6" s="713"/>
      <c r="ES6" s="713"/>
      <c r="ET6" s="712"/>
      <c r="EU6" s="713"/>
      <c r="EV6" s="714"/>
      <c r="EW6" s="712"/>
      <c r="EX6" s="713"/>
      <c r="EY6" s="713"/>
      <c r="EZ6" s="712"/>
      <c r="FA6" s="713"/>
      <c r="FB6" s="714"/>
      <c r="FC6" s="712"/>
      <c r="FD6" s="713"/>
      <c r="FE6" s="713"/>
      <c r="FF6" s="712"/>
      <c r="FG6" s="713"/>
      <c r="FH6" s="714"/>
      <c r="FI6" s="712"/>
      <c r="FJ6" s="713"/>
      <c r="FK6" s="713"/>
      <c r="FL6" s="712"/>
      <c r="FM6" s="713"/>
      <c r="FN6" s="714"/>
      <c r="FO6" s="712"/>
      <c r="FP6" s="713"/>
      <c r="FQ6" s="713"/>
      <c r="FR6" s="712"/>
      <c r="FS6" s="713"/>
      <c r="FT6" s="714"/>
      <c r="FU6" s="712"/>
      <c r="FV6" s="713"/>
      <c r="FW6" s="713"/>
      <c r="FX6" s="712"/>
      <c r="FY6" s="713"/>
      <c r="FZ6" s="714"/>
      <c r="GA6" s="712"/>
      <c r="GB6" s="713"/>
      <c r="GC6" s="713"/>
      <c r="GD6" s="712" t="s">
        <v>352</v>
      </c>
      <c r="GE6" s="713"/>
      <c r="GF6" s="714"/>
      <c r="GG6" s="716" t="s">
        <v>304</v>
      </c>
      <c r="GH6" s="717"/>
      <c r="GI6" s="717"/>
      <c r="GJ6" s="712" t="s">
        <v>353</v>
      </c>
      <c r="GK6" s="713"/>
      <c r="GL6" s="714"/>
      <c r="GM6" s="712" t="s">
        <v>354</v>
      </c>
      <c r="GN6" s="713"/>
      <c r="GO6" s="713"/>
      <c r="GP6" s="712" t="s">
        <v>355</v>
      </c>
      <c r="GQ6" s="713"/>
      <c r="GR6" s="714"/>
      <c r="GS6" s="712" t="s">
        <v>356</v>
      </c>
      <c r="GT6" s="713"/>
      <c r="GU6" s="713"/>
      <c r="GV6" s="712" t="s">
        <v>357</v>
      </c>
      <c r="GW6" s="713"/>
      <c r="GX6" s="714"/>
      <c r="GY6" s="712" t="s">
        <v>358</v>
      </c>
      <c r="GZ6" s="713"/>
      <c r="HA6" s="713"/>
      <c r="HB6" s="712" t="s">
        <v>335</v>
      </c>
      <c r="HC6" s="713"/>
      <c r="HD6" s="714"/>
      <c r="HE6" s="712" t="s">
        <v>350</v>
      </c>
      <c r="HF6" s="713"/>
      <c r="HG6" s="713"/>
      <c r="HH6" s="712" t="s">
        <v>349</v>
      </c>
      <c r="HI6" s="713"/>
      <c r="HJ6" s="714"/>
      <c r="HK6" s="712" t="s">
        <v>331</v>
      </c>
      <c r="HL6" s="713"/>
      <c r="HM6" s="713"/>
      <c r="HN6" s="712" t="s">
        <v>233</v>
      </c>
      <c r="HO6" s="713"/>
      <c r="HP6" s="714"/>
      <c r="HQ6" s="712" t="s">
        <v>232</v>
      </c>
      <c r="HR6" s="713"/>
      <c r="HS6" s="713"/>
      <c r="HT6" s="712" t="s">
        <v>359</v>
      </c>
      <c r="HU6" s="713"/>
      <c r="HV6" s="714"/>
      <c r="HW6" s="712" t="s">
        <v>360</v>
      </c>
      <c r="HX6" s="713"/>
      <c r="HY6" s="713"/>
      <c r="HZ6" s="712" t="s">
        <v>361</v>
      </c>
      <c r="IA6" s="713"/>
      <c r="IB6" s="714"/>
      <c r="IC6" s="712" t="s">
        <v>362</v>
      </c>
      <c r="ID6" s="713"/>
      <c r="IE6" s="713"/>
      <c r="IF6" s="711" t="s">
        <v>337</v>
      </c>
      <c r="IG6" s="711"/>
      <c r="IH6" s="711"/>
      <c r="II6" s="712" t="s">
        <v>340</v>
      </c>
      <c r="IJ6" s="713"/>
      <c r="IK6" s="714"/>
      <c r="IL6" s="712" t="s">
        <v>341</v>
      </c>
      <c r="IM6" s="713"/>
      <c r="IN6" s="713"/>
      <c r="IO6" s="712" t="s">
        <v>336</v>
      </c>
      <c r="IP6" s="713"/>
      <c r="IQ6" s="714"/>
      <c r="IR6" s="712" t="s">
        <v>363</v>
      </c>
      <c r="IS6" s="713"/>
      <c r="IT6" s="713"/>
      <c r="IU6" s="712" t="s">
        <v>343</v>
      </c>
      <c r="IV6" s="713"/>
      <c r="IW6" s="714"/>
      <c r="IX6" s="712" t="s">
        <v>364</v>
      </c>
      <c r="IY6" s="713"/>
      <c r="IZ6" s="713"/>
      <c r="JA6" s="712" t="s">
        <v>185</v>
      </c>
      <c r="JB6" s="713"/>
      <c r="JC6" s="714"/>
      <c r="JD6" s="712" t="s">
        <v>365</v>
      </c>
      <c r="JE6" s="713"/>
      <c r="JF6" s="713"/>
      <c r="JG6" s="712" t="s">
        <v>381</v>
      </c>
      <c r="JH6" s="713"/>
      <c r="JI6" s="714"/>
      <c r="JJ6" s="715" t="s">
        <v>614</v>
      </c>
      <c r="JK6" s="713"/>
      <c r="JL6" s="713"/>
      <c r="JM6" s="712"/>
      <c r="JN6" s="713"/>
      <c r="JO6" s="713"/>
      <c r="JP6" s="712"/>
      <c r="JQ6" s="713"/>
      <c r="JR6" s="713"/>
      <c r="JS6" s="712"/>
      <c r="JT6" s="713"/>
      <c r="JU6" s="713"/>
      <c r="JV6" s="712"/>
      <c r="JW6" s="713"/>
      <c r="JX6" s="713"/>
      <c r="JY6" s="712"/>
      <c r="JZ6" s="713"/>
      <c r="KA6" s="714"/>
      <c r="KB6" s="712"/>
      <c r="KC6" s="713"/>
      <c r="KD6" s="713"/>
      <c r="KE6" s="712"/>
      <c r="KF6" s="713"/>
      <c r="KG6" s="714"/>
      <c r="KH6" s="712"/>
      <c r="KI6" s="713"/>
      <c r="KJ6" s="713"/>
      <c r="KK6" s="712"/>
      <c r="KL6" s="713"/>
      <c r="KM6" s="714"/>
      <c r="KN6" s="711"/>
      <c r="KO6" s="711"/>
      <c r="KP6" s="711"/>
      <c r="KQ6" s="721"/>
      <c r="KR6" s="721"/>
    </row>
    <row r="7" spans="1:306" ht="15" customHeight="1">
      <c r="A7" s="727"/>
      <c r="B7" s="730"/>
      <c r="C7" s="730"/>
      <c r="D7" s="736"/>
      <c r="E7" s="733"/>
      <c r="F7" s="709" t="s">
        <v>136</v>
      </c>
      <c r="G7" s="710"/>
      <c r="H7" s="534" t="s">
        <v>366</v>
      </c>
      <c r="I7" s="709" t="s">
        <v>136</v>
      </c>
      <c r="J7" s="710"/>
      <c r="K7" s="534" t="s">
        <v>366</v>
      </c>
      <c r="L7" s="709" t="s">
        <v>136</v>
      </c>
      <c r="M7" s="710"/>
      <c r="N7" s="534" t="s">
        <v>366</v>
      </c>
      <c r="O7" s="709" t="s">
        <v>136</v>
      </c>
      <c r="P7" s="710"/>
      <c r="Q7" s="534" t="s">
        <v>366</v>
      </c>
      <c r="R7" s="709" t="s">
        <v>136</v>
      </c>
      <c r="S7" s="710"/>
      <c r="T7" s="534" t="s">
        <v>366</v>
      </c>
      <c r="U7" s="709" t="s">
        <v>136</v>
      </c>
      <c r="V7" s="710"/>
      <c r="W7" s="534" t="s">
        <v>366</v>
      </c>
      <c r="X7" s="709" t="s">
        <v>136</v>
      </c>
      <c r="Y7" s="710"/>
      <c r="Z7" s="534" t="s">
        <v>366</v>
      </c>
      <c r="AA7" s="709" t="s">
        <v>136</v>
      </c>
      <c r="AB7" s="710"/>
      <c r="AC7" s="534" t="s">
        <v>366</v>
      </c>
      <c r="AD7" s="709" t="s">
        <v>136</v>
      </c>
      <c r="AE7" s="710"/>
      <c r="AF7" s="534" t="s">
        <v>366</v>
      </c>
      <c r="AG7" s="709" t="s">
        <v>136</v>
      </c>
      <c r="AH7" s="710"/>
      <c r="AI7" s="534" t="s">
        <v>366</v>
      </c>
      <c r="AJ7" s="709" t="s">
        <v>136</v>
      </c>
      <c r="AK7" s="710"/>
      <c r="AL7" s="534" t="s">
        <v>366</v>
      </c>
      <c r="AM7" s="709" t="s">
        <v>136</v>
      </c>
      <c r="AN7" s="710"/>
      <c r="AO7" s="534" t="s">
        <v>366</v>
      </c>
      <c r="AP7" s="709" t="s">
        <v>136</v>
      </c>
      <c r="AQ7" s="710"/>
      <c r="AR7" s="534" t="s">
        <v>366</v>
      </c>
      <c r="AS7" s="709" t="s">
        <v>136</v>
      </c>
      <c r="AT7" s="710"/>
      <c r="AU7" s="534" t="s">
        <v>366</v>
      </c>
      <c r="AV7" s="709" t="s">
        <v>136</v>
      </c>
      <c r="AW7" s="710"/>
      <c r="AX7" s="534" t="s">
        <v>366</v>
      </c>
      <c r="AY7" s="709" t="s">
        <v>136</v>
      </c>
      <c r="AZ7" s="710"/>
      <c r="BA7" s="534" t="s">
        <v>366</v>
      </c>
      <c r="BB7" s="709" t="s">
        <v>136</v>
      </c>
      <c r="BC7" s="710"/>
      <c r="BD7" s="534" t="s">
        <v>366</v>
      </c>
      <c r="BE7" s="709" t="s">
        <v>136</v>
      </c>
      <c r="BF7" s="710"/>
      <c r="BG7" s="534" t="s">
        <v>366</v>
      </c>
      <c r="BH7" s="709" t="s">
        <v>136</v>
      </c>
      <c r="BI7" s="710"/>
      <c r="BJ7" s="534" t="s">
        <v>366</v>
      </c>
      <c r="BK7" s="709" t="s">
        <v>136</v>
      </c>
      <c r="BL7" s="710"/>
      <c r="BM7" s="534" t="s">
        <v>366</v>
      </c>
      <c r="BN7" s="709" t="s">
        <v>136</v>
      </c>
      <c r="BO7" s="710"/>
      <c r="BP7" s="534" t="s">
        <v>366</v>
      </c>
      <c r="BQ7" s="709" t="s">
        <v>136</v>
      </c>
      <c r="BR7" s="710"/>
      <c r="BS7" s="534" t="s">
        <v>366</v>
      </c>
      <c r="BT7" s="709" t="s">
        <v>136</v>
      </c>
      <c r="BU7" s="710"/>
      <c r="BV7" s="534" t="s">
        <v>366</v>
      </c>
      <c r="BW7" s="709" t="s">
        <v>136</v>
      </c>
      <c r="BX7" s="710"/>
      <c r="BY7" s="534" t="s">
        <v>366</v>
      </c>
      <c r="BZ7" s="709" t="s">
        <v>136</v>
      </c>
      <c r="CA7" s="710"/>
      <c r="CB7" s="534" t="s">
        <v>366</v>
      </c>
      <c r="CC7" s="709" t="s">
        <v>136</v>
      </c>
      <c r="CD7" s="710"/>
      <c r="CE7" s="534" t="s">
        <v>366</v>
      </c>
      <c r="CF7" s="709" t="s">
        <v>136</v>
      </c>
      <c r="CG7" s="710"/>
      <c r="CH7" s="534" t="s">
        <v>366</v>
      </c>
      <c r="CI7" s="709" t="s">
        <v>136</v>
      </c>
      <c r="CJ7" s="710"/>
      <c r="CK7" s="534" t="s">
        <v>366</v>
      </c>
      <c r="CL7" s="709" t="s">
        <v>136</v>
      </c>
      <c r="CM7" s="710"/>
      <c r="CN7" s="534" t="s">
        <v>366</v>
      </c>
      <c r="CO7" s="709" t="s">
        <v>136</v>
      </c>
      <c r="CP7" s="710"/>
      <c r="CQ7" s="534" t="s">
        <v>366</v>
      </c>
      <c r="CR7" s="709" t="s">
        <v>136</v>
      </c>
      <c r="CS7" s="710"/>
      <c r="CT7" s="534" t="s">
        <v>366</v>
      </c>
      <c r="CU7" s="709" t="s">
        <v>136</v>
      </c>
      <c r="CV7" s="710"/>
      <c r="CW7" s="534" t="s">
        <v>366</v>
      </c>
      <c r="CX7" s="709" t="s">
        <v>136</v>
      </c>
      <c r="CY7" s="710"/>
      <c r="CZ7" s="534" t="s">
        <v>366</v>
      </c>
      <c r="DA7" s="709" t="s">
        <v>136</v>
      </c>
      <c r="DB7" s="710"/>
      <c r="DC7" s="534" t="s">
        <v>366</v>
      </c>
      <c r="DD7" s="709" t="s">
        <v>136</v>
      </c>
      <c r="DE7" s="710"/>
      <c r="DF7" s="534" t="s">
        <v>366</v>
      </c>
      <c r="DG7" s="709" t="s">
        <v>136</v>
      </c>
      <c r="DH7" s="710"/>
      <c r="DI7" s="534" t="s">
        <v>366</v>
      </c>
      <c r="DJ7" s="709" t="s">
        <v>136</v>
      </c>
      <c r="DK7" s="710"/>
      <c r="DL7" s="534" t="s">
        <v>366</v>
      </c>
      <c r="DM7" s="709" t="s">
        <v>136</v>
      </c>
      <c r="DN7" s="710"/>
      <c r="DO7" s="534" t="s">
        <v>366</v>
      </c>
      <c r="DP7" s="709" t="s">
        <v>136</v>
      </c>
      <c r="DQ7" s="710"/>
      <c r="DR7" s="534" t="s">
        <v>366</v>
      </c>
      <c r="DS7" s="709" t="s">
        <v>136</v>
      </c>
      <c r="DT7" s="710"/>
      <c r="DU7" s="534" t="s">
        <v>366</v>
      </c>
      <c r="DV7" s="709" t="s">
        <v>136</v>
      </c>
      <c r="DW7" s="710"/>
      <c r="DX7" s="534" t="s">
        <v>366</v>
      </c>
      <c r="DY7" s="709" t="s">
        <v>136</v>
      </c>
      <c r="DZ7" s="710"/>
      <c r="EA7" s="534" t="s">
        <v>366</v>
      </c>
      <c r="EB7" s="709" t="s">
        <v>136</v>
      </c>
      <c r="EC7" s="710"/>
      <c r="ED7" s="534" t="s">
        <v>366</v>
      </c>
      <c r="EE7" s="709" t="s">
        <v>136</v>
      </c>
      <c r="EF7" s="710"/>
      <c r="EG7" s="534" t="s">
        <v>366</v>
      </c>
      <c r="EH7" s="709" t="s">
        <v>136</v>
      </c>
      <c r="EI7" s="710"/>
      <c r="EJ7" s="534" t="s">
        <v>366</v>
      </c>
      <c r="EK7" s="709" t="s">
        <v>136</v>
      </c>
      <c r="EL7" s="710"/>
      <c r="EM7" s="534" t="s">
        <v>366</v>
      </c>
      <c r="EN7" s="709" t="s">
        <v>136</v>
      </c>
      <c r="EO7" s="710"/>
      <c r="EP7" s="534" t="s">
        <v>366</v>
      </c>
      <c r="EQ7" s="709" t="s">
        <v>136</v>
      </c>
      <c r="ER7" s="710"/>
      <c r="ES7" s="534" t="s">
        <v>366</v>
      </c>
      <c r="ET7" s="709" t="s">
        <v>136</v>
      </c>
      <c r="EU7" s="710"/>
      <c r="EV7" s="534" t="s">
        <v>366</v>
      </c>
      <c r="EW7" s="709" t="s">
        <v>136</v>
      </c>
      <c r="EX7" s="710"/>
      <c r="EY7" s="534" t="s">
        <v>366</v>
      </c>
      <c r="EZ7" s="709" t="s">
        <v>136</v>
      </c>
      <c r="FA7" s="710"/>
      <c r="FB7" s="534" t="s">
        <v>366</v>
      </c>
      <c r="FC7" s="709" t="s">
        <v>136</v>
      </c>
      <c r="FD7" s="710"/>
      <c r="FE7" s="534" t="s">
        <v>366</v>
      </c>
      <c r="FF7" s="709" t="s">
        <v>136</v>
      </c>
      <c r="FG7" s="710"/>
      <c r="FH7" s="534" t="s">
        <v>366</v>
      </c>
      <c r="FI7" s="709" t="s">
        <v>136</v>
      </c>
      <c r="FJ7" s="710"/>
      <c r="FK7" s="534" t="s">
        <v>366</v>
      </c>
      <c r="FL7" s="709" t="s">
        <v>136</v>
      </c>
      <c r="FM7" s="710"/>
      <c r="FN7" s="534" t="s">
        <v>366</v>
      </c>
      <c r="FO7" s="709" t="s">
        <v>136</v>
      </c>
      <c r="FP7" s="710"/>
      <c r="FQ7" s="534" t="s">
        <v>366</v>
      </c>
      <c r="FR7" s="709" t="s">
        <v>136</v>
      </c>
      <c r="FS7" s="710"/>
      <c r="FT7" s="534" t="s">
        <v>366</v>
      </c>
      <c r="FU7" s="709" t="s">
        <v>136</v>
      </c>
      <c r="FV7" s="710"/>
      <c r="FW7" s="534" t="s">
        <v>366</v>
      </c>
      <c r="FX7" s="709" t="s">
        <v>136</v>
      </c>
      <c r="FY7" s="710"/>
      <c r="FZ7" s="534" t="s">
        <v>366</v>
      </c>
      <c r="GA7" s="709" t="s">
        <v>136</v>
      </c>
      <c r="GB7" s="710"/>
      <c r="GC7" s="534" t="s">
        <v>366</v>
      </c>
      <c r="GD7" s="709" t="s">
        <v>136</v>
      </c>
      <c r="GE7" s="710"/>
      <c r="GF7" s="534" t="s">
        <v>366</v>
      </c>
      <c r="GG7" s="709" t="s">
        <v>136</v>
      </c>
      <c r="GH7" s="710"/>
      <c r="GI7" s="534" t="s">
        <v>366</v>
      </c>
      <c r="GJ7" s="709" t="s">
        <v>136</v>
      </c>
      <c r="GK7" s="710"/>
      <c r="GL7" s="534" t="s">
        <v>366</v>
      </c>
      <c r="GM7" s="709" t="s">
        <v>136</v>
      </c>
      <c r="GN7" s="710"/>
      <c r="GO7" s="534" t="s">
        <v>366</v>
      </c>
      <c r="GP7" s="709" t="s">
        <v>136</v>
      </c>
      <c r="GQ7" s="710"/>
      <c r="GR7" s="534" t="s">
        <v>366</v>
      </c>
      <c r="GS7" s="709" t="s">
        <v>136</v>
      </c>
      <c r="GT7" s="710"/>
      <c r="GU7" s="534" t="s">
        <v>366</v>
      </c>
      <c r="GV7" s="709" t="s">
        <v>136</v>
      </c>
      <c r="GW7" s="710"/>
      <c r="GX7" s="534" t="s">
        <v>366</v>
      </c>
      <c r="GY7" s="709" t="s">
        <v>136</v>
      </c>
      <c r="GZ7" s="710"/>
      <c r="HA7" s="534" t="s">
        <v>366</v>
      </c>
      <c r="HB7" s="709" t="s">
        <v>136</v>
      </c>
      <c r="HC7" s="710"/>
      <c r="HD7" s="534" t="s">
        <v>366</v>
      </c>
      <c r="HE7" s="709" t="s">
        <v>136</v>
      </c>
      <c r="HF7" s="710"/>
      <c r="HG7" s="534" t="s">
        <v>366</v>
      </c>
      <c r="HH7" s="709" t="s">
        <v>136</v>
      </c>
      <c r="HI7" s="710"/>
      <c r="HJ7" s="534" t="s">
        <v>366</v>
      </c>
      <c r="HK7" s="709" t="s">
        <v>136</v>
      </c>
      <c r="HL7" s="710"/>
      <c r="HM7" s="534" t="s">
        <v>366</v>
      </c>
      <c r="HN7" s="709" t="s">
        <v>136</v>
      </c>
      <c r="HO7" s="710"/>
      <c r="HP7" s="534" t="s">
        <v>366</v>
      </c>
      <c r="HQ7" s="709" t="s">
        <v>136</v>
      </c>
      <c r="HR7" s="710"/>
      <c r="HS7" s="534" t="s">
        <v>366</v>
      </c>
      <c r="HT7" s="709" t="s">
        <v>136</v>
      </c>
      <c r="HU7" s="710"/>
      <c r="HV7" s="534" t="s">
        <v>366</v>
      </c>
      <c r="HW7" s="709" t="s">
        <v>136</v>
      </c>
      <c r="HX7" s="710"/>
      <c r="HY7" s="534" t="s">
        <v>366</v>
      </c>
      <c r="HZ7" s="709" t="s">
        <v>136</v>
      </c>
      <c r="IA7" s="710"/>
      <c r="IB7" s="534" t="s">
        <v>366</v>
      </c>
      <c r="IC7" s="709" t="s">
        <v>136</v>
      </c>
      <c r="ID7" s="710"/>
      <c r="IE7" s="534" t="s">
        <v>366</v>
      </c>
      <c r="IF7" s="711" t="s">
        <v>136</v>
      </c>
      <c r="IG7" s="711"/>
      <c r="IH7" s="535" t="s">
        <v>366</v>
      </c>
      <c r="II7" s="709" t="s">
        <v>136</v>
      </c>
      <c r="IJ7" s="710"/>
      <c r="IK7" s="534" t="s">
        <v>366</v>
      </c>
      <c r="IL7" s="709" t="s">
        <v>136</v>
      </c>
      <c r="IM7" s="710"/>
      <c r="IN7" s="534" t="s">
        <v>366</v>
      </c>
      <c r="IO7" s="709" t="s">
        <v>136</v>
      </c>
      <c r="IP7" s="710"/>
      <c r="IQ7" s="534" t="s">
        <v>366</v>
      </c>
      <c r="IR7" s="709" t="s">
        <v>136</v>
      </c>
      <c r="IS7" s="710"/>
      <c r="IT7" s="534" t="s">
        <v>366</v>
      </c>
      <c r="IU7" s="709" t="s">
        <v>136</v>
      </c>
      <c r="IV7" s="710"/>
      <c r="IW7" s="534" t="s">
        <v>366</v>
      </c>
      <c r="IX7" s="709" t="s">
        <v>136</v>
      </c>
      <c r="IY7" s="710"/>
      <c r="IZ7" s="534" t="s">
        <v>366</v>
      </c>
      <c r="JA7" s="709" t="s">
        <v>136</v>
      </c>
      <c r="JB7" s="710"/>
      <c r="JC7" s="534" t="s">
        <v>366</v>
      </c>
      <c r="JD7" s="709" t="s">
        <v>136</v>
      </c>
      <c r="JE7" s="710"/>
      <c r="JF7" s="534" t="s">
        <v>366</v>
      </c>
      <c r="JG7" s="709" t="s">
        <v>136</v>
      </c>
      <c r="JH7" s="710"/>
      <c r="JI7" s="534" t="s">
        <v>366</v>
      </c>
      <c r="JJ7" s="709" t="s">
        <v>136</v>
      </c>
      <c r="JK7" s="710"/>
      <c r="JL7" s="534" t="s">
        <v>366</v>
      </c>
      <c r="JM7" s="709" t="s">
        <v>136</v>
      </c>
      <c r="JN7" s="710"/>
      <c r="JO7" s="534" t="s">
        <v>366</v>
      </c>
      <c r="JP7" s="709" t="s">
        <v>136</v>
      </c>
      <c r="JQ7" s="710"/>
      <c r="JR7" s="534" t="s">
        <v>366</v>
      </c>
      <c r="JS7" s="709" t="s">
        <v>136</v>
      </c>
      <c r="JT7" s="710"/>
      <c r="JU7" s="534" t="s">
        <v>366</v>
      </c>
      <c r="JV7" s="709" t="s">
        <v>136</v>
      </c>
      <c r="JW7" s="710"/>
      <c r="JX7" s="534" t="s">
        <v>366</v>
      </c>
      <c r="JY7" s="709" t="s">
        <v>136</v>
      </c>
      <c r="JZ7" s="710"/>
      <c r="KA7" s="534" t="s">
        <v>366</v>
      </c>
      <c r="KB7" s="709" t="s">
        <v>136</v>
      </c>
      <c r="KC7" s="710"/>
      <c r="KD7" s="534" t="s">
        <v>366</v>
      </c>
      <c r="KE7" s="709" t="s">
        <v>136</v>
      </c>
      <c r="KF7" s="710"/>
      <c r="KG7" s="534" t="s">
        <v>366</v>
      </c>
      <c r="KH7" s="709" t="s">
        <v>136</v>
      </c>
      <c r="KI7" s="710"/>
      <c r="KJ7" s="534" t="s">
        <v>366</v>
      </c>
      <c r="KK7" s="709" t="s">
        <v>136</v>
      </c>
      <c r="KL7" s="710"/>
      <c r="KM7" s="534" t="s">
        <v>366</v>
      </c>
      <c r="KN7" s="711" t="s">
        <v>136</v>
      </c>
      <c r="KO7" s="711"/>
      <c r="KP7" s="535" t="s">
        <v>366</v>
      </c>
      <c r="KQ7" s="721"/>
      <c r="KR7" s="721"/>
    </row>
    <row r="8" spans="1:306" ht="15" customHeight="1" thickBot="1">
      <c r="A8" s="728"/>
      <c r="B8" s="731"/>
      <c r="C8" s="731"/>
      <c r="D8" s="737"/>
      <c r="E8" s="734"/>
      <c r="F8" s="536" t="s">
        <v>137</v>
      </c>
      <c r="G8" s="536" t="s">
        <v>45</v>
      </c>
      <c r="H8" s="537"/>
      <c r="I8" s="536" t="s">
        <v>137</v>
      </c>
      <c r="J8" s="536" t="s">
        <v>45</v>
      </c>
      <c r="K8" s="537"/>
      <c r="L8" s="536" t="s">
        <v>137</v>
      </c>
      <c r="M8" s="536" t="s">
        <v>45</v>
      </c>
      <c r="N8" s="537"/>
      <c r="O8" s="536" t="s">
        <v>137</v>
      </c>
      <c r="P8" s="536" t="s">
        <v>45</v>
      </c>
      <c r="Q8" s="537"/>
      <c r="R8" s="536" t="s">
        <v>137</v>
      </c>
      <c r="S8" s="536" t="s">
        <v>45</v>
      </c>
      <c r="T8" s="537"/>
      <c r="U8" s="536" t="s">
        <v>137</v>
      </c>
      <c r="V8" s="536" t="s">
        <v>45</v>
      </c>
      <c r="W8" s="537"/>
      <c r="X8" s="536" t="s">
        <v>137</v>
      </c>
      <c r="Y8" s="536" t="s">
        <v>45</v>
      </c>
      <c r="Z8" s="537"/>
      <c r="AA8" s="536" t="s">
        <v>137</v>
      </c>
      <c r="AB8" s="536" t="s">
        <v>45</v>
      </c>
      <c r="AC8" s="537"/>
      <c r="AD8" s="536" t="s">
        <v>137</v>
      </c>
      <c r="AE8" s="536" t="s">
        <v>45</v>
      </c>
      <c r="AF8" s="537"/>
      <c r="AG8" s="536" t="s">
        <v>137</v>
      </c>
      <c r="AH8" s="536" t="s">
        <v>45</v>
      </c>
      <c r="AI8" s="537"/>
      <c r="AJ8" s="536" t="s">
        <v>137</v>
      </c>
      <c r="AK8" s="536" t="s">
        <v>45</v>
      </c>
      <c r="AL8" s="537"/>
      <c r="AM8" s="536" t="s">
        <v>137</v>
      </c>
      <c r="AN8" s="536" t="s">
        <v>45</v>
      </c>
      <c r="AO8" s="537"/>
      <c r="AP8" s="536" t="s">
        <v>137</v>
      </c>
      <c r="AQ8" s="536" t="s">
        <v>45</v>
      </c>
      <c r="AR8" s="537"/>
      <c r="AS8" s="536" t="s">
        <v>137</v>
      </c>
      <c r="AT8" s="536" t="s">
        <v>45</v>
      </c>
      <c r="AU8" s="537"/>
      <c r="AV8" s="536" t="s">
        <v>137</v>
      </c>
      <c r="AW8" s="536" t="s">
        <v>45</v>
      </c>
      <c r="AX8" s="537"/>
      <c r="AY8" s="536" t="s">
        <v>137</v>
      </c>
      <c r="AZ8" s="536" t="s">
        <v>45</v>
      </c>
      <c r="BA8" s="537"/>
      <c r="BB8" s="536" t="s">
        <v>137</v>
      </c>
      <c r="BC8" s="536" t="s">
        <v>45</v>
      </c>
      <c r="BD8" s="537"/>
      <c r="BE8" s="536" t="s">
        <v>137</v>
      </c>
      <c r="BF8" s="536" t="s">
        <v>45</v>
      </c>
      <c r="BG8" s="537"/>
      <c r="BH8" s="536" t="s">
        <v>137</v>
      </c>
      <c r="BI8" s="536" t="s">
        <v>45</v>
      </c>
      <c r="BJ8" s="537"/>
      <c r="BK8" s="536" t="s">
        <v>137</v>
      </c>
      <c r="BL8" s="536" t="s">
        <v>45</v>
      </c>
      <c r="BM8" s="537"/>
      <c r="BN8" s="536" t="s">
        <v>137</v>
      </c>
      <c r="BO8" s="536" t="s">
        <v>45</v>
      </c>
      <c r="BP8" s="537"/>
      <c r="BQ8" s="536" t="s">
        <v>137</v>
      </c>
      <c r="BR8" s="536" t="s">
        <v>45</v>
      </c>
      <c r="BS8" s="537"/>
      <c r="BT8" s="536" t="s">
        <v>137</v>
      </c>
      <c r="BU8" s="536" t="s">
        <v>45</v>
      </c>
      <c r="BV8" s="537"/>
      <c r="BW8" s="536" t="s">
        <v>137</v>
      </c>
      <c r="BX8" s="536" t="s">
        <v>45</v>
      </c>
      <c r="BY8" s="537"/>
      <c r="BZ8" s="536" t="s">
        <v>137</v>
      </c>
      <c r="CA8" s="536" t="s">
        <v>45</v>
      </c>
      <c r="CB8" s="537"/>
      <c r="CC8" s="536" t="s">
        <v>137</v>
      </c>
      <c r="CD8" s="536" t="s">
        <v>45</v>
      </c>
      <c r="CE8" s="537"/>
      <c r="CF8" s="536" t="s">
        <v>137</v>
      </c>
      <c r="CG8" s="536" t="s">
        <v>45</v>
      </c>
      <c r="CH8" s="537"/>
      <c r="CI8" s="536" t="s">
        <v>137</v>
      </c>
      <c r="CJ8" s="536" t="s">
        <v>45</v>
      </c>
      <c r="CK8" s="537"/>
      <c r="CL8" s="536" t="s">
        <v>137</v>
      </c>
      <c r="CM8" s="536" t="s">
        <v>45</v>
      </c>
      <c r="CN8" s="537"/>
      <c r="CO8" s="536" t="s">
        <v>137</v>
      </c>
      <c r="CP8" s="536" t="s">
        <v>45</v>
      </c>
      <c r="CQ8" s="537"/>
      <c r="CR8" s="536" t="s">
        <v>137</v>
      </c>
      <c r="CS8" s="536" t="s">
        <v>45</v>
      </c>
      <c r="CT8" s="537"/>
      <c r="CU8" s="536" t="s">
        <v>137</v>
      </c>
      <c r="CV8" s="536" t="s">
        <v>45</v>
      </c>
      <c r="CW8" s="537"/>
      <c r="CX8" s="536" t="s">
        <v>137</v>
      </c>
      <c r="CY8" s="536" t="s">
        <v>45</v>
      </c>
      <c r="CZ8" s="537"/>
      <c r="DA8" s="536" t="s">
        <v>137</v>
      </c>
      <c r="DB8" s="536" t="s">
        <v>45</v>
      </c>
      <c r="DC8" s="537"/>
      <c r="DD8" s="536" t="s">
        <v>137</v>
      </c>
      <c r="DE8" s="536" t="s">
        <v>45</v>
      </c>
      <c r="DF8" s="537"/>
      <c r="DG8" s="536" t="s">
        <v>137</v>
      </c>
      <c r="DH8" s="536" t="s">
        <v>45</v>
      </c>
      <c r="DI8" s="537"/>
      <c r="DJ8" s="536" t="s">
        <v>137</v>
      </c>
      <c r="DK8" s="536" t="s">
        <v>45</v>
      </c>
      <c r="DL8" s="537"/>
      <c r="DM8" s="536" t="s">
        <v>137</v>
      </c>
      <c r="DN8" s="536" t="s">
        <v>45</v>
      </c>
      <c r="DO8" s="537"/>
      <c r="DP8" s="536" t="s">
        <v>137</v>
      </c>
      <c r="DQ8" s="536" t="s">
        <v>45</v>
      </c>
      <c r="DR8" s="537"/>
      <c r="DS8" s="536" t="s">
        <v>137</v>
      </c>
      <c r="DT8" s="536" t="s">
        <v>45</v>
      </c>
      <c r="DU8" s="537"/>
      <c r="DV8" s="536" t="s">
        <v>137</v>
      </c>
      <c r="DW8" s="536" t="s">
        <v>45</v>
      </c>
      <c r="DX8" s="537"/>
      <c r="DY8" s="536" t="s">
        <v>137</v>
      </c>
      <c r="DZ8" s="536" t="s">
        <v>45</v>
      </c>
      <c r="EA8" s="537"/>
      <c r="EB8" s="536" t="s">
        <v>137</v>
      </c>
      <c r="EC8" s="536" t="s">
        <v>45</v>
      </c>
      <c r="ED8" s="534"/>
      <c r="EE8" s="536" t="s">
        <v>137</v>
      </c>
      <c r="EF8" s="536" t="s">
        <v>45</v>
      </c>
      <c r="EG8" s="537"/>
      <c r="EH8" s="536" t="s">
        <v>137</v>
      </c>
      <c r="EI8" s="536" t="s">
        <v>45</v>
      </c>
      <c r="EJ8" s="537"/>
      <c r="EK8" s="536" t="s">
        <v>137</v>
      </c>
      <c r="EL8" s="536" t="s">
        <v>45</v>
      </c>
      <c r="EM8" s="537"/>
      <c r="EN8" s="536" t="s">
        <v>137</v>
      </c>
      <c r="EO8" s="536" t="s">
        <v>45</v>
      </c>
      <c r="EP8" s="537"/>
      <c r="EQ8" s="536" t="s">
        <v>137</v>
      </c>
      <c r="ER8" s="536" t="s">
        <v>45</v>
      </c>
      <c r="ES8" s="537"/>
      <c r="ET8" s="536" t="s">
        <v>137</v>
      </c>
      <c r="EU8" s="536" t="s">
        <v>45</v>
      </c>
      <c r="EV8" s="537"/>
      <c r="EW8" s="536" t="s">
        <v>137</v>
      </c>
      <c r="EX8" s="536" t="s">
        <v>45</v>
      </c>
      <c r="EY8" s="537"/>
      <c r="EZ8" s="536" t="s">
        <v>137</v>
      </c>
      <c r="FA8" s="536" t="s">
        <v>45</v>
      </c>
      <c r="FB8" s="537"/>
      <c r="FC8" s="536" t="s">
        <v>137</v>
      </c>
      <c r="FD8" s="536" t="s">
        <v>45</v>
      </c>
      <c r="FE8" s="537"/>
      <c r="FF8" s="536" t="s">
        <v>137</v>
      </c>
      <c r="FG8" s="536" t="s">
        <v>45</v>
      </c>
      <c r="FH8" s="537"/>
      <c r="FI8" s="536" t="s">
        <v>137</v>
      </c>
      <c r="FJ8" s="536" t="s">
        <v>45</v>
      </c>
      <c r="FK8" s="537"/>
      <c r="FL8" s="536" t="s">
        <v>137</v>
      </c>
      <c r="FM8" s="536" t="s">
        <v>45</v>
      </c>
      <c r="FN8" s="537"/>
      <c r="FO8" s="536" t="s">
        <v>137</v>
      </c>
      <c r="FP8" s="536" t="s">
        <v>45</v>
      </c>
      <c r="FQ8" s="537"/>
      <c r="FR8" s="536" t="s">
        <v>137</v>
      </c>
      <c r="FS8" s="536" t="s">
        <v>45</v>
      </c>
      <c r="FT8" s="537"/>
      <c r="FU8" s="536" t="s">
        <v>137</v>
      </c>
      <c r="FV8" s="536" t="s">
        <v>45</v>
      </c>
      <c r="FW8" s="537"/>
      <c r="FX8" s="536" t="s">
        <v>137</v>
      </c>
      <c r="FY8" s="536" t="s">
        <v>45</v>
      </c>
      <c r="FZ8" s="537"/>
      <c r="GA8" s="536" t="s">
        <v>137</v>
      </c>
      <c r="GB8" s="536" t="s">
        <v>45</v>
      </c>
      <c r="GC8" s="537"/>
      <c r="GD8" s="536" t="s">
        <v>137</v>
      </c>
      <c r="GE8" s="536" t="s">
        <v>45</v>
      </c>
      <c r="GF8" s="537"/>
      <c r="GG8" s="536" t="s">
        <v>137</v>
      </c>
      <c r="GH8" s="536" t="s">
        <v>45</v>
      </c>
      <c r="GI8" s="537"/>
      <c r="GJ8" s="536" t="s">
        <v>137</v>
      </c>
      <c r="GK8" s="536" t="s">
        <v>45</v>
      </c>
      <c r="GL8" s="537"/>
      <c r="GM8" s="536" t="s">
        <v>137</v>
      </c>
      <c r="GN8" s="536" t="s">
        <v>45</v>
      </c>
      <c r="GO8" s="537"/>
      <c r="GP8" s="536" t="s">
        <v>137</v>
      </c>
      <c r="GQ8" s="536" t="s">
        <v>45</v>
      </c>
      <c r="GR8" s="537"/>
      <c r="GS8" s="536" t="s">
        <v>137</v>
      </c>
      <c r="GT8" s="536" t="s">
        <v>45</v>
      </c>
      <c r="GU8" s="537"/>
      <c r="GV8" s="536" t="s">
        <v>137</v>
      </c>
      <c r="GW8" s="536" t="s">
        <v>45</v>
      </c>
      <c r="GX8" s="537"/>
      <c r="GY8" s="536" t="s">
        <v>137</v>
      </c>
      <c r="GZ8" s="536" t="s">
        <v>45</v>
      </c>
      <c r="HA8" s="537"/>
      <c r="HB8" s="536" t="s">
        <v>137</v>
      </c>
      <c r="HC8" s="536" t="s">
        <v>45</v>
      </c>
      <c r="HD8" s="537"/>
      <c r="HE8" s="536" t="s">
        <v>137</v>
      </c>
      <c r="HF8" s="536" t="s">
        <v>45</v>
      </c>
      <c r="HG8" s="537"/>
      <c r="HH8" s="536" t="s">
        <v>137</v>
      </c>
      <c r="HI8" s="536" t="s">
        <v>45</v>
      </c>
      <c r="HJ8" s="537"/>
      <c r="HK8" s="536" t="s">
        <v>137</v>
      </c>
      <c r="HL8" s="536" t="s">
        <v>45</v>
      </c>
      <c r="HM8" s="537"/>
      <c r="HN8" s="536" t="s">
        <v>137</v>
      </c>
      <c r="HO8" s="536" t="s">
        <v>45</v>
      </c>
      <c r="HP8" s="537"/>
      <c r="HQ8" s="536" t="s">
        <v>137</v>
      </c>
      <c r="HR8" s="536" t="s">
        <v>45</v>
      </c>
      <c r="HS8" s="537"/>
      <c r="HT8" s="536" t="s">
        <v>137</v>
      </c>
      <c r="HU8" s="536" t="s">
        <v>45</v>
      </c>
      <c r="HV8" s="537"/>
      <c r="HW8" s="536" t="s">
        <v>137</v>
      </c>
      <c r="HX8" s="536" t="s">
        <v>45</v>
      </c>
      <c r="HY8" s="537"/>
      <c r="HZ8" s="536" t="s">
        <v>137</v>
      </c>
      <c r="IA8" s="536" t="s">
        <v>45</v>
      </c>
      <c r="IB8" s="537"/>
      <c r="IC8" s="536" t="s">
        <v>137</v>
      </c>
      <c r="ID8" s="536" t="s">
        <v>45</v>
      </c>
      <c r="IE8" s="537"/>
      <c r="IF8" s="536" t="s">
        <v>137</v>
      </c>
      <c r="IG8" s="536" t="s">
        <v>45</v>
      </c>
      <c r="IH8" s="537"/>
      <c r="II8" s="536" t="s">
        <v>137</v>
      </c>
      <c r="IJ8" s="536" t="s">
        <v>45</v>
      </c>
      <c r="IK8" s="537"/>
      <c r="IL8" s="536" t="s">
        <v>137</v>
      </c>
      <c r="IM8" s="536" t="s">
        <v>45</v>
      </c>
      <c r="IN8" s="537"/>
      <c r="IO8" s="536" t="s">
        <v>137</v>
      </c>
      <c r="IP8" s="536" t="s">
        <v>45</v>
      </c>
      <c r="IQ8" s="537"/>
      <c r="IR8" s="536" t="s">
        <v>137</v>
      </c>
      <c r="IS8" s="536" t="s">
        <v>45</v>
      </c>
      <c r="IT8" s="537"/>
      <c r="IU8" s="536" t="s">
        <v>137</v>
      </c>
      <c r="IV8" s="536" t="s">
        <v>45</v>
      </c>
      <c r="IW8" s="537"/>
      <c r="IX8" s="536" t="s">
        <v>137</v>
      </c>
      <c r="IY8" s="536" t="s">
        <v>45</v>
      </c>
      <c r="IZ8" s="537"/>
      <c r="JA8" s="536" t="s">
        <v>137</v>
      </c>
      <c r="JB8" s="536" t="s">
        <v>45</v>
      </c>
      <c r="JC8" s="537"/>
      <c r="JD8" s="536" t="s">
        <v>137</v>
      </c>
      <c r="JE8" s="536" t="s">
        <v>45</v>
      </c>
      <c r="JF8" s="537"/>
      <c r="JG8" s="536" t="s">
        <v>137</v>
      </c>
      <c r="JH8" s="536" t="s">
        <v>45</v>
      </c>
      <c r="JI8" s="537" t="s">
        <v>383</v>
      </c>
      <c r="JJ8" s="536" t="s">
        <v>137</v>
      </c>
      <c r="JK8" s="536" t="s">
        <v>45</v>
      </c>
      <c r="JL8" s="537" t="s">
        <v>383</v>
      </c>
      <c r="JM8" s="536" t="s">
        <v>137</v>
      </c>
      <c r="JN8" s="536" t="s">
        <v>45</v>
      </c>
      <c r="JO8" s="537" t="s">
        <v>383</v>
      </c>
      <c r="JP8" s="536" t="s">
        <v>137</v>
      </c>
      <c r="JQ8" s="536" t="s">
        <v>45</v>
      </c>
      <c r="JR8" s="537" t="s">
        <v>383</v>
      </c>
      <c r="JS8" s="536" t="s">
        <v>137</v>
      </c>
      <c r="JT8" s="536" t="s">
        <v>45</v>
      </c>
      <c r="JU8" s="537" t="s">
        <v>383</v>
      </c>
      <c r="JV8" s="536" t="s">
        <v>137</v>
      </c>
      <c r="JW8" s="536" t="s">
        <v>45</v>
      </c>
      <c r="JX8" s="537" t="s">
        <v>383</v>
      </c>
      <c r="JY8" s="536" t="s">
        <v>137</v>
      </c>
      <c r="JZ8" s="536" t="s">
        <v>45</v>
      </c>
      <c r="KA8" s="537" t="s">
        <v>383</v>
      </c>
      <c r="KB8" s="536" t="s">
        <v>137</v>
      </c>
      <c r="KC8" s="536" t="s">
        <v>45</v>
      </c>
      <c r="KD8" s="537" t="s">
        <v>383</v>
      </c>
      <c r="KE8" s="536" t="s">
        <v>137</v>
      </c>
      <c r="KF8" s="536" t="s">
        <v>45</v>
      </c>
      <c r="KG8" s="537" t="s">
        <v>383</v>
      </c>
      <c r="KH8" s="536" t="s">
        <v>137</v>
      </c>
      <c r="KI8" s="536" t="s">
        <v>45</v>
      </c>
      <c r="KJ8" s="537" t="s">
        <v>383</v>
      </c>
      <c r="KK8" s="536" t="s">
        <v>137</v>
      </c>
      <c r="KL8" s="536" t="s">
        <v>45</v>
      </c>
      <c r="KM8" s="537" t="s">
        <v>383</v>
      </c>
      <c r="KN8" s="536" t="s">
        <v>137</v>
      </c>
      <c r="KO8" s="536" t="s">
        <v>45</v>
      </c>
      <c r="KP8" s="537" t="s">
        <v>383</v>
      </c>
      <c r="KQ8" s="721"/>
      <c r="KR8" s="721"/>
    </row>
    <row r="9" spans="1:306" ht="15" customHeight="1">
      <c r="A9" s="270">
        <f>+Report1!A9</f>
        <v>45931</v>
      </c>
      <c r="B9" s="271" t="str">
        <f>+Report1!B9</f>
        <v>Towel</v>
      </c>
      <c r="C9" s="271" t="str">
        <f>+Report1!C9</f>
        <v>34</v>
      </c>
      <c r="D9" s="272">
        <f>+Report1!P9</f>
        <v>0</v>
      </c>
      <c r="E9" s="273">
        <f>+Report1!R9</f>
        <v>0</v>
      </c>
      <c r="F9" s="538">
        <v>0</v>
      </c>
      <c r="G9" s="539" t="e">
        <f t="shared" ref="G9:G39" si="0">+F9/$E9</f>
        <v>#DIV/0!</v>
      </c>
      <c r="H9" s="540">
        <f>+F9*$H$8</f>
        <v>0</v>
      </c>
      <c r="I9" s="538"/>
      <c r="J9" s="539" t="e">
        <f t="shared" ref="J9:J39" si="1">+I9/$E9</f>
        <v>#DIV/0!</v>
      </c>
      <c r="K9" s="540">
        <f>+I9*$H$8</f>
        <v>0</v>
      </c>
      <c r="L9" s="538"/>
      <c r="M9" s="539" t="e">
        <f t="shared" ref="M9:M39" si="2">+L9/$E9</f>
        <v>#DIV/0!</v>
      </c>
      <c r="N9" s="540">
        <f>+L9*$H$8</f>
        <v>0</v>
      </c>
      <c r="O9" s="538"/>
      <c r="P9" s="539" t="e">
        <f t="shared" ref="P9:P39" si="3">+O9/$E9</f>
        <v>#DIV/0!</v>
      </c>
      <c r="Q9" s="540">
        <f>+O9*$H$8</f>
        <v>0</v>
      </c>
      <c r="R9" s="538"/>
      <c r="S9" s="539" t="e">
        <f t="shared" ref="S9:S39" si="4">+R9/$E9</f>
        <v>#DIV/0!</v>
      </c>
      <c r="T9" s="540">
        <f>+R9*$H$8</f>
        <v>0</v>
      </c>
      <c r="U9" s="538"/>
      <c r="V9" s="539" t="e">
        <f t="shared" ref="V9:V39" si="5">+U9/$E9</f>
        <v>#DIV/0!</v>
      </c>
      <c r="W9" s="540">
        <f>+U9*$H$8</f>
        <v>0</v>
      </c>
      <c r="X9" s="538"/>
      <c r="Y9" s="539" t="e">
        <f t="shared" ref="Y9:Y39" si="6">+X9/$E9</f>
        <v>#DIV/0!</v>
      </c>
      <c r="Z9" s="540">
        <f>+X9*$H$8</f>
        <v>0</v>
      </c>
      <c r="AA9" s="538"/>
      <c r="AB9" s="539" t="e">
        <f t="shared" ref="AB9:AB39" si="7">+AA9/$E9</f>
        <v>#DIV/0!</v>
      </c>
      <c r="AC9" s="540">
        <f>+AA9*$H$8</f>
        <v>0</v>
      </c>
      <c r="AD9" s="538"/>
      <c r="AE9" s="539" t="e">
        <f t="shared" ref="AE9:AE39" si="8">+AD9/$E9</f>
        <v>#DIV/0!</v>
      </c>
      <c r="AF9" s="540">
        <f>+AD9*$H$8</f>
        <v>0</v>
      </c>
      <c r="AG9" s="538"/>
      <c r="AH9" s="539" t="e">
        <f t="shared" ref="AH9:AH39" si="9">+AG9/$E9</f>
        <v>#DIV/0!</v>
      </c>
      <c r="AI9" s="540">
        <f>+AG9*$H$8</f>
        <v>0</v>
      </c>
      <c r="AJ9" s="538"/>
      <c r="AK9" s="539" t="e">
        <f t="shared" ref="AK9:AK39" si="10">+AJ9/$E9</f>
        <v>#DIV/0!</v>
      </c>
      <c r="AL9" s="540">
        <f>+AJ9*$H$8</f>
        <v>0</v>
      </c>
      <c r="AM9" s="538"/>
      <c r="AN9" s="539" t="e">
        <f t="shared" ref="AN9:AN39" si="11">+AM9/$E9</f>
        <v>#DIV/0!</v>
      </c>
      <c r="AO9" s="540">
        <f>+AM9*$H$8</f>
        <v>0</v>
      </c>
      <c r="AP9" s="538"/>
      <c r="AQ9" s="539" t="e">
        <f t="shared" ref="AQ9:AQ39" si="12">+AP9/$E9</f>
        <v>#DIV/0!</v>
      </c>
      <c r="AR9" s="540">
        <f>+AP9*$H$8</f>
        <v>0</v>
      </c>
      <c r="AS9" s="538"/>
      <c r="AT9" s="539" t="e">
        <f t="shared" ref="AT9:AT39" si="13">+AS9/$E9</f>
        <v>#DIV/0!</v>
      </c>
      <c r="AU9" s="540">
        <f>+AS9*$H$8</f>
        <v>0</v>
      </c>
      <c r="AV9" s="538"/>
      <c r="AW9" s="539" t="e">
        <f t="shared" ref="AW9:AW39" si="14">+AV9/$E9</f>
        <v>#DIV/0!</v>
      </c>
      <c r="AX9" s="540">
        <f>+AV9*$H$8</f>
        <v>0</v>
      </c>
      <c r="AY9" s="538"/>
      <c r="AZ9" s="539" t="e">
        <f t="shared" ref="AZ9:AZ39" si="15">+AY9/$E9</f>
        <v>#DIV/0!</v>
      </c>
      <c r="BA9" s="540">
        <f>+AY9*$H$8</f>
        <v>0</v>
      </c>
      <c r="BB9" s="538"/>
      <c r="BC9" s="539" t="e">
        <f t="shared" ref="BC9:BC39" si="16">+BB9/$E9</f>
        <v>#DIV/0!</v>
      </c>
      <c r="BD9" s="540">
        <f>+BB9*$H$8</f>
        <v>0</v>
      </c>
      <c r="BE9" s="538"/>
      <c r="BF9" s="539" t="e">
        <f t="shared" ref="BF9:BF39" si="17">+BE9/$E9</f>
        <v>#DIV/0!</v>
      </c>
      <c r="BG9" s="540">
        <f>+BE9*$H$8</f>
        <v>0</v>
      </c>
      <c r="BH9" s="538"/>
      <c r="BI9" s="539" t="e">
        <f t="shared" ref="BI9:BI39" si="18">+BH9/$E9</f>
        <v>#DIV/0!</v>
      </c>
      <c r="BJ9" s="540">
        <f>+BH9*$H$8</f>
        <v>0</v>
      </c>
      <c r="BK9" s="538"/>
      <c r="BL9" s="539" t="e">
        <f t="shared" ref="BL9:BL39" si="19">+BK9/$E9</f>
        <v>#DIV/0!</v>
      </c>
      <c r="BM9" s="540">
        <f>+BK9*$H$8</f>
        <v>0</v>
      </c>
      <c r="BN9" s="538"/>
      <c r="BO9" s="539" t="e">
        <f t="shared" ref="BO9:BO39" si="20">+BN9/$E9</f>
        <v>#DIV/0!</v>
      </c>
      <c r="BP9" s="540">
        <f>+BN9*$H$8</f>
        <v>0</v>
      </c>
      <c r="BQ9" s="538"/>
      <c r="BR9" s="539" t="e">
        <f t="shared" ref="BR9:BR39" si="21">+BQ9/$E9</f>
        <v>#DIV/0!</v>
      </c>
      <c r="BS9" s="540">
        <f>+BQ9*$H$8</f>
        <v>0</v>
      </c>
      <c r="BT9" s="538"/>
      <c r="BU9" s="539" t="e">
        <f t="shared" ref="BU9:BU39" si="22">+BT9/$E9</f>
        <v>#DIV/0!</v>
      </c>
      <c r="BV9" s="540">
        <f>+BT9*$H$8</f>
        <v>0</v>
      </c>
      <c r="BW9" s="538"/>
      <c r="BX9" s="539" t="e">
        <f t="shared" ref="BX9:BX39" si="23">+BW9/$E9</f>
        <v>#DIV/0!</v>
      </c>
      <c r="BY9" s="540">
        <f>+BW9*$H$8</f>
        <v>0</v>
      </c>
      <c r="BZ9" s="538">
        <v>1262.2209302325582</v>
      </c>
      <c r="CA9" s="539" t="e">
        <f t="shared" ref="CA9:CA39" si="24">+BZ9/$E9</f>
        <v>#DIV/0!</v>
      </c>
      <c r="CB9" s="540">
        <f>+BZ9*$H$8</f>
        <v>0</v>
      </c>
      <c r="CC9" s="538">
        <v>0</v>
      </c>
      <c r="CD9" s="539" t="e">
        <f t="shared" ref="CD9:CD39" si="25">+CC9/$E9</f>
        <v>#DIV/0!</v>
      </c>
      <c r="CE9" s="540">
        <f>+CC9*$H$8</f>
        <v>0</v>
      </c>
      <c r="CF9" s="538"/>
      <c r="CG9" s="539" t="e">
        <f t="shared" ref="CG9:CG39" si="26">+CF9/$E9</f>
        <v>#DIV/0!</v>
      </c>
      <c r="CH9" s="540">
        <f>+CF9*$H$8</f>
        <v>0</v>
      </c>
      <c r="CI9" s="538">
        <v>52.5</v>
      </c>
      <c r="CJ9" s="539" t="e">
        <f t="shared" ref="CJ9:CJ39" si="27">+CI9/$E9</f>
        <v>#DIV/0!</v>
      </c>
      <c r="CK9" s="540">
        <f>+CI9*$H$8</f>
        <v>0</v>
      </c>
      <c r="CL9" s="538"/>
      <c r="CM9" s="539" t="e">
        <f t="shared" ref="CM9:CM39" si="28">+CL9/$E9</f>
        <v>#DIV/0!</v>
      </c>
      <c r="CN9" s="540">
        <f>+CL9*$H$8</f>
        <v>0</v>
      </c>
      <c r="CO9" s="538"/>
      <c r="CP9" s="539" t="e">
        <f t="shared" ref="CP9:CP39" si="29">+CO9/$E9</f>
        <v>#DIV/0!</v>
      </c>
      <c r="CQ9" s="540">
        <f>+CO9*$H$8</f>
        <v>0</v>
      </c>
      <c r="CR9" s="538"/>
      <c r="CS9" s="539" t="e">
        <f t="shared" ref="CS9:CS39" si="30">+CR9/$E9</f>
        <v>#DIV/0!</v>
      </c>
      <c r="CT9" s="540">
        <f>+CR9*$H$8</f>
        <v>0</v>
      </c>
      <c r="CU9" s="538"/>
      <c r="CV9" s="539" t="e">
        <f t="shared" ref="CV9:CV39" si="31">+CU9/$E9</f>
        <v>#DIV/0!</v>
      </c>
      <c r="CW9" s="540">
        <f>+CU9*$H$8</f>
        <v>0</v>
      </c>
      <c r="CX9" s="538"/>
      <c r="CY9" s="539" t="e">
        <f t="shared" ref="CY9:CY39" si="32">+CX9/$E9</f>
        <v>#DIV/0!</v>
      </c>
      <c r="CZ9" s="540">
        <f>+CX9*$H$8</f>
        <v>0</v>
      </c>
      <c r="DA9" s="538">
        <v>0</v>
      </c>
      <c r="DB9" s="539" t="e">
        <f t="shared" ref="DB9:DB39" si="33">+DA9/$E9</f>
        <v>#DIV/0!</v>
      </c>
      <c r="DC9" s="540">
        <f>+DA9*$H$8</f>
        <v>0</v>
      </c>
      <c r="DD9" s="538"/>
      <c r="DE9" s="539" t="e">
        <f t="shared" ref="DE9:DE39" si="34">+DD9/$E9</f>
        <v>#DIV/0!</v>
      </c>
      <c r="DF9" s="540">
        <f>+DD9*$H$8</f>
        <v>0</v>
      </c>
      <c r="DG9" s="538"/>
      <c r="DH9" s="539" t="e">
        <f t="shared" ref="DH9:DH39" si="35">+DG9/$E9</f>
        <v>#DIV/0!</v>
      </c>
      <c r="DI9" s="540">
        <v>0</v>
      </c>
      <c r="DJ9" s="538"/>
      <c r="DK9" s="539" t="e">
        <f t="shared" ref="DK9:DK39" si="36">+DJ9/$E9</f>
        <v>#DIV/0!</v>
      </c>
      <c r="DL9" s="540">
        <f>+DJ9*$H$8</f>
        <v>0</v>
      </c>
      <c r="DM9" s="538"/>
      <c r="DN9" s="539" t="e">
        <f t="shared" ref="DN9:DN39" si="37">+DM9/$E9</f>
        <v>#DIV/0!</v>
      </c>
      <c r="DO9" s="540">
        <f>+DM9*$H$8</f>
        <v>0</v>
      </c>
      <c r="DP9" s="538"/>
      <c r="DQ9" s="539" t="e">
        <f t="shared" ref="DQ9:DQ39" si="38">+DP9/$E9</f>
        <v>#DIV/0!</v>
      </c>
      <c r="DR9" s="540">
        <f>+DP9*$H$8</f>
        <v>0</v>
      </c>
      <c r="DS9" s="538"/>
      <c r="DT9" s="539" t="e">
        <f t="shared" ref="DT9:DT39" si="39">+DS9/$E9</f>
        <v>#DIV/0!</v>
      </c>
      <c r="DU9" s="540">
        <f>+DS9*$H$8</f>
        <v>0</v>
      </c>
      <c r="DV9" s="538"/>
      <c r="DW9" s="539" t="e">
        <f t="shared" ref="DW9:DW39" si="40">+DV9/$E9</f>
        <v>#DIV/0!</v>
      </c>
      <c r="DX9" s="540">
        <f>+DV9*$H$8</f>
        <v>0</v>
      </c>
      <c r="DY9" s="538">
        <v>0</v>
      </c>
      <c r="DZ9" s="539" t="e">
        <f t="shared" ref="DZ9:DZ39" si="41">+DY9/$E9</f>
        <v>#DIV/0!</v>
      </c>
      <c r="EA9" s="540">
        <f>+DY9*$H$8</f>
        <v>0</v>
      </c>
      <c r="EB9" s="538">
        <v>0</v>
      </c>
      <c r="EC9" s="539" t="e">
        <f t="shared" ref="EC9:EC39" si="42">+EB9/$E9</f>
        <v>#DIV/0!</v>
      </c>
      <c r="ED9" s="540">
        <f>+EB9*$H$8</f>
        <v>0</v>
      </c>
      <c r="EE9" s="538">
        <v>0</v>
      </c>
      <c r="EF9" s="539" t="e">
        <f t="shared" ref="EF9:EF39" si="43">+EE9/$E9</f>
        <v>#DIV/0!</v>
      </c>
      <c r="EG9" s="540">
        <f>+EE9*$H$8</f>
        <v>0</v>
      </c>
      <c r="EH9" s="538">
        <v>0</v>
      </c>
      <c r="EI9" s="539" t="e">
        <f t="shared" ref="EI9:EI39" si="44">+EH9/$E9</f>
        <v>#DIV/0!</v>
      </c>
      <c r="EJ9" s="540">
        <f>+EH9*$H$8</f>
        <v>0</v>
      </c>
      <c r="EK9" s="538"/>
      <c r="EL9" s="539" t="e">
        <f t="shared" ref="EL9:EL39" si="45">+EK9/$E9</f>
        <v>#DIV/0!</v>
      </c>
      <c r="EM9" s="540">
        <f>+EK9*$H$8</f>
        <v>0</v>
      </c>
      <c r="EN9" s="538"/>
      <c r="EO9" s="539" t="e">
        <f t="shared" ref="EO9:EO39" si="46">+EN9/$E9</f>
        <v>#DIV/0!</v>
      </c>
      <c r="EP9" s="540">
        <f>+EN9*$H$8</f>
        <v>0</v>
      </c>
      <c r="EQ9" s="538"/>
      <c r="ER9" s="539" t="e">
        <f t="shared" ref="ER9:ER39" si="47">+EQ9/$E9</f>
        <v>#DIV/0!</v>
      </c>
      <c r="ES9" s="540">
        <f>+EQ9*$H$8</f>
        <v>0</v>
      </c>
      <c r="ET9" s="538"/>
      <c r="EU9" s="539" t="e">
        <f t="shared" ref="EU9:EU39" si="48">+ET9/$E9</f>
        <v>#DIV/0!</v>
      </c>
      <c r="EV9" s="540">
        <f>+ET9*$H$8</f>
        <v>0</v>
      </c>
      <c r="EW9" s="538"/>
      <c r="EX9" s="539" t="e">
        <f t="shared" ref="EX9:EX39" si="49">+EW9/$E9</f>
        <v>#DIV/0!</v>
      </c>
      <c r="EY9" s="540">
        <f>+EW9*$H$8</f>
        <v>0</v>
      </c>
      <c r="EZ9" s="538"/>
      <c r="FA9" s="539" t="e">
        <f t="shared" ref="FA9:FA39" si="50">+EZ9/$E9</f>
        <v>#DIV/0!</v>
      </c>
      <c r="FB9" s="540">
        <f>+EZ9*$H$8</f>
        <v>0</v>
      </c>
      <c r="FC9" s="538"/>
      <c r="FD9" s="539" t="e">
        <f t="shared" ref="FD9:FD39" si="51">+FC9/$E9</f>
        <v>#DIV/0!</v>
      </c>
      <c r="FE9" s="540">
        <f>+FC9*$H$8</f>
        <v>0</v>
      </c>
      <c r="FF9" s="538"/>
      <c r="FG9" s="539" t="e">
        <f t="shared" ref="FG9:FG39" si="52">+FF9/$E9</f>
        <v>#DIV/0!</v>
      </c>
      <c r="FH9" s="540">
        <f>+FF9*$H$8</f>
        <v>0</v>
      </c>
      <c r="FI9" s="538"/>
      <c r="FJ9" s="539" t="e">
        <f t="shared" ref="FJ9:FJ39" si="53">+FI9/$E9</f>
        <v>#DIV/0!</v>
      </c>
      <c r="FK9" s="540">
        <f>+FI9*$H$8</f>
        <v>0</v>
      </c>
      <c r="FL9" s="538"/>
      <c r="FM9" s="539" t="e">
        <f t="shared" ref="FM9:FM39" si="54">+FL9/$E9</f>
        <v>#DIV/0!</v>
      </c>
      <c r="FN9" s="540">
        <f>+FL9*$H$8</f>
        <v>0</v>
      </c>
      <c r="FO9" s="538"/>
      <c r="FP9" s="539" t="e">
        <f t="shared" ref="FP9:FP39" si="55">+FO9/$E9</f>
        <v>#DIV/0!</v>
      </c>
      <c r="FQ9" s="540">
        <f>+FO9*$H$8</f>
        <v>0</v>
      </c>
      <c r="FR9" s="538"/>
      <c r="FS9" s="539" t="e">
        <f t="shared" ref="FS9:FS39" si="56">+FR9/$E9</f>
        <v>#DIV/0!</v>
      </c>
      <c r="FT9" s="540">
        <f>+FR9*$H$8</f>
        <v>0</v>
      </c>
      <c r="FU9" s="538"/>
      <c r="FV9" s="539" t="e">
        <f t="shared" ref="FV9:FV39" si="57">+FU9/$E9</f>
        <v>#DIV/0!</v>
      </c>
      <c r="FW9" s="540">
        <f>+FU9*$H$8</f>
        <v>0</v>
      </c>
      <c r="FX9" s="538"/>
      <c r="FY9" s="539" t="e">
        <f t="shared" ref="FY9:FY39" si="58">+FX9/$E9</f>
        <v>#DIV/0!</v>
      </c>
      <c r="FZ9" s="540">
        <f>+FX9*$H$8</f>
        <v>0</v>
      </c>
      <c r="GA9" s="538"/>
      <c r="GB9" s="539" t="e">
        <f t="shared" ref="GB9:GB39" si="59">+GA9/$E9</f>
        <v>#DIV/0!</v>
      </c>
      <c r="GC9" s="540">
        <f>+GA9*$H$8</f>
        <v>0</v>
      </c>
      <c r="GD9" s="538"/>
      <c r="GE9" s="539" t="e">
        <f t="shared" ref="GE9:GE39" si="60">+GD9/$E9</f>
        <v>#DIV/0!</v>
      </c>
      <c r="GF9" s="540">
        <f>+GD9*$H$8</f>
        <v>0</v>
      </c>
      <c r="GG9" s="538">
        <v>0</v>
      </c>
      <c r="GH9" s="539" t="e">
        <f t="shared" ref="GH9:GH39" si="61">+GG9/$E9</f>
        <v>#DIV/0!</v>
      </c>
      <c r="GI9" s="540">
        <f>+GG9*$H$8</f>
        <v>0</v>
      </c>
      <c r="GJ9" s="538">
        <v>0</v>
      </c>
      <c r="GK9" s="539" t="e">
        <f t="shared" ref="GK9:GK29" si="62">+GJ9/$E9</f>
        <v>#DIV/0!</v>
      </c>
      <c r="GL9" s="540">
        <f>+GJ9*$H$8</f>
        <v>0</v>
      </c>
      <c r="GM9" s="538">
        <v>0</v>
      </c>
      <c r="GN9" s="539" t="e">
        <f t="shared" ref="GN9:GN25" si="63">+GM9/$E9</f>
        <v>#DIV/0!</v>
      </c>
      <c r="GO9" s="540">
        <f>+GM9*$H$8</f>
        <v>0</v>
      </c>
      <c r="GP9" s="538">
        <v>0</v>
      </c>
      <c r="GQ9" s="539" t="e">
        <f t="shared" ref="GQ9:GQ25" si="64">+GP9/$E9</f>
        <v>#DIV/0!</v>
      </c>
      <c r="GR9" s="540">
        <f>+GP9*$H$8</f>
        <v>0</v>
      </c>
      <c r="GS9" s="538"/>
      <c r="GT9" s="539" t="e">
        <f t="shared" ref="GT9:GT25" si="65">+GS9/$E9</f>
        <v>#DIV/0!</v>
      </c>
      <c r="GU9" s="540">
        <f>+GS9*$H$8</f>
        <v>0</v>
      </c>
      <c r="GV9" s="538"/>
      <c r="GW9" s="539" t="e">
        <f t="shared" ref="GW9:GW28" si="66">+GV9/$E9</f>
        <v>#DIV/0!</v>
      </c>
      <c r="GX9" s="540">
        <f>+GV9*$H$8</f>
        <v>0</v>
      </c>
      <c r="GY9" s="538"/>
      <c r="GZ9" s="539" t="e">
        <f t="shared" ref="GZ9:GZ39" si="67">+GY9/$E9</f>
        <v>#DIV/0!</v>
      </c>
      <c r="HA9" s="540">
        <f>+GY9*$H$8</f>
        <v>0</v>
      </c>
      <c r="HB9" s="538"/>
      <c r="HC9" s="539" t="e">
        <f t="shared" ref="HC9:HC39" si="68">+HB9/$E9</f>
        <v>#DIV/0!</v>
      </c>
      <c r="HD9" s="540">
        <f>+HB9*$H$8</f>
        <v>0</v>
      </c>
      <c r="HE9" s="538"/>
      <c r="HF9" s="539" t="e">
        <f t="shared" ref="HF9:HF39" si="69">+HE9/$E9</f>
        <v>#DIV/0!</v>
      </c>
      <c r="HG9" s="540">
        <f>+HE9*$H$8</f>
        <v>0</v>
      </c>
      <c r="HH9" s="538"/>
      <c r="HI9" s="539" t="e">
        <f t="shared" ref="HI9:HI39" si="70">+HH9/$E9</f>
        <v>#DIV/0!</v>
      </c>
      <c r="HJ9" s="540">
        <f>+HH9*$H$8</f>
        <v>0</v>
      </c>
      <c r="HK9" s="538"/>
      <c r="HL9" s="539" t="e">
        <f t="shared" ref="HL9:HL39" si="71">+HK9/$E9</f>
        <v>#DIV/0!</v>
      </c>
      <c r="HM9" s="540">
        <f>+HK9*$H$8</f>
        <v>0</v>
      </c>
      <c r="HN9" s="538"/>
      <c r="HO9" s="539" t="e">
        <f t="shared" ref="HO9:HO39" si="72">+HN9/$E9</f>
        <v>#DIV/0!</v>
      </c>
      <c r="HP9" s="540">
        <f>+HN9*$H$8</f>
        <v>0</v>
      </c>
      <c r="HQ9" s="538"/>
      <c r="HR9" s="539" t="e">
        <f t="shared" ref="HR9:HR39" si="73">+HQ9/$E9</f>
        <v>#DIV/0!</v>
      </c>
      <c r="HS9" s="540">
        <f>+HQ9*$H$8</f>
        <v>0</v>
      </c>
      <c r="HT9" s="538">
        <v>0</v>
      </c>
      <c r="HU9" s="539" t="e">
        <f t="shared" ref="HU9:HU39" si="74">+HT9/$E9</f>
        <v>#DIV/0!</v>
      </c>
      <c r="HV9" s="540">
        <f>+HT9*$H$8</f>
        <v>0</v>
      </c>
      <c r="HW9" s="538">
        <v>0</v>
      </c>
      <c r="HX9" s="539" t="e">
        <f t="shared" ref="HX9:HX39" si="75">+HW9/$E9</f>
        <v>#DIV/0!</v>
      </c>
      <c r="HY9" s="540">
        <f>+HW9*$H$8</f>
        <v>0</v>
      </c>
      <c r="HZ9" s="538">
        <v>0</v>
      </c>
      <c r="IA9" s="539" t="e">
        <f t="shared" ref="IA9:IA39" si="76">+HZ9/$E9</f>
        <v>#DIV/0!</v>
      </c>
      <c r="IB9" s="540">
        <f>+HZ9*$H$8</f>
        <v>0</v>
      </c>
      <c r="IC9" s="538">
        <v>0</v>
      </c>
      <c r="ID9" s="539" t="e">
        <f t="shared" ref="ID9:ID39" si="77">+IC9/$E9</f>
        <v>#DIV/0!</v>
      </c>
      <c r="IE9" s="540">
        <f>+IC9*$H$8</f>
        <v>0</v>
      </c>
      <c r="IF9" s="538">
        <v>0</v>
      </c>
      <c r="IG9" s="539" t="e">
        <f t="shared" ref="IG9:IG39" si="78">+IF9/$E9</f>
        <v>#DIV/0!</v>
      </c>
      <c r="IH9" s="540">
        <f>+IF9*$H$8</f>
        <v>0</v>
      </c>
      <c r="II9" s="538"/>
      <c r="IJ9" s="539" t="e">
        <f t="shared" ref="IJ9:IJ39" si="79">+II9/$E9</f>
        <v>#DIV/0!</v>
      </c>
      <c r="IK9" s="540">
        <f>+II9*$H$8</f>
        <v>0</v>
      </c>
      <c r="IL9" s="538">
        <v>0</v>
      </c>
      <c r="IM9" s="539" t="e">
        <f t="shared" ref="IM9:IM39" si="80">+IL9/$E9</f>
        <v>#DIV/0!</v>
      </c>
      <c r="IN9" s="540">
        <f>+IL9*$H$8</f>
        <v>0</v>
      </c>
      <c r="IO9" s="538">
        <v>0</v>
      </c>
      <c r="IP9" s="539" t="e">
        <f t="shared" ref="IP9:IP39" si="81">+IO9/$E9</f>
        <v>#DIV/0!</v>
      </c>
      <c r="IQ9" s="540">
        <f>+IO9*$H$8</f>
        <v>0</v>
      </c>
      <c r="IR9" s="538">
        <v>0</v>
      </c>
      <c r="IS9" s="539" t="e">
        <f t="shared" ref="IS9:IS39" si="82">+IR9/$E9</f>
        <v>#DIV/0!</v>
      </c>
      <c r="IT9" s="540">
        <f>+IR9*$H$8</f>
        <v>0</v>
      </c>
      <c r="IU9" s="538"/>
      <c r="IV9" s="539" t="e">
        <f t="shared" ref="IV9:IV39" si="83">+IU9/$E9</f>
        <v>#DIV/0!</v>
      </c>
      <c r="IW9" s="540">
        <f>+IU9*$H$8</f>
        <v>0</v>
      </c>
      <c r="IX9" s="538">
        <v>0</v>
      </c>
      <c r="IY9" s="539" t="e">
        <f t="shared" ref="IY9:IY39" si="84">+IX9/$E9</f>
        <v>#DIV/0!</v>
      </c>
      <c r="IZ9" s="540">
        <f>+IX9*$H$8</f>
        <v>0</v>
      </c>
      <c r="JA9" s="538"/>
      <c r="JB9" s="539" t="e">
        <f t="shared" ref="JB9:JB39" si="85">+JA9/$E9</f>
        <v>#DIV/0!</v>
      </c>
      <c r="JC9" s="540">
        <f>+JA9*$H$8</f>
        <v>0</v>
      </c>
      <c r="JD9" s="538"/>
      <c r="JE9" s="539" t="e">
        <f t="shared" ref="JE9:JE39" si="86">+JD9/$E9</f>
        <v>#DIV/0!</v>
      </c>
      <c r="JF9" s="540">
        <f>+JD9*$H$8</f>
        <v>0</v>
      </c>
      <c r="JG9" s="538">
        <v>0</v>
      </c>
      <c r="JH9" s="540" t="str">
        <f t="shared" ref="JH9:JH39" si="87">IFERROR((JG9/$L9),"0")</f>
        <v>0</v>
      </c>
      <c r="JI9" s="540" t="str">
        <f t="shared" ref="JI9:JI39" si="88">IFERROR(((JG9*JI$8)/$L9),"0")</f>
        <v>0</v>
      </c>
      <c r="JJ9" s="538">
        <v>0</v>
      </c>
      <c r="JK9" s="540" t="str">
        <f t="shared" ref="JK9:JK39" si="89">IFERROR((JJ9/$L9),"0")</f>
        <v>0</v>
      </c>
      <c r="JL9" s="540" t="str">
        <f t="shared" ref="JL9:JL39" si="90">IFERROR(((JJ9*JL$8)/$L9),"0")</f>
        <v>0</v>
      </c>
      <c r="JM9" s="538"/>
      <c r="JN9" s="540" t="str">
        <f t="shared" ref="JN9:JN39" si="91">IFERROR((JM9/$L9),"0")</f>
        <v>0</v>
      </c>
      <c r="JO9" s="540" t="str">
        <f t="shared" ref="JO9:JO39" si="92">IFERROR(((JM9*JO$8)/$L9),"0")</f>
        <v>0</v>
      </c>
      <c r="JP9" s="538"/>
      <c r="JQ9" s="540" t="str">
        <f t="shared" ref="JQ9:JQ39" si="93">IFERROR((JP9/$L9),"0")</f>
        <v>0</v>
      </c>
      <c r="JR9" s="540" t="str">
        <f t="shared" ref="JR9:JR39" si="94">IFERROR(((JP9*JR$8)/$L9),"0")</f>
        <v>0</v>
      </c>
      <c r="JS9" s="538"/>
      <c r="JT9" s="540" t="str">
        <f t="shared" ref="JT9:JT39" si="95">IFERROR((JS9/$L9),"0")</f>
        <v>0</v>
      </c>
      <c r="JU9" s="540" t="str">
        <f t="shared" ref="JU9:JU39" si="96">IFERROR(((JS9*JU$8)/$L9),"0")</f>
        <v>0</v>
      </c>
      <c r="JV9" s="538"/>
      <c r="JW9" s="540" t="str">
        <f t="shared" ref="JW9:JW39" si="97">IFERROR((JV9/$L9),"0")</f>
        <v>0</v>
      </c>
      <c r="JX9" s="540" t="str">
        <f t="shared" ref="JX9:JX39" si="98">IFERROR(((JV9*JX$8)/$L9),"0")</f>
        <v>0</v>
      </c>
      <c r="JY9" s="538"/>
      <c r="JZ9" s="540" t="str">
        <f t="shared" ref="JZ9:JZ39" si="99">IFERROR((JY9/$L9),"0")</f>
        <v>0</v>
      </c>
      <c r="KA9" s="540" t="str">
        <f t="shared" ref="KA9:KA39" si="100">IFERROR(((JY9*KA$8)/$L9),"0")</f>
        <v>0</v>
      </c>
      <c r="KB9" s="538"/>
      <c r="KC9" s="540" t="str">
        <f t="shared" ref="KC9:KC39" si="101">IFERROR((KB9/$L9),"0")</f>
        <v>0</v>
      </c>
      <c r="KD9" s="540" t="str">
        <f t="shared" ref="KD9:KD39" si="102">IFERROR(((KB9*KD$8)/$L9),"0")</f>
        <v>0</v>
      </c>
      <c r="KE9" s="538"/>
      <c r="KF9" s="540" t="str">
        <f t="shared" ref="KF9:KF39" si="103">IFERROR((KE9/$L9),"0")</f>
        <v>0</v>
      </c>
      <c r="KG9" s="540" t="str">
        <f t="shared" ref="KG9:KG39" si="104">IFERROR(((KE9*KG$8)/$L9),"0")</f>
        <v>0</v>
      </c>
      <c r="KH9" s="538"/>
      <c r="KI9" s="540" t="str">
        <f t="shared" ref="KI9:KI39" si="105">IFERROR((KH9/$L9),"0")</f>
        <v>0</v>
      </c>
      <c r="KJ9" s="540" t="str">
        <f t="shared" ref="KJ9:KJ39" si="106">IFERROR(((KH9*KJ$8)/$L9),"0")</f>
        <v>0</v>
      </c>
      <c r="KK9" s="538"/>
      <c r="KL9" s="540" t="str">
        <f t="shared" ref="KL9:KL39" si="107">IFERROR((KK9/$L9),"0")</f>
        <v>0</v>
      </c>
      <c r="KM9" s="540" t="str">
        <f t="shared" ref="KM9:KM39" si="108">IFERROR(((KK9*KM$8)/$L9),"0")</f>
        <v>0</v>
      </c>
      <c r="KN9" s="538"/>
      <c r="KO9" s="540" t="str">
        <f t="shared" ref="KO9:KO39" si="109">IFERROR((KN9/$L9),"0")</f>
        <v>0</v>
      </c>
      <c r="KP9" s="540" t="str">
        <f t="shared" ref="KP9:KP39" si="110">IFERROR(((KN9*KP$8)/$L9),"0")</f>
        <v>0</v>
      </c>
      <c r="KQ9" s="540">
        <f t="shared" ref="KQ9:KQ39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40">
        <f>GF9+GI9+GL9+GO9+GR9+GU9+GX9+HA9+HD9+HG9+HJ9+HM9+HP9+HS9+HV9+HY9+IB9+IE9+IH9+IK9+IN9+IQ9+IT9+IW9+IZ9+JC9+JF9+JI9+JL9+JO9+JR9+JU9++JX9+KA9+KD9+KG9++KJ9+KM9+KP9</f>
        <v>0</v>
      </c>
      <c r="KS9" s="268">
        <f>+F9+I9+L9+O9+R9+U9+X9+AA9+AD9+AG9+AJ9+AM9+AP9+AS9+AV9+AY9+BB9+BE9+BH9+BK9+BN9+BQ9+BT9+BW9+BZ9+CC9+CF9+CI9+CL9+CO9+CR9+CU9+CX9+DA9+DD9+DJ9+DM9+DP9+DS9+DV9+DY9+EB9+GG9+GJ9+GM9+GP9+GS9+HN9+IF9+IO9+GV9+IR9++HT9+HW9+HZ9+IC9+IX9+JG9+JJ9+HB9+EE9+GD9+EH9+JM9+JP9+JS9+II9+IL9</f>
        <v>1314.7209302325582</v>
      </c>
    </row>
    <row r="10" spans="1:306" ht="15" customHeight="1">
      <c r="A10" s="270">
        <f>+A9+1</f>
        <v>45932</v>
      </c>
      <c r="B10" s="271" t="str">
        <f>+Report1!B10</f>
        <v>Towel</v>
      </c>
      <c r="C10" s="271" t="str">
        <f>+Report1!C10</f>
        <v>17</v>
      </c>
      <c r="D10" s="272">
        <f>+Report1!P10</f>
        <v>42.451000000000001</v>
      </c>
      <c r="E10" s="273">
        <f>+Report1!R10</f>
        <v>35.399000000000001</v>
      </c>
      <c r="F10" s="538">
        <v>0</v>
      </c>
      <c r="G10" s="539">
        <f t="shared" si="0"/>
        <v>0</v>
      </c>
      <c r="H10" s="540">
        <f t="shared" ref="H10:H39" si="112">+F10*$H$8</f>
        <v>0</v>
      </c>
      <c r="I10" s="538">
        <v>729.41176470588232</v>
      </c>
      <c r="J10" s="539">
        <f t="shared" si="1"/>
        <v>20.605434184747658</v>
      </c>
      <c r="K10" s="540">
        <f t="shared" ref="K10:K39" si="113">+I10*$H$8</f>
        <v>0</v>
      </c>
      <c r="L10" s="538"/>
      <c r="M10" s="539">
        <f t="shared" si="2"/>
        <v>0</v>
      </c>
      <c r="N10" s="540">
        <f t="shared" ref="N10:N39" si="114">+L10*$H$8</f>
        <v>0</v>
      </c>
      <c r="O10" s="538">
        <v>6</v>
      </c>
      <c r="P10" s="539">
        <f t="shared" si="3"/>
        <v>0.16949631345518235</v>
      </c>
      <c r="Q10" s="540">
        <f t="shared" ref="Q10:Q39" si="115">+O10*$H$8</f>
        <v>0</v>
      </c>
      <c r="R10" s="538"/>
      <c r="S10" s="539">
        <f t="shared" si="4"/>
        <v>0</v>
      </c>
      <c r="T10" s="540">
        <f t="shared" ref="T10:T39" si="116">+R10*$H$8</f>
        <v>0</v>
      </c>
      <c r="U10" s="538">
        <v>10.25</v>
      </c>
      <c r="V10" s="539">
        <f t="shared" si="5"/>
        <v>0.28955620215260319</v>
      </c>
      <c r="W10" s="540">
        <f t="shared" ref="W10:W39" si="117">+U10*$H$8</f>
        <v>0</v>
      </c>
      <c r="X10" s="538"/>
      <c r="Y10" s="539">
        <f t="shared" si="6"/>
        <v>0</v>
      </c>
      <c r="Z10" s="540">
        <f t="shared" ref="Z10:Z39" si="118">+X10*$H$8</f>
        <v>0</v>
      </c>
      <c r="AA10" s="538"/>
      <c r="AB10" s="539">
        <f t="shared" si="7"/>
        <v>0</v>
      </c>
      <c r="AC10" s="540">
        <f t="shared" ref="AC10:AC39" si="119">+AA10*$H$8</f>
        <v>0</v>
      </c>
      <c r="AD10" s="538"/>
      <c r="AE10" s="539">
        <f t="shared" si="8"/>
        <v>0</v>
      </c>
      <c r="AF10" s="540">
        <f t="shared" ref="AF10:AF39" si="120">+AD10*$H$8</f>
        <v>0</v>
      </c>
      <c r="AG10" s="538"/>
      <c r="AH10" s="539">
        <f t="shared" si="9"/>
        <v>0</v>
      </c>
      <c r="AI10" s="540">
        <f t="shared" ref="AI10:AI39" si="121">+AG10*$H$8</f>
        <v>0</v>
      </c>
      <c r="AJ10" s="538"/>
      <c r="AK10" s="539">
        <f t="shared" si="10"/>
        <v>0</v>
      </c>
      <c r="AL10" s="540">
        <f t="shared" ref="AL10:AL39" si="122">+AJ10*$H$8</f>
        <v>0</v>
      </c>
      <c r="AM10" s="538">
        <v>42.051282051282101</v>
      </c>
      <c r="AN10" s="539">
        <f t="shared" si="11"/>
        <v>1.1879228806260658</v>
      </c>
      <c r="AO10" s="540">
        <f t="shared" ref="AO10:AO39" si="123">+AM10*$H$8</f>
        <v>0</v>
      </c>
      <c r="AP10" s="538"/>
      <c r="AQ10" s="539">
        <f t="shared" si="12"/>
        <v>0</v>
      </c>
      <c r="AR10" s="540">
        <f t="shared" ref="AR10:AR39" si="124">+AP10*$H$8</f>
        <v>0</v>
      </c>
      <c r="AS10" s="538"/>
      <c r="AT10" s="539">
        <f t="shared" si="13"/>
        <v>0</v>
      </c>
      <c r="AU10" s="540">
        <f t="shared" ref="AU10:AU39" si="125">+AS10*$H$8</f>
        <v>0</v>
      </c>
      <c r="AV10" s="538">
        <v>2.7749999999999986</v>
      </c>
      <c r="AW10" s="539">
        <f t="shared" si="14"/>
        <v>7.8392044973021796E-2</v>
      </c>
      <c r="AX10" s="540">
        <f t="shared" ref="AX10:AX39" si="126">+AV10*$H$8</f>
        <v>0</v>
      </c>
      <c r="AY10" s="538">
        <v>56</v>
      </c>
      <c r="AZ10" s="539">
        <f t="shared" si="15"/>
        <v>1.5819655922483686</v>
      </c>
      <c r="BA10" s="540">
        <f t="shared" ref="BA10:BA39" si="127">+AY10*$H$8</f>
        <v>0</v>
      </c>
      <c r="BB10" s="538"/>
      <c r="BC10" s="539">
        <f t="shared" si="16"/>
        <v>0</v>
      </c>
      <c r="BD10" s="540">
        <f t="shared" ref="BD10:BD39" si="128">+BB10*$H$8</f>
        <v>0</v>
      </c>
      <c r="BE10" s="538"/>
      <c r="BF10" s="539">
        <f t="shared" si="17"/>
        <v>0</v>
      </c>
      <c r="BG10" s="540">
        <f t="shared" ref="BG10:BG39" si="129">+BE10*$H$8</f>
        <v>0</v>
      </c>
      <c r="BH10" s="538"/>
      <c r="BI10" s="539">
        <f t="shared" si="18"/>
        <v>0</v>
      </c>
      <c r="BJ10" s="540">
        <f t="shared" ref="BJ10:BJ39" si="130">+BH10*$H$8</f>
        <v>0</v>
      </c>
      <c r="BK10" s="538"/>
      <c r="BL10" s="539">
        <f t="shared" si="19"/>
        <v>0</v>
      </c>
      <c r="BM10" s="540">
        <f t="shared" ref="BM10:BM39" si="131">+BK10*$H$8</f>
        <v>0</v>
      </c>
      <c r="BN10" s="538"/>
      <c r="BO10" s="539">
        <f t="shared" si="20"/>
        <v>0</v>
      </c>
      <c r="BP10" s="540">
        <f t="shared" ref="BP10:BP39" si="132">+BN10*$H$8</f>
        <v>0</v>
      </c>
      <c r="BQ10" s="538"/>
      <c r="BR10" s="539">
        <f t="shared" si="21"/>
        <v>0</v>
      </c>
      <c r="BS10" s="540">
        <f t="shared" ref="BS10:BS39" si="133">+BQ10*$H$8</f>
        <v>0</v>
      </c>
      <c r="BT10" s="538"/>
      <c r="BU10" s="539">
        <f t="shared" si="22"/>
        <v>0</v>
      </c>
      <c r="BV10" s="540">
        <f t="shared" ref="BV10:BV39" si="134">+BT10*$H$8</f>
        <v>0</v>
      </c>
      <c r="BW10" s="538"/>
      <c r="BX10" s="539">
        <f t="shared" si="23"/>
        <v>0</v>
      </c>
      <c r="BY10" s="540">
        <f t="shared" ref="BY10:BY39" si="135">+BW10*$H$8</f>
        <v>0</v>
      </c>
      <c r="BZ10" s="538">
        <v>0</v>
      </c>
      <c r="CA10" s="539">
        <f t="shared" si="24"/>
        <v>0</v>
      </c>
      <c r="CB10" s="540">
        <f t="shared" ref="CB10:CB39" si="136">+BZ10*$H$8</f>
        <v>0</v>
      </c>
      <c r="CC10" s="538">
        <v>0</v>
      </c>
      <c r="CD10" s="539">
        <f t="shared" si="25"/>
        <v>0</v>
      </c>
      <c r="CE10" s="540">
        <f t="shared" ref="CE10:CE39" si="137">+CC10*$H$8</f>
        <v>0</v>
      </c>
      <c r="CF10" s="538">
        <v>2.3999999999999995</v>
      </c>
      <c r="CG10" s="539">
        <f t="shared" si="26"/>
        <v>6.7798525382072927E-2</v>
      </c>
      <c r="CH10" s="540">
        <f t="shared" ref="CH10:CH39" si="138">+CF10*$H$8</f>
        <v>0</v>
      </c>
      <c r="CI10" s="538">
        <v>0</v>
      </c>
      <c r="CJ10" s="539">
        <f t="shared" si="27"/>
        <v>0</v>
      </c>
      <c r="CK10" s="540">
        <f t="shared" ref="CK10:CK39" si="139">+CI10*$H$8</f>
        <v>0</v>
      </c>
      <c r="CL10" s="538"/>
      <c r="CM10" s="539">
        <f t="shared" si="28"/>
        <v>0</v>
      </c>
      <c r="CN10" s="540">
        <f t="shared" ref="CN10:CN39" si="140">+CL10*$H$8</f>
        <v>0</v>
      </c>
      <c r="CO10" s="538"/>
      <c r="CP10" s="539">
        <f t="shared" si="29"/>
        <v>0</v>
      </c>
      <c r="CQ10" s="540">
        <f t="shared" ref="CQ10:CQ39" si="141">+CO10*$H$8</f>
        <v>0</v>
      </c>
      <c r="CR10" s="538"/>
      <c r="CS10" s="539">
        <f t="shared" si="30"/>
        <v>0</v>
      </c>
      <c r="CT10" s="540">
        <f t="shared" ref="CT10:CT39" si="142">+CR10*$H$8</f>
        <v>0</v>
      </c>
      <c r="CU10" s="538"/>
      <c r="CV10" s="539">
        <f t="shared" si="31"/>
        <v>0</v>
      </c>
      <c r="CW10" s="540">
        <f t="shared" ref="CW10:CW39" si="143">+CU10*$H$8</f>
        <v>0</v>
      </c>
      <c r="CX10" s="538"/>
      <c r="CY10" s="539">
        <f t="shared" si="32"/>
        <v>0</v>
      </c>
      <c r="CZ10" s="540">
        <f t="shared" ref="CZ10:CZ39" si="144">+CX10*$H$8</f>
        <v>0</v>
      </c>
      <c r="DA10" s="538">
        <v>0</v>
      </c>
      <c r="DB10" s="539">
        <f t="shared" si="33"/>
        <v>0</v>
      </c>
      <c r="DC10" s="540">
        <f t="shared" ref="DC10:DC39" si="145">+DA10*$H$8</f>
        <v>0</v>
      </c>
      <c r="DD10" s="538"/>
      <c r="DE10" s="539">
        <f t="shared" si="34"/>
        <v>0</v>
      </c>
      <c r="DF10" s="540">
        <f t="shared" ref="DF10:DF39" si="146">+DD10*$H$8</f>
        <v>0</v>
      </c>
      <c r="DG10" s="538"/>
      <c r="DH10" s="539">
        <f t="shared" si="35"/>
        <v>0</v>
      </c>
      <c r="DI10" s="540">
        <v>0</v>
      </c>
      <c r="DJ10" s="538"/>
      <c r="DK10" s="539">
        <f t="shared" si="36"/>
        <v>0</v>
      </c>
      <c r="DL10" s="540">
        <f t="shared" ref="DL10:DL39" si="147">+DJ10*$H$8</f>
        <v>0</v>
      </c>
      <c r="DM10" s="538"/>
      <c r="DN10" s="539">
        <f t="shared" si="37"/>
        <v>0</v>
      </c>
      <c r="DO10" s="540">
        <f t="shared" ref="DO10:DO39" si="148">+DM10*$H$8</f>
        <v>0</v>
      </c>
      <c r="DP10" s="538"/>
      <c r="DQ10" s="539">
        <f t="shared" si="38"/>
        <v>0</v>
      </c>
      <c r="DR10" s="540">
        <f t="shared" ref="DR10:DR39" si="149">+DP10*$H$8</f>
        <v>0</v>
      </c>
      <c r="DS10" s="538"/>
      <c r="DT10" s="539">
        <f t="shared" si="39"/>
        <v>0</v>
      </c>
      <c r="DU10" s="540">
        <f t="shared" ref="DU10:DU39" si="150">+DS10*$H$8</f>
        <v>0</v>
      </c>
      <c r="DV10" s="538"/>
      <c r="DW10" s="539">
        <f t="shared" si="40"/>
        <v>0</v>
      </c>
      <c r="DX10" s="540">
        <f t="shared" ref="DX10:DX39" si="151">+DV10*$H$8</f>
        <v>0</v>
      </c>
      <c r="DY10" s="538">
        <v>0</v>
      </c>
      <c r="DZ10" s="539">
        <f t="shared" si="41"/>
        <v>0</v>
      </c>
      <c r="EA10" s="540">
        <f t="shared" ref="EA10:EA39" si="152">+DY10*$H$8</f>
        <v>0</v>
      </c>
      <c r="EB10" s="538">
        <v>0</v>
      </c>
      <c r="EC10" s="539">
        <f t="shared" si="42"/>
        <v>0</v>
      </c>
      <c r="ED10" s="540">
        <f t="shared" ref="ED10:ED39" si="153">+EB10*$H$8</f>
        <v>0</v>
      </c>
      <c r="EE10" s="538">
        <v>11.860465116279101</v>
      </c>
      <c r="EF10" s="539">
        <f t="shared" si="43"/>
        <v>0.33505085217884972</v>
      </c>
      <c r="EG10" s="540">
        <f t="shared" ref="EG10:EG39" si="154">+EE10*$H$8</f>
        <v>0</v>
      </c>
      <c r="EH10" s="538">
        <v>1</v>
      </c>
      <c r="EI10" s="539">
        <f t="shared" si="44"/>
        <v>2.8249385575863723E-2</v>
      </c>
      <c r="EJ10" s="540">
        <f t="shared" ref="EJ10:EJ39" si="155">+EH10*$H$8</f>
        <v>0</v>
      </c>
      <c r="EK10" s="538"/>
      <c r="EL10" s="539">
        <f t="shared" si="45"/>
        <v>0</v>
      </c>
      <c r="EM10" s="540">
        <f t="shared" ref="EM10:EM39" si="156">+EK10*$H$8</f>
        <v>0</v>
      </c>
      <c r="EN10" s="538"/>
      <c r="EO10" s="539">
        <f t="shared" si="46"/>
        <v>0</v>
      </c>
      <c r="EP10" s="540">
        <f t="shared" ref="EP10:EP39" si="157">+EN10*$H$8</f>
        <v>0</v>
      </c>
      <c r="EQ10" s="538"/>
      <c r="ER10" s="539">
        <f t="shared" si="47"/>
        <v>0</v>
      </c>
      <c r="ES10" s="540">
        <f t="shared" ref="ES10:ES39" si="158">+EQ10*$H$8</f>
        <v>0</v>
      </c>
      <c r="ET10" s="538"/>
      <c r="EU10" s="539">
        <f t="shared" si="48"/>
        <v>0</v>
      </c>
      <c r="EV10" s="540">
        <f t="shared" ref="EV10:EV39" si="159">+ET10*$H$8</f>
        <v>0</v>
      </c>
      <c r="EW10" s="538"/>
      <c r="EX10" s="539">
        <f t="shared" si="49"/>
        <v>0</v>
      </c>
      <c r="EY10" s="540">
        <f t="shared" ref="EY10:EY39" si="160">+EW10*$H$8</f>
        <v>0</v>
      </c>
      <c r="EZ10" s="538"/>
      <c r="FA10" s="539">
        <f t="shared" si="50"/>
        <v>0</v>
      </c>
      <c r="FB10" s="540">
        <f t="shared" ref="FB10:FB39" si="161">+EZ10*$H$8</f>
        <v>0</v>
      </c>
      <c r="FC10" s="538"/>
      <c r="FD10" s="539">
        <f t="shared" si="51"/>
        <v>0</v>
      </c>
      <c r="FE10" s="540">
        <f t="shared" ref="FE10:FE39" si="162">+FC10*$H$8</f>
        <v>0</v>
      </c>
      <c r="FF10" s="538"/>
      <c r="FG10" s="539">
        <f t="shared" si="52"/>
        <v>0</v>
      </c>
      <c r="FH10" s="540">
        <f t="shared" ref="FH10:FH39" si="163">+FF10*$H$8</f>
        <v>0</v>
      </c>
      <c r="FI10" s="538"/>
      <c r="FJ10" s="539">
        <f t="shared" si="53"/>
        <v>0</v>
      </c>
      <c r="FK10" s="540">
        <f t="shared" ref="FK10:FK39" si="164">+FI10*$H$8</f>
        <v>0</v>
      </c>
      <c r="FL10" s="538"/>
      <c r="FM10" s="539">
        <f t="shared" si="54"/>
        <v>0</v>
      </c>
      <c r="FN10" s="540">
        <f t="shared" ref="FN10:FN39" si="165">+FL10*$H$8</f>
        <v>0</v>
      </c>
      <c r="FO10" s="538"/>
      <c r="FP10" s="539">
        <f t="shared" si="55"/>
        <v>0</v>
      </c>
      <c r="FQ10" s="540">
        <f t="shared" ref="FQ10:FQ39" si="166">+FO10*$H$8</f>
        <v>0</v>
      </c>
      <c r="FR10" s="538"/>
      <c r="FS10" s="539">
        <f t="shared" si="56"/>
        <v>0</v>
      </c>
      <c r="FT10" s="540">
        <f t="shared" ref="FT10:FT39" si="167">+FR10*$H$8</f>
        <v>0</v>
      </c>
      <c r="FU10" s="538"/>
      <c r="FV10" s="539">
        <f t="shared" si="57"/>
        <v>0</v>
      </c>
      <c r="FW10" s="540">
        <f t="shared" ref="FW10:FW39" si="168">+FU10*$H$8</f>
        <v>0</v>
      </c>
      <c r="FX10" s="538"/>
      <c r="FY10" s="539">
        <f t="shared" si="58"/>
        <v>0</v>
      </c>
      <c r="FZ10" s="540">
        <f t="shared" ref="FZ10:FZ39" si="169">+FX10*$H$8</f>
        <v>0</v>
      </c>
      <c r="GA10" s="538"/>
      <c r="GB10" s="539">
        <f t="shared" si="59"/>
        <v>0</v>
      </c>
      <c r="GC10" s="540">
        <f t="shared" ref="GC10:GC39" si="170">+GA10*$H$8</f>
        <v>0</v>
      </c>
      <c r="GD10" s="538"/>
      <c r="GE10" s="539">
        <f t="shared" si="60"/>
        <v>0</v>
      </c>
      <c r="GF10" s="540">
        <f t="shared" ref="GF10:GF39" si="171">+GD10*$H$8</f>
        <v>0</v>
      </c>
      <c r="GG10" s="538">
        <v>10</v>
      </c>
      <c r="GH10" s="539">
        <f t="shared" si="61"/>
        <v>0.28249385575863722</v>
      </c>
      <c r="GI10" s="540">
        <f t="shared" ref="GI10:GI39" si="172">+GG10*$H$8</f>
        <v>0</v>
      </c>
      <c r="GJ10" s="538">
        <v>10</v>
      </c>
      <c r="GK10" s="539">
        <f t="shared" si="62"/>
        <v>0.28249385575863722</v>
      </c>
      <c r="GL10" s="540">
        <f t="shared" ref="GL10:GL29" si="173">+GJ10*$H$8</f>
        <v>0</v>
      </c>
      <c r="GM10" s="538">
        <v>0</v>
      </c>
      <c r="GN10" s="539">
        <f t="shared" si="63"/>
        <v>0</v>
      </c>
      <c r="GO10" s="540">
        <f t="shared" ref="GO10:GO25" si="174">+GM10*$H$8</f>
        <v>0</v>
      </c>
      <c r="GP10" s="538">
        <v>35</v>
      </c>
      <c r="GQ10" s="539">
        <f t="shared" si="64"/>
        <v>0.98872849515523031</v>
      </c>
      <c r="GR10" s="540">
        <f t="shared" ref="GR10:GR25" si="175">+GP10*$H$8</f>
        <v>0</v>
      </c>
      <c r="GS10" s="538">
        <v>160</v>
      </c>
      <c r="GT10" s="539">
        <f t="shared" si="65"/>
        <v>4.5199016921381956</v>
      </c>
      <c r="GU10" s="540">
        <f t="shared" ref="GU10:GU25" si="176">+GS10*$H$8</f>
        <v>0</v>
      </c>
      <c r="GV10" s="538">
        <v>170</v>
      </c>
      <c r="GW10" s="539">
        <f t="shared" si="66"/>
        <v>4.8023955478968334</v>
      </c>
      <c r="GX10" s="540">
        <f t="shared" ref="GX10:GX28" si="177">+GV10*$H$8</f>
        <v>0</v>
      </c>
      <c r="GY10" s="538"/>
      <c r="GZ10" s="539">
        <f t="shared" si="67"/>
        <v>0</v>
      </c>
      <c r="HA10" s="540">
        <f t="shared" ref="HA10:HA39" si="178">+GY10*$H$8</f>
        <v>0</v>
      </c>
      <c r="HB10" s="538"/>
      <c r="HC10" s="539">
        <f t="shared" si="68"/>
        <v>0</v>
      </c>
      <c r="HD10" s="540">
        <f t="shared" ref="HD10:HD39" si="179">+HB10*$H$8</f>
        <v>0</v>
      </c>
      <c r="HE10" s="538"/>
      <c r="HF10" s="539">
        <f t="shared" si="69"/>
        <v>0</v>
      </c>
      <c r="HG10" s="540">
        <f t="shared" ref="HG10:HG39" si="180">+HE10*$H$8</f>
        <v>0</v>
      </c>
      <c r="HH10" s="538"/>
      <c r="HI10" s="539">
        <f t="shared" si="70"/>
        <v>0</v>
      </c>
      <c r="HJ10" s="540">
        <f t="shared" ref="HJ10:HJ39" si="181">+HH10*$H$8</f>
        <v>0</v>
      </c>
      <c r="HK10" s="538"/>
      <c r="HL10" s="539">
        <f t="shared" si="71"/>
        <v>0</v>
      </c>
      <c r="HM10" s="540">
        <f t="shared" ref="HM10:HM39" si="182">+HK10*$H$8</f>
        <v>0</v>
      </c>
      <c r="HN10" s="538">
        <v>1673</v>
      </c>
      <c r="HO10" s="539">
        <f t="shared" si="72"/>
        <v>47.261222068420011</v>
      </c>
      <c r="HP10" s="540">
        <f t="shared" ref="HP10:HP39" si="183">+HN10*$H$8</f>
        <v>0</v>
      </c>
      <c r="HQ10" s="538"/>
      <c r="HR10" s="539">
        <f t="shared" si="73"/>
        <v>0</v>
      </c>
      <c r="HS10" s="540">
        <f t="shared" ref="HS10:HS39" si="184">+HQ10*$H$8</f>
        <v>0</v>
      </c>
      <c r="HT10" s="538">
        <v>0</v>
      </c>
      <c r="HU10" s="539">
        <f t="shared" si="74"/>
        <v>0</v>
      </c>
      <c r="HV10" s="540">
        <f t="shared" ref="HV10:HV39" si="185">+HT10*$H$8</f>
        <v>0</v>
      </c>
      <c r="HW10" s="538">
        <v>0</v>
      </c>
      <c r="HX10" s="539">
        <f t="shared" si="75"/>
        <v>0</v>
      </c>
      <c r="HY10" s="540">
        <f t="shared" ref="HY10:HY39" si="186">+HW10*$H$8</f>
        <v>0</v>
      </c>
      <c r="HZ10" s="538">
        <v>0</v>
      </c>
      <c r="IA10" s="539">
        <f t="shared" si="76"/>
        <v>0</v>
      </c>
      <c r="IB10" s="540">
        <f t="shared" ref="IB10:IB39" si="187">+HZ10*$H$8</f>
        <v>0</v>
      </c>
      <c r="IC10" s="538">
        <v>0</v>
      </c>
      <c r="ID10" s="539">
        <f t="shared" si="77"/>
        <v>0</v>
      </c>
      <c r="IE10" s="540">
        <f t="shared" ref="IE10:IE39" si="188">+IC10*$H$8</f>
        <v>0</v>
      </c>
      <c r="IF10" s="538">
        <v>40</v>
      </c>
      <c r="IG10" s="539">
        <f t="shared" si="78"/>
        <v>1.1299754230345489</v>
      </c>
      <c r="IH10" s="540">
        <f t="shared" ref="IH10:IH39" si="189">+IF10*$H$8</f>
        <v>0</v>
      </c>
      <c r="II10" s="538"/>
      <c r="IJ10" s="539">
        <f t="shared" si="79"/>
        <v>0</v>
      </c>
      <c r="IK10" s="540">
        <f t="shared" ref="IK10:IK39" si="190">+II10*$H$8</f>
        <v>0</v>
      </c>
      <c r="IL10" s="538">
        <v>100</v>
      </c>
      <c r="IM10" s="539">
        <f t="shared" si="80"/>
        <v>2.8249385575863726</v>
      </c>
      <c r="IN10" s="540">
        <f t="shared" ref="IN10:IN39" si="191">+IL10*$H$8</f>
        <v>0</v>
      </c>
      <c r="IO10" s="538">
        <v>0</v>
      </c>
      <c r="IP10" s="539">
        <f t="shared" si="81"/>
        <v>0</v>
      </c>
      <c r="IQ10" s="540">
        <f t="shared" ref="IQ10:IQ39" si="192">+IO10*$H$8</f>
        <v>0</v>
      </c>
      <c r="IR10" s="538">
        <v>0</v>
      </c>
      <c r="IS10" s="539">
        <f t="shared" si="82"/>
        <v>0</v>
      </c>
      <c r="IT10" s="540">
        <f t="shared" ref="IT10:IT39" si="193">+IR10*$H$8</f>
        <v>0</v>
      </c>
      <c r="IU10" s="538"/>
      <c r="IV10" s="539">
        <f t="shared" si="83"/>
        <v>0</v>
      </c>
      <c r="IW10" s="540">
        <f t="shared" ref="IW10:IW39" si="194">+IU10*$H$8</f>
        <v>0</v>
      </c>
      <c r="IX10" s="538">
        <v>0</v>
      </c>
      <c r="IY10" s="539">
        <f t="shared" si="84"/>
        <v>0</v>
      </c>
      <c r="IZ10" s="540">
        <f t="shared" ref="IZ10:IZ39" si="195">+IX10*$H$8</f>
        <v>0</v>
      </c>
      <c r="JA10" s="538"/>
      <c r="JB10" s="539">
        <f t="shared" si="85"/>
        <v>0</v>
      </c>
      <c r="JC10" s="540">
        <f t="shared" ref="JC10:JC39" si="196">+JA10*$H$8</f>
        <v>0</v>
      </c>
      <c r="JD10" s="538"/>
      <c r="JE10" s="539">
        <f t="shared" si="86"/>
        <v>0</v>
      </c>
      <c r="JF10" s="540">
        <f t="shared" ref="JF10:JF39" si="197">+JD10*$H$8</f>
        <v>0</v>
      </c>
      <c r="JG10" s="538">
        <v>35</v>
      </c>
      <c r="JH10" s="540" t="str">
        <f t="shared" si="87"/>
        <v>0</v>
      </c>
      <c r="JI10" s="540" t="str">
        <f t="shared" si="88"/>
        <v>0</v>
      </c>
      <c r="JJ10" s="538">
        <v>0</v>
      </c>
      <c r="JK10" s="540" t="str">
        <f t="shared" si="89"/>
        <v>0</v>
      </c>
      <c r="JL10" s="540" t="str">
        <f t="shared" si="90"/>
        <v>0</v>
      </c>
      <c r="JM10" s="538"/>
      <c r="JN10" s="540" t="str">
        <f t="shared" si="91"/>
        <v>0</v>
      </c>
      <c r="JO10" s="540" t="str">
        <f t="shared" si="92"/>
        <v>0</v>
      </c>
      <c r="JP10" s="538"/>
      <c r="JQ10" s="540" t="str">
        <f t="shared" si="93"/>
        <v>0</v>
      </c>
      <c r="JR10" s="540" t="str">
        <f t="shared" si="94"/>
        <v>0</v>
      </c>
      <c r="JS10" s="538"/>
      <c r="JT10" s="540" t="str">
        <f t="shared" si="95"/>
        <v>0</v>
      </c>
      <c r="JU10" s="540" t="str">
        <f t="shared" si="96"/>
        <v>0</v>
      </c>
      <c r="JV10" s="538"/>
      <c r="JW10" s="540" t="str">
        <f t="shared" si="97"/>
        <v>0</v>
      </c>
      <c r="JX10" s="540" t="str">
        <f t="shared" si="98"/>
        <v>0</v>
      </c>
      <c r="JY10" s="538"/>
      <c r="JZ10" s="540" t="str">
        <f t="shared" si="99"/>
        <v>0</v>
      </c>
      <c r="KA10" s="540" t="str">
        <f t="shared" si="100"/>
        <v>0</v>
      </c>
      <c r="KB10" s="538"/>
      <c r="KC10" s="540" t="str">
        <f t="shared" si="101"/>
        <v>0</v>
      </c>
      <c r="KD10" s="540" t="str">
        <f t="shared" si="102"/>
        <v>0</v>
      </c>
      <c r="KE10" s="538"/>
      <c r="KF10" s="540" t="str">
        <f t="shared" si="103"/>
        <v>0</v>
      </c>
      <c r="KG10" s="540" t="str">
        <f t="shared" si="104"/>
        <v>0</v>
      </c>
      <c r="KH10" s="538"/>
      <c r="KI10" s="540" t="str">
        <f t="shared" si="105"/>
        <v>0</v>
      </c>
      <c r="KJ10" s="540" t="str">
        <f t="shared" si="106"/>
        <v>0</v>
      </c>
      <c r="KK10" s="538"/>
      <c r="KL10" s="540" t="str">
        <f t="shared" si="107"/>
        <v>0</v>
      </c>
      <c r="KM10" s="540" t="str">
        <f t="shared" si="108"/>
        <v>0</v>
      </c>
      <c r="KN10" s="538"/>
      <c r="KO10" s="540" t="str">
        <f t="shared" si="109"/>
        <v>0</v>
      </c>
      <c r="KP10" s="540" t="str">
        <f t="shared" si="110"/>
        <v>0</v>
      </c>
      <c r="KQ10" s="540">
        <f t="shared" si="111"/>
        <v>0</v>
      </c>
      <c r="KR10" s="540">
        <f t="shared" ref="KR10:KR41" si="198">GF10+GI10+GL10+GO10+GR10+GU10+GX10+HA10+HD10+HG10+HJ10+HM10+HP10+HS10+HV10+HY10+IB10+IE10+IH10+IK10+IN10+IQ10+IT10+IW10+IZ10+JC10+JF10+JI10+JL10+JO10+JR10+JU10++JX10+KA10+KD10+KG10++KJ10+KM10+KP10</f>
        <v>0</v>
      </c>
      <c r="KS10" s="268">
        <f t="shared" ref="KS10:KS41" si="199">+F10+I10+L10+O10+R10+U10+X10+AA10+AD10+AG10+AJ10+AM10+AP10+AS10+AV10+AY10+BB10+BE10+BH10+BK10+BN10+BQ10+BT10+BW10+BZ10+CC10+CF10+CI10+CL10+CO10+CR10+CU10+CX10+DA10+DD10+DJ10+DM10+DP10+DS10+DV10+DY10+EB10+GG10+GJ10+GM10+GP10+GS10+HN10+IF10+IO10+GV10+IR10++HT10+HW10+HZ10+IC10+IX10+JG10+JJ10+HB10+EE10+GD10+EH10+JM10+JP10+JS10+II10+IL10</f>
        <v>3094.7485118734435</v>
      </c>
      <c r="KT10" s="268"/>
    </row>
    <row r="11" spans="1:306" ht="15" customHeight="1">
      <c r="A11" s="270">
        <f t="shared" ref="A11:A39" si="200">+A10+1</f>
        <v>45933</v>
      </c>
      <c r="B11" s="271" t="str">
        <f>+Report1!B11</f>
        <v>Towel</v>
      </c>
      <c r="C11" s="271" t="str">
        <f>+Report1!C11</f>
        <v>17/18</v>
      </c>
      <c r="D11" s="272">
        <f>+Report1!P11</f>
        <v>56.043999999999997</v>
      </c>
      <c r="E11" s="273">
        <f>+Report1!R11</f>
        <v>53.036000000000001</v>
      </c>
      <c r="F11" s="538">
        <v>0</v>
      </c>
      <c r="G11" s="539">
        <f t="shared" si="0"/>
        <v>0</v>
      </c>
      <c r="H11" s="540">
        <f t="shared" si="112"/>
        <v>0</v>
      </c>
      <c r="I11" s="538">
        <v>670.58823529411779</v>
      </c>
      <c r="J11" s="539">
        <f t="shared" si="1"/>
        <v>12.644019822273885</v>
      </c>
      <c r="K11" s="540">
        <f t="shared" si="113"/>
        <v>0</v>
      </c>
      <c r="L11" s="538"/>
      <c r="M11" s="539">
        <f t="shared" si="2"/>
        <v>0</v>
      </c>
      <c r="N11" s="540">
        <f t="shared" si="114"/>
        <v>0</v>
      </c>
      <c r="O11" s="538">
        <v>6</v>
      </c>
      <c r="P11" s="539">
        <f t="shared" si="3"/>
        <v>0.11313070367297684</v>
      </c>
      <c r="Q11" s="540">
        <f t="shared" si="115"/>
        <v>0</v>
      </c>
      <c r="R11" s="538"/>
      <c r="S11" s="539">
        <f t="shared" si="4"/>
        <v>0</v>
      </c>
      <c r="T11" s="540">
        <f t="shared" si="116"/>
        <v>0</v>
      </c>
      <c r="U11" s="538">
        <v>12.812500000000028</v>
      </c>
      <c r="V11" s="539">
        <f t="shared" si="5"/>
        <v>0.24158119013500318</v>
      </c>
      <c r="W11" s="540">
        <f t="shared" si="117"/>
        <v>0</v>
      </c>
      <c r="X11" s="538"/>
      <c r="Y11" s="539">
        <f t="shared" si="6"/>
        <v>0</v>
      </c>
      <c r="Z11" s="540">
        <f t="shared" si="118"/>
        <v>0</v>
      </c>
      <c r="AA11" s="538"/>
      <c r="AB11" s="539">
        <f t="shared" si="7"/>
        <v>0</v>
      </c>
      <c r="AC11" s="540">
        <f t="shared" si="119"/>
        <v>0</v>
      </c>
      <c r="AD11" s="538"/>
      <c r="AE11" s="539">
        <f t="shared" si="8"/>
        <v>0</v>
      </c>
      <c r="AF11" s="540">
        <f t="shared" si="120"/>
        <v>0</v>
      </c>
      <c r="AG11" s="538"/>
      <c r="AH11" s="539">
        <f t="shared" si="9"/>
        <v>0</v>
      </c>
      <c r="AI11" s="540">
        <f t="shared" si="121"/>
        <v>0</v>
      </c>
      <c r="AJ11" s="538"/>
      <c r="AK11" s="539">
        <f t="shared" si="10"/>
        <v>0</v>
      </c>
      <c r="AL11" s="540">
        <f t="shared" si="122"/>
        <v>0</v>
      </c>
      <c r="AM11" s="538">
        <v>42.051282051282044</v>
      </c>
      <c r="AN11" s="539">
        <f t="shared" si="11"/>
        <v>0.79288185480205975</v>
      </c>
      <c r="AO11" s="540">
        <f t="shared" si="123"/>
        <v>0</v>
      </c>
      <c r="AP11" s="538"/>
      <c r="AQ11" s="539">
        <f t="shared" si="12"/>
        <v>0</v>
      </c>
      <c r="AR11" s="540">
        <f t="shared" si="124"/>
        <v>0</v>
      </c>
      <c r="AS11" s="538"/>
      <c r="AT11" s="539">
        <f t="shared" si="13"/>
        <v>0</v>
      </c>
      <c r="AU11" s="540">
        <f t="shared" si="125"/>
        <v>0</v>
      </c>
      <c r="AV11" s="538">
        <v>5.5500000000000007</v>
      </c>
      <c r="AW11" s="539">
        <f t="shared" si="14"/>
        <v>0.1046459008975036</v>
      </c>
      <c r="AX11" s="540">
        <f t="shared" si="126"/>
        <v>0</v>
      </c>
      <c r="AY11" s="538">
        <v>53.666666666666629</v>
      </c>
      <c r="AZ11" s="539">
        <f t="shared" si="15"/>
        <v>1.0118912939638478</v>
      </c>
      <c r="BA11" s="540">
        <f t="shared" si="127"/>
        <v>0</v>
      </c>
      <c r="BB11" s="538"/>
      <c r="BC11" s="539">
        <f t="shared" si="16"/>
        <v>0</v>
      </c>
      <c r="BD11" s="540">
        <f t="shared" si="128"/>
        <v>0</v>
      </c>
      <c r="BE11" s="538"/>
      <c r="BF11" s="539">
        <f t="shared" si="17"/>
        <v>0</v>
      </c>
      <c r="BG11" s="540">
        <f t="shared" si="129"/>
        <v>0</v>
      </c>
      <c r="BH11" s="538"/>
      <c r="BI11" s="539">
        <f t="shared" si="18"/>
        <v>0</v>
      </c>
      <c r="BJ11" s="540">
        <f t="shared" si="130"/>
        <v>0</v>
      </c>
      <c r="BK11" s="538"/>
      <c r="BL11" s="539">
        <f t="shared" si="19"/>
        <v>0</v>
      </c>
      <c r="BM11" s="540">
        <f t="shared" si="131"/>
        <v>0</v>
      </c>
      <c r="BN11" s="538"/>
      <c r="BO11" s="539">
        <f t="shared" si="20"/>
        <v>0</v>
      </c>
      <c r="BP11" s="540">
        <f t="shared" si="132"/>
        <v>0</v>
      </c>
      <c r="BQ11" s="538"/>
      <c r="BR11" s="539">
        <f t="shared" si="21"/>
        <v>0</v>
      </c>
      <c r="BS11" s="540">
        <f t="shared" si="133"/>
        <v>0</v>
      </c>
      <c r="BT11" s="538"/>
      <c r="BU11" s="539">
        <f t="shared" si="22"/>
        <v>0</v>
      </c>
      <c r="BV11" s="540">
        <f t="shared" si="134"/>
        <v>0</v>
      </c>
      <c r="BW11" s="538"/>
      <c r="BX11" s="539">
        <f t="shared" si="23"/>
        <v>0</v>
      </c>
      <c r="BY11" s="540">
        <f t="shared" si="135"/>
        <v>0</v>
      </c>
      <c r="BZ11" s="538">
        <v>0</v>
      </c>
      <c r="CA11" s="539">
        <f t="shared" si="24"/>
        <v>0</v>
      </c>
      <c r="CB11" s="540">
        <f t="shared" si="136"/>
        <v>0</v>
      </c>
      <c r="CC11" s="538">
        <v>0</v>
      </c>
      <c r="CD11" s="539">
        <f t="shared" si="25"/>
        <v>0</v>
      </c>
      <c r="CE11" s="540">
        <f t="shared" si="137"/>
        <v>0</v>
      </c>
      <c r="CF11" s="538">
        <v>1.2000000000000002</v>
      </c>
      <c r="CG11" s="539">
        <f t="shared" si="26"/>
        <v>2.2626140734595374E-2</v>
      </c>
      <c r="CH11" s="540">
        <f t="shared" si="138"/>
        <v>0</v>
      </c>
      <c r="CI11" s="538">
        <v>0</v>
      </c>
      <c r="CJ11" s="539">
        <f t="shared" si="27"/>
        <v>0</v>
      </c>
      <c r="CK11" s="540">
        <f t="shared" si="139"/>
        <v>0</v>
      </c>
      <c r="CL11" s="538"/>
      <c r="CM11" s="539">
        <f t="shared" si="28"/>
        <v>0</v>
      </c>
      <c r="CN11" s="540">
        <f t="shared" si="140"/>
        <v>0</v>
      </c>
      <c r="CO11" s="538"/>
      <c r="CP11" s="539">
        <f t="shared" si="29"/>
        <v>0</v>
      </c>
      <c r="CQ11" s="540">
        <f t="shared" si="141"/>
        <v>0</v>
      </c>
      <c r="CR11" s="538"/>
      <c r="CS11" s="539">
        <f t="shared" si="30"/>
        <v>0</v>
      </c>
      <c r="CT11" s="540">
        <f t="shared" si="142"/>
        <v>0</v>
      </c>
      <c r="CU11" s="538"/>
      <c r="CV11" s="539">
        <f t="shared" si="31"/>
        <v>0</v>
      </c>
      <c r="CW11" s="540">
        <f t="shared" si="143"/>
        <v>0</v>
      </c>
      <c r="CX11" s="538"/>
      <c r="CY11" s="539">
        <f t="shared" si="32"/>
        <v>0</v>
      </c>
      <c r="CZ11" s="540">
        <f t="shared" si="144"/>
        <v>0</v>
      </c>
      <c r="DA11" s="538">
        <v>0</v>
      </c>
      <c r="DB11" s="539">
        <f t="shared" si="33"/>
        <v>0</v>
      </c>
      <c r="DC11" s="540">
        <f t="shared" si="145"/>
        <v>0</v>
      </c>
      <c r="DD11" s="538"/>
      <c r="DE11" s="539">
        <f t="shared" si="34"/>
        <v>0</v>
      </c>
      <c r="DF11" s="540">
        <f t="shared" si="146"/>
        <v>0</v>
      </c>
      <c r="DG11" s="538"/>
      <c r="DH11" s="539">
        <f t="shared" si="35"/>
        <v>0</v>
      </c>
      <c r="DI11" s="540">
        <v>0</v>
      </c>
      <c r="DJ11" s="538"/>
      <c r="DK11" s="539">
        <f t="shared" si="36"/>
        <v>0</v>
      </c>
      <c r="DL11" s="540">
        <f t="shared" si="147"/>
        <v>0</v>
      </c>
      <c r="DM11" s="538"/>
      <c r="DN11" s="539">
        <f t="shared" si="37"/>
        <v>0</v>
      </c>
      <c r="DO11" s="540">
        <f t="shared" si="148"/>
        <v>0</v>
      </c>
      <c r="DP11" s="538"/>
      <c r="DQ11" s="539">
        <f t="shared" si="38"/>
        <v>0</v>
      </c>
      <c r="DR11" s="540">
        <f t="shared" si="149"/>
        <v>0</v>
      </c>
      <c r="DS11" s="538"/>
      <c r="DT11" s="539">
        <f t="shared" si="39"/>
        <v>0</v>
      </c>
      <c r="DU11" s="540">
        <f t="shared" si="150"/>
        <v>0</v>
      </c>
      <c r="DV11" s="538"/>
      <c r="DW11" s="539">
        <f t="shared" si="40"/>
        <v>0</v>
      </c>
      <c r="DX11" s="540">
        <f t="shared" si="151"/>
        <v>0</v>
      </c>
      <c r="DY11" s="538">
        <v>0</v>
      </c>
      <c r="DZ11" s="539">
        <f t="shared" si="41"/>
        <v>0</v>
      </c>
      <c r="EA11" s="540">
        <f t="shared" si="152"/>
        <v>0</v>
      </c>
      <c r="EB11" s="538">
        <v>0</v>
      </c>
      <c r="EC11" s="539">
        <f t="shared" si="42"/>
        <v>0</v>
      </c>
      <c r="ED11" s="540">
        <f t="shared" si="153"/>
        <v>0</v>
      </c>
      <c r="EE11" s="538">
        <v>14.534883720930111</v>
      </c>
      <c r="EF11" s="539">
        <f t="shared" si="43"/>
        <v>0.27405693719228658</v>
      </c>
      <c r="EG11" s="540">
        <f t="shared" si="154"/>
        <v>0</v>
      </c>
      <c r="EH11" s="538">
        <v>1</v>
      </c>
      <c r="EI11" s="539">
        <f t="shared" si="44"/>
        <v>1.8855117278829474E-2</v>
      </c>
      <c r="EJ11" s="540">
        <f t="shared" si="155"/>
        <v>0</v>
      </c>
      <c r="EK11" s="538"/>
      <c r="EL11" s="539">
        <f t="shared" si="45"/>
        <v>0</v>
      </c>
      <c r="EM11" s="540">
        <f t="shared" si="156"/>
        <v>0</v>
      </c>
      <c r="EN11" s="538"/>
      <c r="EO11" s="539">
        <f t="shared" si="46"/>
        <v>0</v>
      </c>
      <c r="EP11" s="540">
        <f t="shared" si="157"/>
        <v>0</v>
      </c>
      <c r="EQ11" s="538"/>
      <c r="ER11" s="539">
        <f t="shared" si="47"/>
        <v>0</v>
      </c>
      <c r="ES11" s="540">
        <f t="shared" si="158"/>
        <v>0</v>
      </c>
      <c r="ET11" s="538"/>
      <c r="EU11" s="539">
        <f t="shared" si="48"/>
        <v>0</v>
      </c>
      <c r="EV11" s="540">
        <f t="shared" si="159"/>
        <v>0</v>
      </c>
      <c r="EW11" s="538"/>
      <c r="EX11" s="539">
        <f t="shared" si="49"/>
        <v>0</v>
      </c>
      <c r="EY11" s="540">
        <f t="shared" si="160"/>
        <v>0</v>
      </c>
      <c r="EZ11" s="538"/>
      <c r="FA11" s="539">
        <f t="shared" si="50"/>
        <v>0</v>
      </c>
      <c r="FB11" s="540">
        <f t="shared" si="161"/>
        <v>0</v>
      </c>
      <c r="FC11" s="538"/>
      <c r="FD11" s="539">
        <f t="shared" si="51"/>
        <v>0</v>
      </c>
      <c r="FE11" s="540">
        <f t="shared" si="162"/>
        <v>0</v>
      </c>
      <c r="FF11" s="538"/>
      <c r="FG11" s="539">
        <f t="shared" si="52"/>
        <v>0</v>
      </c>
      <c r="FH11" s="540">
        <f t="shared" si="163"/>
        <v>0</v>
      </c>
      <c r="FI11" s="538"/>
      <c r="FJ11" s="539">
        <f t="shared" si="53"/>
        <v>0</v>
      </c>
      <c r="FK11" s="540">
        <f t="shared" si="164"/>
        <v>0</v>
      </c>
      <c r="FL11" s="538"/>
      <c r="FM11" s="539">
        <f t="shared" si="54"/>
        <v>0</v>
      </c>
      <c r="FN11" s="540">
        <f t="shared" si="165"/>
        <v>0</v>
      </c>
      <c r="FO11" s="538"/>
      <c r="FP11" s="539">
        <f t="shared" si="55"/>
        <v>0</v>
      </c>
      <c r="FQ11" s="540">
        <f t="shared" si="166"/>
        <v>0</v>
      </c>
      <c r="FR11" s="538"/>
      <c r="FS11" s="539">
        <f t="shared" si="56"/>
        <v>0</v>
      </c>
      <c r="FT11" s="540">
        <f t="shared" si="167"/>
        <v>0</v>
      </c>
      <c r="FU11" s="538"/>
      <c r="FV11" s="539">
        <f t="shared" si="57"/>
        <v>0</v>
      </c>
      <c r="FW11" s="540">
        <f t="shared" si="168"/>
        <v>0</v>
      </c>
      <c r="FX11" s="538"/>
      <c r="FY11" s="539">
        <f t="shared" si="58"/>
        <v>0</v>
      </c>
      <c r="FZ11" s="540">
        <f t="shared" si="169"/>
        <v>0</v>
      </c>
      <c r="GA11" s="538"/>
      <c r="GB11" s="539">
        <f t="shared" si="59"/>
        <v>0</v>
      </c>
      <c r="GC11" s="540">
        <f t="shared" si="170"/>
        <v>0</v>
      </c>
      <c r="GD11" s="538"/>
      <c r="GE11" s="539">
        <f t="shared" si="60"/>
        <v>0</v>
      </c>
      <c r="GF11" s="540">
        <f t="shared" si="171"/>
        <v>0</v>
      </c>
      <c r="GG11" s="538">
        <v>5.3425101523326539</v>
      </c>
      <c r="GH11" s="539">
        <f t="shared" si="61"/>
        <v>0.10073365548556931</v>
      </c>
      <c r="GI11" s="540">
        <f t="shared" si="172"/>
        <v>0</v>
      </c>
      <c r="GJ11" s="538">
        <v>5.3425101523326539</v>
      </c>
      <c r="GK11" s="539">
        <f t="shared" si="62"/>
        <v>0.10073365548556931</v>
      </c>
      <c r="GL11" s="540">
        <f t="shared" si="173"/>
        <v>0</v>
      </c>
      <c r="GM11" s="538">
        <v>0</v>
      </c>
      <c r="GN11" s="539">
        <f t="shared" si="63"/>
        <v>0</v>
      </c>
      <c r="GO11" s="540">
        <f t="shared" si="174"/>
        <v>0</v>
      </c>
      <c r="GP11" s="538">
        <v>32.055060913995923</v>
      </c>
      <c r="GQ11" s="539">
        <f t="shared" si="64"/>
        <v>0.60440193291341582</v>
      </c>
      <c r="GR11" s="540">
        <f t="shared" si="175"/>
        <v>0</v>
      </c>
      <c r="GS11" s="538">
        <v>106.85020304665306</v>
      </c>
      <c r="GT11" s="539">
        <f t="shared" si="65"/>
        <v>2.0146731097113859</v>
      </c>
      <c r="GU11" s="540">
        <f t="shared" si="176"/>
        <v>0</v>
      </c>
      <c r="GV11" s="538">
        <v>106.85020304665306</v>
      </c>
      <c r="GW11" s="539">
        <f t="shared" si="66"/>
        <v>2.0146731097113859</v>
      </c>
      <c r="GX11" s="540">
        <f t="shared" si="177"/>
        <v>0</v>
      </c>
      <c r="GY11" s="538"/>
      <c r="GZ11" s="539">
        <f t="shared" si="67"/>
        <v>0</v>
      </c>
      <c r="HA11" s="540">
        <f t="shared" si="178"/>
        <v>0</v>
      </c>
      <c r="HB11" s="538"/>
      <c r="HC11" s="539">
        <f t="shared" si="68"/>
        <v>0</v>
      </c>
      <c r="HD11" s="540">
        <f t="shared" si="179"/>
        <v>0</v>
      </c>
      <c r="HE11" s="538"/>
      <c r="HF11" s="539">
        <f t="shared" si="69"/>
        <v>0</v>
      </c>
      <c r="HG11" s="540">
        <f t="shared" si="180"/>
        <v>0</v>
      </c>
      <c r="HH11" s="538"/>
      <c r="HI11" s="539">
        <f t="shared" si="70"/>
        <v>0</v>
      </c>
      <c r="HJ11" s="540">
        <f t="shared" si="181"/>
        <v>0</v>
      </c>
      <c r="HK11" s="538"/>
      <c r="HL11" s="539">
        <f t="shared" si="71"/>
        <v>0</v>
      </c>
      <c r="HM11" s="540">
        <f t="shared" si="182"/>
        <v>0</v>
      </c>
      <c r="HN11" s="538">
        <v>1146.5026786905873</v>
      </c>
      <c r="HO11" s="539">
        <f t="shared" si="72"/>
        <v>21.617442467203169</v>
      </c>
      <c r="HP11" s="540">
        <f t="shared" si="183"/>
        <v>0</v>
      </c>
      <c r="HQ11" s="538"/>
      <c r="HR11" s="539">
        <f t="shared" si="73"/>
        <v>0</v>
      </c>
      <c r="HS11" s="540">
        <f t="shared" si="184"/>
        <v>0</v>
      </c>
      <c r="HT11" s="538">
        <v>0</v>
      </c>
      <c r="HU11" s="539">
        <f t="shared" si="74"/>
        <v>0</v>
      </c>
      <c r="HV11" s="540">
        <f t="shared" si="185"/>
        <v>0</v>
      </c>
      <c r="HW11" s="538">
        <v>0</v>
      </c>
      <c r="HX11" s="539">
        <f t="shared" si="75"/>
        <v>0</v>
      </c>
      <c r="HY11" s="540">
        <f t="shared" si="186"/>
        <v>0</v>
      </c>
      <c r="HZ11" s="538">
        <v>0</v>
      </c>
      <c r="IA11" s="539">
        <f t="shared" si="76"/>
        <v>0</v>
      </c>
      <c r="IB11" s="540">
        <f t="shared" si="187"/>
        <v>0</v>
      </c>
      <c r="IC11" s="538">
        <v>0</v>
      </c>
      <c r="ID11" s="539">
        <f t="shared" si="77"/>
        <v>0</v>
      </c>
      <c r="IE11" s="540">
        <f t="shared" si="188"/>
        <v>0</v>
      </c>
      <c r="IF11" s="538">
        <v>21.370040609330616</v>
      </c>
      <c r="IG11" s="539">
        <f t="shared" si="78"/>
        <v>0.40293462194227725</v>
      </c>
      <c r="IH11" s="540">
        <f t="shared" si="189"/>
        <v>0</v>
      </c>
      <c r="II11" s="538"/>
      <c r="IJ11" s="539">
        <f t="shared" si="79"/>
        <v>0</v>
      </c>
      <c r="IK11" s="540">
        <f t="shared" si="190"/>
        <v>0</v>
      </c>
      <c r="IL11" s="538">
        <v>61.438866751825515</v>
      </c>
      <c r="IM11" s="539">
        <f t="shared" si="80"/>
        <v>1.158437038084047</v>
      </c>
      <c r="IN11" s="540">
        <f t="shared" si="191"/>
        <v>0</v>
      </c>
      <c r="IO11" s="538">
        <v>0</v>
      </c>
      <c r="IP11" s="539">
        <f t="shared" si="81"/>
        <v>0</v>
      </c>
      <c r="IQ11" s="540">
        <f t="shared" si="192"/>
        <v>0</v>
      </c>
      <c r="IR11" s="538">
        <v>0</v>
      </c>
      <c r="IS11" s="539">
        <f t="shared" si="82"/>
        <v>0</v>
      </c>
      <c r="IT11" s="540">
        <f t="shared" si="193"/>
        <v>0</v>
      </c>
      <c r="IU11" s="538"/>
      <c r="IV11" s="539">
        <f t="shared" si="83"/>
        <v>0</v>
      </c>
      <c r="IW11" s="540">
        <f t="shared" si="194"/>
        <v>0</v>
      </c>
      <c r="IX11" s="538">
        <v>0</v>
      </c>
      <c r="IY11" s="539">
        <f t="shared" si="84"/>
        <v>0</v>
      </c>
      <c r="IZ11" s="540">
        <f t="shared" si="195"/>
        <v>0</v>
      </c>
      <c r="JA11" s="538"/>
      <c r="JB11" s="539">
        <f t="shared" si="85"/>
        <v>0</v>
      </c>
      <c r="JC11" s="540">
        <f t="shared" si="196"/>
        <v>0</v>
      </c>
      <c r="JD11" s="538"/>
      <c r="JE11" s="539">
        <f t="shared" si="86"/>
        <v>0</v>
      </c>
      <c r="JF11" s="540">
        <f t="shared" si="197"/>
        <v>0</v>
      </c>
      <c r="JG11" s="538">
        <v>26.712550761663266</v>
      </c>
      <c r="JH11" s="540" t="str">
        <f t="shared" si="87"/>
        <v>0</v>
      </c>
      <c r="JI11" s="540" t="str">
        <f t="shared" si="88"/>
        <v>0</v>
      </c>
      <c r="JJ11" s="538">
        <v>0</v>
      </c>
      <c r="JK11" s="540" t="str">
        <f t="shared" si="89"/>
        <v>0</v>
      </c>
      <c r="JL11" s="540" t="str">
        <f t="shared" si="90"/>
        <v>0</v>
      </c>
      <c r="JM11" s="538"/>
      <c r="JN11" s="540" t="str">
        <f t="shared" si="91"/>
        <v>0</v>
      </c>
      <c r="JO11" s="540" t="str">
        <f t="shared" si="92"/>
        <v>0</v>
      </c>
      <c r="JP11" s="538"/>
      <c r="JQ11" s="540" t="str">
        <f t="shared" si="93"/>
        <v>0</v>
      </c>
      <c r="JR11" s="540" t="str">
        <f t="shared" si="94"/>
        <v>0</v>
      </c>
      <c r="JS11" s="538"/>
      <c r="JT11" s="540" t="str">
        <f t="shared" si="95"/>
        <v>0</v>
      </c>
      <c r="JU11" s="540" t="str">
        <f t="shared" si="96"/>
        <v>0</v>
      </c>
      <c r="JV11" s="538"/>
      <c r="JW11" s="540" t="str">
        <f t="shared" si="97"/>
        <v>0</v>
      </c>
      <c r="JX11" s="540" t="str">
        <f t="shared" si="98"/>
        <v>0</v>
      </c>
      <c r="JY11" s="538"/>
      <c r="JZ11" s="540" t="str">
        <f t="shared" si="99"/>
        <v>0</v>
      </c>
      <c r="KA11" s="540" t="str">
        <f t="shared" si="100"/>
        <v>0</v>
      </c>
      <c r="KB11" s="538"/>
      <c r="KC11" s="540" t="str">
        <f t="shared" si="101"/>
        <v>0</v>
      </c>
      <c r="KD11" s="540" t="str">
        <f t="shared" si="102"/>
        <v>0</v>
      </c>
      <c r="KE11" s="538"/>
      <c r="KF11" s="540" t="str">
        <f t="shared" si="103"/>
        <v>0</v>
      </c>
      <c r="KG11" s="540" t="str">
        <f t="shared" si="104"/>
        <v>0</v>
      </c>
      <c r="KH11" s="538"/>
      <c r="KI11" s="540" t="str">
        <f t="shared" si="105"/>
        <v>0</v>
      </c>
      <c r="KJ11" s="540" t="str">
        <f t="shared" si="106"/>
        <v>0</v>
      </c>
      <c r="KK11" s="538"/>
      <c r="KL11" s="540" t="str">
        <f t="shared" si="107"/>
        <v>0</v>
      </c>
      <c r="KM11" s="540" t="str">
        <f t="shared" si="108"/>
        <v>0</v>
      </c>
      <c r="KN11" s="538"/>
      <c r="KO11" s="540" t="str">
        <f t="shared" si="109"/>
        <v>0</v>
      </c>
      <c r="KP11" s="540" t="str">
        <f t="shared" si="110"/>
        <v>0</v>
      </c>
      <c r="KQ11" s="540">
        <f t="shared" si="111"/>
        <v>0</v>
      </c>
      <c r="KR11" s="540">
        <f t="shared" si="198"/>
        <v>0</v>
      </c>
      <c r="KS11" s="268">
        <f t="shared" si="199"/>
        <v>2319.8681918583711</v>
      </c>
    </row>
    <row r="12" spans="1:306" ht="15" customHeight="1">
      <c r="A12" s="270">
        <f t="shared" si="200"/>
        <v>45934</v>
      </c>
      <c r="B12" s="271" t="str">
        <f>+Report1!B12</f>
        <v>Towel</v>
      </c>
      <c r="C12" s="271" t="str">
        <f>+Report1!C12</f>
        <v>18</v>
      </c>
      <c r="D12" s="272">
        <f>+Report1!P12</f>
        <v>41.531999999999996</v>
      </c>
      <c r="E12" s="273">
        <f>+Report1!R12</f>
        <v>32.670999999999999</v>
      </c>
      <c r="F12" s="538">
        <v>0</v>
      </c>
      <c r="G12" s="539">
        <f t="shared" si="0"/>
        <v>0</v>
      </c>
      <c r="H12" s="540">
        <f t="shared" si="112"/>
        <v>0</v>
      </c>
      <c r="I12" s="538">
        <v>579.80930588235333</v>
      </c>
      <c r="J12" s="539">
        <f t="shared" si="1"/>
        <v>17.746910283809903</v>
      </c>
      <c r="K12" s="540">
        <f t="shared" si="113"/>
        <v>0</v>
      </c>
      <c r="L12" s="538"/>
      <c r="M12" s="539">
        <f t="shared" si="2"/>
        <v>0</v>
      </c>
      <c r="N12" s="540">
        <f t="shared" si="114"/>
        <v>0</v>
      </c>
      <c r="O12" s="538">
        <v>3</v>
      </c>
      <c r="P12" s="539">
        <f t="shared" si="3"/>
        <v>9.1824553885709037E-2</v>
      </c>
      <c r="Q12" s="540">
        <f t="shared" si="115"/>
        <v>0</v>
      </c>
      <c r="R12" s="538"/>
      <c r="S12" s="539">
        <f t="shared" si="4"/>
        <v>0</v>
      </c>
      <c r="T12" s="540">
        <f t="shared" si="116"/>
        <v>0</v>
      </c>
      <c r="U12" s="538">
        <v>6.40625</v>
      </c>
      <c r="V12" s="539">
        <f t="shared" si="5"/>
        <v>0.19608368277677451</v>
      </c>
      <c r="W12" s="540">
        <f t="shared" si="117"/>
        <v>0</v>
      </c>
      <c r="X12" s="538"/>
      <c r="Y12" s="539">
        <f t="shared" si="6"/>
        <v>0</v>
      </c>
      <c r="Z12" s="540">
        <f t="shared" si="118"/>
        <v>0</v>
      </c>
      <c r="AA12" s="538"/>
      <c r="AB12" s="539">
        <f t="shared" si="7"/>
        <v>0</v>
      </c>
      <c r="AC12" s="540">
        <f t="shared" si="119"/>
        <v>0</v>
      </c>
      <c r="AD12" s="538"/>
      <c r="AE12" s="539">
        <f t="shared" si="8"/>
        <v>0</v>
      </c>
      <c r="AF12" s="540">
        <f t="shared" si="120"/>
        <v>0</v>
      </c>
      <c r="AG12" s="538"/>
      <c r="AH12" s="539">
        <f t="shared" si="9"/>
        <v>0</v>
      </c>
      <c r="AI12" s="540">
        <f t="shared" si="121"/>
        <v>0</v>
      </c>
      <c r="AJ12" s="538"/>
      <c r="AK12" s="539">
        <f t="shared" si="10"/>
        <v>0</v>
      </c>
      <c r="AL12" s="540">
        <f t="shared" si="122"/>
        <v>0</v>
      </c>
      <c r="AM12" s="538">
        <v>31.186897435897322</v>
      </c>
      <c r="AN12" s="539">
        <f t="shared" si="11"/>
        <v>0.95457431471021159</v>
      </c>
      <c r="AO12" s="540">
        <f t="shared" si="123"/>
        <v>0</v>
      </c>
      <c r="AP12" s="538"/>
      <c r="AQ12" s="539">
        <f t="shared" si="12"/>
        <v>0</v>
      </c>
      <c r="AR12" s="540">
        <f t="shared" si="124"/>
        <v>0</v>
      </c>
      <c r="AS12" s="538"/>
      <c r="AT12" s="539">
        <f t="shared" si="13"/>
        <v>0</v>
      </c>
      <c r="AU12" s="540">
        <f t="shared" si="125"/>
        <v>0</v>
      </c>
      <c r="AV12" s="538">
        <v>2.7749999999999773</v>
      </c>
      <c r="AW12" s="539">
        <f t="shared" si="14"/>
        <v>8.4937712344280172E-2</v>
      </c>
      <c r="AX12" s="540">
        <f t="shared" si="126"/>
        <v>0</v>
      </c>
      <c r="AY12" s="538">
        <v>43.651599999999917</v>
      </c>
      <c r="AZ12" s="539">
        <f t="shared" si="15"/>
        <v>1.3360962321324696</v>
      </c>
      <c r="BA12" s="540">
        <f t="shared" si="127"/>
        <v>0</v>
      </c>
      <c r="BB12" s="538"/>
      <c r="BC12" s="539">
        <f t="shared" si="16"/>
        <v>0</v>
      </c>
      <c r="BD12" s="540">
        <f t="shared" si="128"/>
        <v>0</v>
      </c>
      <c r="BE12" s="538"/>
      <c r="BF12" s="539">
        <f t="shared" si="17"/>
        <v>0</v>
      </c>
      <c r="BG12" s="540">
        <f t="shared" si="129"/>
        <v>0</v>
      </c>
      <c r="BH12" s="538"/>
      <c r="BI12" s="539">
        <f t="shared" si="18"/>
        <v>0</v>
      </c>
      <c r="BJ12" s="540">
        <f t="shared" si="130"/>
        <v>0</v>
      </c>
      <c r="BK12" s="538"/>
      <c r="BL12" s="539">
        <f t="shared" si="19"/>
        <v>0</v>
      </c>
      <c r="BM12" s="540">
        <f t="shared" si="131"/>
        <v>0</v>
      </c>
      <c r="BN12" s="538"/>
      <c r="BO12" s="539">
        <f t="shared" si="20"/>
        <v>0</v>
      </c>
      <c r="BP12" s="540">
        <f t="shared" si="132"/>
        <v>0</v>
      </c>
      <c r="BQ12" s="538"/>
      <c r="BR12" s="539">
        <f t="shared" si="21"/>
        <v>0</v>
      </c>
      <c r="BS12" s="540">
        <f t="shared" si="133"/>
        <v>0</v>
      </c>
      <c r="BT12" s="538"/>
      <c r="BU12" s="539">
        <f t="shared" si="22"/>
        <v>0</v>
      </c>
      <c r="BV12" s="540">
        <f t="shared" si="134"/>
        <v>0</v>
      </c>
      <c r="BW12" s="538"/>
      <c r="BX12" s="539">
        <f t="shared" si="23"/>
        <v>0</v>
      </c>
      <c r="BY12" s="540">
        <f t="shared" si="135"/>
        <v>0</v>
      </c>
      <c r="BZ12" s="538">
        <v>0</v>
      </c>
      <c r="CA12" s="539">
        <f t="shared" si="24"/>
        <v>0</v>
      </c>
      <c r="CB12" s="540">
        <f t="shared" si="136"/>
        <v>0</v>
      </c>
      <c r="CC12" s="538">
        <v>37.5</v>
      </c>
      <c r="CD12" s="539">
        <f t="shared" si="25"/>
        <v>1.147806923571363</v>
      </c>
      <c r="CE12" s="540">
        <f t="shared" si="137"/>
        <v>0</v>
      </c>
      <c r="CF12" s="538">
        <v>1.1000000000000001</v>
      </c>
      <c r="CG12" s="539">
        <f t="shared" si="26"/>
        <v>3.3669003091426654E-2</v>
      </c>
      <c r="CH12" s="540">
        <f t="shared" si="138"/>
        <v>0</v>
      </c>
      <c r="CI12" s="538">
        <v>0</v>
      </c>
      <c r="CJ12" s="539">
        <f t="shared" si="27"/>
        <v>0</v>
      </c>
      <c r="CK12" s="540">
        <f t="shared" si="139"/>
        <v>0</v>
      </c>
      <c r="CL12" s="538"/>
      <c r="CM12" s="539">
        <f t="shared" si="28"/>
        <v>0</v>
      </c>
      <c r="CN12" s="540">
        <f t="shared" si="140"/>
        <v>0</v>
      </c>
      <c r="CO12" s="538"/>
      <c r="CP12" s="539">
        <f t="shared" si="29"/>
        <v>0</v>
      </c>
      <c r="CQ12" s="540">
        <f t="shared" si="141"/>
        <v>0</v>
      </c>
      <c r="CR12" s="538"/>
      <c r="CS12" s="539">
        <f t="shared" si="30"/>
        <v>0</v>
      </c>
      <c r="CT12" s="540">
        <f t="shared" si="142"/>
        <v>0</v>
      </c>
      <c r="CU12" s="538"/>
      <c r="CV12" s="539">
        <f t="shared" si="31"/>
        <v>0</v>
      </c>
      <c r="CW12" s="540">
        <f t="shared" si="143"/>
        <v>0</v>
      </c>
      <c r="CX12" s="538"/>
      <c r="CY12" s="539">
        <f t="shared" si="32"/>
        <v>0</v>
      </c>
      <c r="CZ12" s="540">
        <f t="shared" si="144"/>
        <v>0</v>
      </c>
      <c r="DA12" s="538">
        <v>0</v>
      </c>
      <c r="DB12" s="539">
        <f t="shared" si="33"/>
        <v>0</v>
      </c>
      <c r="DC12" s="540">
        <f t="shared" si="145"/>
        <v>0</v>
      </c>
      <c r="DD12" s="538"/>
      <c r="DE12" s="539">
        <f t="shared" si="34"/>
        <v>0</v>
      </c>
      <c r="DF12" s="540">
        <f t="shared" si="146"/>
        <v>0</v>
      </c>
      <c r="DG12" s="538"/>
      <c r="DH12" s="539">
        <f t="shared" si="35"/>
        <v>0</v>
      </c>
      <c r="DI12" s="540">
        <v>0</v>
      </c>
      <c r="DJ12" s="538"/>
      <c r="DK12" s="539">
        <f t="shared" si="36"/>
        <v>0</v>
      </c>
      <c r="DL12" s="540">
        <f t="shared" si="147"/>
        <v>0</v>
      </c>
      <c r="DM12" s="538"/>
      <c r="DN12" s="539">
        <f t="shared" si="37"/>
        <v>0</v>
      </c>
      <c r="DO12" s="540">
        <f t="shared" si="148"/>
        <v>0</v>
      </c>
      <c r="DP12" s="538"/>
      <c r="DQ12" s="539">
        <f t="shared" si="38"/>
        <v>0</v>
      </c>
      <c r="DR12" s="540">
        <f t="shared" si="149"/>
        <v>0</v>
      </c>
      <c r="DS12" s="538"/>
      <c r="DT12" s="539">
        <f t="shared" si="39"/>
        <v>0</v>
      </c>
      <c r="DU12" s="540">
        <f t="shared" si="150"/>
        <v>0</v>
      </c>
      <c r="DV12" s="538"/>
      <c r="DW12" s="539">
        <f t="shared" si="40"/>
        <v>0</v>
      </c>
      <c r="DX12" s="540">
        <f t="shared" si="151"/>
        <v>0</v>
      </c>
      <c r="DY12" s="538">
        <v>0</v>
      </c>
      <c r="DZ12" s="539">
        <f t="shared" si="41"/>
        <v>0</v>
      </c>
      <c r="EA12" s="540">
        <f t="shared" si="152"/>
        <v>0</v>
      </c>
      <c r="EB12" s="538">
        <v>0</v>
      </c>
      <c r="EC12" s="539">
        <f t="shared" si="42"/>
        <v>0</v>
      </c>
      <c r="ED12" s="540">
        <f t="shared" si="153"/>
        <v>0</v>
      </c>
      <c r="EE12" s="538">
        <v>14.534883720930338</v>
      </c>
      <c r="EF12" s="539">
        <f t="shared" si="43"/>
        <v>0.44488640448502764</v>
      </c>
      <c r="EG12" s="540">
        <f t="shared" si="154"/>
        <v>0</v>
      </c>
      <c r="EH12" s="538">
        <v>1</v>
      </c>
      <c r="EI12" s="539">
        <f t="shared" si="44"/>
        <v>3.0608184628569679E-2</v>
      </c>
      <c r="EJ12" s="540">
        <f t="shared" si="155"/>
        <v>0</v>
      </c>
      <c r="EK12" s="538"/>
      <c r="EL12" s="539">
        <f t="shared" si="45"/>
        <v>0</v>
      </c>
      <c r="EM12" s="540">
        <f t="shared" si="156"/>
        <v>0</v>
      </c>
      <c r="EN12" s="538"/>
      <c r="EO12" s="539">
        <f t="shared" si="46"/>
        <v>0</v>
      </c>
      <c r="EP12" s="540">
        <f t="shared" si="157"/>
        <v>0</v>
      </c>
      <c r="EQ12" s="538"/>
      <c r="ER12" s="539">
        <f t="shared" si="47"/>
        <v>0</v>
      </c>
      <c r="ES12" s="540">
        <f t="shared" si="158"/>
        <v>0</v>
      </c>
      <c r="ET12" s="538"/>
      <c r="EU12" s="539">
        <f t="shared" si="48"/>
        <v>0</v>
      </c>
      <c r="EV12" s="540">
        <f t="shared" si="159"/>
        <v>0</v>
      </c>
      <c r="EW12" s="538"/>
      <c r="EX12" s="539">
        <f t="shared" si="49"/>
        <v>0</v>
      </c>
      <c r="EY12" s="540">
        <f t="shared" si="160"/>
        <v>0</v>
      </c>
      <c r="EZ12" s="538"/>
      <c r="FA12" s="539">
        <f t="shared" si="50"/>
        <v>0</v>
      </c>
      <c r="FB12" s="540">
        <f t="shared" si="161"/>
        <v>0</v>
      </c>
      <c r="FC12" s="538"/>
      <c r="FD12" s="539">
        <f t="shared" si="51"/>
        <v>0</v>
      </c>
      <c r="FE12" s="540">
        <f t="shared" si="162"/>
        <v>0</v>
      </c>
      <c r="FF12" s="538"/>
      <c r="FG12" s="539">
        <f t="shared" si="52"/>
        <v>0</v>
      </c>
      <c r="FH12" s="540">
        <f t="shared" si="163"/>
        <v>0</v>
      </c>
      <c r="FI12" s="538"/>
      <c r="FJ12" s="539">
        <f t="shared" si="53"/>
        <v>0</v>
      </c>
      <c r="FK12" s="540">
        <f t="shared" si="164"/>
        <v>0</v>
      </c>
      <c r="FL12" s="538"/>
      <c r="FM12" s="539">
        <f t="shared" si="54"/>
        <v>0</v>
      </c>
      <c r="FN12" s="540">
        <f t="shared" si="165"/>
        <v>0</v>
      </c>
      <c r="FO12" s="538"/>
      <c r="FP12" s="539">
        <f t="shared" si="55"/>
        <v>0</v>
      </c>
      <c r="FQ12" s="540">
        <f t="shared" si="166"/>
        <v>0</v>
      </c>
      <c r="FR12" s="538"/>
      <c r="FS12" s="539">
        <f t="shared" si="56"/>
        <v>0</v>
      </c>
      <c r="FT12" s="540">
        <f t="shared" si="167"/>
        <v>0</v>
      </c>
      <c r="FU12" s="538"/>
      <c r="FV12" s="539">
        <f t="shared" si="57"/>
        <v>0</v>
      </c>
      <c r="FW12" s="540">
        <f t="shared" si="168"/>
        <v>0</v>
      </c>
      <c r="FX12" s="538"/>
      <c r="FY12" s="539">
        <f t="shared" si="58"/>
        <v>0</v>
      </c>
      <c r="FZ12" s="540">
        <f t="shared" si="169"/>
        <v>0</v>
      </c>
      <c r="GA12" s="538"/>
      <c r="GB12" s="539">
        <f t="shared" si="59"/>
        <v>0</v>
      </c>
      <c r="GC12" s="540">
        <f t="shared" si="170"/>
        <v>0</v>
      </c>
      <c r="GD12" s="538"/>
      <c r="GE12" s="539">
        <f t="shared" si="60"/>
        <v>0</v>
      </c>
      <c r="GF12" s="540">
        <f t="shared" si="171"/>
        <v>0</v>
      </c>
      <c r="GG12" s="538">
        <v>5.0747702342128678</v>
      </c>
      <c r="GH12" s="539">
        <f t="shared" si="61"/>
        <v>0.15532950427635725</v>
      </c>
      <c r="GI12" s="540">
        <f t="shared" si="172"/>
        <v>0</v>
      </c>
      <c r="GJ12" s="538">
        <v>5.0747702342128678</v>
      </c>
      <c r="GK12" s="539">
        <f t="shared" si="62"/>
        <v>0.15532950427635725</v>
      </c>
      <c r="GL12" s="540">
        <f t="shared" si="173"/>
        <v>0</v>
      </c>
      <c r="GM12" s="538">
        <v>0</v>
      </c>
      <c r="GN12" s="539">
        <f t="shared" si="63"/>
        <v>0</v>
      </c>
      <c r="GO12" s="540">
        <f t="shared" si="174"/>
        <v>0</v>
      </c>
      <c r="GP12" s="538">
        <v>35.523391639490072</v>
      </c>
      <c r="GQ12" s="539">
        <f t="shared" si="64"/>
        <v>1.0873065299345006</v>
      </c>
      <c r="GR12" s="540">
        <f t="shared" si="175"/>
        <v>0</v>
      </c>
      <c r="GS12" s="538">
        <v>208.06557960272758</v>
      </c>
      <c r="GT12" s="539">
        <f t="shared" si="65"/>
        <v>6.3685096753306478</v>
      </c>
      <c r="GU12" s="540">
        <f t="shared" si="176"/>
        <v>0</v>
      </c>
      <c r="GV12" s="538">
        <v>101.49540468425735</v>
      </c>
      <c r="GW12" s="539">
        <f t="shared" si="66"/>
        <v>3.1065900855271451</v>
      </c>
      <c r="GX12" s="540">
        <f t="shared" si="177"/>
        <v>0</v>
      </c>
      <c r="GY12" s="538"/>
      <c r="GZ12" s="539">
        <f t="shared" si="67"/>
        <v>0</v>
      </c>
      <c r="HA12" s="540">
        <f t="shared" si="178"/>
        <v>0</v>
      </c>
      <c r="HB12" s="538"/>
      <c r="HC12" s="539">
        <f t="shared" si="68"/>
        <v>0</v>
      </c>
      <c r="HD12" s="540">
        <f t="shared" si="179"/>
        <v>0</v>
      </c>
      <c r="HE12" s="538"/>
      <c r="HF12" s="539">
        <f t="shared" si="69"/>
        <v>0</v>
      </c>
      <c r="HG12" s="540">
        <f t="shared" si="180"/>
        <v>0</v>
      </c>
      <c r="HH12" s="538"/>
      <c r="HI12" s="539">
        <f t="shared" si="70"/>
        <v>0</v>
      </c>
      <c r="HJ12" s="540">
        <f t="shared" si="181"/>
        <v>0</v>
      </c>
      <c r="HK12" s="538"/>
      <c r="HL12" s="539">
        <f t="shared" si="71"/>
        <v>0</v>
      </c>
      <c r="HM12" s="540">
        <f t="shared" si="182"/>
        <v>0</v>
      </c>
      <c r="HN12" s="538">
        <v>936.80258523569535</v>
      </c>
      <c r="HO12" s="539">
        <f t="shared" si="72"/>
        <v>28.673826489415546</v>
      </c>
      <c r="HP12" s="540">
        <f t="shared" si="183"/>
        <v>0</v>
      </c>
      <c r="HQ12" s="538"/>
      <c r="HR12" s="539">
        <f t="shared" si="73"/>
        <v>0</v>
      </c>
      <c r="HS12" s="540">
        <f t="shared" si="184"/>
        <v>0</v>
      </c>
      <c r="HT12" s="538">
        <v>0</v>
      </c>
      <c r="HU12" s="539">
        <f t="shared" si="74"/>
        <v>0</v>
      </c>
      <c r="HV12" s="540">
        <f t="shared" si="185"/>
        <v>0</v>
      </c>
      <c r="HW12" s="538">
        <v>0</v>
      </c>
      <c r="HX12" s="539">
        <f t="shared" si="75"/>
        <v>0</v>
      </c>
      <c r="HY12" s="540">
        <f t="shared" si="186"/>
        <v>0</v>
      </c>
      <c r="HZ12" s="538">
        <v>0</v>
      </c>
      <c r="IA12" s="539">
        <f t="shared" si="76"/>
        <v>0</v>
      </c>
      <c r="IB12" s="540">
        <f t="shared" si="187"/>
        <v>0</v>
      </c>
      <c r="IC12" s="538">
        <v>0</v>
      </c>
      <c r="ID12" s="539">
        <f t="shared" si="77"/>
        <v>0</v>
      </c>
      <c r="IE12" s="540">
        <f t="shared" si="188"/>
        <v>0</v>
      </c>
      <c r="IF12" s="538">
        <v>20.299080936851471</v>
      </c>
      <c r="IG12" s="539">
        <f t="shared" si="78"/>
        <v>0.621318017105429</v>
      </c>
      <c r="IH12" s="540">
        <f t="shared" si="189"/>
        <v>0</v>
      </c>
      <c r="II12" s="538"/>
      <c r="IJ12" s="539">
        <f t="shared" si="79"/>
        <v>0</v>
      </c>
      <c r="IK12" s="540">
        <f t="shared" si="190"/>
        <v>0</v>
      </c>
      <c r="IL12" s="538">
        <v>40.598161873702942</v>
      </c>
      <c r="IM12" s="539">
        <f t="shared" si="80"/>
        <v>1.242636034210858</v>
      </c>
      <c r="IN12" s="540">
        <f t="shared" si="191"/>
        <v>0</v>
      </c>
      <c r="IO12" s="538">
        <v>0</v>
      </c>
      <c r="IP12" s="539">
        <f t="shared" si="81"/>
        <v>0</v>
      </c>
      <c r="IQ12" s="540">
        <f t="shared" si="192"/>
        <v>0</v>
      </c>
      <c r="IR12" s="538">
        <v>0</v>
      </c>
      <c r="IS12" s="539">
        <f t="shared" si="82"/>
        <v>0</v>
      </c>
      <c r="IT12" s="540">
        <f t="shared" si="193"/>
        <v>0</v>
      </c>
      <c r="IU12" s="538"/>
      <c r="IV12" s="539">
        <f t="shared" si="83"/>
        <v>0</v>
      </c>
      <c r="IW12" s="540">
        <f t="shared" si="194"/>
        <v>0</v>
      </c>
      <c r="IX12" s="538">
        <v>0</v>
      </c>
      <c r="IY12" s="539">
        <f t="shared" si="84"/>
        <v>0</v>
      </c>
      <c r="IZ12" s="540">
        <f t="shared" si="195"/>
        <v>0</v>
      </c>
      <c r="JA12" s="538"/>
      <c r="JB12" s="539">
        <f t="shared" si="85"/>
        <v>0</v>
      </c>
      <c r="JC12" s="540">
        <f t="shared" si="196"/>
        <v>0</v>
      </c>
      <c r="JD12" s="538"/>
      <c r="JE12" s="539">
        <f t="shared" si="86"/>
        <v>0</v>
      </c>
      <c r="JF12" s="540">
        <f t="shared" si="197"/>
        <v>0</v>
      </c>
      <c r="JG12" s="538">
        <v>20.299080936851471</v>
      </c>
      <c r="JH12" s="540" t="str">
        <f t="shared" si="87"/>
        <v>0</v>
      </c>
      <c r="JI12" s="540" t="str">
        <f t="shared" si="88"/>
        <v>0</v>
      </c>
      <c r="JJ12" s="538">
        <v>0</v>
      </c>
      <c r="JK12" s="540" t="str">
        <f t="shared" si="89"/>
        <v>0</v>
      </c>
      <c r="JL12" s="540" t="str">
        <f t="shared" si="90"/>
        <v>0</v>
      </c>
      <c r="JM12" s="538"/>
      <c r="JN12" s="540" t="str">
        <f t="shared" si="91"/>
        <v>0</v>
      </c>
      <c r="JO12" s="540" t="str">
        <f t="shared" si="92"/>
        <v>0</v>
      </c>
      <c r="JP12" s="538"/>
      <c r="JQ12" s="540" t="str">
        <f t="shared" si="93"/>
        <v>0</v>
      </c>
      <c r="JR12" s="540" t="str">
        <f t="shared" si="94"/>
        <v>0</v>
      </c>
      <c r="JS12" s="538"/>
      <c r="JT12" s="540" t="str">
        <f t="shared" si="95"/>
        <v>0</v>
      </c>
      <c r="JU12" s="540" t="str">
        <f t="shared" si="96"/>
        <v>0</v>
      </c>
      <c r="JV12" s="538"/>
      <c r="JW12" s="540" t="str">
        <f t="shared" si="97"/>
        <v>0</v>
      </c>
      <c r="JX12" s="540" t="str">
        <f t="shared" si="98"/>
        <v>0</v>
      </c>
      <c r="JY12" s="538"/>
      <c r="JZ12" s="540" t="str">
        <f t="shared" si="99"/>
        <v>0</v>
      </c>
      <c r="KA12" s="540" t="str">
        <f t="shared" si="100"/>
        <v>0</v>
      </c>
      <c r="KB12" s="538"/>
      <c r="KC12" s="540" t="str">
        <f t="shared" si="101"/>
        <v>0</v>
      </c>
      <c r="KD12" s="540" t="str">
        <f t="shared" si="102"/>
        <v>0</v>
      </c>
      <c r="KE12" s="538"/>
      <c r="KF12" s="540" t="str">
        <f t="shared" si="103"/>
        <v>0</v>
      </c>
      <c r="KG12" s="540" t="str">
        <f t="shared" si="104"/>
        <v>0</v>
      </c>
      <c r="KH12" s="538"/>
      <c r="KI12" s="540" t="str">
        <f t="shared" si="105"/>
        <v>0</v>
      </c>
      <c r="KJ12" s="540" t="str">
        <f t="shared" si="106"/>
        <v>0</v>
      </c>
      <c r="KK12" s="538"/>
      <c r="KL12" s="540" t="str">
        <f t="shared" si="107"/>
        <v>0</v>
      </c>
      <c r="KM12" s="540" t="str">
        <f t="shared" si="108"/>
        <v>0</v>
      </c>
      <c r="KN12" s="538"/>
      <c r="KO12" s="540" t="str">
        <f t="shared" si="109"/>
        <v>0</v>
      </c>
      <c r="KP12" s="540" t="str">
        <f t="shared" si="110"/>
        <v>0</v>
      </c>
      <c r="KQ12" s="540">
        <f t="shared" si="111"/>
        <v>0</v>
      </c>
      <c r="KR12" s="540">
        <f t="shared" si="198"/>
        <v>0</v>
      </c>
      <c r="KS12" s="268">
        <f t="shared" si="199"/>
        <v>2094.1967624171825</v>
      </c>
    </row>
    <row r="13" spans="1:306" ht="15" customHeight="1">
      <c r="A13" s="270">
        <f t="shared" si="200"/>
        <v>45935</v>
      </c>
      <c r="B13" s="271" t="str">
        <f>+Report1!B13</f>
        <v>Towel</v>
      </c>
      <c r="C13" s="271" t="str">
        <f>+Report1!C13</f>
        <v>18/20</v>
      </c>
      <c r="D13" s="272">
        <f>+Report1!P13</f>
        <v>49.480000000000004</v>
      </c>
      <c r="E13" s="273">
        <f>+Report1!R13</f>
        <v>44.783000000000001</v>
      </c>
      <c r="F13" s="538">
        <v>0</v>
      </c>
      <c r="G13" s="539">
        <f t="shared" si="0"/>
        <v>0</v>
      </c>
      <c r="H13" s="540">
        <f t="shared" si="112"/>
        <v>0</v>
      </c>
      <c r="I13" s="538">
        <v>690.77459999999974</v>
      </c>
      <c r="J13" s="539">
        <f t="shared" si="1"/>
        <v>15.424929102561233</v>
      </c>
      <c r="K13" s="540">
        <f t="shared" si="113"/>
        <v>0</v>
      </c>
      <c r="L13" s="538"/>
      <c r="M13" s="539">
        <f t="shared" si="2"/>
        <v>0</v>
      </c>
      <c r="N13" s="540">
        <f t="shared" si="114"/>
        <v>0</v>
      </c>
      <c r="O13" s="538">
        <v>3</v>
      </c>
      <c r="P13" s="539">
        <f t="shared" si="3"/>
        <v>6.6989705915191031E-2</v>
      </c>
      <c r="Q13" s="540">
        <f t="shared" si="115"/>
        <v>0</v>
      </c>
      <c r="R13" s="538"/>
      <c r="S13" s="539">
        <f t="shared" si="4"/>
        <v>0</v>
      </c>
      <c r="T13" s="540">
        <f t="shared" si="116"/>
        <v>0</v>
      </c>
      <c r="U13" s="538">
        <v>6.4062499999999716</v>
      </c>
      <c r="V13" s="539">
        <f t="shared" si="5"/>
        <v>0.14305093450639689</v>
      </c>
      <c r="W13" s="540">
        <f t="shared" si="117"/>
        <v>0</v>
      </c>
      <c r="X13" s="538"/>
      <c r="Y13" s="539">
        <f t="shared" si="6"/>
        <v>0</v>
      </c>
      <c r="Z13" s="540">
        <f t="shared" si="118"/>
        <v>0</v>
      </c>
      <c r="AA13" s="538"/>
      <c r="AB13" s="539">
        <f t="shared" si="7"/>
        <v>0</v>
      </c>
      <c r="AC13" s="540">
        <f t="shared" si="119"/>
        <v>0</v>
      </c>
      <c r="AD13" s="538"/>
      <c r="AE13" s="539">
        <f t="shared" si="8"/>
        <v>0</v>
      </c>
      <c r="AF13" s="540">
        <f t="shared" si="120"/>
        <v>0</v>
      </c>
      <c r="AG13" s="538"/>
      <c r="AH13" s="539">
        <f t="shared" si="9"/>
        <v>0</v>
      </c>
      <c r="AI13" s="540">
        <f t="shared" si="121"/>
        <v>0</v>
      </c>
      <c r="AJ13" s="538"/>
      <c r="AK13" s="539">
        <f t="shared" si="10"/>
        <v>0</v>
      </c>
      <c r="AL13" s="540">
        <f t="shared" si="122"/>
        <v>0</v>
      </c>
      <c r="AM13" s="538">
        <v>37.150400000000047</v>
      </c>
      <c r="AN13" s="539">
        <f t="shared" si="11"/>
        <v>0.82956479021057206</v>
      </c>
      <c r="AO13" s="540">
        <f t="shared" si="123"/>
        <v>0</v>
      </c>
      <c r="AP13" s="538"/>
      <c r="AQ13" s="539">
        <f t="shared" si="12"/>
        <v>0</v>
      </c>
      <c r="AR13" s="540">
        <f t="shared" si="124"/>
        <v>0</v>
      </c>
      <c r="AS13" s="538"/>
      <c r="AT13" s="539">
        <f t="shared" si="13"/>
        <v>0</v>
      </c>
      <c r="AU13" s="540">
        <f t="shared" si="125"/>
        <v>0</v>
      </c>
      <c r="AV13" s="538">
        <v>2.7750000000000057</v>
      </c>
      <c r="AW13" s="539">
        <f t="shared" si="14"/>
        <v>6.196547797155183E-2</v>
      </c>
      <c r="AX13" s="540">
        <f t="shared" si="126"/>
        <v>0</v>
      </c>
      <c r="AY13" s="538">
        <v>52.016800000000046</v>
      </c>
      <c r="AZ13" s="539">
        <f t="shared" si="15"/>
        <v>1.1615300448831039</v>
      </c>
      <c r="BA13" s="540">
        <f t="shared" si="127"/>
        <v>0</v>
      </c>
      <c r="BB13" s="538"/>
      <c r="BC13" s="539">
        <f t="shared" si="16"/>
        <v>0</v>
      </c>
      <c r="BD13" s="540">
        <f t="shared" si="128"/>
        <v>0</v>
      </c>
      <c r="BE13" s="538"/>
      <c r="BF13" s="539">
        <f t="shared" si="17"/>
        <v>0</v>
      </c>
      <c r="BG13" s="540">
        <f t="shared" si="129"/>
        <v>0</v>
      </c>
      <c r="BH13" s="538"/>
      <c r="BI13" s="539">
        <f t="shared" si="18"/>
        <v>0</v>
      </c>
      <c r="BJ13" s="540">
        <f t="shared" si="130"/>
        <v>0</v>
      </c>
      <c r="BK13" s="538"/>
      <c r="BL13" s="539">
        <f t="shared" si="19"/>
        <v>0</v>
      </c>
      <c r="BM13" s="540">
        <f t="shared" si="131"/>
        <v>0</v>
      </c>
      <c r="BN13" s="538"/>
      <c r="BO13" s="539">
        <f t="shared" si="20"/>
        <v>0</v>
      </c>
      <c r="BP13" s="540">
        <f t="shared" si="132"/>
        <v>0</v>
      </c>
      <c r="BQ13" s="538"/>
      <c r="BR13" s="539">
        <f t="shared" si="21"/>
        <v>0</v>
      </c>
      <c r="BS13" s="540">
        <f t="shared" si="133"/>
        <v>0</v>
      </c>
      <c r="BT13" s="538"/>
      <c r="BU13" s="539">
        <f t="shared" si="22"/>
        <v>0</v>
      </c>
      <c r="BV13" s="540">
        <f t="shared" si="134"/>
        <v>0</v>
      </c>
      <c r="BW13" s="538"/>
      <c r="BX13" s="539">
        <f t="shared" si="23"/>
        <v>0</v>
      </c>
      <c r="BY13" s="540">
        <f t="shared" si="135"/>
        <v>0</v>
      </c>
      <c r="BZ13" s="538">
        <v>0</v>
      </c>
      <c r="CA13" s="539">
        <f t="shared" si="24"/>
        <v>0</v>
      </c>
      <c r="CB13" s="540">
        <f t="shared" si="136"/>
        <v>0</v>
      </c>
      <c r="CC13" s="538">
        <v>0</v>
      </c>
      <c r="CD13" s="539">
        <f t="shared" si="25"/>
        <v>0</v>
      </c>
      <c r="CE13" s="540">
        <f t="shared" si="137"/>
        <v>0</v>
      </c>
      <c r="CF13" s="538">
        <v>1.1000000000000001</v>
      </c>
      <c r="CG13" s="539">
        <f t="shared" si="26"/>
        <v>2.456289216890338E-2</v>
      </c>
      <c r="CH13" s="540">
        <f t="shared" si="138"/>
        <v>0</v>
      </c>
      <c r="CI13" s="538">
        <v>0</v>
      </c>
      <c r="CJ13" s="539">
        <f t="shared" si="27"/>
        <v>0</v>
      </c>
      <c r="CK13" s="540">
        <f t="shared" si="139"/>
        <v>0</v>
      </c>
      <c r="CL13" s="538"/>
      <c r="CM13" s="539">
        <f t="shared" si="28"/>
        <v>0</v>
      </c>
      <c r="CN13" s="540">
        <f t="shared" si="140"/>
        <v>0</v>
      </c>
      <c r="CO13" s="538"/>
      <c r="CP13" s="539">
        <f t="shared" si="29"/>
        <v>0</v>
      </c>
      <c r="CQ13" s="540">
        <f t="shared" si="141"/>
        <v>0</v>
      </c>
      <c r="CR13" s="538"/>
      <c r="CS13" s="539">
        <f t="shared" si="30"/>
        <v>0</v>
      </c>
      <c r="CT13" s="540">
        <f t="shared" si="142"/>
        <v>0</v>
      </c>
      <c r="CU13" s="538"/>
      <c r="CV13" s="539">
        <f t="shared" si="31"/>
        <v>0</v>
      </c>
      <c r="CW13" s="540">
        <f t="shared" si="143"/>
        <v>0</v>
      </c>
      <c r="CX13" s="538"/>
      <c r="CY13" s="539">
        <f t="shared" si="32"/>
        <v>0</v>
      </c>
      <c r="CZ13" s="540">
        <f t="shared" si="144"/>
        <v>0</v>
      </c>
      <c r="DA13" s="538">
        <v>0</v>
      </c>
      <c r="DB13" s="539">
        <f t="shared" si="33"/>
        <v>0</v>
      </c>
      <c r="DC13" s="540">
        <f t="shared" si="145"/>
        <v>0</v>
      </c>
      <c r="DD13" s="538"/>
      <c r="DE13" s="539">
        <f t="shared" si="34"/>
        <v>0</v>
      </c>
      <c r="DF13" s="540">
        <f t="shared" si="146"/>
        <v>0</v>
      </c>
      <c r="DG13" s="538"/>
      <c r="DH13" s="539">
        <f t="shared" si="35"/>
        <v>0</v>
      </c>
      <c r="DI13" s="540">
        <v>0</v>
      </c>
      <c r="DJ13" s="538"/>
      <c r="DK13" s="539">
        <f t="shared" si="36"/>
        <v>0</v>
      </c>
      <c r="DL13" s="540">
        <f t="shared" si="147"/>
        <v>0</v>
      </c>
      <c r="DM13" s="538"/>
      <c r="DN13" s="539">
        <f t="shared" si="37"/>
        <v>0</v>
      </c>
      <c r="DO13" s="540">
        <f t="shared" si="148"/>
        <v>0</v>
      </c>
      <c r="DP13" s="538"/>
      <c r="DQ13" s="539">
        <f t="shared" si="38"/>
        <v>0</v>
      </c>
      <c r="DR13" s="540">
        <f t="shared" si="149"/>
        <v>0</v>
      </c>
      <c r="DS13" s="538"/>
      <c r="DT13" s="539">
        <f t="shared" si="39"/>
        <v>0</v>
      </c>
      <c r="DU13" s="540">
        <f t="shared" si="150"/>
        <v>0</v>
      </c>
      <c r="DV13" s="538"/>
      <c r="DW13" s="539">
        <f t="shared" si="40"/>
        <v>0</v>
      </c>
      <c r="DX13" s="540">
        <f t="shared" si="151"/>
        <v>0</v>
      </c>
      <c r="DY13" s="538">
        <v>0</v>
      </c>
      <c r="DZ13" s="539">
        <f t="shared" si="41"/>
        <v>0</v>
      </c>
      <c r="EA13" s="540">
        <f t="shared" si="152"/>
        <v>0</v>
      </c>
      <c r="EB13" s="538">
        <v>0</v>
      </c>
      <c r="EC13" s="539">
        <f t="shared" si="42"/>
        <v>0</v>
      </c>
      <c r="ED13" s="540">
        <f t="shared" si="153"/>
        <v>0</v>
      </c>
      <c r="EE13" s="538">
        <v>14.534883720930111</v>
      </c>
      <c r="EF13" s="539">
        <f t="shared" si="43"/>
        <v>0.32456252865886853</v>
      </c>
      <c r="EG13" s="540">
        <f t="shared" si="154"/>
        <v>0</v>
      </c>
      <c r="EH13" s="538">
        <v>1</v>
      </c>
      <c r="EI13" s="539">
        <f t="shared" si="44"/>
        <v>2.2329901971730345E-2</v>
      </c>
      <c r="EJ13" s="540">
        <f t="shared" si="155"/>
        <v>0</v>
      </c>
      <c r="EK13" s="538"/>
      <c r="EL13" s="539">
        <f t="shared" si="45"/>
        <v>0</v>
      </c>
      <c r="EM13" s="540">
        <f t="shared" si="156"/>
        <v>0</v>
      </c>
      <c r="EN13" s="538"/>
      <c r="EO13" s="539">
        <f t="shared" si="46"/>
        <v>0</v>
      </c>
      <c r="EP13" s="540">
        <f t="shared" si="157"/>
        <v>0</v>
      </c>
      <c r="EQ13" s="538"/>
      <c r="ER13" s="539">
        <f t="shared" si="47"/>
        <v>0</v>
      </c>
      <c r="ES13" s="540">
        <f t="shared" si="158"/>
        <v>0</v>
      </c>
      <c r="ET13" s="538"/>
      <c r="EU13" s="539">
        <f t="shared" si="48"/>
        <v>0</v>
      </c>
      <c r="EV13" s="540">
        <f t="shared" si="159"/>
        <v>0</v>
      </c>
      <c r="EW13" s="538"/>
      <c r="EX13" s="539">
        <f t="shared" si="49"/>
        <v>0</v>
      </c>
      <c r="EY13" s="540">
        <f t="shared" si="160"/>
        <v>0</v>
      </c>
      <c r="EZ13" s="538"/>
      <c r="FA13" s="539">
        <f t="shared" si="50"/>
        <v>0</v>
      </c>
      <c r="FB13" s="540">
        <f t="shared" si="161"/>
        <v>0</v>
      </c>
      <c r="FC13" s="538"/>
      <c r="FD13" s="539">
        <f t="shared" si="51"/>
        <v>0</v>
      </c>
      <c r="FE13" s="540">
        <f t="shared" si="162"/>
        <v>0</v>
      </c>
      <c r="FF13" s="538"/>
      <c r="FG13" s="539">
        <f t="shared" si="52"/>
        <v>0</v>
      </c>
      <c r="FH13" s="540">
        <f t="shared" si="163"/>
        <v>0</v>
      </c>
      <c r="FI13" s="538"/>
      <c r="FJ13" s="539">
        <f t="shared" si="53"/>
        <v>0</v>
      </c>
      <c r="FK13" s="540">
        <f t="shared" si="164"/>
        <v>0</v>
      </c>
      <c r="FL13" s="538"/>
      <c r="FM13" s="539">
        <f t="shared" si="54"/>
        <v>0</v>
      </c>
      <c r="FN13" s="540">
        <f t="shared" si="165"/>
        <v>0</v>
      </c>
      <c r="FO13" s="538"/>
      <c r="FP13" s="539">
        <f t="shared" si="55"/>
        <v>0</v>
      </c>
      <c r="FQ13" s="540">
        <f t="shared" si="166"/>
        <v>0</v>
      </c>
      <c r="FR13" s="538"/>
      <c r="FS13" s="539">
        <f t="shared" si="56"/>
        <v>0</v>
      </c>
      <c r="FT13" s="540">
        <f t="shared" si="167"/>
        <v>0</v>
      </c>
      <c r="FU13" s="538"/>
      <c r="FV13" s="539">
        <f t="shared" si="57"/>
        <v>0</v>
      </c>
      <c r="FW13" s="540">
        <f t="shared" si="168"/>
        <v>0</v>
      </c>
      <c r="FX13" s="538"/>
      <c r="FY13" s="539">
        <f t="shared" si="58"/>
        <v>0</v>
      </c>
      <c r="FZ13" s="540">
        <f t="shared" si="169"/>
        <v>0</v>
      </c>
      <c r="GA13" s="538"/>
      <c r="GB13" s="539">
        <f t="shared" si="59"/>
        <v>0</v>
      </c>
      <c r="GC13" s="540">
        <f t="shared" si="170"/>
        <v>0</v>
      </c>
      <c r="GD13" s="538"/>
      <c r="GE13" s="539">
        <f t="shared" si="60"/>
        <v>0</v>
      </c>
      <c r="GF13" s="540">
        <f t="shared" si="171"/>
        <v>0</v>
      </c>
      <c r="GG13" s="538">
        <v>5.3519085373108499</v>
      </c>
      <c r="GH13" s="539">
        <f t="shared" si="61"/>
        <v>0.119507592999818</v>
      </c>
      <c r="GI13" s="540">
        <f t="shared" si="172"/>
        <v>0</v>
      </c>
      <c r="GJ13" s="538">
        <v>5.3519085373108499</v>
      </c>
      <c r="GK13" s="539">
        <f t="shared" si="62"/>
        <v>0.119507592999818</v>
      </c>
      <c r="GL13" s="540">
        <f t="shared" si="173"/>
        <v>0</v>
      </c>
      <c r="GM13" s="538">
        <v>0</v>
      </c>
      <c r="GN13" s="539">
        <f t="shared" si="63"/>
        <v>0</v>
      </c>
      <c r="GO13" s="540">
        <f t="shared" si="174"/>
        <v>0</v>
      </c>
      <c r="GP13" s="538">
        <v>40.139314029831375</v>
      </c>
      <c r="GQ13" s="539">
        <f t="shared" si="64"/>
        <v>0.89630694749863504</v>
      </c>
      <c r="GR13" s="540">
        <f t="shared" si="175"/>
        <v>0</v>
      </c>
      <c r="GS13" s="538">
        <v>267.59542686554249</v>
      </c>
      <c r="GT13" s="539">
        <f t="shared" si="65"/>
        <v>5.9753796499909004</v>
      </c>
      <c r="GU13" s="540">
        <f t="shared" si="176"/>
        <v>0</v>
      </c>
      <c r="GV13" s="538">
        <v>80.278628059662751</v>
      </c>
      <c r="GW13" s="539">
        <f t="shared" si="66"/>
        <v>1.7926138949972701</v>
      </c>
      <c r="GX13" s="540">
        <f t="shared" si="177"/>
        <v>0</v>
      </c>
      <c r="GY13" s="538"/>
      <c r="GZ13" s="539">
        <f t="shared" si="67"/>
        <v>0</v>
      </c>
      <c r="HA13" s="540">
        <f t="shared" si="178"/>
        <v>0</v>
      </c>
      <c r="HB13" s="538"/>
      <c r="HC13" s="539">
        <f t="shared" si="68"/>
        <v>0</v>
      </c>
      <c r="HD13" s="540">
        <f t="shared" si="179"/>
        <v>0</v>
      </c>
      <c r="HE13" s="538"/>
      <c r="HF13" s="539">
        <f t="shared" si="69"/>
        <v>0</v>
      </c>
      <c r="HG13" s="540">
        <f t="shared" si="180"/>
        <v>0</v>
      </c>
      <c r="HH13" s="538"/>
      <c r="HI13" s="539">
        <f t="shared" si="70"/>
        <v>0</v>
      </c>
      <c r="HJ13" s="540">
        <f t="shared" si="181"/>
        <v>0</v>
      </c>
      <c r="HK13" s="538"/>
      <c r="HL13" s="539">
        <f t="shared" si="71"/>
        <v>0</v>
      </c>
      <c r="HM13" s="540">
        <f t="shared" si="182"/>
        <v>0</v>
      </c>
      <c r="HN13" s="538">
        <v>1095.0004867337998</v>
      </c>
      <c r="HO13" s="539">
        <f t="shared" si="72"/>
        <v>24.451253527762763</v>
      </c>
      <c r="HP13" s="540">
        <f t="shared" si="183"/>
        <v>0</v>
      </c>
      <c r="HQ13" s="538"/>
      <c r="HR13" s="539">
        <f t="shared" si="73"/>
        <v>0</v>
      </c>
      <c r="HS13" s="540">
        <f t="shared" si="184"/>
        <v>0</v>
      </c>
      <c r="HT13" s="538">
        <v>0</v>
      </c>
      <c r="HU13" s="539">
        <f t="shared" si="74"/>
        <v>0</v>
      </c>
      <c r="HV13" s="540">
        <f t="shared" si="185"/>
        <v>0</v>
      </c>
      <c r="HW13" s="538">
        <v>0</v>
      </c>
      <c r="HX13" s="539">
        <f t="shared" si="75"/>
        <v>0</v>
      </c>
      <c r="HY13" s="540">
        <f t="shared" si="186"/>
        <v>0</v>
      </c>
      <c r="HZ13" s="538">
        <v>0</v>
      </c>
      <c r="IA13" s="539">
        <f t="shared" si="76"/>
        <v>0</v>
      </c>
      <c r="IB13" s="540">
        <f t="shared" si="187"/>
        <v>0</v>
      </c>
      <c r="IC13" s="538">
        <v>0</v>
      </c>
      <c r="ID13" s="539">
        <f t="shared" si="77"/>
        <v>0</v>
      </c>
      <c r="IE13" s="540">
        <f t="shared" si="188"/>
        <v>0</v>
      </c>
      <c r="IF13" s="538">
        <v>21.4076341492434</v>
      </c>
      <c r="IG13" s="539">
        <f t="shared" si="78"/>
        <v>0.47803037199927201</v>
      </c>
      <c r="IH13" s="540">
        <f t="shared" si="189"/>
        <v>0</v>
      </c>
      <c r="II13" s="538"/>
      <c r="IJ13" s="539">
        <f t="shared" si="79"/>
        <v>0</v>
      </c>
      <c r="IK13" s="540">
        <f t="shared" si="190"/>
        <v>0</v>
      </c>
      <c r="IL13" s="538">
        <v>13.379771343277124</v>
      </c>
      <c r="IM13" s="539">
        <f t="shared" si="80"/>
        <v>0.29876898249954498</v>
      </c>
      <c r="IN13" s="540">
        <f t="shared" si="191"/>
        <v>0</v>
      </c>
      <c r="IO13" s="538">
        <v>37.463359761175951</v>
      </c>
      <c r="IP13" s="539">
        <f t="shared" si="81"/>
        <v>0.83655315099872607</v>
      </c>
      <c r="IQ13" s="540">
        <f t="shared" si="192"/>
        <v>0</v>
      </c>
      <c r="IR13" s="538">
        <v>0</v>
      </c>
      <c r="IS13" s="539">
        <f t="shared" si="82"/>
        <v>0</v>
      </c>
      <c r="IT13" s="540">
        <f t="shared" si="193"/>
        <v>0</v>
      </c>
      <c r="IU13" s="538"/>
      <c r="IV13" s="539">
        <f t="shared" si="83"/>
        <v>0</v>
      </c>
      <c r="IW13" s="540">
        <f t="shared" si="194"/>
        <v>0</v>
      </c>
      <c r="IX13" s="538">
        <v>0</v>
      </c>
      <c r="IY13" s="539">
        <f t="shared" si="84"/>
        <v>0</v>
      </c>
      <c r="IZ13" s="540">
        <f t="shared" si="195"/>
        <v>0</v>
      </c>
      <c r="JA13" s="538"/>
      <c r="JB13" s="539">
        <f t="shared" si="85"/>
        <v>0</v>
      </c>
      <c r="JC13" s="540">
        <f t="shared" si="196"/>
        <v>0</v>
      </c>
      <c r="JD13" s="538"/>
      <c r="JE13" s="539">
        <f t="shared" si="86"/>
        <v>0</v>
      </c>
      <c r="JF13" s="540">
        <f t="shared" si="197"/>
        <v>0</v>
      </c>
      <c r="JG13" s="538">
        <v>21.4076341492434</v>
      </c>
      <c r="JH13" s="540" t="str">
        <f t="shared" si="87"/>
        <v>0</v>
      </c>
      <c r="JI13" s="540" t="str">
        <f t="shared" si="88"/>
        <v>0</v>
      </c>
      <c r="JJ13" s="538">
        <v>0</v>
      </c>
      <c r="JK13" s="540" t="str">
        <f t="shared" si="89"/>
        <v>0</v>
      </c>
      <c r="JL13" s="540" t="str">
        <f t="shared" si="90"/>
        <v>0</v>
      </c>
      <c r="JM13" s="538"/>
      <c r="JN13" s="540" t="str">
        <f t="shared" si="91"/>
        <v>0</v>
      </c>
      <c r="JO13" s="540" t="str">
        <f t="shared" si="92"/>
        <v>0</v>
      </c>
      <c r="JP13" s="538"/>
      <c r="JQ13" s="540" t="str">
        <f t="shared" si="93"/>
        <v>0</v>
      </c>
      <c r="JR13" s="540" t="str">
        <f t="shared" si="94"/>
        <v>0</v>
      </c>
      <c r="JS13" s="538"/>
      <c r="JT13" s="540" t="str">
        <f t="shared" si="95"/>
        <v>0</v>
      </c>
      <c r="JU13" s="540" t="str">
        <f t="shared" si="96"/>
        <v>0</v>
      </c>
      <c r="JV13" s="538"/>
      <c r="JW13" s="540" t="str">
        <f t="shared" si="97"/>
        <v>0</v>
      </c>
      <c r="JX13" s="540" t="str">
        <f t="shared" si="98"/>
        <v>0</v>
      </c>
      <c r="JY13" s="538"/>
      <c r="JZ13" s="540" t="str">
        <f t="shared" si="99"/>
        <v>0</v>
      </c>
      <c r="KA13" s="540" t="str">
        <f t="shared" si="100"/>
        <v>0</v>
      </c>
      <c r="KB13" s="538"/>
      <c r="KC13" s="540" t="str">
        <f t="shared" si="101"/>
        <v>0</v>
      </c>
      <c r="KD13" s="540" t="str">
        <f t="shared" si="102"/>
        <v>0</v>
      </c>
      <c r="KE13" s="538"/>
      <c r="KF13" s="540" t="str">
        <f t="shared" si="103"/>
        <v>0</v>
      </c>
      <c r="KG13" s="540" t="str">
        <f t="shared" si="104"/>
        <v>0</v>
      </c>
      <c r="KH13" s="538"/>
      <c r="KI13" s="540" t="str">
        <f t="shared" si="105"/>
        <v>0</v>
      </c>
      <c r="KJ13" s="540" t="str">
        <f t="shared" si="106"/>
        <v>0</v>
      </c>
      <c r="KK13" s="538"/>
      <c r="KL13" s="540" t="str">
        <f t="shared" si="107"/>
        <v>0</v>
      </c>
      <c r="KM13" s="540" t="str">
        <f t="shared" si="108"/>
        <v>0</v>
      </c>
      <c r="KN13" s="538"/>
      <c r="KO13" s="540" t="str">
        <f t="shared" si="109"/>
        <v>0</v>
      </c>
      <c r="KP13" s="540" t="str">
        <f t="shared" si="110"/>
        <v>0</v>
      </c>
      <c r="KQ13" s="540">
        <f t="shared" si="111"/>
        <v>0</v>
      </c>
      <c r="KR13" s="540">
        <f t="shared" si="198"/>
        <v>0</v>
      </c>
      <c r="KS13" s="268">
        <f t="shared" si="199"/>
        <v>2396.1340058873279</v>
      </c>
    </row>
    <row r="14" spans="1:306" ht="15" customHeight="1">
      <c r="A14" s="270">
        <f t="shared" si="200"/>
        <v>45936</v>
      </c>
      <c r="B14" s="271" t="str">
        <f>+Report1!B14</f>
        <v>Towel</v>
      </c>
      <c r="C14" s="271" t="str">
        <f>+Report1!C14</f>
        <v>20/17/18/18,5</v>
      </c>
      <c r="D14" s="272">
        <f>+Report1!P14</f>
        <v>62.212000000000003</v>
      </c>
      <c r="E14" s="273">
        <f>+Report1!R14</f>
        <v>60.667000000000002</v>
      </c>
      <c r="F14" s="538">
        <v>0</v>
      </c>
      <c r="G14" s="539">
        <f t="shared" si="0"/>
        <v>0</v>
      </c>
      <c r="H14" s="540">
        <f t="shared" si="112"/>
        <v>0</v>
      </c>
      <c r="I14" s="538">
        <v>600.00432941176496</v>
      </c>
      <c r="J14" s="539">
        <f t="shared" si="1"/>
        <v>9.890126912683419</v>
      </c>
      <c r="K14" s="540">
        <f t="shared" si="113"/>
        <v>0</v>
      </c>
      <c r="L14" s="538"/>
      <c r="M14" s="539">
        <f t="shared" si="2"/>
        <v>0</v>
      </c>
      <c r="N14" s="540">
        <f t="shared" si="114"/>
        <v>0</v>
      </c>
      <c r="O14" s="538">
        <v>6</v>
      </c>
      <c r="P14" s="539">
        <f t="shared" si="3"/>
        <v>9.8900555491453337E-2</v>
      </c>
      <c r="Q14" s="540">
        <f t="shared" si="115"/>
        <v>0</v>
      </c>
      <c r="R14" s="538"/>
      <c r="S14" s="539">
        <f t="shared" si="4"/>
        <v>0</v>
      </c>
      <c r="T14" s="540">
        <f t="shared" si="116"/>
        <v>0</v>
      </c>
      <c r="U14" s="538">
        <v>10.250000000000028</v>
      </c>
      <c r="V14" s="539">
        <f t="shared" si="5"/>
        <v>0.16895511563123325</v>
      </c>
      <c r="W14" s="540">
        <f t="shared" si="117"/>
        <v>0</v>
      </c>
      <c r="X14" s="538"/>
      <c r="Y14" s="539">
        <f t="shared" si="6"/>
        <v>0</v>
      </c>
      <c r="Z14" s="540">
        <f t="shared" si="118"/>
        <v>0</v>
      </c>
      <c r="AA14" s="538"/>
      <c r="AB14" s="539">
        <f t="shared" si="7"/>
        <v>0</v>
      </c>
      <c r="AC14" s="540">
        <f t="shared" si="119"/>
        <v>0</v>
      </c>
      <c r="AD14" s="538"/>
      <c r="AE14" s="539">
        <f t="shared" si="8"/>
        <v>0</v>
      </c>
      <c r="AF14" s="540">
        <f t="shared" si="120"/>
        <v>0</v>
      </c>
      <c r="AG14" s="538"/>
      <c r="AH14" s="539">
        <f t="shared" si="9"/>
        <v>0</v>
      </c>
      <c r="AI14" s="540">
        <f t="shared" si="121"/>
        <v>0</v>
      </c>
      <c r="AJ14" s="538"/>
      <c r="AK14" s="539">
        <f t="shared" si="10"/>
        <v>0</v>
      </c>
      <c r="AL14" s="540">
        <f t="shared" si="122"/>
        <v>0</v>
      </c>
      <c r="AM14" s="538">
        <v>36.790907692307769</v>
      </c>
      <c r="AN14" s="539">
        <f t="shared" si="11"/>
        <v>0.60644020130067033</v>
      </c>
      <c r="AO14" s="540">
        <f t="shared" si="123"/>
        <v>0</v>
      </c>
      <c r="AP14" s="538"/>
      <c r="AQ14" s="539">
        <f t="shared" si="12"/>
        <v>0</v>
      </c>
      <c r="AR14" s="540">
        <f t="shared" si="124"/>
        <v>0</v>
      </c>
      <c r="AS14" s="538"/>
      <c r="AT14" s="539">
        <f t="shared" si="13"/>
        <v>0</v>
      </c>
      <c r="AU14" s="540">
        <f t="shared" si="125"/>
        <v>0</v>
      </c>
      <c r="AV14" s="538">
        <v>2.7750000000000057</v>
      </c>
      <c r="AW14" s="539">
        <f t="shared" si="14"/>
        <v>4.5741506914797267E-2</v>
      </c>
      <c r="AX14" s="540">
        <f t="shared" si="126"/>
        <v>0</v>
      </c>
      <c r="AY14" s="538">
        <v>48.998266666666723</v>
      </c>
      <c r="AZ14" s="539">
        <f t="shared" si="15"/>
        <v>0.80765929857528351</v>
      </c>
      <c r="BA14" s="540">
        <f t="shared" si="127"/>
        <v>0</v>
      </c>
      <c r="BB14" s="538"/>
      <c r="BC14" s="539">
        <f t="shared" si="16"/>
        <v>0</v>
      </c>
      <c r="BD14" s="540">
        <f t="shared" si="128"/>
        <v>0</v>
      </c>
      <c r="BE14" s="538"/>
      <c r="BF14" s="539">
        <f t="shared" si="17"/>
        <v>0</v>
      </c>
      <c r="BG14" s="540">
        <f t="shared" si="129"/>
        <v>0</v>
      </c>
      <c r="BH14" s="538"/>
      <c r="BI14" s="539">
        <f t="shared" si="18"/>
        <v>0</v>
      </c>
      <c r="BJ14" s="540">
        <f t="shared" si="130"/>
        <v>0</v>
      </c>
      <c r="BK14" s="538"/>
      <c r="BL14" s="539">
        <f t="shared" si="19"/>
        <v>0</v>
      </c>
      <c r="BM14" s="540">
        <f t="shared" si="131"/>
        <v>0</v>
      </c>
      <c r="BN14" s="538"/>
      <c r="BO14" s="539">
        <f t="shared" si="20"/>
        <v>0</v>
      </c>
      <c r="BP14" s="540">
        <f t="shared" si="132"/>
        <v>0</v>
      </c>
      <c r="BQ14" s="538"/>
      <c r="BR14" s="539">
        <f t="shared" si="21"/>
        <v>0</v>
      </c>
      <c r="BS14" s="540">
        <f t="shared" si="133"/>
        <v>0</v>
      </c>
      <c r="BT14" s="538"/>
      <c r="BU14" s="539">
        <f t="shared" si="22"/>
        <v>0</v>
      </c>
      <c r="BV14" s="540">
        <f t="shared" si="134"/>
        <v>0</v>
      </c>
      <c r="BW14" s="538"/>
      <c r="BX14" s="539">
        <f t="shared" si="23"/>
        <v>0</v>
      </c>
      <c r="BY14" s="540">
        <f t="shared" si="135"/>
        <v>0</v>
      </c>
      <c r="BZ14" s="538">
        <v>0</v>
      </c>
      <c r="CA14" s="539">
        <f t="shared" si="24"/>
        <v>0</v>
      </c>
      <c r="CB14" s="540">
        <f t="shared" si="136"/>
        <v>0</v>
      </c>
      <c r="CC14" s="538">
        <v>6.25</v>
      </c>
      <c r="CD14" s="539">
        <f t="shared" si="25"/>
        <v>0.10302141197026389</v>
      </c>
      <c r="CE14" s="540">
        <f t="shared" si="137"/>
        <v>0</v>
      </c>
      <c r="CF14" s="538">
        <v>1.1999999999999993</v>
      </c>
      <c r="CG14" s="539">
        <f t="shared" si="26"/>
        <v>1.9780111098290656E-2</v>
      </c>
      <c r="CH14" s="540">
        <f t="shared" si="138"/>
        <v>0</v>
      </c>
      <c r="CI14" s="538">
        <v>0</v>
      </c>
      <c r="CJ14" s="539">
        <f t="shared" si="27"/>
        <v>0</v>
      </c>
      <c r="CK14" s="540">
        <f t="shared" si="139"/>
        <v>0</v>
      </c>
      <c r="CL14" s="538"/>
      <c r="CM14" s="539">
        <f t="shared" si="28"/>
        <v>0</v>
      </c>
      <c r="CN14" s="540">
        <f t="shared" si="140"/>
        <v>0</v>
      </c>
      <c r="CO14" s="538"/>
      <c r="CP14" s="539">
        <f t="shared" si="29"/>
        <v>0</v>
      </c>
      <c r="CQ14" s="540">
        <f t="shared" si="141"/>
        <v>0</v>
      </c>
      <c r="CR14" s="538"/>
      <c r="CS14" s="539">
        <f t="shared" si="30"/>
        <v>0</v>
      </c>
      <c r="CT14" s="540">
        <f t="shared" si="142"/>
        <v>0</v>
      </c>
      <c r="CU14" s="538"/>
      <c r="CV14" s="539">
        <f t="shared" si="31"/>
        <v>0</v>
      </c>
      <c r="CW14" s="540">
        <f t="shared" si="143"/>
        <v>0</v>
      </c>
      <c r="CX14" s="538"/>
      <c r="CY14" s="539">
        <f t="shared" si="32"/>
        <v>0</v>
      </c>
      <c r="CZ14" s="540">
        <f t="shared" si="144"/>
        <v>0</v>
      </c>
      <c r="DA14" s="538">
        <v>0</v>
      </c>
      <c r="DB14" s="539">
        <f t="shared" si="33"/>
        <v>0</v>
      </c>
      <c r="DC14" s="540">
        <f t="shared" si="145"/>
        <v>0</v>
      </c>
      <c r="DD14" s="538"/>
      <c r="DE14" s="539">
        <f t="shared" si="34"/>
        <v>0</v>
      </c>
      <c r="DF14" s="540">
        <f t="shared" si="146"/>
        <v>0</v>
      </c>
      <c r="DG14" s="538"/>
      <c r="DH14" s="539">
        <f t="shared" si="35"/>
        <v>0</v>
      </c>
      <c r="DI14" s="540">
        <f t="shared" ref="DI14:DI39" si="201">+DG14*$H$8</f>
        <v>0</v>
      </c>
      <c r="DJ14" s="538"/>
      <c r="DK14" s="539">
        <f t="shared" si="36"/>
        <v>0</v>
      </c>
      <c r="DL14" s="540">
        <f t="shared" si="147"/>
        <v>0</v>
      </c>
      <c r="DM14" s="538"/>
      <c r="DN14" s="539">
        <f t="shared" si="37"/>
        <v>0</v>
      </c>
      <c r="DO14" s="540">
        <f t="shared" si="148"/>
        <v>0</v>
      </c>
      <c r="DP14" s="538"/>
      <c r="DQ14" s="539">
        <f t="shared" si="38"/>
        <v>0</v>
      </c>
      <c r="DR14" s="540">
        <f t="shared" si="149"/>
        <v>0</v>
      </c>
      <c r="DS14" s="538"/>
      <c r="DT14" s="539">
        <f t="shared" si="39"/>
        <v>0</v>
      </c>
      <c r="DU14" s="540">
        <f t="shared" si="150"/>
        <v>0</v>
      </c>
      <c r="DV14" s="538"/>
      <c r="DW14" s="539">
        <f t="shared" si="40"/>
        <v>0</v>
      </c>
      <c r="DX14" s="540">
        <f t="shared" si="151"/>
        <v>0</v>
      </c>
      <c r="DY14" s="538">
        <v>0</v>
      </c>
      <c r="DZ14" s="539">
        <f t="shared" si="41"/>
        <v>0</v>
      </c>
      <c r="EA14" s="540">
        <f t="shared" si="152"/>
        <v>0</v>
      </c>
      <c r="EB14" s="538">
        <v>0</v>
      </c>
      <c r="EC14" s="539">
        <f t="shared" si="42"/>
        <v>0</v>
      </c>
      <c r="ED14" s="540">
        <f t="shared" si="153"/>
        <v>0</v>
      </c>
      <c r="EE14" s="538">
        <v>14.534883720930338</v>
      </c>
      <c r="EF14" s="539">
        <f t="shared" si="43"/>
        <v>0.23958467900061545</v>
      </c>
      <c r="EG14" s="540">
        <f t="shared" si="154"/>
        <v>0</v>
      </c>
      <c r="EH14" s="538">
        <v>0</v>
      </c>
      <c r="EI14" s="539">
        <f t="shared" si="44"/>
        <v>0</v>
      </c>
      <c r="EJ14" s="540">
        <f t="shared" si="155"/>
        <v>0</v>
      </c>
      <c r="EK14" s="538"/>
      <c r="EL14" s="539">
        <f t="shared" si="45"/>
        <v>0</v>
      </c>
      <c r="EM14" s="540">
        <f t="shared" si="156"/>
        <v>0</v>
      </c>
      <c r="EN14" s="538"/>
      <c r="EO14" s="539">
        <f t="shared" si="46"/>
        <v>0</v>
      </c>
      <c r="EP14" s="540">
        <f t="shared" si="157"/>
        <v>0</v>
      </c>
      <c r="EQ14" s="538"/>
      <c r="ER14" s="539">
        <f t="shared" si="47"/>
        <v>0</v>
      </c>
      <c r="ES14" s="540">
        <f t="shared" si="158"/>
        <v>0</v>
      </c>
      <c r="ET14" s="538"/>
      <c r="EU14" s="539">
        <f t="shared" si="48"/>
        <v>0</v>
      </c>
      <c r="EV14" s="540">
        <f t="shared" si="159"/>
        <v>0</v>
      </c>
      <c r="EW14" s="538"/>
      <c r="EX14" s="539">
        <f t="shared" si="49"/>
        <v>0</v>
      </c>
      <c r="EY14" s="540">
        <f t="shared" si="160"/>
        <v>0</v>
      </c>
      <c r="EZ14" s="538"/>
      <c r="FA14" s="539">
        <f t="shared" si="50"/>
        <v>0</v>
      </c>
      <c r="FB14" s="540">
        <f t="shared" si="161"/>
        <v>0</v>
      </c>
      <c r="FC14" s="538"/>
      <c r="FD14" s="539">
        <f t="shared" si="51"/>
        <v>0</v>
      </c>
      <c r="FE14" s="540">
        <f t="shared" si="162"/>
        <v>0</v>
      </c>
      <c r="FF14" s="538"/>
      <c r="FG14" s="539">
        <f t="shared" si="52"/>
        <v>0</v>
      </c>
      <c r="FH14" s="540">
        <f t="shared" si="163"/>
        <v>0</v>
      </c>
      <c r="FI14" s="538"/>
      <c r="FJ14" s="539">
        <f t="shared" si="53"/>
        <v>0</v>
      </c>
      <c r="FK14" s="540">
        <f t="shared" si="164"/>
        <v>0</v>
      </c>
      <c r="FL14" s="538"/>
      <c r="FM14" s="539">
        <f t="shared" si="54"/>
        <v>0</v>
      </c>
      <c r="FN14" s="540">
        <f t="shared" si="165"/>
        <v>0</v>
      </c>
      <c r="FO14" s="538"/>
      <c r="FP14" s="539">
        <f t="shared" si="55"/>
        <v>0</v>
      </c>
      <c r="FQ14" s="540">
        <f t="shared" si="166"/>
        <v>0</v>
      </c>
      <c r="FR14" s="538"/>
      <c r="FS14" s="539">
        <f t="shared" si="56"/>
        <v>0</v>
      </c>
      <c r="FT14" s="540">
        <f t="shared" si="167"/>
        <v>0</v>
      </c>
      <c r="FU14" s="538"/>
      <c r="FV14" s="539">
        <f t="shared" si="57"/>
        <v>0</v>
      </c>
      <c r="FW14" s="540">
        <f t="shared" si="168"/>
        <v>0</v>
      </c>
      <c r="FX14" s="538"/>
      <c r="FY14" s="539">
        <f t="shared" si="58"/>
        <v>0</v>
      </c>
      <c r="FZ14" s="540">
        <f t="shared" si="169"/>
        <v>0</v>
      </c>
      <c r="GA14" s="538"/>
      <c r="GB14" s="539">
        <f t="shared" si="59"/>
        <v>0</v>
      </c>
      <c r="GC14" s="540">
        <f t="shared" si="170"/>
        <v>0</v>
      </c>
      <c r="GD14" s="538"/>
      <c r="GE14" s="539">
        <f t="shared" si="60"/>
        <v>0</v>
      </c>
      <c r="GF14" s="540">
        <f t="shared" si="171"/>
        <v>0</v>
      </c>
      <c r="GG14" s="538">
        <v>6.0031071183889297</v>
      </c>
      <c r="GH14" s="539">
        <f t="shared" si="61"/>
        <v>9.8951771447227152E-2</v>
      </c>
      <c r="GI14" s="540">
        <f t="shared" si="172"/>
        <v>0</v>
      </c>
      <c r="GJ14" s="538">
        <v>6.0031071183889297</v>
      </c>
      <c r="GK14" s="539">
        <f t="shared" si="62"/>
        <v>9.8951771447227152E-2</v>
      </c>
      <c r="GL14" s="540">
        <f t="shared" si="173"/>
        <v>0</v>
      </c>
      <c r="GM14" s="538">
        <v>0</v>
      </c>
      <c r="GN14" s="539">
        <f t="shared" si="63"/>
        <v>0</v>
      </c>
      <c r="GO14" s="540">
        <f t="shared" si="174"/>
        <v>0</v>
      </c>
      <c r="GP14" s="538">
        <v>39.020196269528043</v>
      </c>
      <c r="GQ14" s="539">
        <f t="shared" si="64"/>
        <v>0.6431865144069765</v>
      </c>
      <c r="GR14" s="540">
        <f t="shared" si="175"/>
        <v>0</v>
      </c>
      <c r="GS14" s="538">
        <v>132.06835660455644</v>
      </c>
      <c r="GT14" s="539">
        <f t="shared" si="65"/>
        <v>2.1769389718389971</v>
      </c>
      <c r="GU14" s="540">
        <f t="shared" si="176"/>
        <v>0</v>
      </c>
      <c r="GV14" s="538">
        <v>60.031071183889296</v>
      </c>
      <c r="GW14" s="539">
        <f t="shared" si="66"/>
        <v>0.98951771447227144</v>
      </c>
      <c r="GX14" s="540">
        <f t="shared" si="177"/>
        <v>0</v>
      </c>
      <c r="GY14" s="538"/>
      <c r="GZ14" s="539">
        <f t="shared" si="67"/>
        <v>0</v>
      </c>
      <c r="HA14" s="540">
        <f t="shared" si="178"/>
        <v>0</v>
      </c>
      <c r="HB14" s="538"/>
      <c r="HC14" s="539">
        <f t="shared" si="68"/>
        <v>0</v>
      </c>
      <c r="HD14" s="540">
        <f t="shared" si="179"/>
        <v>0</v>
      </c>
      <c r="HE14" s="538"/>
      <c r="HF14" s="539">
        <f t="shared" si="69"/>
        <v>0</v>
      </c>
      <c r="HG14" s="540">
        <f t="shared" si="180"/>
        <v>0</v>
      </c>
      <c r="HH14" s="538"/>
      <c r="HI14" s="539">
        <f t="shared" si="70"/>
        <v>0</v>
      </c>
      <c r="HJ14" s="540">
        <f t="shared" si="181"/>
        <v>0</v>
      </c>
      <c r="HK14" s="538"/>
      <c r="HL14" s="539">
        <f t="shared" si="71"/>
        <v>0</v>
      </c>
      <c r="HM14" s="540">
        <f t="shared" si="182"/>
        <v>0</v>
      </c>
      <c r="HN14" s="538">
        <v>1215.0288807619193</v>
      </c>
      <c r="HO14" s="539">
        <f t="shared" si="72"/>
        <v>20.027838540918772</v>
      </c>
      <c r="HP14" s="540">
        <f t="shared" si="183"/>
        <v>0</v>
      </c>
      <c r="HQ14" s="538"/>
      <c r="HR14" s="539">
        <f t="shared" si="73"/>
        <v>0</v>
      </c>
      <c r="HS14" s="540">
        <f t="shared" si="184"/>
        <v>0</v>
      </c>
      <c r="HT14" s="538">
        <v>0</v>
      </c>
      <c r="HU14" s="539">
        <f t="shared" si="74"/>
        <v>0</v>
      </c>
      <c r="HV14" s="540">
        <f t="shared" si="185"/>
        <v>0</v>
      </c>
      <c r="HW14" s="538">
        <v>0</v>
      </c>
      <c r="HX14" s="539">
        <f t="shared" si="75"/>
        <v>0</v>
      </c>
      <c r="HY14" s="540">
        <f t="shared" si="186"/>
        <v>0</v>
      </c>
      <c r="HZ14" s="538">
        <v>0</v>
      </c>
      <c r="IA14" s="539">
        <f t="shared" si="76"/>
        <v>0</v>
      </c>
      <c r="IB14" s="540">
        <f t="shared" si="187"/>
        <v>0</v>
      </c>
      <c r="IC14" s="538">
        <v>0</v>
      </c>
      <c r="ID14" s="539">
        <f t="shared" si="77"/>
        <v>0</v>
      </c>
      <c r="IE14" s="540">
        <f t="shared" si="188"/>
        <v>0</v>
      </c>
      <c r="IF14" s="538">
        <v>27.013982032750182</v>
      </c>
      <c r="IG14" s="539">
        <f t="shared" si="78"/>
        <v>0.44528297151252216</v>
      </c>
      <c r="IH14" s="540">
        <f t="shared" si="189"/>
        <v>0</v>
      </c>
      <c r="II14" s="538"/>
      <c r="IJ14" s="539">
        <f t="shared" si="79"/>
        <v>0</v>
      </c>
      <c r="IK14" s="540">
        <f t="shared" si="190"/>
        <v>0</v>
      </c>
      <c r="IL14" s="538">
        <v>0</v>
      </c>
      <c r="IM14" s="539">
        <f t="shared" si="80"/>
        <v>0</v>
      </c>
      <c r="IN14" s="540">
        <f t="shared" si="191"/>
        <v>0</v>
      </c>
      <c r="IO14" s="538">
        <v>48.024856947111438</v>
      </c>
      <c r="IP14" s="539">
        <f t="shared" si="81"/>
        <v>0.79161417157781722</v>
      </c>
      <c r="IQ14" s="540">
        <f t="shared" si="192"/>
        <v>0</v>
      </c>
      <c r="IR14" s="538">
        <v>0</v>
      </c>
      <c r="IS14" s="539">
        <f t="shared" si="82"/>
        <v>0</v>
      </c>
      <c r="IT14" s="540">
        <f t="shared" si="193"/>
        <v>0</v>
      </c>
      <c r="IU14" s="538"/>
      <c r="IV14" s="539">
        <f t="shared" si="83"/>
        <v>0</v>
      </c>
      <c r="IW14" s="540">
        <f t="shared" si="194"/>
        <v>0</v>
      </c>
      <c r="IX14" s="538">
        <v>0</v>
      </c>
      <c r="IY14" s="539">
        <f t="shared" si="84"/>
        <v>0</v>
      </c>
      <c r="IZ14" s="540">
        <f t="shared" si="195"/>
        <v>0</v>
      </c>
      <c r="JA14" s="538"/>
      <c r="JB14" s="539">
        <f t="shared" si="85"/>
        <v>0</v>
      </c>
      <c r="JC14" s="540">
        <f t="shared" si="196"/>
        <v>0</v>
      </c>
      <c r="JD14" s="538"/>
      <c r="JE14" s="539">
        <f t="shared" si="86"/>
        <v>0</v>
      </c>
      <c r="JF14" s="540">
        <f t="shared" si="197"/>
        <v>0</v>
      </c>
      <c r="JG14" s="538">
        <v>30.015535591944648</v>
      </c>
      <c r="JH14" s="540" t="str">
        <f t="shared" si="87"/>
        <v>0</v>
      </c>
      <c r="JI14" s="540" t="str">
        <f t="shared" si="88"/>
        <v>0</v>
      </c>
      <c r="JJ14" s="538">
        <v>0</v>
      </c>
      <c r="JK14" s="540" t="str">
        <f t="shared" si="89"/>
        <v>0</v>
      </c>
      <c r="JL14" s="540" t="str">
        <f t="shared" si="90"/>
        <v>0</v>
      </c>
      <c r="JM14" s="538"/>
      <c r="JN14" s="540" t="str">
        <f t="shared" si="91"/>
        <v>0</v>
      </c>
      <c r="JO14" s="540" t="str">
        <f t="shared" si="92"/>
        <v>0</v>
      </c>
      <c r="JP14" s="538"/>
      <c r="JQ14" s="540" t="str">
        <f t="shared" si="93"/>
        <v>0</v>
      </c>
      <c r="JR14" s="540" t="str">
        <f t="shared" si="94"/>
        <v>0</v>
      </c>
      <c r="JS14" s="538"/>
      <c r="JT14" s="540" t="str">
        <f t="shared" si="95"/>
        <v>0</v>
      </c>
      <c r="JU14" s="540" t="str">
        <f t="shared" si="96"/>
        <v>0</v>
      </c>
      <c r="JV14" s="538"/>
      <c r="JW14" s="540" t="str">
        <f t="shared" si="97"/>
        <v>0</v>
      </c>
      <c r="JX14" s="540" t="str">
        <f t="shared" si="98"/>
        <v>0</v>
      </c>
      <c r="JY14" s="538"/>
      <c r="JZ14" s="540" t="str">
        <f t="shared" si="99"/>
        <v>0</v>
      </c>
      <c r="KA14" s="540" t="str">
        <f t="shared" si="100"/>
        <v>0</v>
      </c>
      <c r="KB14" s="538"/>
      <c r="KC14" s="540" t="str">
        <f t="shared" si="101"/>
        <v>0</v>
      </c>
      <c r="KD14" s="540" t="str">
        <f t="shared" si="102"/>
        <v>0</v>
      </c>
      <c r="KE14" s="538"/>
      <c r="KF14" s="540" t="str">
        <f t="shared" si="103"/>
        <v>0</v>
      </c>
      <c r="KG14" s="540" t="str">
        <f t="shared" si="104"/>
        <v>0</v>
      </c>
      <c r="KH14" s="538"/>
      <c r="KI14" s="540" t="str">
        <f t="shared" si="105"/>
        <v>0</v>
      </c>
      <c r="KJ14" s="540" t="str">
        <f t="shared" si="106"/>
        <v>0</v>
      </c>
      <c r="KK14" s="538"/>
      <c r="KL14" s="540" t="str">
        <f t="shared" si="107"/>
        <v>0</v>
      </c>
      <c r="KM14" s="540" t="str">
        <f t="shared" si="108"/>
        <v>0</v>
      </c>
      <c r="KN14" s="538"/>
      <c r="KO14" s="540" t="str">
        <f t="shared" si="109"/>
        <v>0</v>
      </c>
      <c r="KP14" s="540" t="str">
        <f t="shared" si="110"/>
        <v>0</v>
      </c>
      <c r="KQ14" s="540">
        <f t="shared" si="111"/>
        <v>0</v>
      </c>
      <c r="KR14" s="540">
        <f t="shared" si="198"/>
        <v>0</v>
      </c>
      <c r="KS14" s="268">
        <f t="shared" si="199"/>
        <v>2290.0124811201472</v>
      </c>
    </row>
    <row r="15" spans="1:306" ht="15" customHeight="1">
      <c r="A15" s="270">
        <f t="shared" si="200"/>
        <v>45937</v>
      </c>
      <c r="B15" s="271" t="str">
        <f>+Report1!B15</f>
        <v>Towel</v>
      </c>
      <c r="C15" s="271" t="str">
        <f>+Report1!C15</f>
        <v>18,5/32</v>
      </c>
      <c r="D15" s="272">
        <f>+Report1!P15</f>
        <v>68.798999999999992</v>
      </c>
      <c r="E15" s="273">
        <f>+Report1!R15</f>
        <v>69.388000000000005</v>
      </c>
      <c r="F15" s="538">
        <v>127.90697674418607</v>
      </c>
      <c r="G15" s="539">
        <f t="shared" si="0"/>
        <v>1.843358747105927</v>
      </c>
      <c r="H15" s="540">
        <f t="shared" si="112"/>
        <v>0</v>
      </c>
      <c r="I15" s="538">
        <v>823.52941176470586</v>
      </c>
      <c r="J15" s="539">
        <f t="shared" si="1"/>
        <v>11.868470222008211</v>
      </c>
      <c r="K15" s="540">
        <f t="shared" si="113"/>
        <v>0</v>
      </c>
      <c r="L15" s="538"/>
      <c r="M15" s="539">
        <f t="shared" si="2"/>
        <v>0</v>
      </c>
      <c r="N15" s="540">
        <f t="shared" si="114"/>
        <v>0</v>
      </c>
      <c r="O15" s="538">
        <v>3.0000000000000284</v>
      </c>
      <c r="P15" s="539">
        <f t="shared" si="3"/>
        <v>4.3235141523030325E-2</v>
      </c>
      <c r="Q15" s="540">
        <f t="shared" si="115"/>
        <v>0</v>
      </c>
      <c r="R15" s="538"/>
      <c r="S15" s="539">
        <f t="shared" si="4"/>
        <v>0</v>
      </c>
      <c r="T15" s="540">
        <f t="shared" si="116"/>
        <v>0</v>
      </c>
      <c r="U15" s="538">
        <v>5.1249999999999858</v>
      </c>
      <c r="V15" s="539">
        <f t="shared" si="5"/>
        <v>7.3860033435175901E-2</v>
      </c>
      <c r="W15" s="540">
        <f t="shared" si="117"/>
        <v>0</v>
      </c>
      <c r="X15" s="538"/>
      <c r="Y15" s="539">
        <f t="shared" si="6"/>
        <v>0</v>
      </c>
      <c r="Z15" s="540">
        <f t="shared" si="118"/>
        <v>0</v>
      </c>
      <c r="AA15" s="538"/>
      <c r="AB15" s="539">
        <f t="shared" si="7"/>
        <v>0</v>
      </c>
      <c r="AC15" s="540">
        <f t="shared" si="119"/>
        <v>0</v>
      </c>
      <c r="AD15" s="538"/>
      <c r="AE15" s="539">
        <f t="shared" si="8"/>
        <v>0</v>
      </c>
      <c r="AF15" s="540">
        <f t="shared" si="120"/>
        <v>0</v>
      </c>
      <c r="AG15" s="538"/>
      <c r="AH15" s="539">
        <f t="shared" si="9"/>
        <v>0</v>
      </c>
      <c r="AI15" s="540">
        <f t="shared" si="121"/>
        <v>0</v>
      </c>
      <c r="AJ15" s="538"/>
      <c r="AK15" s="539">
        <f t="shared" si="10"/>
        <v>0</v>
      </c>
      <c r="AL15" s="540">
        <f t="shared" si="122"/>
        <v>0</v>
      </c>
      <c r="AM15" s="538">
        <v>21.025641025640994</v>
      </c>
      <c r="AN15" s="539">
        <f t="shared" si="11"/>
        <v>0.30301552178533742</v>
      </c>
      <c r="AO15" s="540">
        <f t="shared" si="123"/>
        <v>0</v>
      </c>
      <c r="AP15" s="538"/>
      <c r="AQ15" s="539">
        <f t="shared" si="12"/>
        <v>0</v>
      </c>
      <c r="AR15" s="540">
        <f t="shared" si="124"/>
        <v>0</v>
      </c>
      <c r="AS15" s="538"/>
      <c r="AT15" s="539">
        <f t="shared" si="13"/>
        <v>0</v>
      </c>
      <c r="AU15" s="540">
        <f t="shared" si="125"/>
        <v>0</v>
      </c>
      <c r="AV15" s="538">
        <v>2.7750000000000057</v>
      </c>
      <c r="AW15" s="539">
        <f t="shared" si="14"/>
        <v>3.9992505908802753E-2</v>
      </c>
      <c r="AX15" s="540">
        <f t="shared" si="126"/>
        <v>0</v>
      </c>
      <c r="AY15" s="538">
        <v>23.333333333333314</v>
      </c>
      <c r="AZ15" s="539">
        <f t="shared" si="15"/>
        <v>0.33627332295689905</v>
      </c>
      <c r="BA15" s="540">
        <f t="shared" si="127"/>
        <v>0</v>
      </c>
      <c r="BB15" s="538"/>
      <c r="BC15" s="539">
        <f t="shared" si="16"/>
        <v>0</v>
      </c>
      <c r="BD15" s="540">
        <f t="shared" si="128"/>
        <v>0</v>
      </c>
      <c r="BE15" s="538"/>
      <c r="BF15" s="539">
        <f t="shared" si="17"/>
        <v>0</v>
      </c>
      <c r="BG15" s="540">
        <f t="shared" si="129"/>
        <v>0</v>
      </c>
      <c r="BH15" s="538"/>
      <c r="BI15" s="539">
        <f t="shared" si="18"/>
        <v>0</v>
      </c>
      <c r="BJ15" s="540">
        <f t="shared" si="130"/>
        <v>0</v>
      </c>
      <c r="BK15" s="538"/>
      <c r="BL15" s="539">
        <f t="shared" si="19"/>
        <v>0</v>
      </c>
      <c r="BM15" s="540">
        <f t="shared" si="131"/>
        <v>0</v>
      </c>
      <c r="BN15" s="538"/>
      <c r="BO15" s="539">
        <f t="shared" si="20"/>
        <v>0</v>
      </c>
      <c r="BP15" s="540">
        <f t="shared" si="132"/>
        <v>0</v>
      </c>
      <c r="BQ15" s="538"/>
      <c r="BR15" s="539">
        <f t="shared" si="21"/>
        <v>0</v>
      </c>
      <c r="BS15" s="540">
        <f t="shared" si="133"/>
        <v>0</v>
      </c>
      <c r="BT15" s="538"/>
      <c r="BU15" s="539">
        <f t="shared" si="22"/>
        <v>0</v>
      </c>
      <c r="BV15" s="540">
        <f t="shared" si="134"/>
        <v>0</v>
      </c>
      <c r="BW15" s="538"/>
      <c r="BX15" s="539">
        <f t="shared" si="23"/>
        <v>0</v>
      </c>
      <c r="BY15" s="540">
        <f t="shared" si="135"/>
        <v>0</v>
      </c>
      <c r="BZ15" s="538">
        <v>0</v>
      </c>
      <c r="CA15" s="539">
        <f t="shared" si="24"/>
        <v>0</v>
      </c>
      <c r="CB15" s="540">
        <f t="shared" si="136"/>
        <v>0</v>
      </c>
      <c r="CC15" s="538">
        <v>6.25</v>
      </c>
      <c r="CD15" s="539">
        <f t="shared" si="25"/>
        <v>9.0073211506312326E-2</v>
      </c>
      <c r="CE15" s="540">
        <f t="shared" si="137"/>
        <v>0</v>
      </c>
      <c r="CF15" s="538">
        <v>0.60000000000000142</v>
      </c>
      <c r="CG15" s="539">
        <f t="shared" si="26"/>
        <v>8.6470283046060029E-3</v>
      </c>
      <c r="CH15" s="540">
        <f t="shared" si="138"/>
        <v>0</v>
      </c>
      <c r="CI15" s="538">
        <v>0</v>
      </c>
      <c r="CJ15" s="539">
        <f t="shared" si="27"/>
        <v>0</v>
      </c>
      <c r="CK15" s="540">
        <f t="shared" si="139"/>
        <v>0</v>
      </c>
      <c r="CL15" s="538"/>
      <c r="CM15" s="539">
        <f t="shared" si="28"/>
        <v>0</v>
      </c>
      <c r="CN15" s="540">
        <f t="shared" si="140"/>
        <v>0</v>
      </c>
      <c r="CO15" s="538"/>
      <c r="CP15" s="539">
        <f t="shared" si="29"/>
        <v>0</v>
      </c>
      <c r="CQ15" s="540">
        <f t="shared" si="141"/>
        <v>0</v>
      </c>
      <c r="CR15" s="538"/>
      <c r="CS15" s="539">
        <f t="shared" si="30"/>
        <v>0</v>
      </c>
      <c r="CT15" s="540">
        <f t="shared" si="142"/>
        <v>0</v>
      </c>
      <c r="CU15" s="538"/>
      <c r="CV15" s="539">
        <f t="shared" si="31"/>
        <v>0</v>
      </c>
      <c r="CW15" s="540">
        <f t="shared" si="143"/>
        <v>0</v>
      </c>
      <c r="CX15" s="538"/>
      <c r="CY15" s="539">
        <f t="shared" si="32"/>
        <v>0</v>
      </c>
      <c r="CZ15" s="540">
        <f t="shared" si="144"/>
        <v>0</v>
      </c>
      <c r="DA15" s="538">
        <v>0</v>
      </c>
      <c r="DB15" s="539">
        <f t="shared" si="33"/>
        <v>0</v>
      </c>
      <c r="DC15" s="540">
        <f t="shared" si="145"/>
        <v>0</v>
      </c>
      <c r="DD15" s="538"/>
      <c r="DE15" s="539">
        <f t="shared" si="34"/>
        <v>0</v>
      </c>
      <c r="DF15" s="540">
        <f t="shared" si="146"/>
        <v>0</v>
      </c>
      <c r="DG15" s="538"/>
      <c r="DH15" s="539">
        <f t="shared" si="35"/>
        <v>0</v>
      </c>
      <c r="DI15" s="540">
        <f t="shared" si="201"/>
        <v>0</v>
      </c>
      <c r="DJ15" s="538"/>
      <c r="DK15" s="539">
        <f t="shared" si="36"/>
        <v>0</v>
      </c>
      <c r="DL15" s="540">
        <f t="shared" si="147"/>
        <v>0</v>
      </c>
      <c r="DM15" s="538"/>
      <c r="DN15" s="539">
        <f t="shared" si="37"/>
        <v>0</v>
      </c>
      <c r="DO15" s="540">
        <f t="shared" si="148"/>
        <v>0</v>
      </c>
      <c r="DP15" s="538"/>
      <c r="DQ15" s="539">
        <f t="shared" si="38"/>
        <v>0</v>
      </c>
      <c r="DR15" s="540">
        <f t="shared" si="149"/>
        <v>0</v>
      </c>
      <c r="DS15" s="538"/>
      <c r="DT15" s="539">
        <f t="shared" si="39"/>
        <v>0</v>
      </c>
      <c r="DU15" s="540">
        <f t="shared" si="150"/>
        <v>0</v>
      </c>
      <c r="DV15" s="538"/>
      <c r="DW15" s="539">
        <f t="shared" si="40"/>
        <v>0</v>
      </c>
      <c r="DX15" s="540">
        <f t="shared" si="151"/>
        <v>0</v>
      </c>
      <c r="DY15" s="538">
        <v>0</v>
      </c>
      <c r="DZ15" s="539">
        <f t="shared" si="41"/>
        <v>0</v>
      </c>
      <c r="EA15" s="540">
        <f t="shared" si="152"/>
        <v>0</v>
      </c>
      <c r="EB15" s="538">
        <v>0</v>
      </c>
      <c r="EC15" s="539">
        <f t="shared" si="42"/>
        <v>0</v>
      </c>
      <c r="ED15" s="540">
        <f t="shared" si="153"/>
        <v>0</v>
      </c>
      <c r="EE15" s="538">
        <v>14.534883720930338</v>
      </c>
      <c r="EF15" s="539">
        <f t="shared" si="43"/>
        <v>0.20947258489840229</v>
      </c>
      <c r="EG15" s="540">
        <f t="shared" si="154"/>
        <v>0</v>
      </c>
      <c r="EH15" s="538">
        <v>0</v>
      </c>
      <c r="EI15" s="539">
        <f t="shared" si="44"/>
        <v>0</v>
      </c>
      <c r="EJ15" s="540">
        <f t="shared" si="155"/>
        <v>0</v>
      </c>
      <c r="EK15" s="538"/>
      <c r="EL15" s="539">
        <f t="shared" si="45"/>
        <v>0</v>
      </c>
      <c r="EM15" s="540">
        <f t="shared" si="156"/>
        <v>0</v>
      </c>
      <c r="EN15" s="538"/>
      <c r="EO15" s="539">
        <f t="shared" si="46"/>
        <v>0</v>
      </c>
      <c r="EP15" s="540">
        <f t="shared" si="157"/>
        <v>0</v>
      </c>
      <c r="EQ15" s="538"/>
      <c r="ER15" s="539">
        <f t="shared" si="47"/>
        <v>0</v>
      </c>
      <c r="ES15" s="540">
        <f t="shared" si="158"/>
        <v>0</v>
      </c>
      <c r="ET15" s="538"/>
      <c r="EU15" s="539">
        <f t="shared" si="48"/>
        <v>0</v>
      </c>
      <c r="EV15" s="540">
        <f t="shared" si="159"/>
        <v>0</v>
      </c>
      <c r="EW15" s="538"/>
      <c r="EX15" s="539">
        <f t="shared" si="49"/>
        <v>0</v>
      </c>
      <c r="EY15" s="540">
        <f t="shared" si="160"/>
        <v>0</v>
      </c>
      <c r="EZ15" s="538"/>
      <c r="FA15" s="539">
        <f t="shared" si="50"/>
        <v>0</v>
      </c>
      <c r="FB15" s="540">
        <f t="shared" si="161"/>
        <v>0</v>
      </c>
      <c r="FC15" s="538"/>
      <c r="FD15" s="539">
        <f t="shared" si="51"/>
        <v>0</v>
      </c>
      <c r="FE15" s="540">
        <f t="shared" si="162"/>
        <v>0</v>
      </c>
      <c r="FF15" s="538"/>
      <c r="FG15" s="539">
        <f t="shared" si="52"/>
        <v>0</v>
      </c>
      <c r="FH15" s="540">
        <f t="shared" si="163"/>
        <v>0</v>
      </c>
      <c r="FI15" s="538"/>
      <c r="FJ15" s="539">
        <f t="shared" si="53"/>
        <v>0</v>
      </c>
      <c r="FK15" s="540">
        <f t="shared" si="164"/>
        <v>0</v>
      </c>
      <c r="FL15" s="538"/>
      <c r="FM15" s="539">
        <f t="shared" si="54"/>
        <v>0</v>
      </c>
      <c r="FN15" s="540">
        <f t="shared" si="165"/>
        <v>0</v>
      </c>
      <c r="FO15" s="538"/>
      <c r="FP15" s="539">
        <f t="shared" si="55"/>
        <v>0</v>
      </c>
      <c r="FQ15" s="540">
        <f t="shared" si="166"/>
        <v>0</v>
      </c>
      <c r="FR15" s="538"/>
      <c r="FS15" s="539">
        <f t="shared" si="56"/>
        <v>0</v>
      </c>
      <c r="FT15" s="540">
        <f t="shared" si="167"/>
        <v>0</v>
      </c>
      <c r="FU15" s="538"/>
      <c r="FV15" s="539">
        <f t="shared" si="57"/>
        <v>0</v>
      </c>
      <c r="FW15" s="540">
        <f t="shared" si="168"/>
        <v>0</v>
      </c>
      <c r="FX15" s="538"/>
      <c r="FY15" s="539">
        <f t="shared" si="58"/>
        <v>0</v>
      </c>
      <c r="FZ15" s="540">
        <f t="shared" si="169"/>
        <v>0</v>
      </c>
      <c r="GA15" s="538"/>
      <c r="GB15" s="539">
        <f t="shared" si="59"/>
        <v>0</v>
      </c>
      <c r="GC15" s="540">
        <f t="shared" si="170"/>
        <v>0</v>
      </c>
      <c r="GD15" s="538"/>
      <c r="GE15" s="539">
        <f t="shared" si="60"/>
        <v>0</v>
      </c>
      <c r="GF15" s="540">
        <f t="shared" si="171"/>
        <v>0</v>
      </c>
      <c r="GG15" s="538">
        <v>6.634746130478808</v>
      </c>
      <c r="GH15" s="539">
        <f t="shared" si="61"/>
        <v>9.5618062640208792E-2</v>
      </c>
      <c r="GI15" s="540">
        <f t="shared" si="172"/>
        <v>0</v>
      </c>
      <c r="GJ15" s="538">
        <v>6.634746130478808</v>
      </c>
      <c r="GK15" s="539">
        <f t="shared" si="62"/>
        <v>9.5618062640208792E-2</v>
      </c>
      <c r="GL15" s="540">
        <f t="shared" si="173"/>
        <v>0</v>
      </c>
      <c r="GM15" s="538">
        <v>0</v>
      </c>
      <c r="GN15" s="539">
        <f t="shared" si="63"/>
        <v>0</v>
      </c>
      <c r="GO15" s="540">
        <f t="shared" si="174"/>
        <v>0</v>
      </c>
      <c r="GP15" s="538">
        <v>39.808476782872845</v>
      </c>
      <c r="GQ15" s="539">
        <f t="shared" si="64"/>
        <v>0.57370837584125267</v>
      </c>
      <c r="GR15" s="540">
        <f t="shared" si="175"/>
        <v>0</v>
      </c>
      <c r="GS15" s="538">
        <v>265.38984521915233</v>
      </c>
      <c r="GT15" s="539">
        <f t="shared" si="65"/>
        <v>3.8247225056083516</v>
      </c>
      <c r="GU15" s="540">
        <f t="shared" si="176"/>
        <v>0</v>
      </c>
      <c r="GV15" s="538">
        <v>66.347461304788084</v>
      </c>
      <c r="GW15" s="539">
        <f t="shared" si="66"/>
        <v>0.9561806264020879</v>
      </c>
      <c r="GX15" s="540">
        <f t="shared" si="177"/>
        <v>0</v>
      </c>
      <c r="GY15" s="538"/>
      <c r="GZ15" s="539">
        <f t="shared" si="67"/>
        <v>0</v>
      </c>
      <c r="HA15" s="540">
        <f t="shared" si="178"/>
        <v>0</v>
      </c>
      <c r="HB15" s="538"/>
      <c r="HC15" s="539">
        <f t="shared" si="68"/>
        <v>0</v>
      </c>
      <c r="HD15" s="540">
        <f t="shared" si="179"/>
        <v>0</v>
      </c>
      <c r="HE15" s="538"/>
      <c r="HF15" s="539">
        <f t="shared" si="69"/>
        <v>0</v>
      </c>
      <c r="HG15" s="540">
        <f t="shared" si="180"/>
        <v>0</v>
      </c>
      <c r="HH15" s="538"/>
      <c r="HI15" s="539">
        <f t="shared" si="70"/>
        <v>0</v>
      </c>
      <c r="HJ15" s="540">
        <f t="shared" si="181"/>
        <v>0</v>
      </c>
      <c r="HK15" s="538"/>
      <c r="HL15" s="539">
        <f t="shared" si="71"/>
        <v>0</v>
      </c>
      <c r="HM15" s="540">
        <f t="shared" si="182"/>
        <v>0</v>
      </c>
      <c r="HN15" s="538">
        <v>1368.0846521047301</v>
      </c>
      <c r="HO15" s="539">
        <f t="shared" si="72"/>
        <v>19.716444516411052</v>
      </c>
      <c r="HP15" s="540">
        <f t="shared" si="183"/>
        <v>0</v>
      </c>
      <c r="HQ15" s="538"/>
      <c r="HR15" s="539">
        <f t="shared" si="73"/>
        <v>0</v>
      </c>
      <c r="HS15" s="540">
        <f t="shared" si="184"/>
        <v>0</v>
      </c>
      <c r="HT15" s="538">
        <v>0</v>
      </c>
      <c r="HU15" s="539">
        <f t="shared" si="74"/>
        <v>0</v>
      </c>
      <c r="HV15" s="540">
        <f t="shared" si="185"/>
        <v>0</v>
      </c>
      <c r="HW15" s="538">
        <v>0</v>
      </c>
      <c r="HX15" s="539">
        <f t="shared" si="75"/>
        <v>0</v>
      </c>
      <c r="HY15" s="540">
        <f t="shared" si="186"/>
        <v>0</v>
      </c>
      <c r="HZ15" s="538">
        <v>0</v>
      </c>
      <c r="IA15" s="539">
        <f t="shared" si="76"/>
        <v>0</v>
      </c>
      <c r="IB15" s="540">
        <f t="shared" si="187"/>
        <v>0</v>
      </c>
      <c r="IC15" s="538">
        <v>0</v>
      </c>
      <c r="ID15" s="539">
        <f t="shared" si="77"/>
        <v>0</v>
      </c>
      <c r="IE15" s="540">
        <f t="shared" si="188"/>
        <v>0</v>
      </c>
      <c r="IF15" s="538">
        <v>29.856357587154637</v>
      </c>
      <c r="IG15" s="539">
        <f t="shared" si="78"/>
        <v>0.43028128188093956</v>
      </c>
      <c r="IH15" s="540">
        <f t="shared" si="189"/>
        <v>0</v>
      </c>
      <c r="II15" s="538"/>
      <c r="IJ15" s="539">
        <f t="shared" si="79"/>
        <v>0</v>
      </c>
      <c r="IK15" s="540">
        <f t="shared" si="190"/>
        <v>0</v>
      </c>
      <c r="IL15" s="538">
        <v>0</v>
      </c>
      <c r="IM15" s="539">
        <f t="shared" si="80"/>
        <v>0</v>
      </c>
      <c r="IN15" s="540">
        <f t="shared" si="191"/>
        <v>0</v>
      </c>
      <c r="IO15" s="538">
        <v>66.347461304788084</v>
      </c>
      <c r="IP15" s="539">
        <f t="shared" si="81"/>
        <v>0.9561806264020879</v>
      </c>
      <c r="IQ15" s="540">
        <f t="shared" si="192"/>
        <v>0</v>
      </c>
      <c r="IR15" s="538">
        <v>0</v>
      </c>
      <c r="IS15" s="539">
        <f t="shared" si="82"/>
        <v>0</v>
      </c>
      <c r="IT15" s="540">
        <f t="shared" si="193"/>
        <v>0</v>
      </c>
      <c r="IU15" s="538"/>
      <c r="IV15" s="539">
        <f t="shared" si="83"/>
        <v>0</v>
      </c>
      <c r="IW15" s="540">
        <f t="shared" si="194"/>
        <v>0</v>
      </c>
      <c r="IX15" s="538">
        <v>0</v>
      </c>
      <c r="IY15" s="539">
        <f t="shared" si="84"/>
        <v>0</v>
      </c>
      <c r="IZ15" s="540">
        <f t="shared" si="195"/>
        <v>0</v>
      </c>
      <c r="JA15" s="538"/>
      <c r="JB15" s="539">
        <f t="shared" si="85"/>
        <v>0</v>
      </c>
      <c r="JC15" s="540">
        <f t="shared" si="196"/>
        <v>0</v>
      </c>
      <c r="JD15" s="538"/>
      <c r="JE15" s="539">
        <f t="shared" si="86"/>
        <v>0</v>
      </c>
      <c r="JF15" s="540">
        <f t="shared" si="197"/>
        <v>0</v>
      </c>
      <c r="JG15" s="538">
        <v>33.173730652394042</v>
      </c>
      <c r="JH15" s="540" t="str">
        <f t="shared" si="87"/>
        <v>0</v>
      </c>
      <c r="JI15" s="540" t="str">
        <f t="shared" si="88"/>
        <v>0</v>
      </c>
      <c r="JJ15" s="538">
        <v>0</v>
      </c>
      <c r="JK15" s="540" t="str">
        <f t="shared" si="89"/>
        <v>0</v>
      </c>
      <c r="JL15" s="540" t="str">
        <f t="shared" si="90"/>
        <v>0</v>
      </c>
      <c r="JM15" s="538"/>
      <c r="JN15" s="540" t="str">
        <f t="shared" si="91"/>
        <v>0</v>
      </c>
      <c r="JO15" s="540" t="str">
        <f t="shared" si="92"/>
        <v>0</v>
      </c>
      <c r="JP15" s="538"/>
      <c r="JQ15" s="540" t="str">
        <f t="shared" si="93"/>
        <v>0</v>
      </c>
      <c r="JR15" s="540" t="str">
        <f t="shared" si="94"/>
        <v>0</v>
      </c>
      <c r="JS15" s="538"/>
      <c r="JT15" s="540" t="str">
        <f t="shared" si="95"/>
        <v>0</v>
      </c>
      <c r="JU15" s="540" t="str">
        <f t="shared" si="96"/>
        <v>0</v>
      </c>
      <c r="JV15" s="538"/>
      <c r="JW15" s="540" t="str">
        <f t="shared" si="97"/>
        <v>0</v>
      </c>
      <c r="JX15" s="540" t="str">
        <f t="shared" si="98"/>
        <v>0</v>
      </c>
      <c r="JY15" s="538"/>
      <c r="JZ15" s="540" t="str">
        <f t="shared" si="99"/>
        <v>0</v>
      </c>
      <c r="KA15" s="540" t="str">
        <f t="shared" si="100"/>
        <v>0</v>
      </c>
      <c r="KB15" s="538"/>
      <c r="KC15" s="540" t="str">
        <f t="shared" si="101"/>
        <v>0</v>
      </c>
      <c r="KD15" s="540" t="str">
        <f t="shared" si="102"/>
        <v>0</v>
      </c>
      <c r="KE15" s="538"/>
      <c r="KF15" s="540" t="str">
        <f t="shared" si="103"/>
        <v>0</v>
      </c>
      <c r="KG15" s="540" t="str">
        <f t="shared" si="104"/>
        <v>0</v>
      </c>
      <c r="KH15" s="538"/>
      <c r="KI15" s="540" t="str">
        <f t="shared" si="105"/>
        <v>0</v>
      </c>
      <c r="KJ15" s="540" t="str">
        <f t="shared" si="106"/>
        <v>0</v>
      </c>
      <c r="KK15" s="538"/>
      <c r="KL15" s="540" t="str">
        <f t="shared" si="107"/>
        <v>0</v>
      </c>
      <c r="KM15" s="540" t="str">
        <f t="shared" si="108"/>
        <v>0</v>
      </c>
      <c r="KN15" s="538"/>
      <c r="KO15" s="540" t="str">
        <f t="shared" si="109"/>
        <v>0</v>
      </c>
      <c r="KP15" s="540" t="str">
        <f t="shared" si="110"/>
        <v>0</v>
      </c>
      <c r="KQ15" s="540">
        <f t="shared" si="111"/>
        <v>0</v>
      </c>
      <c r="KR15" s="540">
        <f t="shared" si="198"/>
        <v>0</v>
      </c>
      <c r="KS15" s="268">
        <f t="shared" si="199"/>
        <v>2910.3577238056341</v>
      </c>
    </row>
    <row r="16" spans="1:306" ht="15" customHeight="1">
      <c r="A16" s="270">
        <f t="shared" si="200"/>
        <v>45938</v>
      </c>
      <c r="B16" s="271" t="str">
        <f>+Report1!B16</f>
        <v>Towel</v>
      </c>
      <c r="C16" s="271" t="str">
        <f>+Report1!C16</f>
        <v>32/34/36/38</v>
      </c>
      <c r="D16" s="272">
        <f>+Report1!P16</f>
        <v>64.573000000000008</v>
      </c>
      <c r="E16" s="273">
        <f>+Report1!R16</f>
        <v>63.63</v>
      </c>
      <c r="F16" s="538">
        <v>244.18604651162792</v>
      </c>
      <c r="G16" s="539">
        <f t="shared" si="0"/>
        <v>3.8375930616317446</v>
      </c>
      <c r="H16" s="540">
        <f t="shared" si="112"/>
        <v>0</v>
      </c>
      <c r="I16" s="538">
        <v>988.23529411764684</v>
      </c>
      <c r="J16" s="539">
        <f t="shared" si="1"/>
        <v>15.530964861191997</v>
      </c>
      <c r="K16" s="540">
        <f t="shared" si="113"/>
        <v>0</v>
      </c>
      <c r="L16" s="538"/>
      <c r="M16" s="539">
        <f t="shared" si="2"/>
        <v>0</v>
      </c>
      <c r="N16" s="540">
        <f t="shared" si="114"/>
        <v>0</v>
      </c>
      <c r="O16" s="538">
        <v>5.9999999999999716</v>
      </c>
      <c r="P16" s="539">
        <f t="shared" si="3"/>
        <v>9.429514380009385E-2</v>
      </c>
      <c r="Q16" s="540">
        <f t="shared" si="115"/>
        <v>0</v>
      </c>
      <c r="R16" s="538"/>
      <c r="S16" s="539">
        <f t="shared" si="4"/>
        <v>0</v>
      </c>
      <c r="T16" s="540">
        <f t="shared" si="116"/>
        <v>0</v>
      </c>
      <c r="U16" s="538">
        <v>7.6875</v>
      </c>
      <c r="V16" s="539">
        <f t="shared" si="5"/>
        <v>0.12081565299387081</v>
      </c>
      <c r="W16" s="540">
        <f t="shared" si="117"/>
        <v>0</v>
      </c>
      <c r="X16" s="538"/>
      <c r="Y16" s="539">
        <f t="shared" si="6"/>
        <v>0</v>
      </c>
      <c r="Z16" s="540">
        <f t="shared" si="118"/>
        <v>0</v>
      </c>
      <c r="AA16" s="538"/>
      <c r="AB16" s="539">
        <f t="shared" si="7"/>
        <v>0</v>
      </c>
      <c r="AC16" s="540">
        <f t="shared" si="119"/>
        <v>0</v>
      </c>
      <c r="AD16" s="538"/>
      <c r="AE16" s="539">
        <f t="shared" si="8"/>
        <v>0</v>
      </c>
      <c r="AF16" s="540">
        <f t="shared" si="120"/>
        <v>0</v>
      </c>
      <c r="AG16" s="538"/>
      <c r="AH16" s="539">
        <f t="shared" si="9"/>
        <v>0</v>
      </c>
      <c r="AI16" s="540">
        <f t="shared" si="121"/>
        <v>0</v>
      </c>
      <c r="AJ16" s="538"/>
      <c r="AK16" s="539">
        <f t="shared" si="10"/>
        <v>0</v>
      </c>
      <c r="AL16" s="540">
        <f t="shared" si="122"/>
        <v>0</v>
      </c>
      <c r="AM16" s="538">
        <v>34.166666666666686</v>
      </c>
      <c r="AN16" s="539">
        <f t="shared" si="11"/>
        <v>0.53695845775053719</v>
      </c>
      <c r="AO16" s="540">
        <f t="shared" si="123"/>
        <v>0</v>
      </c>
      <c r="AP16" s="538"/>
      <c r="AQ16" s="539">
        <f t="shared" si="12"/>
        <v>0</v>
      </c>
      <c r="AR16" s="540">
        <f t="shared" si="124"/>
        <v>0</v>
      </c>
      <c r="AS16" s="538"/>
      <c r="AT16" s="539">
        <f t="shared" si="13"/>
        <v>0</v>
      </c>
      <c r="AU16" s="540">
        <f t="shared" si="125"/>
        <v>0</v>
      </c>
      <c r="AV16" s="538">
        <v>2.7749999999999773</v>
      </c>
      <c r="AW16" s="539">
        <f t="shared" si="14"/>
        <v>4.3611504007543253E-2</v>
      </c>
      <c r="AX16" s="540">
        <f t="shared" si="126"/>
        <v>0</v>
      </c>
      <c r="AY16" s="538">
        <v>21</v>
      </c>
      <c r="AZ16" s="539">
        <f t="shared" si="15"/>
        <v>0.33003300330033003</v>
      </c>
      <c r="BA16" s="540">
        <f t="shared" si="127"/>
        <v>0</v>
      </c>
      <c r="BB16" s="538"/>
      <c r="BC16" s="539">
        <f t="shared" si="16"/>
        <v>0</v>
      </c>
      <c r="BD16" s="540">
        <f t="shared" si="128"/>
        <v>0</v>
      </c>
      <c r="BE16" s="538"/>
      <c r="BF16" s="539">
        <f t="shared" si="17"/>
        <v>0</v>
      </c>
      <c r="BG16" s="540">
        <f t="shared" si="129"/>
        <v>0</v>
      </c>
      <c r="BH16" s="538"/>
      <c r="BI16" s="539">
        <f t="shared" si="18"/>
        <v>0</v>
      </c>
      <c r="BJ16" s="540">
        <f t="shared" si="130"/>
        <v>0</v>
      </c>
      <c r="BK16" s="538"/>
      <c r="BL16" s="539">
        <f t="shared" si="19"/>
        <v>0</v>
      </c>
      <c r="BM16" s="540">
        <f t="shared" si="131"/>
        <v>0</v>
      </c>
      <c r="BN16" s="538"/>
      <c r="BO16" s="539">
        <f t="shared" si="20"/>
        <v>0</v>
      </c>
      <c r="BP16" s="540">
        <f t="shared" si="132"/>
        <v>0</v>
      </c>
      <c r="BQ16" s="538"/>
      <c r="BR16" s="539">
        <f t="shared" si="21"/>
        <v>0</v>
      </c>
      <c r="BS16" s="540">
        <f t="shared" si="133"/>
        <v>0</v>
      </c>
      <c r="BT16" s="538"/>
      <c r="BU16" s="539">
        <f t="shared" si="22"/>
        <v>0</v>
      </c>
      <c r="BV16" s="540">
        <f t="shared" si="134"/>
        <v>0</v>
      </c>
      <c r="BW16" s="538"/>
      <c r="BX16" s="539">
        <f t="shared" si="23"/>
        <v>0</v>
      </c>
      <c r="BY16" s="540">
        <f t="shared" si="135"/>
        <v>0</v>
      </c>
      <c r="BZ16" s="538">
        <v>0</v>
      </c>
      <c r="CA16" s="539">
        <f t="shared" si="24"/>
        <v>0</v>
      </c>
      <c r="CB16" s="540">
        <f t="shared" si="136"/>
        <v>0</v>
      </c>
      <c r="CC16" s="538">
        <v>12.5</v>
      </c>
      <c r="CD16" s="539">
        <f t="shared" si="25"/>
        <v>0.19644821625019643</v>
      </c>
      <c r="CE16" s="540">
        <f t="shared" si="137"/>
        <v>0</v>
      </c>
      <c r="CF16" s="538">
        <v>0.59999999999999787</v>
      </c>
      <c r="CG16" s="539">
        <f t="shared" si="26"/>
        <v>9.4295143800093954E-3</v>
      </c>
      <c r="CH16" s="540">
        <f t="shared" si="138"/>
        <v>0</v>
      </c>
      <c r="CI16" s="538">
        <v>0</v>
      </c>
      <c r="CJ16" s="539">
        <f t="shared" si="27"/>
        <v>0</v>
      </c>
      <c r="CK16" s="540">
        <f t="shared" si="139"/>
        <v>0</v>
      </c>
      <c r="CL16" s="538"/>
      <c r="CM16" s="539">
        <f t="shared" si="28"/>
        <v>0</v>
      </c>
      <c r="CN16" s="540">
        <f t="shared" si="140"/>
        <v>0</v>
      </c>
      <c r="CO16" s="538"/>
      <c r="CP16" s="539">
        <f t="shared" si="29"/>
        <v>0</v>
      </c>
      <c r="CQ16" s="540">
        <f t="shared" si="141"/>
        <v>0</v>
      </c>
      <c r="CR16" s="538"/>
      <c r="CS16" s="539">
        <f t="shared" si="30"/>
        <v>0</v>
      </c>
      <c r="CT16" s="540">
        <f t="shared" si="142"/>
        <v>0</v>
      </c>
      <c r="CU16" s="538"/>
      <c r="CV16" s="539">
        <f t="shared" si="31"/>
        <v>0</v>
      </c>
      <c r="CW16" s="540">
        <f t="shared" si="143"/>
        <v>0</v>
      </c>
      <c r="CX16" s="538"/>
      <c r="CY16" s="539">
        <f t="shared" si="32"/>
        <v>0</v>
      </c>
      <c r="CZ16" s="540">
        <f t="shared" si="144"/>
        <v>0</v>
      </c>
      <c r="DA16" s="538">
        <v>0</v>
      </c>
      <c r="DB16" s="539">
        <f t="shared" si="33"/>
        <v>0</v>
      </c>
      <c r="DC16" s="540">
        <f t="shared" si="145"/>
        <v>0</v>
      </c>
      <c r="DD16" s="538"/>
      <c r="DE16" s="539">
        <f t="shared" si="34"/>
        <v>0</v>
      </c>
      <c r="DF16" s="540">
        <f t="shared" si="146"/>
        <v>0</v>
      </c>
      <c r="DG16" s="538"/>
      <c r="DH16" s="539">
        <f t="shared" si="35"/>
        <v>0</v>
      </c>
      <c r="DI16" s="540">
        <f t="shared" si="201"/>
        <v>0</v>
      </c>
      <c r="DJ16" s="538"/>
      <c r="DK16" s="539">
        <f t="shared" si="36"/>
        <v>0</v>
      </c>
      <c r="DL16" s="540">
        <f t="shared" si="147"/>
        <v>0</v>
      </c>
      <c r="DM16" s="538"/>
      <c r="DN16" s="539">
        <f t="shared" si="37"/>
        <v>0</v>
      </c>
      <c r="DO16" s="540">
        <f t="shared" si="148"/>
        <v>0</v>
      </c>
      <c r="DP16" s="538"/>
      <c r="DQ16" s="539">
        <f t="shared" si="38"/>
        <v>0</v>
      </c>
      <c r="DR16" s="540">
        <f t="shared" si="149"/>
        <v>0</v>
      </c>
      <c r="DS16" s="538"/>
      <c r="DT16" s="539">
        <f t="shared" si="39"/>
        <v>0</v>
      </c>
      <c r="DU16" s="540">
        <f t="shared" si="150"/>
        <v>0</v>
      </c>
      <c r="DV16" s="538"/>
      <c r="DW16" s="539">
        <f t="shared" si="40"/>
        <v>0</v>
      </c>
      <c r="DX16" s="540">
        <f t="shared" si="151"/>
        <v>0</v>
      </c>
      <c r="DY16" s="538">
        <v>0</v>
      </c>
      <c r="DZ16" s="539">
        <f t="shared" si="41"/>
        <v>0</v>
      </c>
      <c r="EA16" s="540">
        <f t="shared" si="152"/>
        <v>0</v>
      </c>
      <c r="EB16" s="538">
        <v>0</v>
      </c>
      <c r="EC16" s="539">
        <f t="shared" si="42"/>
        <v>0</v>
      </c>
      <c r="ED16" s="540">
        <f t="shared" si="153"/>
        <v>0</v>
      </c>
      <c r="EE16" s="538">
        <v>14.534883720929884</v>
      </c>
      <c r="EF16" s="539">
        <f t="shared" si="43"/>
        <v>0.2284281584304555</v>
      </c>
      <c r="EG16" s="540">
        <f t="shared" si="154"/>
        <v>0</v>
      </c>
      <c r="EH16" s="538">
        <v>0</v>
      </c>
      <c r="EI16" s="539">
        <f t="shared" si="44"/>
        <v>0</v>
      </c>
      <c r="EJ16" s="540">
        <f t="shared" si="155"/>
        <v>0</v>
      </c>
      <c r="EK16" s="538"/>
      <c r="EL16" s="539">
        <f t="shared" si="45"/>
        <v>0</v>
      </c>
      <c r="EM16" s="540">
        <f t="shared" si="156"/>
        <v>0</v>
      </c>
      <c r="EN16" s="538"/>
      <c r="EO16" s="539">
        <f t="shared" si="46"/>
        <v>0</v>
      </c>
      <c r="EP16" s="540">
        <f t="shared" si="157"/>
        <v>0</v>
      </c>
      <c r="EQ16" s="538"/>
      <c r="ER16" s="539">
        <f t="shared" si="47"/>
        <v>0</v>
      </c>
      <c r="ES16" s="540">
        <f t="shared" si="158"/>
        <v>0</v>
      </c>
      <c r="ET16" s="538"/>
      <c r="EU16" s="539">
        <f t="shared" si="48"/>
        <v>0</v>
      </c>
      <c r="EV16" s="540">
        <f t="shared" si="159"/>
        <v>0</v>
      </c>
      <c r="EW16" s="538"/>
      <c r="EX16" s="539">
        <f t="shared" si="49"/>
        <v>0</v>
      </c>
      <c r="EY16" s="540">
        <f t="shared" si="160"/>
        <v>0</v>
      </c>
      <c r="EZ16" s="538"/>
      <c r="FA16" s="539">
        <f t="shared" si="50"/>
        <v>0</v>
      </c>
      <c r="FB16" s="540">
        <f t="shared" si="161"/>
        <v>0</v>
      </c>
      <c r="FC16" s="538"/>
      <c r="FD16" s="539">
        <f t="shared" si="51"/>
        <v>0</v>
      </c>
      <c r="FE16" s="540">
        <f t="shared" si="162"/>
        <v>0</v>
      </c>
      <c r="FF16" s="538"/>
      <c r="FG16" s="539">
        <f t="shared" si="52"/>
        <v>0</v>
      </c>
      <c r="FH16" s="540">
        <f t="shared" si="163"/>
        <v>0</v>
      </c>
      <c r="FI16" s="538"/>
      <c r="FJ16" s="539">
        <f t="shared" si="53"/>
        <v>0</v>
      </c>
      <c r="FK16" s="540">
        <f t="shared" si="164"/>
        <v>0</v>
      </c>
      <c r="FL16" s="538"/>
      <c r="FM16" s="539">
        <f t="shared" si="54"/>
        <v>0</v>
      </c>
      <c r="FN16" s="540">
        <f t="shared" si="165"/>
        <v>0</v>
      </c>
      <c r="FO16" s="538"/>
      <c r="FP16" s="539">
        <f t="shared" si="55"/>
        <v>0</v>
      </c>
      <c r="FQ16" s="540">
        <f t="shared" si="166"/>
        <v>0</v>
      </c>
      <c r="FR16" s="538"/>
      <c r="FS16" s="539">
        <f t="shared" si="56"/>
        <v>0</v>
      </c>
      <c r="FT16" s="540">
        <f t="shared" si="167"/>
        <v>0</v>
      </c>
      <c r="FU16" s="538"/>
      <c r="FV16" s="539">
        <f t="shared" si="57"/>
        <v>0</v>
      </c>
      <c r="FW16" s="540">
        <f t="shared" si="168"/>
        <v>0</v>
      </c>
      <c r="FX16" s="538"/>
      <c r="FY16" s="539">
        <f t="shared" si="58"/>
        <v>0</v>
      </c>
      <c r="FZ16" s="540">
        <f t="shared" si="169"/>
        <v>0</v>
      </c>
      <c r="GA16" s="538"/>
      <c r="GB16" s="539">
        <f t="shared" si="59"/>
        <v>0</v>
      </c>
      <c r="GC16" s="540">
        <f t="shared" si="170"/>
        <v>0</v>
      </c>
      <c r="GD16" s="538"/>
      <c r="GE16" s="539">
        <f t="shared" si="60"/>
        <v>0</v>
      </c>
      <c r="GF16" s="540">
        <f t="shared" si="171"/>
        <v>0</v>
      </c>
      <c r="GG16" s="538">
        <v>5.5883167459974032</v>
      </c>
      <c r="GH16" s="539">
        <f t="shared" si="61"/>
        <v>8.7825188527383358E-2</v>
      </c>
      <c r="GI16" s="540">
        <f t="shared" si="172"/>
        <v>0</v>
      </c>
      <c r="GJ16" s="538">
        <v>5.5883167459974032</v>
      </c>
      <c r="GK16" s="539">
        <f t="shared" si="62"/>
        <v>8.7825188527383358E-2</v>
      </c>
      <c r="GL16" s="540">
        <f t="shared" si="173"/>
        <v>0</v>
      </c>
      <c r="GM16" s="538">
        <v>0</v>
      </c>
      <c r="GN16" s="539">
        <f t="shared" si="63"/>
        <v>0</v>
      </c>
      <c r="GO16" s="540">
        <f t="shared" si="174"/>
        <v>0</v>
      </c>
      <c r="GP16" s="538">
        <v>27.94158372998702</v>
      </c>
      <c r="GQ16" s="539">
        <f t="shared" si="64"/>
        <v>0.43912594263691684</v>
      </c>
      <c r="GR16" s="540">
        <f t="shared" si="175"/>
        <v>0</v>
      </c>
      <c r="GS16" s="538">
        <v>223.53266983989616</v>
      </c>
      <c r="GT16" s="539">
        <f t="shared" si="65"/>
        <v>3.5130075410953348</v>
      </c>
      <c r="GU16" s="540">
        <f t="shared" si="176"/>
        <v>0</v>
      </c>
      <c r="GV16" s="538">
        <v>27.94158372998702</v>
      </c>
      <c r="GW16" s="539">
        <f t="shared" si="66"/>
        <v>0.43912594263691684</v>
      </c>
      <c r="GX16" s="540">
        <f t="shared" si="177"/>
        <v>0</v>
      </c>
      <c r="GY16" s="538"/>
      <c r="GZ16" s="539">
        <f t="shared" si="67"/>
        <v>0</v>
      </c>
      <c r="HA16" s="540">
        <f t="shared" si="178"/>
        <v>0</v>
      </c>
      <c r="HB16" s="538"/>
      <c r="HC16" s="539">
        <f t="shared" si="68"/>
        <v>0</v>
      </c>
      <c r="HD16" s="540">
        <f t="shared" si="179"/>
        <v>0</v>
      </c>
      <c r="HE16" s="538"/>
      <c r="HF16" s="539">
        <f t="shared" si="69"/>
        <v>0</v>
      </c>
      <c r="HG16" s="540">
        <f t="shared" si="180"/>
        <v>0</v>
      </c>
      <c r="HH16" s="538"/>
      <c r="HI16" s="539">
        <f t="shared" si="70"/>
        <v>0</v>
      </c>
      <c r="HJ16" s="540">
        <f t="shared" si="181"/>
        <v>0</v>
      </c>
      <c r="HK16" s="538"/>
      <c r="HL16" s="539">
        <f t="shared" si="71"/>
        <v>0</v>
      </c>
      <c r="HM16" s="540">
        <f t="shared" si="182"/>
        <v>0</v>
      </c>
      <c r="HN16" s="538">
        <v>1075.1921419299006</v>
      </c>
      <c r="HO16" s="539">
        <f t="shared" si="72"/>
        <v>16.897566272668559</v>
      </c>
      <c r="HP16" s="540">
        <f t="shared" si="183"/>
        <v>0</v>
      </c>
      <c r="HQ16" s="538"/>
      <c r="HR16" s="539">
        <f t="shared" si="73"/>
        <v>0</v>
      </c>
      <c r="HS16" s="540">
        <f t="shared" si="184"/>
        <v>0</v>
      </c>
      <c r="HT16" s="538">
        <v>0</v>
      </c>
      <c r="HU16" s="539">
        <f t="shared" si="74"/>
        <v>0</v>
      </c>
      <c r="HV16" s="540">
        <f t="shared" si="185"/>
        <v>0</v>
      </c>
      <c r="HW16" s="538">
        <v>0</v>
      </c>
      <c r="HX16" s="539">
        <f t="shared" si="75"/>
        <v>0</v>
      </c>
      <c r="HY16" s="540">
        <f t="shared" si="186"/>
        <v>0</v>
      </c>
      <c r="HZ16" s="538">
        <v>0</v>
      </c>
      <c r="IA16" s="539">
        <f t="shared" si="76"/>
        <v>0</v>
      </c>
      <c r="IB16" s="540">
        <f t="shared" si="187"/>
        <v>0</v>
      </c>
      <c r="IC16" s="538">
        <v>0</v>
      </c>
      <c r="ID16" s="539">
        <f t="shared" si="77"/>
        <v>0</v>
      </c>
      <c r="IE16" s="540">
        <f t="shared" si="188"/>
        <v>0</v>
      </c>
      <c r="IF16" s="538">
        <v>22.353266983989613</v>
      </c>
      <c r="IG16" s="539">
        <f t="shared" si="78"/>
        <v>0.35130075410953343</v>
      </c>
      <c r="IH16" s="540">
        <f t="shared" si="189"/>
        <v>0</v>
      </c>
      <c r="II16" s="538"/>
      <c r="IJ16" s="539">
        <f t="shared" si="79"/>
        <v>0</v>
      </c>
      <c r="IK16" s="540">
        <f t="shared" si="190"/>
        <v>0</v>
      </c>
      <c r="IL16" s="538">
        <v>0</v>
      </c>
      <c r="IM16" s="539">
        <f t="shared" si="80"/>
        <v>0</v>
      </c>
      <c r="IN16" s="540">
        <f t="shared" si="191"/>
        <v>0</v>
      </c>
      <c r="IO16" s="538">
        <v>50.294850713976636</v>
      </c>
      <c r="IP16" s="539">
        <f t="shared" si="81"/>
        <v>0.79042669674645027</v>
      </c>
      <c r="IQ16" s="540">
        <f t="shared" si="192"/>
        <v>0</v>
      </c>
      <c r="IR16" s="538">
        <v>0</v>
      </c>
      <c r="IS16" s="539">
        <f t="shared" si="82"/>
        <v>0</v>
      </c>
      <c r="IT16" s="540">
        <f t="shared" si="193"/>
        <v>0</v>
      </c>
      <c r="IU16" s="538"/>
      <c r="IV16" s="539">
        <f t="shared" si="83"/>
        <v>0</v>
      </c>
      <c r="IW16" s="540">
        <f t="shared" si="194"/>
        <v>0</v>
      </c>
      <c r="IX16" s="538">
        <v>0</v>
      </c>
      <c r="IY16" s="539">
        <f t="shared" si="84"/>
        <v>0</v>
      </c>
      <c r="IZ16" s="540">
        <f t="shared" si="195"/>
        <v>0</v>
      </c>
      <c r="JA16" s="538"/>
      <c r="JB16" s="539">
        <f t="shared" si="85"/>
        <v>0</v>
      </c>
      <c r="JC16" s="540">
        <f t="shared" si="196"/>
        <v>0</v>
      </c>
      <c r="JD16" s="538"/>
      <c r="JE16" s="539">
        <f t="shared" si="86"/>
        <v>0</v>
      </c>
      <c r="JF16" s="540">
        <f t="shared" si="197"/>
        <v>0</v>
      </c>
      <c r="JG16" s="538">
        <v>27.94158372998702</v>
      </c>
      <c r="JH16" s="540" t="str">
        <f t="shared" si="87"/>
        <v>0</v>
      </c>
      <c r="JI16" s="540" t="str">
        <f t="shared" si="88"/>
        <v>0</v>
      </c>
      <c r="JJ16" s="538">
        <v>0</v>
      </c>
      <c r="JK16" s="540" t="str">
        <f t="shared" si="89"/>
        <v>0</v>
      </c>
      <c r="JL16" s="540" t="str">
        <f t="shared" si="90"/>
        <v>0</v>
      </c>
      <c r="JM16" s="538"/>
      <c r="JN16" s="540" t="str">
        <f t="shared" si="91"/>
        <v>0</v>
      </c>
      <c r="JO16" s="540" t="str">
        <f t="shared" si="92"/>
        <v>0</v>
      </c>
      <c r="JP16" s="538"/>
      <c r="JQ16" s="540" t="str">
        <f t="shared" si="93"/>
        <v>0</v>
      </c>
      <c r="JR16" s="540" t="str">
        <f t="shared" si="94"/>
        <v>0</v>
      </c>
      <c r="JS16" s="538"/>
      <c r="JT16" s="540" t="str">
        <f t="shared" si="95"/>
        <v>0</v>
      </c>
      <c r="JU16" s="540" t="str">
        <f t="shared" si="96"/>
        <v>0</v>
      </c>
      <c r="JV16" s="538"/>
      <c r="JW16" s="540" t="str">
        <f t="shared" si="97"/>
        <v>0</v>
      </c>
      <c r="JX16" s="540" t="str">
        <f t="shared" si="98"/>
        <v>0</v>
      </c>
      <c r="JY16" s="538"/>
      <c r="JZ16" s="540" t="str">
        <f t="shared" si="99"/>
        <v>0</v>
      </c>
      <c r="KA16" s="540" t="str">
        <f t="shared" si="100"/>
        <v>0</v>
      </c>
      <c r="KB16" s="538"/>
      <c r="KC16" s="540" t="str">
        <f t="shared" si="101"/>
        <v>0</v>
      </c>
      <c r="KD16" s="540" t="str">
        <f t="shared" si="102"/>
        <v>0</v>
      </c>
      <c r="KE16" s="538"/>
      <c r="KF16" s="540" t="str">
        <f t="shared" si="103"/>
        <v>0</v>
      </c>
      <c r="KG16" s="540" t="str">
        <f t="shared" si="104"/>
        <v>0</v>
      </c>
      <c r="KH16" s="538"/>
      <c r="KI16" s="540" t="str">
        <f t="shared" si="105"/>
        <v>0</v>
      </c>
      <c r="KJ16" s="540" t="str">
        <f t="shared" si="106"/>
        <v>0</v>
      </c>
      <c r="KK16" s="538"/>
      <c r="KL16" s="540" t="str">
        <f t="shared" si="107"/>
        <v>0</v>
      </c>
      <c r="KM16" s="540" t="str">
        <f t="shared" si="108"/>
        <v>0</v>
      </c>
      <c r="KN16" s="538"/>
      <c r="KO16" s="540" t="str">
        <f t="shared" si="109"/>
        <v>0</v>
      </c>
      <c r="KP16" s="540" t="str">
        <f t="shared" si="110"/>
        <v>0</v>
      </c>
      <c r="KQ16" s="540">
        <f t="shared" si="111"/>
        <v>0</v>
      </c>
      <c r="KR16" s="540">
        <f t="shared" si="198"/>
        <v>0</v>
      </c>
      <c r="KS16" s="268">
        <f t="shared" si="199"/>
        <v>2798.0597051665904</v>
      </c>
    </row>
    <row r="17" spans="1:306" ht="15" customHeight="1">
      <c r="A17" s="270">
        <f t="shared" si="200"/>
        <v>45939</v>
      </c>
      <c r="B17" s="271" t="str">
        <f>+Report1!B17</f>
        <v>Towel</v>
      </c>
      <c r="C17" s="271" t="str">
        <f>+Report1!C17</f>
        <v>38/36/30</v>
      </c>
      <c r="D17" s="272">
        <f>+Report1!P17</f>
        <v>67.663000000000011</v>
      </c>
      <c r="E17" s="273">
        <f>+Report1!R17</f>
        <v>66.897000000000006</v>
      </c>
      <c r="F17" s="538">
        <v>197.67441860465101</v>
      </c>
      <c r="G17" s="539">
        <f t="shared" si="0"/>
        <v>2.9549070751252073</v>
      </c>
      <c r="H17" s="540">
        <f t="shared" si="112"/>
        <v>0</v>
      </c>
      <c r="I17" s="538">
        <v>176.47058823529414</v>
      </c>
      <c r="J17" s="539">
        <f t="shared" si="1"/>
        <v>2.6379447245062431</v>
      </c>
      <c r="K17" s="540">
        <f t="shared" si="113"/>
        <v>0</v>
      </c>
      <c r="L17" s="538"/>
      <c r="M17" s="539">
        <f t="shared" si="2"/>
        <v>0</v>
      </c>
      <c r="N17" s="540">
        <f t="shared" si="114"/>
        <v>0</v>
      </c>
      <c r="O17" s="538">
        <v>6</v>
      </c>
      <c r="P17" s="539">
        <f t="shared" si="3"/>
        <v>8.9690120633212245E-2</v>
      </c>
      <c r="Q17" s="540">
        <f t="shared" si="115"/>
        <v>0</v>
      </c>
      <c r="R17" s="538"/>
      <c r="S17" s="539">
        <f t="shared" si="4"/>
        <v>0</v>
      </c>
      <c r="T17" s="540">
        <f t="shared" si="116"/>
        <v>0</v>
      </c>
      <c r="U17" s="538">
        <v>7.6875000000000142</v>
      </c>
      <c r="V17" s="539">
        <f t="shared" si="5"/>
        <v>0.1149154670613034</v>
      </c>
      <c r="W17" s="540">
        <f t="shared" si="117"/>
        <v>0</v>
      </c>
      <c r="X17" s="538"/>
      <c r="Y17" s="539">
        <f t="shared" si="6"/>
        <v>0</v>
      </c>
      <c r="Z17" s="540">
        <f t="shared" si="118"/>
        <v>0</v>
      </c>
      <c r="AA17" s="538"/>
      <c r="AB17" s="539">
        <f t="shared" si="7"/>
        <v>0</v>
      </c>
      <c r="AC17" s="540">
        <f t="shared" si="119"/>
        <v>0</v>
      </c>
      <c r="AD17" s="538"/>
      <c r="AE17" s="539">
        <f t="shared" si="8"/>
        <v>0</v>
      </c>
      <c r="AF17" s="540">
        <f t="shared" si="120"/>
        <v>0</v>
      </c>
      <c r="AG17" s="538"/>
      <c r="AH17" s="539">
        <f t="shared" si="9"/>
        <v>0</v>
      </c>
      <c r="AI17" s="540">
        <f t="shared" si="121"/>
        <v>0</v>
      </c>
      <c r="AJ17" s="538"/>
      <c r="AK17" s="539">
        <f t="shared" si="10"/>
        <v>0</v>
      </c>
      <c r="AL17" s="540">
        <f t="shared" si="122"/>
        <v>0</v>
      </c>
      <c r="AM17" s="538">
        <v>36.794871794871767</v>
      </c>
      <c r="AN17" s="539">
        <f t="shared" si="11"/>
        <v>0.55002274832760456</v>
      </c>
      <c r="AO17" s="540">
        <f t="shared" si="123"/>
        <v>0</v>
      </c>
      <c r="AP17" s="538"/>
      <c r="AQ17" s="539">
        <f t="shared" si="12"/>
        <v>0</v>
      </c>
      <c r="AR17" s="540">
        <f t="shared" si="124"/>
        <v>0</v>
      </c>
      <c r="AS17" s="538"/>
      <c r="AT17" s="539">
        <f t="shared" si="13"/>
        <v>0</v>
      </c>
      <c r="AU17" s="540">
        <f t="shared" si="125"/>
        <v>0</v>
      </c>
      <c r="AV17" s="538">
        <v>2.7750000000000057</v>
      </c>
      <c r="AW17" s="539">
        <f t="shared" si="14"/>
        <v>4.1481680792860749E-2</v>
      </c>
      <c r="AX17" s="540">
        <f t="shared" si="126"/>
        <v>0</v>
      </c>
      <c r="AY17" s="538">
        <v>32.666666666666686</v>
      </c>
      <c r="AZ17" s="539">
        <f t="shared" si="15"/>
        <v>0.48831287900304471</v>
      </c>
      <c r="BA17" s="540">
        <f t="shared" si="127"/>
        <v>0</v>
      </c>
      <c r="BB17" s="538"/>
      <c r="BC17" s="539">
        <f t="shared" si="16"/>
        <v>0</v>
      </c>
      <c r="BD17" s="540">
        <f t="shared" si="128"/>
        <v>0</v>
      </c>
      <c r="BE17" s="538"/>
      <c r="BF17" s="539">
        <f t="shared" si="17"/>
        <v>0</v>
      </c>
      <c r="BG17" s="540">
        <f t="shared" si="129"/>
        <v>0</v>
      </c>
      <c r="BH17" s="538"/>
      <c r="BI17" s="539">
        <f t="shared" si="18"/>
        <v>0</v>
      </c>
      <c r="BJ17" s="540">
        <f t="shared" si="130"/>
        <v>0</v>
      </c>
      <c r="BK17" s="538"/>
      <c r="BL17" s="539">
        <f t="shared" si="19"/>
        <v>0</v>
      </c>
      <c r="BM17" s="540">
        <f t="shared" si="131"/>
        <v>0</v>
      </c>
      <c r="BN17" s="538"/>
      <c r="BO17" s="539">
        <f t="shared" si="20"/>
        <v>0</v>
      </c>
      <c r="BP17" s="540">
        <f t="shared" si="132"/>
        <v>0</v>
      </c>
      <c r="BQ17" s="538"/>
      <c r="BR17" s="539">
        <f t="shared" si="21"/>
        <v>0</v>
      </c>
      <c r="BS17" s="540">
        <f t="shared" si="133"/>
        <v>0</v>
      </c>
      <c r="BT17" s="538"/>
      <c r="BU17" s="539">
        <f t="shared" si="22"/>
        <v>0</v>
      </c>
      <c r="BV17" s="540">
        <f t="shared" si="134"/>
        <v>0</v>
      </c>
      <c r="BW17" s="538"/>
      <c r="BX17" s="539">
        <f t="shared" si="23"/>
        <v>0</v>
      </c>
      <c r="BY17" s="540">
        <f t="shared" si="135"/>
        <v>0</v>
      </c>
      <c r="BZ17" s="538">
        <v>0</v>
      </c>
      <c r="CA17" s="539">
        <f t="shared" si="24"/>
        <v>0</v>
      </c>
      <c r="CB17" s="540">
        <f t="shared" si="136"/>
        <v>0</v>
      </c>
      <c r="CC17" s="538">
        <v>6.25</v>
      </c>
      <c r="CD17" s="539">
        <f t="shared" si="25"/>
        <v>9.3427208992929417E-2</v>
      </c>
      <c r="CE17" s="540">
        <f t="shared" si="137"/>
        <v>0</v>
      </c>
      <c r="CF17" s="538">
        <v>0.60000000000000142</v>
      </c>
      <c r="CG17" s="539">
        <f t="shared" si="26"/>
        <v>8.969012063321246E-3</v>
      </c>
      <c r="CH17" s="540">
        <f t="shared" si="138"/>
        <v>0</v>
      </c>
      <c r="CI17" s="538">
        <v>0</v>
      </c>
      <c r="CJ17" s="539">
        <f t="shared" si="27"/>
        <v>0</v>
      </c>
      <c r="CK17" s="540">
        <f t="shared" si="139"/>
        <v>0</v>
      </c>
      <c r="CL17" s="538"/>
      <c r="CM17" s="539">
        <f t="shared" si="28"/>
        <v>0</v>
      </c>
      <c r="CN17" s="540">
        <f t="shared" si="140"/>
        <v>0</v>
      </c>
      <c r="CO17" s="538"/>
      <c r="CP17" s="539">
        <f t="shared" si="29"/>
        <v>0</v>
      </c>
      <c r="CQ17" s="540">
        <f t="shared" si="141"/>
        <v>0</v>
      </c>
      <c r="CR17" s="538"/>
      <c r="CS17" s="539">
        <f t="shared" si="30"/>
        <v>0</v>
      </c>
      <c r="CT17" s="540">
        <f t="shared" si="142"/>
        <v>0</v>
      </c>
      <c r="CU17" s="538"/>
      <c r="CV17" s="539">
        <f t="shared" si="31"/>
        <v>0</v>
      </c>
      <c r="CW17" s="540">
        <f t="shared" si="143"/>
        <v>0</v>
      </c>
      <c r="CX17" s="538"/>
      <c r="CY17" s="539">
        <f t="shared" si="32"/>
        <v>0</v>
      </c>
      <c r="CZ17" s="540">
        <f t="shared" si="144"/>
        <v>0</v>
      </c>
      <c r="DA17" s="538">
        <v>0</v>
      </c>
      <c r="DB17" s="539">
        <f t="shared" si="33"/>
        <v>0</v>
      </c>
      <c r="DC17" s="540">
        <f t="shared" si="145"/>
        <v>0</v>
      </c>
      <c r="DD17" s="538"/>
      <c r="DE17" s="539">
        <f t="shared" si="34"/>
        <v>0</v>
      </c>
      <c r="DF17" s="540">
        <f t="shared" si="146"/>
        <v>0</v>
      </c>
      <c r="DG17" s="538"/>
      <c r="DH17" s="539">
        <f t="shared" si="35"/>
        <v>0</v>
      </c>
      <c r="DI17" s="540">
        <f t="shared" si="201"/>
        <v>0</v>
      </c>
      <c r="DJ17" s="538"/>
      <c r="DK17" s="539">
        <f t="shared" si="36"/>
        <v>0</v>
      </c>
      <c r="DL17" s="540">
        <f t="shared" si="147"/>
        <v>0</v>
      </c>
      <c r="DM17" s="538"/>
      <c r="DN17" s="539">
        <f t="shared" si="37"/>
        <v>0</v>
      </c>
      <c r="DO17" s="540">
        <f t="shared" si="148"/>
        <v>0</v>
      </c>
      <c r="DP17" s="538"/>
      <c r="DQ17" s="539">
        <f t="shared" si="38"/>
        <v>0</v>
      </c>
      <c r="DR17" s="540">
        <f t="shared" si="149"/>
        <v>0</v>
      </c>
      <c r="DS17" s="538"/>
      <c r="DT17" s="539">
        <f t="shared" si="39"/>
        <v>0</v>
      </c>
      <c r="DU17" s="540">
        <f t="shared" si="150"/>
        <v>0</v>
      </c>
      <c r="DV17" s="538"/>
      <c r="DW17" s="539">
        <f t="shared" si="40"/>
        <v>0</v>
      </c>
      <c r="DX17" s="540">
        <f t="shared" si="151"/>
        <v>0</v>
      </c>
      <c r="DY17" s="538">
        <v>0</v>
      </c>
      <c r="DZ17" s="539">
        <f t="shared" si="41"/>
        <v>0</v>
      </c>
      <c r="EA17" s="540">
        <f t="shared" si="152"/>
        <v>0</v>
      </c>
      <c r="EB17" s="538">
        <v>929.41176470588198</v>
      </c>
      <c r="EC17" s="539">
        <f t="shared" si="42"/>
        <v>13.893175549066205</v>
      </c>
      <c r="ED17" s="540">
        <f t="shared" si="153"/>
        <v>0</v>
      </c>
      <c r="EE17" s="538">
        <v>14.534883720930338</v>
      </c>
      <c r="EF17" s="539">
        <f t="shared" si="43"/>
        <v>0.21727257905332581</v>
      </c>
      <c r="EG17" s="540">
        <f t="shared" si="154"/>
        <v>0</v>
      </c>
      <c r="EH17" s="538">
        <v>0</v>
      </c>
      <c r="EI17" s="539">
        <f t="shared" si="44"/>
        <v>0</v>
      </c>
      <c r="EJ17" s="540">
        <f t="shared" si="155"/>
        <v>0</v>
      </c>
      <c r="EK17" s="538"/>
      <c r="EL17" s="539">
        <f t="shared" si="45"/>
        <v>0</v>
      </c>
      <c r="EM17" s="540">
        <f t="shared" si="156"/>
        <v>0</v>
      </c>
      <c r="EN17" s="538"/>
      <c r="EO17" s="539">
        <f t="shared" si="46"/>
        <v>0</v>
      </c>
      <c r="EP17" s="540">
        <f t="shared" si="157"/>
        <v>0</v>
      </c>
      <c r="EQ17" s="538"/>
      <c r="ER17" s="539">
        <f t="shared" si="47"/>
        <v>0</v>
      </c>
      <c r="ES17" s="540">
        <f t="shared" si="158"/>
        <v>0</v>
      </c>
      <c r="ET17" s="538"/>
      <c r="EU17" s="539">
        <f t="shared" si="48"/>
        <v>0</v>
      </c>
      <c r="EV17" s="540">
        <f t="shared" si="159"/>
        <v>0</v>
      </c>
      <c r="EW17" s="538"/>
      <c r="EX17" s="539">
        <f t="shared" si="49"/>
        <v>0</v>
      </c>
      <c r="EY17" s="540">
        <f t="shared" si="160"/>
        <v>0</v>
      </c>
      <c r="EZ17" s="538"/>
      <c r="FA17" s="539">
        <f t="shared" si="50"/>
        <v>0</v>
      </c>
      <c r="FB17" s="540">
        <f t="shared" si="161"/>
        <v>0</v>
      </c>
      <c r="FC17" s="538"/>
      <c r="FD17" s="539">
        <f t="shared" si="51"/>
        <v>0</v>
      </c>
      <c r="FE17" s="540">
        <f t="shared" si="162"/>
        <v>0</v>
      </c>
      <c r="FF17" s="538"/>
      <c r="FG17" s="539">
        <f t="shared" si="52"/>
        <v>0</v>
      </c>
      <c r="FH17" s="540">
        <f t="shared" si="163"/>
        <v>0</v>
      </c>
      <c r="FI17" s="538"/>
      <c r="FJ17" s="539">
        <f t="shared" si="53"/>
        <v>0</v>
      </c>
      <c r="FK17" s="540">
        <f t="shared" si="164"/>
        <v>0</v>
      </c>
      <c r="FL17" s="538"/>
      <c r="FM17" s="539">
        <f t="shared" si="54"/>
        <v>0</v>
      </c>
      <c r="FN17" s="540">
        <f t="shared" si="165"/>
        <v>0</v>
      </c>
      <c r="FO17" s="538"/>
      <c r="FP17" s="539">
        <f t="shared" si="55"/>
        <v>0</v>
      </c>
      <c r="FQ17" s="540">
        <f t="shared" si="166"/>
        <v>0</v>
      </c>
      <c r="FR17" s="538"/>
      <c r="FS17" s="539">
        <f t="shared" si="56"/>
        <v>0</v>
      </c>
      <c r="FT17" s="540">
        <f t="shared" si="167"/>
        <v>0</v>
      </c>
      <c r="FU17" s="538"/>
      <c r="FV17" s="539">
        <f t="shared" si="57"/>
        <v>0</v>
      </c>
      <c r="FW17" s="540">
        <f t="shared" si="168"/>
        <v>0</v>
      </c>
      <c r="FX17" s="538"/>
      <c r="FY17" s="539">
        <f t="shared" si="58"/>
        <v>0</v>
      </c>
      <c r="FZ17" s="540">
        <f t="shared" si="169"/>
        <v>0</v>
      </c>
      <c r="GA17" s="538"/>
      <c r="GB17" s="539">
        <f t="shared" si="59"/>
        <v>0</v>
      </c>
      <c r="GC17" s="540">
        <f t="shared" si="170"/>
        <v>0</v>
      </c>
      <c r="GD17" s="538"/>
      <c r="GE17" s="539">
        <f t="shared" si="60"/>
        <v>0</v>
      </c>
      <c r="GF17" s="540">
        <f t="shared" si="171"/>
        <v>0</v>
      </c>
      <c r="GG17" s="538">
        <v>6.6912244615415037</v>
      </c>
      <c r="GH17" s="539">
        <f t="shared" si="61"/>
        <v>0.10002278818992635</v>
      </c>
      <c r="GI17" s="540">
        <f t="shared" si="172"/>
        <v>0</v>
      </c>
      <c r="GJ17" s="538">
        <v>6.6912244615415037</v>
      </c>
      <c r="GK17" s="539">
        <f t="shared" si="62"/>
        <v>0.10002278818992635</v>
      </c>
      <c r="GL17" s="540">
        <f t="shared" si="173"/>
        <v>0</v>
      </c>
      <c r="GM17" s="538">
        <v>0</v>
      </c>
      <c r="GN17" s="539">
        <f t="shared" si="63"/>
        <v>0</v>
      </c>
      <c r="GO17" s="540">
        <f t="shared" si="174"/>
        <v>0</v>
      </c>
      <c r="GP17" s="538">
        <v>43.492959000019773</v>
      </c>
      <c r="GQ17" s="539">
        <f t="shared" si="64"/>
        <v>0.65014812323452131</v>
      </c>
      <c r="GR17" s="540">
        <f t="shared" si="175"/>
        <v>0</v>
      </c>
      <c r="GS17" s="538">
        <v>254.26652953857715</v>
      </c>
      <c r="GT17" s="539">
        <f t="shared" si="65"/>
        <v>3.8008659512172014</v>
      </c>
      <c r="GU17" s="540">
        <f t="shared" si="176"/>
        <v>0</v>
      </c>
      <c r="GV17" s="538">
        <v>66.912244615415034</v>
      </c>
      <c r="GW17" s="539">
        <f t="shared" si="66"/>
        <v>1.0002278818992634</v>
      </c>
      <c r="GX17" s="540">
        <f t="shared" si="177"/>
        <v>0</v>
      </c>
      <c r="GY17" s="538"/>
      <c r="GZ17" s="539">
        <f t="shared" si="67"/>
        <v>0</v>
      </c>
      <c r="HA17" s="540">
        <f t="shared" si="178"/>
        <v>0</v>
      </c>
      <c r="HB17" s="538"/>
      <c r="HC17" s="539">
        <f t="shared" si="68"/>
        <v>0</v>
      </c>
      <c r="HD17" s="540">
        <f t="shared" si="179"/>
        <v>0</v>
      </c>
      <c r="HE17" s="538"/>
      <c r="HF17" s="539">
        <f t="shared" si="69"/>
        <v>0</v>
      </c>
      <c r="HG17" s="540">
        <f t="shared" si="180"/>
        <v>0</v>
      </c>
      <c r="HH17" s="538"/>
      <c r="HI17" s="539">
        <f t="shared" si="70"/>
        <v>0</v>
      </c>
      <c r="HJ17" s="540">
        <f t="shared" si="181"/>
        <v>0</v>
      </c>
      <c r="HK17" s="538"/>
      <c r="HL17" s="539">
        <f t="shared" si="71"/>
        <v>0</v>
      </c>
      <c r="HM17" s="540">
        <f t="shared" si="182"/>
        <v>0</v>
      </c>
      <c r="HN17" s="538">
        <v>1488.1283202468305</v>
      </c>
      <c r="HO17" s="539">
        <f t="shared" si="72"/>
        <v>22.245068093439624</v>
      </c>
      <c r="HP17" s="540">
        <f t="shared" si="183"/>
        <v>0</v>
      </c>
      <c r="HQ17" s="538"/>
      <c r="HR17" s="539">
        <f t="shared" si="73"/>
        <v>0</v>
      </c>
      <c r="HS17" s="540">
        <f t="shared" si="184"/>
        <v>0</v>
      </c>
      <c r="HT17" s="538">
        <v>0</v>
      </c>
      <c r="HU17" s="539">
        <f t="shared" si="74"/>
        <v>0</v>
      </c>
      <c r="HV17" s="540">
        <f t="shared" si="185"/>
        <v>0</v>
      </c>
      <c r="HW17" s="538">
        <v>0</v>
      </c>
      <c r="HX17" s="539">
        <f t="shared" si="75"/>
        <v>0</v>
      </c>
      <c r="HY17" s="540">
        <f t="shared" si="186"/>
        <v>0</v>
      </c>
      <c r="HZ17" s="538">
        <v>0</v>
      </c>
      <c r="IA17" s="539">
        <f t="shared" si="76"/>
        <v>0</v>
      </c>
      <c r="IB17" s="540">
        <f t="shared" si="187"/>
        <v>0</v>
      </c>
      <c r="IC17" s="538">
        <v>0</v>
      </c>
      <c r="ID17" s="539">
        <f t="shared" si="77"/>
        <v>0</v>
      </c>
      <c r="IE17" s="540">
        <f t="shared" si="188"/>
        <v>0</v>
      </c>
      <c r="IF17" s="538">
        <v>36.801734538478271</v>
      </c>
      <c r="IG17" s="539">
        <f t="shared" si="78"/>
        <v>0.55012533504459493</v>
      </c>
      <c r="IH17" s="540">
        <f t="shared" si="189"/>
        <v>0</v>
      </c>
      <c r="II17" s="538"/>
      <c r="IJ17" s="539">
        <f t="shared" si="79"/>
        <v>0</v>
      </c>
      <c r="IK17" s="540">
        <f t="shared" si="190"/>
        <v>0</v>
      </c>
      <c r="IL17" s="538">
        <v>0</v>
      </c>
      <c r="IM17" s="539">
        <f t="shared" si="80"/>
        <v>0</v>
      </c>
      <c r="IN17" s="540">
        <f t="shared" si="191"/>
        <v>0</v>
      </c>
      <c r="IO17" s="538">
        <v>73.603469076956543</v>
      </c>
      <c r="IP17" s="539">
        <f t="shared" si="81"/>
        <v>1.1002506700891899</v>
      </c>
      <c r="IQ17" s="540">
        <f t="shared" si="192"/>
        <v>0</v>
      </c>
      <c r="IR17" s="538">
        <v>0</v>
      </c>
      <c r="IS17" s="539">
        <f t="shared" si="82"/>
        <v>0</v>
      </c>
      <c r="IT17" s="540">
        <f t="shared" si="193"/>
        <v>0</v>
      </c>
      <c r="IU17" s="538"/>
      <c r="IV17" s="539">
        <f t="shared" si="83"/>
        <v>0</v>
      </c>
      <c r="IW17" s="540">
        <f t="shared" si="194"/>
        <v>0</v>
      </c>
      <c r="IX17" s="538">
        <v>0</v>
      </c>
      <c r="IY17" s="539">
        <f t="shared" si="84"/>
        <v>0</v>
      </c>
      <c r="IZ17" s="540">
        <f t="shared" si="195"/>
        <v>0</v>
      </c>
      <c r="JA17" s="538"/>
      <c r="JB17" s="539">
        <f t="shared" si="85"/>
        <v>0</v>
      </c>
      <c r="JC17" s="540">
        <f t="shared" si="196"/>
        <v>0</v>
      </c>
      <c r="JD17" s="538"/>
      <c r="JE17" s="539">
        <f t="shared" si="86"/>
        <v>0</v>
      </c>
      <c r="JF17" s="540">
        <f t="shared" si="197"/>
        <v>0</v>
      </c>
      <c r="JG17" s="538">
        <v>40.147346769249026</v>
      </c>
      <c r="JH17" s="540" t="str">
        <f t="shared" si="87"/>
        <v>0</v>
      </c>
      <c r="JI17" s="540" t="str">
        <f t="shared" si="88"/>
        <v>0</v>
      </c>
      <c r="JJ17" s="538">
        <v>0</v>
      </c>
      <c r="JK17" s="540" t="str">
        <f t="shared" si="89"/>
        <v>0</v>
      </c>
      <c r="JL17" s="540" t="str">
        <f t="shared" si="90"/>
        <v>0</v>
      </c>
      <c r="JM17" s="538"/>
      <c r="JN17" s="540" t="str">
        <f t="shared" si="91"/>
        <v>0</v>
      </c>
      <c r="JO17" s="540" t="str">
        <f t="shared" si="92"/>
        <v>0</v>
      </c>
      <c r="JP17" s="538"/>
      <c r="JQ17" s="540" t="str">
        <f t="shared" si="93"/>
        <v>0</v>
      </c>
      <c r="JR17" s="540" t="str">
        <f t="shared" si="94"/>
        <v>0</v>
      </c>
      <c r="JS17" s="538"/>
      <c r="JT17" s="540" t="str">
        <f t="shared" si="95"/>
        <v>0</v>
      </c>
      <c r="JU17" s="540" t="str">
        <f t="shared" si="96"/>
        <v>0</v>
      </c>
      <c r="JV17" s="538"/>
      <c r="JW17" s="540" t="str">
        <f t="shared" si="97"/>
        <v>0</v>
      </c>
      <c r="JX17" s="540" t="str">
        <f t="shared" si="98"/>
        <v>0</v>
      </c>
      <c r="JY17" s="538"/>
      <c r="JZ17" s="540" t="str">
        <f t="shared" si="99"/>
        <v>0</v>
      </c>
      <c r="KA17" s="540" t="str">
        <f t="shared" si="100"/>
        <v>0</v>
      </c>
      <c r="KB17" s="538"/>
      <c r="KC17" s="540" t="str">
        <f t="shared" si="101"/>
        <v>0</v>
      </c>
      <c r="KD17" s="540" t="str">
        <f t="shared" si="102"/>
        <v>0</v>
      </c>
      <c r="KE17" s="538"/>
      <c r="KF17" s="540" t="str">
        <f t="shared" si="103"/>
        <v>0</v>
      </c>
      <c r="KG17" s="540" t="str">
        <f t="shared" si="104"/>
        <v>0</v>
      </c>
      <c r="KH17" s="538"/>
      <c r="KI17" s="540" t="str">
        <f t="shared" si="105"/>
        <v>0</v>
      </c>
      <c r="KJ17" s="540" t="str">
        <f t="shared" si="106"/>
        <v>0</v>
      </c>
      <c r="KK17" s="538"/>
      <c r="KL17" s="540" t="str">
        <f t="shared" si="107"/>
        <v>0</v>
      </c>
      <c r="KM17" s="540" t="str">
        <f t="shared" si="108"/>
        <v>0</v>
      </c>
      <c r="KN17" s="538"/>
      <c r="KO17" s="540" t="str">
        <f t="shared" si="109"/>
        <v>0</v>
      </c>
      <c r="KP17" s="540" t="str">
        <f t="shared" si="110"/>
        <v>0</v>
      </c>
      <c r="KQ17" s="540">
        <f t="shared" si="111"/>
        <v>0</v>
      </c>
      <c r="KR17" s="540">
        <f t="shared" si="198"/>
        <v>0</v>
      </c>
      <c r="KS17" s="268">
        <f t="shared" si="199"/>
        <v>3427.600746436905</v>
      </c>
    </row>
    <row r="18" spans="1:306" ht="15" customHeight="1">
      <c r="A18" s="270">
        <f t="shared" si="200"/>
        <v>45940</v>
      </c>
      <c r="B18" s="271" t="str">
        <f>+Report1!B18</f>
        <v>Towel</v>
      </c>
      <c r="C18" s="271" t="str">
        <f>+Report1!C18</f>
        <v>30/28</v>
      </c>
      <c r="D18" s="272">
        <f>+Report1!P18</f>
        <v>68.293999999999997</v>
      </c>
      <c r="E18" s="273">
        <f>+Report1!R18</f>
        <v>66.941000000000003</v>
      </c>
      <c r="F18" s="538">
        <v>255.81395348837236</v>
      </c>
      <c r="G18" s="539">
        <f t="shared" si="0"/>
        <v>3.8214838960931621</v>
      </c>
      <c r="H18" s="540">
        <f t="shared" si="112"/>
        <v>0</v>
      </c>
      <c r="I18" s="538">
        <v>82.352941176470722</v>
      </c>
      <c r="J18" s="539">
        <f t="shared" si="1"/>
        <v>1.2302317141433607</v>
      </c>
      <c r="K18" s="540">
        <f t="shared" si="113"/>
        <v>0</v>
      </c>
      <c r="L18" s="538"/>
      <c r="M18" s="539">
        <f t="shared" si="2"/>
        <v>0</v>
      </c>
      <c r="N18" s="540">
        <f t="shared" si="114"/>
        <v>0</v>
      </c>
      <c r="O18" s="538">
        <v>6.0000000000000284</v>
      </c>
      <c r="P18" s="539">
        <f t="shared" si="3"/>
        <v>8.9631167744730858E-2</v>
      </c>
      <c r="Q18" s="540">
        <f t="shared" si="115"/>
        <v>0</v>
      </c>
      <c r="R18" s="538"/>
      <c r="S18" s="539">
        <f t="shared" si="4"/>
        <v>0</v>
      </c>
      <c r="T18" s="540">
        <f t="shared" si="116"/>
        <v>0</v>
      </c>
      <c r="U18" s="538">
        <v>7.6875</v>
      </c>
      <c r="V18" s="539">
        <f t="shared" si="5"/>
        <v>0.11483993367293586</v>
      </c>
      <c r="W18" s="540">
        <f t="shared" si="117"/>
        <v>0</v>
      </c>
      <c r="X18" s="538"/>
      <c r="Y18" s="539">
        <f t="shared" si="6"/>
        <v>0</v>
      </c>
      <c r="Z18" s="540">
        <f t="shared" si="118"/>
        <v>0</v>
      </c>
      <c r="AA18" s="538"/>
      <c r="AB18" s="539">
        <f t="shared" si="7"/>
        <v>0</v>
      </c>
      <c r="AC18" s="540">
        <f t="shared" si="119"/>
        <v>0</v>
      </c>
      <c r="AD18" s="538"/>
      <c r="AE18" s="539">
        <f t="shared" si="8"/>
        <v>0</v>
      </c>
      <c r="AF18" s="540">
        <f t="shared" si="120"/>
        <v>0</v>
      </c>
      <c r="AG18" s="538"/>
      <c r="AH18" s="539">
        <f t="shared" si="9"/>
        <v>0</v>
      </c>
      <c r="AI18" s="540">
        <f t="shared" si="121"/>
        <v>0</v>
      </c>
      <c r="AJ18" s="538"/>
      <c r="AK18" s="539">
        <f t="shared" si="10"/>
        <v>0</v>
      </c>
      <c r="AL18" s="540">
        <f t="shared" si="122"/>
        <v>0</v>
      </c>
      <c r="AM18" s="538">
        <v>39.423076923076934</v>
      </c>
      <c r="AN18" s="539">
        <f t="shared" si="11"/>
        <v>0.58892273678428664</v>
      </c>
      <c r="AO18" s="540">
        <f t="shared" si="123"/>
        <v>0</v>
      </c>
      <c r="AP18" s="538"/>
      <c r="AQ18" s="539">
        <f t="shared" si="12"/>
        <v>0</v>
      </c>
      <c r="AR18" s="540">
        <f t="shared" si="124"/>
        <v>0</v>
      </c>
      <c r="AS18" s="538"/>
      <c r="AT18" s="539">
        <f t="shared" si="13"/>
        <v>0</v>
      </c>
      <c r="AU18" s="540">
        <f t="shared" si="125"/>
        <v>0</v>
      </c>
      <c r="AV18" s="538">
        <v>2.7750000000000057</v>
      </c>
      <c r="AW18" s="539">
        <f t="shared" si="14"/>
        <v>4.1454415081937909E-2</v>
      </c>
      <c r="AX18" s="540">
        <f t="shared" si="126"/>
        <v>0</v>
      </c>
      <c r="AY18" s="538">
        <v>34.999999999999972</v>
      </c>
      <c r="AZ18" s="539">
        <f t="shared" si="15"/>
        <v>0.52284847851092708</v>
      </c>
      <c r="BA18" s="540">
        <f t="shared" si="127"/>
        <v>0</v>
      </c>
      <c r="BB18" s="538"/>
      <c r="BC18" s="539">
        <f t="shared" si="16"/>
        <v>0</v>
      </c>
      <c r="BD18" s="540">
        <f t="shared" si="128"/>
        <v>0</v>
      </c>
      <c r="BE18" s="538"/>
      <c r="BF18" s="539">
        <f t="shared" si="17"/>
        <v>0</v>
      </c>
      <c r="BG18" s="540">
        <f t="shared" si="129"/>
        <v>0</v>
      </c>
      <c r="BH18" s="538"/>
      <c r="BI18" s="539">
        <f t="shared" si="18"/>
        <v>0</v>
      </c>
      <c r="BJ18" s="540">
        <f t="shared" si="130"/>
        <v>0</v>
      </c>
      <c r="BK18" s="538"/>
      <c r="BL18" s="539">
        <f t="shared" si="19"/>
        <v>0</v>
      </c>
      <c r="BM18" s="540">
        <f t="shared" si="131"/>
        <v>0</v>
      </c>
      <c r="BN18" s="538"/>
      <c r="BO18" s="539">
        <f t="shared" si="20"/>
        <v>0</v>
      </c>
      <c r="BP18" s="540">
        <f t="shared" si="132"/>
        <v>0</v>
      </c>
      <c r="BQ18" s="538"/>
      <c r="BR18" s="539">
        <f t="shared" si="21"/>
        <v>0</v>
      </c>
      <c r="BS18" s="540">
        <f t="shared" si="133"/>
        <v>0</v>
      </c>
      <c r="BT18" s="538"/>
      <c r="BU18" s="539">
        <f t="shared" si="22"/>
        <v>0</v>
      </c>
      <c r="BV18" s="540">
        <f t="shared" si="134"/>
        <v>0</v>
      </c>
      <c r="BW18" s="538"/>
      <c r="BX18" s="539">
        <f t="shared" si="23"/>
        <v>0</v>
      </c>
      <c r="BY18" s="540">
        <f t="shared" si="135"/>
        <v>0</v>
      </c>
      <c r="BZ18" s="538">
        <v>0</v>
      </c>
      <c r="CA18" s="539">
        <f t="shared" si="24"/>
        <v>0</v>
      </c>
      <c r="CB18" s="540">
        <f t="shared" si="136"/>
        <v>0</v>
      </c>
      <c r="CC18" s="538">
        <v>6.25</v>
      </c>
      <c r="CD18" s="539">
        <f t="shared" si="25"/>
        <v>9.3365799734094201E-2</v>
      </c>
      <c r="CE18" s="540">
        <f t="shared" si="137"/>
        <v>0</v>
      </c>
      <c r="CF18" s="538">
        <v>0.60000000000000142</v>
      </c>
      <c r="CG18" s="539">
        <f t="shared" si="26"/>
        <v>8.9631167744730639E-3</v>
      </c>
      <c r="CH18" s="540">
        <f t="shared" si="138"/>
        <v>0</v>
      </c>
      <c r="CI18" s="538">
        <v>0</v>
      </c>
      <c r="CJ18" s="539">
        <f t="shared" si="27"/>
        <v>0</v>
      </c>
      <c r="CK18" s="540">
        <f t="shared" si="139"/>
        <v>0</v>
      </c>
      <c r="CL18" s="538"/>
      <c r="CM18" s="539">
        <f t="shared" si="28"/>
        <v>0</v>
      </c>
      <c r="CN18" s="540">
        <f t="shared" si="140"/>
        <v>0</v>
      </c>
      <c r="CO18" s="538"/>
      <c r="CP18" s="539">
        <f t="shared" si="29"/>
        <v>0</v>
      </c>
      <c r="CQ18" s="540">
        <f t="shared" si="141"/>
        <v>0</v>
      </c>
      <c r="CR18" s="538"/>
      <c r="CS18" s="539">
        <f t="shared" si="30"/>
        <v>0</v>
      </c>
      <c r="CT18" s="540">
        <f t="shared" si="142"/>
        <v>0</v>
      </c>
      <c r="CU18" s="538"/>
      <c r="CV18" s="539">
        <f t="shared" si="31"/>
        <v>0</v>
      </c>
      <c r="CW18" s="540">
        <f t="shared" si="143"/>
        <v>0</v>
      </c>
      <c r="CX18" s="538"/>
      <c r="CY18" s="539">
        <f t="shared" si="32"/>
        <v>0</v>
      </c>
      <c r="CZ18" s="540">
        <f t="shared" si="144"/>
        <v>0</v>
      </c>
      <c r="DA18" s="538">
        <v>0</v>
      </c>
      <c r="DB18" s="539">
        <f t="shared" si="33"/>
        <v>0</v>
      </c>
      <c r="DC18" s="540">
        <f t="shared" si="145"/>
        <v>0</v>
      </c>
      <c r="DD18" s="538"/>
      <c r="DE18" s="539">
        <f t="shared" si="34"/>
        <v>0</v>
      </c>
      <c r="DF18" s="540">
        <f t="shared" si="146"/>
        <v>0</v>
      </c>
      <c r="DG18" s="538"/>
      <c r="DH18" s="539">
        <f t="shared" si="35"/>
        <v>0</v>
      </c>
      <c r="DI18" s="540">
        <f t="shared" si="201"/>
        <v>0</v>
      </c>
      <c r="DJ18" s="538"/>
      <c r="DK18" s="539">
        <f t="shared" si="36"/>
        <v>0</v>
      </c>
      <c r="DL18" s="540">
        <f t="shared" si="147"/>
        <v>0</v>
      </c>
      <c r="DM18" s="538"/>
      <c r="DN18" s="539">
        <f t="shared" si="37"/>
        <v>0</v>
      </c>
      <c r="DO18" s="540">
        <f t="shared" si="148"/>
        <v>0</v>
      </c>
      <c r="DP18" s="538"/>
      <c r="DQ18" s="539">
        <f t="shared" si="38"/>
        <v>0</v>
      </c>
      <c r="DR18" s="540">
        <f t="shared" si="149"/>
        <v>0</v>
      </c>
      <c r="DS18" s="538"/>
      <c r="DT18" s="539">
        <f t="shared" si="39"/>
        <v>0</v>
      </c>
      <c r="DU18" s="540">
        <f t="shared" si="150"/>
        <v>0</v>
      </c>
      <c r="DV18" s="538"/>
      <c r="DW18" s="539">
        <f t="shared" si="40"/>
        <v>0</v>
      </c>
      <c r="DX18" s="540">
        <f t="shared" si="151"/>
        <v>0</v>
      </c>
      <c r="DY18" s="538">
        <v>0</v>
      </c>
      <c r="DZ18" s="539">
        <f t="shared" si="41"/>
        <v>0</v>
      </c>
      <c r="EA18" s="540">
        <f t="shared" si="152"/>
        <v>0</v>
      </c>
      <c r="EB18" s="538">
        <v>541.17647058823536</v>
      </c>
      <c r="EC18" s="539">
        <f t="shared" si="42"/>
        <v>8.0843798357992167</v>
      </c>
      <c r="ED18" s="540">
        <f t="shared" si="153"/>
        <v>0</v>
      </c>
      <c r="EE18" s="538">
        <v>14.534883720930338</v>
      </c>
      <c r="EF18" s="539">
        <f t="shared" si="43"/>
        <v>0.21712976682347646</v>
      </c>
      <c r="EG18" s="540">
        <f t="shared" si="154"/>
        <v>0</v>
      </c>
      <c r="EH18" s="538">
        <v>0</v>
      </c>
      <c r="EI18" s="539">
        <f t="shared" si="44"/>
        <v>0</v>
      </c>
      <c r="EJ18" s="540">
        <f t="shared" si="155"/>
        <v>0</v>
      </c>
      <c r="EK18" s="538"/>
      <c r="EL18" s="539">
        <f t="shared" si="45"/>
        <v>0</v>
      </c>
      <c r="EM18" s="540">
        <f t="shared" si="156"/>
        <v>0</v>
      </c>
      <c r="EN18" s="538"/>
      <c r="EO18" s="539">
        <f t="shared" si="46"/>
        <v>0</v>
      </c>
      <c r="EP18" s="540">
        <f t="shared" si="157"/>
        <v>0</v>
      </c>
      <c r="EQ18" s="538"/>
      <c r="ER18" s="539">
        <f t="shared" si="47"/>
        <v>0</v>
      </c>
      <c r="ES18" s="540">
        <f t="shared" si="158"/>
        <v>0</v>
      </c>
      <c r="ET18" s="538"/>
      <c r="EU18" s="539">
        <f t="shared" si="48"/>
        <v>0</v>
      </c>
      <c r="EV18" s="540">
        <f t="shared" si="159"/>
        <v>0</v>
      </c>
      <c r="EW18" s="538"/>
      <c r="EX18" s="539">
        <f t="shared" si="49"/>
        <v>0</v>
      </c>
      <c r="EY18" s="540">
        <f t="shared" si="160"/>
        <v>0</v>
      </c>
      <c r="EZ18" s="538"/>
      <c r="FA18" s="539">
        <f t="shared" si="50"/>
        <v>0</v>
      </c>
      <c r="FB18" s="540">
        <f t="shared" si="161"/>
        <v>0</v>
      </c>
      <c r="FC18" s="538"/>
      <c r="FD18" s="539">
        <f t="shared" si="51"/>
        <v>0</v>
      </c>
      <c r="FE18" s="540">
        <f t="shared" si="162"/>
        <v>0</v>
      </c>
      <c r="FF18" s="538"/>
      <c r="FG18" s="539">
        <f t="shared" si="52"/>
        <v>0</v>
      </c>
      <c r="FH18" s="540">
        <f t="shared" si="163"/>
        <v>0</v>
      </c>
      <c r="FI18" s="538"/>
      <c r="FJ18" s="539">
        <f t="shared" si="53"/>
        <v>0</v>
      </c>
      <c r="FK18" s="540">
        <f t="shared" si="164"/>
        <v>0</v>
      </c>
      <c r="FL18" s="538"/>
      <c r="FM18" s="539">
        <f t="shared" si="54"/>
        <v>0</v>
      </c>
      <c r="FN18" s="540">
        <f t="shared" si="165"/>
        <v>0</v>
      </c>
      <c r="FO18" s="538"/>
      <c r="FP18" s="539">
        <f t="shared" si="55"/>
        <v>0</v>
      </c>
      <c r="FQ18" s="540">
        <f t="shared" si="166"/>
        <v>0</v>
      </c>
      <c r="FR18" s="538"/>
      <c r="FS18" s="539">
        <f t="shared" si="56"/>
        <v>0</v>
      </c>
      <c r="FT18" s="540">
        <f t="shared" si="167"/>
        <v>0</v>
      </c>
      <c r="FU18" s="538"/>
      <c r="FV18" s="539">
        <f t="shared" si="57"/>
        <v>0</v>
      </c>
      <c r="FW18" s="540">
        <f t="shared" si="168"/>
        <v>0</v>
      </c>
      <c r="FX18" s="538"/>
      <c r="FY18" s="539">
        <f t="shared" si="58"/>
        <v>0</v>
      </c>
      <c r="FZ18" s="540">
        <f t="shared" si="169"/>
        <v>0</v>
      </c>
      <c r="GA18" s="538"/>
      <c r="GB18" s="539">
        <f t="shared" si="59"/>
        <v>0</v>
      </c>
      <c r="GC18" s="540">
        <f t="shared" si="170"/>
        <v>0</v>
      </c>
      <c r="GD18" s="538"/>
      <c r="GE18" s="539">
        <f t="shared" si="60"/>
        <v>0</v>
      </c>
      <c r="GF18" s="540">
        <f t="shared" si="171"/>
        <v>0</v>
      </c>
      <c r="GG18" s="538">
        <v>6.1670579736319304</v>
      </c>
      <c r="GH18" s="539">
        <f t="shared" si="61"/>
        <v>9.2126767954346822E-2</v>
      </c>
      <c r="GI18" s="540">
        <f t="shared" si="172"/>
        <v>0</v>
      </c>
      <c r="GJ18" s="538">
        <v>9.2505869604478956</v>
      </c>
      <c r="GK18" s="539">
        <f t="shared" si="62"/>
        <v>0.13819015193152023</v>
      </c>
      <c r="GL18" s="540">
        <f t="shared" si="173"/>
        <v>0</v>
      </c>
      <c r="GM18" s="538">
        <v>0</v>
      </c>
      <c r="GN18" s="539">
        <f t="shared" si="63"/>
        <v>0</v>
      </c>
      <c r="GO18" s="540">
        <f t="shared" si="174"/>
        <v>0</v>
      </c>
      <c r="GP18" s="538">
        <v>37.002347841791583</v>
      </c>
      <c r="GQ18" s="539">
        <f t="shared" si="64"/>
        <v>0.55276060772608093</v>
      </c>
      <c r="GR18" s="540">
        <f t="shared" si="175"/>
        <v>0</v>
      </c>
      <c r="GS18" s="538">
        <v>185.01173920895792</v>
      </c>
      <c r="GT18" s="539">
        <f t="shared" si="65"/>
        <v>2.7638030386304044</v>
      </c>
      <c r="GU18" s="540">
        <f t="shared" si="176"/>
        <v>0</v>
      </c>
      <c r="GV18" s="538">
        <v>61.670579736319311</v>
      </c>
      <c r="GW18" s="539">
        <f t="shared" si="66"/>
        <v>0.92126767954346822</v>
      </c>
      <c r="GX18" s="540">
        <f t="shared" si="177"/>
        <v>0</v>
      </c>
      <c r="GY18" s="538"/>
      <c r="GZ18" s="539">
        <f t="shared" si="67"/>
        <v>0</v>
      </c>
      <c r="HA18" s="540">
        <f t="shared" si="178"/>
        <v>0</v>
      </c>
      <c r="HB18" s="538"/>
      <c r="HC18" s="539">
        <f t="shared" si="68"/>
        <v>0</v>
      </c>
      <c r="HD18" s="540">
        <f t="shared" si="179"/>
        <v>0</v>
      </c>
      <c r="HE18" s="538"/>
      <c r="HF18" s="539">
        <f t="shared" si="69"/>
        <v>0</v>
      </c>
      <c r="HG18" s="540">
        <f t="shared" si="180"/>
        <v>0</v>
      </c>
      <c r="HH18" s="538"/>
      <c r="HI18" s="539">
        <f t="shared" si="70"/>
        <v>0</v>
      </c>
      <c r="HJ18" s="540">
        <f t="shared" si="181"/>
        <v>0</v>
      </c>
      <c r="HK18" s="538"/>
      <c r="HL18" s="539">
        <f t="shared" si="71"/>
        <v>0</v>
      </c>
      <c r="HM18" s="540">
        <f t="shared" si="182"/>
        <v>0</v>
      </c>
      <c r="HN18" s="538">
        <v>1433.2242730720607</v>
      </c>
      <c r="HO18" s="539">
        <f t="shared" si="72"/>
        <v>21.4102608725902</v>
      </c>
      <c r="HP18" s="540">
        <f t="shared" si="183"/>
        <v>0</v>
      </c>
      <c r="HQ18" s="538"/>
      <c r="HR18" s="539">
        <f t="shared" si="73"/>
        <v>0</v>
      </c>
      <c r="HS18" s="540">
        <f t="shared" si="184"/>
        <v>0</v>
      </c>
      <c r="HT18" s="538">
        <v>0</v>
      </c>
      <c r="HU18" s="539">
        <f t="shared" si="74"/>
        <v>0</v>
      </c>
      <c r="HV18" s="540">
        <f t="shared" si="185"/>
        <v>0</v>
      </c>
      <c r="HW18" s="538">
        <v>0</v>
      </c>
      <c r="HX18" s="539">
        <f t="shared" si="75"/>
        <v>0</v>
      </c>
      <c r="HY18" s="540">
        <f t="shared" si="186"/>
        <v>0</v>
      </c>
      <c r="HZ18" s="538">
        <v>0</v>
      </c>
      <c r="IA18" s="539">
        <f t="shared" si="76"/>
        <v>0</v>
      </c>
      <c r="IB18" s="540">
        <f t="shared" si="187"/>
        <v>0</v>
      </c>
      <c r="IC18" s="538">
        <v>0</v>
      </c>
      <c r="ID18" s="539">
        <f t="shared" si="77"/>
        <v>0</v>
      </c>
      <c r="IE18" s="540">
        <f t="shared" si="188"/>
        <v>0</v>
      </c>
      <c r="IF18" s="538">
        <v>33.918818854975619</v>
      </c>
      <c r="IG18" s="539">
        <f t="shared" si="78"/>
        <v>0.50669722374890747</v>
      </c>
      <c r="IH18" s="540">
        <f t="shared" si="189"/>
        <v>0</v>
      </c>
      <c r="II18" s="538"/>
      <c r="IJ18" s="539">
        <f t="shared" si="79"/>
        <v>0</v>
      </c>
      <c r="IK18" s="540">
        <f t="shared" si="190"/>
        <v>0</v>
      </c>
      <c r="IL18" s="538">
        <v>0</v>
      </c>
      <c r="IM18" s="539">
        <f t="shared" si="80"/>
        <v>0</v>
      </c>
      <c r="IN18" s="540">
        <f t="shared" si="191"/>
        <v>0</v>
      </c>
      <c r="IO18" s="538">
        <v>61.670579736319311</v>
      </c>
      <c r="IP18" s="539">
        <f t="shared" si="81"/>
        <v>0.92126767954346822</v>
      </c>
      <c r="IQ18" s="540">
        <f t="shared" si="192"/>
        <v>0</v>
      </c>
      <c r="IR18" s="538">
        <v>0</v>
      </c>
      <c r="IS18" s="539">
        <f t="shared" si="82"/>
        <v>0</v>
      </c>
      <c r="IT18" s="540">
        <f t="shared" si="193"/>
        <v>0</v>
      </c>
      <c r="IU18" s="538"/>
      <c r="IV18" s="539">
        <f t="shared" si="83"/>
        <v>0</v>
      </c>
      <c r="IW18" s="540">
        <f t="shared" si="194"/>
        <v>0</v>
      </c>
      <c r="IX18" s="538">
        <v>0</v>
      </c>
      <c r="IY18" s="539">
        <f t="shared" si="84"/>
        <v>0</v>
      </c>
      <c r="IZ18" s="540">
        <f t="shared" si="195"/>
        <v>0</v>
      </c>
      <c r="JA18" s="538"/>
      <c r="JB18" s="539">
        <f t="shared" si="85"/>
        <v>0</v>
      </c>
      <c r="JC18" s="540">
        <f t="shared" si="196"/>
        <v>0</v>
      </c>
      <c r="JD18" s="538"/>
      <c r="JE18" s="539">
        <f t="shared" si="86"/>
        <v>0</v>
      </c>
      <c r="JF18" s="540">
        <f t="shared" si="197"/>
        <v>0</v>
      </c>
      <c r="JG18" s="538">
        <v>37.002347841791583</v>
      </c>
      <c r="JH18" s="540" t="str">
        <f t="shared" si="87"/>
        <v>0</v>
      </c>
      <c r="JI18" s="540" t="str">
        <f t="shared" si="88"/>
        <v>0</v>
      </c>
      <c r="JJ18" s="538">
        <v>0</v>
      </c>
      <c r="JK18" s="540" t="str">
        <f t="shared" si="89"/>
        <v>0</v>
      </c>
      <c r="JL18" s="540" t="str">
        <f t="shared" si="90"/>
        <v>0</v>
      </c>
      <c r="JM18" s="538"/>
      <c r="JN18" s="540" t="str">
        <f t="shared" si="91"/>
        <v>0</v>
      </c>
      <c r="JO18" s="540" t="str">
        <f t="shared" si="92"/>
        <v>0</v>
      </c>
      <c r="JP18" s="538"/>
      <c r="JQ18" s="540" t="str">
        <f t="shared" si="93"/>
        <v>0</v>
      </c>
      <c r="JR18" s="540" t="str">
        <f t="shared" si="94"/>
        <v>0</v>
      </c>
      <c r="JS18" s="538"/>
      <c r="JT18" s="540" t="str">
        <f t="shared" si="95"/>
        <v>0</v>
      </c>
      <c r="JU18" s="540" t="str">
        <f t="shared" si="96"/>
        <v>0</v>
      </c>
      <c r="JV18" s="538"/>
      <c r="JW18" s="540" t="str">
        <f t="shared" si="97"/>
        <v>0</v>
      </c>
      <c r="JX18" s="540" t="str">
        <f t="shared" si="98"/>
        <v>0</v>
      </c>
      <c r="JY18" s="538"/>
      <c r="JZ18" s="540" t="str">
        <f t="shared" si="99"/>
        <v>0</v>
      </c>
      <c r="KA18" s="540" t="str">
        <f t="shared" si="100"/>
        <v>0</v>
      </c>
      <c r="KB18" s="538"/>
      <c r="KC18" s="540" t="str">
        <f t="shared" si="101"/>
        <v>0</v>
      </c>
      <c r="KD18" s="540" t="str">
        <f t="shared" si="102"/>
        <v>0</v>
      </c>
      <c r="KE18" s="538"/>
      <c r="KF18" s="540" t="str">
        <f t="shared" si="103"/>
        <v>0</v>
      </c>
      <c r="KG18" s="540" t="str">
        <f t="shared" si="104"/>
        <v>0</v>
      </c>
      <c r="KH18" s="538"/>
      <c r="KI18" s="540" t="str">
        <f t="shared" si="105"/>
        <v>0</v>
      </c>
      <c r="KJ18" s="540" t="str">
        <f t="shared" si="106"/>
        <v>0</v>
      </c>
      <c r="KK18" s="538"/>
      <c r="KL18" s="540" t="str">
        <f t="shared" si="107"/>
        <v>0</v>
      </c>
      <c r="KM18" s="540" t="str">
        <f t="shared" si="108"/>
        <v>0</v>
      </c>
      <c r="KN18" s="538"/>
      <c r="KO18" s="540" t="str">
        <f t="shared" si="109"/>
        <v>0</v>
      </c>
      <c r="KP18" s="540" t="str">
        <f t="shared" si="110"/>
        <v>0</v>
      </c>
      <c r="KQ18" s="540">
        <f t="shared" si="111"/>
        <v>0</v>
      </c>
      <c r="KR18" s="540">
        <f t="shared" si="198"/>
        <v>0</v>
      </c>
      <c r="KS18" s="268">
        <f t="shared" si="199"/>
        <v>2856.5321571233812</v>
      </c>
    </row>
    <row r="19" spans="1:306" ht="15" customHeight="1">
      <c r="A19" s="270">
        <f t="shared" si="200"/>
        <v>45941</v>
      </c>
      <c r="B19" s="271" t="str">
        <f>+Report1!B19</f>
        <v>Towel</v>
      </c>
      <c r="C19" s="271" t="str">
        <f>+Report1!C19</f>
        <v>28/20,5</v>
      </c>
      <c r="D19" s="272">
        <f>+Report1!P19</f>
        <v>63.989000000000004</v>
      </c>
      <c r="E19" s="273">
        <f>+Report1!R19</f>
        <v>60.802999999999997</v>
      </c>
      <c r="F19" s="538">
        <v>147.59052790697672</v>
      </c>
      <c r="G19" s="539">
        <f t="shared" si="0"/>
        <v>2.4273560170875896</v>
      </c>
      <c r="H19" s="540">
        <f t="shared" si="112"/>
        <v>0</v>
      </c>
      <c r="I19" s="538">
        <v>0</v>
      </c>
      <c r="J19" s="539">
        <f t="shared" si="1"/>
        <v>0</v>
      </c>
      <c r="K19" s="540">
        <f t="shared" si="113"/>
        <v>0</v>
      </c>
      <c r="L19" s="538"/>
      <c r="M19" s="539">
        <f t="shared" si="2"/>
        <v>0</v>
      </c>
      <c r="N19" s="540">
        <f t="shared" si="114"/>
        <v>0</v>
      </c>
      <c r="O19" s="538">
        <v>5.9999999999999716</v>
      </c>
      <c r="P19" s="539">
        <f t="shared" si="3"/>
        <v>9.8679341479860724E-2</v>
      </c>
      <c r="Q19" s="540">
        <f t="shared" si="115"/>
        <v>0</v>
      </c>
      <c r="R19" s="538"/>
      <c r="S19" s="539">
        <f t="shared" si="4"/>
        <v>0</v>
      </c>
      <c r="T19" s="540">
        <f t="shared" si="116"/>
        <v>0</v>
      </c>
      <c r="U19" s="538">
        <v>5.125</v>
      </c>
      <c r="V19" s="539">
        <f t="shared" si="5"/>
        <v>8.4288604180714766E-2</v>
      </c>
      <c r="W19" s="540">
        <f t="shared" si="117"/>
        <v>0</v>
      </c>
      <c r="X19" s="538"/>
      <c r="Y19" s="539">
        <f t="shared" si="6"/>
        <v>0</v>
      </c>
      <c r="Z19" s="540">
        <f t="shared" si="118"/>
        <v>0</v>
      </c>
      <c r="AA19" s="538"/>
      <c r="AB19" s="539">
        <f t="shared" si="7"/>
        <v>0</v>
      </c>
      <c r="AC19" s="540">
        <f t="shared" si="119"/>
        <v>0</v>
      </c>
      <c r="AD19" s="538"/>
      <c r="AE19" s="539">
        <f t="shared" si="8"/>
        <v>0</v>
      </c>
      <c r="AF19" s="540">
        <f t="shared" si="120"/>
        <v>0</v>
      </c>
      <c r="AG19" s="538"/>
      <c r="AH19" s="539">
        <f t="shared" si="9"/>
        <v>0</v>
      </c>
      <c r="AI19" s="540">
        <f t="shared" si="121"/>
        <v>0</v>
      </c>
      <c r="AJ19" s="538"/>
      <c r="AK19" s="539">
        <f t="shared" si="10"/>
        <v>0</v>
      </c>
      <c r="AL19" s="540">
        <f t="shared" si="122"/>
        <v>0</v>
      </c>
      <c r="AM19" s="538">
        <v>47.862635897435894</v>
      </c>
      <c r="AN19" s="539">
        <f t="shared" si="11"/>
        <v>0.78717556530822319</v>
      </c>
      <c r="AO19" s="540">
        <f t="shared" si="123"/>
        <v>0</v>
      </c>
      <c r="AP19" s="538"/>
      <c r="AQ19" s="539">
        <f t="shared" si="12"/>
        <v>0</v>
      </c>
      <c r="AR19" s="540">
        <f t="shared" si="124"/>
        <v>0</v>
      </c>
      <c r="AS19" s="538"/>
      <c r="AT19" s="539">
        <f t="shared" si="13"/>
        <v>0</v>
      </c>
      <c r="AU19" s="540">
        <f t="shared" si="125"/>
        <v>0</v>
      </c>
      <c r="AV19" s="538">
        <v>0</v>
      </c>
      <c r="AW19" s="539">
        <f t="shared" si="14"/>
        <v>0</v>
      </c>
      <c r="AX19" s="540">
        <f t="shared" si="126"/>
        <v>0</v>
      </c>
      <c r="AY19" s="538">
        <v>42.000000000000028</v>
      </c>
      <c r="AZ19" s="539">
        <f t="shared" si="15"/>
        <v>0.69075539035902889</v>
      </c>
      <c r="BA19" s="540">
        <f t="shared" si="127"/>
        <v>0</v>
      </c>
      <c r="BB19" s="538"/>
      <c r="BC19" s="539">
        <f t="shared" si="16"/>
        <v>0</v>
      </c>
      <c r="BD19" s="540">
        <f t="shared" si="128"/>
        <v>0</v>
      </c>
      <c r="BE19" s="538"/>
      <c r="BF19" s="539">
        <f t="shared" si="17"/>
        <v>0</v>
      </c>
      <c r="BG19" s="540">
        <f t="shared" si="129"/>
        <v>0</v>
      </c>
      <c r="BH19" s="538"/>
      <c r="BI19" s="539">
        <f t="shared" si="18"/>
        <v>0</v>
      </c>
      <c r="BJ19" s="540">
        <f t="shared" si="130"/>
        <v>0</v>
      </c>
      <c r="BK19" s="538"/>
      <c r="BL19" s="539">
        <f t="shared" si="19"/>
        <v>0</v>
      </c>
      <c r="BM19" s="540">
        <f t="shared" si="131"/>
        <v>0</v>
      </c>
      <c r="BN19" s="538"/>
      <c r="BO19" s="539">
        <f t="shared" si="20"/>
        <v>0</v>
      </c>
      <c r="BP19" s="540">
        <f t="shared" si="132"/>
        <v>0</v>
      </c>
      <c r="BQ19" s="538"/>
      <c r="BR19" s="539">
        <f t="shared" si="21"/>
        <v>0</v>
      </c>
      <c r="BS19" s="540">
        <f t="shared" si="133"/>
        <v>0</v>
      </c>
      <c r="BT19" s="538"/>
      <c r="BU19" s="539">
        <f t="shared" si="22"/>
        <v>0</v>
      </c>
      <c r="BV19" s="540">
        <f t="shared" si="134"/>
        <v>0</v>
      </c>
      <c r="BW19" s="538"/>
      <c r="BX19" s="539">
        <f t="shared" si="23"/>
        <v>0</v>
      </c>
      <c r="BY19" s="540">
        <f t="shared" si="135"/>
        <v>0</v>
      </c>
      <c r="BZ19" s="538">
        <v>0</v>
      </c>
      <c r="CA19" s="539">
        <f t="shared" si="24"/>
        <v>0</v>
      </c>
      <c r="CB19" s="540">
        <f t="shared" si="136"/>
        <v>0</v>
      </c>
      <c r="CC19" s="538">
        <v>6.25</v>
      </c>
      <c r="CD19" s="539">
        <f t="shared" si="25"/>
        <v>0.10279098070818875</v>
      </c>
      <c r="CE19" s="540">
        <f t="shared" si="137"/>
        <v>0</v>
      </c>
      <c r="CF19" s="538">
        <v>0.59999999999999787</v>
      </c>
      <c r="CG19" s="539">
        <f t="shared" si="26"/>
        <v>9.8679341479860853E-3</v>
      </c>
      <c r="CH19" s="540">
        <f t="shared" si="138"/>
        <v>0</v>
      </c>
      <c r="CI19" s="538">
        <v>0</v>
      </c>
      <c r="CJ19" s="539">
        <f t="shared" si="27"/>
        <v>0</v>
      </c>
      <c r="CK19" s="540">
        <f t="shared" si="139"/>
        <v>0</v>
      </c>
      <c r="CL19" s="538"/>
      <c r="CM19" s="539">
        <f t="shared" si="28"/>
        <v>0</v>
      </c>
      <c r="CN19" s="540">
        <f t="shared" si="140"/>
        <v>0</v>
      </c>
      <c r="CO19" s="538"/>
      <c r="CP19" s="539">
        <f t="shared" si="29"/>
        <v>0</v>
      </c>
      <c r="CQ19" s="540">
        <f t="shared" si="141"/>
        <v>0</v>
      </c>
      <c r="CR19" s="538"/>
      <c r="CS19" s="539">
        <f t="shared" si="30"/>
        <v>0</v>
      </c>
      <c r="CT19" s="540">
        <f t="shared" si="142"/>
        <v>0</v>
      </c>
      <c r="CU19" s="538"/>
      <c r="CV19" s="539">
        <f t="shared" si="31"/>
        <v>0</v>
      </c>
      <c r="CW19" s="540">
        <f t="shared" si="143"/>
        <v>0</v>
      </c>
      <c r="CX19" s="538"/>
      <c r="CY19" s="539">
        <f t="shared" si="32"/>
        <v>0</v>
      </c>
      <c r="CZ19" s="540">
        <f t="shared" si="144"/>
        <v>0</v>
      </c>
      <c r="DA19" s="538">
        <v>0</v>
      </c>
      <c r="DB19" s="539">
        <f t="shared" si="33"/>
        <v>0</v>
      </c>
      <c r="DC19" s="540">
        <f t="shared" si="145"/>
        <v>0</v>
      </c>
      <c r="DD19" s="538"/>
      <c r="DE19" s="539">
        <f t="shared" si="34"/>
        <v>0</v>
      </c>
      <c r="DF19" s="540">
        <f t="shared" si="146"/>
        <v>0</v>
      </c>
      <c r="DG19" s="538"/>
      <c r="DH19" s="539">
        <f t="shared" si="35"/>
        <v>0</v>
      </c>
      <c r="DI19" s="540">
        <f t="shared" si="201"/>
        <v>0</v>
      </c>
      <c r="DJ19" s="538"/>
      <c r="DK19" s="539">
        <f t="shared" si="36"/>
        <v>0</v>
      </c>
      <c r="DL19" s="540">
        <f t="shared" si="147"/>
        <v>0</v>
      </c>
      <c r="DM19" s="538"/>
      <c r="DN19" s="539">
        <f t="shared" si="37"/>
        <v>0</v>
      </c>
      <c r="DO19" s="540">
        <f t="shared" si="148"/>
        <v>0</v>
      </c>
      <c r="DP19" s="538"/>
      <c r="DQ19" s="539">
        <f t="shared" si="38"/>
        <v>0</v>
      </c>
      <c r="DR19" s="540">
        <f t="shared" si="149"/>
        <v>0</v>
      </c>
      <c r="DS19" s="538"/>
      <c r="DT19" s="539">
        <f t="shared" si="39"/>
        <v>0</v>
      </c>
      <c r="DU19" s="540">
        <f t="shared" si="150"/>
        <v>0</v>
      </c>
      <c r="DV19" s="538"/>
      <c r="DW19" s="539">
        <f t="shared" si="40"/>
        <v>0</v>
      </c>
      <c r="DX19" s="540">
        <f t="shared" si="151"/>
        <v>0</v>
      </c>
      <c r="DY19" s="538">
        <v>0</v>
      </c>
      <c r="DZ19" s="539">
        <f t="shared" si="41"/>
        <v>0</v>
      </c>
      <c r="EA19" s="540">
        <f t="shared" si="152"/>
        <v>0</v>
      </c>
      <c r="EB19" s="538">
        <v>824.54335294117641</v>
      </c>
      <c r="EC19" s="539">
        <f t="shared" si="42"/>
        <v>13.560899181638677</v>
      </c>
      <c r="ED19" s="540">
        <f t="shared" si="153"/>
        <v>0</v>
      </c>
      <c r="EE19" s="538">
        <v>14.534883720930111</v>
      </c>
      <c r="EF19" s="539">
        <f t="shared" si="43"/>
        <v>0.23904879234462298</v>
      </c>
      <c r="EG19" s="540">
        <f t="shared" si="154"/>
        <v>0</v>
      </c>
      <c r="EH19" s="538">
        <v>0</v>
      </c>
      <c r="EI19" s="539">
        <f t="shared" si="44"/>
        <v>0</v>
      </c>
      <c r="EJ19" s="540">
        <f t="shared" si="155"/>
        <v>0</v>
      </c>
      <c r="EK19" s="538"/>
      <c r="EL19" s="539">
        <f t="shared" si="45"/>
        <v>0</v>
      </c>
      <c r="EM19" s="540">
        <f t="shared" si="156"/>
        <v>0</v>
      </c>
      <c r="EN19" s="538"/>
      <c r="EO19" s="539">
        <f t="shared" si="46"/>
        <v>0</v>
      </c>
      <c r="EP19" s="540">
        <f t="shared" si="157"/>
        <v>0</v>
      </c>
      <c r="EQ19" s="538"/>
      <c r="ER19" s="539">
        <f t="shared" si="47"/>
        <v>0</v>
      </c>
      <c r="ES19" s="540">
        <f t="shared" si="158"/>
        <v>0</v>
      </c>
      <c r="ET19" s="538"/>
      <c r="EU19" s="539">
        <f t="shared" si="48"/>
        <v>0</v>
      </c>
      <c r="EV19" s="540">
        <f t="shared" si="159"/>
        <v>0</v>
      </c>
      <c r="EW19" s="538"/>
      <c r="EX19" s="539">
        <f t="shared" si="49"/>
        <v>0</v>
      </c>
      <c r="EY19" s="540">
        <f t="shared" si="160"/>
        <v>0</v>
      </c>
      <c r="EZ19" s="538"/>
      <c r="FA19" s="539">
        <f t="shared" si="50"/>
        <v>0</v>
      </c>
      <c r="FB19" s="540">
        <f t="shared" si="161"/>
        <v>0</v>
      </c>
      <c r="FC19" s="538"/>
      <c r="FD19" s="539">
        <f t="shared" si="51"/>
        <v>0</v>
      </c>
      <c r="FE19" s="540">
        <f t="shared" si="162"/>
        <v>0</v>
      </c>
      <c r="FF19" s="538"/>
      <c r="FG19" s="539">
        <f t="shared" si="52"/>
        <v>0</v>
      </c>
      <c r="FH19" s="540">
        <f t="shared" si="163"/>
        <v>0</v>
      </c>
      <c r="FI19" s="538"/>
      <c r="FJ19" s="539">
        <f t="shared" si="53"/>
        <v>0</v>
      </c>
      <c r="FK19" s="540">
        <f t="shared" si="164"/>
        <v>0</v>
      </c>
      <c r="FL19" s="538"/>
      <c r="FM19" s="539">
        <f t="shared" si="54"/>
        <v>0</v>
      </c>
      <c r="FN19" s="540">
        <f t="shared" si="165"/>
        <v>0</v>
      </c>
      <c r="FO19" s="538"/>
      <c r="FP19" s="539">
        <f t="shared" si="55"/>
        <v>0</v>
      </c>
      <c r="FQ19" s="540">
        <f t="shared" si="166"/>
        <v>0</v>
      </c>
      <c r="FR19" s="538"/>
      <c r="FS19" s="539">
        <f t="shared" si="56"/>
        <v>0</v>
      </c>
      <c r="FT19" s="540">
        <f t="shared" si="167"/>
        <v>0</v>
      </c>
      <c r="FU19" s="538"/>
      <c r="FV19" s="539">
        <f t="shared" si="57"/>
        <v>0</v>
      </c>
      <c r="FW19" s="540">
        <f t="shared" si="168"/>
        <v>0</v>
      </c>
      <c r="FX19" s="538"/>
      <c r="FY19" s="539">
        <f t="shared" si="58"/>
        <v>0</v>
      </c>
      <c r="FZ19" s="540">
        <f t="shared" si="169"/>
        <v>0</v>
      </c>
      <c r="GA19" s="538"/>
      <c r="GB19" s="539">
        <f t="shared" si="59"/>
        <v>0</v>
      </c>
      <c r="GC19" s="540">
        <f t="shared" si="170"/>
        <v>0</v>
      </c>
      <c r="GD19" s="538"/>
      <c r="GE19" s="539">
        <f t="shared" si="60"/>
        <v>0</v>
      </c>
      <c r="GF19" s="540">
        <f t="shared" si="171"/>
        <v>0</v>
      </c>
      <c r="GG19" s="538">
        <v>5.8084691145100535</v>
      </c>
      <c r="GH19" s="539">
        <f t="shared" si="61"/>
        <v>9.5529317870994099E-2</v>
      </c>
      <c r="GI19" s="540">
        <f t="shared" si="172"/>
        <v>0</v>
      </c>
      <c r="GJ19" s="538">
        <v>8.7127036717650803</v>
      </c>
      <c r="GK19" s="539">
        <f t="shared" si="62"/>
        <v>0.14329397680649114</v>
      </c>
      <c r="GL19" s="540">
        <f t="shared" si="173"/>
        <v>0</v>
      </c>
      <c r="GM19" s="538">
        <v>0</v>
      </c>
      <c r="GN19" s="539">
        <f t="shared" si="63"/>
        <v>0</v>
      </c>
      <c r="GO19" s="540">
        <f t="shared" si="174"/>
        <v>0</v>
      </c>
      <c r="GP19" s="538">
        <v>34.850814687060321</v>
      </c>
      <c r="GQ19" s="539">
        <f t="shared" si="64"/>
        <v>0.57317590722596456</v>
      </c>
      <c r="GR19" s="540">
        <f t="shared" si="175"/>
        <v>0</v>
      </c>
      <c r="GS19" s="538">
        <v>203.29641900785185</v>
      </c>
      <c r="GT19" s="539">
        <f t="shared" si="65"/>
        <v>3.343526125484793</v>
      </c>
      <c r="GU19" s="540">
        <f t="shared" si="176"/>
        <v>0</v>
      </c>
      <c r="GV19" s="538">
        <v>58.084691145100528</v>
      </c>
      <c r="GW19" s="539">
        <f t="shared" si="66"/>
        <v>0.95529317870994079</v>
      </c>
      <c r="GX19" s="540">
        <f t="shared" si="177"/>
        <v>0</v>
      </c>
      <c r="GY19" s="538"/>
      <c r="GZ19" s="539">
        <f t="shared" si="67"/>
        <v>0</v>
      </c>
      <c r="HA19" s="540">
        <f t="shared" si="178"/>
        <v>0</v>
      </c>
      <c r="HB19" s="538"/>
      <c r="HC19" s="539">
        <f t="shared" si="68"/>
        <v>0</v>
      </c>
      <c r="HD19" s="540">
        <f t="shared" si="179"/>
        <v>0</v>
      </c>
      <c r="HE19" s="538"/>
      <c r="HF19" s="539">
        <f t="shared" si="69"/>
        <v>0</v>
      </c>
      <c r="HG19" s="540">
        <f t="shared" si="180"/>
        <v>0</v>
      </c>
      <c r="HH19" s="538"/>
      <c r="HI19" s="539">
        <f t="shared" si="70"/>
        <v>0</v>
      </c>
      <c r="HJ19" s="540">
        <f t="shared" si="181"/>
        <v>0</v>
      </c>
      <c r="HK19" s="538"/>
      <c r="HL19" s="539">
        <f t="shared" si="71"/>
        <v>0</v>
      </c>
      <c r="HM19" s="540">
        <f t="shared" si="182"/>
        <v>0</v>
      </c>
      <c r="HN19" s="538">
        <v>1291.8035310670359</v>
      </c>
      <c r="HO19" s="539">
        <f t="shared" si="72"/>
        <v>21.245720294509088</v>
      </c>
      <c r="HP19" s="540">
        <f t="shared" si="183"/>
        <v>0</v>
      </c>
      <c r="HQ19" s="538"/>
      <c r="HR19" s="539">
        <f t="shared" si="73"/>
        <v>0</v>
      </c>
      <c r="HS19" s="540">
        <f t="shared" si="184"/>
        <v>0</v>
      </c>
      <c r="HT19" s="538">
        <v>0</v>
      </c>
      <c r="HU19" s="539">
        <f t="shared" si="74"/>
        <v>0</v>
      </c>
      <c r="HV19" s="540">
        <f t="shared" si="185"/>
        <v>0</v>
      </c>
      <c r="HW19" s="538">
        <v>0</v>
      </c>
      <c r="HX19" s="539">
        <f t="shared" si="75"/>
        <v>0</v>
      </c>
      <c r="HY19" s="540">
        <f t="shared" si="186"/>
        <v>0</v>
      </c>
      <c r="HZ19" s="538">
        <v>0</v>
      </c>
      <c r="IA19" s="539">
        <f t="shared" si="76"/>
        <v>0</v>
      </c>
      <c r="IB19" s="540">
        <f t="shared" si="187"/>
        <v>0</v>
      </c>
      <c r="IC19" s="538">
        <v>0</v>
      </c>
      <c r="ID19" s="539">
        <f t="shared" si="77"/>
        <v>0</v>
      </c>
      <c r="IE19" s="540">
        <f t="shared" si="188"/>
        <v>0</v>
      </c>
      <c r="IF19" s="538">
        <v>23.233876458040214</v>
      </c>
      <c r="IG19" s="539">
        <f t="shared" si="78"/>
        <v>0.3821172714839764</v>
      </c>
      <c r="IH19" s="540">
        <f t="shared" si="189"/>
        <v>0</v>
      </c>
      <c r="II19" s="538"/>
      <c r="IJ19" s="539">
        <f t="shared" si="79"/>
        <v>0</v>
      </c>
      <c r="IK19" s="540">
        <f t="shared" si="190"/>
        <v>0</v>
      </c>
      <c r="IL19" s="538">
        <v>0</v>
      </c>
      <c r="IM19" s="539">
        <f t="shared" si="80"/>
        <v>0</v>
      </c>
      <c r="IN19" s="540">
        <f t="shared" si="191"/>
        <v>0</v>
      </c>
      <c r="IO19" s="538">
        <v>52.276222030590475</v>
      </c>
      <c r="IP19" s="539">
        <f t="shared" si="81"/>
        <v>0.85976386083894674</v>
      </c>
      <c r="IQ19" s="540">
        <f t="shared" si="192"/>
        <v>0</v>
      </c>
      <c r="IR19" s="538">
        <v>0</v>
      </c>
      <c r="IS19" s="539">
        <f t="shared" si="82"/>
        <v>0</v>
      </c>
      <c r="IT19" s="540">
        <f t="shared" si="193"/>
        <v>0</v>
      </c>
      <c r="IU19" s="538"/>
      <c r="IV19" s="539">
        <f t="shared" si="83"/>
        <v>0</v>
      </c>
      <c r="IW19" s="540">
        <f t="shared" si="194"/>
        <v>0</v>
      </c>
      <c r="IX19" s="538">
        <v>0</v>
      </c>
      <c r="IY19" s="539">
        <f t="shared" si="84"/>
        <v>0</v>
      </c>
      <c r="IZ19" s="540">
        <f t="shared" si="195"/>
        <v>0</v>
      </c>
      <c r="JA19" s="538"/>
      <c r="JB19" s="539">
        <f t="shared" si="85"/>
        <v>0</v>
      </c>
      <c r="JC19" s="540">
        <f t="shared" si="196"/>
        <v>0</v>
      </c>
      <c r="JD19" s="538"/>
      <c r="JE19" s="539">
        <f t="shared" si="86"/>
        <v>0</v>
      </c>
      <c r="JF19" s="540">
        <f t="shared" si="197"/>
        <v>0</v>
      </c>
      <c r="JG19" s="538">
        <v>31.946580129805291</v>
      </c>
      <c r="JH19" s="540" t="str">
        <f t="shared" si="87"/>
        <v>0</v>
      </c>
      <c r="JI19" s="540" t="str">
        <f t="shared" si="88"/>
        <v>0</v>
      </c>
      <c r="JJ19" s="538">
        <v>0</v>
      </c>
      <c r="JK19" s="540" t="str">
        <f t="shared" si="89"/>
        <v>0</v>
      </c>
      <c r="JL19" s="540" t="str">
        <f t="shared" si="90"/>
        <v>0</v>
      </c>
      <c r="JM19" s="538"/>
      <c r="JN19" s="540" t="str">
        <f t="shared" si="91"/>
        <v>0</v>
      </c>
      <c r="JO19" s="540" t="str">
        <f t="shared" si="92"/>
        <v>0</v>
      </c>
      <c r="JP19" s="538"/>
      <c r="JQ19" s="540" t="str">
        <f t="shared" si="93"/>
        <v>0</v>
      </c>
      <c r="JR19" s="540" t="str">
        <f t="shared" si="94"/>
        <v>0</v>
      </c>
      <c r="JS19" s="538"/>
      <c r="JT19" s="540" t="str">
        <f t="shared" si="95"/>
        <v>0</v>
      </c>
      <c r="JU19" s="540" t="str">
        <f t="shared" si="96"/>
        <v>0</v>
      </c>
      <c r="JV19" s="538"/>
      <c r="JW19" s="540" t="str">
        <f t="shared" si="97"/>
        <v>0</v>
      </c>
      <c r="JX19" s="540" t="str">
        <f t="shared" si="98"/>
        <v>0</v>
      </c>
      <c r="JY19" s="538"/>
      <c r="JZ19" s="540" t="str">
        <f t="shared" si="99"/>
        <v>0</v>
      </c>
      <c r="KA19" s="540" t="str">
        <f t="shared" si="100"/>
        <v>0</v>
      </c>
      <c r="KB19" s="538"/>
      <c r="KC19" s="540" t="str">
        <f t="shared" si="101"/>
        <v>0</v>
      </c>
      <c r="KD19" s="540" t="str">
        <f t="shared" si="102"/>
        <v>0</v>
      </c>
      <c r="KE19" s="538"/>
      <c r="KF19" s="540" t="str">
        <f t="shared" si="103"/>
        <v>0</v>
      </c>
      <c r="KG19" s="540" t="str">
        <f t="shared" si="104"/>
        <v>0</v>
      </c>
      <c r="KH19" s="538"/>
      <c r="KI19" s="540" t="str">
        <f t="shared" si="105"/>
        <v>0</v>
      </c>
      <c r="KJ19" s="540" t="str">
        <f t="shared" si="106"/>
        <v>0</v>
      </c>
      <c r="KK19" s="538"/>
      <c r="KL19" s="540" t="str">
        <f t="shared" si="107"/>
        <v>0</v>
      </c>
      <c r="KM19" s="540" t="str">
        <f t="shared" si="108"/>
        <v>0</v>
      </c>
      <c r="KN19" s="538"/>
      <c r="KO19" s="540" t="str">
        <f t="shared" si="109"/>
        <v>0</v>
      </c>
      <c r="KP19" s="540" t="str">
        <f t="shared" si="110"/>
        <v>0</v>
      </c>
      <c r="KQ19" s="540">
        <f t="shared" si="111"/>
        <v>0</v>
      </c>
      <c r="KR19" s="540">
        <f t="shared" si="198"/>
        <v>0</v>
      </c>
      <c r="KS19" s="268">
        <f t="shared" si="199"/>
        <v>2804.5197077782786</v>
      </c>
    </row>
    <row r="20" spans="1:306" ht="15" customHeight="1">
      <c r="A20" s="270">
        <f t="shared" si="200"/>
        <v>45942</v>
      </c>
      <c r="B20" s="271" t="str">
        <f>+Report1!B20</f>
        <v>Napkin</v>
      </c>
      <c r="C20" s="271" t="str">
        <f>+Report1!C20</f>
        <v>20,5</v>
      </c>
      <c r="D20" s="272">
        <f>+Report1!P20</f>
        <v>51.963000000000001</v>
      </c>
      <c r="E20" s="273">
        <f>+Report1!R20</f>
        <v>51.13</v>
      </c>
      <c r="F20" s="538">
        <v>119.8504999999999</v>
      </c>
      <c r="G20" s="539">
        <f t="shared" si="0"/>
        <v>2.3440348132211986</v>
      </c>
      <c r="H20" s="540">
        <f t="shared" si="112"/>
        <v>0</v>
      </c>
      <c r="I20" s="538">
        <v>0</v>
      </c>
      <c r="J20" s="539">
        <f t="shared" si="1"/>
        <v>0</v>
      </c>
      <c r="K20" s="540">
        <f t="shared" si="113"/>
        <v>0</v>
      </c>
      <c r="L20" s="538"/>
      <c r="M20" s="539">
        <f t="shared" si="2"/>
        <v>0</v>
      </c>
      <c r="N20" s="540">
        <f t="shared" si="114"/>
        <v>0</v>
      </c>
      <c r="O20" s="538">
        <v>6.0000000000000284</v>
      </c>
      <c r="P20" s="539">
        <f t="shared" si="3"/>
        <v>0.11734793663211476</v>
      </c>
      <c r="Q20" s="540">
        <f t="shared" si="115"/>
        <v>0</v>
      </c>
      <c r="R20" s="538"/>
      <c r="S20" s="539">
        <f t="shared" si="4"/>
        <v>0</v>
      </c>
      <c r="T20" s="540">
        <f t="shared" si="116"/>
        <v>0</v>
      </c>
      <c r="U20" s="538">
        <v>5.1249999999999858</v>
      </c>
      <c r="V20" s="539">
        <f t="shared" si="5"/>
        <v>0.10023469587326395</v>
      </c>
      <c r="W20" s="540">
        <f t="shared" si="117"/>
        <v>0</v>
      </c>
      <c r="X20" s="538"/>
      <c r="Y20" s="539">
        <f t="shared" si="6"/>
        <v>0</v>
      </c>
      <c r="Z20" s="540">
        <f t="shared" si="118"/>
        <v>0</v>
      </c>
      <c r="AA20" s="538"/>
      <c r="AB20" s="539">
        <f t="shared" si="7"/>
        <v>0</v>
      </c>
      <c r="AC20" s="540">
        <f t="shared" si="119"/>
        <v>0</v>
      </c>
      <c r="AD20" s="538"/>
      <c r="AE20" s="539">
        <f t="shared" si="8"/>
        <v>0</v>
      </c>
      <c r="AF20" s="540">
        <f t="shared" si="120"/>
        <v>0</v>
      </c>
      <c r="AG20" s="538"/>
      <c r="AH20" s="539">
        <f t="shared" si="9"/>
        <v>0</v>
      </c>
      <c r="AI20" s="540">
        <f t="shared" si="121"/>
        <v>0</v>
      </c>
      <c r="AJ20" s="538"/>
      <c r="AK20" s="539">
        <f t="shared" si="10"/>
        <v>0</v>
      </c>
      <c r="AL20" s="540">
        <f t="shared" si="122"/>
        <v>0</v>
      </c>
      <c r="AM20" s="538">
        <v>38.873100000000022</v>
      </c>
      <c r="AN20" s="539">
        <f t="shared" si="11"/>
        <v>0.76027967924897355</v>
      </c>
      <c r="AO20" s="540">
        <f t="shared" si="123"/>
        <v>0</v>
      </c>
      <c r="AP20" s="538"/>
      <c r="AQ20" s="539">
        <f t="shared" si="12"/>
        <v>0</v>
      </c>
      <c r="AR20" s="540">
        <f t="shared" si="124"/>
        <v>0</v>
      </c>
      <c r="AS20" s="538"/>
      <c r="AT20" s="539">
        <f t="shared" si="13"/>
        <v>0</v>
      </c>
      <c r="AU20" s="540">
        <f t="shared" si="125"/>
        <v>0</v>
      </c>
      <c r="AV20" s="538">
        <v>0</v>
      </c>
      <c r="AW20" s="539">
        <f t="shared" si="14"/>
        <v>0</v>
      </c>
      <c r="AX20" s="540">
        <f t="shared" si="126"/>
        <v>0</v>
      </c>
      <c r="AY20" s="538">
        <v>35</v>
      </c>
      <c r="AZ20" s="539">
        <f t="shared" si="15"/>
        <v>0.68452963035399961</v>
      </c>
      <c r="BA20" s="540">
        <f t="shared" si="127"/>
        <v>0</v>
      </c>
      <c r="BB20" s="538"/>
      <c r="BC20" s="539">
        <f t="shared" si="16"/>
        <v>0</v>
      </c>
      <c r="BD20" s="540">
        <f t="shared" si="128"/>
        <v>0</v>
      </c>
      <c r="BE20" s="538"/>
      <c r="BF20" s="539">
        <f t="shared" si="17"/>
        <v>0</v>
      </c>
      <c r="BG20" s="540">
        <f t="shared" si="129"/>
        <v>0</v>
      </c>
      <c r="BH20" s="538"/>
      <c r="BI20" s="539">
        <f t="shared" si="18"/>
        <v>0</v>
      </c>
      <c r="BJ20" s="540">
        <f t="shared" si="130"/>
        <v>0</v>
      </c>
      <c r="BK20" s="538"/>
      <c r="BL20" s="539">
        <f t="shared" si="19"/>
        <v>0</v>
      </c>
      <c r="BM20" s="540">
        <f t="shared" si="131"/>
        <v>0</v>
      </c>
      <c r="BN20" s="538"/>
      <c r="BO20" s="539">
        <f t="shared" si="20"/>
        <v>0</v>
      </c>
      <c r="BP20" s="540">
        <f t="shared" si="132"/>
        <v>0</v>
      </c>
      <c r="BQ20" s="538"/>
      <c r="BR20" s="539">
        <f t="shared" si="21"/>
        <v>0</v>
      </c>
      <c r="BS20" s="540">
        <f t="shared" si="133"/>
        <v>0</v>
      </c>
      <c r="BT20" s="538"/>
      <c r="BU20" s="539">
        <f t="shared" si="22"/>
        <v>0</v>
      </c>
      <c r="BV20" s="540">
        <f t="shared" si="134"/>
        <v>0</v>
      </c>
      <c r="BW20" s="538"/>
      <c r="BX20" s="539">
        <f t="shared" si="23"/>
        <v>0</v>
      </c>
      <c r="BY20" s="540">
        <f t="shared" si="135"/>
        <v>0</v>
      </c>
      <c r="BZ20" s="538">
        <v>0</v>
      </c>
      <c r="CA20" s="539">
        <f t="shared" si="24"/>
        <v>0</v>
      </c>
      <c r="CB20" s="540">
        <f t="shared" si="136"/>
        <v>0</v>
      </c>
      <c r="CC20" s="538">
        <v>6.25</v>
      </c>
      <c r="CD20" s="539">
        <f t="shared" si="25"/>
        <v>0.12223743399178563</v>
      </c>
      <c r="CE20" s="540">
        <f t="shared" si="137"/>
        <v>0</v>
      </c>
      <c r="CF20" s="538">
        <v>0.60000000000000142</v>
      </c>
      <c r="CG20" s="539">
        <f t="shared" si="26"/>
        <v>1.173479366321145E-2</v>
      </c>
      <c r="CH20" s="540">
        <f t="shared" si="138"/>
        <v>0</v>
      </c>
      <c r="CI20" s="538">
        <v>0</v>
      </c>
      <c r="CJ20" s="539">
        <f t="shared" si="27"/>
        <v>0</v>
      </c>
      <c r="CK20" s="540">
        <f t="shared" si="139"/>
        <v>0</v>
      </c>
      <c r="CL20" s="538"/>
      <c r="CM20" s="539">
        <f t="shared" si="28"/>
        <v>0</v>
      </c>
      <c r="CN20" s="540">
        <f t="shared" si="140"/>
        <v>0</v>
      </c>
      <c r="CO20" s="538"/>
      <c r="CP20" s="539">
        <f t="shared" si="29"/>
        <v>0</v>
      </c>
      <c r="CQ20" s="540">
        <f t="shared" si="141"/>
        <v>0</v>
      </c>
      <c r="CR20" s="538"/>
      <c r="CS20" s="539">
        <f t="shared" si="30"/>
        <v>0</v>
      </c>
      <c r="CT20" s="540">
        <f t="shared" si="142"/>
        <v>0</v>
      </c>
      <c r="CU20" s="538"/>
      <c r="CV20" s="539">
        <f t="shared" si="31"/>
        <v>0</v>
      </c>
      <c r="CW20" s="540">
        <f t="shared" si="143"/>
        <v>0</v>
      </c>
      <c r="CX20" s="538"/>
      <c r="CY20" s="539">
        <f t="shared" si="32"/>
        <v>0</v>
      </c>
      <c r="CZ20" s="540">
        <f t="shared" si="144"/>
        <v>0</v>
      </c>
      <c r="DA20" s="538">
        <v>0</v>
      </c>
      <c r="DB20" s="539">
        <f t="shared" si="33"/>
        <v>0</v>
      </c>
      <c r="DC20" s="540">
        <f t="shared" si="145"/>
        <v>0</v>
      </c>
      <c r="DD20" s="538"/>
      <c r="DE20" s="539">
        <f t="shared" si="34"/>
        <v>0</v>
      </c>
      <c r="DF20" s="540">
        <f t="shared" si="146"/>
        <v>0</v>
      </c>
      <c r="DG20" s="538"/>
      <c r="DH20" s="539">
        <f t="shared" si="35"/>
        <v>0</v>
      </c>
      <c r="DI20" s="540">
        <f t="shared" si="201"/>
        <v>0</v>
      </c>
      <c r="DJ20" s="538"/>
      <c r="DK20" s="539">
        <f t="shared" si="36"/>
        <v>0</v>
      </c>
      <c r="DL20" s="540">
        <f t="shared" si="147"/>
        <v>0</v>
      </c>
      <c r="DM20" s="538"/>
      <c r="DN20" s="539">
        <f t="shared" si="37"/>
        <v>0</v>
      </c>
      <c r="DO20" s="540">
        <f t="shared" si="148"/>
        <v>0</v>
      </c>
      <c r="DP20" s="538"/>
      <c r="DQ20" s="539">
        <f t="shared" si="38"/>
        <v>0</v>
      </c>
      <c r="DR20" s="540">
        <f t="shared" si="149"/>
        <v>0</v>
      </c>
      <c r="DS20" s="538"/>
      <c r="DT20" s="539">
        <f t="shared" si="39"/>
        <v>0</v>
      </c>
      <c r="DU20" s="540">
        <f t="shared" si="150"/>
        <v>0</v>
      </c>
      <c r="DV20" s="538"/>
      <c r="DW20" s="539">
        <f t="shared" si="40"/>
        <v>0</v>
      </c>
      <c r="DX20" s="540">
        <f t="shared" si="151"/>
        <v>0</v>
      </c>
      <c r="DY20" s="538">
        <v>0</v>
      </c>
      <c r="DZ20" s="539">
        <f t="shared" si="41"/>
        <v>0</v>
      </c>
      <c r="EA20" s="540">
        <f t="shared" si="152"/>
        <v>0</v>
      </c>
      <c r="EB20" s="538">
        <v>669.57900000000018</v>
      </c>
      <c r="EC20" s="539">
        <f t="shared" si="42"/>
        <v>13.095619010365738</v>
      </c>
      <c r="ED20" s="540">
        <f t="shared" si="153"/>
        <v>0</v>
      </c>
      <c r="EE20" s="538">
        <v>14.534883720930338</v>
      </c>
      <c r="EF20" s="539">
        <f t="shared" si="43"/>
        <v>0.28427310230648029</v>
      </c>
      <c r="EG20" s="540">
        <f t="shared" si="154"/>
        <v>0</v>
      </c>
      <c r="EH20" s="538">
        <v>0</v>
      </c>
      <c r="EI20" s="539">
        <f t="shared" si="44"/>
        <v>0</v>
      </c>
      <c r="EJ20" s="540">
        <f t="shared" si="155"/>
        <v>0</v>
      </c>
      <c r="EK20" s="538"/>
      <c r="EL20" s="539">
        <f t="shared" si="45"/>
        <v>0</v>
      </c>
      <c r="EM20" s="540">
        <f t="shared" si="156"/>
        <v>0</v>
      </c>
      <c r="EN20" s="538"/>
      <c r="EO20" s="539">
        <f t="shared" si="46"/>
        <v>0</v>
      </c>
      <c r="EP20" s="540">
        <f t="shared" si="157"/>
        <v>0</v>
      </c>
      <c r="EQ20" s="538"/>
      <c r="ER20" s="539">
        <f t="shared" si="47"/>
        <v>0</v>
      </c>
      <c r="ES20" s="540">
        <f t="shared" si="158"/>
        <v>0</v>
      </c>
      <c r="ET20" s="538"/>
      <c r="EU20" s="539">
        <f t="shared" si="48"/>
        <v>0</v>
      </c>
      <c r="EV20" s="540">
        <f t="shared" si="159"/>
        <v>0</v>
      </c>
      <c r="EW20" s="538"/>
      <c r="EX20" s="539">
        <f t="shared" si="49"/>
        <v>0</v>
      </c>
      <c r="EY20" s="540">
        <f t="shared" si="160"/>
        <v>0</v>
      </c>
      <c r="EZ20" s="538"/>
      <c r="FA20" s="539">
        <f t="shared" si="50"/>
        <v>0</v>
      </c>
      <c r="FB20" s="540">
        <f t="shared" si="161"/>
        <v>0</v>
      </c>
      <c r="FC20" s="538"/>
      <c r="FD20" s="539">
        <f t="shared" si="51"/>
        <v>0</v>
      </c>
      <c r="FE20" s="540">
        <f t="shared" si="162"/>
        <v>0</v>
      </c>
      <c r="FF20" s="538"/>
      <c r="FG20" s="539">
        <f t="shared" si="52"/>
        <v>0</v>
      </c>
      <c r="FH20" s="540">
        <f t="shared" si="163"/>
        <v>0</v>
      </c>
      <c r="FI20" s="538"/>
      <c r="FJ20" s="539">
        <f t="shared" si="53"/>
        <v>0</v>
      </c>
      <c r="FK20" s="540">
        <f t="shared" si="164"/>
        <v>0</v>
      </c>
      <c r="FL20" s="538"/>
      <c r="FM20" s="539">
        <f t="shared" si="54"/>
        <v>0</v>
      </c>
      <c r="FN20" s="540">
        <f t="shared" si="165"/>
        <v>0</v>
      </c>
      <c r="FO20" s="538"/>
      <c r="FP20" s="539">
        <f t="shared" si="55"/>
        <v>0</v>
      </c>
      <c r="FQ20" s="540">
        <f t="shared" si="166"/>
        <v>0</v>
      </c>
      <c r="FR20" s="538"/>
      <c r="FS20" s="539">
        <f t="shared" si="56"/>
        <v>0</v>
      </c>
      <c r="FT20" s="540">
        <f t="shared" si="167"/>
        <v>0</v>
      </c>
      <c r="FU20" s="538"/>
      <c r="FV20" s="539">
        <f t="shared" si="57"/>
        <v>0</v>
      </c>
      <c r="FW20" s="540">
        <f t="shared" si="168"/>
        <v>0</v>
      </c>
      <c r="FX20" s="538"/>
      <c r="FY20" s="539">
        <f t="shared" si="58"/>
        <v>0</v>
      </c>
      <c r="FZ20" s="540">
        <f t="shared" si="169"/>
        <v>0</v>
      </c>
      <c r="GA20" s="538"/>
      <c r="GB20" s="539">
        <f t="shared" si="59"/>
        <v>0</v>
      </c>
      <c r="GC20" s="540">
        <f t="shared" si="170"/>
        <v>0</v>
      </c>
      <c r="GD20" s="538"/>
      <c r="GE20" s="539">
        <f t="shared" si="60"/>
        <v>0</v>
      </c>
      <c r="GF20" s="540">
        <f t="shared" si="171"/>
        <v>0</v>
      </c>
      <c r="GG20" s="538">
        <v>5.4218489148580975</v>
      </c>
      <c r="GH20" s="539">
        <f t="shared" si="61"/>
        <v>0.10604046381494421</v>
      </c>
      <c r="GI20" s="540">
        <f t="shared" si="172"/>
        <v>0</v>
      </c>
      <c r="GJ20" s="538">
        <v>8.1327733722871454</v>
      </c>
      <c r="GK20" s="539">
        <f t="shared" si="62"/>
        <v>0.1590606957224163</v>
      </c>
      <c r="GL20" s="540">
        <f t="shared" si="173"/>
        <v>0</v>
      </c>
      <c r="GM20" s="538">
        <v>0</v>
      </c>
      <c r="GN20" s="539">
        <f t="shared" si="63"/>
        <v>0</v>
      </c>
      <c r="GO20" s="540">
        <f t="shared" si="174"/>
        <v>0</v>
      </c>
      <c r="GP20" s="538">
        <v>32.531093489148581</v>
      </c>
      <c r="GQ20" s="539">
        <f t="shared" si="64"/>
        <v>0.63624278288966518</v>
      </c>
      <c r="GR20" s="540">
        <f t="shared" si="175"/>
        <v>0</v>
      </c>
      <c r="GS20" s="538">
        <v>178.92101419031721</v>
      </c>
      <c r="GT20" s="539">
        <f t="shared" si="65"/>
        <v>3.4993353058931587</v>
      </c>
      <c r="GU20" s="540">
        <f t="shared" si="176"/>
        <v>0</v>
      </c>
      <c r="GV20" s="538">
        <v>54.218489148580971</v>
      </c>
      <c r="GW20" s="539">
        <f t="shared" si="66"/>
        <v>1.0604046381494421</v>
      </c>
      <c r="GX20" s="540">
        <f t="shared" si="177"/>
        <v>0</v>
      </c>
      <c r="GY20" s="538"/>
      <c r="GZ20" s="539">
        <f t="shared" si="67"/>
        <v>0</v>
      </c>
      <c r="HA20" s="540">
        <f t="shared" si="178"/>
        <v>0</v>
      </c>
      <c r="HB20" s="538"/>
      <c r="HC20" s="539">
        <f t="shared" si="68"/>
        <v>0</v>
      </c>
      <c r="HD20" s="540">
        <f t="shared" si="179"/>
        <v>0</v>
      </c>
      <c r="HE20" s="538"/>
      <c r="HF20" s="539">
        <f t="shared" si="69"/>
        <v>0</v>
      </c>
      <c r="HG20" s="540">
        <f t="shared" si="180"/>
        <v>0</v>
      </c>
      <c r="HH20" s="538"/>
      <c r="HI20" s="539">
        <f t="shared" si="70"/>
        <v>0</v>
      </c>
      <c r="HJ20" s="540">
        <f t="shared" si="181"/>
        <v>0</v>
      </c>
      <c r="HK20" s="538"/>
      <c r="HL20" s="539">
        <f t="shared" si="71"/>
        <v>0</v>
      </c>
      <c r="HM20" s="540">
        <f t="shared" si="182"/>
        <v>0</v>
      </c>
      <c r="HN20" s="538">
        <v>1205.8191986644408</v>
      </c>
      <c r="HO20" s="539">
        <f t="shared" si="72"/>
        <v>23.58339915244359</v>
      </c>
      <c r="HP20" s="540">
        <f t="shared" si="183"/>
        <v>0</v>
      </c>
      <c r="HQ20" s="538"/>
      <c r="HR20" s="539">
        <f t="shared" si="73"/>
        <v>0</v>
      </c>
      <c r="HS20" s="540">
        <f t="shared" si="184"/>
        <v>0</v>
      </c>
      <c r="HT20" s="538">
        <v>0</v>
      </c>
      <c r="HU20" s="539">
        <f t="shared" si="74"/>
        <v>0</v>
      </c>
      <c r="HV20" s="540">
        <f t="shared" si="185"/>
        <v>0</v>
      </c>
      <c r="HW20" s="538">
        <v>0</v>
      </c>
      <c r="HX20" s="539">
        <f t="shared" si="75"/>
        <v>0</v>
      </c>
      <c r="HY20" s="540">
        <f t="shared" si="186"/>
        <v>0</v>
      </c>
      <c r="HZ20" s="538">
        <v>0</v>
      </c>
      <c r="IA20" s="539">
        <f t="shared" si="76"/>
        <v>0</v>
      </c>
      <c r="IB20" s="540">
        <f t="shared" si="187"/>
        <v>0</v>
      </c>
      <c r="IC20" s="538">
        <v>0</v>
      </c>
      <c r="ID20" s="539">
        <f t="shared" si="77"/>
        <v>0</v>
      </c>
      <c r="IE20" s="540">
        <f t="shared" si="188"/>
        <v>0</v>
      </c>
      <c r="IF20" s="538">
        <v>24.398320116861438</v>
      </c>
      <c r="IG20" s="539">
        <f t="shared" si="78"/>
        <v>0.47718208716724891</v>
      </c>
      <c r="IH20" s="540">
        <f t="shared" si="189"/>
        <v>0</v>
      </c>
      <c r="II20" s="538"/>
      <c r="IJ20" s="539">
        <f t="shared" si="79"/>
        <v>0</v>
      </c>
      <c r="IK20" s="540">
        <f t="shared" si="190"/>
        <v>0</v>
      </c>
      <c r="IL20" s="538">
        <v>0</v>
      </c>
      <c r="IM20" s="539">
        <f t="shared" si="80"/>
        <v>0</v>
      </c>
      <c r="IN20" s="540">
        <f t="shared" si="191"/>
        <v>0</v>
      </c>
      <c r="IO20" s="538">
        <v>48.796640233722876</v>
      </c>
      <c r="IP20" s="539">
        <f t="shared" si="81"/>
        <v>0.95436417433449783</v>
      </c>
      <c r="IQ20" s="540">
        <f t="shared" si="192"/>
        <v>0</v>
      </c>
      <c r="IR20" s="538">
        <v>0</v>
      </c>
      <c r="IS20" s="539">
        <f t="shared" si="82"/>
        <v>0</v>
      </c>
      <c r="IT20" s="540">
        <f t="shared" si="193"/>
        <v>0</v>
      </c>
      <c r="IU20" s="538"/>
      <c r="IV20" s="539">
        <f t="shared" si="83"/>
        <v>0</v>
      </c>
      <c r="IW20" s="540">
        <f t="shared" si="194"/>
        <v>0</v>
      </c>
      <c r="IX20" s="538">
        <v>0</v>
      </c>
      <c r="IY20" s="539">
        <f t="shared" si="84"/>
        <v>0</v>
      </c>
      <c r="IZ20" s="540">
        <f t="shared" si="195"/>
        <v>0</v>
      </c>
      <c r="JA20" s="538"/>
      <c r="JB20" s="539">
        <f t="shared" si="85"/>
        <v>0</v>
      </c>
      <c r="JC20" s="540">
        <f t="shared" si="196"/>
        <v>0</v>
      </c>
      <c r="JD20" s="538"/>
      <c r="JE20" s="539">
        <f t="shared" si="86"/>
        <v>0</v>
      </c>
      <c r="JF20" s="540">
        <f t="shared" si="197"/>
        <v>0</v>
      </c>
      <c r="JG20" s="538">
        <v>29.820169031719534</v>
      </c>
      <c r="JH20" s="540" t="str">
        <f t="shared" si="87"/>
        <v>0</v>
      </c>
      <c r="JI20" s="540" t="str">
        <f t="shared" si="88"/>
        <v>0</v>
      </c>
      <c r="JJ20" s="538">
        <v>0</v>
      </c>
      <c r="JK20" s="540" t="str">
        <f t="shared" si="89"/>
        <v>0</v>
      </c>
      <c r="JL20" s="540" t="str">
        <f t="shared" si="90"/>
        <v>0</v>
      </c>
      <c r="JM20" s="538"/>
      <c r="JN20" s="540" t="str">
        <f t="shared" si="91"/>
        <v>0</v>
      </c>
      <c r="JO20" s="540" t="str">
        <f t="shared" si="92"/>
        <v>0</v>
      </c>
      <c r="JP20" s="538"/>
      <c r="JQ20" s="540" t="str">
        <f t="shared" si="93"/>
        <v>0</v>
      </c>
      <c r="JR20" s="540" t="str">
        <f t="shared" si="94"/>
        <v>0</v>
      </c>
      <c r="JS20" s="538"/>
      <c r="JT20" s="540" t="str">
        <f t="shared" si="95"/>
        <v>0</v>
      </c>
      <c r="JU20" s="540" t="str">
        <f t="shared" si="96"/>
        <v>0</v>
      </c>
      <c r="JV20" s="538"/>
      <c r="JW20" s="540" t="str">
        <f t="shared" si="97"/>
        <v>0</v>
      </c>
      <c r="JX20" s="540" t="str">
        <f t="shared" si="98"/>
        <v>0</v>
      </c>
      <c r="JY20" s="538"/>
      <c r="JZ20" s="540" t="str">
        <f t="shared" si="99"/>
        <v>0</v>
      </c>
      <c r="KA20" s="540" t="str">
        <f t="shared" si="100"/>
        <v>0</v>
      </c>
      <c r="KB20" s="538"/>
      <c r="KC20" s="540" t="str">
        <f t="shared" si="101"/>
        <v>0</v>
      </c>
      <c r="KD20" s="540" t="str">
        <f t="shared" si="102"/>
        <v>0</v>
      </c>
      <c r="KE20" s="538"/>
      <c r="KF20" s="540" t="str">
        <f t="shared" si="103"/>
        <v>0</v>
      </c>
      <c r="KG20" s="540" t="str">
        <f t="shared" si="104"/>
        <v>0</v>
      </c>
      <c r="KH20" s="538"/>
      <c r="KI20" s="540" t="str">
        <f t="shared" si="105"/>
        <v>0</v>
      </c>
      <c r="KJ20" s="540" t="str">
        <f t="shared" si="106"/>
        <v>0</v>
      </c>
      <c r="KK20" s="538"/>
      <c r="KL20" s="540" t="str">
        <f t="shared" si="107"/>
        <v>0</v>
      </c>
      <c r="KM20" s="540" t="str">
        <f t="shared" si="108"/>
        <v>0</v>
      </c>
      <c r="KN20" s="538"/>
      <c r="KO20" s="540" t="str">
        <f t="shared" si="109"/>
        <v>0</v>
      </c>
      <c r="KP20" s="540" t="str">
        <f t="shared" si="110"/>
        <v>0</v>
      </c>
      <c r="KQ20" s="540">
        <f t="shared" si="111"/>
        <v>0</v>
      </c>
      <c r="KR20" s="540">
        <f t="shared" si="198"/>
        <v>0</v>
      </c>
      <c r="KS20" s="268">
        <f t="shared" si="199"/>
        <v>2483.8720308828665</v>
      </c>
    </row>
    <row r="21" spans="1:306" ht="15" customHeight="1">
      <c r="A21" s="270">
        <f t="shared" si="200"/>
        <v>45943</v>
      </c>
      <c r="B21" s="271" t="str">
        <f>+Report1!B21</f>
        <v>Napkin</v>
      </c>
      <c r="C21" s="271" t="str">
        <f>+Report1!C21</f>
        <v>20,5</v>
      </c>
      <c r="D21" s="272">
        <f>+Report1!P21</f>
        <v>58.326000000000008</v>
      </c>
      <c r="E21" s="273">
        <f>+Report1!R21</f>
        <v>54.646000000000001</v>
      </c>
      <c r="F21" s="538">
        <v>0</v>
      </c>
      <c r="G21" s="539">
        <f t="shared" si="0"/>
        <v>0</v>
      </c>
      <c r="H21" s="540">
        <f t="shared" si="112"/>
        <v>0</v>
      </c>
      <c r="I21" s="538">
        <v>0</v>
      </c>
      <c r="J21" s="539">
        <f t="shared" si="1"/>
        <v>0</v>
      </c>
      <c r="K21" s="540">
        <f t="shared" si="113"/>
        <v>0</v>
      </c>
      <c r="L21" s="538"/>
      <c r="M21" s="539">
        <f t="shared" si="2"/>
        <v>0</v>
      </c>
      <c r="N21" s="540">
        <f t="shared" si="114"/>
        <v>0</v>
      </c>
      <c r="O21" s="538">
        <v>9</v>
      </c>
      <c r="P21" s="539">
        <f t="shared" si="3"/>
        <v>0.16469640961827031</v>
      </c>
      <c r="Q21" s="540">
        <f t="shared" si="115"/>
        <v>0</v>
      </c>
      <c r="R21" s="538"/>
      <c r="S21" s="539">
        <f t="shared" si="4"/>
        <v>0</v>
      </c>
      <c r="T21" s="540">
        <f t="shared" si="116"/>
        <v>0</v>
      </c>
      <c r="U21" s="538">
        <v>7.6875000000000142</v>
      </c>
      <c r="V21" s="539">
        <f t="shared" si="5"/>
        <v>0.14067818321560616</v>
      </c>
      <c r="W21" s="540">
        <f t="shared" si="117"/>
        <v>0</v>
      </c>
      <c r="X21" s="538"/>
      <c r="Y21" s="539">
        <f t="shared" si="6"/>
        <v>0</v>
      </c>
      <c r="Z21" s="540">
        <f t="shared" si="118"/>
        <v>0</v>
      </c>
      <c r="AA21" s="538"/>
      <c r="AB21" s="539">
        <f t="shared" si="7"/>
        <v>0</v>
      </c>
      <c r="AC21" s="540">
        <f t="shared" si="119"/>
        <v>0</v>
      </c>
      <c r="AD21" s="538"/>
      <c r="AE21" s="539">
        <f t="shared" si="8"/>
        <v>0</v>
      </c>
      <c r="AF21" s="540">
        <f t="shared" si="120"/>
        <v>0</v>
      </c>
      <c r="AG21" s="538"/>
      <c r="AH21" s="539">
        <f t="shared" si="9"/>
        <v>0</v>
      </c>
      <c r="AI21" s="540">
        <f t="shared" si="121"/>
        <v>0</v>
      </c>
      <c r="AJ21" s="538"/>
      <c r="AK21" s="539">
        <f t="shared" si="10"/>
        <v>0</v>
      </c>
      <c r="AL21" s="540">
        <f t="shared" si="122"/>
        <v>0</v>
      </c>
      <c r="AM21" s="538">
        <v>49.93093076923077</v>
      </c>
      <c r="AN21" s="539">
        <f t="shared" si="11"/>
        <v>0.91371611406563646</v>
      </c>
      <c r="AO21" s="540">
        <f t="shared" si="123"/>
        <v>0</v>
      </c>
      <c r="AP21" s="538"/>
      <c r="AQ21" s="539">
        <f t="shared" si="12"/>
        <v>0</v>
      </c>
      <c r="AR21" s="540">
        <f t="shared" si="124"/>
        <v>0</v>
      </c>
      <c r="AS21" s="538"/>
      <c r="AT21" s="539">
        <f t="shared" si="13"/>
        <v>0</v>
      </c>
      <c r="AU21" s="540">
        <f t="shared" si="125"/>
        <v>0</v>
      </c>
      <c r="AV21" s="538">
        <v>0</v>
      </c>
      <c r="AW21" s="539">
        <f t="shared" si="14"/>
        <v>0</v>
      </c>
      <c r="AX21" s="540">
        <f t="shared" si="126"/>
        <v>0</v>
      </c>
      <c r="AY21" s="538">
        <v>39.666666666666671</v>
      </c>
      <c r="AZ21" s="539">
        <f t="shared" si="15"/>
        <v>0.72588417572496933</v>
      </c>
      <c r="BA21" s="540">
        <f t="shared" si="127"/>
        <v>0</v>
      </c>
      <c r="BB21" s="538"/>
      <c r="BC21" s="539">
        <f t="shared" si="16"/>
        <v>0</v>
      </c>
      <c r="BD21" s="540">
        <f t="shared" si="128"/>
        <v>0</v>
      </c>
      <c r="BE21" s="538"/>
      <c r="BF21" s="539">
        <f t="shared" si="17"/>
        <v>0</v>
      </c>
      <c r="BG21" s="540">
        <f t="shared" si="129"/>
        <v>0</v>
      </c>
      <c r="BH21" s="538"/>
      <c r="BI21" s="539">
        <f t="shared" si="18"/>
        <v>0</v>
      </c>
      <c r="BJ21" s="540">
        <f t="shared" si="130"/>
        <v>0</v>
      </c>
      <c r="BK21" s="538"/>
      <c r="BL21" s="539">
        <f t="shared" si="19"/>
        <v>0</v>
      </c>
      <c r="BM21" s="540">
        <f t="shared" si="131"/>
        <v>0</v>
      </c>
      <c r="BN21" s="538"/>
      <c r="BO21" s="539">
        <f t="shared" si="20"/>
        <v>0</v>
      </c>
      <c r="BP21" s="540">
        <f t="shared" si="132"/>
        <v>0</v>
      </c>
      <c r="BQ21" s="538"/>
      <c r="BR21" s="539">
        <f t="shared" si="21"/>
        <v>0</v>
      </c>
      <c r="BS21" s="540">
        <f t="shared" si="133"/>
        <v>0</v>
      </c>
      <c r="BT21" s="538"/>
      <c r="BU21" s="539">
        <f t="shared" si="22"/>
        <v>0</v>
      </c>
      <c r="BV21" s="540">
        <f t="shared" si="134"/>
        <v>0</v>
      </c>
      <c r="BW21" s="538"/>
      <c r="BX21" s="539">
        <f t="shared" si="23"/>
        <v>0</v>
      </c>
      <c r="BY21" s="540">
        <f t="shared" si="135"/>
        <v>0</v>
      </c>
      <c r="BZ21" s="538">
        <v>0</v>
      </c>
      <c r="CA21" s="539">
        <f t="shared" si="24"/>
        <v>0</v>
      </c>
      <c r="CB21" s="540">
        <f t="shared" si="136"/>
        <v>0</v>
      </c>
      <c r="CC21" s="538">
        <v>6.25</v>
      </c>
      <c r="CD21" s="539">
        <f t="shared" si="25"/>
        <v>0.11437250667935439</v>
      </c>
      <c r="CE21" s="540">
        <f t="shared" si="137"/>
        <v>0</v>
      </c>
      <c r="CF21" s="538">
        <v>1.1999999999999993</v>
      </c>
      <c r="CG21" s="539">
        <f t="shared" si="26"/>
        <v>2.1959521282436029E-2</v>
      </c>
      <c r="CH21" s="540">
        <f t="shared" si="138"/>
        <v>0</v>
      </c>
      <c r="CI21" s="538">
        <v>0</v>
      </c>
      <c r="CJ21" s="539">
        <f t="shared" si="27"/>
        <v>0</v>
      </c>
      <c r="CK21" s="540">
        <f t="shared" si="139"/>
        <v>0</v>
      </c>
      <c r="CL21" s="538"/>
      <c r="CM21" s="539">
        <f t="shared" si="28"/>
        <v>0</v>
      </c>
      <c r="CN21" s="540">
        <f t="shared" si="140"/>
        <v>0</v>
      </c>
      <c r="CO21" s="538"/>
      <c r="CP21" s="539">
        <f t="shared" si="29"/>
        <v>0</v>
      </c>
      <c r="CQ21" s="540">
        <f t="shared" si="141"/>
        <v>0</v>
      </c>
      <c r="CR21" s="538"/>
      <c r="CS21" s="539">
        <f t="shared" si="30"/>
        <v>0</v>
      </c>
      <c r="CT21" s="540">
        <f t="shared" si="142"/>
        <v>0</v>
      </c>
      <c r="CU21" s="538"/>
      <c r="CV21" s="539">
        <f t="shared" si="31"/>
        <v>0</v>
      </c>
      <c r="CW21" s="540">
        <f t="shared" si="143"/>
        <v>0</v>
      </c>
      <c r="CX21" s="538"/>
      <c r="CY21" s="539">
        <f t="shared" si="32"/>
        <v>0</v>
      </c>
      <c r="CZ21" s="540">
        <f t="shared" si="144"/>
        <v>0</v>
      </c>
      <c r="DA21" s="538">
        <v>0</v>
      </c>
      <c r="DB21" s="539">
        <f t="shared" si="33"/>
        <v>0</v>
      </c>
      <c r="DC21" s="540">
        <f t="shared" si="145"/>
        <v>0</v>
      </c>
      <c r="DD21" s="538"/>
      <c r="DE21" s="539">
        <f t="shared" si="34"/>
        <v>0</v>
      </c>
      <c r="DF21" s="540">
        <f t="shared" si="146"/>
        <v>0</v>
      </c>
      <c r="DG21" s="538"/>
      <c r="DH21" s="539">
        <f t="shared" si="35"/>
        <v>0</v>
      </c>
      <c r="DI21" s="540">
        <f t="shared" si="201"/>
        <v>0</v>
      </c>
      <c r="DJ21" s="538"/>
      <c r="DK21" s="539">
        <f t="shared" si="36"/>
        <v>0</v>
      </c>
      <c r="DL21" s="540">
        <f t="shared" si="147"/>
        <v>0</v>
      </c>
      <c r="DM21" s="538"/>
      <c r="DN21" s="539">
        <f t="shared" si="37"/>
        <v>0</v>
      </c>
      <c r="DO21" s="540">
        <f t="shared" si="148"/>
        <v>0</v>
      </c>
      <c r="DP21" s="538"/>
      <c r="DQ21" s="539">
        <f t="shared" si="38"/>
        <v>0</v>
      </c>
      <c r="DR21" s="540">
        <f t="shared" si="149"/>
        <v>0</v>
      </c>
      <c r="DS21" s="538"/>
      <c r="DT21" s="539">
        <f t="shared" si="39"/>
        <v>0</v>
      </c>
      <c r="DU21" s="540">
        <f t="shared" si="150"/>
        <v>0</v>
      </c>
      <c r="DV21" s="538"/>
      <c r="DW21" s="539">
        <f t="shared" si="40"/>
        <v>0</v>
      </c>
      <c r="DX21" s="540">
        <f t="shared" si="151"/>
        <v>0</v>
      </c>
      <c r="DY21" s="538">
        <v>51.759036144578317</v>
      </c>
      <c r="DZ21" s="539">
        <f t="shared" si="41"/>
        <v>0.9471697131460366</v>
      </c>
      <c r="EA21" s="540">
        <f t="shared" si="152"/>
        <v>0</v>
      </c>
      <c r="EB21" s="538">
        <v>623.52470588235315</v>
      </c>
      <c r="EC21" s="539">
        <f t="shared" si="42"/>
        <v>11.410253374123506</v>
      </c>
      <c r="ED21" s="540">
        <f t="shared" si="153"/>
        <v>0</v>
      </c>
      <c r="EE21" s="538">
        <v>14.534883720930111</v>
      </c>
      <c r="EF21" s="539">
        <f t="shared" si="43"/>
        <v>0.26598257367291495</v>
      </c>
      <c r="EG21" s="540">
        <f t="shared" si="154"/>
        <v>0</v>
      </c>
      <c r="EH21" s="538">
        <v>0</v>
      </c>
      <c r="EI21" s="539">
        <f t="shared" si="44"/>
        <v>0</v>
      </c>
      <c r="EJ21" s="540">
        <f t="shared" si="155"/>
        <v>0</v>
      </c>
      <c r="EK21" s="538"/>
      <c r="EL21" s="539">
        <f t="shared" si="45"/>
        <v>0</v>
      </c>
      <c r="EM21" s="540">
        <f t="shared" si="156"/>
        <v>0</v>
      </c>
      <c r="EN21" s="538"/>
      <c r="EO21" s="539">
        <f t="shared" si="46"/>
        <v>0</v>
      </c>
      <c r="EP21" s="540">
        <f t="shared" si="157"/>
        <v>0</v>
      </c>
      <c r="EQ21" s="538"/>
      <c r="ER21" s="539">
        <f t="shared" si="47"/>
        <v>0</v>
      </c>
      <c r="ES21" s="540">
        <f t="shared" si="158"/>
        <v>0</v>
      </c>
      <c r="ET21" s="538"/>
      <c r="EU21" s="539">
        <f t="shared" si="48"/>
        <v>0</v>
      </c>
      <c r="EV21" s="540">
        <f t="shared" si="159"/>
        <v>0</v>
      </c>
      <c r="EW21" s="538"/>
      <c r="EX21" s="539">
        <f t="shared" si="49"/>
        <v>0</v>
      </c>
      <c r="EY21" s="540">
        <f t="shared" si="160"/>
        <v>0</v>
      </c>
      <c r="EZ21" s="538"/>
      <c r="FA21" s="539">
        <f t="shared" si="50"/>
        <v>0</v>
      </c>
      <c r="FB21" s="540">
        <f t="shared" si="161"/>
        <v>0</v>
      </c>
      <c r="FC21" s="538"/>
      <c r="FD21" s="539">
        <f t="shared" si="51"/>
        <v>0</v>
      </c>
      <c r="FE21" s="540">
        <f t="shared" si="162"/>
        <v>0</v>
      </c>
      <c r="FF21" s="538"/>
      <c r="FG21" s="539">
        <f t="shared" si="52"/>
        <v>0</v>
      </c>
      <c r="FH21" s="540">
        <f t="shared" si="163"/>
        <v>0</v>
      </c>
      <c r="FI21" s="538"/>
      <c r="FJ21" s="539">
        <f t="shared" si="53"/>
        <v>0</v>
      </c>
      <c r="FK21" s="540">
        <f t="shared" si="164"/>
        <v>0</v>
      </c>
      <c r="FL21" s="538"/>
      <c r="FM21" s="539">
        <f t="shared" si="54"/>
        <v>0</v>
      </c>
      <c r="FN21" s="540">
        <f t="shared" si="165"/>
        <v>0</v>
      </c>
      <c r="FO21" s="538"/>
      <c r="FP21" s="539">
        <f t="shared" si="55"/>
        <v>0</v>
      </c>
      <c r="FQ21" s="540">
        <f t="shared" si="166"/>
        <v>0</v>
      </c>
      <c r="FR21" s="538"/>
      <c r="FS21" s="539">
        <f t="shared" si="56"/>
        <v>0</v>
      </c>
      <c r="FT21" s="540">
        <f t="shared" si="167"/>
        <v>0</v>
      </c>
      <c r="FU21" s="538"/>
      <c r="FV21" s="539">
        <f t="shared" si="57"/>
        <v>0</v>
      </c>
      <c r="FW21" s="540">
        <f t="shared" si="168"/>
        <v>0</v>
      </c>
      <c r="FX21" s="538"/>
      <c r="FY21" s="539">
        <f t="shared" si="58"/>
        <v>0</v>
      </c>
      <c r="FZ21" s="540">
        <f t="shared" si="169"/>
        <v>0</v>
      </c>
      <c r="GA21" s="538"/>
      <c r="GB21" s="539">
        <f t="shared" si="59"/>
        <v>0</v>
      </c>
      <c r="GC21" s="540">
        <f t="shared" si="170"/>
        <v>0</v>
      </c>
      <c r="GD21" s="538"/>
      <c r="GE21" s="539">
        <f t="shared" si="60"/>
        <v>0</v>
      </c>
      <c r="GF21" s="540">
        <f t="shared" si="171"/>
        <v>0</v>
      </c>
      <c r="GG21" s="538">
        <v>5.9404185975454507</v>
      </c>
      <c r="GH21" s="539">
        <f t="shared" si="61"/>
        <v>0.1087072905161485</v>
      </c>
      <c r="GI21" s="540">
        <f t="shared" si="172"/>
        <v>0</v>
      </c>
      <c r="GJ21" s="538">
        <v>8.9106278963181751</v>
      </c>
      <c r="GK21" s="539">
        <f t="shared" si="62"/>
        <v>0.16306093577422273</v>
      </c>
      <c r="GL21" s="540">
        <f t="shared" si="173"/>
        <v>0</v>
      </c>
      <c r="GM21" s="538">
        <v>0</v>
      </c>
      <c r="GN21" s="539">
        <f t="shared" si="63"/>
        <v>0</v>
      </c>
      <c r="GO21" s="540">
        <f t="shared" si="174"/>
        <v>0</v>
      </c>
      <c r="GP21" s="538">
        <v>38.61272088404543</v>
      </c>
      <c r="GQ21" s="539">
        <f t="shared" si="64"/>
        <v>0.70659738835496522</v>
      </c>
      <c r="GR21" s="540">
        <f t="shared" si="175"/>
        <v>0</v>
      </c>
      <c r="GS21" s="538">
        <v>190.09339512145442</v>
      </c>
      <c r="GT21" s="539">
        <f t="shared" si="65"/>
        <v>3.4786332965167519</v>
      </c>
      <c r="GU21" s="540">
        <f t="shared" si="176"/>
        <v>0</v>
      </c>
      <c r="GV21" s="538">
        <v>59.404185975454503</v>
      </c>
      <c r="GW21" s="539">
        <f t="shared" si="66"/>
        <v>1.0870729051614849</v>
      </c>
      <c r="GX21" s="540">
        <f t="shared" si="177"/>
        <v>0</v>
      </c>
      <c r="GY21" s="538"/>
      <c r="GZ21" s="539">
        <f t="shared" si="67"/>
        <v>0</v>
      </c>
      <c r="HA21" s="540">
        <f t="shared" si="178"/>
        <v>0</v>
      </c>
      <c r="HB21" s="538"/>
      <c r="HC21" s="539">
        <f t="shared" si="68"/>
        <v>0</v>
      </c>
      <c r="HD21" s="540">
        <f t="shared" si="179"/>
        <v>0</v>
      </c>
      <c r="HE21" s="538"/>
      <c r="HF21" s="539">
        <f t="shared" si="69"/>
        <v>0</v>
      </c>
      <c r="HG21" s="540">
        <f t="shared" si="180"/>
        <v>0</v>
      </c>
      <c r="HH21" s="538"/>
      <c r="HI21" s="539">
        <f t="shared" si="70"/>
        <v>0</v>
      </c>
      <c r="HJ21" s="540">
        <f t="shared" si="181"/>
        <v>0</v>
      </c>
      <c r="HK21" s="538"/>
      <c r="HL21" s="539">
        <f t="shared" si="71"/>
        <v>0</v>
      </c>
      <c r="HM21" s="540">
        <f t="shared" si="182"/>
        <v>0</v>
      </c>
      <c r="HN21" s="538">
        <v>1202.3407241431992</v>
      </c>
      <c r="HO21" s="539">
        <f t="shared" si="72"/>
        <v>22.002355600468455</v>
      </c>
      <c r="HP21" s="540">
        <f t="shared" si="183"/>
        <v>0</v>
      </c>
      <c r="HQ21" s="538"/>
      <c r="HR21" s="539">
        <f t="shared" si="73"/>
        <v>0</v>
      </c>
      <c r="HS21" s="540">
        <f t="shared" si="184"/>
        <v>0</v>
      </c>
      <c r="HT21" s="538">
        <v>0</v>
      </c>
      <c r="HU21" s="539">
        <f t="shared" si="74"/>
        <v>0</v>
      </c>
      <c r="HV21" s="540">
        <f t="shared" si="185"/>
        <v>0</v>
      </c>
      <c r="HW21" s="538">
        <v>0</v>
      </c>
      <c r="HX21" s="539">
        <f t="shared" si="75"/>
        <v>0</v>
      </c>
      <c r="HY21" s="540">
        <f t="shared" si="186"/>
        <v>0</v>
      </c>
      <c r="HZ21" s="538">
        <v>0</v>
      </c>
      <c r="IA21" s="539">
        <f t="shared" si="76"/>
        <v>0</v>
      </c>
      <c r="IB21" s="540">
        <f t="shared" si="187"/>
        <v>0</v>
      </c>
      <c r="IC21" s="538">
        <v>0</v>
      </c>
      <c r="ID21" s="539">
        <f t="shared" si="77"/>
        <v>0</v>
      </c>
      <c r="IE21" s="540">
        <f t="shared" si="188"/>
        <v>0</v>
      </c>
      <c r="IF21" s="538">
        <v>26.731883688954525</v>
      </c>
      <c r="IG21" s="539">
        <f t="shared" si="78"/>
        <v>0.48918280732266817</v>
      </c>
      <c r="IH21" s="540">
        <f t="shared" si="189"/>
        <v>0</v>
      </c>
      <c r="II21" s="538"/>
      <c r="IJ21" s="539">
        <f t="shared" si="79"/>
        <v>0</v>
      </c>
      <c r="IK21" s="540">
        <f t="shared" si="190"/>
        <v>0</v>
      </c>
      <c r="IL21" s="538">
        <v>8.9106278963181751</v>
      </c>
      <c r="IM21" s="539">
        <f t="shared" si="80"/>
        <v>0.16306093577422273</v>
      </c>
      <c r="IN21" s="540">
        <f t="shared" si="191"/>
        <v>0</v>
      </c>
      <c r="IO21" s="538">
        <v>41.582930182818153</v>
      </c>
      <c r="IP21" s="539">
        <f t="shared" si="81"/>
        <v>0.7609510336130394</v>
      </c>
      <c r="IQ21" s="540">
        <f t="shared" si="192"/>
        <v>0</v>
      </c>
      <c r="IR21" s="538">
        <v>0</v>
      </c>
      <c r="IS21" s="539">
        <f t="shared" si="82"/>
        <v>0</v>
      </c>
      <c r="IT21" s="540">
        <f t="shared" si="193"/>
        <v>0</v>
      </c>
      <c r="IU21" s="538"/>
      <c r="IV21" s="539">
        <f t="shared" si="83"/>
        <v>0</v>
      </c>
      <c r="IW21" s="540">
        <f t="shared" si="194"/>
        <v>0</v>
      </c>
      <c r="IX21" s="538">
        <v>0</v>
      </c>
      <c r="IY21" s="539">
        <f t="shared" si="84"/>
        <v>0</v>
      </c>
      <c r="IZ21" s="540">
        <f t="shared" si="195"/>
        <v>0</v>
      </c>
      <c r="JA21" s="538"/>
      <c r="JB21" s="539">
        <f t="shared" si="85"/>
        <v>0</v>
      </c>
      <c r="JC21" s="540">
        <f t="shared" si="196"/>
        <v>0</v>
      </c>
      <c r="JD21" s="538"/>
      <c r="JE21" s="539">
        <f t="shared" si="86"/>
        <v>0</v>
      </c>
      <c r="JF21" s="540">
        <f t="shared" si="197"/>
        <v>0</v>
      </c>
      <c r="JG21" s="538">
        <v>26.731883688954525</v>
      </c>
      <c r="JH21" s="540" t="str">
        <f t="shared" si="87"/>
        <v>0</v>
      </c>
      <c r="JI21" s="540" t="str">
        <f t="shared" si="88"/>
        <v>0</v>
      </c>
      <c r="JJ21" s="538">
        <v>0</v>
      </c>
      <c r="JK21" s="540" t="str">
        <f t="shared" si="89"/>
        <v>0</v>
      </c>
      <c r="JL21" s="540" t="str">
        <f t="shared" si="90"/>
        <v>0</v>
      </c>
      <c r="JM21" s="538"/>
      <c r="JN21" s="540" t="str">
        <f t="shared" si="91"/>
        <v>0</v>
      </c>
      <c r="JO21" s="540" t="str">
        <f t="shared" si="92"/>
        <v>0</v>
      </c>
      <c r="JP21" s="538"/>
      <c r="JQ21" s="540" t="str">
        <f t="shared" si="93"/>
        <v>0</v>
      </c>
      <c r="JR21" s="540" t="str">
        <f t="shared" si="94"/>
        <v>0</v>
      </c>
      <c r="JS21" s="538"/>
      <c r="JT21" s="540" t="str">
        <f t="shared" si="95"/>
        <v>0</v>
      </c>
      <c r="JU21" s="540" t="str">
        <f t="shared" si="96"/>
        <v>0</v>
      </c>
      <c r="JV21" s="538"/>
      <c r="JW21" s="540" t="str">
        <f t="shared" si="97"/>
        <v>0</v>
      </c>
      <c r="JX21" s="540" t="str">
        <f t="shared" si="98"/>
        <v>0</v>
      </c>
      <c r="JY21" s="538"/>
      <c r="JZ21" s="540" t="str">
        <f t="shared" si="99"/>
        <v>0</v>
      </c>
      <c r="KA21" s="540" t="str">
        <f t="shared" si="100"/>
        <v>0</v>
      </c>
      <c r="KB21" s="538"/>
      <c r="KC21" s="540" t="str">
        <f t="shared" si="101"/>
        <v>0</v>
      </c>
      <c r="KD21" s="540" t="str">
        <f t="shared" si="102"/>
        <v>0</v>
      </c>
      <c r="KE21" s="538"/>
      <c r="KF21" s="540" t="str">
        <f t="shared" si="103"/>
        <v>0</v>
      </c>
      <c r="KG21" s="540" t="str">
        <f t="shared" si="104"/>
        <v>0</v>
      </c>
      <c r="KH21" s="538"/>
      <c r="KI21" s="540" t="str">
        <f t="shared" si="105"/>
        <v>0</v>
      </c>
      <c r="KJ21" s="540" t="str">
        <f t="shared" si="106"/>
        <v>0</v>
      </c>
      <c r="KK21" s="538"/>
      <c r="KL21" s="540" t="str">
        <f t="shared" si="107"/>
        <v>0</v>
      </c>
      <c r="KM21" s="540" t="str">
        <f t="shared" si="108"/>
        <v>0</v>
      </c>
      <c r="KN21" s="538"/>
      <c r="KO21" s="540" t="str">
        <f t="shared" si="109"/>
        <v>0</v>
      </c>
      <c r="KP21" s="540" t="str">
        <f t="shared" si="110"/>
        <v>0</v>
      </c>
      <c r="KQ21" s="540">
        <f t="shared" si="111"/>
        <v>0</v>
      </c>
      <c r="KR21" s="540">
        <f t="shared" si="198"/>
        <v>0</v>
      </c>
      <c r="KS21" s="268">
        <f t="shared" si="199"/>
        <v>2412.8131212588214</v>
      </c>
    </row>
    <row r="22" spans="1:306" ht="15" customHeight="1">
      <c r="A22" s="270">
        <f t="shared" si="200"/>
        <v>45944</v>
      </c>
      <c r="B22" s="271" t="str">
        <f>+Report1!B22</f>
        <v>Napkin/Towel</v>
      </c>
      <c r="C22" s="271" t="str">
        <f>+Report1!C22</f>
        <v>20,5/30</v>
      </c>
      <c r="D22" s="272">
        <f>+Report1!P22</f>
        <v>66.12</v>
      </c>
      <c r="E22" s="273">
        <f>+Report1!R22</f>
        <v>70.001999999999995</v>
      </c>
      <c r="F22" s="538">
        <v>81.396181395348776</v>
      </c>
      <c r="G22" s="539">
        <f t="shared" si="0"/>
        <v>1.1627693693801431</v>
      </c>
      <c r="H22" s="540">
        <f t="shared" si="112"/>
        <v>0</v>
      </c>
      <c r="I22" s="538">
        <v>0</v>
      </c>
      <c r="J22" s="539">
        <f t="shared" si="1"/>
        <v>0</v>
      </c>
      <c r="K22" s="540">
        <f t="shared" si="113"/>
        <v>0</v>
      </c>
      <c r="L22" s="538"/>
      <c r="M22" s="539">
        <f t="shared" si="2"/>
        <v>0</v>
      </c>
      <c r="N22" s="540">
        <f t="shared" si="114"/>
        <v>0</v>
      </c>
      <c r="O22" s="538">
        <v>9</v>
      </c>
      <c r="P22" s="539">
        <f t="shared" si="3"/>
        <v>0.12856775520699409</v>
      </c>
      <c r="Q22" s="540">
        <f t="shared" si="115"/>
        <v>0</v>
      </c>
      <c r="R22" s="538"/>
      <c r="S22" s="539">
        <f t="shared" si="4"/>
        <v>0</v>
      </c>
      <c r="T22" s="540">
        <f t="shared" si="116"/>
        <v>0</v>
      </c>
      <c r="U22" s="538">
        <v>7.6875</v>
      </c>
      <c r="V22" s="539">
        <f t="shared" si="5"/>
        <v>0.10981829090597413</v>
      </c>
      <c r="W22" s="540">
        <f t="shared" si="117"/>
        <v>0</v>
      </c>
      <c r="X22" s="538"/>
      <c r="Y22" s="539">
        <f t="shared" si="6"/>
        <v>0</v>
      </c>
      <c r="Z22" s="540">
        <f t="shared" si="118"/>
        <v>0</v>
      </c>
      <c r="AA22" s="538"/>
      <c r="AB22" s="539">
        <f t="shared" si="7"/>
        <v>0</v>
      </c>
      <c r="AC22" s="540">
        <f t="shared" si="119"/>
        <v>0</v>
      </c>
      <c r="AD22" s="538"/>
      <c r="AE22" s="539">
        <f t="shared" si="8"/>
        <v>0</v>
      </c>
      <c r="AF22" s="540">
        <f t="shared" si="120"/>
        <v>0</v>
      </c>
      <c r="AG22" s="538"/>
      <c r="AH22" s="539">
        <f t="shared" si="9"/>
        <v>0</v>
      </c>
      <c r="AI22" s="540">
        <f t="shared" si="121"/>
        <v>0</v>
      </c>
      <c r="AJ22" s="538"/>
      <c r="AK22" s="539">
        <f t="shared" si="10"/>
        <v>0</v>
      </c>
      <c r="AL22" s="540">
        <f t="shared" si="122"/>
        <v>0</v>
      </c>
      <c r="AM22" s="538">
        <v>31.538461538461547</v>
      </c>
      <c r="AN22" s="539">
        <f t="shared" si="11"/>
        <v>0.45053657807579139</v>
      </c>
      <c r="AO22" s="540">
        <f t="shared" si="123"/>
        <v>0</v>
      </c>
      <c r="AP22" s="538"/>
      <c r="AQ22" s="539">
        <f t="shared" si="12"/>
        <v>0</v>
      </c>
      <c r="AR22" s="540">
        <f t="shared" si="124"/>
        <v>0</v>
      </c>
      <c r="AS22" s="538"/>
      <c r="AT22" s="539">
        <f t="shared" si="13"/>
        <v>0</v>
      </c>
      <c r="AU22" s="540">
        <f t="shared" si="125"/>
        <v>0</v>
      </c>
      <c r="AV22" s="538">
        <v>0</v>
      </c>
      <c r="AW22" s="539">
        <f t="shared" si="14"/>
        <v>0</v>
      </c>
      <c r="AX22" s="540">
        <f t="shared" si="126"/>
        <v>0</v>
      </c>
      <c r="AY22" s="538">
        <v>28</v>
      </c>
      <c r="AZ22" s="539">
        <f t="shared" si="15"/>
        <v>0.39998857175509273</v>
      </c>
      <c r="BA22" s="540">
        <f t="shared" si="127"/>
        <v>0</v>
      </c>
      <c r="BB22" s="538"/>
      <c r="BC22" s="539">
        <f t="shared" si="16"/>
        <v>0</v>
      </c>
      <c r="BD22" s="540">
        <f t="shared" si="128"/>
        <v>0</v>
      </c>
      <c r="BE22" s="538"/>
      <c r="BF22" s="539">
        <f t="shared" si="17"/>
        <v>0</v>
      </c>
      <c r="BG22" s="540">
        <f t="shared" si="129"/>
        <v>0</v>
      </c>
      <c r="BH22" s="538"/>
      <c r="BI22" s="539">
        <f t="shared" si="18"/>
        <v>0</v>
      </c>
      <c r="BJ22" s="540">
        <f t="shared" si="130"/>
        <v>0</v>
      </c>
      <c r="BK22" s="538"/>
      <c r="BL22" s="539">
        <f t="shared" si="19"/>
        <v>0</v>
      </c>
      <c r="BM22" s="540">
        <f t="shared" si="131"/>
        <v>0</v>
      </c>
      <c r="BN22" s="538"/>
      <c r="BO22" s="539">
        <f t="shared" si="20"/>
        <v>0</v>
      </c>
      <c r="BP22" s="540">
        <f t="shared" si="132"/>
        <v>0</v>
      </c>
      <c r="BQ22" s="538"/>
      <c r="BR22" s="539">
        <f t="shared" si="21"/>
        <v>0</v>
      </c>
      <c r="BS22" s="540">
        <f t="shared" si="133"/>
        <v>0</v>
      </c>
      <c r="BT22" s="538"/>
      <c r="BU22" s="539">
        <f t="shared" si="22"/>
        <v>0</v>
      </c>
      <c r="BV22" s="540">
        <f t="shared" si="134"/>
        <v>0</v>
      </c>
      <c r="BW22" s="538"/>
      <c r="BX22" s="539">
        <f t="shared" si="23"/>
        <v>0</v>
      </c>
      <c r="BY22" s="540">
        <f t="shared" si="135"/>
        <v>0</v>
      </c>
      <c r="BZ22" s="538">
        <v>0</v>
      </c>
      <c r="CA22" s="539">
        <f t="shared" si="24"/>
        <v>0</v>
      </c>
      <c r="CB22" s="540">
        <f t="shared" si="136"/>
        <v>0</v>
      </c>
      <c r="CC22" s="538">
        <v>0</v>
      </c>
      <c r="CD22" s="539">
        <f t="shared" si="25"/>
        <v>0</v>
      </c>
      <c r="CE22" s="540">
        <f t="shared" si="137"/>
        <v>0</v>
      </c>
      <c r="CF22" s="538">
        <v>2.3999999999999986</v>
      </c>
      <c r="CG22" s="539">
        <f t="shared" si="26"/>
        <v>3.4284734721865072E-2</v>
      </c>
      <c r="CH22" s="540">
        <f t="shared" si="138"/>
        <v>0</v>
      </c>
      <c r="CI22" s="538">
        <v>0</v>
      </c>
      <c r="CJ22" s="539">
        <f t="shared" si="27"/>
        <v>0</v>
      </c>
      <c r="CK22" s="540">
        <f t="shared" si="139"/>
        <v>0</v>
      </c>
      <c r="CL22" s="538"/>
      <c r="CM22" s="539">
        <f t="shared" si="28"/>
        <v>0</v>
      </c>
      <c r="CN22" s="540">
        <f t="shared" si="140"/>
        <v>0</v>
      </c>
      <c r="CO22" s="538"/>
      <c r="CP22" s="539">
        <f t="shared" si="29"/>
        <v>0</v>
      </c>
      <c r="CQ22" s="540">
        <f t="shared" si="141"/>
        <v>0</v>
      </c>
      <c r="CR22" s="538"/>
      <c r="CS22" s="539">
        <f t="shared" si="30"/>
        <v>0</v>
      </c>
      <c r="CT22" s="540">
        <f t="shared" si="142"/>
        <v>0</v>
      </c>
      <c r="CU22" s="538"/>
      <c r="CV22" s="539">
        <f t="shared" si="31"/>
        <v>0</v>
      </c>
      <c r="CW22" s="540">
        <f t="shared" si="143"/>
        <v>0</v>
      </c>
      <c r="CX22" s="538"/>
      <c r="CY22" s="539">
        <f t="shared" si="32"/>
        <v>0</v>
      </c>
      <c r="CZ22" s="540">
        <f t="shared" si="144"/>
        <v>0</v>
      </c>
      <c r="DA22" s="538">
        <v>0</v>
      </c>
      <c r="DB22" s="539">
        <f t="shared" si="33"/>
        <v>0</v>
      </c>
      <c r="DC22" s="540">
        <f t="shared" si="145"/>
        <v>0</v>
      </c>
      <c r="DD22" s="538"/>
      <c r="DE22" s="539">
        <f t="shared" si="34"/>
        <v>0</v>
      </c>
      <c r="DF22" s="540">
        <f t="shared" si="146"/>
        <v>0</v>
      </c>
      <c r="DG22" s="538"/>
      <c r="DH22" s="539">
        <f t="shared" si="35"/>
        <v>0</v>
      </c>
      <c r="DI22" s="540">
        <f t="shared" si="201"/>
        <v>0</v>
      </c>
      <c r="DJ22" s="538"/>
      <c r="DK22" s="539">
        <f t="shared" si="36"/>
        <v>0</v>
      </c>
      <c r="DL22" s="540">
        <f t="shared" si="147"/>
        <v>0</v>
      </c>
      <c r="DM22" s="538"/>
      <c r="DN22" s="539">
        <f t="shared" si="37"/>
        <v>0</v>
      </c>
      <c r="DO22" s="540">
        <f t="shared" si="148"/>
        <v>0</v>
      </c>
      <c r="DP22" s="538"/>
      <c r="DQ22" s="539">
        <f t="shared" si="38"/>
        <v>0</v>
      </c>
      <c r="DR22" s="540">
        <f t="shared" si="149"/>
        <v>0</v>
      </c>
      <c r="DS22" s="538"/>
      <c r="DT22" s="539">
        <f t="shared" si="39"/>
        <v>0</v>
      </c>
      <c r="DU22" s="540">
        <f t="shared" si="150"/>
        <v>0</v>
      </c>
      <c r="DV22" s="538"/>
      <c r="DW22" s="539">
        <f t="shared" si="40"/>
        <v>0</v>
      </c>
      <c r="DX22" s="540">
        <f t="shared" si="151"/>
        <v>0</v>
      </c>
      <c r="DY22" s="538">
        <v>43.132530120481903</v>
      </c>
      <c r="DZ22" s="539">
        <f t="shared" si="41"/>
        <v>0.61616139710982409</v>
      </c>
      <c r="EA22" s="540">
        <f t="shared" si="152"/>
        <v>0</v>
      </c>
      <c r="EB22" s="538">
        <v>858.82352941176441</v>
      </c>
      <c r="EC22" s="539">
        <f t="shared" si="42"/>
        <v>12.268557032824269</v>
      </c>
      <c r="ED22" s="540">
        <f t="shared" si="153"/>
        <v>0</v>
      </c>
      <c r="EE22" s="538">
        <v>14.534883720930338</v>
      </c>
      <c r="EF22" s="539">
        <f t="shared" si="43"/>
        <v>0.20763526357718837</v>
      </c>
      <c r="EG22" s="540">
        <f t="shared" si="154"/>
        <v>0</v>
      </c>
      <c r="EH22" s="538">
        <v>0</v>
      </c>
      <c r="EI22" s="539">
        <f t="shared" si="44"/>
        <v>0</v>
      </c>
      <c r="EJ22" s="540">
        <f t="shared" si="155"/>
        <v>0</v>
      </c>
      <c r="EK22" s="538"/>
      <c r="EL22" s="539">
        <f t="shared" si="45"/>
        <v>0</v>
      </c>
      <c r="EM22" s="540">
        <f t="shared" si="156"/>
        <v>0</v>
      </c>
      <c r="EN22" s="538"/>
      <c r="EO22" s="539">
        <f t="shared" si="46"/>
        <v>0</v>
      </c>
      <c r="EP22" s="540">
        <f t="shared" si="157"/>
        <v>0</v>
      </c>
      <c r="EQ22" s="538"/>
      <c r="ER22" s="539">
        <f t="shared" si="47"/>
        <v>0</v>
      </c>
      <c r="ES22" s="540">
        <f t="shared" si="158"/>
        <v>0</v>
      </c>
      <c r="ET22" s="538"/>
      <c r="EU22" s="539">
        <f t="shared" si="48"/>
        <v>0</v>
      </c>
      <c r="EV22" s="540">
        <f t="shared" si="159"/>
        <v>0</v>
      </c>
      <c r="EW22" s="538"/>
      <c r="EX22" s="539">
        <f t="shared" si="49"/>
        <v>0</v>
      </c>
      <c r="EY22" s="540">
        <f t="shared" si="160"/>
        <v>0</v>
      </c>
      <c r="EZ22" s="538"/>
      <c r="FA22" s="539">
        <f t="shared" si="50"/>
        <v>0</v>
      </c>
      <c r="FB22" s="540">
        <f t="shared" si="161"/>
        <v>0</v>
      </c>
      <c r="FC22" s="538"/>
      <c r="FD22" s="539">
        <f t="shared" si="51"/>
        <v>0</v>
      </c>
      <c r="FE22" s="540">
        <f t="shared" si="162"/>
        <v>0</v>
      </c>
      <c r="FF22" s="538"/>
      <c r="FG22" s="539">
        <f t="shared" si="52"/>
        <v>0</v>
      </c>
      <c r="FH22" s="540">
        <f t="shared" si="163"/>
        <v>0</v>
      </c>
      <c r="FI22" s="538"/>
      <c r="FJ22" s="539">
        <f t="shared" si="53"/>
        <v>0</v>
      </c>
      <c r="FK22" s="540">
        <f t="shared" si="164"/>
        <v>0</v>
      </c>
      <c r="FL22" s="538"/>
      <c r="FM22" s="539">
        <f t="shared" si="54"/>
        <v>0</v>
      </c>
      <c r="FN22" s="540">
        <f t="shared" si="165"/>
        <v>0</v>
      </c>
      <c r="FO22" s="538"/>
      <c r="FP22" s="539">
        <f t="shared" si="55"/>
        <v>0</v>
      </c>
      <c r="FQ22" s="540">
        <f t="shared" si="166"/>
        <v>0</v>
      </c>
      <c r="FR22" s="538"/>
      <c r="FS22" s="539">
        <f t="shared" si="56"/>
        <v>0</v>
      </c>
      <c r="FT22" s="540">
        <f t="shared" si="167"/>
        <v>0</v>
      </c>
      <c r="FU22" s="538"/>
      <c r="FV22" s="539">
        <f t="shared" si="57"/>
        <v>0</v>
      </c>
      <c r="FW22" s="540">
        <f t="shared" si="168"/>
        <v>0</v>
      </c>
      <c r="FX22" s="538"/>
      <c r="FY22" s="539">
        <f t="shared" si="58"/>
        <v>0</v>
      </c>
      <c r="FZ22" s="540">
        <f t="shared" si="169"/>
        <v>0</v>
      </c>
      <c r="GA22" s="538"/>
      <c r="GB22" s="539">
        <f t="shared" si="59"/>
        <v>0</v>
      </c>
      <c r="GC22" s="540">
        <f t="shared" si="170"/>
        <v>0</v>
      </c>
      <c r="GD22" s="538"/>
      <c r="GE22" s="539">
        <f t="shared" si="60"/>
        <v>0</v>
      </c>
      <c r="GF22" s="540">
        <f t="shared" si="171"/>
        <v>0</v>
      </c>
      <c r="GG22" s="538">
        <v>8.6897856905041451</v>
      </c>
      <c r="GH22" s="539">
        <f t="shared" si="61"/>
        <v>0.12413624882866411</v>
      </c>
      <c r="GI22" s="540">
        <f t="shared" si="172"/>
        <v>0</v>
      </c>
      <c r="GJ22" s="538">
        <v>8.6897856905041451</v>
      </c>
      <c r="GK22" s="539">
        <f t="shared" si="62"/>
        <v>0.12413624882866411</v>
      </c>
      <c r="GL22" s="540">
        <f t="shared" si="173"/>
        <v>0</v>
      </c>
      <c r="GM22" s="538">
        <v>0</v>
      </c>
      <c r="GN22" s="539">
        <f t="shared" si="63"/>
        <v>0</v>
      </c>
      <c r="GO22" s="540">
        <f t="shared" si="174"/>
        <v>0</v>
      </c>
      <c r="GP22" s="538">
        <v>37.655737992184626</v>
      </c>
      <c r="GQ22" s="539">
        <f t="shared" si="64"/>
        <v>0.53792374492421113</v>
      </c>
      <c r="GR22" s="540">
        <f t="shared" si="175"/>
        <v>0</v>
      </c>
      <c r="GS22" s="538">
        <v>260.69357071512434</v>
      </c>
      <c r="GT22" s="539">
        <f t="shared" si="65"/>
        <v>3.7240874648599234</v>
      </c>
      <c r="GU22" s="540">
        <f t="shared" si="176"/>
        <v>0</v>
      </c>
      <c r="GV22" s="538">
        <v>57.931904603360962</v>
      </c>
      <c r="GW22" s="539">
        <f t="shared" si="66"/>
        <v>0.82757499219109409</v>
      </c>
      <c r="GX22" s="540">
        <f t="shared" si="177"/>
        <v>0</v>
      </c>
      <c r="GY22" s="538"/>
      <c r="GZ22" s="539">
        <f t="shared" si="67"/>
        <v>0</v>
      </c>
      <c r="HA22" s="540">
        <f t="shared" si="178"/>
        <v>0</v>
      </c>
      <c r="HB22" s="538"/>
      <c r="HC22" s="539">
        <f t="shared" si="68"/>
        <v>0</v>
      </c>
      <c r="HD22" s="540">
        <f t="shared" si="179"/>
        <v>0</v>
      </c>
      <c r="HE22" s="538"/>
      <c r="HF22" s="539">
        <f t="shared" si="69"/>
        <v>0</v>
      </c>
      <c r="HG22" s="540">
        <f t="shared" si="180"/>
        <v>0</v>
      </c>
      <c r="HH22" s="538"/>
      <c r="HI22" s="539">
        <f t="shared" si="70"/>
        <v>0</v>
      </c>
      <c r="HJ22" s="540">
        <f t="shared" si="181"/>
        <v>0</v>
      </c>
      <c r="HK22" s="538"/>
      <c r="HL22" s="539">
        <f t="shared" si="71"/>
        <v>0</v>
      </c>
      <c r="HM22" s="540">
        <f t="shared" si="182"/>
        <v>0</v>
      </c>
      <c r="HN22" s="538">
        <v>1252.4877775246639</v>
      </c>
      <c r="HO22" s="539">
        <f t="shared" si="72"/>
        <v>17.892171331171451</v>
      </c>
      <c r="HP22" s="540">
        <f t="shared" si="183"/>
        <v>0</v>
      </c>
      <c r="HQ22" s="538"/>
      <c r="HR22" s="539">
        <f t="shared" si="73"/>
        <v>0</v>
      </c>
      <c r="HS22" s="540">
        <f t="shared" si="184"/>
        <v>0</v>
      </c>
      <c r="HT22" s="538">
        <v>0</v>
      </c>
      <c r="HU22" s="539">
        <f t="shared" si="74"/>
        <v>0</v>
      </c>
      <c r="HV22" s="540">
        <f t="shared" si="185"/>
        <v>0</v>
      </c>
      <c r="HW22" s="538">
        <v>0</v>
      </c>
      <c r="HX22" s="539">
        <f t="shared" si="75"/>
        <v>0</v>
      </c>
      <c r="HY22" s="540">
        <f t="shared" si="186"/>
        <v>0</v>
      </c>
      <c r="HZ22" s="538">
        <v>0</v>
      </c>
      <c r="IA22" s="539">
        <f t="shared" si="76"/>
        <v>0</v>
      </c>
      <c r="IB22" s="540">
        <f t="shared" si="187"/>
        <v>0</v>
      </c>
      <c r="IC22" s="538">
        <v>0</v>
      </c>
      <c r="ID22" s="539">
        <f t="shared" si="77"/>
        <v>0</v>
      </c>
      <c r="IE22" s="540">
        <f t="shared" si="188"/>
        <v>0</v>
      </c>
      <c r="IF22" s="538">
        <v>17.37957138100829</v>
      </c>
      <c r="IG22" s="539">
        <f t="shared" si="78"/>
        <v>0.24827249765732823</v>
      </c>
      <c r="IH22" s="540">
        <f t="shared" si="189"/>
        <v>0</v>
      </c>
      <c r="II22" s="538"/>
      <c r="IJ22" s="539">
        <f t="shared" si="79"/>
        <v>0</v>
      </c>
      <c r="IK22" s="540">
        <f t="shared" si="190"/>
        <v>0</v>
      </c>
      <c r="IL22" s="538">
        <v>0</v>
      </c>
      <c r="IM22" s="539">
        <f t="shared" si="80"/>
        <v>0</v>
      </c>
      <c r="IN22" s="540">
        <f t="shared" si="191"/>
        <v>0</v>
      </c>
      <c r="IO22" s="538">
        <v>60.828499833529008</v>
      </c>
      <c r="IP22" s="539">
        <f t="shared" si="81"/>
        <v>0.86895374180064877</v>
      </c>
      <c r="IQ22" s="540">
        <f t="shared" si="192"/>
        <v>0</v>
      </c>
      <c r="IR22" s="538">
        <v>0</v>
      </c>
      <c r="IS22" s="539">
        <f t="shared" si="82"/>
        <v>0</v>
      </c>
      <c r="IT22" s="540">
        <f t="shared" si="193"/>
        <v>0</v>
      </c>
      <c r="IU22" s="538"/>
      <c r="IV22" s="539">
        <f t="shared" si="83"/>
        <v>0</v>
      </c>
      <c r="IW22" s="540">
        <f t="shared" si="194"/>
        <v>0</v>
      </c>
      <c r="IX22" s="538">
        <v>0</v>
      </c>
      <c r="IY22" s="539">
        <f t="shared" si="84"/>
        <v>0</v>
      </c>
      <c r="IZ22" s="540">
        <f t="shared" si="195"/>
        <v>0</v>
      </c>
      <c r="JA22" s="538"/>
      <c r="JB22" s="539">
        <f t="shared" si="85"/>
        <v>0</v>
      </c>
      <c r="JC22" s="540">
        <f t="shared" si="196"/>
        <v>0</v>
      </c>
      <c r="JD22" s="538"/>
      <c r="JE22" s="539">
        <f t="shared" si="86"/>
        <v>0</v>
      </c>
      <c r="JF22" s="540">
        <f t="shared" si="197"/>
        <v>0</v>
      </c>
      <c r="JG22" s="538">
        <v>28.965952301680481</v>
      </c>
      <c r="JH22" s="540" t="str">
        <f t="shared" si="87"/>
        <v>0</v>
      </c>
      <c r="JI22" s="540" t="str">
        <f t="shared" si="88"/>
        <v>0</v>
      </c>
      <c r="JJ22" s="538">
        <v>5.7931904603360964</v>
      </c>
      <c r="JK22" s="540" t="str">
        <f t="shared" si="89"/>
        <v>0</v>
      </c>
      <c r="JL22" s="540" t="str">
        <f t="shared" si="90"/>
        <v>0</v>
      </c>
      <c r="JM22" s="538"/>
      <c r="JN22" s="540" t="str">
        <f t="shared" si="91"/>
        <v>0</v>
      </c>
      <c r="JO22" s="540" t="str">
        <f t="shared" si="92"/>
        <v>0</v>
      </c>
      <c r="JP22" s="538"/>
      <c r="JQ22" s="540" t="str">
        <f t="shared" si="93"/>
        <v>0</v>
      </c>
      <c r="JR22" s="540" t="str">
        <f t="shared" si="94"/>
        <v>0</v>
      </c>
      <c r="JS22" s="538"/>
      <c r="JT22" s="540" t="str">
        <f t="shared" si="95"/>
        <v>0</v>
      </c>
      <c r="JU22" s="540" t="str">
        <f t="shared" si="96"/>
        <v>0</v>
      </c>
      <c r="JV22" s="538"/>
      <c r="JW22" s="540" t="str">
        <f t="shared" si="97"/>
        <v>0</v>
      </c>
      <c r="JX22" s="540" t="str">
        <f t="shared" si="98"/>
        <v>0</v>
      </c>
      <c r="JY22" s="538"/>
      <c r="JZ22" s="540" t="str">
        <f t="shared" si="99"/>
        <v>0</v>
      </c>
      <c r="KA22" s="540" t="str">
        <f t="shared" si="100"/>
        <v>0</v>
      </c>
      <c r="KB22" s="538"/>
      <c r="KC22" s="540" t="str">
        <f t="shared" si="101"/>
        <v>0</v>
      </c>
      <c r="KD22" s="540" t="str">
        <f t="shared" si="102"/>
        <v>0</v>
      </c>
      <c r="KE22" s="538"/>
      <c r="KF22" s="540" t="str">
        <f t="shared" si="103"/>
        <v>0</v>
      </c>
      <c r="KG22" s="540" t="str">
        <f t="shared" si="104"/>
        <v>0</v>
      </c>
      <c r="KH22" s="538"/>
      <c r="KI22" s="540" t="str">
        <f t="shared" si="105"/>
        <v>0</v>
      </c>
      <c r="KJ22" s="540" t="str">
        <f t="shared" si="106"/>
        <v>0</v>
      </c>
      <c r="KK22" s="538"/>
      <c r="KL22" s="540" t="str">
        <f t="shared" si="107"/>
        <v>0</v>
      </c>
      <c r="KM22" s="540" t="str">
        <f t="shared" si="108"/>
        <v>0</v>
      </c>
      <c r="KN22" s="538"/>
      <c r="KO22" s="540" t="str">
        <f t="shared" si="109"/>
        <v>0</v>
      </c>
      <c r="KP22" s="540" t="str">
        <f t="shared" si="110"/>
        <v>0</v>
      </c>
      <c r="KQ22" s="540">
        <f t="shared" si="111"/>
        <v>0</v>
      </c>
      <c r="KR22" s="540">
        <f t="shared" si="198"/>
        <v>0</v>
      </c>
      <c r="KS22" s="268">
        <f t="shared" si="199"/>
        <v>2815.6288623798823</v>
      </c>
    </row>
    <row r="23" spans="1:306" ht="15" customHeight="1">
      <c r="A23" s="270">
        <f t="shared" si="200"/>
        <v>45945</v>
      </c>
      <c r="B23" s="271" t="str">
        <f>+Report1!B23</f>
        <v>Towel/Napkin</v>
      </c>
      <c r="C23" s="271" t="str">
        <f>+Report1!C23</f>
        <v>30/17/16</v>
      </c>
      <c r="D23" s="272">
        <f>+Report1!P23</f>
        <v>53.935000000000002</v>
      </c>
      <c r="E23" s="273">
        <f>+Report1!R23</f>
        <v>49.869</v>
      </c>
      <c r="F23" s="538">
        <v>0</v>
      </c>
      <c r="G23" s="539">
        <f t="shared" si="0"/>
        <v>0</v>
      </c>
      <c r="H23" s="540">
        <f t="shared" si="112"/>
        <v>0</v>
      </c>
      <c r="I23" s="538">
        <v>0</v>
      </c>
      <c r="J23" s="539">
        <f t="shared" si="1"/>
        <v>0</v>
      </c>
      <c r="K23" s="540">
        <f t="shared" si="113"/>
        <v>0</v>
      </c>
      <c r="L23" s="538"/>
      <c r="M23" s="539">
        <f t="shared" si="2"/>
        <v>0</v>
      </c>
      <c r="N23" s="540">
        <f t="shared" si="114"/>
        <v>0</v>
      </c>
      <c r="O23" s="538">
        <v>9</v>
      </c>
      <c r="P23" s="539">
        <f t="shared" si="3"/>
        <v>0.18047283883775492</v>
      </c>
      <c r="Q23" s="540">
        <f t="shared" si="115"/>
        <v>0</v>
      </c>
      <c r="R23" s="538"/>
      <c r="S23" s="539">
        <f t="shared" si="4"/>
        <v>0</v>
      </c>
      <c r="T23" s="540">
        <f t="shared" si="116"/>
        <v>0</v>
      </c>
      <c r="U23" s="538">
        <v>7.6875</v>
      </c>
      <c r="V23" s="539">
        <f t="shared" si="5"/>
        <v>0.15415388317391565</v>
      </c>
      <c r="W23" s="540">
        <f t="shared" si="117"/>
        <v>0</v>
      </c>
      <c r="X23" s="538"/>
      <c r="Y23" s="539">
        <f t="shared" si="6"/>
        <v>0</v>
      </c>
      <c r="Z23" s="540">
        <f t="shared" si="118"/>
        <v>0</v>
      </c>
      <c r="AA23" s="538"/>
      <c r="AB23" s="539">
        <f t="shared" si="7"/>
        <v>0</v>
      </c>
      <c r="AC23" s="540">
        <f t="shared" si="119"/>
        <v>0</v>
      </c>
      <c r="AD23" s="538"/>
      <c r="AE23" s="539">
        <f t="shared" si="8"/>
        <v>0</v>
      </c>
      <c r="AF23" s="540">
        <f t="shared" si="120"/>
        <v>0</v>
      </c>
      <c r="AG23" s="538"/>
      <c r="AH23" s="539">
        <f t="shared" si="9"/>
        <v>0</v>
      </c>
      <c r="AI23" s="540">
        <f t="shared" si="121"/>
        <v>0</v>
      </c>
      <c r="AJ23" s="538"/>
      <c r="AK23" s="539">
        <f t="shared" si="10"/>
        <v>0</v>
      </c>
      <c r="AL23" s="540">
        <f t="shared" si="122"/>
        <v>0</v>
      </c>
      <c r="AM23" s="538">
        <v>34.166666666666657</v>
      </c>
      <c r="AN23" s="539">
        <f t="shared" si="11"/>
        <v>0.6851283696618472</v>
      </c>
      <c r="AO23" s="540">
        <f t="shared" si="123"/>
        <v>0</v>
      </c>
      <c r="AP23" s="538"/>
      <c r="AQ23" s="539">
        <f t="shared" si="12"/>
        <v>0</v>
      </c>
      <c r="AR23" s="540">
        <f t="shared" si="124"/>
        <v>0</v>
      </c>
      <c r="AS23" s="538"/>
      <c r="AT23" s="539">
        <f t="shared" si="13"/>
        <v>0</v>
      </c>
      <c r="AU23" s="540">
        <f t="shared" si="125"/>
        <v>0</v>
      </c>
      <c r="AV23" s="538">
        <v>5.5500000000000114</v>
      </c>
      <c r="AW23" s="539">
        <f t="shared" si="14"/>
        <v>0.11129158394994909</v>
      </c>
      <c r="AX23" s="540">
        <f t="shared" si="126"/>
        <v>0</v>
      </c>
      <c r="AY23" s="538">
        <v>55.999999999999972</v>
      </c>
      <c r="AZ23" s="539">
        <f t="shared" si="15"/>
        <v>1.1229421083238078</v>
      </c>
      <c r="BA23" s="540">
        <f t="shared" si="127"/>
        <v>0</v>
      </c>
      <c r="BB23" s="538"/>
      <c r="BC23" s="539">
        <f t="shared" si="16"/>
        <v>0</v>
      </c>
      <c r="BD23" s="540">
        <f t="shared" si="128"/>
        <v>0</v>
      </c>
      <c r="BE23" s="538"/>
      <c r="BF23" s="539">
        <f t="shared" si="17"/>
        <v>0</v>
      </c>
      <c r="BG23" s="540">
        <f t="shared" si="129"/>
        <v>0</v>
      </c>
      <c r="BH23" s="538"/>
      <c r="BI23" s="539">
        <f t="shared" si="18"/>
        <v>0</v>
      </c>
      <c r="BJ23" s="540">
        <f t="shared" si="130"/>
        <v>0</v>
      </c>
      <c r="BK23" s="538"/>
      <c r="BL23" s="539">
        <f t="shared" si="19"/>
        <v>0</v>
      </c>
      <c r="BM23" s="540">
        <f t="shared" si="131"/>
        <v>0</v>
      </c>
      <c r="BN23" s="538"/>
      <c r="BO23" s="539">
        <f t="shared" si="20"/>
        <v>0</v>
      </c>
      <c r="BP23" s="540">
        <f t="shared" si="132"/>
        <v>0</v>
      </c>
      <c r="BQ23" s="538"/>
      <c r="BR23" s="539">
        <f t="shared" si="21"/>
        <v>0</v>
      </c>
      <c r="BS23" s="540">
        <f t="shared" si="133"/>
        <v>0</v>
      </c>
      <c r="BT23" s="538"/>
      <c r="BU23" s="539">
        <f t="shared" si="22"/>
        <v>0</v>
      </c>
      <c r="BV23" s="540">
        <f t="shared" si="134"/>
        <v>0</v>
      </c>
      <c r="BW23" s="538"/>
      <c r="BX23" s="539">
        <f t="shared" si="23"/>
        <v>0</v>
      </c>
      <c r="BY23" s="540">
        <f t="shared" si="135"/>
        <v>0</v>
      </c>
      <c r="BZ23" s="538">
        <v>0</v>
      </c>
      <c r="CA23" s="539">
        <f t="shared" si="24"/>
        <v>0</v>
      </c>
      <c r="CB23" s="540">
        <f t="shared" si="136"/>
        <v>0</v>
      </c>
      <c r="CC23" s="538">
        <v>0</v>
      </c>
      <c r="CD23" s="539">
        <f t="shared" si="25"/>
        <v>0</v>
      </c>
      <c r="CE23" s="540">
        <f t="shared" si="137"/>
        <v>0</v>
      </c>
      <c r="CF23" s="538">
        <v>5.4000000000000021</v>
      </c>
      <c r="CG23" s="539">
        <f t="shared" si="26"/>
        <v>0.10828370330265299</v>
      </c>
      <c r="CH23" s="540">
        <f t="shared" si="138"/>
        <v>0</v>
      </c>
      <c r="CI23" s="538">
        <v>0</v>
      </c>
      <c r="CJ23" s="539">
        <f t="shared" si="27"/>
        <v>0</v>
      </c>
      <c r="CK23" s="540">
        <f t="shared" si="139"/>
        <v>0</v>
      </c>
      <c r="CL23" s="538"/>
      <c r="CM23" s="539">
        <f t="shared" si="28"/>
        <v>0</v>
      </c>
      <c r="CN23" s="540">
        <f t="shared" si="140"/>
        <v>0</v>
      </c>
      <c r="CO23" s="538"/>
      <c r="CP23" s="539">
        <f t="shared" si="29"/>
        <v>0</v>
      </c>
      <c r="CQ23" s="540">
        <f t="shared" si="141"/>
        <v>0</v>
      </c>
      <c r="CR23" s="538"/>
      <c r="CS23" s="539">
        <f t="shared" si="30"/>
        <v>0</v>
      </c>
      <c r="CT23" s="540">
        <f t="shared" si="142"/>
        <v>0</v>
      </c>
      <c r="CU23" s="538"/>
      <c r="CV23" s="539">
        <f t="shared" si="31"/>
        <v>0</v>
      </c>
      <c r="CW23" s="540">
        <f t="shared" si="143"/>
        <v>0</v>
      </c>
      <c r="CX23" s="538"/>
      <c r="CY23" s="539">
        <f t="shared" si="32"/>
        <v>0</v>
      </c>
      <c r="CZ23" s="540">
        <f t="shared" si="144"/>
        <v>0</v>
      </c>
      <c r="DA23" s="538">
        <v>308.82352941176464</v>
      </c>
      <c r="DB23" s="539">
        <f t="shared" si="33"/>
        <v>6.1926954503151181</v>
      </c>
      <c r="DC23" s="540">
        <f t="shared" si="145"/>
        <v>0</v>
      </c>
      <c r="DD23" s="538"/>
      <c r="DE23" s="539">
        <f t="shared" si="34"/>
        <v>0</v>
      </c>
      <c r="DF23" s="540">
        <f t="shared" si="146"/>
        <v>0</v>
      </c>
      <c r="DG23" s="538"/>
      <c r="DH23" s="539">
        <f t="shared" si="35"/>
        <v>0</v>
      </c>
      <c r="DI23" s="540">
        <f t="shared" si="201"/>
        <v>0</v>
      </c>
      <c r="DJ23" s="538"/>
      <c r="DK23" s="539">
        <f t="shared" si="36"/>
        <v>0</v>
      </c>
      <c r="DL23" s="540">
        <f t="shared" si="147"/>
        <v>0</v>
      </c>
      <c r="DM23" s="538"/>
      <c r="DN23" s="539">
        <f t="shared" si="37"/>
        <v>0</v>
      </c>
      <c r="DO23" s="540">
        <f t="shared" si="148"/>
        <v>0</v>
      </c>
      <c r="DP23" s="538"/>
      <c r="DQ23" s="539">
        <f t="shared" si="38"/>
        <v>0</v>
      </c>
      <c r="DR23" s="540">
        <f t="shared" si="149"/>
        <v>0</v>
      </c>
      <c r="DS23" s="538"/>
      <c r="DT23" s="539">
        <f t="shared" si="39"/>
        <v>0</v>
      </c>
      <c r="DU23" s="540">
        <f t="shared" si="150"/>
        <v>0</v>
      </c>
      <c r="DV23" s="538"/>
      <c r="DW23" s="539">
        <f t="shared" si="40"/>
        <v>0</v>
      </c>
      <c r="DX23" s="540">
        <f t="shared" si="151"/>
        <v>0</v>
      </c>
      <c r="DY23" s="538">
        <v>0</v>
      </c>
      <c r="DZ23" s="539">
        <f t="shared" si="41"/>
        <v>0</v>
      </c>
      <c r="EA23" s="540">
        <f t="shared" si="152"/>
        <v>0</v>
      </c>
      <c r="EB23" s="538">
        <v>635.29411764705901</v>
      </c>
      <c r="EC23" s="539">
        <f t="shared" si="42"/>
        <v>12.739259212076821</v>
      </c>
      <c r="ED23" s="540">
        <f t="shared" si="153"/>
        <v>0</v>
      </c>
      <c r="EE23" s="538">
        <v>14.534883720930111</v>
      </c>
      <c r="EF23" s="539">
        <f t="shared" si="43"/>
        <v>0.29146130303254747</v>
      </c>
      <c r="EG23" s="540">
        <f t="shared" si="154"/>
        <v>0</v>
      </c>
      <c r="EH23" s="538">
        <v>0</v>
      </c>
      <c r="EI23" s="539">
        <f t="shared" si="44"/>
        <v>0</v>
      </c>
      <c r="EJ23" s="540">
        <f t="shared" si="155"/>
        <v>0</v>
      </c>
      <c r="EK23" s="538"/>
      <c r="EL23" s="539">
        <f t="shared" si="45"/>
        <v>0</v>
      </c>
      <c r="EM23" s="540">
        <f t="shared" si="156"/>
        <v>0</v>
      </c>
      <c r="EN23" s="538"/>
      <c r="EO23" s="539">
        <f t="shared" si="46"/>
        <v>0</v>
      </c>
      <c r="EP23" s="540">
        <f t="shared" si="157"/>
        <v>0</v>
      </c>
      <c r="EQ23" s="538"/>
      <c r="ER23" s="539">
        <f t="shared" si="47"/>
        <v>0</v>
      </c>
      <c r="ES23" s="540">
        <f t="shared" si="158"/>
        <v>0</v>
      </c>
      <c r="ET23" s="538"/>
      <c r="EU23" s="539">
        <f t="shared" si="48"/>
        <v>0</v>
      </c>
      <c r="EV23" s="540">
        <f t="shared" si="159"/>
        <v>0</v>
      </c>
      <c r="EW23" s="538"/>
      <c r="EX23" s="539">
        <f t="shared" si="49"/>
        <v>0</v>
      </c>
      <c r="EY23" s="540">
        <f t="shared" si="160"/>
        <v>0</v>
      </c>
      <c r="EZ23" s="538"/>
      <c r="FA23" s="539">
        <f t="shared" si="50"/>
        <v>0</v>
      </c>
      <c r="FB23" s="540">
        <f t="shared" si="161"/>
        <v>0</v>
      </c>
      <c r="FC23" s="538"/>
      <c r="FD23" s="539">
        <f t="shared" si="51"/>
        <v>0</v>
      </c>
      <c r="FE23" s="540">
        <f t="shared" si="162"/>
        <v>0</v>
      </c>
      <c r="FF23" s="538"/>
      <c r="FG23" s="539">
        <f t="shared" si="52"/>
        <v>0</v>
      </c>
      <c r="FH23" s="540">
        <f t="shared" si="163"/>
        <v>0</v>
      </c>
      <c r="FI23" s="538"/>
      <c r="FJ23" s="539">
        <f t="shared" si="53"/>
        <v>0</v>
      </c>
      <c r="FK23" s="540">
        <f t="shared" si="164"/>
        <v>0</v>
      </c>
      <c r="FL23" s="538"/>
      <c r="FM23" s="539">
        <f t="shared" si="54"/>
        <v>0</v>
      </c>
      <c r="FN23" s="540">
        <f t="shared" si="165"/>
        <v>0</v>
      </c>
      <c r="FO23" s="538"/>
      <c r="FP23" s="539">
        <f t="shared" si="55"/>
        <v>0</v>
      </c>
      <c r="FQ23" s="540">
        <f t="shared" si="166"/>
        <v>0</v>
      </c>
      <c r="FR23" s="538"/>
      <c r="FS23" s="539">
        <f t="shared" si="56"/>
        <v>0</v>
      </c>
      <c r="FT23" s="540">
        <f t="shared" si="167"/>
        <v>0</v>
      </c>
      <c r="FU23" s="538"/>
      <c r="FV23" s="539">
        <f t="shared" si="57"/>
        <v>0</v>
      </c>
      <c r="FW23" s="540">
        <f t="shared" si="168"/>
        <v>0</v>
      </c>
      <c r="FX23" s="538"/>
      <c r="FY23" s="539">
        <f t="shared" si="58"/>
        <v>0</v>
      </c>
      <c r="FZ23" s="540">
        <f t="shared" si="169"/>
        <v>0</v>
      </c>
      <c r="GA23" s="538"/>
      <c r="GB23" s="539">
        <f t="shared" si="59"/>
        <v>0</v>
      </c>
      <c r="GC23" s="540">
        <f t="shared" si="170"/>
        <v>0</v>
      </c>
      <c r="GD23" s="538"/>
      <c r="GE23" s="539">
        <f t="shared" si="60"/>
        <v>0</v>
      </c>
      <c r="GF23" s="540">
        <f t="shared" si="171"/>
        <v>0</v>
      </c>
      <c r="GG23" s="538">
        <v>10</v>
      </c>
      <c r="GH23" s="539">
        <f t="shared" si="61"/>
        <v>0.20052537648639435</v>
      </c>
      <c r="GI23" s="540">
        <f t="shared" si="172"/>
        <v>0</v>
      </c>
      <c r="GJ23" s="538">
        <v>10</v>
      </c>
      <c r="GK23" s="539">
        <f t="shared" si="62"/>
        <v>0.20052537648639435</v>
      </c>
      <c r="GL23" s="540">
        <f t="shared" si="173"/>
        <v>0</v>
      </c>
      <c r="GM23" s="538">
        <v>0</v>
      </c>
      <c r="GN23" s="539">
        <f t="shared" si="63"/>
        <v>0</v>
      </c>
      <c r="GO23" s="540">
        <f t="shared" si="174"/>
        <v>0</v>
      </c>
      <c r="GP23" s="538">
        <v>0</v>
      </c>
      <c r="GQ23" s="539">
        <f t="shared" si="64"/>
        <v>0</v>
      </c>
      <c r="GR23" s="540">
        <f t="shared" si="175"/>
        <v>0</v>
      </c>
      <c r="GS23" s="538">
        <v>0</v>
      </c>
      <c r="GT23" s="539">
        <f t="shared" si="65"/>
        <v>0</v>
      </c>
      <c r="GU23" s="540">
        <f t="shared" si="176"/>
        <v>0</v>
      </c>
      <c r="GV23" s="538">
        <v>0</v>
      </c>
      <c r="GW23" s="539">
        <f t="shared" si="66"/>
        <v>0</v>
      </c>
      <c r="GX23" s="540">
        <f t="shared" si="177"/>
        <v>0</v>
      </c>
      <c r="GY23" s="538"/>
      <c r="GZ23" s="539">
        <f t="shared" si="67"/>
        <v>0</v>
      </c>
      <c r="HA23" s="540">
        <f t="shared" si="178"/>
        <v>0</v>
      </c>
      <c r="HB23" s="538"/>
      <c r="HC23" s="539">
        <f t="shared" si="68"/>
        <v>0</v>
      </c>
      <c r="HD23" s="540">
        <f t="shared" si="179"/>
        <v>0</v>
      </c>
      <c r="HE23" s="538"/>
      <c r="HF23" s="539">
        <f t="shared" si="69"/>
        <v>0</v>
      </c>
      <c r="HG23" s="540">
        <f t="shared" si="180"/>
        <v>0</v>
      </c>
      <c r="HH23" s="538"/>
      <c r="HI23" s="539">
        <f t="shared" si="70"/>
        <v>0</v>
      </c>
      <c r="HJ23" s="540">
        <f t="shared" si="181"/>
        <v>0</v>
      </c>
      <c r="HK23" s="538"/>
      <c r="HL23" s="539">
        <f t="shared" si="71"/>
        <v>0</v>
      </c>
      <c r="HM23" s="540">
        <f t="shared" si="182"/>
        <v>0</v>
      </c>
      <c r="HN23" s="538">
        <v>1824</v>
      </c>
      <c r="HO23" s="539">
        <f t="shared" si="72"/>
        <v>36.57582867111833</v>
      </c>
      <c r="HP23" s="540">
        <f t="shared" si="183"/>
        <v>0</v>
      </c>
      <c r="HQ23" s="538"/>
      <c r="HR23" s="539">
        <f t="shared" si="73"/>
        <v>0</v>
      </c>
      <c r="HS23" s="540">
        <f t="shared" si="184"/>
        <v>0</v>
      </c>
      <c r="HT23" s="538">
        <v>80</v>
      </c>
      <c r="HU23" s="539">
        <f t="shared" si="74"/>
        <v>1.6042030118911548</v>
      </c>
      <c r="HV23" s="540">
        <f t="shared" si="185"/>
        <v>0</v>
      </c>
      <c r="HW23" s="538">
        <v>15</v>
      </c>
      <c r="HX23" s="539">
        <f t="shared" si="75"/>
        <v>0.30078806472959152</v>
      </c>
      <c r="HY23" s="540">
        <f t="shared" si="186"/>
        <v>0</v>
      </c>
      <c r="HZ23" s="538">
        <v>50</v>
      </c>
      <c r="IA23" s="539">
        <f t="shared" si="76"/>
        <v>1.0026268824319717</v>
      </c>
      <c r="IB23" s="540">
        <f t="shared" si="187"/>
        <v>0</v>
      </c>
      <c r="IC23" s="538">
        <v>60</v>
      </c>
      <c r="ID23" s="539">
        <f t="shared" si="77"/>
        <v>1.2031522589183661</v>
      </c>
      <c r="IE23" s="540">
        <f t="shared" si="188"/>
        <v>0</v>
      </c>
      <c r="IF23" s="538">
        <v>15</v>
      </c>
      <c r="IG23" s="539">
        <f t="shared" si="78"/>
        <v>0.30078806472959152</v>
      </c>
      <c r="IH23" s="540">
        <f t="shared" si="189"/>
        <v>0</v>
      </c>
      <c r="II23" s="538"/>
      <c r="IJ23" s="539">
        <f t="shared" si="79"/>
        <v>0</v>
      </c>
      <c r="IK23" s="540">
        <f t="shared" si="190"/>
        <v>0</v>
      </c>
      <c r="IL23" s="538">
        <v>0</v>
      </c>
      <c r="IM23" s="539">
        <f t="shared" si="80"/>
        <v>0</v>
      </c>
      <c r="IN23" s="540">
        <f t="shared" si="191"/>
        <v>0</v>
      </c>
      <c r="IO23" s="538">
        <v>100</v>
      </c>
      <c r="IP23" s="539">
        <f t="shared" si="81"/>
        <v>2.0052537648639435</v>
      </c>
      <c r="IQ23" s="540">
        <f t="shared" si="192"/>
        <v>0</v>
      </c>
      <c r="IR23" s="538">
        <v>10</v>
      </c>
      <c r="IS23" s="539">
        <f t="shared" si="82"/>
        <v>0.20052537648639435</v>
      </c>
      <c r="IT23" s="540">
        <f t="shared" si="193"/>
        <v>0</v>
      </c>
      <c r="IU23" s="538"/>
      <c r="IV23" s="539">
        <f t="shared" si="83"/>
        <v>0</v>
      </c>
      <c r="IW23" s="540">
        <f t="shared" si="194"/>
        <v>0</v>
      </c>
      <c r="IX23" s="538">
        <v>5</v>
      </c>
      <c r="IY23" s="539">
        <f t="shared" si="84"/>
        <v>0.10026268824319717</v>
      </c>
      <c r="IZ23" s="540">
        <f t="shared" si="195"/>
        <v>0</v>
      </c>
      <c r="JA23" s="538"/>
      <c r="JB23" s="539">
        <f t="shared" si="85"/>
        <v>0</v>
      </c>
      <c r="JC23" s="540">
        <f t="shared" si="196"/>
        <v>0</v>
      </c>
      <c r="JD23" s="538"/>
      <c r="JE23" s="539">
        <f t="shared" si="86"/>
        <v>0</v>
      </c>
      <c r="JF23" s="540">
        <f t="shared" si="197"/>
        <v>0</v>
      </c>
      <c r="JG23" s="538">
        <v>45</v>
      </c>
      <c r="JH23" s="540" t="str">
        <f t="shared" si="87"/>
        <v>0</v>
      </c>
      <c r="JI23" s="540" t="str">
        <f t="shared" si="88"/>
        <v>0</v>
      </c>
      <c r="JJ23" s="538">
        <v>40</v>
      </c>
      <c r="JK23" s="540" t="str">
        <f t="shared" si="89"/>
        <v>0</v>
      </c>
      <c r="JL23" s="540" t="str">
        <f t="shared" si="90"/>
        <v>0</v>
      </c>
      <c r="JM23" s="538"/>
      <c r="JN23" s="540" t="str">
        <f t="shared" si="91"/>
        <v>0</v>
      </c>
      <c r="JO23" s="540" t="str">
        <f t="shared" si="92"/>
        <v>0</v>
      </c>
      <c r="JP23" s="538"/>
      <c r="JQ23" s="540" t="str">
        <f t="shared" si="93"/>
        <v>0</v>
      </c>
      <c r="JR23" s="540" t="str">
        <f t="shared" si="94"/>
        <v>0</v>
      </c>
      <c r="JS23" s="538"/>
      <c r="JT23" s="540" t="str">
        <f t="shared" si="95"/>
        <v>0</v>
      </c>
      <c r="JU23" s="540" t="str">
        <f t="shared" si="96"/>
        <v>0</v>
      </c>
      <c r="JV23" s="538"/>
      <c r="JW23" s="540" t="str">
        <f t="shared" si="97"/>
        <v>0</v>
      </c>
      <c r="JX23" s="540" t="str">
        <f t="shared" si="98"/>
        <v>0</v>
      </c>
      <c r="JY23" s="538"/>
      <c r="JZ23" s="540" t="str">
        <f t="shared" si="99"/>
        <v>0</v>
      </c>
      <c r="KA23" s="540" t="str">
        <f t="shared" si="100"/>
        <v>0</v>
      </c>
      <c r="KB23" s="538"/>
      <c r="KC23" s="540" t="str">
        <f t="shared" si="101"/>
        <v>0</v>
      </c>
      <c r="KD23" s="540" t="str">
        <f t="shared" si="102"/>
        <v>0</v>
      </c>
      <c r="KE23" s="538"/>
      <c r="KF23" s="540" t="str">
        <f t="shared" si="103"/>
        <v>0</v>
      </c>
      <c r="KG23" s="540" t="str">
        <f t="shared" si="104"/>
        <v>0</v>
      </c>
      <c r="KH23" s="538"/>
      <c r="KI23" s="540" t="str">
        <f t="shared" si="105"/>
        <v>0</v>
      </c>
      <c r="KJ23" s="540" t="str">
        <f t="shared" si="106"/>
        <v>0</v>
      </c>
      <c r="KK23" s="538"/>
      <c r="KL23" s="540" t="str">
        <f t="shared" si="107"/>
        <v>0</v>
      </c>
      <c r="KM23" s="540" t="str">
        <f t="shared" si="108"/>
        <v>0</v>
      </c>
      <c r="KN23" s="538"/>
      <c r="KO23" s="540" t="str">
        <f t="shared" si="109"/>
        <v>0</v>
      </c>
      <c r="KP23" s="540" t="str">
        <f t="shared" si="110"/>
        <v>0</v>
      </c>
      <c r="KQ23" s="540">
        <f t="shared" si="111"/>
        <v>0</v>
      </c>
      <c r="KR23" s="540">
        <f t="shared" si="198"/>
        <v>0</v>
      </c>
      <c r="KS23" s="268">
        <f t="shared" si="199"/>
        <v>3340.4566974464205</v>
      </c>
    </row>
    <row r="24" spans="1:306" ht="15" customHeight="1">
      <c r="A24" s="270">
        <f t="shared" si="200"/>
        <v>45946</v>
      </c>
      <c r="B24" s="271" t="str">
        <f>+Report1!B24</f>
        <v>Napkin</v>
      </c>
      <c r="C24" s="271" t="str">
        <f>+Report1!C24</f>
        <v>16</v>
      </c>
      <c r="D24" s="272">
        <f>+Report1!P24</f>
        <v>51.15</v>
      </c>
      <c r="E24" s="273">
        <f>+Report1!R24</f>
        <v>24.524000000000001</v>
      </c>
      <c r="F24" s="538">
        <v>0</v>
      </c>
      <c r="G24" s="539">
        <f t="shared" si="0"/>
        <v>0</v>
      </c>
      <c r="H24" s="540">
        <f t="shared" si="112"/>
        <v>0</v>
      </c>
      <c r="I24" s="538">
        <v>0</v>
      </c>
      <c r="J24" s="539">
        <f t="shared" si="1"/>
        <v>0</v>
      </c>
      <c r="K24" s="540">
        <f t="shared" si="113"/>
        <v>0</v>
      </c>
      <c r="L24" s="538"/>
      <c r="M24" s="539">
        <f t="shared" si="2"/>
        <v>0</v>
      </c>
      <c r="N24" s="540">
        <f t="shared" si="114"/>
        <v>0</v>
      </c>
      <c r="O24" s="538">
        <v>12</v>
      </c>
      <c r="P24" s="539">
        <f t="shared" si="3"/>
        <v>0.48931658783232751</v>
      </c>
      <c r="Q24" s="540">
        <f t="shared" si="115"/>
        <v>0</v>
      </c>
      <c r="R24" s="538"/>
      <c r="S24" s="539">
        <f t="shared" si="4"/>
        <v>0</v>
      </c>
      <c r="T24" s="540">
        <f t="shared" si="116"/>
        <v>0</v>
      </c>
      <c r="U24" s="538">
        <v>7.6874999999999929</v>
      </c>
      <c r="V24" s="539">
        <f t="shared" si="5"/>
        <v>0.31346843908008454</v>
      </c>
      <c r="W24" s="540">
        <f t="shared" si="117"/>
        <v>0</v>
      </c>
      <c r="X24" s="538"/>
      <c r="Y24" s="539">
        <f t="shared" si="6"/>
        <v>0</v>
      </c>
      <c r="Z24" s="540">
        <f t="shared" si="118"/>
        <v>0</v>
      </c>
      <c r="AA24" s="538"/>
      <c r="AB24" s="539">
        <f t="shared" si="7"/>
        <v>0</v>
      </c>
      <c r="AC24" s="540">
        <f t="shared" si="119"/>
        <v>0</v>
      </c>
      <c r="AD24" s="538"/>
      <c r="AE24" s="539">
        <f t="shared" si="8"/>
        <v>0</v>
      </c>
      <c r="AF24" s="540">
        <f t="shared" si="120"/>
        <v>0</v>
      </c>
      <c r="AG24" s="538"/>
      <c r="AH24" s="539">
        <f t="shared" si="9"/>
        <v>0</v>
      </c>
      <c r="AI24" s="540">
        <f t="shared" si="121"/>
        <v>0</v>
      </c>
      <c r="AJ24" s="538"/>
      <c r="AK24" s="539">
        <f t="shared" si="10"/>
        <v>0</v>
      </c>
      <c r="AL24" s="540">
        <f t="shared" si="122"/>
        <v>0</v>
      </c>
      <c r="AM24" s="538">
        <v>26.282051282051299</v>
      </c>
      <c r="AN24" s="539">
        <f t="shared" si="11"/>
        <v>1.0716869712139658</v>
      </c>
      <c r="AO24" s="540">
        <f t="shared" si="123"/>
        <v>0</v>
      </c>
      <c r="AP24" s="538"/>
      <c r="AQ24" s="539">
        <f t="shared" si="12"/>
        <v>0</v>
      </c>
      <c r="AR24" s="540">
        <f t="shared" si="124"/>
        <v>0</v>
      </c>
      <c r="AS24" s="538"/>
      <c r="AT24" s="539">
        <f t="shared" si="13"/>
        <v>0</v>
      </c>
      <c r="AU24" s="540">
        <f t="shared" si="125"/>
        <v>0</v>
      </c>
      <c r="AV24" s="538">
        <v>11.099999999999966</v>
      </c>
      <c r="AW24" s="539">
        <f t="shared" si="14"/>
        <v>0.45261784374490155</v>
      </c>
      <c r="AX24" s="540">
        <f t="shared" si="126"/>
        <v>0</v>
      </c>
      <c r="AY24" s="538">
        <v>49</v>
      </c>
      <c r="AZ24" s="539">
        <f t="shared" si="15"/>
        <v>1.9980427336486706</v>
      </c>
      <c r="BA24" s="540">
        <f t="shared" si="127"/>
        <v>0</v>
      </c>
      <c r="BB24" s="538"/>
      <c r="BC24" s="539">
        <f t="shared" si="16"/>
        <v>0</v>
      </c>
      <c r="BD24" s="540">
        <f t="shared" si="128"/>
        <v>0</v>
      </c>
      <c r="BE24" s="538"/>
      <c r="BF24" s="539">
        <f t="shared" si="17"/>
        <v>0</v>
      </c>
      <c r="BG24" s="540">
        <f t="shared" si="129"/>
        <v>0</v>
      </c>
      <c r="BH24" s="538"/>
      <c r="BI24" s="539">
        <f t="shared" si="18"/>
        <v>0</v>
      </c>
      <c r="BJ24" s="540">
        <f t="shared" si="130"/>
        <v>0</v>
      </c>
      <c r="BK24" s="538"/>
      <c r="BL24" s="539">
        <f t="shared" si="19"/>
        <v>0</v>
      </c>
      <c r="BM24" s="540">
        <f t="shared" si="131"/>
        <v>0</v>
      </c>
      <c r="BN24" s="538"/>
      <c r="BO24" s="539">
        <f t="shared" si="20"/>
        <v>0</v>
      </c>
      <c r="BP24" s="540">
        <f t="shared" si="132"/>
        <v>0</v>
      </c>
      <c r="BQ24" s="538"/>
      <c r="BR24" s="539">
        <f t="shared" si="21"/>
        <v>0</v>
      </c>
      <c r="BS24" s="540">
        <f t="shared" si="133"/>
        <v>0</v>
      </c>
      <c r="BT24" s="538"/>
      <c r="BU24" s="539">
        <f t="shared" si="22"/>
        <v>0</v>
      </c>
      <c r="BV24" s="540">
        <f t="shared" si="134"/>
        <v>0</v>
      </c>
      <c r="BW24" s="538"/>
      <c r="BX24" s="539">
        <f t="shared" si="23"/>
        <v>0</v>
      </c>
      <c r="BY24" s="540">
        <f t="shared" si="135"/>
        <v>0</v>
      </c>
      <c r="BZ24" s="538">
        <v>0</v>
      </c>
      <c r="CA24" s="539">
        <f t="shared" si="24"/>
        <v>0</v>
      </c>
      <c r="CB24" s="540">
        <f t="shared" si="136"/>
        <v>0</v>
      </c>
      <c r="CC24" s="538">
        <v>0</v>
      </c>
      <c r="CD24" s="539">
        <f t="shared" si="25"/>
        <v>0</v>
      </c>
      <c r="CE24" s="540">
        <f t="shared" si="137"/>
        <v>0</v>
      </c>
      <c r="CF24" s="538">
        <v>2.3999999999999986</v>
      </c>
      <c r="CG24" s="539">
        <f t="shared" si="26"/>
        <v>9.7863317566465435E-2</v>
      </c>
      <c r="CH24" s="540">
        <f t="shared" si="138"/>
        <v>0</v>
      </c>
      <c r="CI24" s="538">
        <v>0</v>
      </c>
      <c r="CJ24" s="539">
        <f t="shared" si="27"/>
        <v>0</v>
      </c>
      <c r="CK24" s="540">
        <f t="shared" si="139"/>
        <v>0</v>
      </c>
      <c r="CL24" s="538"/>
      <c r="CM24" s="539">
        <f t="shared" si="28"/>
        <v>0</v>
      </c>
      <c r="CN24" s="540">
        <f t="shared" si="140"/>
        <v>0</v>
      </c>
      <c r="CO24" s="538"/>
      <c r="CP24" s="539">
        <f t="shared" si="29"/>
        <v>0</v>
      </c>
      <c r="CQ24" s="540">
        <f t="shared" si="141"/>
        <v>0</v>
      </c>
      <c r="CR24" s="538"/>
      <c r="CS24" s="539">
        <f t="shared" si="30"/>
        <v>0</v>
      </c>
      <c r="CT24" s="540">
        <f t="shared" si="142"/>
        <v>0</v>
      </c>
      <c r="CU24" s="538"/>
      <c r="CV24" s="539">
        <f t="shared" si="31"/>
        <v>0</v>
      </c>
      <c r="CW24" s="540">
        <f t="shared" si="143"/>
        <v>0</v>
      </c>
      <c r="CX24" s="538"/>
      <c r="CY24" s="539">
        <f t="shared" si="32"/>
        <v>0</v>
      </c>
      <c r="CZ24" s="540">
        <f t="shared" si="144"/>
        <v>0</v>
      </c>
      <c r="DA24" s="538">
        <v>338.23529411764696</v>
      </c>
      <c r="DB24" s="539">
        <f t="shared" si="33"/>
        <v>13.79201166684256</v>
      </c>
      <c r="DC24" s="540">
        <f t="shared" si="145"/>
        <v>0</v>
      </c>
      <c r="DD24" s="538"/>
      <c r="DE24" s="539">
        <f t="shared" si="34"/>
        <v>0</v>
      </c>
      <c r="DF24" s="540">
        <f t="shared" si="146"/>
        <v>0</v>
      </c>
      <c r="DG24" s="538"/>
      <c r="DH24" s="539">
        <f t="shared" si="35"/>
        <v>0</v>
      </c>
      <c r="DI24" s="540">
        <f t="shared" si="201"/>
        <v>0</v>
      </c>
      <c r="DJ24" s="538"/>
      <c r="DK24" s="539">
        <f t="shared" si="36"/>
        <v>0</v>
      </c>
      <c r="DL24" s="540">
        <f t="shared" si="147"/>
        <v>0</v>
      </c>
      <c r="DM24" s="538"/>
      <c r="DN24" s="539">
        <f t="shared" si="37"/>
        <v>0</v>
      </c>
      <c r="DO24" s="540">
        <f t="shared" si="148"/>
        <v>0</v>
      </c>
      <c r="DP24" s="538"/>
      <c r="DQ24" s="539">
        <f t="shared" si="38"/>
        <v>0</v>
      </c>
      <c r="DR24" s="540">
        <f t="shared" si="149"/>
        <v>0</v>
      </c>
      <c r="DS24" s="538"/>
      <c r="DT24" s="539">
        <f t="shared" si="39"/>
        <v>0</v>
      </c>
      <c r="DU24" s="540">
        <f t="shared" si="150"/>
        <v>0</v>
      </c>
      <c r="DV24" s="538"/>
      <c r="DW24" s="539">
        <f t="shared" si="40"/>
        <v>0</v>
      </c>
      <c r="DX24" s="540">
        <f t="shared" si="151"/>
        <v>0</v>
      </c>
      <c r="DY24" s="538">
        <v>0</v>
      </c>
      <c r="DZ24" s="539">
        <f t="shared" si="41"/>
        <v>0</v>
      </c>
      <c r="EA24" s="540">
        <f t="shared" si="152"/>
        <v>0</v>
      </c>
      <c r="EB24" s="538">
        <v>423.52941176470586</v>
      </c>
      <c r="EC24" s="539">
        <f t="shared" si="42"/>
        <v>17.269997217611557</v>
      </c>
      <c r="ED24" s="540">
        <f t="shared" si="153"/>
        <v>0</v>
      </c>
      <c r="EE24" s="538">
        <v>14.534883720930338</v>
      </c>
      <c r="EF24" s="539">
        <f t="shared" si="43"/>
        <v>0.59267997557210639</v>
      </c>
      <c r="EG24" s="540">
        <f t="shared" si="154"/>
        <v>0</v>
      </c>
      <c r="EH24" s="538">
        <v>0</v>
      </c>
      <c r="EI24" s="539">
        <f t="shared" si="44"/>
        <v>0</v>
      </c>
      <c r="EJ24" s="540">
        <f t="shared" si="155"/>
        <v>0</v>
      </c>
      <c r="EK24" s="538"/>
      <c r="EL24" s="539">
        <f t="shared" si="45"/>
        <v>0</v>
      </c>
      <c r="EM24" s="540">
        <f t="shared" si="156"/>
        <v>0</v>
      </c>
      <c r="EN24" s="538"/>
      <c r="EO24" s="539">
        <f t="shared" si="46"/>
        <v>0</v>
      </c>
      <c r="EP24" s="540">
        <f t="shared" si="157"/>
        <v>0</v>
      </c>
      <c r="EQ24" s="538"/>
      <c r="ER24" s="539">
        <f t="shared" si="47"/>
        <v>0</v>
      </c>
      <c r="ES24" s="540">
        <f t="shared" si="158"/>
        <v>0</v>
      </c>
      <c r="ET24" s="538"/>
      <c r="EU24" s="539">
        <f t="shared" si="48"/>
        <v>0</v>
      </c>
      <c r="EV24" s="540">
        <f t="shared" si="159"/>
        <v>0</v>
      </c>
      <c r="EW24" s="538"/>
      <c r="EX24" s="539">
        <f t="shared" si="49"/>
        <v>0</v>
      </c>
      <c r="EY24" s="540">
        <f t="shared" si="160"/>
        <v>0</v>
      </c>
      <c r="EZ24" s="538"/>
      <c r="FA24" s="539">
        <f t="shared" si="50"/>
        <v>0</v>
      </c>
      <c r="FB24" s="540">
        <f t="shared" si="161"/>
        <v>0</v>
      </c>
      <c r="FC24" s="538"/>
      <c r="FD24" s="539">
        <f t="shared" si="51"/>
        <v>0</v>
      </c>
      <c r="FE24" s="540">
        <f t="shared" si="162"/>
        <v>0</v>
      </c>
      <c r="FF24" s="538"/>
      <c r="FG24" s="539">
        <f t="shared" si="52"/>
        <v>0</v>
      </c>
      <c r="FH24" s="540">
        <f t="shared" si="163"/>
        <v>0</v>
      </c>
      <c r="FI24" s="538"/>
      <c r="FJ24" s="539">
        <f t="shared" si="53"/>
        <v>0</v>
      </c>
      <c r="FK24" s="540">
        <f t="shared" si="164"/>
        <v>0</v>
      </c>
      <c r="FL24" s="538"/>
      <c r="FM24" s="539">
        <f t="shared" si="54"/>
        <v>0</v>
      </c>
      <c r="FN24" s="540">
        <f t="shared" si="165"/>
        <v>0</v>
      </c>
      <c r="FO24" s="538"/>
      <c r="FP24" s="539">
        <f t="shared" si="55"/>
        <v>0</v>
      </c>
      <c r="FQ24" s="540">
        <f t="shared" si="166"/>
        <v>0</v>
      </c>
      <c r="FR24" s="538"/>
      <c r="FS24" s="539">
        <f t="shared" si="56"/>
        <v>0</v>
      </c>
      <c r="FT24" s="540">
        <f t="shared" si="167"/>
        <v>0</v>
      </c>
      <c r="FU24" s="538"/>
      <c r="FV24" s="539">
        <f t="shared" si="57"/>
        <v>0</v>
      </c>
      <c r="FW24" s="540">
        <f t="shared" si="168"/>
        <v>0</v>
      </c>
      <c r="FX24" s="538"/>
      <c r="FY24" s="539">
        <f t="shared" si="58"/>
        <v>0</v>
      </c>
      <c r="FZ24" s="540">
        <f t="shared" si="169"/>
        <v>0</v>
      </c>
      <c r="GA24" s="538"/>
      <c r="GB24" s="539">
        <f t="shared" si="59"/>
        <v>0</v>
      </c>
      <c r="GC24" s="540">
        <f t="shared" si="170"/>
        <v>0</v>
      </c>
      <c r="GD24" s="538"/>
      <c r="GE24" s="539">
        <f t="shared" si="60"/>
        <v>0</v>
      </c>
      <c r="GF24" s="540">
        <f t="shared" si="171"/>
        <v>0</v>
      </c>
      <c r="GG24" s="538">
        <v>10</v>
      </c>
      <c r="GH24" s="539">
        <f t="shared" si="61"/>
        <v>0.40776382319360627</v>
      </c>
      <c r="GI24" s="540">
        <f t="shared" si="172"/>
        <v>0</v>
      </c>
      <c r="GJ24" s="538">
        <v>10</v>
      </c>
      <c r="GK24" s="539">
        <f t="shared" si="62"/>
        <v>0.40776382319360627</v>
      </c>
      <c r="GL24" s="540">
        <f t="shared" si="173"/>
        <v>0</v>
      </c>
      <c r="GM24" s="538">
        <v>5</v>
      </c>
      <c r="GN24" s="539">
        <f t="shared" si="63"/>
        <v>0.20388191159680313</v>
      </c>
      <c r="GO24" s="540">
        <f t="shared" si="174"/>
        <v>0</v>
      </c>
      <c r="GP24" s="538">
        <v>0</v>
      </c>
      <c r="GQ24" s="539">
        <f t="shared" si="64"/>
        <v>0</v>
      </c>
      <c r="GR24" s="540">
        <f t="shared" si="175"/>
        <v>0</v>
      </c>
      <c r="GS24" s="538">
        <v>0</v>
      </c>
      <c r="GT24" s="539">
        <f t="shared" si="65"/>
        <v>0</v>
      </c>
      <c r="GU24" s="540">
        <f t="shared" si="176"/>
        <v>0</v>
      </c>
      <c r="GV24" s="538">
        <v>0</v>
      </c>
      <c r="GW24" s="539">
        <f t="shared" si="66"/>
        <v>0</v>
      </c>
      <c r="GX24" s="540">
        <f t="shared" si="177"/>
        <v>0</v>
      </c>
      <c r="GY24" s="538"/>
      <c r="GZ24" s="539">
        <f t="shared" si="67"/>
        <v>0</v>
      </c>
      <c r="HA24" s="540">
        <f t="shared" si="178"/>
        <v>0</v>
      </c>
      <c r="HB24" s="538"/>
      <c r="HC24" s="539">
        <f t="shared" si="68"/>
        <v>0</v>
      </c>
      <c r="HD24" s="540">
        <f t="shared" si="179"/>
        <v>0</v>
      </c>
      <c r="HE24" s="538"/>
      <c r="HF24" s="539">
        <f t="shared" si="69"/>
        <v>0</v>
      </c>
      <c r="HG24" s="540">
        <f t="shared" si="180"/>
        <v>0</v>
      </c>
      <c r="HH24" s="538"/>
      <c r="HI24" s="539">
        <f t="shared" si="70"/>
        <v>0</v>
      </c>
      <c r="HJ24" s="540">
        <f t="shared" si="181"/>
        <v>0</v>
      </c>
      <c r="HK24" s="538"/>
      <c r="HL24" s="539">
        <f t="shared" si="71"/>
        <v>0</v>
      </c>
      <c r="HM24" s="540">
        <f t="shared" si="182"/>
        <v>0</v>
      </c>
      <c r="HN24" s="538">
        <v>1612</v>
      </c>
      <c r="HO24" s="539">
        <f t="shared" si="72"/>
        <v>65.731528298809323</v>
      </c>
      <c r="HP24" s="540">
        <f t="shared" si="183"/>
        <v>0</v>
      </c>
      <c r="HQ24" s="538"/>
      <c r="HR24" s="539">
        <f t="shared" si="73"/>
        <v>0</v>
      </c>
      <c r="HS24" s="540">
        <f t="shared" si="184"/>
        <v>0</v>
      </c>
      <c r="HT24" s="538">
        <v>30</v>
      </c>
      <c r="HU24" s="539">
        <f t="shared" si="74"/>
        <v>1.2232914695808188</v>
      </c>
      <c r="HV24" s="540">
        <f t="shared" si="185"/>
        <v>0</v>
      </c>
      <c r="HW24" s="538">
        <v>10</v>
      </c>
      <c r="HX24" s="539">
        <f t="shared" si="75"/>
        <v>0.40776382319360627</v>
      </c>
      <c r="HY24" s="540">
        <f t="shared" si="186"/>
        <v>0</v>
      </c>
      <c r="HZ24" s="538">
        <v>40</v>
      </c>
      <c r="IA24" s="539">
        <f t="shared" si="76"/>
        <v>1.6310552927744251</v>
      </c>
      <c r="IB24" s="540">
        <f t="shared" si="187"/>
        <v>0</v>
      </c>
      <c r="IC24" s="538">
        <v>40</v>
      </c>
      <c r="ID24" s="539">
        <f t="shared" si="77"/>
        <v>1.6310552927744251</v>
      </c>
      <c r="IE24" s="540">
        <f t="shared" si="188"/>
        <v>0</v>
      </c>
      <c r="IF24" s="538">
        <v>15</v>
      </c>
      <c r="IG24" s="539">
        <f t="shared" si="78"/>
        <v>0.6116457347904094</v>
      </c>
      <c r="IH24" s="540">
        <f t="shared" si="189"/>
        <v>0</v>
      </c>
      <c r="II24" s="538"/>
      <c r="IJ24" s="539">
        <f t="shared" si="79"/>
        <v>0</v>
      </c>
      <c r="IK24" s="540">
        <f t="shared" si="190"/>
        <v>0</v>
      </c>
      <c r="IL24" s="538">
        <v>0</v>
      </c>
      <c r="IM24" s="539">
        <f t="shared" si="80"/>
        <v>0</v>
      </c>
      <c r="IN24" s="540">
        <f t="shared" si="191"/>
        <v>0</v>
      </c>
      <c r="IO24" s="538">
        <v>90</v>
      </c>
      <c r="IP24" s="539">
        <f t="shared" si="81"/>
        <v>3.6698744087424564</v>
      </c>
      <c r="IQ24" s="540">
        <f t="shared" si="192"/>
        <v>0</v>
      </c>
      <c r="IR24" s="538">
        <v>10</v>
      </c>
      <c r="IS24" s="539">
        <f t="shared" si="82"/>
        <v>0.40776382319360627</v>
      </c>
      <c r="IT24" s="540">
        <f t="shared" si="193"/>
        <v>0</v>
      </c>
      <c r="IU24" s="538"/>
      <c r="IV24" s="539">
        <f t="shared" si="83"/>
        <v>0</v>
      </c>
      <c r="IW24" s="540">
        <f t="shared" si="194"/>
        <v>0</v>
      </c>
      <c r="IX24" s="538">
        <v>10</v>
      </c>
      <c r="IY24" s="539">
        <f t="shared" si="84"/>
        <v>0.40776382319360627</v>
      </c>
      <c r="IZ24" s="540">
        <f t="shared" si="195"/>
        <v>0</v>
      </c>
      <c r="JA24" s="538"/>
      <c r="JB24" s="539">
        <f t="shared" si="85"/>
        <v>0</v>
      </c>
      <c r="JC24" s="540">
        <f t="shared" si="196"/>
        <v>0</v>
      </c>
      <c r="JD24" s="538"/>
      <c r="JE24" s="539">
        <f t="shared" si="86"/>
        <v>0</v>
      </c>
      <c r="JF24" s="540">
        <f t="shared" si="197"/>
        <v>0</v>
      </c>
      <c r="JG24" s="538">
        <v>45</v>
      </c>
      <c r="JH24" s="540" t="str">
        <f t="shared" si="87"/>
        <v>0</v>
      </c>
      <c r="JI24" s="540" t="str">
        <f t="shared" si="88"/>
        <v>0</v>
      </c>
      <c r="JJ24" s="538">
        <v>40</v>
      </c>
      <c r="JK24" s="540" t="str">
        <f t="shared" si="89"/>
        <v>0</v>
      </c>
      <c r="JL24" s="540" t="str">
        <f t="shared" si="90"/>
        <v>0</v>
      </c>
      <c r="JM24" s="538"/>
      <c r="JN24" s="540" t="str">
        <f t="shared" si="91"/>
        <v>0</v>
      </c>
      <c r="JO24" s="540" t="str">
        <f t="shared" si="92"/>
        <v>0</v>
      </c>
      <c r="JP24" s="538"/>
      <c r="JQ24" s="540" t="str">
        <f t="shared" si="93"/>
        <v>0</v>
      </c>
      <c r="JR24" s="540" t="str">
        <f t="shared" si="94"/>
        <v>0</v>
      </c>
      <c r="JS24" s="538"/>
      <c r="JT24" s="540" t="str">
        <f t="shared" si="95"/>
        <v>0</v>
      </c>
      <c r="JU24" s="540" t="str">
        <f t="shared" si="96"/>
        <v>0</v>
      </c>
      <c r="JV24" s="538"/>
      <c r="JW24" s="540" t="str">
        <f t="shared" si="97"/>
        <v>0</v>
      </c>
      <c r="JX24" s="540" t="str">
        <f t="shared" si="98"/>
        <v>0</v>
      </c>
      <c r="JY24" s="538"/>
      <c r="JZ24" s="540" t="str">
        <f t="shared" si="99"/>
        <v>0</v>
      </c>
      <c r="KA24" s="540" t="str">
        <f t="shared" si="100"/>
        <v>0</v>
      </c>
      <c r="KB24" s="538"/>
      <c r="KC24" s="540" t="str">
        <f t="shared" si="101"/>
        <v>0</v>
      </c>
      <c r="KD24" s="540" t="str">
        <f t="shared" si="102"/>
        <v>0</v>
      </c>
      <c r="KE24" s="538"/>
      <c r="KF24" s="540" t="str">
        <f t="shared" si="103"/>
        <v>0</v>
      </c>
      <c r="KG24" s="540" t="str">
        <f t="shared" si="104"/>
        <v>0</v>
      </c>
      <c r="KH24" s="538"/>
      <c r="KI24" s="540" t="str">
        <f t="shared" si="105"/>
        <v>0</v>
      </c>
      <c r="KJ24" s="540" t="str">
        <f t="shared" si="106"/>
        <v>0</v>
      </c>
      <c r="KK24" s="538"/>
      <c r="KL24" s="540" t="str">
        <f t="shared" si="107"/>
        <v>0</v>
      </c>
      <c r="KM24" s="540" t="str">
        <f t="shared" si="108"/>
        <v>0</v>
      </c>
      <c r="KN24" s="538"/>
      <c r="KO24" s="540" t="str">
        <f t="shared" si="109"/>
        <v>0</v>
      </c>
      <c r="KP24" s="540" t="str">
        <f t="shared" si="110"/>
        <v>0</v>
      </c>
      <c r="KQ24" s="540">
        <f t="shared" si="111"/>
        <v>0</v>
      </c>
      <c r="KR24" s="540">
        <f t="shared" si="198"/>
        <v>0</v>
      </c>
      <c r="KS24" s="268">
        <f t="shared" si="199"/>
        <v>2851.7691408853343</v>
      </c>
    </row>
    <row r="25" spans="1:306" ht="15" customHeight="1">
      <c r="A25" s="270">
        <f t="shared" si="200"/>
        <v>45947</v>
      </c>
      <c r="B25" s="271" t="str">
        <f>+Report1!B25</f>
        <v>Napkin</v>
      </c>
      <c r="C25" s="271" t="str">
        <f>+Report1!C25</f>
        <v>16/15,5</v>
      </c>
      <c r="D25" s="272">
        <f>+Report1!P25</f>
        <v>40.408000000000001</v>
      </c>
      <c r="E25" s="273">
        <f>+Report1!R25</f>
        <v>42.984999999999999</v>
      </c>
      <c r="F25" s="538">
        <v>0</v>
      </c>
      <c r="G25" s="539">
        <f t="shared" si="0"/>
        <v>0</v>
      </c>
      <c r="H25" s="540">
        <f t="shared" si="112"/>
        <v>0</v>
      </c>
      <c r="I25" s="538">
        <v>0</v>
      </c>
      <c r="J25" s="539">
        <f t="shared" si="1"/>
        <v>0</v>
      </c>
      <c r="K25" s="540">
        <f t="shared" si="113"/>
        <v>0</v>
      </c>
      <c r="L25" s="538"/>
      <c r="M25" s="539">
        <f t="shared" si="2"/>
        <v>0</v>
      </c>
      <c r="N25" s="540">
        <f t="shared" si="114"/>
        <v>0</v>
      </c>
      <c r="O25" s="538">
        <v>12</v>
      </c>
      <c r="P25" s="539">
        <f t="shared" si="3"/>
        <v>0.27916715133185993</v>
      </c>
      <c r="Q25" s="540">
        <f t="shared" si="115"/>
        <v>0</v>
      </c>
      <c r="R25" s="538"/>
      <c r="S25" s="539">
        <f t="shared" si="4"/>
        <v>0</v>
      </c>
      <c r="T25" s="540">
        <f t="shared" si="116"/>
        <v>0</v>
      </c>
      <c r="U25" s="538">
        <v>7.6875000000000071</v>
      </c>
      <c r="V25" s="539">
        <f t="shared" si="5"/>
        <v>0.17884145632197296</v>
      </c>
      <c r="W25" s="540">
        <f t="shared" si="117"/>
        <v>0</v>
      </c>
      <c r="X25" s="538"/>
      <c r="Y25" s="539">
        <f t="shared" si="6"/>
        <v>0</v>
      </c>
      <c r="Z25" s="540">
        <f t="shared" si="118"/>
        <v>0</v>
      </c>
      <c r="AA25" s="538"/>
      <c r="AB25" s="539">
        <f t="shared" si="7"/>
        <v>0</v>
      </c>
      <c r="AC25" s="540">
        <f t="shared" si="119"/>
        <v>0</v>
      </c>
      <c r="AD25" s="538"/>
      <c r="AE25" s="539">
        <f t="shared" si="8"/>
        <v>0</v>
      </c>
      <c r="AF25" s="540">
        <f t="shared" si="120"/>
        <v>0</v>
      </c>
      <c r="AG25" s="538"/>
      <c r="AH25" s="539">
        <f t="shared" si="9"/>
        <v>0</v>
      </c>
      <c r="AI25" s="540">
        <f t="shared" si="121"/>
        <v>0</v>
      </c>
      <c r="AJ25" s="538"/>
      <c r="AK25" s="539">
        <f t="shared" si="10"/>
        <v>0</v>
      </c>
      <c r="AL25" s="540">
        <f t="shared" si="122"/>
        <v>0</v>
      </c>
      <c r="AM25" s="538">
        <v>26.28205128205127</v>
      </c>
      <c r="AN25" s="539">
        <f t="shared" si="11"/>
        <v>0.61142378229734262</v>
      </c>
      <c r="AO25" s="540">
        <f t="shared" si="123"/>
        <v>0</v>
      </c>
      <c r="AP25" s="538"/>
      <c r="AQ25" s="539">
        <f t="shared" si="12"/>
        <v>0</v>
      </c>
      <c r="AR25" s="540">
        <f t="shared" si="124"/>
        <v>0</v>
      </c>
      <c r="AS25" s="538"/>
      <c r="AT25" s="539">
        <f t="shared" si="13"/>
        <v>0</v>
      </c>
      <c r="AU25" s="540">
        <f t="shared" si="125"/>
        <v>0</v>
      </c>
      <c r="AV25" s="538">
        <v>2.7750000000000057</v>
      </c>
      <c r="AW25" s="539">
        <f t="shared" si="14"/>
        <v>6.455740374549275E-2</v>
      </c>
      <c r="AX25" s="540">
        <f t="shared" si="126"/>
        <v>0</v>
      </c>
      <c r="AY25" s="538">
        <v>51.333333333333314</v>
      </c>
      <c r="AZ25" s="539">
        <f t="shared" si="15"/>
        <v>1.194215036252956</v>
      </c>
      <c r="BA25" s="540">
        <f t="shared" si="127"/>
        <v>0</v>
      </c>
      <c r="BB25" s="538"/>
      <c r="BC25" s="539">
        <f t="shared" si="16"/>
        <v>0</v>
      </c>
      <c r="BD25" s="540">
        <f t="shared" si="128"/>
        <v>0</v>
      </c>
      <c r="BE25" s="538"/>
      <c r="BF25" s="539">
        <f t="shared" si="17"/>
        <v>0</v>
      </c>
      <c r="BG25" s="540">
        <f t="shared" si="129"/>
        <v>0</v>
      </c>
      <c r="BH25" s="538"/>
      <c r="BI25" s="539">
        <f t="shared" si="18"/>
        <v>0</v>
      </c>
      <c r="BJ25" s="540">
        <f t="shared" si="130"/>
        <v>0</v>
      </c>
      <c r="BK25" s="538"/>
      <c r="BL25" s="539">
        <f t="shared" si="19"/>
        <v>0</v>
      </c>
      <c r="BM25" s="540">
        <f t="shared" si="131"/>
        <v>0</v>
      </c>
      <c r="BN25" s="538"/>
      <c r="BO25" s="539">
        <f t="shared" si="20"/>
        <v>0</v>
      </c>
      <c r="BP25" s="540">
        <f t="shared" si="132"/>
        <v>0</v>
      </c>
      <c r="BQ25" s="538"/>
      <c r="BR25" s="539">
        <f t="shared" si="21"/>
        <v>0</v>
      </c>
      <c r="BS25" s="540">
        <f t="shared" si="133"/>
        <v>0</v>
      </c>
      <c r="BT25" s="538"/>
      <c r="BU25" s="539">
        <f t="shared" si="22"/>
        <v>0</v>
      </c>
      <c r="BV25" s="540">
        <f t="shared" si="134"/>
        <v>0</v>
      </c>
      <c r="BW25" s="538"/>
      <c r="BX25" s="539">
        <f t="shared" si="23"/>
        <v>0</v>
      </c>
      <c r="BY25" s="540">
        <f t="shared" si="135"/>
        <v>0</v>
      </c>
      <c r="BZ25" s="538">
        <v>0</v>
      </c>
      <c r="CA25" s="539">
        <f t="shared" si="24"/>
        <v>0</v>
      </c>
      <c r="CB25" s="540">
        <f t="shared" si="136"/>
        <v>0</v>
      </c>
      <c r="CC25" s="538">
        <v>0</v>
      </c>
      <c r="CD25" s="539">
        <f t="shared" si="25"/>
        <v>0</v>
      </c>
      <c r="CE25" s="540">
        <f t="shared" si="137"/>
        <v>0</v>
      </c>
      <c r="CF25" s="538">
        <v>2.4000000000000004</v>
      </c>
      <c r="CG25" s="539">
        <f t="shared" si="26"/>
        <v>5.5833430266371997E-2</v>
      </c>
      <c r="CH25" s="540">
        <f t="shared" si="138"/>
        <v>0</v>
      </c>
      <c r="CI25" s="538">
        <v>0</v>
      </c>
      <c r="CJ25" s="539">
        <f t="shared" si="27"/>
        <v>0</v>
      </c>
      <c r="CK25" s="540">
        <f t="shared" si="139"/>
        <v>0</v>
      </c>
      <c r="CL25" s="538"/>
      <c r="CM25" s="539">
        <f t="shared" si="28"/>
        <v>0</v>
      </c>
      <c r="CN25" s="540">
        <f t="shared" si="140"/>
        <v>0</v>
      </c>
      <c r="CO25" s="538"/>
      <c r="CP25" s="539">
        <f t="shared" si="29"/>
        <v>0</v>
      </c>
      <c r="CQ25" s="540">
        <f t="shared" si="141"/>
        <v>0</v>
      </c>
      <c r="CR25" s="538"/>
      <c r="CS25" s="539">
        <f t="shared" si="30"/>
        <v>0</v>
      </c>
      <c r="CT25" s="540">
        <f t="shared" si="142"/>
        <v>0</v>
      </c>
      <c r="CU25" s="538"/>
      <c r="CV25" s="539">
        <f t="shared" si="31"/>
        <v>0</v>
      </c>
      <c r="CW25" s="540">
        <f t="shared" si="143"/>
        <v>0</v>
      </c>
      <c r="CX25" s="538"/>
      <c r="CY25" s="539">
        <f t="shared" si="32"/>
        <v>0</v>
      </c>
      <c r="CZ25" s="540">
        <f t="shared" si="144"/>
        <v>0</v>
      </c>
      <c r="DA25" s="538">
        <v>367.64705882352951</v>
      </c>
      <c r="DB25" s="539">
        <f t="shared" si="33"/>
        <v>8.5529151756084563</v>
      </c>
      <c r="DC25" s="540">
        <f t="shared" si="145"/>
        <v>0</v>
      </c>
      <c r="DD25" s="538"/>
      <c r="DE25" s="539">
        <f t="shared" si="34"/>
        <v>0</v>
      </c>
      <c r="DF25" s="540">
        <f t="shared" si="146"/>
        <v>0</v>
      </c>
      <c r="DG25" s="538"/>
      <c r="DH25" s="539">
        <f t="shared" si="35"/>
        <v>0</v>
      </c>
      <c r="DI25" s="540">
        <f t="shared" si="201"/>
        <v>0</v>
      </c>
      <c r="DJ25" s="538"/>
      <c r="DK25" s="539">
        <f t="shared" si="36"/>
        <v>0</v>
      </c>
      <c r="DL25" s="540">
        <f t="shared" si="147"/>
        <v>0</v>
      </c>
      <c r="DM25" s="538"/>
      <c r="DN25" s="539">
        <f t="shared" si="37"/>
        <v>0</v>
      </c>
      <c r="DO25" s="540">
        <f t="shared" si="148"/>
        <v>0</v>
      </c>
      <c r="DP25" s="538"/>
      <c r="DQ25" s="539">
        <f t="shared" si="38"/>
        <v>0</v>
      </c>
      <c r="DR25" s="540">
        <f t="shared" si="149"/>
        <v>0</v>
      </c>
      <c r="DS25" s="538"/>
      <c r="DT25" s="539">
        <f t="shared" si="39"/>
        <v>0</v>
      </c>
      <c r="DU25" s="540">
        <f t="shared" si="150"/>
        <v>0</v>
      </c>
      <c r="DV25" s="538"/>
      <c r="DW25" s="539">
        <f t="shared" si="40"/>
        <v>0</v>
      </c>
      <c r="DX25" s="540">
        <f t="shared" si="151"/>
        <v>0</v>
      </c>
      <c r="DY25" s="538">
        <v>0</v>
      </c>
      <c r="DZ25" s="539">
        <f t="shared" si="41"/>
        <v>0</v>
      </c>
      <c r="EA25" s="540">
        <f t="shared" si="152"/>
        <v>0</v>
      </c>
      <c r="EB25" s="538">
        <v>494.11764705882342</v>
      </c>
      <c r="EC25" s="539">
        <f t="shared" si="42"/>
        <v>11.495117996017761</v>
      </c>
      <c r="ED25" s="540">
        <f t="shared" si="153"/>
        <v>0</v>
      </c>
      <c r="EE25" s="538">
        <v>14.534883720930338</v>
      </c>
      <c r="EF25" s="539">
        <f t="shared" si="43"/>
        <v>0.33813850694266229</v>
      </c>
      <c r="EG25" s="540">
        <f t="shared" si="154"/>
        <v>0</v>
      </c>
      <c r="EH25" s="538">
        <v>0</v>
      </c>
      <c r="EI25" s="539">
        <f t="shared" si="44"/>
        <v>0</v>
      </c>
      <c r="EJ25" s="540">
        <f t="shared" si="155"/>
        <v>0</v>
      </c>
      <c r="EK25" s="538"/>
      <c r="EL25" s="539">
        <f t="shared" si="45"/>
        <v>0</v>
      </c>
      <c r="EM25" s="540">
        <f t="shared" si="156"/>
        <v>0</v>
      </c>
      <c r="EN25" s="538"/>
      <c r="EO25" s="539">
        <f t="shared" si="46"/>
        <v>0</v>
      </c>
      <c r="EP25" s="540">
        <f t="shared" si="157"/>
        <v>0</v>
      </c>
      <c r="EQ25" s="538"/>
      <c r="ER25" s="539">
        <f t="shared" si="47"/>
        <v>0</v>
      </c>
      <c r="ES25" s="540">
        <f t="shared" si="158"/>
        <v>0</v>
      </c>
      <c r="ET25" s="538"/>
      <c r="EU25" s="539">
        <f t="shared" si="48"/>
        <v>0</v>
      </c>
      <c r="EV25" s="540">
        <f t="shared" si="159"/>
        <v>0</v>
      </c>
      <c r="EW25" s="538"/>
      <c r="EX25" s="539">
        <f t="shared" si="49"/>
        <v>0</v>
      </c>
      <c r="EY25" s="540">
        <f t="shared" si="160"/>
        <v>0</v>
      </c>
      <c r="EZ25" s="538"/>
      <c r="FA25" s="539">
        <f t="shared" si="50"/>
        <v>0</v>
      </c>
      <c r="FB25" s="540">
        <f t="shared" si="161"/>
        <v>0</v>
      </c>
      <c r="FC25" s="538"/>
      <c r="FD25" s="539">
        <f t="shared" si="51"/>
        <v>0</v>
      </c>
      <c r="FE25" s="540">
        <f t="shared" si="162"/>
        <v>0</v>
      </c>
      <c r="FF25" s="538"/>
      <c r="FG25" s="539">
        <f t="shared" si="52"/>
        <v>0</v>
      </c>
      <c r="FH25" s="540">
        <f t="shared" si="163"/>
        <v>0</v>
      </c>
      <c r="FI25" s="538"/>
      <c r="FJ25" s="539">
        <f t="shared" si="53"/>
        <v>0</v>
      </c>
      <c r="FK25" s="540">
        <f t="shared" si="164"/>
        <v>0</v>
      </c>
      <c r="FL25" s="538"/>
      <c r="FM25" s="539">
        <f t="shared" si="54"/>
        <v>0</v>
      </c>
      <c r="FN25" s="540">
        <f t="shared" si="165"/>
        <v>0</v>
      </c>
      <c r="FO25" s="538"/>
      <c r="FP25" s="539">
        <f t="shared" si="55"/>
        <v>0</v>
      </c>
      <c r="FQ25" s="540">
        <f t="shared" si="166"/>
        <v>0</v>
      </c>
      <c r="FR25" s="538"/>
      <c r="FS25" s="539">
        <f t="shared" si="56"/>
        <v>0</v>
      </c>
      <c r="FT25" s="540">
        <f t="shared" si="167"/>
        <v>0</v>
      </c>
      <c r="FU25" s="538"/>
      <c r="FV25" s="539">
        <f t="shared" si="57"/>
        <v>0</v>
      </c>
      <c r="FW25" s="540">
        <f t="shared" si="168"/>
        <v>0</v>
      </c>
      <c r="FX25" s="538"/>
      <c r="FY25" s="539">
        <f t="shared" si="58"/>
        <v>0</v>
      </c>
      <c r="FZ25" s="540">
        <f t="shared" si="169"/>
        <v>0</v>
      </c>
      <c r="GA25" s="538"/>
      <c r="GB25" s="539">
        <f t="shared" si="59"/>
        <v>0</v>
      </c>
      <c r="GC25" s="540">
        <f t="shared" si="170"/>
        <v>0</v>
      </c>
      <c r="GD25" s="538"/>
      <c r="GE25" s="539">
        <f t="shared" si="60"/>
        <v>0</v>
      </c>
      <c r="GF25" s="540">
        <f t="shared" si="171"/>
        <v>0</v>
      </c>
      <c r="GG25" s="538">
        <v>5</v>
      </c>
      <c r="GH25" s="539">
        <f t="shared" si="61"/>
        <v>0.11631964638827498</v>
      </c>
      <c r="GI25" s="540">
        <f t="shared" si="172"/>
        <v>0</v>
      </c>
      <c r="GJ25" s="538">
        <v>10</v>
      </c>
      <c r="GK25" s="539">
        <f t="shared" si="62"/>
        <v>0.23263929277654996</v>
      </c>
      <c r="GL25" s="540">
        <f t="shared" si="173"/>
        <v>0</v>
      </c>
      <c r="GM25" s="538">
        <v>10</v>
      </c>
      <c r="GN25" s="539">
        <f t="shared" si="63"/>
        <v>0.23263929277654996</v>
      </c>
      <c r="GO25" s="540">
        <f t="shared" si="174"/>
        <v>0</v>
      </c>
      <c r="GP25" s="538">
        <v>0</v>
      </c>
      <c r="GQ25" s="539">
        <f t="shared" si="64"/>
        <v>0</v>
      </c>
      <c r="GR25" s="540">
        <f t="shared" si="175"/>
        <v>0</v>
      </c>
      <c r="GS25" s="538">
        <v>0</v>
      </c>
      <c r="GT25" s="539">
        <f t="shared" si="65"/>
        <v>0</v>
      </c>
      <c r="GU25" s="540">
        <f t="shared" si="176"/>
        <v>0</v>
      </c>
      <c r="GV25" s="538">
        <v>0</v>
      </c>
      <c r="GW25" s="539">
        <f t="shared" si="66"/>
        <v>0</v>
      </c>
      <c r="GX25" s="540">
        <f t="shared" si="177"/>
        <v>0</v>
      </c>
      <c r="GY25" s="538"/>
      <c r="GZ25" s="539">
        <f t="shared" si="67"/>
        <v>0</v>
      </c>
      <c r="HA25" s="540">
        <f t="shared" si="178"/>
        <v>0</v>
      </c>
      <c r="HB25" s="538"/>
      <c r="HC25" s="539">
        <f t="shared" si="68"/>
        <v>0</v>
      </c>
      <c r="HD25" s="540">
        <f t="shared" si="179"/>
        <v>0</v>
      </c>
      <c r="HE25" s="538"/>
      <c r="HF25" s="539">
        <f t="shared" si="69"/>
        <v>0</v>
      </c>
      <c r="HG25" s="540">
        <f t="shared" si="180"/>
        <v>0</v>
      </c>
      <c r="HH25" s="538"/>
      <c r="HI25" s="539">
        <f t="shared" si="70"/>
        <v>0</v>
      </c>
      <c r="HJ25" s="540">
        <f t="shared" si="181"/>
        <v>0</v>
      </c>
      <c r="HK25" s="538"/>
      <c r="HL25" s="539">
        <f t="shared" si="71"/>
        <v>0</v>
      </c>
      <c r="HM25" s="540">
        <f t="shared" si="182"/>
        <v>0</v>
      </c>
      <c r="HN25" s="538">
        <v>1445</v>
      </c>
      <c r="HO25" s="539">
        <f t="shared" si="72"/>
        <v>33.616377806211467</v>
      </c>
      <c r="HP25" s="540">
        <f t="shared" si="183"/>
        <v>0</v>
      </c>
      <c r="HQ25" s="538"/>
      <c r="HR25" s="539">
        <f t="shared" si="73"/>
        <v>0</v>
      </c>
      <c r="HS25" s="540">
        <f t="shared" si="184"/>
        <v>0</v>
      </c>
      <c r="HT25" s="538">
        <v>80</v>
      </c>
      <c r="HU25" s="539">
        <f t="shared" si="74"/>
        <v>1.8611143422123997</v>
      </c>
      <c r="HV25" s="540">
        <f t="shared" si="185"/>
        <v>0</v>
      </c>
      <c r="HW25" s="538">
        <v>10</v>
      </c>
      <c r="HX25" s="539">
        <f t="shared" si="75"/>
        <v>0.23263929277654996</v>
      </c>
      <c r="HY25" s="540">
        <f t="shared" si="186"/>
        <v>0</v>
      </c>
      <c r="HZ25" s="538">
        <v>40</v>
      </c>
      <c r="IA25" s="539">
        <f t="shared" si="76"/>
        <v>0.93055717110619984</v>
      </c>
      <c r="IB25" s="540">
        <f t="shared" si="187"/>
        <v>0</v>
      </c>
      <c r="IC25" s="538">
        <v>60</v>
      </c>
      <c r="ID25" s="539">
        <f t="shared" si="77"/>
        <v>1.3958357566592998</v>
      </c>
      <c r="IE25" s="540">
        <f t="shared" si="188"/>
        <v>0</v>
      </c>
      <c r="IF25" s="538">
        <v>20</v>
      </c>
      <c r="IG25" s="539">
        <f t="shared" si="78"/>
        <v>0.46527858555309992</v>
      </c>
      <c r="IH25" s="540">
        <f t="shared" si="189"/>
        <v>0</v>
      </c>
      <c r="II25" s="538"/>
      <c r="IJ25" s="539">
        <f t="shared" si="79"/>
        <v>0</v>
      </c>
      <c r="IK25" s="540">
        <f t="shared" si="190"/>
        <v>0</v>
      </c>
      <c r="IL25" s="538">
        <v>0</v>
      </c>
      <c r="IM25" s="539">
        <f t="shared" si="80"/>
        <v>0</v>
      </c>
      <c r="IN25" s="540">
        <f t="shared" si="191"/>
        <v>0</v>
      </c>
      <c r="IO25" s="538">
        <v>65</v>
      </c>
      <c r="IP25" s="539">
        <f t="shared" si="81"/>
        <v>1.5121554030475748</v>
      </c>
      <c r="IQ25" s="540">
        <f t="shared" si="192"/>
        <v>0</v>
      </c>
      <c r="IR25" s="538">
        <v>10</v>
      </c>
      <c r="IS25" s="539">
        <f t="shared" si="82"/>
        <v>0.23263929277654996</v>
      </c>
      <c r="IT25" s="540">
        <f t="shared" si="193"/>
        <v>0</v>
      </c>
      <c r="IU25" s="538"/>
      <c r="IV25" s="539">
        <f t="shared" si="83"/>
        <v>0</v>
      </c>
      <c r="IW25" s="540">
        <f t="shared" si="194"/>
        <v>0</v>
      </c>
      <c r="IX25" s="538">
        <v>5</v>
      </c>
      <c r="IY25" s="539">
        <f t="shared" si="84"/>
        <v>0.11631964638827498</v>
      </c>
      <c r="IZ25" s="540">
        <f t="shared" si="195"/>
        <v>0</v>
      </c>
      <c r="JA25" s="538"/>
      <c r="JB25" s="539">
        <f t="shared" si="85"/>
        <v>0</v>
      </c>
      <c r="JC25" s="540">
        <f t="shared" si="196"/>
        <v>0</v>
      </c>
      <c r="JD25" s="538"/>
      <c r="JE25" s="539">
        <f t="shared" si="86"/>
        <v>0</v>
      </c>
      <c r="JF25" s="540">
        <f t="shared" si="197"/>
        <v>0</v>
      </c>
      <c r="JG25" s="538">
        <v>30</v>
      </c>
      <c r="JH25" s="540" t="str">
        <f t="shared" si="87"/>
        <v>0</v>
      </c>
      <c r="JI25" s="540" t="str">
        <f t="shared" si="88"/>
        <v>0</v>
      </c>
      <c r="JJ25" s="538">
        <v>40</v>
      </c>
      <c r="JK25" s="540" t="str">
        <f t="shared" si="89"/>
        <v>0</v>
      </c>
      <c r="JL25" s="540" t="str">
        <f t="shared" si="90"/>
        <v>0</v>
      </c>
      <c r="JM25" s="538"/>
      <c r="JN25" s="540" t="str">
        <f t="shared" si="91"/>
        <v>0</v>
      </c>
      <c r="JO25" s="540" t="str">
        <f t="shared" si="92"/>
        <v>0</v>
      </c>
      <c r="JP25" s="538"/>
      <c r="JQ25" s="540" t="str">
        <f t="shared" si="93"/>
        <v>0</v>
      </c>
      <c r="JR25" s="540" t="str">
        <f t="shared" si="94"/>
        <v>0</v>
      </c>
      <c r="JS25" s="538"/>
      <c r="JT25" s="540" t="str">
        <f t="shared" si="95"/>
        <v>0</v>
      </c>
      <c r="JU25" s="540" t="str">
        <f t="shared" si="96"/>
        <v>0</v>
      </c>
      <c r="JV25" s="538"/>
      <c r="JW25" s="540" t="str">
        <f t="shared" si="97"/>
        <v>0</v>
      </c>
      <c r="JX25" s="540" t="str">
        <f t="shared" si="98"/>
        <v>0</v>
      </c>
      <c r="JY25" s="538"/>
      <c r="JZ25" s="540" t="str">
        <f t="shared" si="99"/>
        <v>0</v>
      </c>
      <c r="KA25" s="540" t="str">
        <f t="shared" si="100"/>
        <v>0</v>
      </c>
      <c r="KB25" s="538"/>
      <c r="KC25" s="540" t="str">
        <f t="shared" si="101"/>
        <v>0</v>
      </c>
      <c r="KD25" s="540" t="str">
        <f t="shared" si="102"/>
        <v>0</v>
      </c>
      <c r="KE25" s="538"/>
      <c r="KF25" s="540" t="str">
        <f t="shared" si="103"/>
        <v>0</v>
      </c>
      <c r="KG25" s="540" t="str">
        <f t="shared" si="104"/>
        <v>0</v>
      </c>
      <c r="KH25" s="538"/>
      <c r="KI25" s="540" t="str">
        <f t="shared" si="105"/>
        <v>0</v>
      </c>
      <c r="KJ25" s="540" t="str">
        <f t="shared" si="106"/>
        <v>0</v>
      </c>
      <c r="KK25" s="538"/>
      <c r="KL25" s="540" t="str">
        <f t="shared" si="107"/>
        <v>0</v>
      </c>
      <c r="KM25" s="540" t="str">
        <f t="shared" si="108"/>
        <v>0</v>
      </c>
      <c r="KN25" s="538"/>
      <c r="KO25" s="540" t="str">
        <f t="shared" si="109"/>
        <v>0</v>
      </c>
      <c r="KP25" s="540" t="str">
        <f t="shared" si="110"/>
        <v>0</v>
      </c>
      <c r="KQ25" s="540">
        <f t="shared" si="111"/>
        <v>0</v>
      </c>
      <c r="KR25" s="540">
        <f t="shared" si="198"/>
        <v>0</v>
      </c>
      <c r="KS25" s="268">
        <f t="shared" si="199"/>
        <v>2808.777474218668</v>
      </c>
    </row>
    <row r="26" spans="1:306" ht="15" customHeight="1">
      <c r="A26" s="270">
        <f t="shared" si="200"/>
        <v>45948</v>
      </c>
      <c r="B26" s="271" t="str">
        <f>+Report1!B26</f>
        <v>Napkin</v>
      </c>
      <c r="C26" s="271" t="str">
        <f>+Report1!C26</f>
        <v>15,5</v>
      </c>
      <c r="D26" s="272">
        <f>+Report1!P26</f>
        <v>25.956000000000003</v>
      </c>
      <c r="E26" s="273">
        <f>+Report1!R26</f>
        <v>24.611999999999998</v>
      </c>
      <c r="F26" s="538">
        <v>0</v>
      </c>
      <c r="G26" s="539">
        <f t="shared" si="0"/>
        <v>0</v>
      </c>
      <c r="H26" s="540">
        <f t="shared" si="112"/>
        <v>0</v>
      </c>
      <c r="I26" s="538">
        <v>0</v>
      </c>
      <c r="J26" s="539">
        <f t="shared" si="1"/>
        <v>0</v>
      </c>
      <c r="K26" s="540">
        <f t="shared" si="113"/>
        <v>0</v>
      </c>
      <c r="L26" s="538"/>
      <c r="M26" s="539">
        <f t="shared" si="2"/>
        <v>0</v>
      </c>
      <c r="N26" s="540">
        <f t="shared" si="114"/>
        <v>0</v>
      </c>
      <c r="O26" s="538">
        <v>6</v>
      </c>
      <c r="P26" s="539">
        <f t="shared" si="3"/>
        <v>0.24378352023403219</v>
      </c>
      <c r="Q26" s="540">
        <f t="shared" si="115"/>
        <v>0</v>
      </c>
      <c r="R26" s="538"/>
      <c r="S26" s="539">
        <f t="shared" si="4"/>
        <v>0</v>
      </c>
      <c r="T26" s="540">
        <f t="shared" si="116"/>
        <v>0</v>
      </c>
      <c r="U26" s="538">
        <v>5.125</v>
      </c>
      <c r="V26" s="539">
        <f t="shared" si="5"/>
        <v>0.20823175686656917</v>
      </c>
      <c r="W26" s="540">
        <f t="shared" si="117"/>
        <v>0</v>
      </c>
      <c r="X26" s="538"/>
      <c r="Y26" s="539">
        <f t="shared" si="6"/>
        <v>0</v>
      </c>
      <c r="Z26" s="540">
        <f t="shared" si="118"/>
        <v>0</v>
      </c>
      <c r="AA26" s="538"/>
      <c r="AB26" s="539">
        <f t="shared" si="7"/>
        <v>0</v>
      </c>
      <c r="AC26" s="540">
        <f t="shared" si="119"/>
        <v>0</v>
      </c>
      <c r="AD26" s="538"/>
      <c r="AE26" s="539">
        <f t="shared" si="8"/>
        <v>0</v>
      </c>
      <c r="AF26" s="540">
        <f t="shared" si="120"/>
        <v>0</v>
      </c>
      <c r="AG26" s="538"/>
      <c r="AH26" s="539">
        <f t="shared" si="9"/>
        <v>0</v>
      </c>
      <c r="AI26" s="540">
        <f t="shared" si="121"/>
        <v>0</v>
      </c>
      <c r="AJ26" s="538"/>
      <c r="AK26" s="539">
        <f t="shared" si="10"/>
        <v>0</v>
      </c>
      <c r="AL26" s="540">
        <f t="shared" si="122"/>
        <v>0</v>
      </c>
      <c r="AM26" s="538">
        <v>15.132338461538438</v>
      </c>
      <c r="AN26" s="539">
        <f t="shared" si="11"/>
        <v>0.61483578992111321</v>
      </c>
      <c r="AO26" s="540">
        <f t="shared" si="123"/>
        <v>0</v>
      </c>
      <c r="AP26" s="538"/>
      <c r="AQ26" s="539">
        <f t="shared" si="12"/>
        <v>0</v>
      </c>
      <c r="AR26" s="540">
        <f t="shared" si="124"/>
        <v>0</v>
      </c>
      <c r="AS26" s="538"/>
      <c r="AT26" s="539">
        <f t="shared" si="13"/>
        <v>0</v>
      </c>
      <c r="AU26" s="540">
        <f t="shared" si="125"/>
        <v>0</v>
      </c>
      <c r="AV26" s="538">
        <v>5.5500000000000114</v>
      </c>
      <c r="AW26" s="539">
        <f t="shared" si="14"/>
        <v>0.22549975621648025</v>
      </c>
      <c r="AX26" s="540">
        <f t="shared" si="126"/>
        <v>0</v>
      </c>
      <c r="AY26" s="538">
        <v>27.655333333333317</v>
      </c>
      <c r="AZ26" s="539">
        <f t="shared" si="15"/>
        <v>1.1236524188742614</v>
      </c>
      <c r="BA26" s="540">
        <f t="shared" si="127"/>
        <v>0</v>
      </c>
      <c r="BB26" s="538"/>
      <c r="BC26" s="539">
        <f t="shared" si="16"/>
        <v>0</v>
      </c>
      <c r="BD26" s="540">
        <f t="shared" si="128"/>
        <v>0</v>
      </c>
      <c r="BE26" s="538"/>
      <c r="BF26" s="539">
        <f t="shared" si="17"/>
        <v>0</v>
      </c>
      <c r="BG26" s="540">
        <f t="shared" si="129"/>
        <v>0</v>
      </c>
      <c r="BH26" s="538"/>
      <c r="BI26" s="539">
        <f t="shared" si="18"/>
        <v>0</v>
      </c>
      <c r="BJ26" s="540">
        <f t="shared" si="130"/>
        <v>0</v>
      </c>
      <c r="BK26" s="538"/>
      <c r="BL26" s="539">
        <f t="shared" si="19"/>
        <v>0</v>
      </c>
      <c r="BM26" s="540">
        <f t="shared" si="131"/>
        <v>0</v>
      </c>
      <c r="BN26" s="538"/>
      <c r="BO26" s="539">
        <f t="shared" si="20"/>
        <v>0</v>
      </c>
      <c r="BP26" s="540">
        <f t="shared" si="132"/>
        <v>0</v>
      </c>
      <c r="BQ26" s="538"/>
      <c r="BR26" s="539">
        <f t="shared" si="21"/>
        <v>0</v>
      </c>
      <c r="BS26" s="540">
        <f t="shared" si="133"/>
        <v>0</v>
      </c>
      <c r="BT26" s="538"/>
      <c r="BU26" s="539">
        <f t="shared" si="22"/>
        <v>0</v>
      </c>
      <c r="BV26" s="540">
        <f t="shared" si="134"/>
        <v>0</v>
      </c>
      <c r="BW26" s="538"/>
      <c r="BX26" s="539">
        <f t="shared" si="23"/>
        <v>0</v>
      </c>
      <c r="BY26" s="540">
        <f t="shared" si="135"/>
        <v>0</v>
      </c>
      <c r="BZ26" s="538">
        <v>0</v>
      </c>
      <c r="CA26" s="539">
        <f t="shared" si="24"/>
        <v>0</v>
      </c>
      <c r="CB26" s="540">
        <f t="shared" si="136"/>
        <v>0</v>
      </c>
      <c r="CC26" s="538">
        <v>0</v>
      </c>
      <c r="CD26" s="539">
        <f t="shared" si="25"/>
        <v>0</v>
      </c>
      <c r="CE26" s="540">
        <f t="shared" si="137"/>
        <v>0</v>
      </c>
      <c r="CF26" s="538">
        <v>2.5</v>
      </c>
      <c r="CG26" s="539">
        <f t="shared" si="26"/>
        <v>0.10157646676418008</v>
      </c>
      <c r="CH26" s="540">
        <f t="shared" si="138"/>
        <v>0</v>
      </c>
      <c r="CI26" s="538">
        <v>0</v>
      </c>
      <c r="CJ26" s="539">
        <f t="shared" si="27"/>
        <v>0</v>
      </c>
      <c r="CK26" s="540">
        <f t="shared" si="139"/>
        <v>0</v>
      </c>
      <c r="CL26" s="538"/>
      <c r="CM26" s="539">
        <f t="shared" si="28"/>
        <v>0</v>
      </c>
      <c r="CN26" s="540">
        <f t="shared" si="140"/>
        <v>0</v>
      </c>
      <c r="CO26" s="538"/>
      <c r="CP26" s="539">
        <f t="shared" si="29"/>
        <v>0</v>
      </c>
      <c r="CQ26" s="540">
        <f t="shared" si="141"/>
        <v>0</v>
      </c>
      <c r="CR26" s="538"/>
      <c r="CS26" s="539">
        <f t="shared" si="30"/>
        <v>0</v>
      </c>
      <c r="CT26" s="540">
        <f t="shared" si="142"/>
        <v>0</v>
      </c>
      <c r="CU26" s="538"/>
      <c r="CV26" s="539">
        <f t="shared" si="31"/>
        <v>0</v>
      </c>
      <c r="CW26" s="540">
        <f t="shared" si="143"/>
        <v>0</v>
      </c>
      <c r="CX26" s="538"/>
      <c r="CY26" s="539">
        <f t="shared" si="32"/>
        <v>0</v>
      </c>
      <c r="CZ26" s="540">
        <f t="shared" si="144"/>
        <v>0</v>
      </c>
      <c r="DA26" s="538">
        <v>74.709647058823521</v>
      </c>
      <c r="DB26" s="539">
        <f t="shared" si="33"/>
        <v>3.0354967925736847</v>
      </c>
      <c r="DC26" s="540">
        <f t="shared" si="145"/>
        <v>0</v>
      </c>
      <c r="DD26" s="538"/>
      <c r="DE26" s="539">
        <f t="shared" si="34"/>
        <v>0</v>
      </c>
      <c r="DF26" s="540">
        <f t="shared" si="146"/>
        <v>0</v>
      </c>
      <c r="DG26" s="538"/>
      <c r="DH26" s="539">
        <f t="shared" si="35"/>
        <v>0</v>
      </c>
      <c r="DI26" s="540">
        <f t="shared" si="201"/>
        <v>0</v>
      </c>
      <c r="DJ26" s="538"/>
      <c r="DK26" s="539">
        <f t="shared" si="36"/>
        <v>0</v>
      </c>
      <c r="DL26" s="540">
        <f t="shared" si="147"/>
        <v>0</v>
      </c>
      <c r="DM26" s="538"/>
      <c r="DN26" s="539">
        <f t="shared" si="37"/>
        <v>0</v>
      </c>
      <c r="DO26" s="540">
        <f t="shared" si="148"/>
        <v>0</v>
      </c>
      <c r="DP26" s="538"/>
      <c r="DQ26" s="539">
        <f t="shared" si="38"/>
        <v>0</v>
      </c>
      <c r="DR26" s="540">
        <f t="shared" si="149"/>
        <v>0</v>
      </c>
      <c r="DS26" s="538"/>
      <c r="DT26" s="539">
        <f t="shared" si="39"/>
        <v>0</v>
      </c>
      <c r="DU26" s="540">
        <f t="shared" si="150"/>
        <v>0</v>
      </c>
      <c r="DV26" s="538"/>
      <c r="DW26" s="539">
        <f t="shared" si="40"/>
        <v>0</v>
      </c>
      <c r="DX26" s="540">
        <f t="shared" si="151"/>
        <v>0</v>
      </c>
      <c r="DY26" s="538">
        <v>0</v>
      </c>
      <c r="DZ26" s="539">
        <f t="shared" si="41"/>
        <v>0</v>
      </c>
      <c r="EA26" s="540">
        <f t="shared" si="152"/>
        <v>0</v>
      </c>
      <c r="EB26" s="538">
        <v>358.5857882352941</v>
      </c>
      <c r="EC26" s="539">
        <f t="shared" si="42"/>
        <v>14.569550960315867</v>
      </c>
      <c r="ED26" s="540">
        <f t="shared" si="153"/>
        <v>0</v>
      </c>
      <c r="EE26" s="538">
        <v>14.534883720930111</v>
      </c>
      <c r="EF26" s="539">
        <f t="shared" si="43"/>
        <v>0.59056085328011176</v>
      </c>
      <c r="EG26" s="540">
        <f t="shared" si="154"/>
        <v>0</v>
      </c>
      <c r="EH26" s="538">
        <v>0</v>
      </c>
      <c r="EI26" s="539">
        <f t="shared" si="44"/>
        <v>0</v>
      </c>
      <c r="EJ26" s="540">
        <f t="shared" si="155"/>
        <v>0</v>
      </c>
      <c r="EK26" s="538"/>
      <c r="EL26" s="539">
        <f t="shared" si="45"/>
        <v>0</v>
      </c>
      <c r="EM26" s="540">
        <f t="shared" si="156"/>
        <v>0</v>
      </c>
      <c r="EN26" s="538"/>
      <c r="EO26" s="539">
        <f t="shared" si="46"/>
        <v>0</v>
      </c>
      <c r="EP26" s="540">
        <f t="shared" si="157"/>
        <v>0</v>
      </c>
      <c r="EQ26" s="538"/>
      <c r="ER26" s="539">
        <f t="shared" si="47"/>
        <v>0</v>
      </c>
      <c r="ES26" s="540">
        <f t="shared" si="158"/>
        <v>0</v>
      </c>
      <c r="ET26" s="538"/>
      <c r="EU26" s="539">
        <f t="shared" si="48"/>
        <v>0</v>
      </c>
      <c r="EV26" s="540">
        <f t="shared" si="159"/>
        <v>0</v>
      </c>
      <c r="EW26" s="538"/>
      <c r="EX26" s="539">
        <f t="shared" si="49"/>
        <v>0</v>
      </c>
      <c r="EY26" s="540">
        <f t="shared" si="160"/>
        <v>0</v>
      </c>
      <c r="EZ26" s="538"/>
      <c r="FA26" s="539">
        <f t="shared" si="50"/>
        <v>0</v>
      </c>
      <c r="FB26" s="540">
        <f t="shared" si="161"/>
        <v>0</v>
      </c>
      <c r="FC26" s="538"/>
      <c r="FD26" s="539">
        <f t="shared" si="51"/>
        <v>0</v>
      </c>
      <c r="FE26" s="540">
        <f t="shared" si="162"/>
        <v>0</v>
      </c>
      <c r="FF26" s="538"/>
      <c r="FG26" s="539">
        <f t="shared" si="52"/>
        <v>0</v>
      </c>
      <c r="FH26" s="540">
        <f t="shared" si="163"/>
        <v>0</v>
      </c>
      <c r="FI26" s="538"/>
      <c r="FJ26" s="539">
        <f t="shared" si="53"/>
        <v>0</v>
      </c>
      <c r="FK26" s="540">
        <f t="shared" si="164"/>
        <v>0</v>
      </c>
      <c r="FL26" s="538"/>
      <c r="FM26" s="539">
        <f t="shared" si="54"/>
        <v>0</v>
      </c>
      <c r="FN26" s="540">
        <f t="shared" si="165"/>
        <v>0</v>
      </c>
      <c r="FO26" s="538"/>
      <c r="FP26" s="539">
        <f t="shared" si="55"/>
        <v>0</v>
      </c>
      <c r="FQ26" s="540">
        <f t="shared" si="166"/>
        <v>0</v>
      </c>
      <c r="FR26" s="538"/>
      <c r="FS26" s="539">
        <f t="shared" si="56"/>
        <v>0</v>
      </c>
      <c r="FT26" s="540">
        <f t="shared" si="167"/>
        <v>0</v>
      </c>
      <c r="FU26" s="538"/>
      <c r="FV26" s="539">
        <f t="shared" si="57"/>
        <v>0</v>
      </c>
      <c r="FW26" s="540">
        <f t="shared" si="168"/>
        <v>0</v>
      </c>
      <c r="FX26" s="538"/>
      <c r="FY26" s="539">
        <f t="shared" si="58"/>
        <v>0</v>
      </c>
      <c r="FZ26" s="540">
        <f t="shared" si="169"/>
        <v>0</v>
      </c>
      <c r="GA26" s="538"/>
      <c r="GB26" s="539">
        <f t="shared" si="59"/>
        <v>0</v>
      </c>
      <c r="GC26" s="540">
        <f t="shared" si="170"/>
        <v>0</v>
      </c>
      <c r="GD26" s="538"/>
      <c r="GE26" s="539">
        <f t="shared" si="60"/>
        <v>0</v>
      </c>
      <c r="GF26" s="540">
        <f t="shared" si="171"/>
        <v>0</v>
      </c>
      <c r="GG26" s="538">
        <v>10</v>
      </c>
      <c r="GH26" s="539">
        <f t="shared" si="61"/>
        <v>0.40630586705672034</v>
      </c>
      <c r="GI26" s="540">
        <f t="shared" si="172"/>
        <v>0</v>
      </c>
      <c r="GJ26" s="538">
        <v>10</v>
      </c>
      <c r="GK26" s="539">
        <f>+GJ26/$E26</f>
        <v>0.40630586705672034</v>
      </c>
      <c r="GL26" s="540">
        <f>+GJ26*$H$8</f>
        <v>0</v>
      </c>
      <c r="GM26" s="538">
        <v>10</v>
      </c>
      <c r="GN26" s="539">
        <f t="shared" ref="GN26:GN39" si="202">+GM26/$E26</f>
        <v>0.40630586705672034</v>
      </c>
      <c r="GO26" s="540">
        <f t="shared" ref="GO26:GO39" si="203">+GM26*$H$8</f>
        <v>0</v>
      </c>
      <c r="GP26" s="538">
        <v>0</v>
      </c>
      <c r="GQ26" s="539">
        <f t="shared" ref="GQ26:GQ39" si="204">+GP26/$E26</f>
        <v>0</v>
      </c>
      <c r="GR26" s="540">
        <f t="shared" ref="GR26:GR39" si="205">+GP26*$H$8</f>
        <v>0</v>
      </c>
      <c r="GS26" s="538">
        <v>0</v>
      </c>
      <c r="GT26" s="539">
        <f t="shared" ref="GT26:GT39" si="206">+GS26/$E26</f>
        <v>0</v>
      </c>
      <c r="GU26" s="540">
        <f t="shared" ref="GU26:GU39" si="207">+GS26*$H$8</f>
        <v>0</v>
      </c>
      <c r="GV26" s="538">
        <v>0</v>
      </c>
      <c r="GW26" s="539">
        <f t="shared" si="66"/>
        <v>0</v>
      </c>
      <c r="GX26" s="540">
        <f t="shared" si="177"/>
        <v>0</v>
      </c>
      <c r="GY26" s="538"/>
      <c r="GZ26" s="539">
        <f t="shared" si="67"/>
        <v>0</v>
      </c>
      <c r="HA26" s="540">
        <f t="shared" si="178"/>
        <v>0</v>
      </c>
      <c r="HB26" s="538"/>
      <c r="HC26" s="539">
        <f t="shared" si="68"/>
        <v>0</v>
      </c>
      <c r="HD26" s="540">
        <f t="shared" si="179"/>
        <v>0</v>
      </c>
      <c r="HE26" s="538"/>
      <c r="HF26" s="539">
        <f t="shared" si="69"/>
        <v>0</v>
      </c>
      <c r="HG26" s="540">
        <f t="shared" si="180"/>
        <v>0</v>
      </c>
      <c r="HH26" s="538"/>
      <c r="HI26" s="539">
        <f t="shared" si="70"/>
        <v>0</v>
      </c>
      <c r="HJ26" s="540">
        <f t="shared" si="181"/>
        <v>0</v>
      </c>
      <c r="HK26" s="538"/>
      <c r="HL26" s="539">
        <f t="shared" si="71"/>
        <v>0</v>
      </c>
      <c r="HM26" s="540">
        <f t="shared" si="182"/>
        <v>0</v>
      </c>
      <c r="HN26" s="538">
        <v>1462</v>
      </c>
      <c r="HO26" s="539">
        <f t="shared" si="72"/>
        <v>59.401917763692509</v>
      </c>
      <c r="HP26" s="540">
        <f t="shared" si="183"/>
        <v>0</v>
      </c>
      <c r="HQ26" s="538"/>
      <c r="HR26" s="539">
        <f t="shared" si="73"/>
        <v>0</v>
      </c>
      <c r="HS26" s="540">
        <f t="shared" si="184"/>
        <v>0</v>
      </c>
      <c r="HT26" s="538">
        <v>70</v>
      </c>
      <c r="HU26" s="539">
        <f t="shared" si="74"/>
        <v>2.8441410693970424</v>
      </c>
      <c r="HV26" s="540">
        <f t="shared" si="185"/>
        <v>0</v>
      </c>
      <c r="HW26" s="538">
        <v>10</v>
      </c>
      <c r="HX26" s="539">
        <f t="shared" si="75"/>
        <v>0.40630586705672034</v>
      </c>
      <c r="HY26" s="540">
        <f t="shared" si="186"/>
        <v>0</v>
      </c>
      <c r="HZ26" s="538">
        <v>40</v>
      </c>
      <c r="IA26" s="539">
        <f t="shared" si="76"/>
        <v>1.6252234682268814</v>
      </c>
      <c r="IB26" s="540">
        <f t="shared" si="187"/>
        <v>0</v>
      </c>
      <c r="IC26" s="538">
        <v>60</v>
      </c>
      <c r="ID26" s="539">
        <f t="shared" si="77"/>
        <v>2.437835202340322</v>
      </c>
      <c r="IE26" s="540">
        <f t="shared" si="188"/>
        <v>0</v>
      </c>
      <c r="IF26" s="538">
        <v>0</v>
      </c>
      <c r="IG26" s="539">
        <f t="shared" si="78"/>
        <v>0</v>
      </c>
      <c r="IH26" s="540">
        <f t="shared" si="189"/>
        <v>0</v>
      </c>
      <c r="II26" s="538"/>
      <c r="IJ26" s="539">
        <f t="shared" si="79"/>
        <v>0</v>
      </c>
      <c r="IK26" s="540">
        <f t="shared" si="190"/>
        <v>0</v>
      </c>
      <c r="IL26" s="538">
        <v>20</v>
      </c>
      <c r="IM26" s="539">
        <f t="shared" si="80"/>
        <v>0.81261173411344068</v>
      </c>
      <c r="IN26" s="540">
        <f t="shared" si="191"/>
        <v>0</v>
      </c>
      <c r="IO26" s="538">
        <v>70</v>
      </c>
      <c r="IP26" s="539">
        <f t="shared" si="81"/>
        <v>2.8441410693970424</v>
      </c>
      <c r="IQ26" s="540">
        <f t="shared" si="192"/>
        <v>0</v>
      </c>
      <c r="IR26" s="538">
        <v>10</v>
      </c>
      <c r="IS26" s="539">
        <f t="shared" si="82"/>
        <v>0.40630586705672034</v>
      </c>
      <c r="IT26" s="540">
        <f t="shared" si="193"/>
        <v>0</v>
      </c>
      <c r="IU26" s="538"/>
      <c r="IV26" s="539">
        <f t="shared" si="83"/>
        <v>0</v>
      </c>
      <c r="IW26" s="540">
        <f t="shared" si="194"/>
        <v>0</v>
      </c>
      <c r="IX26" s="538">
        <v>5</v>
      </c>
      <c r="IY26" s="539">
        <f t="shared" si="84"/>
        <v>0.20315293352836017</v>
      </c>
      <c r="IZ26" s="540">
        <f t="shared" si="195"/>
        <v>0</v>
      </c>
      <c r="JA26" s="538"/>
      <c r="JB26" s="539">
        <f t="shared" si="85"/>
        <v>0</v>
      </c>
      <c r="JC26" s="540">
        <f t="shared" si="196"/>
        <v>0</v>
      </c>
      <c r="JD26" s="538"/>
      <c r="JE26" s="539">
        <f t="shared" si="86"/>
        <v>0</v>
      </c>
      <c r="JF26" s="540">
        <f t="shared" si="197"/>
        <v>0</v>
      </c>
      <c r="JG26" s="538">
        <v>40</v>
      </c>
      <c r="JH26" s="540" t="str">
        <f t="shared" si="87"/>
        <v>0</v>
      </c>
      <c r="JI26" s="540" t="str">
        <f t="shared" si="88"/>
        <v>0</v>
      </c>
      <c r="JJ26" s="538">
        <v>40</v>
      </c>
      <c r="JK26" s="540" t="str">
        <f t="shared" si="89"/>
        <v>0</v>
      </c>
      <c r="JL26" s="540" t="str">
        <f t="shared" si="90"/>
        <v>0</v>
      </c>
      <c r="JM26" s="538"/>
      <c r="JN26" s="540" t="str">
        <f t="shared" si="91"/>
        <v>0</v>
      </c>
      <c r="JO26" s="540" t="str">
        <f t="shared" si="92"/>
        <v>0</v>
      </c>
      <c r="JP26" s="538"/>
      <c r="JQ26" s="540" t="str">
        <f t="shared" si="93"/>
        <v>0</v>
      </c>
      <c r="JR26" s="540" t="str">
        <f t="shared" si="94"/>
        <v>0</v>
      </c>
      <c r="JS26" s="538"/>
      <c r="JT26" s="540" t="str">
        <f t="shared" si="95"/>
        <v>0</v>
      </c>
      <c r="JU26" s="540" t="str">
        <f t="shared" si="96"/>
        <v>0</v>
      </c>
      <c r="JV26" s="538"/>
      <c r="JW26" s="540" t="str">
        <f t="shared" si="97"/>
        <v>0</v>
      </c>
      <c r="JX26" s="540" t="str">
        <f t="shared" si="98"/>
        <v>0</v>
      </c>
      <c r="JY26" s="538"/>
      <c r="JZ26" s="540" t="str">
        <f t="shared" si="99"/>
        <v>0</v>
      </c>
      <c r="KA26" s="540" t="str">
        <f t="shared" si="100"/>
        <v>0</v>
      </c>
      <c r="KB26" s="538"/>
      <c r="KC26" s="540" t="str">
        <f t="shared" si="101"/>
        <v>0</v>
      </c>
      <c r="KD26" s="540" t="str">
        <f t="shared" si="102"/>
        <v>0</v>
      </c>
      <c r="KE26" s="538"/>
      <c r="KF26" s="540" t="str">
        <f t="shared" si="103"/>
        <v>0</v>
      </c>
      <c r="KG26" s="540" t="str">
        <f t="shared" si="104"/>
        <v>0</v>
      </c>
      <c r="KH26" s="538"/>
      <c r="KI26" s="540" t="str">
        <f t="shared" si="105"/>
        <v>0</v>
      </c>
      <c r="KJ26" s="540" t="str">
        <f t="shared" si="106"/>
        <v>0</v>
      </c>
      <c r="KK26" s="538"/>
      <c r="KL26" s="540" t="str">
        <f t="shared" si="107"/>
        <v>0</v>
      </c>
      <c r="KM26" s="540" t="str">
        <f t="shared" si="108"/>
        <v>0</v>
      </c>
      <c r="KN26" s="538"/>
      <c r="KO26" s="540" t="str">
        <f t="shared" si="109"/>
        <v>0</v>
      </c>
      <c r="KP26" s="540" t="str">
        <f t="shared" si="110"/>
        <v>0</v>
      </c>
      <c r="KQ26" s="540">
        <f t="shared" si="111"/>
        <v>0</v>
      </c>
      <c r="KR26" s="540">
        <f t="shared" si="198"/>
        <v>0</v>
      </c>
      <c r="KS26" s="268">
        <f t="shared" si="199"/>
        <v>2366.7929908099195</v>
      </c>
    </row>
    <row r="27" spans="1:306" ht="15" customHeight="1">
      <c r="A27" s="270">
        <f t="shared" si="200"/>
        <v>45949</v>
      </c>
      <c r="B27" s="271" t="str">
        <f>+Report1!B27</f>
        <v>Napkin</v>
      </c>
      <c r="C27" s="271" t="str">
        <f>+Report1!C27</f>
        <v>15,5</v>
      </c>
      <c r="D27" s="272">
        <f>+Report1!P27</f>
        <v>50.688000000000002</v>
      </c>
      <c r="E27" s="273">
        <f>+Report1!R27</f>
        <v>49.045999999999999</v>
      </c>
      <c r="F27" s="538">
        <v>0</v>
      </c>
      <c r="G27" s="539">
        <f t="shared" si="0"/>
        <v>0</v>
      </c>
      <c r="H27" s="540">
        <f t="shared" si="112"/>
        <v>0</v>
      </c>
      <c r="I27" s="538">
        <v>0</v>
      </c>
      <c r="J27" s="539">
        <f t="shared" si="1"/>
        <v>0</v>
      </c>
      <c r="K27" s="540">
        <f t="shared" si="113"/>
        <v>0</v>
      </c>
      <c r="L27" s="538"/>
      <c r="M27" s="539">
        <f t="shared" si="2"/>
        <v>0</v>
      </c>
      <c r="N27" s="540">
        <f t="shared" si="114"/>
        <v>0</v>
      </c>
      <c r="O27" s="538">
        <v>18</v>
      </c>
      <c r="P27" s="539">
        <f t="shared" si="3"/>
        <v>0.36700240590466093</v>
      </c>
      <c r="Q27" s="540">
        <f t="shared" si="115"/>
        <v>0</v>
      </c>
      <c r="R27" s="538"/>
      <c r="S27" s="539">
        <f t="shared" si="4"/>
        <v>0</v>
      </c>
      <c r="T27" s="540">
        <f t="shared" si="116"/>
        <v>0</v>
      </c>
      <c r="U27" s="538">
        <v>10.25</v>
      </c>
      <c r="V27" s="539">
        <f t="shared" si="5"/>
        <v>0.20898748114015414</v>
      </c>
      <c r="W27" s="540">
        <f t="shared" si="117"/>
        <v>0</v>
      </c>
      <c r="X27" s="538"/>
      <c r="Y27" s="539">
        <f t="shared" si="6"/>
        <v>0</v>
      </c>
      <c r="Z27" s="540">
        <f t="shared" si="118"/>
        <v>0</v>
      </c>
      <c r="AA27" s="538"/>
      <c r="AB27" s="539">
        <f t="shared" si="7"/>
        <v>0</v>
      </c>
      <c r="AC27" s="540">
        <f t="shared" si="119"/>
        <v>0</v>
      </c>
      <c r="AD27" s="538"/>
      <c r="AE27" s="539">
        <f t="shared" si="8"/>
        <v>0</v>
      </c>
      <c r="AF27" s="540">
        <f t="shared" si="120"/>
        <v>0</v>
      </c>
      <c r="AG27" s="538"/>
      <c r="AH27" s="539">
        <f t="shared" si="9"/>
        <v>0</v>
      </c>
      <c r="AI27" s="540">
        <f t="shared" si="121"/>
        <v>0</v>
      </c>
      <c r="AJ27" s="538"/>
      <c r="AK27" s="539">
        <f t="shared" si="10"/>
        <v>0</v>
      </c>
      <c r="AL27" s="540">
        <f t="shared" si="122"/>
        <v>0</v>
      </c>
      <c r="AM27" s="538">
        <v>29.542700000000025</v>
      </c>
      <c r="AN27" s="539">
        <f t="shared" si="11"/>
        <v>0.60234677649553536</v>
      </c>
      <c r="AO27" s="540">
        <f t="shared" si="123"/>
        <v>0</v>
      </c>
      <c r="AP27" s="538"/>
      <c r="AQ27" s="539">
        <f t="shared" si="12"/>
        <v>0</v>
      </c>
      <c r="AR27" s="540">
        <f t="shared" si="124"/>
        <v>0</v>
      </c>
      <c r="AS27" s="538"/>
      <c r="AT27" s="539">
        <f t="shared" si="13"/>
        <v>0</v>
      </c>
      <c r="AU27" s="540">
        <f t="shared" si="125"/>
        <v>0</v>
      </c>
      <c r="AV27" s="538">
        <v>8.3249999999999886</v>
      </c>
      <c r="AW27" s="539">
        <f t="shared" si="14"/>
        <v>0.16973861273090546</v>
      </c>
      <c r="AX27" s="540">
        <f t="shared" si="126"/>
        <v>0</v>
      </c>
      <c r="AY27" s="538">
        <v>54.013199999999983</v>
      </c>
      <c r="AZ27" s="539">
        <f t="shared" si="15"/>
        <v>1.1012763528116458</v>
      </c>
      <c r="BA27" s="540">
        <f t="shared" si="127"/>
        <v>0</v>
      </c>
      <c r="BB27" s="538"/>
      <c r="BC27" s="539">
        <f t="shared" si="16"/>
        <v>0</v>
      </c>
      <c r="BD27" s="540">
        <f t="shared" si="128"/>
        <v>0</v>
      </c>
      <c r="BE27" s="538"/>
      <c r="BF27" s="539">
        <f t="shared" si="17"/>
        <v>0</v>
      </c>
      <c r="BG27" s="540">
        <f t="shared" si="129"/>
        <v>0</v>
      </c>
      <c r="BH27" s="538"/>
      <c r="BI27" s="539">
        <f t="shared" si="18"/>
        <v>0</v>
      </c>
      <c r="BJ27" s="540">
        <f t="shared" si="130"/>
        <v>0</v>
      </c>
      <c r="BK27" s="538"/>
      <c r="BL27" s="539">
        <f t="shared" si="19"/>
        <v>0</v>
      </c>
      <c r="BM27" s="540">
        <f t="shared" si="131"/>
        <v>0</v>
      </c>
      <c r="BN27" s="538"/>
      <c r="BO27" s="539">
        <f t="shared" si="20"/>
        <v>0</v>
      </c>
      <c r="BP27" s="540">
        <f t="shared" si="132"/>
        <v>0</v>
      </c>
      <c r="BQ27" s="538"/>
      <c r="BR27" s="539">
        <f t="shared" si="21"/>
        <v>0</v>
      </c>
      <c r="BS27" s="540">
        <f t="shared" si="133"/>
        <v>0</v>
      </c>
      <c r="BT27" s="538"/>
      <c r="BU27" s="539">
        <f t="shared" si="22"/>
        <v>0</v>
      </c>
      <c r="BV27" s="540">
        <f t="shared" si="134"/>
        <v>0</v>
      </c>
      <c r="BW27" s="538"/>
      <c r="BX27" s="539">
        <f t="shared" si="23"/>
        <v>0</v>
      </c>
      <c r="BY27" s="540">
        <f t="shared" si="135"/>
        <v>0</v>
      </c>
      <c r="BZ27" s="538">
        <v>0</v>
      </c>
      <c r="CA27" s="539">
        <f t="shared" si="24"/>
        <v>0</v>
      </c>
      <c r="CB27" s="540">
        <f t="shared" si="136"/>
        <v>0</v>
      </c>
      <c r="CC27" s="538">
        <v>0</v>
      </c>
      <c r="CD27" s="539">
        <f t="shared" si="25"/>
        <v>0</v>
      </c>
      <c r="CE27" s="540">
        <f t="shared" si="137"/>
        <v>0</v>
      </c>
      <c r="CF27" s="538">
        <v>2.5000000000000004</v>
      </c>
      <c r="CG27" s="539">
        <f t="shared" si="26"/>
        <v>5.0972556375647363E-2</v>
      </c>
      <c r="CH27" s="540">
        <f t="shared" si="138"/>
        <v>0</v>
      </c>
      <c r="CI27" s="538">
        <v>0</v>
      </c>
      <c r="CJ27" s="539">
        <f t="shared" si="27"/>
        <v>0</v>
      </c>
      <c r="CK27" s="540">
        <f t="shared" si="139"/>
        <v>0</v>
      </c>
      <c r="CL27" s="538"/>
      <c r="CM27" s="539">
        <f t="shared" si="28"/>
        <v>0</v>
      </c>
      <c r="CN27" s="540">
        <f t="shared" si="140"/>
        <v>0</v>
      </c>
      <c r="CO27" s="538"/>
      <c r="CP27" s="539">
        <f t="shared" si="29"/>
        <v>0</v>
      </c>
      <c r="CQ27" s="540">
        <f t="shared" si="141"/>
        <v>0</v>
      </c>
      <c r="CR27" s="538"/>
      <c r="CS27" s="539">
        <f t="shared" si="30"/>
        <v>0</v>
      </c>
      <c r="CT27" s="540">
        <f t="shared" si="142"/>
        <v>0</v>
      </c>
      <c r="CU27" s="538"/>
      <c r="CV27" s="539">
        <f t="shared" si="31"/>
        <v>0</v>
      </c>
      <c r="CW27" s="540">
        <f t="shared" si="143"/>
        <v>0</v>
      </c>
      <c r="CX27" s="538"/>
      <c r="CY27" s="539">
        <f t="shared" si="32"/>
        <v>0</v>
      </c>
      <c r="CZ27" s="540">
        <f t="shared" si="144"/>
        <v>0</v>
      </c>
      <c r="DA27" s="538">
        <v>145.88400000000001</v>
      </c>
      <c r="DB27" s="539">
        <f t="shared" si="33"/>
        <v>2.9744321657219754</v>
      </c>
      <c r="DC27" s="540">
        <f t="shared" si="145"/>
        <v>0</v>
      </c>
      <c r="DD27" s="538"/>
      <c r="DE27" s="539">
        <f t="shared" si="34"/>
        <v>0</v>
      </c>
      <c r="DF27" s="540">
        <f t="shared" si="146"/>
        <v>0</v>
      </c>
      <c r="DG27" s="538"/>
      <c r="DH27" s="539">
        <f t="shared" si="35"/>
        <v>0</v>
      </c>
      <c r="DI27" s="540">
        <f t="shared" si="201"/>
        <v>0</v>
      </c>
      <c r="DJ27" s="538"/>
      <c r="DK27" s="539">
        <f t="shared" si="36"/>
        <v>0</v>
      </c>
      <c r="DL27" s="540">
        <f t="shared" si="147"/>
        <v>0</v>
      </c>
      <c r="DM27" s="538"/>
      <c r="DN27" s="539">
        <f t="shared" si="37"/>
        <v>0</v>
      </c>
      <c r="DO27" s="540">
        <f t="shared" si="148"/>
        <v>0</v>
      </c>
      <c r="DP27" s="538"/>
      <c r="DQ27" s="539">
        <f t="shared" si="38"/>
        <v>0</v>
      </c>
      <c r="DR27" s="540">
        <f t="shared" si="149"/>
        <v>0</v>
      </c>
      <c r="DS27" s="538"/>
      <c r="DT27" s="539">
        <f t="shared" si="39"/>
        <v>0</v>
      </c>
      <c r="DU27" s="540">
        <f t="shared" si="150"/>
        <v>0</v>
      </c>
      <c r="DV27" s="538"/>
      <c r="DW27" s="539">
        <f t="shared" si="40"/>
        <v>0</v>
      </c>
      <c r="DX27" s="540">
        <f t="shared" si="151"/>
        <v>0</v>
      </c>
      <c r="DY27" s="538">
        <v>0</v>
      </c>
      <c r="DZ27" s="539">
        <f t="shared" si="41"/>
        <v>0</v>
      </c>
      <c r="EA27" s="540">
        <f t="shared" si="152"/>
        <v>0</v>
      </c>
      <c r="EB27" s="538">
        <v>700.24019999999996</v>
      </c>
      <c r="EC27" s="539">
        <f t="shared" si="42"/>
        <v>14.27721322839783</v>
      </c>
      <c r="ED27" s="540">
        <f t="shared" si="153"/>
        <v>0</v>
      </c>
      <c r="EE27" s="538">
        <v>14.534883720930225</v>
      </c>
      <c r="EF27" s="539">
        <f t="shared" si="43"/>
        <v>0.29635207195143792</v>
      </c>
      <c r="EG27" s="540">
        <f t="shared" si="154"/>
        <v>0</v>
      </c>
      <c r="EH27" s="538">
        <v>0</v>
      </c>
      <c r="EI27" s="539">
        <f t="shared" si="44"/>
        <v>0</v>
      </c>
      <c r="EJ27" s="540">
        <f t="shared" si="155"/>
        <v>0</v>
      </c>
      <c r="EK27" s="538"/>
      <c r="EL27" s="539">
        <f t="shared" si="45"/>
        <v>0</v>
      </c>
      <c r="EM27" s="540">
        <f t="shared" si="156"/>
        <v>0</v>
      </c>
      <c r="EN27" s="538"/>
      <c r="EO27" s="539">
        <f t="shared" si="46"/>
        <v>0</v>
      </c>
      <c r="EP27" s="540">
        <f t="shared" si="157"/>
        <v>0</v>
      </c>
      <c r="EQ27" s="538"/>
      <c r="ER27" s="539">
        <f t="shared" si="47"/>
        <v>0</v>
      </c>
      <c r="ES27" s="540">
        <f t="shared" si="158"/>
        <v>0</v>
      </c>
      <c r="ET27" s="538"/>
      <c r="EU27" s="539">
        <f t="shared" si="48"/>
        <v>0</v>
      </c>
      <c r="EV27" s="540">
        <f t="shared" si="159"/>
        <v>0</v>
      </c>
      <c r="EW27" s="538"/>
      <c r="EX27" s="539">
        <f t="shared" si="49"/>
        <v>0</v>
      </c>
      <c r="EY27" s="540">
        <f t="shared" si="160"/>
        <v>0</v>
      </c>
      <c r="EZ27" s="538"/>
      <c r="FA27" s="539">
        <f t="shared" si="50"/>
        <v>0</v>
      </c>
      <c r="FB27" s="540">
        <f t="shared" si="161"/>
        <v>0</v>
      </c>
      <c r="FC27" s="538"/>
      <c r="FD27" s="539">
        <f t="shared" si="51"/>
        <v>0</v>
      </c>
      <c r="FE27" s="540">
        <f t="shared" si="162"/>
        <v>0</v>
      </c>
      <c r="FF27" s="538"/>
      <c r="FG27" s="539">
        <f t="shared" si="52"/>
        <v>0</v>
      </c>
      <c r="FH27" s="540">
        <f t="shared" si="163"/>
        <v>0</v>
      </c>
      <c r="FI27" s="538"/>
      <c r="FJ27" s="539">
        <f t="shared" si="53"/>
        <v>0</v>
      </c>
      <c r="FK27" s="540">
        <f t="shared" si="164"/>
        <v>0</v>
      </c>
      <c r="FL27" s="538"/>
      <c r="FM27" s="539">
        <f t="shared" si="54"/>
        <v>0</v>
      </c>
      <c r="FN27" s="540">
        <f t="shared" si="165"/>
        <v>0</v>
      </c>
      <c r="FO27" s="538"/>
      <c r="FP27" s="539">
        <f t="shared" si="55"/>
        <v>0</v>
      </c>
      <c r="FQ27" s="540">
        <f t="shared" si="166"/>
        <v>0</v>
      </c>
      <c r="FR27" s="538"/>
      <c r="FS27" s="539">
        <f t="shared" si="56"/>
        <v>0</v>
      </c>
      <c r="FT27" s="540">
        <f t="shared" si="167"/>
        <v>0</v>
      </c>
      <c r="FU27" s="538"/>
      <c r="FV27" s="539">
        <f t="shared" si="57"/>
        <v>0</v>
      </c>
      <c r="FW27" s="540">
        <f t="shared" si="168"/>
        <v>0</v>
      </c>
      <c r="FX27" s="538"/>
      <c r="FY27" s="539">
        <f t="shared" si="58"/>
        <v>0</v>
      </c>
      <c r="FZ27" s="540">
        <f t="shared" si="169"/>
        <v>0</v>
      </c>
      <c r="GA27" s="538"/>
      <c r="GB27" s="539">
        <f t="shared" si="59"/>
        <v>0</v>
      </c>
      <c r="GC27" s="540">
        <f t="shared" si="170"/>
        <v>0</v>
      </c>
      <c r="GD27" s="538"/>
      <c r="GE27" s="539">
        <f t="shared" si="60"/>
        <v>0</v>
      </c>
      <c r="GF27" s="540">
        <f t="shared" si="171"/>
        <v>0</v>
      </c>
      <c r="GG27" s="538">
        <v>10</v>
      </c>
      <c r="GH27" s="539">
        <f t="shared" si="61"/>
        <v>0.2038902255025894</v>
      </c>
      <c r="GI27" s="540">
        <f t="shared" si="172"/>
        <v>0</v>
      </c>
      <c r="GJ27" s="538">
        <v>10</v>
      </c>
      <c r="GK27" s="539">
        <f>+GJ27/$E27</f>
        <v>0.2038902255025894</v>
      </c>
      <c r="GL27" s="540">
        <f>+GJ27*$H$8</f>
        <v>0</v>
      </c>
      <c r="GM27" s="538">
        <v>10</v>
      </c>
      <c r="GN27" s="539">
        <f t="shared" si="202"/>
        <v>0.2038902255025894</v>
      </c>
      <c r="GO27" s="540">
        <f t="shared" si="203"/>
        <v>0</v>
      </c>
      <c r="GP27" s="538">
        <v>0</v>
      </c>
      <c r="GQ27" s="539">
        <f t="shared" si="204"/>
        <v>0</v>
      </c>
      <c r="GR27" s="540">
        <f t="shared" si="205"/>
        <v>0</v>
      </c>
      <c r="GS27" s="538">
        <v>0</v>
      </c>
      <c r="GT27" s="539">
        <f t="shared" si="206"/>
        <v>0</v>
      </c>
      <c r="GU27" s="540">
        <f t="shared" si="207"/>
        <v>0</v>
      </c>
      <c r="GV27" s="538">
        <v>0</v>
      </c>
      <c r="GW27" s="539">
        <f t="shared" si="66"/>
        <v>0</v>
      </c>
      <c r="GX27" s="540">
        <f t="shared" si="177"/>
        <v>0</v>
      </c>
      <c r="GY27" s="538"/>
      <c r="GZ27" s="539">
        <f t="shared" si="67"/>
        <v>0</v>
      </c>
      <c r="HA27" s="540">
        <f t="shared" si="178"/>
        <v>0</v>
      </c>
      <c r="HB27" s="538"/>
      <c r="HC27" s="539">
        <f t="shared" si="68"/>
        <v>0</v>
      </c>
      <c r="HD27" s="540">
        <f t="shared" si="179"/>
        <v>0</v>
      </c>
      <c r="HE27" s="538"/>
      <c r="HF27" s="539">
        <f t="shared" si="69"/>
        <v>0</v>
      </c>
      <c r="HG27" s="540">
        <f t="shared" si="180"/>
        <v>0</v>
      </c>
      <c r="HH27" s="538"/>
      <c r="HI27" s="539">
        <f t="shared" si="70"/>
        <v>0</v>
      </c>
      <c r="HJ27" s="540">
        <f t="shared" si="181"/>
        <v>0</v>
      </c>
      <c r="HK27" s="538"/>
      <c r="HL27" s="539">
        <f t="shared" si="71"/>
        <v>0</v>
      </c>
      <c r="HM27" s="540">
        <f t="shared" si="182"/>
        <v>0</v>
      </c>
      <c r="HN27" s="538">
        <v>1162</v>
      </c>
      <c r="HO27" s="539">
        <f t="shared" si="72"/>
        <v>23.69204420340089</v>
      </c>
      <c r="HP27" s="540">
        <f t="shared" si="183"/>
        <v>0</v>
      </c>
      <c r="HQ27" s="538"/>
      <c r="HR27" s="539">
        <f t="shared" si="73"/>
        <v>0</v>
      </c>
      <c r="HS27" s="540">
        <f t="shared" si="184"/>
        <v>0</v>
      </c>
      <c r="HT27" s="538">
        <v>70</v>
      </c>
      <c r="HU27" s="539">
        <f t="shared" si="74"/>
        <v>1.4272315785181258</v>
      </c>
      <c r="HV27" s="540">
        <f t="shared" si="185"/>
        <v>0</v>
      </c>
      <c r="HW27" s="538">
        <v>10</v>
      </c>
      <c r="HX27" s="539">
        <f t="shared" si="75"/>
        <v>0.2038902255025894</v>
      </c>
      <c r="HY27" s="540">
        <f t="shared" si="186"/>
        <v>0</v>
      </c>
      <c r="HZ27" s="538">
        <v>40</v>
      </c>
      <c r="IA27" s="539">
        <f t="shared" si="76"/>
        <v>0.81556090201035758</v>
      </c>
      <c r="IB27" s="540">
        <f t="shared" si="187"/>
        <v>0</v>
      </c>
      <c r="IC27" s="538">
        <v>50</v>
      </c>
      <c r="ID27" s="539">
        <f t="shared" si="77"/>
        <v>1.019451127512947</v>
      </c>
      <c r="IE27" s="540">
        <f t="shared" si="188"/>
        <v>0</v>
      </c>
      <c r="IF27" s="538">
        <v>0</v>
      </c>
      <c r="IG27" s="539">
        <f t="shared" si="78"/>
        <v>0</v>
      </c>
      <c r="IH27" s="540">
        <f t="shared" si="189"/>
        <v>0</v>
      </c>
      <c r="II27" s="538"/>
      <c r="IJ27" s="539">
        <f t="shared" si="79"/>
        <v>0</v>
      </c>
      <c r="IK27" s="540">
        <f t="shared" si="190"/>
        <v>0</v>
      </c>
      <c r="IL27" s="538">
        <v>5</v>
      </c>
      <c r="IM27" s="539">
        <f t="shared" si="80"/>
        <v>0.1019451127512947</v>
      </c>
      <c r="IN27" s="540">
        <f t="shared" si="191"/>
        <v>0</v>
      </c>
      <c r="IO27" s="538">
        <v>70</v>
      </c>
      <c r="IP27" s="539">
        <f t="shared" si="81"/>
        <v>1.4272315785181258</v>
      </c>
      <c r="IQ27" s="540">
        <f t="shared" si="192"/>
        <v>0</v>
      </c>
      <c r="IR27" s="538">
        <v>10</v>
      </c>
      <c r="IS27" s="539">
        <f t="shared" si="82"/>
        <v>0.2038902255025894</v>
      </c>
      <c r="IT27" s="540">
        <f t="shared" si="193"/>
        <v>0</v>
      </c>
      <c r="IU27" s="538"/>
      <c r="IV27" s="539">
        <f t="shared" si="83"/>
        <v>0</v>
      </c>
      <c r="IW27" s="540">
        <f t="shared" si="194"/>
        <v>0</v>
      </c>
      <c r="IX27" s="538">
        <v>5</v>
      </c>
      <c r="IY27" s="539">
        <f t="shared" si="84"/>
        <v>0.1019451127512947</v>
      </c>
      <c r="IZ27" s="540">
        <f t="shared" si="195"/>
        <v>0</v>
      </c>
      <c r="JA27" s="538"/>
      <c r="JB27" s="539">
        <f t="shared" si="85"/>
        <v>0</v>
      </c>
      <c r="JC27" s="540">
        <f t="shared" si="196"/>
        <v>0</v>
      </c>
      <c r="JD27" s="538"/>
      <c r="JE27" s="539">
        <f t="shared" si="86"/>
        <v>0</v>
      </c>
      <c r="JF27" s="540">
        <f t="shared" si="197"/>
        <v>0</v>
      </c>
      <c r="JG27" s="538">
        <v>40</v>
      </c>
      <c r="JH27" s="540" t="str">
        <f t="shared" si="87"/>
        <v>0</v>
      </c>
      <c r="JI27" s="540" t="str">
        <f t="shared" si="88"/>
        <v>0</v>
      </c>
      <c r="JJ27" s="538">
        <v>40</v>
      </c>
      <c r="JK27" s="540" t="str">
        <f t="shared" si="89"/>
        <v>0</v>
      </c>
      <c r="JL27" s="540" t="str">
        <f t="shared" si="90"/>
        <v>0</v>
      </c>
      <c r="JM27" s="538"/>
      <c r="JN27" s="540" t="str">
        <f t="shared" si="91"/>
        <v>0</v>
      </c>
      <c r="JO27" s="540" t="str">
        <f t="shared" si="92"/>
        <v>0</v>
      </c>
      <c r="JP27" s="538"/>
      <c r="JQ27" s="540" t="str">
        <f t="shared" si="93"/>
        <v>0</v>
      </c>
      <c r="JR27" s="540" t="str">
        <f t="shared" si="94"/>
        <v>0</v>
      </c>
      <c r="JS27" s="538"/>
      <c r="JT27" s="540" t="str">
        <f t="shared" si="95"/>
        <v>0</v>
      </c>
      <c r="JU27" s="540" t="str">
        <f t="shared" si="96"/>
        <v>0</v>
      </c>
      <c r="JV27" s="538"/>
      <c r="JW27" s="540" t="str">
        <f t="shared" si="97"/>
        <v>0</v>
      </c>
      <c r="JX27" s="540" t="str">
        <f t="shared" si="98"/>
        <v>0</v>
      </c>
      <c r="JY27" s="538"/>
      <c r="JZ27" s="540" t="str">
        <f t="shared" si="99"/>
        <v>0</v>
      </c>
      <c r="KA27" s="540" t="str">
        <f t="shared" si="100"/>
        <v>0</v>
      </c>
      <c r="KB27" s="538"/>
      <c r="KC27" s="540" t="str">
        <f t="shared" si="101"/>
        <v>0</v>
      </c>
      <c r="KD27" s="540" t="str">
        <f t="shared" si="102"/>
        <v>0</v>
      </c>
      <c r="KE27" s="538"/>
      <c r="KF27" s="540" t="str">
        <f t="shared" si="103"/>
        <v>0</v>
      </c>
      <c r="KG27" s="540" t="str">
        <f t="shared" si="104"/>
        <v>0</v>
      </c>
      <c r="KH27" s="538"/>
      <c r="KI27" s="540" t="str">
        <f t="shared" si="105"/>
        <v>0</v>
      </c>
      <c r="KJ27" s="540" t="str">
        <f t="shared" si="106"/>
        <v>0</v>
      </c>
      <c r="KK27" s="538"/>
      <c r="KL27" s="540" t="str">
        <f t="shared" si="107"/>
        <v>0</v>
      </c>
      <c r="KM27" s="540" t="str">
        <f t="shared" si="108"/>
        <v>0</v>
      </c>
      <c r="KN27" s="538"/>
      <c r="KO27" s="540" t="str">
        <f t="shared" si="109"/>
        <v>0</v>
      </c>
      <c r="KP27" s="540" t="str">
        <f t="shared" si="110"/>
        <v>0</v>
      </c>
      <c r="KQ27" s="540">
        <f t="shared" si="111"/>
        <v>0</v>
      </c>
      <c r="KR27" s="540">
        <f t="shared" si="198"/>
        <v>0</v>
      </c>
      <c r="KS27" s="268">
        <f t="shared" si="199"/>
        <v>2515.2899837209302</v>
      </c>
    </row>
    <row r="28" spans="1:306" ht="15" customHeight="1">
      <c r="A28" s="270">
        <f t="shared" si="200"/>
        <v>45950</v>
      </c>
      <c r="B28" s="271" t="str">
        <f>+Report1!B28</f>
        <v>Napkin</v>
      </c>
      <c r="C28" s="271" t="str">
        <f>+Report1!C28</f>
        <v>15,5</v>
      </c>
      <c r="D28" s="272">
        <f>+Report1!P28</f>
        <v>49.361999999999995</v>
      </c>
      <c r="E28" s="273">
        <f>+Report1!R28</f>
        <v>49.627000000000002</v>
      </c>
      <c r="F28" s="538">
        <v>0</v>
      </c>
      <c r="G28" s="539">
        <f t="shared" si="0"/>
        <v>0</v>
      </c>
      <c r="H28" s="540">
        <f t="shared" si="112"/>
        <v>0</v>
      </c>
      <c r="I28" s="538">
        <v>0</v>
      </c>
      <c r="J28" s="539">
        <f t="shared" si="1"/>
        <v>0</v>
      </c>
      <c r="K28" s="540">
        <f t="shared" si="113"/>
        <v>0</v>
      </c>
      <c r="L28" s="538"/>
      <c r="M28" s="539">
        <f t="shared" si="2"/>
        <v>0</v>
      </c>
      <c r="N28" s="540">
        <f t="shared" si="114"/>
        <v>0</v>
      </c>
      <c r="O28" s="538">
        <v>12</v>
      </c>
      <c r="P28" s="539">
        <f t="shared" si="3"/>
        <v>0.2418038567715155</v>
      </c>
      <c r="Q28" s="540">
        <f t="shared" si="115"/>
        <v>0</v>
      </c>
      <c r="R28" s="538"/>
      <c r="S28" s="539">
        <f t="shared" si="4"/>
        <v>0</v>
      </c>
      <c r="T28" s="540">
        <f t="shared" si="116"/>
        <v>0</v>
      </c>
      <c r="U28" s="538">
        <v>7.6874999999999964</v>
      </c>
      <c r="V28" s="539">
        <f t="shared" si="5"/>
        <v>0.15490559574425203</v>
      </c>
      <c r="W28" s="540">
        <f t="shared" si="117"/>
        <v>0</v>
      </c>
      <c r="X28" s="538"/>
      <c r="Y28" s="539">
        <f t="shared" si="6"/>
        <v>0</v>
      </c>
      <c r="Z28" s="540">
        <f t="shared" si="118"/>
        <v>0</v>
      </c>
      <c r="AA28" s="538"/>
      <c r="AB28" s="539">
        <f t="shared" si="7"/>
        <v>0</v>
      </c>
      <c r="AC28" s="540">
        <f t="shared" si="119"/>
        <v>0</v>
      </c>
      <c r="AD28" s="538"/>
      <c r="AE28" s="539">
        <f t="shared" si="8"/>
        <v>0</v>
      </c>
      <c r="AF28" s="540">
        <f t="shared" si="120"/>
        <v>0</v>
      </c>
      <c r="AG28" s="538"/>
      <c r="AH28" s="539">
        <f t="shared" si="9"/>
        <v>0</v>
      </c>
      <c r="AI28" s="540">
        <f t="shared" si="121"/>
        <v>0</v>
      </c>
      <c r="AJ28" s="538"/>
      <c r="AK28" s="539">
        <f t="shared" si="10"/>
        <v>0</v>
      </c>
      <c r="AL28" s="540">
        <f t="shared" si="122"/>
        <v>0</v>
      </c>
      <c r="AM28" s="538">
        <v>47.31214102564104</v>
      </c>
      <c r="AN28" s="539">
        <f t="shared" si="11"/>
        <v>0.95335484767648737</v>
      </c>
      <c r="AO28" s="540">
        <f t="shared" si="123"/>
        <v>0</v>
      </c>
      <c r="AP28" s="538"/>
      <c r="AQ28" s="539">
        <f t="shared" si="12"/>
        <v>0</v>
      </c>
      <c r="AR28" s="540">
        <f t="shared" si="124"/>
        <v>0</v>
      </c>
      <c r="AS28" s="538"/>
      <c r="AT28" s="539">
        <f t="shared" si="13"/>
        <v>0</v>
      </c>
      <c r="AU28" s="540">
        <f t="shared" si="125"/>
        <v>0</v>
      </c>
      <c r="AV28" s="538">
        <v>2.7750000000000057</v>
      </c>
      <c r="AW28" s="539">
        <f t="shared" si="14"/>
        <v>5.5917141878413075E-2</v>
      </c>
      <c r="AX28" s="540">
        <f t="shared" si="126"/>
        <v>0</v>
      </c>
      <c r="AY28" s="538">
        <v>53.664800000000042</v>
      </c>
      <c r="AZ28" s="539">
        <f t="shared" si="15"/>
        <v>1.0813629677393362</v>
      </c>
      <c r="BA28" s="540">
        <f t="shared" si="127"/>
        <v>0</v>
      </c>
      <c r="BB28" s="538"/>
      <c r="BC28" s="539">
        <f t="shared" si="16"/>
        <v>0</v>
      </c>
      <c r="BD28" s="540">
        <f t="shared" si="128"/>
        <v>0</v>
      </c>
      <c r="BE28" s="538"/>
      <c r="BF28" s="539">
        <f t="shared" si="17"/>
        <v>0</v>
      </c>
      <c r="BG28" s="540">
        <f t="shared" si="129"/>
        <v>0</v>
      </c>
      <c r="BH28" s="538"/>
      <c r="BI28" s="539">
        <f t="shared" si="18"/>
        <v>0</v>
      </c>
      <c r="BJ28" s="540">
        <f t="shared" si="130"/>
        <v>0</v>
      </c>
      <c r="BK28" s="538"/>
      <c r="BL28" s="539">
        <f t="shared" si="19"/>
        <v>0</v>
      </c>
      <c r="BM28" s="540">
        <f t="shared" si="131"/>
        <v>0</v>
      </c>
      <c r="BN28" s="538"/>
      <c r="BO28" s="539">
        <f t="shared" si="20"/>
        <v>0</v>
      </c>
      <c r="BP28" s="540">
        <f t="shared" si="132"/>
        <v>0</v>
      </c>
      <c r="BQ28" s="538"/>
      <c r="BR28" s="539">
        <f t="shared" si="21"/>
        <v>0</v>
      </c>
      <c r="BS28" s="540">
        <f t="shared" si="133"/>
        <v>0</v>
      </c>
      <c r="BT28" s="538"/>
      <c r="BU28" s="539">
        <f t="shared" si="22"/>
        <v>0</v>
      </c>
      <c r="BV28" s="540">
        <f t="shared" si="134"/>
        <v>0</v>
      </c>
      <c r="BW28" s="538"/>
      <c r="BX28" s="539">
        <f t="shared" si="23"/>
        <v>0</v>
      </c>
      <c r="BY28" s="540">
        <f t="shared" si="135"/>
        <v>0</v>
      </c>
      <c r="BZ28" s="538">
        <v>0</v>
      </c>
      <c r="CA28" s="539">
        <f t="shared" si="24"/>
        <v>0</v>
      </c>
      <c r="CB28" s="540">
        <f t="shared" si="136"/>
        <v>0</v>
      </c>
      <c r="CC28" s="538">
        <v>0</v>
      </c>
      <c r="CD28" s="539">
        <f t="shared" si="25"/>
        <v>0</v>
      </c>
      <c r="CE28" s="540">
        <f t="shared" si="137"/>
        <v>0</v>
      </c>
      <c r="CF28" s="538">
        <v>2.1999999999999997</v>
      </c>
      <c r="CG28" s="539">
        <f t="shared" si="26"/>
        <v>4.4330707074777834E-2</v>
      </c>
      <c r="CH28" s="540">
        <f t="shared" si="138"/>
        <v>0</v>
      </c>
      <c r="CI28" s="538">
        <v>0</v>
      </c>
      <c r="CJ28" s="539">
        <f t="shared" si="27"/>
        <v>0</v>
      </c>
      <c r="CK28" s="540">
        <f t="shared" si="139"/>
        <v>0</v>
      </c>
      <c r="CL28" s="538"/>
      <c r="CM28" s="539">
        <f t="shared" si="28"/>
        <v>0</v>
      </c>
      <c r="CN28" s="540">
        <f t="shared" si="140"/>
        <v>0</v>
      </c>
      <c r="CO28" s="538"/>
      <c r="CP28" s="539">
        <f t="shared" si="29"/>
        <v>0</v>
      </c>
      <c r="CQ28" s="540">
        <f t="shared" si="141"/>
        <v>0</v>
      </c>
      <c r="CR28" s="538"/>
      <c r="CS28" s="539">
        <f t="shared" si="30"/>
        <v>0</v>
      </c>
      <c r="CT28" s="540">
        <f t="shared" si="142"/>
        <v>0</v>
      </c>
      <c r="CU28" s="538"/>
      <c r="CV28" s="539">
        <f t="shared" si="31"/>
        <v>0</v>
      </c>
      <c r="CW28" s="540">
        <f t="shared" si="143"/>
        <v>0</v>
      </c>
      <c r="CX28" s="538"/>
      <c r="CY28" s="539">
        <f t="shared" si="32"/>
        <v>0</v>
      </c>
      <c r="CZ28" s="540">
        <f t="shared" si="144"/>
        <v>0</v>
      </c>
      <c r="DA28" s="538">
        <v>514.70047058823525</v>
      </c>
      <c r="DB28" s="539">
        <f t="shared" si="33"/>
        <v>10.371379905862439</v>
      </c>
      <c r="DC28" s="540">
        <f t="shared" si="145"/>
        <v>0</v>
      </c>
      <c r="DD28" s="538"/>
      <c r="DE28" s="539">
        <f t="shared" si="34"/>
        <v>0</v>
      </c>
      <c r="DF28" s="540">
        <f t="shared" si="146"/>
        <v>0</v>
      </c>
      <c r="DG28" s="538"/>
      <c r="DH28" s="539">
        <f t="shared" si="35"/>
        <v>0</v>
      </c>
      <c r="DI28" s="540">
        <f t="shared" si="201"/>
        <v>0</v>
      </c>
      <c r="DJ28" s="538"/>
      <c r="DK28" s="539">
        <f t="shared" si="36"/>
        <v>0</v>
      </c>
      <c r="DL28" s="540">
        <f t="shared" si="147"/>
        <v>0</v>
      </c>
      <c r="DM28" s="538"/>
      <c r="DN28" s="539">
        <f t="shared" si="37"/>
        <v>0</v>
      </c>
      <c r="DO28" s="540">
        <f t="shared" si="148"/>
        <v>0</v>
      </c>
      <c r="DP28" s="538"/>
      <c r="DQ28" s="539">
        <f t="shared" si="38"/>
        <v>0</v>
      </c>
      <c r="DR28" s="540">
        <f t="shared" si="149"/>
        <v>0</v>
      </c>
      <c r="DS28" s="538"/>
      <c r="DT28" s="539">
        <f t="shared" si="39"/>
        <v>0</v>
      </c>
      <c r="DU28" s="540">
        <f t="shared" si="150"/>
        <v>0</v>
      </c>
      <c r="DV28" s="538"/>
      <c r="DW28" s="539">
        <f t="shared" si="40"/>
        <v>0</v>
      </c>
      <c r="DX28" s="540">
        <f t="shared" si="151"/>
        <v>0</v>
      </c>
      <c r="DY28" s="538">
        <v>0</v>
      </c>
      <c r="DZ28" s="539">
        <f t="shared" si="41"/>
        <v>0</v>
      </c>
      <c r="EA28" s="540">
        <f t="shared" si="152"/>
        <v>0</v>
      </c>
      <c r="EB28" s="538">
        <v>588.23283529411788</v>
      </c>
      <c r="EC28" s="539">
        <f t="shared" si="42"/>
        <v>11.853080687813446</v>
      </c>
      <c r="ED28" s="540">
        <f t="shared" si="153"/>
        <v>0</v>
      </c>
      <c r="EE28" s="538">
        <v>14.534883720930225</v>
      </c>
      <c r="EF28" s="539">
        <f t="shared" si="43"/>
        <v>0.29288257845387033</v>
      </c>
      <c r="EG28" s="540">
        <f t="shared" si="154"/>
        <v>0</v>
      </c>
      <c r="EH28" s="538">
        <v>2</v>
      </c>
      <c r="EI28" s="539">
        <f t="shared" si="44"/>
        <v>4.0300642795252584E-2</v>
      </c>
      <c r="EJ28" s="540">
        <f t="shared" si="155"/>
        <v>0</v>
      </c>
      <c r="EK28" s="538"/>
      <c r="EL28" s="539">
        <f t="shared" si="45"/>
        <v>0</v>
      </c>
      <c r="EM28" s="540">
        <f t="shared" si="156"/>
        <v>0</v>
      </c>
      <c r="EN28" s="538"/>
      <c r="EO28" s="539">
        <f t="shared" si="46"/>
        <v>0</v>
      </c>
      <c r="EP28" s="540">
        <f t="shared" si="157"/>
        <v>0</v>
      </c>
      <c r="EQ28" s="538"/>
      <c r="ER28" s="539">
        <f t="shared" si="47"/>
        <v>0</v>
      </c>
      <c r="ES28" s="540">
        <f t="shared" si="158"/>
        <v>0</v>
      </c>
      <c r="ET28" s="538"/>
      <c r="EU28" s="539">
        <f t="shared" si="48"/>
        <v>0</v>
      </c>
      <c r="EV28" s="540">
        <f t="shared" si="159"/>
        <v>0</v>
      </c>
      <c r="EW28" s="538"/>
      <c r="EX28" s="539">
        <f t="shared" si="49"/>
        <v>0</v>
      </c>
      <c r="EY28" s="540">
        <f t="shared" si="160"/>
        <v>0</v>
      </c>
      <c r="EZ28" s="538"/>
      <c r="FA28" s="539">
        <f t="shared" si="50"/>
        <v>0</v>
      </c>
      <c r="FB28" s="540">
        <f t="shared" si="161"/>
        <v>0</v>
      </c>
      <c r="FC28" s="538"/>
      <c r="FD28" s="539">
        <f t="shared" si="51"/>
        <v>0</v>
      </c>
      <c r="FE28" s="540">
        <f t="shared" si="162"/>
        <v>0</v>
      </c>
      <c r="FF28" s="538"/>
      <c r="FG28" s="539">
        <f t="shared" si="52"/>
        <v>0</v>
      </c>
      <c r="FH28" s="540">
        <f t="shared" si="163"/>
        <v>0</v>
      </c>
      <c r="FI28" s="538"/>
      <c r="FJ28" s="539">
        <f t="shared" si="53"/>
        <v>0</v>
      </c>
      <c r="FK28" s="540">
        <f t="shared" si="164"/>
        <v>0</v>
      </c>
      <c r="FL28" s="538"/>
      <c r="FM28" s="539">
        <f t="shared" si="54"/>
        <v>0</v>
      </c>
      <c r="FN28" s="540">
        <f t="shared" si="165"/>
        <v>0</v>
      </c>
      <c r="FO28" s="538"/>
      <c r="FP28" s="539">
        <f t="shared" si="55"/>
        <v>0</v>
      </c>
      <c r="FQ28" s="540">
        <f t="shared" si="166"/>
        <v>0</v>
      </c>
      <c r="FR28" s="538"/>
      <c r="FS28" s="539">
        <f t="shared" si="56"/>
        <v>0</v>
      </c>
      <c r="FT28" s="540">
        <f t="shared" si="167"/>
        <v>0</v>
      </c>
      <c r="FU28" s="538"/>
      <c r="FV28" s="539">
        <f t="shared" si="57"/>
        <v>0</v>
      </c>
      <c r="FW28" s="540">
        <f t="shared" si="168"/>
        <v>0</v>
      </c>
      <c r="FX28" s="538"/>
      <c r="FY28" s="539">
        <f t="shared" si="58"/>
        <v>0</v>
      </c>
      <c r="FZ28" s="540">
        <f t="shared" si="169"/>
        <v>0</v>
      </c>
      <c r="GA28" s="538"/>
      <c r="GB28" s="539">
        <f t="shared" si="59"/>
        <v>0</v>
      </c>
      <c r="GC28" s="540">
        <f t="shared" si="170"/>
        <v>0</v>
      </c>
      <c r="GD28" s="538"/>
      <c r="GE28" s="539">
        <f t="shared" si="60"/>
        <v>0</v>
      </c>
      <c r="GF28" s="540">
        <f t="shared" si="171"/>
        <v>0</v>
      </c>
      <c r="GG28" s="538">
        <v>10</v>
      </c>
      <c r="GH28" s="539">
        <f t="shared" si="61"/>
        <v>0.20150321397626292</v>
      </c>
      <c r="GI28" s="540">
        <f t="shared" si="172"/>
        <v>0</v>
      </c>
      <c r="GJ28" s="538">
        <v>10</v>
      </c>
      <c r="GK28" s="539">
        <f>+GJ28/$E28</f>
        <v>0.20150321397626292</v>
      </c>
      <c r="GL28" s="540">
        <f>+GJ28*$H$8</f>
        <v>0</v>
      </c>
      <c r="GM28" s="538">
        <v>10</v>
      </c>
      <c r="GN28" s="539">
        <f t="shared" si="202"/>
        <v>0.20150321397626292</v>
      </c>
      <c r="GO28" s="540">
        <f t="shared" si="203"/>
        <v>0</v>
      </c>
      <c r="GP28" s="538">
        <v>0</v>
      </c>
      <c r="GQ28" s="539">
        <f t="shared" si="204"/>
        <v>0</v>
      </c>
      <c r="GR28" s="540">
        <f t="shared" si="205"/>
        <v>0</v>
      </c>
      <c r="GS28" s="538">
        <v>0</v>
      </c>
      <c r="GT28" s="539">
        <f t="shared" si="206"/>
        <v>0</v>
      </c>
      <c r="GU28" s="540">
        <f t="shared" si="207"/>
        <v>0</v>
      </c>
      <c r="GV28" s="538">
        <v>0</v>
      </c>
      <c r="GW28" s="539">
        <f t="shared" si="66"/>
        <v>0</v>
      </c>
      <c r="GX28" s="540">
        <f t="shared" si="177"/>
        <v>0</v>
      </c>
      <c r="GY28" s="538"/>
      <c r="GZ28" s="539">
        <f t="shared" si="67"/>
        <v>0</v>
      </c>
      <c r="HA28" s="540">
        <f t="shared" si="178"/>
        <v>0</v>
      </c>
      <c r="HB28" s="538"/>
      <c r="HC28" s="539">
        <f t="shared" si="68"/>
        <v>0</v>
      </c>
      <c r="HD28" s="540">
        <f t="shared" si="179"/>
        <v>0</v>
      </c>
      <c r="HE28" s="538"/>
      <c r="HF28" s="539">
        <f t="shared" si="69"/>
        <v>0</v>
      </c>
      <c r="HG28" s="540">
        <f t="shared" si="180"/>
        <v>0</v>
      </c>
      <c r="HH28" s="538"/>
      <c r="HI28" s="539">
        <f t="shared" si="70"/>
        <v>0</v>
      </c>
      <c r="HJ28" s="540">
        <f t="shared" si="181"/>
        <v>0</v>
      </c>
      <c r="HK28" s="538"/>
      <c r="HL28" s="539">
        <f t="shared" si="71"/>
        <v>0</v>
      </c>
      <c r="HM28" s="540">
        <f t="shared" si="182"/>
        <v>0</v>
      </c>
      <c r="HN28" s="538">
        <v>1724</v>
      </c>
      <c r="HO28" s="539">
        <f t="shared" si="72"/>
        <v>34.739154089507728</v>
      </c>
      <c r="HP28" s="540">
        <f t="shared" si="183"/>
        <v>0</v>
      </c>
      <c r="HQ28" s="538"/>
      <c r="HR28" s="539">
        <f t="shared" si="73"/>
        <v>0</v>
      </c>
      <c r="HS28" s="540">
        <f t="shared" si="184"/>
        <v>0</v>
      </c>
      <c r="HT28" s="538">
        <v>70</v>
      </c>
      <c r="HU28" s="539">
        <f t="shared" si="74"/>
        <v>1.4105224978338404</v>
      </c>
      <c r="HV28" s="540">
        <f t="shared" si="185"/>
        <v>0</v>
      </c>
      <c r="HW28" s="538">
        <v>10</v>
      </c>
      <c r="HX28" s="539">
        <f t="shared" si="75"/>
        <v>0.20150321397626292</v>
      </c>
      <c r="HY28" s="540">
        <f t="shared" si="186"/>
        <v>0</v>
      </c>
      <c r="HZ28" s="538">
        <v>40</v>
      </c>
      <c r="IA28" s="539">
        <f t="shared" si="76"/>
        <v>0.80601285590505167</v>
      </c>
      <c r="IB28" s="540">
        <f t="shared" si="187"/>
        <v>0</v>
      </c>
      <c r="IC28" s="538">
        <v>50</v>
      </c>
      <c r="ID28" s="539">
        <f t="shared" si="77"/>
        <v>1.0075160698813146</v>
      </c>
      <c r="IE28" s="540">
        <f t="shared" si="188"/>
        <v>0</v>
      </c>
      <c r="IF28" s="538">
        <v>0</v>
      </c>
      <c r="IG28" s="539">
        <f t="shared" si="78"/>
        <v>0</v>
      </c>
      <c r="IH28" s="540">
        <f t="shared" si="189"/>
        <v>0</v>
      </c>
      <c r="II28" s="538"/>
      <c r="IJ28" s="539">
        <f t="shared" si="79"/>
        <v>0</v>
      </c>
      <c r="IK28" s="540">
        <f t="shared" si="190"/>
        <v>0</v>
      </c>
      <c r="IL28" s="538">
        <v>0</v>
      </c>
      <c r="IM28" s="539">
        <f t="shared" si="80"/>
        <v>0</v>
      </c>
      <c r="IN28" s="540">
        <f t="shared" si="191"/>
        <v>0</v>
      </c>
      <c r="IO28" s="538">
        <v>95</v>
      </c>
      <c r="IP28" s="539">
        <f t="shared" si="81"/>
        <v>1.9142805327744976</v>
      </c>
      <c r="IQ28" s="540">
        <f t="shared" si="192"/>
        <v>0</v>
      </c>
      <c r="IR28" s="538">
        <v>10</v>
      </c>
      <c r="IS28" s="539">
        <f t="shared" si="82"/>
        <v>0.20150321397626292</v>
      </c>
      <c r="IT28" s="540">
        <f t="shared" si="193"/>
        <v>0</v>
      </c>
      <c r="IU28" s="538"/>
      <c r="IV28" s="539">
        <f t="shared" si="83"/>
        <v>0</v>
      </c>
      <c r="IW28" s="540">
        <f t="shared" si="194"/>
        <v>0</v>
      </c>
      <c r="IX28" s="538">
        <v>5</v>
      </c>
      <c r="IY28" s="539">
        <f t="shared" si="84"/>
        <v>0.10075160698813146</v>
      </c>
      <c r="IZ28" s="540">
        <f t="shared" si="195"/>
        <v>0</v>
      </c>
      <c r="JA28" s="538"/>
      <c r="JB28" s="539">
        <f t="shared" si="85"/>
        <v>0</v>
      </c>
      <c r="JC28" s="540">
        <f t="shared" si="196"/>
        <v>0</v>
      </c>
      <c r="JD28" s="538"/>
      <c r="JE28" s="539">
        <f t="shared" si="86"/>
        <v>0</v>
      </c>
      <c r="JF28" s="540">
        <f t="shared" si="197"/>
        <v>0</v>
      </c>
      <c r="JG28" s="538">
        <v>45</v>
      </c>
      <c r="JH28" s="540" t="str">
        <f t="shared" si="87"/>
        <v>0</v>
      </c>
      <c r="JI28" s="540" t="str">
        <f t="shared" si="88"/>
        <v>0</v>
      </c>
      <c r="JJ28" s="538">
        <v>40</v>
      </c>
      <c r="JK28" s="540" t="str">
        <f t="shared" si="89"/>
        <v>0</v>
      </c>
      <c r="JL28" s="540" t="str">
        <f t="shared" si="90"/>
        <v>0</v>
      </c>
      <c r="JM28" s="538"/>
      <c r="JN28" s="540" t="str">
        <f t="shared" si="91"/>
        <v>0</v>
      </c>
      <c r="JO28" s="540" t="str">
        <f t="shared" si="92"/>
        <v>0</v>
      </c>
      <c r="JP28" s="538"/>
      <c r="JQ28" s="540" t="str">
        <f t="shared" si="93"/>
        <v>0</v>
      </c>
      <c r="JR28" s="540" t="str">
        <f t="shared" si="94"/>
        <v>0</v>
      </c>
      <c r="JS28" s="538"/>
      <c r="JT28" s="540" t="str">
        <f t="shared" si="95"/>
        <v>0</v>
      </c>
      <c r="JU28" s="540" t="str">
        <f t="shared" si="96"/>
        <v>0</v>
      </c>
      <c r="JV28" s="538"/>
      <c r="JW28" s="540" t="str">
        <f t="shared" si="97"/>
        <v>0</v>
      </c>
      <c r="JX28" s="540" t="str">
        <f t="shared" si="98"/>
        <v>0</v>
      </c>
      <c r="JY28" s="538"/>
      <c r="JZ28" s="540" t="str">
        <f t="shared" si="99"/>
        <v>0</v>
      </c>
      <c r="KA28" s="540" t="str">
        <f t="shared" si="100"/>
        <v>0</v>
      </c>
      <c r="KB28" s="538"/>
      <c r="KC28" s="540" t="str">
        <f t="shared" si="101"/>
        <v>0</v>
      </c>
      <c r="KD28" s="540" t="str">
        <f t="shared" si="102"/>
        <v>0</v>
      </c>
      <c r="KE28" s="538"/>
      <c r="KF28" s="540" t="str">
        <f t="shared" si="103"/>
        <v>0</v>
      </c>
      <c r="KG28" s="540" t="str">
        <f t="shared" si="104"/>
        <v>0</v>
      </c>
      <c r="KH28" s="538"/>
      <c r="KI28" s="540" t="str">
        <f t="shared" si="105"/>
        <v>0</v>
      </c>
      <c r="KJ28" s="540" t="str">
        <f t="shared" si="106"/>
        <v>0</v>
      </c>
      <c r="KK28" s="538"/>
      <c r="KL28" s="540" t="str">
        <f t="shared" si="107"/>
        <v>0</v>
      </c>
      <c r="KM28" s="540" t="str">
        <f t="shared" si="108"/>
        <v>0</v>
      </c>
      <c r="KN28" s="538"/>
      <c r="KO28" s="540" t="str">
        <f t="shared" si="109"/>
        <v>0</v>
      </c>
      <c r="KP28" s="540" t="str">
        <f t="shared" si="110"/>
        <v>0</v>
      </c>
      <c r="KQ28" s="540">
        <f t="shared" si="111"/>
        <v>0</v>
      </c>
      <c r="KR28" s="540">
        <f t="shared" si="198"/>
        <v>0</v>
      </c>
      <c r="KS28" s="268">
        <f t="shared" si="199"/>
        <v>3364.1076306289247</v>
      </c>
    </row>
    <row r="29" spans="1:306" ht="15" customHeight="1">
      <c r="A29" s="270">
        <f t="shared" si="200"/>
        <v>45951</v>
      </c>
      <c r="B29" s="271" t="str">
        <f>+Report1!B29</f>
        <v>Napkin</v>
      </c>
      <c r="C29" s="271" t="str">
        <f>+Report1!C29</f>
        <v>15,5/17/16</v>
      </c>
      <c r="D29" s="272">
        <f>+Report1!P29</f>
        <v>52.605000000000004</v>
      </c>
      <c r="E29" s="273">
        <f>+Report1!R29</f>
        <v>49.780999999999999</v>
      </c>
      <c r="F29" s="538">
        <v>0</v>
      </c>
      <c r="G29" s="539">
        <f t="shared" si="0"/>
        <v>0</v>
      </c>
      <c r="H29" s="540">
        <f t="shared" si="112"/>
        <v>0</v>
      </c>
      <c r="I29" s="538">
        <v>0</v>
      </c>
      <c r="J29" s="539">
        <f t="shared" si="1"/>
        <v>0</v>
      </c>
      <c r="K29" s="540">
        <f t="shared" si="113"/>
        <v>0</v>
      </c>
      <c r="L29" s="538"/>
      <c r="M29" s="539">
        <f t="shared" si="2"/>
        <v>0</v>
      </c>
      <c r="N29" s="540">
        <f t="shared" si="114"/>
        <v>0</v>
      </c>
      <c r="O29" s="538">
        <v>12.000000000000057</v>
      </c>
      <c r="P29" s="539">
        <f t="shared" si="3"/>
        <v>0.2410558245113609</v>
      </c>
      <c r="Q29" s="540">
        <f t="shared" si="115"/>
        <v>0</v>
      </c>
      <c r="R29" s="538"/>
      <c r="S29" s="539">
        <f t="shared" si="4"/>
        <v>0</v>
      </c>
      <c r="T29" s="540">
        <f t="shared" si="116"/>
        <v>0</v>
      </c>
      <c r="U29" s="538">
        <v>7.6875</v>
      </c>
      <c r="V29" s="539">
        <f t="shared" si="5"/>
        <v>0.15442638757758984</v>
      </c>
      <c r="W29" s="540">
        <f t="shared" si="117"/>
        <v>0</v>
      </c>
      <c r="X29" s="538"/>
      <c r="Y29" s="539">
        <f t="shared" si="6"/>
        <v>0</v>
      </c>
      <c r="Z29" s="540">
        <f t="shared" si="118"/>
        <v>0</v>
      </c>
      <c r="AA29" s="538"/>
      <c r="AB29" s="539">
        <f t="shared" si="7"/>
        <v>0</v>
      </c>
      <c r="AC29" s="540">
        <f t="shared" si="119"/>
        <v>0</v>
      </c>
      <c r="AD29" s="538"/>
      <c r="AE29" s="539">
        <f t="shared" si="8"/>
        <v>0</v>
      </c>
      <c r="AF29" s="540">
        <f t="shared" si="120"/>
        <v>0</v>
      </c>
      <c r="AG29" s="538"/>
      <c r="AH29" s="539">
        <f t="shared" si="9"/>
        <v>0</v>
      </c>
      <c r="AI29" s="540">
        <f t="shared" si="121"/>
        <v>0</v>
      </c>
      <c r="AJ29" s="538"/>
      <c r="AK29" s="539">
        <f t="shared" si="10"/>
        <v>0</v>
      </c>
      <c r="AL29" s="540">
        <f t="shared" si="122"/>
        <v>0</v>
      </c>
      <c r="AM29" s="538">
        <v>39.423076923076906</v>
      </c>
      <c r="AN29" s="539">
        <f t="shared" si="11"/>
        <v>0.79193019270558862</v>
      </c>
      <c r="AO29" s="540">
        <f t="shared" si="123"/>
        <v>0</v>
      </c>
      <c r="AP29" s="538"/>
      <c r="AQ29" s="539">
        <f t="shared" si="12"/>
        <v>0</v>
      </c>
      <c r="AR29" s="540">
        <f t="shared" si="124"/>
        <v>0</v>
      </c>
      <c r="AS29" s="538"/>
      <c r="AT29" s="539">
        <f t="shared" si="13"/>
        <v>0</v>
      </c>
      <c r="AU29" s="540">
        <f t="shared" si="125"/>
        <v>0</v>
      </c>
      <c r="AV29" s="538">
        <v>8.3250000000000171</v>
      </c>
      <c r="AW29" s="539">
        <f t="shared" si="14"/>
        <v>0.16723247825475618</v>
      </c>
      <c r="AX29" s="540">
        <f t="shared" si="126"/>
        <v>0</v>
      </c>
      <c r="AY29" s="538">
        <v>58.333333333333371</v>
      </c>
      <c r="AZ29" s="539">
        <f t="shared" si="15"/>
        <v>1.1717991469302218</v>
      </c>
      <c r="BA29" s="540">
        <f t="shared" si="127"/>
        <v>0</v>
      </c>
      <c r="BB29" s="538"/>
      <c r="BC29" s="539">
        <f t="shared" si="16"/>
        <v>0</v>
      </c>
      <c r="BD29" s="540">
        <f t="shared" si="128"/>
        <v>0</v>
      </c>
      <c r="BE29" s="538"/>
      <c r="BF29" s="539">
        <f t="shared" si="17"/>
        <v>0</v>
      </c>
      <c r="BG29" s="540">
        <f t="shared" si="129"/>
        <v>0</v>
      </c>
      <c r="BH29" s="538"/>
      <c r="BI29" s="539">
        <f t="shared" si="18"/>
        <v>0</v>
      </c>
      <c r="BJ29" s="540">
        <f t="shared" si="130"/>
        <v>0</v>
      </c>
      <c r="BK29" s="538"/>
      <c r="BL29" s="539">
        <f t="shared" si="19"/>
        <v>0</v>
      </c>
      <c r="BM29" s="540">
        <f t="shared" si="131"/>
        <v>0</v>
      </c>
      <c r="BN29" s="538"/>
      <c r="BO29" s="539">
        <f t="shared" si="20"/>
        <v>0</v>
      </c>
      <c r="BP29" s="540">
        <f t="shared" si="132"/>
        <v>0</v>
      </c>
      <c r="BQ29" s="538"/>
      <c r="BR29" s="539">
        <f t="shared" si="21"/>
        <v>0</v>
      </c>
      <c r="BS29" s="540">
        <f t="shared" si="133"/>
        <v>0</v>
      </c>
      <c r="BT29" s="538"/>
      <c r="BU29" s="539">
        <f t="shared" si="22"/>
        <v>0</v>
      </c>
      <c r="BV29" s="540">
        <f t="shared" si="134"/>
        <v>0</v>
      </c>
      <c r="BW29" s="538"/>
      <c r="BX29" s="539">
        <f t="shared" si="23"/>
        <v>0</v>
      </c>
      <c r="BY29" s="540">
        <f t="shared" si="135"/>
        <v>0</v>
      </c>
      <c r="BZ29" s="538">
        <v>0</v>
      </c>
      <c r="CA29" s="539">
        <f t="shared" si="24"/>
        <v>0</v>
      </c>
      <c r="CB29" s="540">
        <f t="shared" si="136"/>
        <v>0</v>
      </c>
      <c r="CC29" s="538">
        <v>0</v>
      </c>
      <c r="CD29" s="539">
        <f t="shared" si="25"/>
        <v>0</v>
      </c>
      <c r="CE29" s="540">
        <f t="shared" si="137"/>
        <v>0</v>
      </c>
      <c r="CF29" s="538">
        <v>2.3999999999999986</v>
      </c>
      <c r="CG29" s="539">
        <f t="shared" si="26"/>
        <v>4.8211164902271925E-2</v>
      </c>
      <c r="CH29" s="540">
        <f t="shared" si="138"/>
        <v>0</v>
      </c>
      <c r="CI29" s="538">
        <v>0</v>
      </c>
      <c r="CJ29" s="539">
        <f t="shared" si="27"/>
        <v>0</v>
      </c>
      <c r="CK29" s="540">
        <f t="shared" si="139"/>
        <v>0</v>
      </c>
      <c r="CL29" s="538"/>
      <c r="CM29" s="539">
        <f t="shared" si="28"/>
        <v>0</v>
      </c>
      <c r="CN29" s="540">
        <f t="shared" si="140"/>
        <v>0</v>
      </c>
      <c r="CO29" s="538"/>
      <c r="CP29" s="539">
        <f t="shared" si="29"/>
        <v>0</v>
      </c>
      <c r="CQ29" s="540">
        <f t="shared" si="141"/>
        <v>0</v>
      </c>
      <c r="CR29" s="538"/>
      <c r="CS29" s="539">
        <f t="shared" si="30"/>
        <v>0</v>
      </c>
      <c r="CT29" s="540">
        <f t="shared" si="142"/>
        <v>0</v>
      </c>
      <c r="CU29" s="538"/>
      <c r="CV29" s="539">
        <f t="shared" si="31"/>
        <v>0</v>
      </c>
      <c r="CW29" s="540">
        <f t="shared" si="143"/>
        <v>0</v>
      </c>
      <c r="CX29" s="538"/>
      <c r="CY29" s="539">
        <f t="shared" si="32"/>
        <v>0</v>
      </c>
      <c r="CZ29" s="540">
        <f t="shared" si="144"/>
        <v>0</v>
      </c>
      <c r="DA29" s="538">
        <v>411.76470588235281</v>
      </c>
      <c r="DB29" s="539">
        <f t="shared" si="33"/>
        <v>8.2715233900956751</v>
      </c>
      <c r="DC29" s="540">
        <f t="shared" si="145"/>
        <v>0</v>
      </c>
      <c r="DD29" s="538"/>
      <c r="DE29" s="539">
        <f t="shared" si="34"/>
        <v>0</v>
      </c>
      <c r="DF29" s="540">
        <f t="shared" si="146"/>
        <v>0</v>
      </c>
      <c r="DG29" s="538"/>
      <c r="DH29" s="539">
        <f t="shared" si="35"/>
        <v>0</v>
      </c>
      <c r="DI29" s="540">
        <f t="shared" si="201"/>
        <v>0</v>
      </c>
      <c r="DJ29" s="538"/>
      <c r="DK29" s="539">
        <f t="shared" si="36"/>
        <v>0</v>
      </c>
      <c r="DL29" s="540">
        <f t="shared" si="147"/>
        <v>0</v>
      </c>
      <c r="DM29" s="538"/>
      <c r="DN29" s="539">
        <f t="shared" si="37"/>
        <v>0</v>
      </c>
      <c r="DO29" s="540">
        <f t="shared" si="148"/>
        <v>0</v>
      </c>
      <c r="DP29" s="538"/>
      <c r="DQ29" s="539">
        <f t="shared" si="38"/>
        <v>0</v>
      </c>
      <c r="DR29" s="540">
        <f t="shared" si="149"/>
        <v>0</v>
      </c>
      <c r="DS29" s="538"/>
      <c r="DT29" s="539">
        <f t="shared" si="39"/>
        <v>0</v>
      </c>
      <c r="DU29" s="540">
        <f t="shared" si="150"/>
        <v>0</v>
      </c>
      <c r="DV29" s="538"/>
      <c r="DW29" s="539">
        <f t="shared" si="40"/>
        <v>0</v>
      </c>
      <c r="DX29" s="540">
        <f t="shared" si="151"/>
        <v>0</v>
      </c>
      <c r="DY29" s="538">
        <v>0</v>
      </c>
      <c r="DZ29" s="539">
        <f t="shared" si="41"/>
        <v>0</v>
      </c>
      <c r="EA29" s="540">
        <f t="shared" si="152"/>
        <v>0</v>
      </c>
      <c r="EB29" s="538">
        <v>611.7647058823527</v>
      </c>
      <c r="EC29" s="539">
        <f t="shared" si="42"/>
        <v>12.289120465285002</v>
      </c>
      <c r="ED29" s="540">
        <f t="shared" si="153"/>
        <v>0</v>
      </c>
      <c r="EE29" s="538">
        <v>14.534883720930338</v>
      </c>
      <c r="EF29" s="539">
        <f t="shared" si="43"/>
        <v>0.29197653162713361</v>
      </c>
      <c r="EG29" s="540">
        <f t="shared" si="154"/>
        <v>0</v>
      </c>
      <c r="EH29" s="538">
        <v>0</v>
      </c>
      <c r="EI29" s="539">
        <f t="shared" si="44"/>
        <v>0</v>
      </c>
      <c r="EJ29" s="540">
        <f t="shared" si="155"/>
        <v>0</v>
      </c>
      <c r="EK29" s="538"/>
      <c r="EL29" s="539">
        <f t="shared" si="45"/>
        <v>0</v>
      </c>
      <c r="EM29" s="540">
        <f t="shared" si="156"/>
        <v>0</v>
      </c>
      <c r="EN29" s="538"/>
      <c r="EO29" s="539">
        <f t="shared" si="46"/>
        <v>0</v>
      </c>
      <c r="EP29" s="540">
        <f t="shared" si="157"/>
        <v>0</v>
      </c>
      <c r="EQ29" s="538"/>
      <c r="ER29" s="539">
        <f t="shared" si="47"/>
        <v>0</v>
      </c>
      <c r="ES29" s="540">
        <f t="shared" si="158"/>
        <v>0</v>
      </c>
      <c r="ET29" s="538"/>
      <c r="EU29" s="539">
        <f t="shared" si="48"/>
        <v>0</v>
      </c>
      <c r="EV29" s="540">
        <f t="shared" si="159"/>
        <v>0</v>
      </c>
      <c r="EW29" s="538"/>
      <c r="EX29" s="539">
        <f t="shared" si="49"/>
        <v>0</v>
      </c>
      <c r="EY29" s="540">
        <f t="shared" si="160"/>
        <v>0</v>
      </c>
      <c r="EZ29" s="538"/>
      <c r="FA29" s="539">
        <f t="shared" si="50"/>
        <v>0</v>
      </c>
      <c r="FB29" s="540">
        <f t="shared" si="161"/>
        <v>0</v>
      </c>
      <c r="FC29" s="538"/>
      <c r="FD29" s="539">
        <f t="shared" si="51"/>
        <v>0</v>
      </c>
      <c r="FE29" s="540">
        <f t="shared" si="162"/>
        <v>0</v>
      </c>
      <c r="FF29" s="538"/>
      <c r="FG29" s="539">
        <f t="shared" si="52"/>
        <v>0</v>
      </c>
      <c r="FH29" s="540">
        <f t="shared" si="163"/>
        <v>0</v>
      </c>
      <c r="FI29" s="538"/>
      <c r="FJ29" s="539">
        <f t="shared" si="53"/>
        <v>0</v>
      </c>
      <c r="FK29" s="540">
        <f t="shared" si="164"/>
        <v>0</v>
      </c>
      <c r="FL29" s="538"/>
      <c r="FM29" s="539">
        <f t="shared" si="54"/>
        <v>0</v>
      </c>
      <c r="FN29" s="540">
        <f t="shared" si="165"/>
        <v>0</v>
      </c>
      <c r="FO29" s="538"/>
      <c r="FP29" s="539">
        <f t="shared" si="55"/>
        <v>0</v>
      </c>
      <c r="FQ29" s="540">
        <f t="shared" si="166"/>
        <v>0</v>
      </c>
      <c r="FR29" s="538"/>
      <c r="FS29" s="539">
        <f t="shared" si="56"/>
        <v>0</v>
      </c>
      <c r="FT29" s="540">
        <f t="shared" si="167"/>
        <v>0</v>
      </c>
      <c r="FU29" s="538"/>
      <c r="FV29" s="539">
        <f t="shared" si="57"/>
        <v>0</v>
      </c>
      <c r="FW29" s="540">
        <f t="shared" si="168"/>
        <v>0</v>
      </c>
      <c r="FX29" s="538"/>
      <c r="FY29" s="539">
        <f t="shared" si="58"/>
        <v>0</v>
      </c>
      <c r="FZ29" s="540">
        <f t="shared" si="169"/>
        <v>0</v>
      </c>
      <c r="GA29" s="538"/>
      <c r="GB29" s="539">
        <f t="shared" si="59"/>
        <v>0</v>
      </c>
      <c r="GC29" s="540">
        <f t="shared" si="170"/>
        <v>0</v>
      </c>
      <c r="GD29" s="538"/>
      <c r="GE29" s="539">
        <f t="shared" si="60"/>
        <v>0</v>
      </c>
      <c r="GF29" s="540">
        <f t="shared" si="171"/>
        <v>0</v>
      </c>
      <c r="GG29" s="538">
        <v>10</v>
      </c>
      <c r="GH29" s="539">
        <f t="shared" si="61"/>
        <v>0.20087985375946646</v>
      </c>
      <c r="GI29" s="540">
        <f t="shared" si="172"/>
        <v>0</v>
      </c>
      <c r="GJ29" s="538">
        <v>10</v>
      </c>
      <c r="GK29" s="539">
        <f t="shared" si="62"/>
        <v>0.20087985375946646</v>
      </c>
      <c r="GL29" s="540">
        <f t="shared" si="173"/>
        <v>0</v>
      </c>
      <c r="GM29" s="538">
        <v>5</v>
      </c>
      <c r="GN29" s="539">
        <f t="shared" si="202"/>
        <v>0.10043992687973323</v>
      </c>
      <c r="GO29" s="540">
        <f t="shared" si="203"/>
        <v>0</v>
      </c>
      <c r="GP29" s="538">
        <v>0</v>
      </c>
      <c r="GQ29" s="539">
        <f t="shared" si="204"/>
        <v>0</v>
      </c>
      <c r="GR29" s="540">
        <f t="shared" si="205"/>
        <v>0</v>
      </c>
      <c r="GS29" s="538">
        <v>0</v>
      </c>
      <c r="GT29" s="539">
        <f t="shared" si="206"/>
        <v>0</v>
      </c>
      <c r="GU29" s="540">
        <f t="shared" si="207"/>
        <v>0</v>
      </c>
      <c r="GV29" s="538">
        <v>0</v>
      </c>
      <c r="GW29" s="539">
        <f t="shared" ref="GW29:GW39" si="208">+GV29/$E29</f>
        <v>0</v>
      </c>
      <c r="GX29" s="540">
        <f t="shared" ref="GX29:GX39" si="209">+GV29*$H$8</f>
        <v>0</v>
      </c>
      <c r="GY29" s="538"/>
      <c r="GZ29" s="539">
        <f t="shared" ref="GZ29:GZ34" si="210">+GY29/$E29</f>
        <v>0</v>
      </c>
      <c r="HA29" s="540">
        <f>+GY29*$H$8</f>
        <v>0</v>
      </c>
      <c r="HB29" s="538"/>
      <c r="HC29" s="539">
        <f>+HB29/$E29</f>
        <v>0</v>
      </c>
      <c r="HD29" s="540">
        <f>+HB29*$H$8</f>
        <v>0</v>
      </c>
      <c r="HE29" s="538"/>
      <c r="HF29" s="539">
        <f>+HE29/$E29</f>
        <v>0</v>
      </c>
      <c r="HG29" s="540">
        <f>+HE29*$H$8</f>
        <v>0</v>
      </c>
      <c r="HH29" s="538"/>
      <c r="HI29" s="539">
        <f>+HH29/$E29</f>
        <v>0</v>
      </c>
      <c r="HJ29" s="540">
        <f>+HH29*$H$8</f>
        <v>0</v>
      </c>
      <c r="HK29" s="538"/>
      <c r="HL29" s="539">
        <f>+HK29/$E29</f>
        <v>0</v>
      </c>
      <c r="HM29" s="540">
        <f t="shared" si="182"/>
        <v>0</v>
      </c>
      <c r="HN29" s="538">
        <v>1762</v>
      </c>
      <c r="HO29" s="539">
        <f t="shared" si="72"/>
        <v>35.395030232417994</v>
      </c>
      <c r="HP29" s="540">
        <f t="shared" si="183"/>
        <v>0</v>
      </c>
      <c r="HQ29" s="538"/>
      <c r="HR29" s="539">
        <f t="shared" si="73"/>
        <v>0</v>
      </c>
      <c r="HS29" s="540">
        <f t="shared" si="184"/>
        <v>0</v>
      </c>
      <c r="HT29" s="538">
        <v>60</v>
      </c>
      <c r="HU29" s="539">
        <f t="shared" si="74"/>
        <v>1.2052791225567987</v>
      </c>
      <c r="HV29" s="540">
        <f t="shared" si="185"/>
        <v>0</v>
      </c>
      <c r="HW29" s="538">
        <v>10</v>
      </c>
      <c r="HX29" s="539">
        <f t="shared" si="75"/>
        <v>0.20087985375946646</v>
      </c>
      <c r="HY29" s="540">
        <f t="shared" si="186"/>
        <v>0</v>
      </c>
      <c r="HZ29" s="538">
        <v>40</v>
      </c>
      <c r="IA29" s="539">
        <f t="shared" si="76"/>
        <v>0.80351941503786584</v>
      </c>
      <c r="IB29" s="540">
        <f t="shared" si="187"/>
        <v>0</v>
      </c>
      <c r="IC29" s="538">
        <v>50</v>
      </c>
      <c r="ID29" s="539">
        <f t="shared" si="77"/>
        <v>1.0043992687973324</v>
      </c>
      <c r="IE29" s="540">
        <f t="shared" si="188"/>
        <v>0</v>
      </c>
      <c r="IF29" s="538">
        <v>0</v>
      </c>
      <c r="IG29" s="539">
        <f t="shared" si="78"/>
        <v>0</v>
      </c>
      <c r="IH29" s="540">
        <f t="shared" si="189"/>
        <v>0</v>
      </c>
      <c r="II29" s="538"/>
      <c r="IJ29" s="539">
        <f t="shared" si="79"/>
        <v>0</v>
      </c>
      <c r="IK29" s="540">
        <f t="shared" si="190"/>
        <v>0</v>
      </c>
      <c r="IL29" s="538">
        <v>0</v>
      </c>
      <c r="IM29" s="539">
        <f t="shared" si="80"/>
        <v>0</v>
      </c>
      <c r="IN29" s="540">
        <f t="shared" si="191"/>
        <v>0</v>
      </c>
      <c r="IO29" s="538">
        <v>95</v>
      </c>
      <c r="IP29" s="539">
        <f t="shared" si="81"/>
        <v>1.9083586107149315</v>
      </c>
      <c r="IQ29" s="540">
        <f t="shared" si="192"/>
        <v>0</v>
      </c>
      <c r="IR29" s="538">
        <v>10</v>
      </c>
      <c r="IS29" s="539">
        <f t="shared" si="82"/>
        <v>0.20087985375946646</v>
      </c>
      <c r="IT29" s="540">
        <f t="shared" si="193"/>
        <v>0</v>
      </c>
      <c r="IU29" s="538"/>
      <c r="IV29" s="539">
        <f t="shared" si="83"/>
        <v>0</v>
      </c>
      <c r="IW29" s="540">
        <f t="shared" si="194"/>
        <v>0</v>
      </c>
      <c r="IX29" s="538">
        <v>5</v>
      </c>
      <c r="IY29" s="539">
        <f t="shared" si="84"/>
        <v>0.10043992687973323</v>
      </c>
      <c r="IZ29" s="540">
        <f t="shared" si="195"/>
        <v>0</v>
      </c>
      <c r="JA29" s="538"/>
      <c r="JB29" s="539">
        <f t="shared" si="85"/>
        <v>0</v>
      </c>
      <c r="JC29" s="540">
        <f t="shared" si="196"/>
        <v>0</v>
      </c>
      <c r="JD29" s="538"/>
      <c r="JE29" s="539">
        <f t="shared" si="86"/>
        <v>0</v>
      </c>
      <c r="JF29" s="540">
        <f t="shared" si="197"/>
        <v>0</v>
      </c>
      <c r="JG29" s="538">
        <v>45</v>
      </c>
      <c r="JH29" s="540" t="str">
        <f t="shared" si="87"/>
        <v>0</v>
      </c>
      <c r="JI29" s="540" t="str">
        <f t="shared" si="88"/>
        <v>0</v>
      </c>
      <c r="JJ29" s="538">
        <v>40</v>
      </c>
      <c r="JK29" s="540" t="str">
        <f t="shared" si="89"/>
        <v>0</v>
      </c>
      <c r="JL29" s="540" t="str">
        <f t="shared" si="90"/>
        <v>0</v>
      </c>
      <c r="JM29" s="538"/>
      <c r="JN29" s="540" t="str">
        <f t="shared" si="91"/>
        <v>0</v>
      </c>
      <c r="JO29" s="540" t="str">
        <f t="shared" si="92"/>
        <v>0</v>
      </c>
      <c r="JP29" s="538"/>
      <c r="JQ29" s="540" t="str">
        <f t="shared" si="93"/>
        <v>0</v>
      </c>
      <c r="JR29" s="540" t="str">
        <f t="shared" si="94"/>
        <v>0</v>
      </c>
      <c r="JS29" s="538"/>
      <c r="JT29" s="540" t="str">
        <f t="shared" si="95"/>
        <v>0</v>
      </c>
      <c r="JU29" s="540" t="str">
        <f t="shared" si="96"/>
        <v>0</v>
      </c>
      <c r="JV29" s="538"/>
      <c r="JW29" s="540" t="str">
        <f t="shared" si="97"/>
        <v>0</v>
      </c>
      <c r="JX29" s="540" t="str">
        <f t="shared" si="98"/>
        <v>0</v>
      </c>
      <c r="JY29" s="538"/>
      <c r="JZ29" s="540" t="str">
        <f t="shared" si="99"/>
        <v>0</v>
      </c>
      <c r="KA29" s="540" t="str">
        <f t="shared" si="100"/>
        <v>0</v>
      </c>
      <c r="KB29" s="538"/>
      <c r="KC29" s="540" t="str">
        <f t="shared" si="101"/>
        <v>0</v>
      </c>
      <c r="KD29" s="540" t="str">
        <f t="shared" si="102"/>
        <v>0</v>
      </c>
      <c r="KE29" s="538"/>
      <c r="KF29" s="540" t="str">
        <f t="shared" si="103"/>
        <v>0</v>
      </c>
      <c r="KG29" s="540" t="str">
        <f t="shared" si="104"/>
        <v>0</v>
      </c>
      <c r="KH29" s="538"/>
      <c r="KI29" s="540" t="str">
        <f t="shared" si="105"/>
        <v>0</v>
      </c>
      <c r="KJ29" s="540" t="str">
        <f t="shared" si="106"/>
        <v>0</v>
      </c>
      <c r="KK29" s="538"/>
      <c r="KL29" s="540" t="str">
        <f t="shared" si="107"/>
        <v>0</v>
      </c>
      <c r="KM29" s="540" t="str">
        <f t="shared" si="108"/>
        <v>0</v>
      </c>
      <c r="KN29" s="538"/>
      <c r="KO29" s="540" t="str">
        <f t="shared" si="109"/>
        <v>0</v>
      </c>
      <c r="KP29" s="540" t="str">
        <f t="shared" si="110"/>
        <v>0</v>
      </c>
      <c r="KQ29" s="540">
        <f t="shared" si="111"/>
        <v>0</v>
      </c>
      <c r="KR29" s="540">
        <f t="shared" si="198"/>
        <v>0</v>
      </c>
      <c r="KS29" s="268">
        <f t="shared" si="199"/>
        <v>3308.2332057420463</v>
      </c>
    </row>
    <row r="30" spans="1:306" ht="15" customHeight="1">
      <c r="A30" s="270">
        <f t="shared" si="200"/>
        <v>45952</v>
      </c>
      <c r="B30" s="271" t="str">
        <f>+Report1!B30</f>
        <v>Napkin/Towel</v>
      </c>
      <c r="C30" s="271" t="str">
        <f>+Report1!C30</f>
        <v>16/19/30,5</v>
      </c>
      <c r="D30" s="272">
        <f>+Report1!P30</f>
        <v>59.950999999999993</v>
      </c>
      <c r="E30" s="273">
        <f>+Report1!R30</f>
        <v>51.372999999999998</v>
      </c>
      <c r="F30" s="538">
        <v>197.67441860465101</v>
      </c>
      <c r="G30" s="539">
        <f t="shared" si="0"/>
        <v>3.8478270415325371</v>
      </c>
      <c r="H30" s="540">
        <f t="shared" si="112"/>
        <v>0</v>
      </c>
      <c r="I30" s="538">
        <v>0</v>
      </c>
      <c r="J30" s="539">
        <f t="shared" si="1"/>
        <v>0</v>
      </c>
      <c r="K30" s="540">
        <f t="shared" si="113"/>
        <v>0</v>
      </c>
      <c r="L30" s="538"/>
      <c r="M30" s="539">
        <f t="shared" si="2"/>
        <v>0</v>
      </c>
      <c r="N30" s="540">
        <f t="shared" si="114"/>
        <v>0</v>
      </c>
      <c r="O30" s="538">
        <v>11.999999999999943</v>
      </c>
      <c r="P30" s="539">
        <f t="shared" si="3"/>
        <v>0.23358573569773897</v>
      </c>
      <c r="Q30" s="540">
        <f t="shared" si="115"/>
        <v>0</v>
      </c>
      <c r="R30" s="538"/>
      <c r="S30" s="539">
        <f t="shared" si="4"/>
        <v>0</v>
      </c>
      <c r="T30" s="540">
        <f t="shared" si="116"/>
        <v>0</v>
      </c>
      <c r="U30" s="538">
        <v>5.1250000000000036</v>
      </c>
      <c r="V30" s="539">
        <f t="shared" si="5"/>
        <v>9.9760574620909884E-2</v>
      </c>
      <c r="W30" s="540">
        <f t="shared" si="117"/>
        <v>0</v>
      </c>
      <c r="X30" s="538"/>
      <c r="Y30" s="539">
        <f t="shared" si="6"/>
        <v>0</v>
      </c>
      <c r="Z30" s="540">
        <f t="shared" si="118"/>
        <v>0</v>
      </c>
      <c r="AA30" s="538"/>
      <c r="AB30" s="539">
        <f t="shared" si="7"/>
        <v>0</v>
      </c>
      <c r="AC30" s="540">
        <f t="shared" si="119"/>
        <v>0</v>
      </c>
      <c r="AD30" s="538"/>
      <c r="AE30" s="539">
        <f t="shared" si="8"/>
        <v>0</v>
      </c>
      <c r="AF30" s="540">
        <f t="shared" si="120"/>
        <v>0</v>
      </c>
      <c r="AG30" s="538"/>
      <c r="AH30" s="539">
        <f t="shared" si="9"/>
        <v>0</v>
      </c>
      <c r="AI30" s="540">
        <f t="shared" si="121"/>
        <v>0</v>
      </c>
      <c r="AJ30" s="538"/>
      <c r="AK30" s="539">
        <f t="shared" si="10"/>
        <v>0</v>
      </c>
      <c r="AL30" s="540">
        <f t="shared" si="122"/>
        <v>0</v>
      </c>
      <c r="AM30" s="538">
        <v>31.538461538461576</v>
      </c>
      <c r="AN30" s="539">
        <f t="shared" si="11"/>
        <v>0.61391122843636881</v>
      </c>
      <c r="AO30" s="540">
        <f t="shared" si="123"/>
        <v>0</v>
      </c>
      <c r="AP30" s="538"/>
      <c r="AQ30" s="539">
        <f t="shared" si="12"/>
        <v>0</v>
      </c>
      <c r="AR30" s="540">
        <f t="shared" si="124"/>
        <v>0</v>
      </c>
      <c r="AS30" s="538"/>
      <c r="AT30" s="539">
        <f t="shared" si="13"/>
        <v>0</v>
      </c>
      <c r="AU30" s="540">
        <f t="shared" si="125"/>
        <v>0</v>
      </c>
      <c r="AV30" s="538">
        <v>16.650000000000006</v>
      </c>
      <c r="AW30" s="539">
        <f t="shared" si="14"/>
        <v>0.32410020828061448</v>
      </c>
      <c r="AX30" s="540">
        <f t="shared" si="126"/>
        <v>0</v>
      </c>
      <c r="AY30" s="538">
        <v>37.333333333333314</v>
      </c>
      <c r="AZ30" s="539">
        <f t="shared" si="15"/>
        <v>0.72671117772630212</v>
      </c>
      <c r="BA30" s="540">
        <f t="shared" si="127"/>
        <v>0</v>
      </c>
      <c r="BB30" s="538"/>
      <c r="BC30" s="539">
        <f t="shared" si="16"/>
        <v>0</v>
      </c>
      <c r="BD30" s="540">
        <f t="shared" si="128"/>
        <v>0</v>
      </c>
      <c r="BE30" s="538"/>
      <c r="BF30" s="539">
        <f t="shared" si="17"/>
        <v>0</v>
      </c>
      <c r="BG30" s="540">
        <f t="shared" si="129"/>
        <v>0</v>
      </c>
      <c r="BH30" s="538"/>
      <c r="BI30" s="539">
        <f t="shared" si="18"/>
        <v>0</v>
      </c>
      <c r="BJ30" s="540">
        <f t="shared" si="130"/>
        <v>0</v>
      </c>
      <c r="BK30" s="538"/>
      <c r="BL30" s="539">
        <f t="shared" si="19"/>
        <v>0</v>
      </c>
      <c r="BM30" s="540">
        <f t="shared" si="131"/>
        <v>0</v>
      </c>
      <c r="BN30" s="538"/>
      <c r="BO30" s="539">
        <f t="shared" si="20"/>
        <v>0</v>
      </c>
      <c r="BP30" s="540">
        <f t="shared" si="132"/>
        <v>0</v>
      </c>
      <c r="BQ30" s="538"/>
      <c r="BR30" s="539">
        <f t="shared" si="21"/>
        <v>0</v>
      </c>
      <c r="BS30" s="540">
        <f t="shared" si="133"/>
        <v>0</v>
      </c>
      <c r="BT30" s="538"/>
      <c r="BU30" s="539">
        <f t="shared" si="22"/>
        <v>0</v>
      </c>
      <c r="BV30" s="540">
        <f t="shared" si="134"/>
        <v>0</v>
      </c>
      <c r="BW30" s="538"/>
      <c r="BX30" s="539">
        <f t="shared" si="23"/>
        <v>0</v>
      </c>
      <c r="BY30" s="540">
        <f t="shared" si="135"/>
        <v>0</v>
      </c>
      <c r="BZ30" s="538">
        <v>0</v>
      </c>
      <c r="CA30" s="539">
        <f t="shared" si="24"/>
        <v>0</v>
      </c>
      <c r="CB30" s="540">
        <f t="shared" si="136"/>
        <v>0</v>
      </c>
      <c r="CC30" s="538">
        <v>0</v>
      </c>
      <c r="CD30" s="539">
        <f t="shared" si="25"/>
        <v>0</v>
      </c>
      <c r="CE30" s="540">
        <f t="shared" si="137"/>
        <v>0</v>
      </c>
      <c r="CF30" s="538">
        <v>2.4000000000000021</v>
      </c>
      <c r="CG30" s="539">
        <f t="shared" si="26"/>
        <v>4.6717147139548054E-2</v>
      </c>
      <c r="CH30" s="540">
        <f t="shared" si="138"/>
        <v>0</v>
      </c>
      <c r="CI30" s="538">
        <v>0</v>
      </c>
      <c r="CJ30" s="539">
        <f t="shared" si="27"/>
        <v>0</v>
      </c>
      <c r="CK30" s="540">
        <f t="shared" si="139"/>
        <v>0</v>
      </c>
      <c r="CL30" s="538"/>
      <c r="CM30" s="539">
        <f t="shared" si="28"/>
        <v>0</v>
      </c>
      <c r="CN30" s="540">
        <f t="shared" si="140"/>
        <v>0</v>
      </c>
      <c r="CO30" s="538"/>
      <c r="CP30" s="539">
        <f t="shared" si="29"/>
        <v>0</v>
      </c>
      <c r="CQ30" s="540">
        <f t="shared" si="141"/>
        <v>0</v>
      </c>
      <c r="CR30" s="538"/>
      <c r="CS30" s="539">
        <f t="shared" si="30"/>
        <v>0</v>
      </c>
      <c r="CT30" s="540">
        <f t="shared" si="142"/>
        <v>0</v>
      </c>
      <c r="CU30" s="538"/>
      <c r="CV30" s="539">
        <f t="shared" si="31"/>
        <v>0</v>
      </c>
      <c r="CW30" s="540">
        <f t="shared" si="143"/>
        <v>0</v>
      </c>
      <c r="CX30" s="538"/>
      <c r="CY30" s="539">
        <f t="shared" si="32"/>
        <v>0</v>
      </c>
      <c r="CZ30" s="540">
        <f t="shared" si="144"/>
        <v>0</v>
      </c>
      <c r="DA30" s="538">
        <v>352.94117647058829</v>
      </c>
      <c r="DB30" s="539">
        <f t="shared" si="33"/>
        <v>6.8701686969923559</v>
      </c>
      <c r="DC30" s="540">
        <f t="shared" si="145"/>
        <v>0</v>
      </c>
      <c r="DD30" s="538"/>
      <c r="DE30" s="539">
        <f t="shared" si="34"/>
        <v>0</v>
      </c>
      <c r="DF30" s="540">
        <f t="shared" si="146"/>
        <v>0</v>
      </c>
      <c r="DG30" s="538"/>
      <c r="DH30" s="539">
        <f t="shared" si="35"/>
        <v>0</v>
      </c>
      <c r="DI30" s="540">
        <f t="shared" si="201"/>
        <v>0</v>
      </c>
      <c r="DJ30" s="538"/>
      <c r="DK30" s="539">
        <f t="shared" si="36"/>
        <v>0</v>
      </c>
      <c r="DL30" s="540">
        <f t="shared" si="147"/>
        <v>0</v>
      </c>
      <c r="DM30" s="538"/>
      <c r="DN30" s="539">
        <f t="shared" si="37"/>
        <v>0</v>
      </c>
      <c r="DO30" s="540">
        <f t="shared" si="148"/>
        <v>0</v>
      </c>
      <c r="DP30" s="538"/>
      <c r="DQ30" s="539">
        <f t="shared" si="38"/>
        <v>0</v>
      </c>
      <c r="DR30" s="540">
        <f t="shared" si="149"/>
        <v>0</v>
      </c>
      <c r="DS30" s="538"/>
      <c r="DT30" s="539">
        <f t="shared" si="39"/>
        <v>0</v>
      </c>
      <c r="DU30" s="540">
        <f t="shared" si="150"/>
        <v>0</v>
      </c>
      <c r="DV30" s="538"/>
      <c r="DW30" s="539">
        <f t="shared" si="40"/>
        <v>0</v>
      </c>
      <c r="DX30" s="540">
        <f t="shared" si="151"/>
        <v>0</v>
      </c>
      <c r="DY30" s="538">
        <v>0</v>
      </c>
      <c r="DZ30" s="539">
        <f t="shared" si="41"/>
        <v>0</v>
      </c>
      <c r="EA30" s="540">
        <f t="shared" si="152"/>
        <v>0</v>
      </c>
      <c r="EB30" s="538">
        <v>823.52941176470586</v>
      </c>
      <c r="EC30" s="539">
        <f t="shared" si="42"/>
        <v>16.030393626315494</v>
      </c>
      <c r="ED30" s="540">
        <f t="shared" si="153"/>
        <v>0</v>
      </c>
      <c r="EE30" s="538">
        <v>14.534883720930225</v>
      </c>
      <c r="EF30" s="539">
        <f t="shared" si="43"/>
        <v>0.28292845893621599</v>
      </c>
      <c r="EG30" s="540">
        <f t="shared" si="154"/>
        <v>0</v>
      </c>
      <c r="EH30" s="538">
        <v>1</v>
      </c>
      <c r="EI30" s="539">
        <f t="shared" si="44"/>
        <v>1.9465477974811671E-2</v>
      </c>
      <c r="EJ30" s="540">
        <f t="shared" si="155"/>
        <v>0</v>
      </c>
      <c r="EK30" s="538"/>
      <c r="EL30" s="539">
        <f t="shared" si="45"/>
        <v>0</v>
      </c>
      <c r="EM30" s="540">
        <f t="shared" si="156"/>
        <v>0</v>
      </c>
      <c r="EN30" s="538"/>
      <c r="EO30" s="539">
        <f t="shared" si="46"/>
        <v>0</v>
      </c>
      <c r="EP30" s="540">
        <f t="shared" si="157"/>
        <v>0</v>
      </c>
      <c r="EQ30" s="538"/>
      <c r="ER30" s="539">
        <f t="shared" si="47"/>
        <v>0</v>
      </c>
      <c r="ES30" s="540">
        <f t="shared" si="158"/>
        <v>0</v>
      </c>
      <c r="ET30" s="538"/>
      <c r="EU30" s="539">
        <f t="shared" si="48"/>
        <v>0</v>
      </c>
      <c r="EV30" s="540">
        <f t="shared" si="159"/>
        <v>0</v>
      </c>
      <c r="EW30" s="538"/>
      <c r="EX30" s="539">
        <f t="shared" si="49"/>
        <v>0</v>
      </c>
      <c r="EY30" s="540">
        <f t="shared" si="160"/>
        <v>0</v>
      </c>
      <c r="EZ30" s="538"/>
      <c r="FA30" s="539">
        <f t="shared" si="50"/>
        <v>0</v>
      </c>
      <c r="FB30" s="540">
        <f t="shared" si="161"/>
        <v>0</v>
      </c>
      <c r="FC30" s="538"/>
      <c r="FD30" s="539">
        <f t="shared" si="51"/>
        <v>0</v>
      </c>
      <c r="FE30" s="540">
        <f t="shared" si="162"/>
        <v>0</v>
      </c>
      <c r="FF30" s="538"/>
      <c r="FG30" s="539">
        <f t="shared" si="52"/>
        <v>0</v>
      </c>
      <c r="FH30" s="540">
        <f t="shared" si="163"/>
        <v>0</v>
      </c>
      <c r="FI30" s="538"/>
      <c r="FJ30" s="539">
        <f t="shared" si="53"/>
        <v>0</v>
      </c>
      <c r="FK30" s="540">
        <f t="shared" si="164"/>
        <v>0</v>
      </c>
      <c r="FL30" s="538"/>
      <c r="FM30" s="539">
        <f t="shared" si="54"/>
        <v>0</v>
      </c>
      <c r="FN30" s="540">
        <f t="shared" si="165"/>
        <v>0</v>
      </c>
      <c r="FO30" s="538"/>
      <c r="FP30" s="539">
        <f t="shared" si="55"/>
        <v>0</v>
      </c>
      <c r="FQ30" s="540">
        <f t="shared" si="166"/>
        <v>0</v>
      </c>
      <c r="FR30" s="538"/>
      <c r="FS30" s="539">
        <f t="shared" si="56"/>
        <v>0</v>
      </c>
      <c r="FT30" s="540">
        <f t="shared" si="167"/>
        <v>0</v>
      </c>
      <c r="FU30" s="538"/>
      <c r="FV30" s="539">
        <f t="shared" si="57"/>
        <v>0</v>
      </c>
      <c r="FW30" s="540">
        <f t="shared" si="168"/>
        <v>0</v>
      </c>
      <c r="FX30" s="538"/>
      <c r="FY30" s="539">
        <f t="shared" si="58"/>
        <v>0</v>
      </c>
      <c r="FZ30" s="540">
        <f t="shared" si="169"/>
        <v>0</v>
      </c>
      <c r="GA30" s="538"/>
      <c r="GB30" s="539">
        <f t="shared" si="59"/>
        <v>0</v>
      </c>
      <c r="GC30" s="540">
        <f t="shared" si="170"/>
        <v>0</v>
      </c>
      <c r="GD30" s="538"/>
      <c r="GE30" s="539">
        <f t="shared" si="60"/>
        <v>0</v>
      </c>
      <c r="GF30" s="540">
        <f t="shared" si="171"/>
        <v>0</v>
      </c>
      <c r="GG30" s="538">
        <v>10</v>
      </c>
      <c r="GH30" s="539">
        <f t="shared" si="61"/>
        <v>0.19465477974811674</v>
      </c>
      <c r="GI30" s="540">
        <f t="shared" si="172"/>
        <v>0</v>
      </c>
      <c r="GJ30" s="538">
        <v>10</v>
      </c>
      <c r="GK30" s="539">
        <f t="shared" ref="GK30:GK39" si="211">+GJ30/$E30</f>
        <v>0.19465477974811674</v>
      </c>
      <c r="GL30" s="540">
        <f t="shared" ref="GL30:GL39" si="212">+GJ30*$H$8</f>
        <v>0</v>
      </c>
      <c r="GM30" s="538">
        <v>5</v>
      </c>
      <c r="GN30" s="539">
        <f t="shared" si="202"/>
        <v>9.7327389874058368E-2</v>
      </c>
      <c r="GO30" s="540">
        <f t="shared" si="203"/>
        <v>0</v>
      </c>
      <c r="GP30" s="538">
        <v>0</v>
      </c>
      <c r="GQ30" s="539">
        <f t="shared" si="204"/>
        <v>0</v>
      </c>
      <c r="GR30" s="540">
        <f t="shared" si="205"/>
        <v>0</v>
      </c>
      <c r="GS30" s="538">
        <v>0</v>
      </c>
      <c r="GT30" s="539">
        <f t="shared" si="206"/>
        <v>0</v>
      </c>
      <c r="GU30" s="540">
        <f t="shared" si="207"/>
        <v>0</v>
      </c>
      <c r="GV30" s="538">
        <v>0</v>
      </c>
      <c r="GW30" s="539">
        <f t="shared" si="208"/>
        <v>0</v>
      </c>
      <c r="GX30" s="540">
        <f t="shared" si="209"/>
        <v>0</v>
      </c>
      <c r="GY30" s="538"/>
      <c r="GZ30" s="539">
        <f t="shared" si="210"/>
        <v>0</v>
      </c>
      <c r="HA30" s="540">
        <f>+GY30*$H$8</f>
        <v>0</v>
      </c>
      <c r="HB30" s="538"/>
      <c r="HC30" s="539">
        <f>+HB30/$E30</f>
        <v>0</v>
      </c>
      <c r="HD30" s="540">
        <f>+HB30*$H$8</f>
        <v>0</v>
      </c>
      <c r="HE30" s="538"/>
      <c r="HF30" s="539">
        <f>+HE30/$E30</f>
        <v>0</v>
      </c>
      <c r="HG30" s="540">
        <f>+HE30*$H$8</f>
        <v>0</v>
      </c>
      <c r="HH30" s="538"/>
      <c r="HI30" s="539">
        <f>+HH30/$E30</f>
        <v>0</v>
      </c>
      <c r="HJ30" s="540">
        <f>+HH30*$H$8</f>
        <v>0</v>
      </c>
      <c r="HK30" s="538"/>
      <c r="HL30" s="539">
        <f>+HK30/$E30</f>
        <v>0</v>
      </c>
      <c r="HM30" s="540">
        <f t="shared" si="182"/>
        <v>0</v>
      </c>
      <c r="HN30" s="538">
        <v>1862</v>
      </c>
      <c r="HO30" s="539">
        <f t="shared" si="72"/>
        <v>36.244719989099337</v>
      </c>
      <c r="HP30" s="540">
        <f t="shared" si="183"/>
        <v>0</v>
      </c>
      <c r="HQ30" s="538"/>
      <c r="HR30" s="539">
        <f t="shared" si="73"/>
        <v>0</v>
      </c>
      <c r="HS30" s="540">
        <f t="shared" si="184"/>
        <v>0</v>
      </c>
      <c r="HT30" s="538">
        <v>80</v>
      </c>
      <c r="HU30" s="539">
        <f t="shared" si="74"/>
        <v>1.5572382379849339</v>
      </c>
      <c r="HV30" s="540">
        <f t="shared" si="185"/>
        <v>0</v>
      </c>
      <c r="HW30" s="538">
        <v>10</v>
      </c>
      <c r="HX30" s="539">
        <f t="shared" si="75"/>
        <v>0.19465477974811674</v>
      </c>
      <c r="HY30" s="540">
        <f t="shared" si="186"/>
        <v>0</v>
      </c>
      <c r="HZ30" s="538">
        <v>50</v>
      </c>
      <c r="IA30" s="539">
        <f t="shared" si="76"/>
        <v>0.97327389874058368</v>
      </c>
      <c r="IB30" s="540">
        <f t="shared" si="187"/>
        <v>0</v>
      </c>
      <c r="IC30" s="538">
        <v>60</v>
      </c>
      <c r="ID30" s="539">
        <f t="shared" si="77"/>
        <v>1.1679286784887004</v>
      </c>
      <c r="IE30" s="540">
        <f t="shared" si="188"/>
        <v>0</v>
      </c>
      <c r="IF30" s="538">
        <v>0</v>
      </c>
      <c r="IG30" s="539">
        <f t="shared" si="78"/>
        <v>0</v>
      </c>
      <c r="IH30" s="540">
        <f t="shared" si="189"/>
        <v>0</v>
      </c>
      <c r="II30" s="538"/>
      <c r="IJ30" s="539">
        <f t="shared" si="79"/>
        <v>0</v>
      </c>
      <c r="IK30" s="540">
        <f t="shared" si="190"/>
        <v>0</v>
      </c>
      <c r="IL30" s="538">
        <v>0</v>
      </c>
      <c r="IM30" s="539">
        <f t="shared" si="80"/>
        <v>0</v>
      </c>
      <c r="IN30" s="540">
        <f t="shared" si="191"/>
        <v>0</v>
      </c>
      <c r="IO30" s="538">
        <v>35</v>
      </c>
      <c r="IP30" s="539">
        <f t="shared" si="81"/>
        <v>0.68129172911840852</v>
      </c>
      <c r="IQ30" s="540">
        <f t="shared" si="192"/>
        <v>0</v>
      </c>
      <c r="IR30" s="538">
        <v>10</v>
      </c>
      <c r="IS30" s="539">
        <f t="shared" si="82"/>
        <v>0.19465477974811674</v>
      </c>
      <c r="IT30" s="540">
        <f t="shared" si="193"/>
        <v>0</v>
      </c>
      <c r="IU30" s="538"/>
      <c r="IV30" s="539">
        <f t="shared" si="83"/>
        <v>0</v>
      </c>
      <c r="IW30" s="540">
        <f t="shared" si="194"/>
        <v>0</v>
      </c>
      <c r="IX30" s="538">
        <v>5</v>
      </c>
      <c r="IY30" s="539">
        <f t="shared" si="84"/>
        <v>9.7327389874058368E-2</v>
      </c>
      <c r="IZ30" s="540">
        <f t="shared" si="195"/>
        <v>0</v>
      </c>
      <c r="JA30" s="538"/>
      <c r="JB30" s="539">
        <f t="shared" si="85"/>
        <v>0</v>
      </c>
      <c r="JC30" s="540">
        <f t="shared" si="196"/>
        <v>0</v>
      </c>
      <c r="JD30" s="538"/>
      <c r="JE30" s="539">
        <f t="shared" si="86"/>
        <v>0</v>
      </c>
      <c r="JF30" s="540">
        <f t="shared" si="197"/>
        <v>0</v>
      </c>
      <c r="JG30" s="538">
        <v>50</v>
      </c>
      <c r="JH30" s="540" t="str">
        <f t="shared" si="87"/>
        <v>0</v>
      </c>
      <c r="JI30" s="540" t="str">
        <f t="shared" si="88"/>
        <v>0</v>
      </c>
      <c r="JJ30" s="538">
        <v>10</v>
      </c>
      <c r="JK30" s="540" t="str">
        <f t="shared" si="89"/>
        <v>0</v>
      </c>
      <c r="JL30" s="540" t="str">
        <f t="shared" si="90"/>
        <v>0</v>
      </c>
      <c r="JM30" s="538"/>
      <c r="JN30" s="540" t="str">
        <f t="shared" si="91"/>
        <v>0</v>
      </c>
      <c r="JO30" s="540" t="str">
        <f t="shared" si="92"/>
        <v>0</v>
      </c>
      <c r="JP30" s="538"/>
      <c r="JQ30" s="540" t="str">
        <f t="shared" si="93"/>
        <v>0</v>
      </c>
      <c r="JR30" s="540" t="str">
        <f t="shared" si="94"/>
        <v>0</v>
      </c>
      <c r="JS30" s="538"/>
      <c r="JT30" s="540" t="str">
        <f t="shared" si="95"/>
        <v>0</v>
      </c>
      <c r="JU30" s="540" t="str">
        <f t="shared" si="96"/>
        <v>0</v>
      </c>
      <c r="JV30" s="538"/>
      <c r="JW30" s="540" t="str">
        <f t="shared" si="97"/>
        <v>0</v>
      </c>
      <c r="JX30" s="540" t="str">
        <f t="shared" si="98"/>
        <v>0</v>
      </c>
      <c r="JY30" s="538"/>
      <c r="JZ30" s="540" t="str">
        <f t="shared" si="99"/>
        <v>0</v>
      </c>
      <c r="KA30" s="540" t="str">
        <f t="shared" si="100"/>
        <v>0</v>
      </c>
      <c r="KB30" s="538"/>
      <c r="KC30" s="540" t="str">
        <f t="shared" si="101"/>
        <v>0</v>
      </c>
      <c r="KD30" s="540" t="str">
        <f t="shared" si="102"/>
        <v>0</v>
      </c>
      <c r="KE30" s="538"/>
      <c r="KF30" s="540" t="str">
        <f t="shared" si="103"/>
        <v>0</v>
      </c>
      <c r="KG30" s="540" t="str">
        <f t="shared" si="104"/>
        <v>0</v>
      </c>
      <c r="KH30" s="538"/>
      <c r="KI30" s="540" t="str">
        <f t="shared" si="105"/>
        <v>0</v>
      </c>
      <c r="KJ30" s="540" t="str">
        <f t="shared" si="106"/>
        <v>0</v>
      </c>
      <c r="KK30" s="538"/>
      <c r="KL30" s="540" t="str">
        <f t="shared" si="107"/>
        <v>0</v>
      </c>
      <c r="KM30" s="540" t="str">
        <f t="shared" si="108"/>
        <v>0</v>
      </c>
      <c r="KN30" s="538"/>
      <c r="KO30" s="540" t="str">
        <f t="shared" si="109"/>
        <v>0</v>
      </c>
      <c r="KP30" s="540" t="str">
        <f t="shared" si="110"/>
        <v>0</v>
      </c>
      <c r="KQ30" s="540">
        <f t="shared" si="111"/>
        <v>0</v>
      </c>
      <c r="KR30" s="540">
        <f t="shared" si="198"/>
        <v>0</v>
      </c>
      <c r="KS30" s="268">
        <f t="shared" si="199"/>
        <v>3691.7266854326704</v>
      </c>
    </row>
    <row r="31" spans="1:306" ht="15" customHeight="1">
      <c r="A31" s="270">
        <f t="shared" si="200"/>
        <v>45953</v>
      </c>
      <c r="B31" s="271" t="str">
        <f>+Report1!B31</f>
        <v>Towel</v>
      </c>
      <c r="C31" s="271" t="str">
        <f>+Report1!C31</f>
        <v>30,5</v>
      </c>
      <c r="D31" s="272">
        <f>+Report1!P31</f>
        <v>68.073999999999998</v>
      </c>
      <c r="E31" s="273">
        <f>+Report1!R31</f>
        <v>70.382000000000005</v>
      </c>
      <c r="F31" s="538">
        <v>0</v>
      </c>
      <c r="G31" s="539">
        <f t="shared" si="0"/>
        <v>0</v>
      </c>
      <c r="H31" s="540">
        <f t="shared" si="112"/>
        <v>0</v>
      </c>
      <c r="I31" s="538">
        <v>0</v>
      </c>
      <c r="J31" s="539">
        <f t="shared" si="1"/>
        <v>0</v>
      </c>
      <c r="K31" s="540">
        <f t="shared" si="113"/>
        <v>0</v>
      </c>
      <c r="L31" s="538"/>
      <c r="M31" s="539">
        <f t="shared" si="2"/>
        <v>0</v>
      </c>
      <c r="N31" s="540">
        <f t="shared" si="114"/>
        <v>0</v>
      </c>
      <c r="O31" s="538">
        <v>12.000000000000057</v>
      </c>
      <c r="P31" s="539">
        <f t="shared" si="3"/>
        <v>0.17049813872865302</v>
      </c>
      <c r="Q31" s="540">
        <f t="shared" si="115"/>
        <v>0</v>
      </c>
      <c r="R31" s="538"/>
      <c r="S31" s="539">
        <f t="shared" si="4"/>
        <v>0</v>
      </c>
      <c r="T31" s="540">
        <f t="shared" si="116"/>
        <v>0</v>
      </c>
      <c r="U31" s="538">
        <v>5.125</v>
      </c>
      <c r="V31" s="539">
        <f t="shared" si="5"/>
        <v>7.2816913415361881E-2</v>
      </c>
      <c r="W31" s="540">
        <f t="shared" si="117"/>
        <v>0</v>
      </c>
      <c r="X31" s="538"/>
      <c r="Y31" s="539">
        <f t="shared" si="6"/>
        <v>0</v>
      </c>
      <c r="Z31" s="540">
        <f t="shared" si="118"/>
        <v>0</v>
      </c>
      <c r="AA31" s="538"/>
      <c r="AB31" s="539">
        <f t="shared" si="7"/>
        <v>0</v>
      </c>
      <c r="AC31" s="540">
        <f t="shared" si="119"/>
        <v>0</v>
      </c>
      <c r="AD31" s="538"/>
      <c r="AE31" s="539">
        <f t="shared" si="8"/>
        <v>0</v>
      </c>
      <c r="AF31" s="540">
        <f t="shared" si="120"/>
        <v>0</v>
      </c>
      <c r="AG31" s="538"/>
      <c r="AH31" s="539">
        <f t="shared" si="9"/>
        <v>0</v>
      </c>
      <c r="AI31" s="540">
        <f t="shared" si="121"/>
        <v>0</v>
      </c>
      <c r="AJ31" s="538"/>
      <c r="AK31" s="539">
        <f t="shared" si="10"/>
        <v>0</v>
      </c>
      <c r="AL31" s="540">
        <f t="shared" si="122"/>
        <v>0</v>
      </c>
      <c r="AM31" s="538">
        <v>39.423076923076877</v>
      </c>
      <c r="AN31" s="539">
        <f t="shared" si="11"/>
        <v>0.56013010319509071</v>
      </c>
      <c r="AO31" s="540">
        <f t="shared" si="123"/>
        <v>0</v>
      </c>
      <c r="AP31" s="538"/>
      <c r="AQ31" s="539">
        <f t="shared" si="12"/>
        <v>0</v>
      </c>
      <c r="AR31" s="540">
        <f t="shared" si="124"/>
        <v>0</v>
      </c>
      <c r="AS31" s="538"/>
      <c r="AT31" s="539">
        <f t="shared" si="13"/>
        <v>0</v>
      </c>
      <c r="AU31" s="540">
        <f t="shared" si="125"/>
        <v>0</v>
      </c>
      <c r="AV31" s="538">
        <v>13.875</v>
      </c>
      <c r="AW31" s="539">
        <f t="shared" si="14"/>
        <v>0.19713847290500411</v>
      </c>
      <c r="AX31" s="540">
        <f t="shared" si="126"/>
        <v>0</v>
      </c>
      <c r="AY31" s="538">
        <v>48.999999999999972</v>
      </c>
      <c r="AZ31" s="539">
        <f t="shared" si="15"/>
        <v>0.69620073314199604</v>
      </c>
      <c r="BA31" s="540">
        <f t="shared" si="127"/>
        <v>0</v>
      </c>
      <c r="BB31" s="538"/>
      <c r="BC31" s="539">
        <f t="shared" si="16"/>
        <v>0</v>
      </c>
      <c r="BD31" s="540">
        <f t="shared" si="128"/>
        <v>0</v>
      </c>
      <c r="BE31" s="538"/>
      <c r="BF31" s="539">
        <f t="shared" si="17"/>
        <v>0</v>
      </c>
      <c r="BG31" s="540">
        <f t="shared" si="129"/>
        <v>0</v>
      </c>
      <c r="BH31" s="538"/>
      <c r="BI31" s="539">
        <f t="shared" si="18"/>
        <v>0</v>
      </c>
      <c r="BJ31" s="540">
        <f t="shared" si="130"/>
        <v>0</v>
      </c>
      <c r="BK31" s="538"/>
      <c r="BL31" s="539">
        <f t="shared" si="19"/>
        <v>0</v>
      </c>
      <c r="BM31" s="540">
        <f t="shared" si="131"/>
        <v>0</v>
      </c>
      <c r="BN31" s="538"/>
      <c r="BO31" s="539">
        <f t="shared" si="20"/>
        <v>0</v>
      </c>
      <c r="BP31" s="540">
        <f t="shared" si="132"/>
        <v>0</v>
      </c>
      <c r="BQ31" s="538"/>
      <c r="BR31" s="539">
        <f t="shared" si="21"/>
        <v>0</v>
      </c>
      <c r="BS31" s="540">
        <f t="shared" si="133"/>
        <v>0</v>
      </c>
      <c r="BT31" s="538"/>
      <c r="BU31" s="539">
        <f t="shared" si="22"/>
        <v>0</v>
      </c>
      <c r="BV31" s="540">
        <f t="shared" si="134"/>
        <v>0</v>
      </c>
      <c r="BW31" s="538"/>
      <c r="BX31" s="539">
        <f t="shared" si="23"/>
        <v>0</v>
      </c>
      <c r="BY31" s="540">
        <f t="shared" si="135"/>
        <v>0</v>
      </c>
      <c r="BZ31" s="538">
        <v>0</v>
      </c>
      <c r="CA31" s="539">
        <f t="shared" si="24"/>
        <v>0</v>
      </c>
      <c r="CB31" s="540">
        <f t="shared" si="136"/>
        <v>0</v>
      </c>
      <c r="CC31" s="538">
        <v>0</v>
      </c>
      <c r="CD31" s="539">
        <f t="shared" si="25"/>
        <v>0</v>
      </c>
      <c r="CE31" s="540">
        <f t="shared" si="137"/>
        <v>0</v>
      </c>
      <c r="CF31" s="538">
        <v>2.3999999999999986</v>
      </c>
      <c r="CG31" s="539">
        <f t="shared" si="26"/>
        <v>3.4099627745730422E-2</v>
      </c>
      <c r="CH31" s="540">
        <f t="shared" si="138"/>
        <v>0</v>
      </c>
      <c r="CI31" s="538">
        <v>0</v>
      </c>
      <c r="CJ31" s="539">
        <f t="shared" si="27"/>
        <v>0</v>
      </c>
      <c r="CK31" s="540">
        <f t="shared" si="139"/>
        <v>0</v>
      </c>
      <c r="CL31" s="538"/>
      <c r="CM31" s="539">
        <f t="shared" si="28"/>
        <v>0</v>
      </c>
      <c r="CN31" s="540">
        <f t="shared" si="140"/>
        <v>0</v>
      </c>
      <c r="CO31" s="538"/>
      <c r="CP31" s="539">
        <f t="shared" si="29"/>
        <v>0</v>
      </c>
      <c r="CQ31" s="540">
        <f t="shared" si="141"/>
        <v>0</v>
      </c>
      <c r="CR31" s="538"/>
      <c r="CS31" s="539">
        <f t="shared" si="30"/>
        <v>0</v>
      </c>
      <c r="CT31" s="540">
        <f t="shared" si="142"/>
        <v>0</v>
      </c>
      <c r="CU31" s="538"/>
      <c r="CV31" s="539">
        <f t="shared" si="31"/>
        <v>0</v>
      </c>
      <c r="CW31" s="540">
        <f t="shared" si="143"/>
        <v>0</v>
      </c>
      <c r="CX31" s="538"/>
      <c r="CY31" s="539">
        <f t="shared" si="32"/>
        <v>0</v>
      </c>
      <c r="CZ31" s="540">
        <f t="shared" si="144"/>
        <v>0</v>
      </c>
      <c r="DA31" s="538">
        <v>441.17647058823513</v>
      </c>
      <c r="DB31" s="539">
        <f t="shared" si="33"/>
        <v>6.2683139238475052</v>
      </c>
      <c r="DC31" s="540">
        <f t="shared" si="145"/>
        <v>0</v>
      </c>
      <c r="DD31" s="538"/>
      <c r="DE31" s="539">
        <f t="shared" si="34"/>
        <v>0</v>
      </c>
      <c r="DF31" s="540">
        <f t="shared" si="146"/>
        <v>0</v>
      </c>
      <c r="DG31" s="538"/>
      <c r="DH31" s="539">
        <f t="shared" si="35"/>
        <v>0</v>
      </c>
      <c r="DI31" s="540">
        <f t="shared" si="201"/>
        <v>0</v>
      </c>
      <c r="DJ31" s="538"/>
      <c r="DK31" s="539">
        <f t="shared" si="36"/>
        <v>0</v>
      </c>
      <c r="DL31" s="540">
        <f t="shared" si="147"/>
        <v>0</v>
      </c>
      <c r="DM31" s="538"/>
      <c r="DN31" s="539">
        <f t="shared" si="37"/>
        <v>0</v>
      </c>
      <c r="DO31" s="540">
        <f t="shared" si="148"/>
        <v>0</v>
      </c>
      <c r="DP31" s="538"/>
      <c r="DQ31" s="539">
        <f t="shared" si="38"/>
        <v>0</v>
      </c>
      <c r="DR31" s="540">
        <f t="shared" si="149"/>
        <v>0</v>
      </c>
      <c r="DS31" s="538"/>
      <c r="DT31" s="539">
        <f t="shared" si="39"/>
        <v>0</v>
      </c>
      <c r="DU31" s="540">
        <f t="shared" si="150"/>
        <v>0</v>
      </c>
      <c r="DV31" s="538"/>
      <c r="DW31" s="539">
        <f t="shared" si="40"/>
        <v>0</v>
      </c>
      <c r="DX31" s="540">
        <f t="shared" si="151"/>
        <v>0</v>
      </c>
      <c r="DY31" s="538">
        <v>0</v>
      </c>
      <c r="DZ31" s="539">
        <f t="shared" si="41"/>
        <v>0</v>
      </c>
      <c r="EA31" s="540">
        <f t="shared" si="152"/>
        <v>0</v>
      </c>
      <c r="EB31" s="538">
        <v>1211.7647058823527</v>
      </c>
      <c r="EC31" s="539">
        <f t="shared" si="42"/>
        <v>17.216968910834485</v>
      </c>
      <c r="ED31" s="540">
        <f t="shared" si="153"/>
        <v>0</v>
      </c>
      <c r="EE31" s="538">
        <v>14.534883720930225</v>
      </c>
      <c r="EF31" s="539">
        <f t="shared" si="43"/>
        <v>0.2065142184213325</v>
      </c>
      <c r="EG31" s="540">
        <f t="shared" si="154"/>
        <v>0</v>
      </c>
      <c r="EH31" s="538">
        <v>1</v>
      </c>
      <c r="EI31" s="539">
        <f t="shared" si="44"/>
        <v>1.4208178227387683E-2</v>
      </c>
      <c r="EJ31" s="540">
        <f t="shared" si="155"/>
        <v>0</v>
      </c>
      <c r="EK31" s="538"/>
      <c r="EL31" s="539">
        <f t="shared" si="45"/>
        <v>0</v>
      </c>
      <c r="EM31" s="540">
        <f t="shared" si="156"/>
        <v>0</v>
      </c>
      <c r="EN31" s="538"/>
      <c r="EO31" s="539">
        <f t="shared" si="46"/>
        <v>0</v>
      </c>
      <c r="EP31" s="540">
        <f t="shared" si="157"/>
        <v>0</v>
      </c>
      <c r="EQ31" s="538"/>
      <c r="ER31" s="539">
        <f t="shared" si="47"/>
        <v>0</v>
      </c>
      <c r="ES31" s="540">
        <f t="shared" si="158"/>
        <v>0</v>
      </c>
      <c r="ET31" s="538"/>
      <c r="EU31" s="539">
        <f t="shared" si="48"/>
        <v>0</v>
      </c>
      <c r="EV31" s="540">
        <f t="shared" si="159"/>
        <v>0</v>
      </c>
      <c r="EW31" s="538"/>
      <c r="EX31" s="539">
        <f t="shared" si="49"/>
        <v>0</v>
      </c>
      <c r="EY31" s="540">
        <f t="shared" si="160"/>
        <v>0</v>
      </c>
      <c r="EZ31" s="538"/>
      <c r="FA31" s="539">
        <f t="shared" si="50"/>
        <v>0</v>
      </c>
      <c r="FB31" s="540">
        <f t="shared" si="161"/>
        <v>0</v>
      </c>
      <c r="FC31" s="538"/>
      <c r="FD31" s="539">
        <f t="shared" si="51"/>
        <v>0</v>
      </c>
      <c r="FE31" s="540">
        <f t="shared" si="162"/>
        <v>0</v>
      </c>
      <c r="FF31" s="538"/>
      <c r="FG31" s="539">
        <f t="shared" si="52"/>
        <v>0</v>
      </c>
      <c r="FH31" s="540">
        <f t="shared" si="163"/>
        <v>0</v>
      </c>
      <c r="FI31" s="538"/>
      <c r="FJ31" s="539">
        <f t="shared" si="53"/>
        <v>0</v>
      </c>
      <c r="FK31" s="540">
        <f t="shared" si="164"/>
        <v>0</v>
      </c>
      <c r="FL31" s="538"/>
      <c r="FM31" s="539">
        <f t="shared" si="54"/>
        <v>0</v>
      </c>
      <c r="FN31" s="540">
        <f t="shared" si="165"/>
        <v>0</v>
      </c>
      <c r="FO31" s="538"/>
      <c r="FP31" s="539">
        <f t="shared" si="55"/>
        <v>0</v>
      </c>
      <c r="FQ31" s="540">
        <f t="shared" si="166"/>
        <v>0</v>
      </c>
      <c r="FR31" s="538"/>
      <c r="FS31" s="539">
        <f t="shared" si="56"/>
        <v>0</v>
      </c>
      <c r="FT31" s="540">
        <f t="shared" si="167"/>
        <v>0</v>
      </c>
      <c r="FU31" s="538"/>
      <c r="FV31" s="539">
        <f t="shared" si="57"/>
        <v>0</v>
      </c>
      <c r="FW31" s="540">
        <f t="shared" si="168"/>
        <v>0</v>
      </c>
      <c r="FX31" s="538"/>
      <c r="FY31" s="539">
        <f t="shared" si="58"/>
        <v>0</v>
      </c>
      <c r="FZ31" s="540">
        <f t="shared" si="169"/>
        <v>0</v>
      </c>
      <c r="GA31" s="538"/>
      <c r="GB31" s="539">
        <f t="shared" si="59"/>
        <v>0</v>
      </c>
      <c r="GC31" s="540">
        <f t="shared" si="170"/>
        <v>0</v>
      </c>
      <c r="GD31" s="538"/>
      <c r="GE31" s="539">
        <f t="shared" si="60"/>
        <v>0</v>
      </c>
      <c r="GF31" s="540">
        <f t="shared" si="171"/>
        <v>0</v>
      </c>
      <c r="GG31" s="538">
        <v>10</v>
      </c>
      <c r="GH31" s="539">
        <f t="shared" si="61"/>
        <v>0.14208178227387683</v>
      </c>
      <c r="GI31" s="540">
        <f t="shared" si="172"/>
        <v>0</v>
      </c>
      <c r="GJ31" s="538">
        <v>10</v>
      </c>
      <c r="GK31" s="539">
        <f t="shared" si="211"/>
        <v>0.14208178227387683</v>
      </c>
      <c r="GL31" s="540">
        <f t="shared" si="212"/>
        <v>0</v>
      </c>
      <c r="GM31" s="538">
        <v>5</v>
      </c>
      <c r="GN31" s="539">
        <f t="shared" si="202"/>
        <v>7.1040891136938414E-2</v>
      </c>
      <c r="GO31" s="540">
        <f t="shared" si="203"/>
        <v>0</v>
      </c>
      <c r="GP31" s="538">
        <v>0</v>
      </c>
      <c r="GQ31" s="539">
        <f t="shared" si="204"/>
        <v>0</v>
      </c>
      <c r="GR31" s="540">
        <f t="shared" si="205"/>
        <v>0</v>
      </c>
      <c r="GS31" s="538">
        <v>0</v>
      </c>
      <c r="GT31" s="539">
        <f t="shared" si="206"/>
        <v>0</v>
      </c>
      <c r="GU31" s="540">
        <f t="shared" si="207"/>
        <v>0</v>
      </c>
      <c r="GV31" s="538">
        <v>0</v>
      </c>
      <c r="GW31" s="539">
        <f t="shared" si="208"/>
        <v>0</v>
      </c>
      <c r="GX31" s="540">
        <f t="shared" si="209"/>
        <v>0</v>
      </c>
      <c r="GY31" s="538"/>
      <c r="GZ31" s="539">
        <f t="shared" si="210"/>
        <v>0</v>
      </c>
      <c r="HA31" s="540">
        <f>+GY31*$H$8</f>
        <v>0</v>
      </c>
      <c r="HB31" s="538"/>
      <c r="HC31" s="539">
        <f>+HB31/$E31</f>
        <v>0</v>
      </c>
      <c r="HD31" s="540">
        <f>+HB31*$H$8</f>
        <v>0</v>
      </c>
      <c r="HE31" s="538"/>
      <c r="HF31" s="539">
        <f>+HE31/$E31</f>
        <v>0</v>
      </c>
      <c r="HG31" s="540">
        <f>+HE31*$H$8</f>
        <v>0</v>
      </c>
      <c r="HH31" s="538"/>
      <c r="HI31" s="539">
        <f>+HH31/$E31</f>
        <v>0</v>
      </c>
      <c r="HJ31" s="540">
        <f>+HH31*$H$8</f>
        <v>0</v>
      </c>
      <c r="HK31" s="538"/>
      <c r="HL31" s="539">
        <f>+HK31/$E31</f>
        <v>0</v>
      </c>
      <c r="HM31" s="540">
        <f t="shared" si="182"/>
        <v>0</v>
      </c>
      <c r="HN31" s="538">
        <v>1862</v>
      </c>
      <c r="HO31" s="539">
        <f t="shared" si="72"/>
        <v>26.455627859395868</v>
      </c>
      <c r="HP31" s="540">
        <f t="shared" si="183"/>
        <v>0</v>
      </c>
      <c r="HQ31" s="538"/>
      <c r="HR31" s="539">
        <f t="shared" si="73"/>
        <v>0</v>
      </c>
      <c r="HS31" s="540">
        <f t="shared" si="184"/>
        <v>0</v>
      </c>
      <c r="HT31" s="538">
        <v>80</v>
      </c>
      <c r="HU31" s="539">
        <f t="shared" si="74"/>
        <v>1.1366542581910146</v>
      </c>
      <c r="HV31" s="540">
        <f t="shared" si="185"/>
        <v>0</v>
      </c>
      <c r="HW31" s="538">
        <v>10</v>
      </c>
      <c r="HX31" s="539">
        <f t="shared" si="75"/>
        <v>0.14208178227387683</v>
      </c>
      <c r="HY31" s="540">
        <f t="shared" si="186"/>
        <v>0</v>
      </c>
      <c r="HZ31" s="538">
        <v>50</v>
      </c>
      <c r="IA31" s="539">
        <f t="shared" si="76"/>
        <v>0.71040891136938422</v>
      </c>
      <c r="IB31" s="540">
        <f t="shared" si="187"/>
        <v>0</v>
      </c>
      <c r="IC31" s="538">
        <v>60</v>
      </c>
      <c r="ID31" s="539">
        <f t="shared" si="77"/>
        <v>0.85249069364326102</v>
      </c>
      <c r="IE31" s="540">
        <f t="shared" si="188"/>
        <v>0</v>
      </c>
      <c r="IF31" s="538">
        <v>0</v>
      </c>
      <c r="IG31" s="539">
        <f t="shared" si="78"/>
        <v>0</v>
      </c>
      <c r="IH31" s="540">
        <f t="shared" si="189"/>
        <v>0</v>
      </c>
      <c r="II31" s="538"/>
      <c r="IJ31" s="539">
        <f t="shared" si="79"/>
        <v>0</v>
      </c>
      <c r="IK31" s="540">
        <f t="shared" si="190"/>
        <v>0</v>
      </c>
      <c r="IL31" s="538">
        <v>0</v>
      </c>
      <c r="IM31" s="539">
        <f t="shared" si="80"/>
        <v>0</v>
      </c>
      <c r="IN31" s="540">
        <f t="shared" si="191"/>
        <v>0</v>
      </c>
      <c r="IO31" s="538">
        <v>115</v>
      </c>
      <c r="IP31" s="539">
        <f t="shared" si="81"/>
        <v>1.6339404961495836</v>
      </c>
      <c r="IQ31" s="540">
        <f t="shared" si="192"/>
        <v>0</v>
      </c>
      <c r="IR31" s="538">
        <v>10</v>
      </c>
      <c r="IS31" s="539">
        <f t="shared" si="82"/>
        <v>0.14208178227387683</v>
      </c>
      <c r="IT31" s="540">
        <f t="shared" si="193"/>
        <v>0</v>
      </c>
      <c r="IU31" s="538"/>
      <c r="IV31" s="539">
        <f t="shared" si="83"/>
        <v>0</v>
      </c>
      <c r="IW31" s="540">
        <f t="shared" si="194"/>
        <v>0</v>
      </c>
      <c r="IX31" s="538">
        <v>5</v>
      </c>
      <c r="IY31" s="539">
        <f t="shared" si="84"/>
        <v>7.1040891136938414E-2</v>
      </c>
      <c r="IZ31" s="540">
        <f t="shared" si="195"/>
        <v>0</v>
      </c>
      <c r="JA31" s="538"/>
      <c r="JB31" s="539">
        <f t="shared" si="85"/>
        <v>0</v>
      </c>
      <c r="JC31" s="540">
        <f t="shared" si="196"/>
        <v>0</v>
      </c>
      <c r="JD31" s="538"/>
      <c r="JE31" s="539">
        <f t="shared" si="86"/>
        <v>0</v>
      </c>
      <c r="JF31" s="540">
        <f t="shared" si="197"/>
        <v>0</v>
      </c>
      <c r="JG31" s="538">
        <v>50</v>
      </c>
      <c r="JH31" s="540" t="str">
        <f t="shared" si="87"/>
        <v>0</v>
      </c>
      <c r="JI31" s="540" t="str">
        <f t="shared" si="88"/>
        <v>0</v>
      </c>
      <c r="JJ31" s="538">
        <v>40</v>
      </c>
      <c r="JK31" s="540" t="str">
        <f t="shared" si="89"/>
        <v>0</v>
      </c>
      <c r="JL31" s="540" t="str">
        <f t="shared" si="90"/>
        <v>0</v>
      </c>
      <c r="JM31" s="538"/>
      <c r="JN31" s="540" t="str">
        <f t="shared" si="91"/>
        <v>0</v>
      </c>
      <c r="JO31" s="540" t="str">
        <f t="shared" si="92"/>
        <v>0</v>
      </c>
      <c r="JP31" s="538"/>
      <c r="JQ31" s="540" t="str">
        <f t="shared" si="93"/>
        <v>0</v>
      </c>
      <c r="JR31" s="540" t="str">
        <f t="shared" si="94"/>
        <v>0</v>
      </c>
      <c r="JS31" s="538"/>
      <c r="JT31" s="540" t="str">
        <f t="shared" si="95"/>
        <v>0</v>
      </c>
      <c r="JU31" s="540" t="str">
        <f t="shared" si="96"/>
        <v>0</v>
      </c>
      <c r="JV31" s="538"/>
      <c r="JW31" s="540" t="str">
        <f t="shared" si="97"/>
        <v>0</v>
      </c>
      <c r="JX31" s="540" t="str">
        <f t="shared" si="98"/>
        <v>0</v>
      </c>
      <c r="JY31" s="538"/>
      <c r="JZ31" s="540" t="str">
        <f t="shared" si="99"/>
        <v>0</v>
      </c>
      <c r="KA31" s="540" t="str">
        <f t="shared" si="100"/>
        <v>0</v>
      </c>
      <c r="KB31" s="538"/>
      <c r="KC31" s="540" t="str">
        <f t="shared" si="101"/>
        <v>0</v>
      </c>
      <c r="KD31" s="540" t="str">
        <f t="shared" si="102"/>
        <v>0</v>
      </c>
      <c r="KE31" s="538"/>
      <c r="KF31" s="540" t="str">
        <f t="shared" si="103"/>
        <v>0</v>
      </c>
      <c r="KG31" s="540" t="str">
        <f t="shared" si="104"/>
        <v>0</v>
      </c>
      <c r="KH31" s="538"/>
      <c r="KI31" s="540" t="str">
        <f t="shared" si="105"/>
        <v>0</v>
      </c>
      <c r="KJ31" s="540" t="str">
        <f t="shared" si="106"/>
        <v>0</v>
      </c>
      <c r="KK31" s="538"/>
      <c r="KL31" s="540" t="str">
        <f t="shared" si="107"/>
        <v>0</v>
      </c>
      <c r="KM31" s="540" t="str">
        <f t="shared" si="108"/>
        <v>0</v>
      </c>
      <c r="KN31" s="538"/>
      <c r="KO31" s="540" t="str">
        <f t="shared" si="109"/>
        <v>0</v>
      </c>
      <c r="KP31" s="540" t="str">
        <f t="shared" si="110"/>
        <v>0</v>
      </c>
      <c r="KQ31" s="540">
        <f t="shared" si="111"/>
        <v>0</v>
      </c>
      <c r="KR31" s="540">
        <f t="shared" si="198"/>
        <v>0</v>
      </c>
      <c r="KS31" s="268">
        <f t="shared" si="199"/>
        <v>4097.2991371145945</v>
      </c>
    </row>
    <row r="32" spans="1:306" ht="15" customHeight="1">
      <c r="A32" s="270">
        <f t="shared" si="200"/>
        <v>45954</v>
      </c>
      <c r="B32" s="271" t="str">
        <f>+Report1!B32</f>
        <v>Towel</v>
      </c>
      <c r="C32" s="271" t="str">
        <f>+Report1!C32</f>
        <v>30,5/34</v>
      </c>
      <c r="D32" s="272">
        <f>+Report1!P32</f>
        <v>70.288999999999987</v>
      </c>
      <c r="E32" s="273">
        <f>+Report1!R32</f>
        <v>69.483000000000004</v>
      </c>
      <c r="F32" s="538">
        <v>441.86046511627922</v>
      </c>
      <c r="G32" s="539">
        <f t="shared" si="0"/>
        <v>6.3592600365021541</v>
      </c>
      <c r="H32" s="540">
        <f t="shared" si="112"/>
        <v>0</v>
      </c>
      <c r="I32" s="538">
        <v>0</v>
      </c>
      <c r="J32" s="539">
        <f t="shared" si="1"/>
        <v>0</v>
      </c>
      <c r="K32" s="540">
        <f t="shared" si="113"/>
        <v>0</v>
      </c>
      <c r="L32" s="538"/>
      <c r="M32" s="539">
        <f t="shared" si="2"/>
        <v>0</v>
      </c>
      <c r="N32" s="540">
        <f t="shared" si="114"/>
        <v>0</v>
      </c>
      <c r="O32" s="538">
        <v>11.999999999999943</v>
      </c>
      <c r="P32" s="539">
        <f t="shared" si="3"/>
        <v>0.17270411467553132</v>
      </c>
      <c r="Q32" s="540">
        <f t="shared" si="115"/>
        <v>0</v>
      </c>
      <c r="R32" s="538"/>
      <c r="S32" s="539">
        <f t="shared" si="4"/>
        <v>0</v>
      </c>
      <c r="T32" s="540">
        <f t="shared" si="116"/>
        <v>0</v>
      </c>
      <c r="U32" s="538">
        <v>5.1249999999999991</v>
      </c>
      <c r="V32" s="539">
        <f t="shared" si="5"/>
        <v>7.3759048976008504E-2</v>
      </c>
      <c r="W32" s="540">
        <f t="shared" si="117"/>
        <v>0</v>
      </c>
      <c r="X32" s="538"/>
      <c r="Y32" s="539">
        <f t="shared" si="6"/>
        <v>0</v>
      </c>
      <c r="Z32" s="540">
        <f t="shared" si="118"/>
        <v>0</v>
      </c>
      <c r="AA32" s="538"/>
      <c r="AB32" s="539">
        <f t="shared" si="7"/>
        <v>0</v>
      </c>
      <c r="AC32" s="540">
        <f t="shared" si="119"/>
        <v>0</v>
      </c>
      <c r="AD32" s="538"/>
      <c r="AE32" s="539">
        <f t="shared" si="8"/>
        <v>0</v>
      </c>
      <c r="AF32" s="540">
        <f t="shared" si="120"/>
        <v>0</v>
      </c>
      <c r="AG32" s="538"/>
      <c r="AH32" s="539">
        <f t="shared" si="9"/>
        <v>0</v>
      </c>
      <c r="AI32" s="540">
        <f t="shared" si="121"/>
        <v>0</v>
      </c>
      <c r="AJ32" s="538"/>
      <c r="AK32" s="539">
        <f t="shared" si="10"/>
        <v>0</v>
      </c>
      <c r="AL32" s="540">
        <f t="shared" si="122"/>
        <v>0</v>
      </c>
      <c r="AM32" s="538">
        <v>23.653846153846189</v>
      </c>
      <c r="AN32" s="539">
        <f t="shared" si="11"/>
        <v>0.3404263798892706</v>
      </c>
      <c r="AO32" s="540">
        <f t="shared" si="123"/>
        <v>0</v>
      </c>
      <c r="AP32" s="538"/>
      <c r="AQ32" s="539">
        <f t="shared" si="12"/>
        <v>0</v>
      </c>
      <c r="AR32" s="540">
        <f t="shared" si="124"/>
        <v>0</v>
      </c>
      <c r="AS32" s="538"/>
      <c r="AT32" s="539">
        <f t="shared" si="13"/>
        <v>0</v>
      </c>
      <c r="AU32" s="540">
        <f t="shared" si="125"/>
        <v>0</v>
      </c>
      <c r="AV32" s="538">
        <v>8.3249999999999886</v>
      </c>
      <c r="AW32" s="539">
        <f t="shared" si="14"/>
        <v>0.11981347955615025</v>
      </c>
      <c r="AX32" s="540">
        <f t="shared" si="126"/>
        <v>0</v>
      </c>
      <c r="AY32" s="538">
        <v>37.333333333333371</v>
      </c>
      <c r="AZ32" s="539">
        <f t="shared" si="15"/>
        <v>0.53730169010165607</v>
      </c>
      <c r="BA32" s="540">
        <f t="shared" si="127"/>
        <v>0</v>
      </c>
      <c r="BB32" s="538"/>
      <c r="BC32" s="539">
        <f t="shared" si="16"/>
        <v>0</v>
      </c>
      <c r="BD32" s="540">
        <f t="shared" si="128"/>
        <v>0</v>
      </c>
      <c r="BE32" s="538"/>
      <c r="BF32" s="539">
        <f t="shared" si="17"/>
        <v>0</v>
      </c>
      <c r="BG32" s="540">
        <f t="shared" si="129"/>
        <v>0</v>
      </c>
      <c r="BH32" s="538"/>
      <c r="BI32" s="539">
        <f t="shared" si="18"/>
        <v>0</v>
      </c>
      <c r="BJ32" s="540">
        <f t="shared" si="130"/>
        <v>0</v>
      </c>
      <c r="BK32" s="538"/>
      <c r="BL32" s="539">
        <f t="shared" si="19"/>
        <v>0</v>
      </c>
      <c r="BM32" s="540">
        <f t="shared" si="131"/>
        <v>0</v>
      </c>
      <c r="BN32" s="538"/>
      <c r="BO32" s="539">
        <f t="shared" si="20"/>
        <v>0</v>
      </c>
      <c r="BP32" s="540">
        <f t="shared" si="132"/>
        <v>0</v>
      </c>
      <c r="BQ32" s="538"/>
      <c r="BR32" s="539">
        <f t="shared" si="21"/>
        <v>0</v>
      </c>
      <c r="BS32" s="540">
        <f t="shared" si="133"/>
        <v>0</v>
      </c>
      <c r="BT32" s="538"/>
      <c r="BU32" s="539">
        <f t="shared" si="22"/>
        <v>0</v>
      </c>
      <c r="BV32" s="540">
        <f t="shared" si="134"/>
        <v>0</v>
      </c>
      <c r="BW32" s="538"/>
      <c r="BX32" s="539">
        <f t="shared" si="23"/>
        <v>0</v>
      </c>
      <c r="BY32" s="540">
        <f t="shared" si="135"/>
        <v>0</v>
      </c>
      <c r="BZ32" s="538">
        <v>0</v>
      </c>
      <c r="CA32" s="539">
        <f t="shared" si="24"/>
        <v>0</v>
      </c>
      <c r="CB32" s="540">
        <f t="shared" si="136"/>
        <v>0</v>
      </c>
      <c r="CC32" s="538">
        <v>0</v>
      </c>
      <c r="CD32" s="539">
        <f t="shared" si="25"/>
        <v>0</v>
      </c>
      <c r="CE32" s="540">
        <f t="shared" si="137"/>
        <v>0</v>
      </c>
      <c r="CF32" s="538">
        <v>3.4000000000000004</v>
      </c>
      <c r="CG32" s="539">
        <f t="shared" si="26"/>
        <v>4.8932832491400777E-2</v>
      </c>
      <c r="CH32" s="540">
        <f t="shared" si="138"/>
        <v>0</v>
      </c>
      <c r="CI32" s="538">
        <v>0</v>
      </c>
      <c r="CJ32" s="539">
        <f t="shared" si="27"/>
        <v>0</v>
      </c>
      <c r="CK32" s="540">
        <f t="shared" si="139"/>
        <v>0</v>
      </c>
      <c r="CL32" s="538"/>
      <c r="CM32" s="539">
        <f t="shared" si="28"/>
        <v>0</v>
      </c>
      <c r="CN32" s="540">
        <f t="shared" si="140"/>
        <v>0</v>
      </c>
      <c r="CO32" s="538"/>
      <c r="CP32" s="539">
        <f t="shared" si="29"/>
        <v>0</v>
      </c>
      <c r="CQ32" s="540">
        <f t="shared" si="141"/>
        <v>0</v>
      </c>
      <c r="CR32" s="538"/>
      <c r="CS32" s="539">
        <f t="shared" si="30"/>
        <v>0</v>
      </c>
      <c r="CT32" s="540">
        <f t="shared" si="142"/>
        <v>0</v>
      </c>
      <c r="CU32" s="538"/>
      <c r="CV32" s="539">
        <f t="shared" si="31"/>
        <v>0</v>
      </c>
      <c r="CW32" s="540">
        <f t="shared" si="143"/>
        <v>0</v>
      </c>
      <c r="CX32" s="538"/>
      <c r="CY32" s="539">
        <f t="shared" si="32"/>
        <v>0</v>
      </c>
      <c r="CZ32" s="540">
        <f t="shared" si="144"/>
        <v>0</v>
      </c>
      <c r="DA32" s="538">
        <v>264.7058823529411</v>
      </c>
      <c r="DB32" s="539">
        <f t="shared" si="33"/>
        <v>3.809649588430855</v>
      </c>
      <c r="DC32" s="540">
        <f t="shared" si="145"/>
        <v>0</v>
      </c>
      <c r="DD32" s="538"/>
      <c r="DE32" s="539">
        <f t="shared" si="34"/>
        <v>0</v>
      </c>
      <c r="DF32" s="540">
        <f t="shared" si="146"/>
        <v>0</v>
      </c>
      <c r="DG32" s="538"/>
      <c r="DH32" s="539">
        <f t="shared" si="35"/>
        <v>0</v>
      </c>
      <c r="DI32" s="540">
        <f t="shared" si="201"/>
        <v>0</v>
      </c>
      <c r="DJ32" s="538"/>
      <c r="DK32" s="539">
        <f t="shared" si="36"/>
        <v>0</v>
      </c>
      <c r="DL32" s="540">
        <f t="shared" si="147"/>
        <v>0</v>
      </c>
      <c r="DM32" s="538"/>
      <c r="DN32" s="539">
        <f t="shared" si="37"/>
        <v>0</v>
      </c>
      <c r="DO32" s="540">
        <f t="shared" si="148"/>
        <v>0</v>
      </c>
      <c r="DP32" s="538"/>
      <c r="DQ32" s="539">
        <f t="shared" si="38"/>
        <v>0</v>
      </c>
      <c r="DR32" s="540">
        <f t="shared" si="149"/>
        <v>0</v>
      </c>
      <c r="DS32" s="538"/>
      <c r="DT32" s="539">
        <f t="shared" si="39"/>
        <v>0</v>
      </c>
      <c r="DU32" s="540">
        <f t="shared" si="150"/>
        <v>0</v>
      </c>
      <c r="DV32" s="538"/>
      <c r="DW32" s="539">
        <f t="shared" si="40"/>
        <v>0</v>
      </c>
      <c r="DX32" s="540">
        <f t="shared" si="151"/>
        <v>0</v>
      </c>
      <c r="DY32" s="538">
        <v>0</v>
      </c>
      <c r="DZ32" s="539">
        <f t="shared" si="41"/>
        <v>0</v>
      </c>
      <c r="EA32" s="540">
        <f t="shared" si="152"/>
        <v>0</v>
      </c>
      <c r="EB32" s="538">
        <v>1188.2352941176473</v>
      </c>
      <c r="EC32" s="539">
        <f t="shared" si="42"/>
        <v>17.101093708067403</v>
      </c>
      <c r="ED32" s="540">
        <f t="shared" si="153"/>
        <v>0</v>
      </c>
      <c r="EE32" s="538">
        <v>14.534883720930225</v>
      </c>
      <c r="EF32" s="539">
        <f t="shared" si="43"/>
        <v>0.20918618541125489</v>
      </c>
      <c r="EG32" s="540">
        <f t="shared" si="154"/>
        <v>0</v>
      </c>
      <c r="EH32" s="538">
        <v>0</v>
      </c>
      <c r="EI32" s="539">
        <f t="shared" si="44"/>
        <v>0</v>
      </c>
      <c r="EJ32" s="540">
        <f t="shared" si="155"/>
        <v>0</v>
      </c>
      <c r="EK32" s="538"/>
      <c r="EL32" s="539">
        <f t="shared" si="45"/>
        <v>0</v>
      </c>
      <c r="EM32" s="540">
        <f t="shared" si="156"/>
        <v>0</v>
      </c>
      <c r="EN32" s="538"/>
      <c r="EO32" s="539">
        <f t="shared" si="46"/>
        <v>0</v>
      </c>
      <c r="EP32" s="540">
        <f t="shared" si="157"/>
        <v>0</v>
      </c>
      <c r="EQ32" s="538"/>
      <c r="ER32" s="539">
        <f t="shared" si="47"/>
        <v>0</v>
      </c>
      <c r="ES32" s="540">
        <f t="shared" si="158"/>
        <v>0</v>
      </c>
      <c r="ET32" s="538"/>
      <c r="EU32" s="539">
        <f t="shared" si="48"/>
        <v>0</v>
      </c>
      <c r="EV32" s="540">
        <f t="shared" si="159"/>
        <v>0</v>
      </c>
      <c r="EW32" s="538"/>
      <c r="EX32" s="539">
        <f t="shared" si="49"/>
        <v>0</v>
      </c>
      <c r="EY32" s="540">
        <f t="shared" si="160"/>
        <v>0</v>
      </c>
      <c r="EZ32" s="538"/>
      <c r="FA32" s="539">
        <f t="shared" si="50"/>
        <v>0</v>
      </c>
      <c r="FB32" s="540">
        <f t="shared" si="161"/>
        <v>0</v>
      </c>
      <c r="FC32" s="538"/>
      <c r="FD32" s="539">
        <f t="shared" si="51"/>
        <v>0</v>
      </c>
      <c r="FE32" s="540">
        <f t="shared" si="162"/>
        <v>0</v>
      </c>
      <c r="FF32" s="538"/>
      <c r="FG32" s="539">
        <f t="shared" si="52"/>
        <v>0</v>
      </c>
      <c r="FH32" s="540">
        <f t="shared" si="163"/>
        <v>0</v>
      </c>
      <c r="FI32" s="538"/>
      <c r="FJ32" s="539">
        <f t="shared" si="53"/>
        <v>0</v>
      </c>
      <c r="FK32" s="540">
        <f t="shared" si="164"/>
        <v>0</v>
      </c>
      <c r="FL32" s="538"/>
      <c r="FM32" s="539">
        <f t="shared" si="54"/>
        <v>0</v>
      </c>
      <c r="FN32" s="540">
        <f t="shared" si="165"/>
        <v>0</v>
      </c>
      <c r="FO32" s="538"/>
      <c r="FP32" s="539">
        <f t="shared" si="55"/>
        <v>0</v>
      </c>
      <c r="FQ32" s="540">
        <f t="shared" si="166"/>
        <v>0</v>
      </c>
      <c r="FR32" s="538"/>
      <c r="FS32" s="539">
        <f t="shared" si="56"/>
        <v>0</v>
      </c>
      <c r="FT32" s="540">
        <f t="shared" si="167"/>
        <v>0</v>
      </c>
      <c r="FU32" s="538"/>
      <c r="FV32" s="539">
        <f t="shared" si="57"/>
        <v>0</v>
      </c>
      <c r="FW32" s="540">
        <f t="shared" si="168"/>
        <v>0</v>
      </c>
      <c r="FX32" s="538"/>
      <c r="FY32" s="539">
        <f t="shared" si="58"/>
        <v>0</v>
      </c>
      <c r="FZ32" s="540">
        <f t="shared" si="169"/>
        <v>0</v>
      </c>
      <c r="GA32" s="538"/>
      <c r="GB32" s="539">
        <f t="shared" si="59"/>
        <v>0</v>
      </c>
      <c r="GC32" s="540">
        <f t="shared" si="170"/>
        <v>0</v>
      </c>
      <c r="GD32" s="538"/>
      <c r="GE32" s="539">
        <f t="shared" si="60"/>
        <v>0</v>
      </c>
      <c r="GF32" s="540">
        <f t="shared" si="171"/>
        <v>0</v>
      </c>
      <c r="GG32" s="538">
        <v>10</v>
      </c>
      <c r="GH32" s="539">
        <f t="shared" si="61"/>
        <v>0.14392009556294344</v>
      </c>
      <c r="GI32" s="540">
        <f t="shared" si="172"/>
        <v>0</v>
      </c>
      <c r="GJ32" s="538">
        <v>10</v>
      </c>
      <c r="GK32" s="539">
        <f t="shared" si="211"/>
        <v>0.14392009556294344</v>
      </c>
      <c r="GL32" s="540">
        <f t="shared" si="212"/>
        <v>0</v>
      </c>
      <c r="GM32" s="538">
        <v>10</v>
      </c>
      <c r="GN32" s="539">
        <f t="shared" si="202"/>
        <v>0.14392009556294344</v>
      </c>
      <c r="GO32" s="540">
        <f t="shared" si="203"/>
        <v>0</v>
      </c>
      <c r="GP32" s="538">
        <v>0</v>
      </c>
      <c r="GQ32" s="539">
        <f t="shared" si="204"/>
        <v>0</v>
      </c>
      <c r="GR32" s="540">
        <f t="shared" si="205"/>
        <v>0</v>
      </c>
      <c r="GS32" s="538">
        <v>0</v>
      </c>
      <c r="GT32" s="539">
        <f t="shared" si="206"/>
        <v>0</v>
      </c>
      <c r="GU32" s="540">
        <f t="shared" si="207"/>
        <v>0</v>
      </c>
      <c r="GV32" s="538">
        <v>0</v>
      </c>
      <c r="GW32" s="539">
        <f t="shared" si="208"/>
        <v>0</v>
      </c>
      <c r="GX32" s="540">
        <f t="shared" si="209"/>
        <v>0</v>
      </c>
      <c r="GY32" s="538"/>
      <c r="GZ32" s="539">
        <f t="shared" si="210"/>
        <v>0</v>
      </c>
      <c r="HA32" s="540">
        <f>+GY32*$H$8</f>
        <v>0</v>
      </c>
      <c r="HB32" s="538"/>
      <c r="HC32" s="539">
        <f>+HB32/$E32</f>
        <v>0</v>
      </c>
      <c r="HD32" s="540">
        <f>+HB32*$H$8</f>
        <v>0</v>
      </c>
      <c r="HE32" s="538"/>
      <c r="HF32" s="539">
        <f>+HE32/$E32</f>
        <v>0</v>
      </c>
      <c r="HG32" s="540">
        <f>+HE32*$H$8</f>
        <v>0</v>
      </c>
      <c r="HH32" s="538"/>
      <c r="HI32" s="539">
        <f>+HH32/$E32</f>
        <v>0</v>
      </c>
      <c r="HJ32" s="540">
        <f>+HH32*$H$8</f>
        <v>0</v>
      </c>
      <c r="HK32" s="538"/>
      <c r="HL32" s="539">
        <f>+HK32/$E32</f>
        <v>0</v>
      </c>
      <c r="HM32" s="540">
        <f t="shared" si="182"/>
        <v>0</v>
      </c>
      <c r="HN32" s="538">
        <v>1683</v>
      </c>
      <c r="HO32" s="539">
        <f t="shared" si="72"/>
        <v>24.221752083243381</v>
      </c>
      <c r="HP32" s="540">
        <f t="shared" si="183"/>
        <v>0</v>
      </c>
      <c r="HQ32" s="538"/>
      <c r="HR32" s="539">
        <f t="shared" si="73"/>
        <v>0</v>
      </c>
      <c r="HS32" s="540">
        <f t="shared" si="184"/>
        <v>0</v>
      </c>
      <c r="HT32" s="538">
        <v>75</v>
      </c>
      <c r="HU32" s="539">
        <f t="shared" si="74"/>
        <v>1.0794007167220758</v>
      </c>
      <c r="HV32" s="540">
        <f t="shared" si="185"/>
        <v>0</v>
      </c>
      <c r="HW32" s="538">
        <v>15</v>
      </c>
      <c r="HX32" s="539">
        <f t="shared" si="75"/>
        <v>0.21588014334441516</v>
      </c>
      <c r="HY32" s="540">
        <f t="shared" si="186"/>
        <v>0</v>
      </c>
      <c r="HZ32" s="538">
        <v>50</v>
      </c>
      <c r="IA32" s="539">
        <f t="shared" si="76"/>
        <v>0.71960047781471725</v>
      </c>
      <c r="IB32" s="540">
        <f t="shared" si="187"/>
        <v>0</v>
      </c>
      <c r="IC32" s="538">
        <v>80</v>
      </c>
      <c r="ID32" s="539">
        <f t="shared" si="77"/>
        <v>1.1513607645035475</v>
      </c>
      <c r="IE32" s="540">
        <f t="shared" si="188"/>
        <v>0</v>
      </c>
      <c r="IF32" s="538">
        <v>0</v>
      </c>
      <c r="IG32" s="539">
        <f t="shared" si="78"/>
        <v>0</v>
      </c>
      <c r="IH32" s="540">
        <f t="shared" si="189"/>
        <v>0</v>
      </c>
      <c r="II32" s="538"/>
      <c r="IJ32" s="539">
        <f t="shared" si="79"/>
        <v>0</v>
      </c>
      <c r="IK32" s="540">
        <f t="shared" si="190"/>
        <v>0</v>
      </c>
      <c r="IL32" s="538">
        <v>0</v>
      </c>
      <c r="IM32" s="539">
        <f t="shared" si="80"/>
        <v>0</v>
      </c>
      <c r="IN32" s="540">
        <f t="shared" si="191"/>
        <v>0</v>
      </c>
      <c r="IO32" s="538">
        <v>125</v>
      </c>
      <c r="IP32" s="539">
        <f t="shared" si="81"/>
        <v>1.799001194536793</v>
      </c>
      <c r="IQ32" s="540">
        <f t="shared" si="192"/>
        <v>0</v>
      </c>
      <c r="IR32" s="538">
        <v>10</v>
      </c>
      <c r="IS32" s="539">
        <f t="shared" si="82"/>
        <v>0.14392009556294344</v>
      </c>
      <c r="IT32" s="540">
        <f t="shared" si="193"/>
        <v>0</v>
      </c>
      <c r="IU32" s="538"/>
      <c r="IV32" s="539">
        <f t="shared" si="83"/>
        <v>0</v>
      </c>
      <c r="IW32" s="540">
        <f t="shared" si="194"/>
        <v>0</v>
      </c>
      <c r="IX32" s="538">
        <v>10</v>
      </c>
      <c r="IY32" s="539">
        <f t="shared" si="84"/>
        <v>0.14392009556294344</v>
      </c>
      <c r="IZ32" s="540">
        <f t="shared" si="195"/>
        <v>0</v>
      </c>
      <c r="JA32" s="538"/>
      <c r="JB32" s="539">
        <f t="shared" si="85"/>
        <v>0</v>
      </c>
      <c r="JC32" s="540">
        <f t="shared" si="196"/>
        <v>0</v>
      </c>
      <c r="JD32" s="538"/>
      <c r="JE32" s="539">
        <f t="shared" si="86"/>
        <v>0</v>
      </c>
      <c r="JF32" s="540">
        <f t="shared" si="197"/>
        <v>0</v>
      </c>
      <c r="JG32" s="538">
        <v>50</v>
      </c>
      <c r="JH32" s="540" t="str">
        <f t="shared" si="87"/>
        <v>0</v>
      </c>
      <c r="JI32" s="540" t="str">
        <f t="shared" si="88"/>
        <v>0</v>
      </c>
      <c r="JJ32" s="538">
        <v>35</v>
      </c>
      <c r="JK32" s="540" t="str">
        <f t="shared" si="89"/>
        <v>0</v>
      </c>
      <c r="JL32" s="540" t="str">
        <f t="shared" si="90"/>
        <v>0</v>
      </c>
      <c r="JM32" s="538"/>
      <c r="JN32" s="540" t="str">
        <f t="shared" si="91"/>
        <v>0</v>
      </c>
      <c r="JO32" s="540" t="str">
        <f t="shared" si="92"/>
        <v>0</v>
      </c>
      <c r="JP32" s="538"/>
      <c r="JQ32" s="540" t="str">
        <f t="shared" si="93"/>
        <v>0</v>
      </c>
      <c r="JR32" s="540" t="str">
        <f t="shared" si="94"/>
        <v>0</v>
      </c>
      <c r="JS32" s="538"/>
      <c r="JT32" s="540" t="str">
        <f t="shared" si="95"/>
        <v>0</v>
      </c>
      <c r="JU32" s="540" t="str">
        <f t="shared" si="96"/>
        <v>0</v>
      </c>
      <c r="JV32" s="538"/>
      <c r="JW32" s="540" t="str">
        <f t="shared" si="97"/>
        <v>0</v>
      </c>
      <c r="JX32" s="540" t="str">
        <f t="shared" si="98"/>
        <v>0</v>
      </c>
      <c r="JY32" s="538"/>
      <c r="JZ32" s="540" t="str">
        <f t="shared" si="99"/>
        <v>0</v>
      </c>
      <c r="KA32" s="540" t="str">
        <f t="shared" si="100"/>
        <v>0</v>
      </c>
      <c r="KB32" s="538"/>
      <c r="KC32" s="540" t="str">
        <f t="shared" si="101"/>
        <v>0</v>
      </c>
      <c r="KD32" s="540" t="str">
        <f t="shared" si="102"/>
        <v>0</v>
      </c>
      <c r="KE32" s="538"/>
      <c r="KF32" s="540" t="str">
        <f t="shared" si="103"/>
        <v>0</v>
      </c>
      <c r="KG32" s="540" t="str">
        <f t="shared" si="104"/>
        <v>0</v>
      </c>
      <c r="KH32" s="538"/>
      <c r="KI32" s="540" t="str">
        <f t="shared" si="105"/>
        <v>0</v>
      </c>
      <c r="KJ32" s="540" t="str">
        <f t="shared" si="106"/>
        <v>0</v>
      </c>
      <c r="KK32" s="538"/>
      <c r="KL32" s="540" t="str">
        <f t="shared" si="107"/>
        <v>0</v>
      </c>
      <c r="KM32" s="540" t="str">
        <f t="shared" si="108"/>
        <v>0</v>
      </c>
      <c r="KN32" s="538"/>
      <c r="KO32" s="540" t="str">
        <f t="shared" si="109"/>
        <v>0</v>
      </c>
      <c r="KP32" s="540" t="str">
        <f t="shared" si="110"/>
        <v>0</v>
      </c>
      <c r="KQ32" s="540">
        <f t="shared" si="111"/>
        <v>0</v>
      </c>
      <c r="KR32" s="540">
        <f t="shared" si="198"/>
        <v>0</v>
      </c>
      <c r="KS32" s="268">
        <f t="shared" si="199"/>
        <v>4162.1737047949773</v>
      </c>
      <c r="KT32" s="268"/>
    </row>
    <row r="33" spans="1:16381" ht="15" customHeight="1">
      <c r="A33" s="270">
        <f t="shared" si="200"/>
        <v>45955</v>
      </c>
      <c r="B33" s="271" t="str">
        <f>+Report1!B33</f>
        <v>Towel</v>
      </c>
      <c r="C33" s="271" t="str">
        <f>+Report1!C33</f>
        <v>34</v>
      </c>
      <c r="D33" s="272">
        <f>+Report1!P33</f>
        <v>65.78</v>
      </c>
      <c r="E33" s="273">
        <f>+Report1!R33</f>
        <v>65.763999999999996</v>
      </c>
      <c r="F33" s="538">
        <v>279.06976744186045</v>
      </c>
      <c r="G33" s="539">
        <f t="shared" si="0"/>
        <v>4.2435035496907192</v>
      </c>
      <c r="H33" s="540">
        <f t="shared" si="112"/>
        <v>0</v>
      </c>
      <c r="I33" s="538">
        <v>0</v>
      </c>
      <c r="J33" s="539">
        <f t="shared" si="1"/>
        <v>0</v>
      </c>
      <c r="K33" s="540">
        <f t="shared" si="113"/>
        <v>0</v>
      </c>
      <c r="L33" s="538"/>
      <c r="M33" s="539">
        <f t="shared" si="2"/>
        <v>0</v>
      </c>
      <c r="N33" s="540">
        <f t="shared" si="114"/>
        <v>0</v>
      </c>
      <c r="O33" s="538">
        <v>9</v>
      </c>
      <c r="P33" s="539">
        <f t="shared" si="3"/>
        <v>0.13685298947752569</v>
      </c>
      <c r="Q33" s="540">
        <f t="shared" si="115"/>
        <v>0</v>
      </c>
      <c r="R33" s="538"/>
      <c r="S33" s="539">
        <f t="shared" si="4"/>
        <v>0</v>
      </c>
      <c r="T33" s="540">
        <f t="shared" si="116"/>
        <v>0</v>
      </c>
      <c r="U33" s="538">
        <v>2.5625000000000004</v>
      </c>
      <c r="V33" s="539">
        <f t="shared" si="5"/>
        <v>3.896508728179552E-2</v>
      </c>
      <c r="W33" s="540">
        <f t="shared" si="117"/>
        <v>0</v>
      </c>
      <c r="X33" s="538"/>
      <c r="Y33" s="539">
        <f t="shared" si="6"/>
        <v>0</v>
      </c>
      <c r="Z33" s="540">
        <f t="shared" si="118"/>
        <v>0</v>
      </c>
      <c r="AA33" s="538"/>
      <c r="AB33" s="539">
        <f t="shared" si="7"/>
        <v>0</v>
      </c>
      <c r="AC33" s="540">
        <f t="shared" si="119"/>
        <v>0</v>
      </c>
      <c r="AD33" s="538"/>
      <c r="AE33" s="539">
        <f t="shared" si="8"/>
        <v>0</v>
      </c>
      <c r="AF33" s="540">
        <f t="shared" si="120"/>
        <v>0</v>
      </c>
      <c r="AG33" s="538"/>
      <c r="AH33" s="539">
        <f t="shared" si="9"/>
        <v>0</v>
      </c>
      <c r="AI33" s="540">
        <f t="shared" si="121"/>
        <v>0</v>
      </c>
      <c r="AJ33" s="538"/>
      <c r="AK33" s="539">
        <f t="shared" si="10"/>
        <v>0</v>
      </c>
      <c r="AL33" s="540">
        <f t="shared" si="122"/>
        <v>0</v>
      </c>
      <c r="AM33" s="538">
        <v>23.653846153846132</v>
      </c>
      <c r="AN33" s="539">
        <f t="shared" si="11"/>
        <v>0.35967772875503518</v>
      </c>
      <c r="AO33" s="540">
        <f t="shared" si="123"/>
        <v>0</v>
      </c>
      <c r="AP33" s="538"/>
      <c r="AQ33" s="539">
        <f t="shared" si="12"/>
        <v>0</v>
      </c>
      <c r="AR33" s="540">
        <f t="shared" si="124"/>
        <v>0</v>
      </c>
      <c r="AS33" s="538"/>
      <c r="AT33" s="539">
        <f t="shared" si="13"/>
        <v>0</v>
      </c>
      <c r="AU33" s="540">
        <f t="shared" si="125"/>
        <v>0</v>
      </c>
      <c r="AV33" s="538">
        <v>15.262500000000003</v>
      </c>
      <c r="AW33" s="539">
        <f t="shared" si="14"/>
        <v>0.23207986132230404</v>
      </c>
      <c r="AX33" s="540">
        <f t="shared" si="126"/>
        <v>0</v>
      </c>
      <c r="AY33" s="538">
        <v>30.333333333333343</v>
      </c>
      <c r="AZ33" s="539">
        <f t="shared" si="15"/>
        <v>0.46124526083166084</v>
      </c>
      <c r="BA33" s="540">
        <f t="shared" si="127"/>
        <v>0</v>
      </c>
      <c r="BB33" s="538"/>
      <c r="BC33" s="539">
        <f t="shared" si="16"/>
        <v>0</v>
      </c>
      <c r="BD33" s="540">
        <f t="shared" si="128"/>
        <v>0</v>
      </c>
      <c r="BE33" s="538"/>
      <c r="BF33" s="539">
        <f t="shared" si="17"/>
        <v>0</v>
      </c>
      <c r="BG33" s="540">
        <f t="shared" si="129"/>
        <v>0</v>
      </c>
      <c r="BH33" s="538"/>
      <c r="BI33" s="539">
        <f t="shared" si="18"/>
        <v>0</v>
      </c>
      <c r="BJ33" s="540">
        <f t="shared" si="130"/>
        <v>0</v>
      </c>
      <c r="BK33" s="538"/>
      <c r="BL33" s="539">
        <f t="shared" si="19"/>
        <v>0</v>
      </c>
      <c r="BM33" s="540">
        <f t="shared" si="131"/>
        <v>0</v>
      </c>
      <c r="BN33" s="538"/>
      <c r="BO33" s="539">
        <f t="shared" si="20"/>
        <v>0</v>
      </c>
      <c r="BP33" s="540">
        <f t="shared" si="132"/>
        <v>0</v>
      </c>
      <c r="BQ33" s="538"/>
      <c r="BR33" s="539">
        <f t="shared" si="21"/>
        <v>0</v>
      </c>
      <c r="BS33" s="540">
        <f t="shared" si="133"/>
        <v>0</v>
      </c>
      <c r="BT33" s="538"/>
      <c r="BU33" s="539">
        <f t="shared" si="22"/>
        <v>0</v>
      </c>
      <c r="BV33" s="540">
        <f t="shared" si="134"/>
        <v>0</v>
      </c>
      <c r="BW33" s="538"/>
      <c r="BX33" s="539">
        <f t="shared" si="23"/>
        <v>0</v>
      </c>
      <c r="BY33" s="540">
        <f t="shared" si="135"/>
        <v>0</v>
      </c>
      <c r="BZ33" s="538">
        <v>0</v>
      </c>
      <c r="CA33" s="539">
        <f t="shared" si="24"/>
        <v>0</v>
      </c>
      <c r="CB33" s="540">
        <f t="shared" si="136"/>
        <v>0</v>
      </c>
      <c r="CC33" s="538">
        <v>0</v>
      </c>
      <c r="CD33" s="539">
        <f t="shared" si="25"/>
        <v>0</v>
      </c>
      <c r="CE33" s="540">
        <f t="shared" si="137"/>
        <v>0</v>
      </c>
      <c r="CF33" s="538">
        <v>2.3999999999999995</v>
      </c>
      <c r="CG33" s="539">
        <f t="shared" si="26"/>
        <v>3.6494130527340178E-2</v>
      </c>
      <c r="CH33" s="540">
        <f t="shared" si="138"/>
        <v>0</v>
      </c>
      <c r="CI33" s="538">
        <v>0</v>
      </c>
      <c r="CJ33" s="539">
        <f t="shared" si="27"/>
        <v>0</v>
      </c>
      <c r="CK33" s="540">
        <f t="shared" si="139"/>
        <v>0</v>
      </c>
      <c r="CL33" s="538"/>
      <c r="CM33" s="539">
        <f t="shared" si="28"/>
        <v>0</v>
      </c>
      <c r="CN33" s="540">
        <f t="shared" si="140"/>
        <v>0</v>
      </c>
      <c r="CO33" s="538"/>
      <c r="CP33" s="539">
        <f t="shared" si="29"/>
        <v>0</v>
      </c>
      <c r="CQ33" s="540">
        <f t="shared" si="141"/>
        <v>0</v>
      </c>
      <c r="CR33" s="538"/>
      <c r="CS33" s="539">
        <f t="shared" si="30"/>
        <v>0</v>
      </c>
      <c r="CT33" s="540">
        <f t="shared" si="142"/>
        <v>0</v>
      </c>
      <c r="CU33" s="538"/>
      <c r="CV33" s="539">
        <f t="shared" si="31"/>
        <v>0</v>
      </c>
      <c r="CW33" s="540">
        <f t="shared" si="143"/>
        <v>0</v>
      </c>
      <c r="CX33" s="538"/>
      <c r="CY33" s="539">
        <f t="shared" si="32"/>
        <v>0</v>
      </c>
      <c r="CZ33" s="540">
        <f t="shared" si="144"/>
        <v>0</v>
      </c>
      <c r="DA33" s="538">
        <v>102.94117647058829</v>
      </c>
      <c r="DB33" s="539">
        <f t="shared" si="33"/>
        <v>1.5653119711481707</v>
      </c>
      <c r="DC33" s="540">
        <f t="shared" si="145"/>
        <v>0</v>
      </c>
      <c r="DD33" s="538"/>
      <c r="DE33" s="539">
        <f t="shared" si="34"/>
        <v>0</v>
      </c>
      <c r="DF33" s="540">
        <f t="shared" si="146"/>
        <v>0</v>
      </c>
      <c r="DG33" s="538"/>
      <c r="DH33" s="539">
        <f t="shared" si="35"/>
        <v>0</v>
      </c>
      <c r="DI33" s="540">
        <f t="shared" si="201"/>
        <v>0</v>
      </c>
      <c r="DJ33" s="538"/>
      <c r="DK33" s="539">
        <f t="shared" si="36"/>
        <v>0</v>
      </c>
      <c r="DL33" s="540">
        <f t="shared" si="147"/>
        <v>0</v>
      </c>
      <c r="DM33" s="538"/>
      <c r="DN33" s="539">
        <f t="shared" si="37"/>
        <v>0</v>
      </c>
      <c r="DO33" s="540">
        <f t="shared" si="148"/>
        <v>0</v>
      </c>
      <c r="DP33" s="538"/>
      <c r="DQ33" s="539">
        <f t="shared" si="38"/>
        <v>0</v>
      </c>
      <c r="DR33" s="540">
        <f t="shared" si="149"/>
        <v>0</v>
      </c>
      <c r="DS33" s="538"/>
      <c r="DT33" s="539">
        <f t="shared" si="39"/>
        <v>0</v>
      </c>
      <c r="DU33" s="540">
        <f t="shared" si="150"/>
        <v>0</v>
      </c>
      <c r="DV33" s="538"/>
      <c r="DW33" s="539">
        <f t="shared" si="40"/>
        <v>0</v>
      </c>
      <c r="DX33" s="540">
        <f t="shared" si="151"/>
        <v>0</v>
      </c>
      <c r="DY33" s="538">
        <v>0</v>
      </c>
      <c r="DZ33" s="539">
        <f t="shared" si="41"/>
        <v>0</v>
      </c>
      <c r="EA33" s="540">
        <f t="shared" si="152"/>
        <v>0</v>
      </c>
      <c r="EB33" s="538">
        <v>1005.8823529411764</v>
      </c>
      <c r="EC33" s="539">
        <f t="shared" si="42"/>
        <v>15.295334118076401</v>
      </c>
      <c r="ED33" s="540">
        <f t="shared" si="153"/>
        <v>0</v>
      </c>
      <c r="EE33" s="538">
        <v>14.534883720930225</v>
      </c>
      <c r="EF33" s="539">
        <f t="shared" si="43"/>
        <v>0.22101580987972486</v>
      </c>
      <c r="EG33" s="540">
        <f t="shared" si="154"/>
        <v>0</v>
      </c>
      <c r="EH33" s="538">
        <v>0</v>
      </c>
      <c r="EI33" s="539">
        <f t="shared" si="44"/>
        <v>0</v>
      </c>
      <c r="EJ33" s="540">
        <f t="shared" si="155"/>
        <v>0</v>
      </c>
      <c r="EK33" s="538"/>
      <c r="EL33" s="539">
        <f t="shared" si="45"/>
        <v>0</v>
      </c>
      <c r="EM33" s="540">
        <f t="shared" si="156"/>
        <v>0</v>
      </c>
      <c r="EN33" s="538"/>
      <c r="EO33" s="539">
        <f t="shared" si="46"/>
        <v>0</v>
      </c>
      <c r="EP33" s="540">
        <f t="shared" si="157"/>
        <v>0</v>
      </c>
      <c r="EQ33" s="538"/>
      <c r="ER33" s="539">
        <f t="shared" si="47"/>
        <v>0</v>
      </c>
      <c r="ES33" s="540">
        <f t="shared" si="158"/>
        <v>0</v>
      </c>
      <c r="ET33" s="538"/>
      <c r="EU33" s="539">
        <f t="shared" si="48"/>
        <v>0</v>
      </c>
      <c r="EV33" s="540">
        <f t="shared" si="159"/>
        <v>0</v>
      </c>
      <c r="EW33" s="538"/>
      <c r="EX33" s="539">
        <f t="shared" si="49"/>
        <v>0</v>
      </c>
      <c r="EY33" s="540">
        <f t="shared" si="160"/>
        <v>0</v>
      </c>
      <c r="EZ33" s="538"/>
      <c r="FA33" s="539">
        <f t="shared" si="50"/>
        <v>0</v>
      </c>
      <c r="FB33" s="540">
        <f t="shared" si="161"/>
        <v>0</v>
      </c>
      <c r="FC33" s="538"/>
      <c r="FD33" s="539">
        <f t="shared" si="51"/>
        <v>0</v>
      </c>
      <c r="FE33" s="540">
        <f t="shared" si="162"/>
        <v>0</v>
      </c>
      <c r="FF33" s="538"/>
      <c r="FG33" s="539">
        <f t="shared" si="52"/>
        <v>0</v>
      </c>
      <c r="FH33" s="540">
        <f t="shared" si="163"/>
        <v>0</v>
      </c>
      <c r="FI33" s="538"/>
      <c r="FJ33" s="539">
        <f t="shared" si="53"/>
        <v>0</v>
      </c>
      <c r="FK33" s="540">
        <f t="shared" si="164"/>
        <v>0</v>
      </c>
      <c r="FL33" s="538"/>
      <c r="FM33" s="539">
        <f t="shared" si="54"/>
        <v>0</v>
      </c>
      <c r="FN33" s="540">
        <f t="shared" si="165"/>
        <v>0</v>
      </c>
      <c r="FO33" s="538"/>
      <c r="FP33" s="539">
        <f t="shared" si="55"/>
        <v>0</v>
      </c>
      <c r="FQ33" s="540">
        <f t="shared" si="166"/>
        <v>0</v>
      </c>
      <c r="FR33" s="538"/>
      <c r="FS33" s="539">
        <f t="shared" si="56"/>
        <v>0</v>
      </c>
      <c r="FT33" s="540">
        <f t="shared" si="167"/>
        <v>0</v>
      </c>
      <c r="FU33" s="538"/>
      <c r="FV33" s="539">
        <f t="shared" si="57"/>
        <v>0</v>
      </c>
      <c r="FW33" s="540">
        <f t="shared" si="168"/>
        <v>0</v>
      </c>
      <c r="FX33" s="538"/>
      <c r="FY33" s="539">
        <f t="shared" si="58"/>
        <v>0</v>
      </c>
      <c r="FZ33" s="540">
        <f t="shared" si="169"/>
        <v>0</v>
      </c>
      <c r="GA33" s="538"/>
      <c r="GB33" s="539">
        <f t="shared" si="59"/>
        <v>0</v>
      </c>
      <c r="GC33" s="540">
        <f t="shared" si="170"/>
        <v>0</v>
      </c>
      <c r="GD33" s="538"/>
      <c r="GE33" s="539">
        <f t="shared" si="60"/>
        <v>0</v>
      </c>
      <c r="GF33" s="540">
        <f t="shared" si="171"/>
        <v>0</v>
      </c>
      <c r="GG33" s="538">
        <v>10</v>
      </c>
      <c r="GH33" s="539">
        <f t="shared" si="61"/>
        <v>0.15205887719725078</v>
      </c>
      <c r="GI33" s="540">
        <f t="shared" si="172"/>
        <v>0</v>
      </c>
      <c r="GJ33" s="538">
        <v>10</v>
      </c>
      <c r="GK33" s="539">
        <f t="shared" si="211"/>
        <v>0.15205887719725078</v>
      </c>
      <c r="GL33" s="540">
        <f t="shared" si="212"/>
        <v>0</v>
      </c>
      <c r="GM33" s="538">
        <v>10</v>
      </c>
      <c r="GN33" s="539">
        <f t="shared" si="202"/>
        <v>0.15205887719725078</v>
      </c>
      <c r="GO33" s="540">
        <f t="shared" si="203"/>
        <v>0</v>
      </c>
      <c r="GP33" s="538">
        <v>0</v>
      </c>
      <c r="GQ33" s="539">
        <f t="shared" si="204"/>
        <v>0</v>
      </c>
      <c r="GR33" s="540">
        <f t="shared" si="205"/>
        <v>0</v>
      </c>
      <c r="GS33" s="538">
        <v>0</v>
      </c>
      <c r="GT33" s="539">
        <f t="shared" si="206"/>
        <v>0</v>
      </c>
      <c r="GU33" s="540">
        <f t="shared" si="207"/>
        <v>0</v>
      </c>
      <c r="GV33" s="538">
        <v>0</v>
      </c>
      <c r="GW33" s="539">
        <f t="shared" si="208"/>
        <v>0</v>
      </c>
      <c r="GX33" s="540">
        <f t="shared" si="209"/>
        <v>0</v>
      </c>
      <c r="GY33" s="538"/>
      <c r="GZ33" s="539">
        <f t="shared" si="210"/>
        <v>0</v>
      </c>
      <c r="HA33" s="540">
        <f t="shared" si="178"/>
        <v>0</v>
      </c>
      <c r="HB33" s="538"/>
      <c r="HC33" s="539">
        <f t="shared" si="68"/>
        <v>0</v>
      </c>
      <c r="HD33" s="540">
        <f t="shared" si="179"/>
        <v>0</v>
      </c>
      <c r="HE33" s="538"/>
      <c r="HF33" s="539">
        <f t="shared" si="69"/>
        <v>0</v>
      </c>
      <c r="HG33" s="540">
        <f t="shared" si="180"/>
        <v>0</v>
      </c>
      <c r="HH33" s="538"/>
      <c r="HI33" s="539">
        <f t="shared" si="70"/>
        <v>0</v>
      </c>
      <c r="HJ33" s="540">
        <f t="shared" si="181"/>
        <v>0</v>
      </c>
      <c r="HK33" s="538"/>
      <c r="HL33" s="539">
        <f t="shared" si="71"/>
        <v>0</v>
      </c>
      <c r="HM33" s="540">
        <f t="shared" si="182"/>
        <v>0</v>
      </c>
      <c r="HN33" s="538">
        <v>1816</v>
      </c>
      <c r="HO33" s="539">
        <f t="shared" si="72"/>
        <v>27.613892099020742</v>
      </c>
      <c r="HP33" s="540">
        <f t="shared" si="183"/>
        <v>0</v>
      </c>
      <c r="HQ33" s="538"/>
      <c r="HR33" s="539">
        <f t="shared" si="73"/>
        <v>0</v>
      </c>
      <c r="HS33" s="540">
        <f t="shared" si="184"/>
        <v>0</v>
      </c>
      <c r="HT33" s="538">
        <v>65</v>
      </c>
      <c r="HU33" s="539">
        <f t="shared" si="74"/>
        <v>0.98838270178213006</v>
      </c>
      <c r="HV33" s="540">
        <f t="shared" si="185"/>
        <v>0</v>
      </c>
      <c r="HW33" s="538">
        <v>15</v>
      </c>
      <c r="HX33" s="539">
        <f t="shared" si="75"/>
        <v>0.22808831579587618</v>
      </c>
      <c r="HY33" s="540">
        <f t="shared" si="186"/>
        <v>0</v>
      </c>
      <c r="HZ33" s="538">
        <v>45</v>
      </c>
      <c r="IA33" s="539">
        <f t="shared" si="76"/>
        <v>0.68426494738762855</v>
      </c>
      <c r="IB33" s="540">
        <f t="shared" si="187"/>
        <v>0</v>
      </c>
      <c r="IC33" s="538">
        <v>80</v>
      </c>
      <c r="ID33" s="539">
        <f t="shared" si="77"/>
        <v>1.2164710175780062</v>
      </c>
      <c r="IE33" s="540">
        <f t="shared" si="188"/>
        <v>0</v>
      </c>
      <c r="IF33" s="538">
        <v>0</v>
      </c>
      <c r="IG33" s="539">
        <f t="shared" si="78"/>
        <v>0</v>
      </c>
      <c r="IH33" s="540">
        <f t="shared" si="189"/>
        <v>0</v>
      </c>
      <c r="II33" s="538"/>
      <c r="IJ33" s="539">
        <f t="shared" si="79"/>
        <v>0</v>
      </c>
      <c r="IK33" s="540">
        <f t="shared" si="190"/>
        <v>0</v>
      </c>
      <c r="IL33" s="538">
        <v>0</v>
      </c>
      <c r="IM33" s="539">
        <f t="shared" si="80"/>
        <v>0</v>
      </c>
      <c r="IN33" s="540">
        <f t="shared" si="191"/>
        <v>0</v>
      </c>
      <c r="IO33" s="538">
        <v>130</v>
      </c>
      <c r="IP33" s="539">
        <f t="shared" si="81"/>
        <v>1.9767654035642601</v>
      </c>
      <c r="IQ33" s="540">
        <f t="shared" si="192"/>
        <v>0</v>
      </c>
      <c r="IR33" s="538">
        <v>10</v>
      </c>
      <c r="IS33" s="539">
        <f t="shared" si="82"/>
        <v>0.15205887719725078</v>
      </c>
      <c r="IT33" s="540">
        <f t="shared" si="193"/>
        <v>0</v>
      </c>
      <c r="IU33" s="538"/>
      <c r="IV33" s="539">
        <f t="shared" si="83"/>
        <v>0</v>
      </c>
      <c r="IW33" s="540">
        <f t="shared" si="194"/>
        <v>0</v>
      </c>
      <c r="IX33" s="538">
        <v>10</v>
      </c>
      <c r="IY33" s="539">
        <f t="shared" si="84"/>
        <v>0.15205887719725078</v>
      </c>
      <c r="IZ33" s="540">
        <f t="shared" si="195"/>
        <v>0</v>
      </c>
      <c r="JA33" s="538"/>
      <c r="JB33" s="539">
        <f t="shared" si="85"/>
        <v>0</v>
      </c>
      <c r="JC33" s="540">
        <f t="shared" si="196"/>
        <v>0</v>
      </c>
      <c r="JD33" s="538"/>
      <c r="JE33" s="539">
        <f t="shared" si="86"/>
        <v>0</v>
      </c>
      <c r="JF33" s="540">
        <f t="shared" si="197"/>
        <v>0</v>
      </c>
      <c r="JG33" s="538">
        <v>50</v>
      </c>
      <c r="JH33" s="540" t="str">
        <f t="shared" si="87"/>
        <v>0</v>
      </c>
      <c r="JI33" s="540" t="str">
        <f t="shared" si="88"/>
        <v>0</v>
      </c>
      <c r="JJ33" s="538">
        <v>45</v>
      </c>
      <c r="JK33" s="540" t="str">
        <f t="shared" si="89"/>
        <v>0</v>
      </c>
      <c r="JL33" s="540" t="str">
        <f t="shared" si="90"/>
        <v>0</v>
      </c>
      <c r="JM33" s="538"/>
      <c r="JN33" s="540" t="str">
        <f t="shared" si="91"/>
        <v>0</v>
      </c>
      <c r="JO33" s="540" t="str">
        <f t="shared" si="92"/>
        <v>0</v>
      </c>
      <c r="JP33" s="538"/>
      <c r="JQ33" s="540" t="str">
        <f t="shared" si="93"/>
        <v>0</v>
      </c>
      <c r="JR33" s="540" t="str">
        <f t="shared" si="94"/>
        <v>0</v>
      </c>
      <c r="JS33" s="538"/>
      <c r="JT33" s="540" t="str">
        <f t="shared" si="95"/>
        <v>0</v>
      </c>
      <c r="JU33" s="540" t="str">
        <f t="shared" si="96"/>
        <v>0</v>
      </c>
      <c r="JV33" s="538"/>
      <c r="JW33" s="540" t="str">
        <f t="shared" si="97"/>
        <v>0</v>
      </c>
      <c r="JX33" s="540" t="str">
        <f t="shared" si="98"/>
        <v>0</v>
      </c>
      <c r="JY33" s="538"/>
      <c r="JZ33" s="540" t="str">
        <f t="shared" si="99"/>
        <v>0</v>
      </c>
      <c r="KA33" s="540" t="str">
        <f t="shared" si="100"/>
        <v>0</v>
      </c>
      <c r="KB33" s="538"/>
      <c r="KC33" s="540" t="str">
        <f t="shared" si="101"/>
        <v>0</v>
      </c>
      <c r="KD33" s="540" t="str">
        <f t="shared" si="102"/>
        <v>0</v>
      </c>
      <c r="KE33" s="538"/>
      <c r="KF33" s="540" t="str">
        <f t="shared" si="103"/>
        <v>0</v>
      </c>
      <c r="KG33" s="540" t="str">
        <f t="shared" si="104"/>
        <v>0</v>
      </c>
      <c r="KH33" s="538"/>
      <c r="KI33" s="540" t="str">
        <f t="shared" si="105"/>
        <v>0</v>
      </c>
      <c r="KJ33" s="540" t="str">
        <f t="shared" si="106"/>
        <v>0</v>
      </c>
      <c r="KK33" s="538"/>
      <c r="KL33" s="540" t="str">
        <f t="shared" si="107"/>
        <v>0</v>
      </c>
      <c r="KM33" s="540" t="str">
        <f t="shared" si="108"/>
        <v>0</v>
      </c>
      <c r="KN33" s="538"/>
      <c r="KO33" s="540" t="str">
        <f t="shared" si="109"/>
        <v>0</v>
      </c>
      <c r="KP33" s="540" t="str">
        <f t="shared" si="110"/>
        <v>0</v>
      </c>
      <c r="KQ33" s="540">
        <f t="shared" si="111"/>
        <v>0</v>
      </c>
      <c r="KR33" s="540">
        <f t="shared" si="198"/>
        <v>0</v>
      </c>
      <c r="KS33" s="268">
        <f t="shared" si="199"/>
        <v>3781.640360061735</v>
      </c>
    </row>
    <row r="34" spans="1:16381" ht="15" customHeight="1">
      <c r="A34" s="270">
        <f t="shared" si="200"/>
        <v>45956</v>
      </c>
      <c r="B34" s="271" t="str">
        <f>+Report1!B34</f>
        <v>Towel</v>
      </c>
      <c r="C34" s="271" t="str">
        <f>+Report1!C34</f>
        <v>34/36</v>
      </c>
      <c r="D34" s="272">
        <f>+Report1!P34</f>
        <v>65.405000000000001</v>
      </c>
      <c r="E34" s="273">
        <f>+Report1!R34</f>
        <v>65.506</v>
      </c>
      <c r="F34" s="538">
        <v>279.06976744186045</v>
      </c>
      <c r="G34" s="539">
        <f t="shared" si="0"/>
        <v>4.2602168876417492</v>
      </c>
      <c r="H34" s="540">
        <f t="shared" si="112"/>
        <v>0</v>
      </c>
      <c r="I34" s="538">
        <v>0</v>
      </c>
      <c r="J34" s="539">
        <f t="shared" si="1"/>
        <v>0</v>
      </c>
      <c r="K34" s="540">
        <f t="shared" si="113"/>
        <v>0</v>
      </c>
      <c r="L34" s="538"/>
      <c r="M34" s="539">
        <f t="shared" si="2"/>
        <v>0</v>
      </c>
      <c r="N34" s="540">
        <f t="shared" si="114"/>
        <v>0</v>
      </c>
      <c r="O34" s="538">
        <v>9</v>
      </c>
      <c r="P34" s="539">
        <f t="shared" si="3"/>
        <v>0.13739199462644644</v>
      </c>
      <c r="Q34" s="540">
        <f t="shared" si="115"/>
        <v>0</v>
      </c>
      <c r="R34" s="538"/>
      <c r="S34" s="539">
        <f t="shared" si="4"/>
        <v>0</v>
      </c>
      <c r="T34" s="540">
        <f t="shared" si="116"/>
        <v>0</v>
      </c>
      <c r="U34" s="538">
        <v>2.5625000000000004</v>
      </c>
      <c r="V34" s="539">
        <f t="shared" si="5"/>
        <v>3.911855402558545E-2</v>
      </c>
      <c r="W34" s="540">
        <f t="shared" si="117"/>
        <v>0</v>
      </c>
      <c r="X34" s="538"/>
      <c r="Y34" s="539">
        <f t="shared" si="6"/>
        <v>0</v>
      </c>
      <c r="Z34" s="540">
        <f t="shared" si="118"/>
        <v>0</v>
      </c>
      <c r="AA34" s="538"/>
      <c r="AB34" s="539">
        <f t="shared" si="7"/>
        <v>0</v>
      </c>
      <c r="AC34" s="540">
        <f t="shared" si="119"/>
        <v>0</v>
      </c>
      <c r="AD34" s="538"/>
      <c r="AE34" s="539">
        <f t="shared" si="8"/>
        <v>0</v>
      </c>
      <c r="AF34" s="540">
        <f t="shared" si="120"/>
        <v>0</v>
      </c>
      <c r="AG34" s="538"/>
      <c r="AH34" s="539">
        <f t="shared" si="9"/>
        <v>0</v>
      </c>
      <c r="AI34" s="540">
        <f t="shared" si="121"/>
        <v>0</v>
      </c>
      <c r="AJ34" s="538"/>
      <c r="AK34" s="539">
        <f t="shared" si="10"/>
        <v>0</v>
      </c>
      <c r="AL34" s="540">
        <f t="shared" si="122"/>
        <v>0</v>
      </c>
      <c r="AM34" s="538">
        <v>23.653846153846132</v>
      </c>
      <c r="AN34" s="539">
        <f t="shared" si="11"/>
        <v>0.36109434485155761</v>
      </c>
      <c r="AO34" s="540">
        <f t="shared" si="123"/>
        <v>0</v>
      </c>
      <c r="AP34" s="538"/>
      <c r="AQ34" s="539">
        <f t="shared" si="12"/>
        <v>0</v>
      </c>
      <c r="AR34" s="540">
        <f t="shared" si="124"/>
        <v>0</v>
      </c>
      <c r="AS34" s="538"/>
      <c r="AT34" s="539">
        <f t="shared" si="13"/>
        <v>0</v>
      </c>
      <c r="AU34" s="540">
        <f t="shared" si="125"/>
        <v>0</v>
      </c>
      <c r="AV34" s="538">
        <v>15.262500000000003</v>
      </c>
      <c r="AW34" s="539">
        <f t="shared" si="14"/>
        <v>0.23299392422068213</v>
      </c>
      <c r="AX34" s="540">
        <f t="shared" si="126"/>
        <v>0</v>
      </c>
      <c r="AY34" s="538">
        <v>30.333333333333343</v>
      </c>
      <c r="AZ34" s="539">
        <f t="shared" si="15"/>
        <v>0.46306190781506035</v>
      </c>
      <c r="BA34" s="540">
        <f t="shared" si="127"/>
        <v>0</v>
      </c>
      <c r="BB34" s="538"/>
      <c r="BC34" s="539">
        <f t="shared" si="16"/>
        <v>0</v>
      </c>
      <c r="BD34" s="540">
        <f t="shared" si="128"/>
        <v>0</v>
      </c>
      <c r="BE34" s="538"/>
      <c r="BF34" s="539">
        <f t="shared" si="17"/>
        <v>0</v>
      </c>
      <c r="BG34" s="540">
        <f t="shared" si="129"/>
        <v>0</v>
      </c>
      <c r="BH34" s="538"/>
      <c r="BI34" s="539">
        <f t="shared" si="18"/>
        <v>0</v>
      </c>
      <c r="BJ34" s="540">
        <f t="shared" si="130"/>
        <v>0</v>
      </c>
      <c r="BK34" s="538"/>
      <c r="BL34" s="539">
        <f t="shared" si="19"/>
        <v>0</v>
      </c>
      <c r="BM34" s="540">
        <f t="shared" si="131"/>
        <v>0</v>
      </c>
      <c r="BN34" s="538"/>
      <c r="BO34" s="539">
        <f t="shared" si="20"/>
        <v>0</v>
      </c>
      <c r="BP34" s="540">
        <f t="shared" si="132"/>
        <v>0</v>
      </c>
      <c r="BQ34" s="538"/>
      <c r="BR34" s="539">
        <f t="shared" si="21"/>
        <v>0</v>
      </c>
      <c r="BS34" s="540">
        <f t="shared" si="133"/>
        <v>0</v>
      </c>
      <c r="BT34" s="538"/>
      <c r="BU34" s="539">
        <f t="shared" si="22"/>
        <v>0</v>
      </c>
      <c r="BV34" s="540">
        <f t="shared" si="134"/>
        <v>0</v>
      </c>
      <c r="BW34" s="538"/>
      <c r="BX34" s="539">
        <f t="shared" si="23"/>
        <v>0</v>
      </c>
      <c r="BY34" s="540">
        <f t="shared" si="135"/>
        <v>0</v>
      </c>
      <c r="BZ34" s="538">
        <v>0</v>
      </c>
      <c r="CA34" s="539">
        <f t="shared" si="24"/>
        <v>0</v>
      </c>
      <c r="CB34" s="540">
        <f t="shared" si="136"/>
        <v>0</v>
      </c>
      <c r="CC34" s="538">
        <v>0</v>
      </c>
      <c r="CD34" s="539">
        <f t="shared" si="25"/>
        <v>0</v>
      </c>
      <c r="CE34" s="540">
        <f t="shared" si="137"/>
        <v>0</v>
      </c>
      <c r="CF34" s="538">
        <v>2.3999999999999995</v>
      </c>
      <c r="CG34" s="539">
        <f t="shared" si="26"/>
        <v>3.6637865233719043E-2</v>
      </c>
      <c r="CH34" s="540">
        <f t="shared" si="138"/>
        <v>0</v>
      </c>
      <c r="CI34" s="538">
        <v>0</v>
      </c>
      <c r="CJ34" s="539">
        <f t="shared" si="27"/>
        <v>0</v>
      </c>
      <c r="CK34" s="540">
        <f t="shared" si="139"/>
        <v>0</v>
      </c>
      <c r="CL34" s="538"/>
      <c r="CM34" s="539">
        <f t="shared" si="28"/>
        <v>0</v>
      </c>
      <c r="CN34" s="540">
        <f t="shared" si="140"/>
        <v>0</v>
      </c>
      <c r="CO34" s="538"/>
      <c r="CP34" s="539">
        <f t="shared" si="29"/>
        <v>0</v>
      </c>
      <c r="CQ34" s="540">
        <f t="shared" si="141"/>
        <v>0</v>
      </c>
      <c r="CR34" s="538"/>
      <c r="CS34" s="539">
        <f t="shared" si="30"/>
        <v>0</v>
      </c>
      <c r="CT34" s="540">
        <f t="shared" si="142"/>
        <v>0</v>
      </c>
      <c r="CU34" s="538"/>
      <c r="CV34" s="539">
        <f t="shared" si="31"/>
        <v>0</v>
      </c>
      <c r="CW34" s="540">
        <f t="shared" si="143"/>
        <v>0</v>
      </c>
      <c r="CX34" s="538"/>
      <c r="CY34" s="539">
        <f t="shared" si="32"/>
        <v>0</v>
      </c>
      <c r="CZ34" s="540">
        <f t="shared" si="144"/>
        <v>0</v>
      </c>
      <c r="DA34" s="538">
        <v>102.94117647058829</v>
      </c>
      <c r="DB34" s="539">
        <f t="shared" si="33"/>
        <v>1.5714770627207932</v>
      </c>
      <c r="DC34" s="540">
        <f t="shared" si="145"/>
        <v>0</v>
      </c>
      <c r="DD34" s="538"/>
      <c r="DE34" s="539">
        <f t="shared" si="34"/>
        <v>0</v>
      </c>
      <c r="DF34" s="540">
        <f t="shared" si="146"/>
        <v>0</v>
      </c>
      <c r="DG34" s="538"/>
      <c r="DH34" s="539">
        <f t="shared" si="35"/>
        <v>0</v>
      </c>
      <c r="DI34" s="540">
        <f t="shared" si="201"/>
        <v>0</v>
      </c>
      <c r="DJ34" s="538"/>
      <c r="DK34" s="539">
        <f t="shared" si="36"/>
        <v>0</v>
      </c>
      <c r="DL34" s="540">
        <f t="shared" si="147"/>
        <v>0</v>
      </c>
      <c r="DM34" s="538"/>
      <c r="DN34" s="539">
        <f t="shared" si="37"/>
        <v>0</v>
      </c>
      <c r="DO34" s="540">
        <f t="shared" si="148"/>
        <v>0</v>
      </c>
      <c r="DP34" s="538"/>
      <c r="DQ34" s="539">
        <f t="shared" si="38"/>
        <v>0</v>
      </c>
      <c r="DR34" s="540">
        <f t="shared" si="149"/>
        <v>0</v>
      </c>
      <c r="DS34" s="538"/>
      <c r="DT34" s="539">
        <f t="shared" si="39"/>
        <v>0</v>
      </c>
      <c r="DU34" s="540">
        <f t="shared" si="150"/>
        <v>0</v>
      </c>
      <c r="DV34" s="538"/>
      <c r="DW34" s="539">
        <f t="shared" si="40"/>
        <v>0</v>
      </c>
      <c r="DX34" s="540">
        <f t="shared" si="151"/>
        <v>0</v>
      </c>
      <c r="DY34" s="538">
        <v>0</v>
      </c>
      <c r="DZ34" s="539">
        <f t="shared" si="41"/>
        <v>0</v>
      </c>
      <c r="EA34" s="540">
        <f t="shared" si="152"/>
        <v>0</v>
      </c>
      <c r="EB34" s="538">
        <v>1005.8823529411764</v>
      </c>
      <c r="EC34" s="539">
        <f t="shared" si="42"/>
        <v>15.355575870014599</v>
      </c>
      <c r="ED34" s="540">
        <f t="shared" si="153"/>
        <v>0</v>
      </c>
      <c r="EE34" s="538">
        <v>14.534883720930225</v>
      </c>
      <c r="EF34" s="539">
        <f t="shared" si="43"/>
        <v>0.22188629623134101</v>
      </c>
      <c r="EG34" s="540">
        <f t="shared" si="154"/>
        <v>0</v>
      </c>
      <c r="EH34" s="538">
        <v>0</v>
      </c>
      <c r="EI34" s="539">
        <f t="shared" si="44"/>
        <v>0</v>
      </c>
      <c r="EJ34" s="540">
        <f t="shared" si="155"/>
        <v>0</v>
      </c>
      <c r="EK34" s="538"/>
      <c r="EL34" s="539">
        <f t="shared" si="45"/>
        <v>0</v>
      </c>
      <c r="EM34" s="540">
        <f t="shared" si="156"/>
        <v>0</v>
      </c>
      <c r="EN34" s="538"/>
      <c r="EO34" s="539">
        <f t="shared" si="46"/>
        <v>0</v>
      </c>
      <c r="EP34" s="540">
        <f t="shared" si="157"/>
        <v>0</v>
      </c>
      <c r="EQ34" s="538"/>
      <c r="ER34" s="539">
        <f t="shared" si="47"/>
        <v>0</v>
      </c>
      <c r="ES34" s="540">
        <f t="shared" si="158"/>
        <v>0</v>
      </c>
      <c r="ET34" s="538"/>
      <c r="EU34" s="539">
        <f t="shared" si="48"/>
        <v>0</v>
      </c>
      <c r="EV34" s="540">
        <f t="shared" si="159"/>
        <v>0</v>
      </c>
      <c r="EW34" s="538"/>
      <c r="EX34" s="539">
        <f t="shared" si="49"/>
        <v>0</v>
      </c>
      <c r="EY34" s="540">
        <f t="shared" si="160"/>
        <v>0</v>
      </c>
      <c r="EZ34" s="538"/>
      <c r="FA34" s="539">
        <f t="shared" si="50"/>
        <v>0</v>
      </c>
      <c r="FB34" s="540">
        <f t="shared" si="161"/>
        <v>0</v>
      </c>
      <c r="FC34" s="538"/>
      <c r="FD34" s="539">
        <f t="shared" si="51"/>
        <v>0</v>
      </c>
      <c r="FE34" s="540">
        <f t="shared" si="162"/>
        <v>0</v>
      </c>
      <c r="FF34" s="538"/>
      <c r="FG34" s="539">
        <f t="shared" si="52"/>
        <v>0</v>
      </c>
      <c r="FH34" s="540">
        <f t="shared" si="163"/>
        <v>0</v>
      </c>
      <c r="FI34" s="538"/>
      <c r="FJ34" s="539">
        <f t="shared" si="53"/>
        <v>0</v>
      </c>
      <c r="FK34" s="540">
        <f t="shared" si="164"/>
        <v>0</v>
      </c>
      <c r="FL34" s="538"/>
      <c r="FM34" s="539">
        <f t="shared" si="54"/>
        <v>0</v>
      </c>
      <c r="FN34" s="540">
        <f t="shared" si="165"/>
        <v>0</v>
      </c>
      <c r="FO34" s="538"/>
      <c r="FP34" s="539">
        <f t="shared" si="55"/>
        <v>0</v>
      </c>
      <c r="FQ34" s="540">
        <f t="shared" si="166"/>
        <v>0</v>
      </c>
      <c r="FR34" s="538"/>
      <c r="FS34" s="539">
        <f t="shared" si="56"/>
        <v>0</v>
      </c>
      <c r="FT34" s="540">
        <f t="shared" si="167"/>
        <v>0</v>
      </c>
      <c r="FU34" s="538"/>
      <c r="FV34" s="539">
        <f t="shared" si="57"/>
        <v>0</v>
      </c>
      <c r="FW34" s="540">
        <f t="shared" si="168"/>
        <v>0</v>
      </c>
      <c r="FX34" s="538"/>
      <c r="FY34" s="539">
        <f t="shared" si="58"/>
        <v>0</v>
      </c>
      <c r="FZ34" s="540">
        <f t="shared" si="169"/>
        <v>0</v>
      </c>
      <c r="GA34" s="538"/>
      <c r="GB34" s="539">
        <f t="shared" si="59"/>
        <v>0</v>
      </c>
      <c r="GC34" s="540">
        <f t="shared" si="170"/>
        <v>0</v>
      </c>
      <c r="GD34" s="538"/>
      <c r="GE34" s="539">
        <f t="shared" si="60"/>
        <v>0</v>
      </c>
      <c r="GF34" s="540">
        <f t="shared" si="171"/>
        <v>0</v>
      </c>
      <c r="GG34" s="538">
        <v>5</v>
      </c>
      <c r="GH34" s="539">
        <f t="shared" si="61"/>
        <v>7.6328885903581348E-2</v>
      </c>
      <c r="GI34" s="540">
        <f t="shared" si="172"/>
        <v>0</v>
      </c>
      <c r="GJ34" s="538">
        <v>5</v>
      </c>
      <c r="GK34" s="539">
        <f t="shared" si="211"/>
        <v>7.6328885903581348E-2</v>
      </c>
      <c r="GL34" s="540">
        <f t="shared" si="212"/>
        <v>0</v>
      </c>
      <c r="GM34" s="538">
        <v>10</v>
      </c>
      <c r="GN34" s="539">
        <f t="shared" si="202"/>
        <v>0.1526577718071627</v>
      </c>
      <c r="GO34" s="540">
        <f t="shared" si="203"/>
        <v>0</v>
      </c>
      <c r="GP34" s="538">
        <v>0</v>
      </c>
      <c r="GQ34" s="539">
        <f t="shared" si="204"/>
        <v>0</v>
      </c>
      <c r="GR34" s="540">
        <f t="shared" si="205"/>
        <v>0</v>
      </c>
      <c r="GS34" s="538">
        <v>0</v>
      </c>
      <c r="GT34" s="539">
        <f t="shared" si="206"/>
        <v>0</v>
      </c>
      <c r="GU34" s="540">
        <f t="shared" si="207"/>
        <v>0</v>
      </c>
      <c r="GV34" s="538">
        <v>100</v>
      </c>
      <c r="GW34" s="539">
        <f t="shared" si="208"/>
        <v>1.5265777180716271</v>
      </c>
      <c r="GX34" s="540">
        <f t="shared" si="209"/>
        <v>0</v>
      </c>
      <c r="GY34" s="538"/>
      <c r="GZ34" s="539">
        <f t="shared" si="210"/>
        <v>0</v>
      </c>
      <c r="HA34" s="540">
        <f t="shared" si="178"/>
        <v>0</v>
      </c>
      <c r="HB34" s="538"/>
      <c r="HC34" s="539">
        <f t="shared" si="68"/>
        <v>0</v>
      </c>
      <c r="HD34" s="540">
        <f t="shared" si="179"/>
        <v>0</v>
      </c>
      <c r="HE34" s="538"/>
      <c r="HF34" s="539">
        <f t="shared" si="69"/>
        <v>0</v>
      </c>
      <c r="HG34" s="540">
        <f t="shared" si="180"/>
        <v>0</v>
      </c>
      <c r="HH34" s="538"/>
      <c r="HI34" s="539">
        <f t="shared" si="70"/>
        <v>0</v>
      </c>
      <c r="HJ34" s="540">
        <f t="shared" si="181"/>
        <v>0</v>
      </c>
      <c r="HK34" s="538"/>
      <c r="HL34" s="539">
        <f t="shared" si="71"/>
        <v>0</v>
      </c>
      <c r="HM34" s="540">
        <f t="shared" si="182"/>
        <v>0</v>
      </c>
      <c r="HN34" s="538">
        <v>1216</v>
      </c>
      <c r="HO34" s="539">
        <f t="shared" si="72"/>
        <v>18.563185051750985</v>
      </c>
      <c r="HP34" s="540">
        <f t="shared" si="183"/>
        <v>0</v>
      </c>
      <c r="HQ34" s="538"/>
      <c r="HR34" s="539">
        <f t="shared" si="73"/>
        <v>0</v>
      </c>
      <c r="HS34" s="540">
        <f t="shared" si="184"/>
        <v>0</v>
      </c>
      <c r="HT34" s="538">
        <v>60</v>
      </c>
      <c r="HU34" s="539">
        <f t="shared" si="74"/>
        <v>0.91594663084297623</v>
      </c>
      <c r="HV34" s="540">
        <f t="shared" si="185"/>
        <v>0</v>
      </c>
      <c r="HW34" s="538">
        <v>15</v>
      </c>
      <c r="HX34" s="539">
        <f t="shared" si="75"/>
        <v>0.22898665771074406</v>
      </c>
      <c r="HY34" s="540">
        <f t="shared" si="186"/>
        <v>0</v>
      </c>
      <c r="HZ34" s="538">
        <v>40</v>
      </c>
      <c r="IA34" s="539">
        <f t="shared" si="76"/>
        <v>0.61063108722865078</v>
      </c>
      <c r="IB34" s="540">
        <f t="shared" si="187"/>
        <v>0</v>
      </c>
      <c r="IC34" s="538">
        <v>80</v>
      </c>
      <c r="ID34" s="539">
        <f t="shared" si="77"/>
        <v>1.2212621744573016</v>
      </c>
      <c r="IE34" s="540">
        <f t="shared" si="188"/>
        <v>0</v>
      </c>
      <c r="IF34" s="538">
        <v>0</v>
      </c>
      <c r="IG34" s="539">
        <f t="shared" si="78"/>
        <v>0</v>
      </c>
      <c r="IH34" s="540">
        <f t="shared" si="189"/>
        <v>0</v>
      </c>
      <c r="II34" s="538"/>
      <c r="IJ34" s="539">
        <f t="shared" si="79"/>
        <v>0</v>
      </c>
      <c r="IK34" s="540">
        <f t="shared" si="190"/>
        <v>0</v>
      </c>
      <c r="IL34" s="538">
        <v>0</v>
      </c>
      <c r="IM34" s="539">
        <f t="shared" si="80"/>
        <v>0</v>
      </c>
      <c r="IN34" s="540">
        <f t="shared" si="191"/>
        <v>0</v>
      </c>
      <c r="IO34" s="538">
        <v>80</v>
      </c>
      <c r="IP34" s="539">
        <f t="shared" si="81"/>
        <v>1.2212621744573016</v>
      </c>
      <c r="IQ34" s="540">
        <f t="shared" si="192"/>
        <v>0</v>
      </c>
      <c r="IR34" s="538">
        <v>5</v>
      </c>
      <c r="IS34" s="539">
        <f t="shared" si="82"/>
        <v>7.6328885903581348E-2</v>
      </c>
      <c r="IT34" s="540">
        <f t="shared" si="193"/>
        <v>0</v>
      </c>
      <c r="IU34" s="538"/>
      <c r="IV34" s="539">
        <f t="shared" si="83"/>
        <v>0</v>
      </c>
      <c r="IW34" s="540">
        <f t="shared" si="194"/>
        <v>0</v>
      </c>
      <c r="IX34" s="538">
        <v>10</v>
      </c>
      <c r="IY34" s="539">
        <f t="shared" si="84"/>
        <v>0.1526577718071627</v>
      </c>
      <c r="IZ34" s="540">
        <f t="shared" si="195"/>
        <v>0</v>
      </c>
      <c r="JA34" s="538"/>
      <c r="JB34" s="539">
        <f t="shared" si="85"/>
        <v>0</v>
      </c>
      <c r="JC34" s="540">
        <f t="shared" si="196"/>
        <v>0</v>
      </c>
      <c r="JD34" s="538"/>
      <c r="JE34" s="539">
        <f t="shared" si="86"/>
        <v>0</v>
      </c>
      <c r="JF34" s="540">
        <f t="shared" si="197"/>
        <v>0</v>
      </c>
      <c r="JG34" s="538">
        <v>35</v>
      </c>
      <c r="JH34" s="540" t="str">
        <f t="shared" si="87"/>
        <v>0</v>
      </c>
      <c r="JI34" s="540" t="str">
        <f t="shared" si="88"/>
        <v>0</v>
      </c>
      <c r="JJ34" s="538">
        <v>30</v>
      </c>
      <c r="JK34" s="540" t="str">
        <f t="shared" si="89"/>
        <v>0</v>
      </c>
      <c r="JL34" s="540" t="str">
        <f t="shared" si="90"/>
        <v>0</v>
      </c>
      <c r="JM34" s="538"/>
      <c r="JN34" s="540" t="str">
        <f t="shared" si="91"/>
        <v>0</v>
      </c>
      <c r="JO34" s="540" t="str">
        <f t="shared" si="92"/>
        <v>0</v>
      </c>
      <c r="JP34" s="538"/>
      <c r="JQ34" s="540" t="str">
        <f t="shared" si="93"/>
        <v>0</v>
      </c>
      <c r="JR34" s="540" t="str">
        <f t="shared" si="94"/>
        <v>0</v>
      </c>
      <c r="JS34" s="538"/>
      <c r="JT34" s="540" t="str">
        <f t="shared" si="95"/>
        <v>0</v>
      </c>
      <c r="JU34" s="540" t="str">
        <f t="shared" si="96"/>
        <v>0</v>
      </c>
      <c r="JV34" s="538"/>
      <c r="JW34" s="540" t="str">
        <f t="shared" si="97"/>
        <v>0</v>
      </c>
      <c r="JX34" s="540" t="str">
        <f t="shared" si="98"/>
        <v>0</v>
      </c>
      <c r="JY34" s="538"/>
      <c r="JZ34" s="540" t="str">
        <f t="shared" si="99"/>
        <v>0</v>
      </c>
      <c r="KA34" s="540" t="str">
        <f t="shared" si="100"/>
        <v>0</v>
      </c>
      <c r="KB34" s="538"/>
      <c r="KC34" s="540" t="str">
        <f t="shared" si="101"/>
        <v>0</v>
      </c>
      <c r="KD34" s="540" t="str">
        <f t="shared" si="102"/>
        <v>0</v>
      </c>
      <c r="KE34" s="538"/>
      <c r="KF34" s="540" t="str">
        <f t="shared" si="103"/>
        <v>0</v>
      </c>
      <c r="KG34" s="540" t="str">
        <f t="shared" si="104"/>
        <v>0</v>
      </c>
      <c r="KH34" s="538"/>
      <c r="KI34" s="540" t="str">
        <f t="shared" si="105"/>
        <v>0</v>
      </c>
      <c r="KJ34" s="540" t="str">
        <f t="shared" si="106"/>
        <v>0</v>
      </c>
      <c r="KK34" s="538"/>
      <c r="KL34" s="540" t="str">
        <f t="shared" si="107"/>
        <v>0</v>
      </c>
      <c r="KM34" s="540" t="str">
        <f t="shared" si="108"/>
        <v>0</v>
      </c>
      <c r="KN34" s="538"/>
      <c r="KO34" s="540" t="str">
        <f t="shared" si="109"/>
        <v>0</v>
      </c>
      <c r="KP34" s="540" t="str">
        <f t="shared" si="110"/>
        <v>0</v>
      </c>
      <c r="KQ34" s="540">
        <f t="shared" si="111"/>
        <v>0</v>
      </c>
      <c r="KR34" s="540">
        <f t="shared" si="198"/>
        <v>0</v>
      </c>
      <c r="KS34" s="268">
        <f t="shared" si="199"/>
        <v>3176.640360061735</v>
      </c>
    </row>
    <row r="35" spans="1:16381" ht="15" customHeight="1">
      <c r="A35" s="270">
        <f t="shared" si="200"/>
        <v>45957</v>
      </c>
      <c r="B35" s="271" t="str">
        <f>+Report1!B35</f>
        <v>Towel</v>
      </c>
      <c r="C35" s="271" t="str">
        <f>+Report1!C35</f>
        <v>36</v>
      </c>
      <c r="D35" s="272">
        <f>+Report1!P35</f>
        <v>59.100999999999999</v>
      </c>
      <c r="E35" s="273">
        <f>+Report1!R35</f>
        <v>59.281999999999996</v>
      </c>
      <c r="F35" s="538">
        <v>0</v>
      </c>
      <c r="G35" s="539">
        <f t="shared" si="0"/>
        <v>0</v>
      </c>
      <c r="H35" s="540">
        <f t="shared" si="112"/>
        <v>0</v>
      </c>
      <c r="I35" s="538">
        <v>0</v>
      </c>
      <c r="J35" s="539">
        <f t="shared" si="1"/>
        <v>0</v>
      </c>
      <c r="K35" s="540">
        <f t="shared" si="113"/>
        <v>0</v>
      </c>
      <c r="L35" s="538"/>
      <c r="M35" s="539">
        <f t="shared" si="2"/>
        <v>0</v>
      </c>
      <c r="N35" s="540">
        <f t="shared" si="114"/>
        <v>0</v>
      </c>
      <c r="O35" s="538">
        <v>9</v>
      </c>
      <c r="P35" s="539">
        <f t="shared" si="3"/>
        <v>0.15181674032589995</v>
      </c>
      <c r="Q35" s="540">
        <f t="shared" si="115"/>
        <v>0</v>
      </c>
      <c r="R35" s="538"/>
      <c r="S35" s="539">
        <f t="shared" si="4"/>
        <v>0</v>
      </c>
      <c r="T35" s="540">
        <f t="shared" si="116"/>
        <v>0</v>
      </c>
      <c r="U35" s="538">
        <v>5.1249999999999716</v>
      </c>
      <c r="V35" s="539">
        <f t="shared" si="5"/>
        <v>8.6451199352248098E-2</v>
      </c>
      <c r="W35" s="540">
        <f t="shared" si="117"/>
        <v>0</v>
      </c>
      <c r="X35" s="538"/>
      <c r="Y35" s="539">
        <f t="shared" si="6"/>
        <v>0</v>
      </c>
      <c r="Z35" s="540">
        <f t="shared" si="118"/>
        <v>0</v>
      </c>
      <c r="AA35" s="538"/>
      <c r="AB35" s="539">
        <f t="shared" si="7"/>
        <v>0</v>
      </c>
      <c r="AC35" s="540">
        <f t="shared" si="119"/>
        <v>0</v>
      </c>
      <c r="AD35" s="538"/>
      <c r="AE35" s="539">
        <f t="shared" si="8"/>
        <v>0</v>
      </c>
      <c r="AF35" s="540">
        <f t="shared" si="120"/>
        <v>0</v>
      </c>
      <c r="AG35" s="538"/>
      <c r="AH35" s="539">
        <f t="shared" si="9"/>
        <v>0</v>
      </c>
      <c r="AI35" s="540">
        <f t="shared" si="121"/>
        <v>0</v>
      </c>
      <c r="AJ35" s="538"/>
      <c r="AK35" s="539">
        <f t="shared" si="10"/>
        <v>0</v>
      </c>
      <c r="AL35" s="540">
        <f t="shared" si="122"/>
        <v>0</v>
      </c>
      <c r="AM35" s="538">
        <v>15.76923076923083</v>
      </c>
      <c r="AN35" s="539">
        <f t="shared" si="11"/>
        <v>0.26600369031461207</v>
      </c>
      <c r="AO35" s="540">
        <f t="shared" si="123"/>
        <v>0</v>
      </c>
      <c r="AP35" s="538"/>
      <c r="AQ35" s="539">
        <f t="shared" si="12"/>
        <v>0</v>
      </c>
      <c r="AR35" s="540">
        <f t="shared" si="124"/>
        <v>0</v>
      </c>
      <c r="AS35" s="538"/>
      <c r="AT35" s="539">
        <f t="shared" si="13"/>
        <v>0</v>
      </c>
      <c r="AU35" s="540">
        <f t="shared" si="125"/>
        <v>0</v>
      </c>
      <c r="AV35" s="538">
        <v>8.3249999999999886</v>
      </c>
      <c r="AW35" s="539">
        <f t="shared" si="14"/>
        <v>0.14043048480145726</v>
      </c>
      <c r="AX35" s="540">
        <f t="shared" si="126"/>
        <v>0</v>
      </c>
      <c r="AY35" s="538">
        <v>28</v>
      </c>
      <c r="AZ35" s="539">
        <f t="shared" si="15"/>
        <v>0.47231874768057763</v>
      </c>
      <c r="BA35" s="540">
        <f t="shared" si="127"/>
        <v>0</v>
      </c>
      <c r="BB35" s="538"/>
      <c r="BC35" s="539">
        <f t="shared" si="16"/>
        <v>0</v>
      </c>
      <c r="BD35" s="540">
        <f t="shared" si="128"/>
        <v>0</v>
      </c>
      <c r="BE35" s="538"/>
      <c r="BF35" s="539">
        <f t="shared" si="17"/>
        <v>0</v>
      </c>
      <c r="BG35" s="540">
        <f t="shared" si="129"/>
        <v>0</v>
      </c>
      <c r="BH35" s="538"/>
      <c r="BI35" s="539">
        <f t="shared" si="18"/>
        <v>0</v>
      </c>
      <c r="BJ35" s="540">
        <f t="shared" si="130"/>
        <v>0</v>
      </c>
      <c r="BK35" s="538"/>
      <c r="BL35" s="539">
        <f t="shared" si="19"/>
        <v>0</v>
      </c>
      <c r="BM35" s="540">
        <f t="shared" si="131"/>
        <v>0</v>
      </c>
      <c r="BN35" s="538"/>
      <c r="BO35" s="539">
        <f t="shared" si="20"/>
        <v>0</v>
      </c>
      <c r="BP35" s="540">
        <f t="shared" si="132"/>
        <v>0</v>
      </c>
      <c r="BQ35" s="538"/>
      <c r="BR35" s="539">
        <f t="shared" si="21"/>
        <v>0</v>
      </c>
      <c r="BS35" s="540">
        <f t="shared" si="133"/>
        <v>0</v>
      </c>
      <c r="BT35" s="538"/>
      <c r="BU35" s="539">
        <f t="shared" si="22"/>
        <v>0</v>
      </c>
      <c r="BV35" s="540">
        <f t="shared" si="134"/>
        <v>0</v>
      </c>
      <c r="BW35" s="538"/>
      <c r="BX35" s="539">
        <f t="shared" si="23"/>
        <v>0</v>
      </c>
      <c r="BY35" s="540">
        <f t="shared" si="135"/>
        <v>0</v>
      </c>
      <c r="BZ35" s="538">
        <v>0</v>
      </c>
      <c r="CA35" s="539">
        <f t="shared" si="24"/>
        <v>0</v>
      </c>
      <c r="CB35" s="540">
        <f t="shared" si="136"/>
        <v>0</v>
      </c>
      <c r="CC35" s="538">
        <v>0</v>
      </c>
      <c r="CD35" s="539">
        <f t="shared" si="25"/>
        <v>0</v>
      </c>
      <c r="CE35" s="540">
        <f t="shared" si="137"/>
        <v>0</v>
      </c>
      <c r="CF35" s="538">
        <v>2.4000000000000004</v>
      </c>
      <c r="CG35" s="539">
        <f t="shared" si="26"/>
        <v>4.048446408690666E-2</v>
      </c>
      <c r="CH35" s="540">
        <f t="shared" si="138"/>
        <v>0</v>
      </c>
      <c r="CI35" s="538">
        <v>0</v>
      </c>
      <c r="CJ35" s="539">
        <f t="shared" si="27"/>
        <v>0</v>
      </c>
      <c r="CK35" s="540">
        <f t="shared" si="139"/>
        <v>0</v>
      </c>
      <c r="CL35" s="538"/>
      <c r="CM35" s="539">
        <f t="shared" si="28"/>
        <v>0</v>
      </c>
      <c r="CN35" s="540">
        <f t="shared" si="140"/>
        <v>0</v>
      </c>
      <c r="CO35" s="538"/>
      <c r="CP35" s="539">
        <f t="shared" si="29"/>
        <v>0</v>
      </c>
      <c r="CQ35" s="540">
        <f t="shared" si="141"/>
        <v>0</v>
      </c>
      <c r="CR35" s="538"/>
      <c r="CS35" s="539">
        <f t="shared" si="30"/>
        <v>0</v>
      </c>
      <c r="CT35" s="540">
        <f t="shared" si="142"/>
        <v>0</v>
      </c>
      <c r="CU35" s="538"/>
      <c r="CV35" s="539">
        <f t="shared" si="31"/>
        <v>0</v>
      </c>
      <c r="CW35" s="540">
        <f t="shared" si="143"/>
        <v>0</v>
      </c>
      <c r="CX35" s="538"/>
      <c r="CY35" s="539">
        <f t="shared" si="32"/>
        <v>0</v>
      </c>
      <c r="CZ35" s="540">
        <f t="shared" si="144"/>
        <v>0</v>
      </c>
      <c r="DA35" s="538">
        <v>352.94117647058852</v>
      </c>
      <c r="DB35" s="539">
        <f t="shared" si="33"/>
        <v>5.9535976598392182</v>
      </c>
      <c r="DC35" s="540">
        <f t="shared" si="145"/>
        <v>0</v>
      </c>
      <c r="DD35" s="538"/>
      <c r="DE35" s="539">
        <f t="shared" si="34"/>
        <v>0</v>
      </c>
      <c r="DF35" s="540">
        <f t="shared" si="146"/>
        <v>0</v>
      </c>
      <c r="DG35" s="538"/>
      <c r="DH35" s="539">
        <f t="shared" si="35"/>
        <v>0</v>
      </c>
      <c r="DI35" s="540">
        <f t="shared" si="201"/>
        <v>0</v>
      </c>
      <c r="DJ35" s="538"/>
      <c r="DK35" s="539">
        <f t="shared" si="36"/>
        <v>0</v>
      </c>
      <c r="DL35" s="540">
        <f t="shared" si="147"/>
        <v>0</v>
      </c>
      <c r="DM35" s="538"/>
      <c r="DN35" s="539">
        <f t="shared" si="37"/>
        <v>0</v>
      </c>
      <c r="DO35" s="540">
        <f t="shared" si="148"/>
        <v>0</v>
      </c>
      <c r="DP35" s="538"/>
      <c r="DQ35" s="539">
        <f t="shared" si="38"/>
        <v>0</v>
      </c>
      <c r="DR35" s="540">
        <f t="shared" si="149"/>
        <v>0</v>
      </c>
      <c r="DS35" s="538"/>
      <c r="DT35" s="539">
        <f t="shared" si="39"/>
        <v>0</v>
      </c>
      <c r="DU35" s="540">
        <f t="shared" si="150"/>
        <v>0</v>
      </c>
      <c r="DV35" s="538"/>
      <c r="DW35" s="539">
        <f t="shared" si="40"/>
        <v>0</v>
      </c>
      <c r="DX35" s="540">
        <f t="shared" si="151"/>
        <v>0</v>
      </c>
      <c r="DY35" s="538">
        <v>32.349397590361463</v>
      </c>
      <c r="DZ35" s="539">
        <f t="shared" si="41"/>
        <v>0.54568667707502216</v>
      </c>
      <c r="EA35" s="540">
        <f t="shared" si="152"/>
        <v>0</v>
      </c>
      <c r="EB35" s="538">
        <v>1152.9411764705883</v>
      </c>
      <c r="EC35" s="539">
        <f t="shared" si="42"/>
        <v>19.448419022141433</v>
      </c>
      <c r="ED35" s="540">
        <f t="shared" si="153"/>
        <v>0</v>
      </c>
      <c r="EE35" s="538">
        <v>14.534883720930225</v>
      </c>
      <c r="EF35" s="539">
        <f t="shared" si="43"/>
        <v>0.24518207416973492</v>
      </c>
      <c r="EG35" s="540">
        <f t="shared" si="154"/>
        <v>0</v>
      </c>
      <c r="EH35" s="538">
        <v>0</v>
      </c>
      <c r="EI35" s="539">
        <f t="shared" si="44"/>
        <v>0</v>
      </c>
      <c r="EJ35" s="540">
        <f t="shared" si="155"/>
        <v>0</v>
      </c>
      <c r="EK35" s="538"/>
      <c r="EL35" s="539">
        <f t="shared" si="45"/>
        <v>0</v>
      </c>
      <c r="EM35" s="540">
        <f t="shared" si="156"/>
        <v>0</v>
      </c>
      <c r="EN35" s="538"/>
      <c r="EO35" s="539">
        <f t="shared" si="46"/>
        <v>0</v>
      </c>
      <c r="EP35" s="540">
        <f t="shared" si="157"/>
        <v>0</v>
      </c>
      <c r="EQ35" s="538"/>
      <c r="ER35" s="539">
        <f t="shared" si="47"/>
        <v>0</v>
      </c>
      <c r="ES35" s="540">
        <f t="shared" si="158"/>
        <v>0</v>
      </c>
      <c r="ET35" s="538"/>
      <c r="EU35" s="539">
        <f t="shared" si="48"/>
        <v>0</v>
      </c>
      <c r="EV35" s="540">
        <f t="shared" si="159"/>
        <v>0</v>
      </c>
      <c r="EW35" s="538"/>
      <c r="EX35" s="539">
        <f t="shared" si="49"/>
        <v>0</v>
      </c>
      <c r="EY35" s="540">
        <f t="shared" si="160"/>
        <v>0</v>
      </c>
      <c r="EZ35" s="538"/>
      <c r="FA35" s="539">
        <f t="shared" si="50"/>
        <v>0</v>
      </c>
      <c r="FB35" s="540">
        <f t="shared" si="161"/>
        <v>0</v>
      </c>
      <c r="FC35" s="538"/>
      <c r="FD35" s="539">
        <f t="shared" si="51"/>
        <v>0</v>
      </c>
      <c r="FE35" s="540">
        <f t="shared" si="162"/>
        <v>0</v>
      </c>
      <c r="FF35" s="538"/>
      <c r="FG35" s="539">
        <f t="shared" si="52"/>
        <v>0</v>
      </c>
      <c r="FH35" s="540">
        <f t="shared" si="163"/>
        <v>0</v>
      </c>
      <c r="FI35" s="538"/>
      <c r="FJ35" s="539">
        <f t="shared" si="53"/>
        <v>0</v>
      </c>
      <c r="FK35" s="540">
        <f t="shared" si="164"/>
        <v>0</v>
      </c>
      <c r="FL35" s="538"/>
      <c r="FM35" s="539">
        <f t="shared" si="54"/>
        <v>0</v>
      </c>
      <c r="FN35" s="540">
        <f t="shared" si="165"/>
        <v>0</v>
      </c>
      <c r="FO35" s="538"/>
      <c r="FP35" s="539">
        <f t="shared" si="55"/>
        <v>0</v>
      </c>
      <c r="FQ35" s="540">
        <f t="shared" si="166"/>
        <v>0</v>
      </c>
      <c r="FR35" s="538"/>
      <c r="FS35" s="539">
        <f t="shared" si="56"/>
        <v>0</v>
      </c>
      <c r="FT35" s="540">
        <f t="shared" si="167"/>
        <v>0</v>
      </c>
      <c r="FU35" s="538"/>
      <c r="FV35" s="539">
        <f t="shared" si="57"/>
        <v>0</v>
      </c>
      <c r="FW35" s="540">
        <f t="shared" si="168"/>
        <v>0</v>
      </c>
      <c r="FX35" s="538"/>
      <c r="FY35" s="539">
        <f t="shared" si="58"/>
        <v>0</v>
      </c>
      <c r="FZ35" s="540">
        <f t="shared" si="169"/>
        <v>0</v>
      </c>
      <c r="GA35" s="538"/>
      <c r="GB35" s="539">
        <f t="shared" si="59"/>
        <v>0</v>
      </c>
      <c r="GC35" s="540">
        <f t="shared" si="170"/>
        <v>0</v>
      </c>
      <c r="GD35" s="538"/>
      <c r="GE35" s="539">
        <f t="shared" si="60"/>
        <v>0</v>
      </c>
      <c r="GF35" s="540">
        <f t="shared" si="171"/>
        <v>0</v>
      </c>
      <c r="GG35" s="538">
        <v>10</v>
      </c>
      <c r="GH35" s="539">
        <f t="shared" si="61"/>
        <v>0.16868526702877773</v>
      </c>
      <c r="GI35" s="540">
        <f t="shared" si="172"/>
        <v>0</v>
      </c>
      <c r="GJ35" s="538">
        <v>10</v>
      </c>
      <c r="GK35" s="539">
        <f t="shared" si="211"/>
        <v>0.16868526702877773</v>
      </c>
      <c r="GL35" s="540">
        <f t="shared" si="212"/>
        <v>0</v>
      </c>
      <c r="GM35" s="538">
        <v>10</v>
      </c>
      <c r="GN35" s="539">
        <f t="shared" si="202"/>
        <v>0.16868526702877773</v>
      </c>
      <c r="GO35" s="540">
        <f t="shared" si="203"/>
        <v>0</v>
      </c>
      <c r="GP35" s="538">
        <v>0</v>
      </c>
      <c r="GQ35" s="539">
        <f t="shared" si="204"/>
        <v>0</v>
      </c>
      <c r="GR35" s="540">
        <f t="shared" si="205"/>
        <v>0</v>
      </c>
      <c r="GS35" s="538">
        <v>0</v>
      </c>
      <c r="GT35" s="539">
        <f t="shared" si="206"/>
        <v>0</v>
      </c>
      <c r="GU35" s="540">
        <f t="shared" si="207"/>
        <v>0</v>
      </c>
      <c r="GV35" s="538">
        <v>0</v>
      </c>
      <c r="GW35" s="539">
        <f t="shared" si="208"/>
        <v>0</v>
      </c>
      <c r="GX35" s="540">
        <f t="shared" si="209"/>
        <v>0</v>
      </c>
      <c r="GY35" s="538"/>
      <c r="GZ35" s="539">
        <f t="shared" si="67"/>
        <v>0</v>
      </c>
      <c r="HA35" s="540">
        <f t="shared" si="178"/>
        <v>0</v>
      </c>
      <c r="HB35" s="538"/>
      <c r="HC35" s="539">
        <f t="shared" si="68"/>
        <v>0</v>
      </c>
      <c r="HD35" s="540">
        <f t="shared" si="179"/>
        <v>0</v>
      </c>
      <c r="HE35" s="538"/>
      <c r="HF35" s="539">
        <f t="shared" si="69"/>
        <v>0</v>
      </c>
      <c r="HG35" s="540">
        <f t="shared" si="180"/>
        <v>0</v>
      </c>
      <c r="HH35" s="538"/>
      <c r="HI35" s="539">
        <f t="shared" si="70"/>
        <v>0</v>
      </c>
      <c r="HJ35" s="540">
        <f t="shared" si="181"/>
        <v>0</v>
      </c>
      <c r="HK35" s="538"/>
      <c r="HL35" s="539">
        <f t="shared" si="71"/>
        <v>0</v>
      </c>
      <c r="HM35" s="540">
        <f t="shared" si="182"/>
        <v>0</v>
      </c>
      <c r="HN35" s="538">
        <v>1683</v>
      </c>
      <c r="HO35" s="539">
        <f t="shared" si="72"/>
        <v>28.389730440943289</v>
      </c>
      <c r="HP35" s="540">
        <f t="shared" si="183"/>
        <v>0</v>
      </c>
      <c r="HQ35" s="538"/>
      <c r="HR35" s="539">
        <f t="shared" si="73"/>
        <v>0</v>
      </c>
      <c r="HS35" s="540">
        <f t="shared" si="184"/>
        <v>0</v>
      </c>
      <c r="HT35" s="538">
        <v>60</v>
      </c>
      <c r="HU35" s="539">
        <f t="shared" si="74"/>
        <v>1.0121116021726664</v>
      </c>
      <c r="HV35" s="540">
        <f t="shared" si="185"/>
        <v>0</v>
      </c>
      <c r="HW35" s="538">
        <v>15</v>
      </c>
      <c r="HX35" s="539">
        <f t="shared" si="75"/>
        <v>0.2530279005431666</v>
      </c>
      <c r="HY35" s="540">
        <f t="shared" si="186"/>
        <v>0</v>
      </c>
      <c r="HZ35" s="538">
        <v>45</v>
      </c>
      <c r="IA35" s="539">
        <f t="shared" si="76"/>
        <v>0.75908370162949967</v>
      </c>
      <c r="IB35" s="540">
        <f t="shared" si="187"/>
        <v>0</v>
      </c>
      <c r="IC35" s="538">
        <v>70</v>
      </c>
      <c r="ID35" s="539">
        <f t="shared" si="77"/>
        <v>1.1807968692014441</v>
      </c>
      <c r="IE35" s="540">
        <f t="shared" si="188"/>
        <v>0</v>
      </c>
      <c r="IF35" s="538">
        <v>0</v>
      </c>
      <c r="IG35" s="539">
        <f t="shared" si="78"/>
        <v>0</v>
      </c>
      <c r="IH35" s="540">
        <f t="shared" si="189"/>
        <v>0</v>
      </c>
      <c r="II35" s="538"/>
      <c r="IJ35" s="539">
        <f t="shared" si="79"/>
        <v>0</v>
      </c>
      <c r="IK35" s="540">
        <f t="shared" si="190"/>
        <v>0</v>
      </c>
      <c r="IL35" s="538">
        <v>0</v>
      </c>
      <c r="IM35" s="539">
        <f t="shared" si="80"/>
        <v>0</v>
      </c>
      <c r="IN35" s="540">
        <f t="shared" si="191"/>
        <v>0</v>
      </c>
      <c r="IO35" s="538">
        <v>120</v>
      </c>
      <c r="IP35" s="539">
        <f t="shared" si="81"/>
        <v>2.0242232043453328</v>
      </c>
      <c r="IQ35" s="540">
        <f t="shared" si="192"/>
        <v>0</v>
      </c>
      <c r="IR35" s="538">
        <v>10</v>
      </c>
      <c r="IS35" s="539">
        <f t="shared" si="82"/>
        <v>0.16868526702877773</v>
      </c>
      <c r="IT35" s="540">
        <f t="shared" si="193"/>
        <v>0</v>
      </c>
      <c r="IU35" s="538"/>
      <c r="IV35" s="539">
        <f t="shared" si="83"/>
        <v>0</v>
      </c>
      <c r="IW35" s="540">
        <f t="shared" si="194"/>
        <v>0</v>
      </c>
      <c r="IX35" s="538">
        <v>10</v>
      </c>
      <c r="IY35" s="539">
        <f t="shared" si="84"/>
        <v>0.16868526702877773</v>
      </c>
      <c r="IZ35" s="540">
        <f t="shared" si="195"/>
        <v>0</v>
      </c>
      <c r="JA35" s="538"/>
      <c r="JB35" s="539">
        <f t="shared" si="85"/>
        <v>0</v>
      </c>
      <c r="JC35" s="540">
        <f t="shared" si="196"/>
        <v>0</v>
      </c>
      <c r="JD35" s="538"/>
      <c r="JE35" s="539">
        <f t="shared" si="86"/>
        <v>0</v>
      </c>
      <c r="JF35" s="540">
        <f t="shared" si="197"/>
        <v>0</v>
      </c>
      <c r="JG35" s="538">
        <v>45</v>
      </c>
      <c r="JH35" s="540" t="str">
        <f t="shared" si="87"/>
        <v>0</v>
      </c>
      <c r="JI35" s="540" t="str">
        <f t="shared" si="88"/>
        <v>0</v>
      </c>
      <c r="JJ35" s="538">
        <v>40</v>
      </c>
      <c r="JK35" s="540" t="str">
        <f t="shared" si="89"/>
        <v>0</v>
      </c>
      <c r="JL35" s="540" t="str">
        <f t="shared" si="90"/>
        <v>0</v>
      </c>
      <c r="JM35" s="538"/>
      <c r="JN35" s="540" t="str">
        <f t="shared" si="91"/>
        <v>0</v>
      </c>
      <c r="JO35" s="540" t="str">
        <f t="shared" si="92"/>
        <v>0</v>
      </c>
      <c r="JP35" s="538"/>
      <c r="JQ35" s="540" t="str">
        <f t="shared" si="93"/>
        <v>0</v>
      </c>
      <c r="JR35" s="540" t="str">
        <f t="shared" si="94"/>
        <v>0</v>
      </c>
      <c r="JS35" s="538"/>
      <c r="JT35" s="540" t="str">
        <f t="shared" si="95"/>
        <v>0</v>
      </c>
      <c r="JU35" s="540" t="str">
        <f t="shared" si="96"/>
        <v>0</v>
      </c>
      <c r="JV35" s="538"/>
      <c r="JW35" s="540" t="str">
        <f t="shared" si="97"/>
        <v>0</v>
      </c>
      <c r="JX35" s="540" t="str">
        <f t="shared" si="98"/>
        <v>0</v>
      </c>
      <c r="JY35" s="538"/>
      <c r="JZ35" s="540" t="str">
        <f t="shared" si="99"/>
        <v>0</v>
      </c>
      <c r="KA35" s="540" t="str">
        <f t="shared" si="100"/>
        <v>0</v>
      </c>
      <c r="KB35" s="538"/>
      <c r="KC35" s="540" t="str">
        <f t="shared" si="101"/>
        <v>0</v>
      </c>
      <c r="KD35" s="540" t="str">
        <f t="shared" si="102"/>
        <v>0</v>
      </c>
      <c r="KE35" s="538"/>
      <c r="KF35" s="540" t="str">
        <f t="shared" si="103"/>
        <v>0</v>
      </c>
      <c r="KG35" s="540" t="str">
        <f t="shared" si="104"/>
        <v>0</v>
      </c>
      <c r="KH35" s="538"/>
      <c r="KI35" s="540" t="str">
        <f t="shared" si="105"/>
        <v>0</v>
      </c>
      <c r="KJ35" s="540" t="str">
        <f t="shared" si="106"/>
        <v>0</v>
      </c>
      <c r="KK35" s="538"/>
      <c r="KL35" s="540" t="str">
        <f t="shared" si="107"/>
        <v>0</v>
      </c>
      <c r="KM35" s="540" t="str">
        <f t="shared" si="108"/>
        <v>0</v>
      </c>
      <c r="KN35" s="538"/>
      <c r="KO35" s="540" t="str">
        <f t="shared" si="109"/>
        <v>0</v>
      </c>
      <c r="KP35" s="540" t="str">
        <f t="shared" si="110"/>
        <v>0</v>
      </c>
      <c r="KQ35" s="540">
        <f t="shared" si="111"/>
        <v>0</v>
      </c>
      <c r="KR35" s="540">
        <f t="shared" si="198"/>
        <v>0</v>
      </c>
      <c r="KS35" s="268">
        <f t="shared" si="199"/>
        <v>3749.3858650216994</v>
      </c>
    </row>
    <row r="36" spans="1:16381" ht="15" customHeight="1">
      <c r="A36" s="270">
        <f t="shared" si="200"/>
        <v>45958</v>
      </c>
      <c r="B36" s="271" t="str">
        <f>+Report1!B36</f>
        <v>Towel</v>
      </c>
      <c r="C36" s="271" t="str">
        <f>+Report1!C36</f>
        <v>36/38/30</v>
      </c>
      <c r="D36" s="272">
        <f>+Report1!P36</f>
        <v>65.171999999999997</v>
      </c>
      <c r="E36" s="273">
        <f>+Report1!R36</f>
        <v>63.91</v>
      </c>
      <c r="F36" s="538">
        <v>139.53488372093022</v>
      </c>
      <c r="G36" s="539">
        <f t="shared" si="0"/>
        <v>2.1833028277410458</v>
      </c>
      <c r="H36" s="540">
        <f t="shared" si="112"/>
        <v>0</v>
      </c>
      <c r="I36" s="538">
        <v>0</v>
      </c>
      <c r="J36" s="539">
        <f t="shared" si="1"/>
        <v>0</v>
      </c>
      <c r="K36" s="540">
        <f t="shared" si="113"/>
        <v>0</v>
      </c>
      <c r="L36" s="538"/>
      <c r="M36" s="539">
        <f t="shared" si="2"/>
        <v>0</v>
      </c>
      <c r="N36" s="540">
        <f t="shared" si="114"/>
        <v>0</v>
      </c>
      <c r="O36" s="538">
        <v>9</v>
      </c>
      <c r="P36" s="539">
        <f t="shared" si="3"/>
        <v>0.14082303238929747</v>
      </c>
      <c r="Q36" s="540">
        <f t="shared" si="115"/>
        <v>0</v>
      </c>
      <c r="R36" s="538"/>
      <c r="S36" s="539">
        <f t="shared" si="4"/>
        <v>0</v>
      </c>
      <c r="T36" s="540">
        <f t="shared" si="116"/>
        <v>0</v>
      </c>
      <c r="U36" s="538">
        <v>5.1250000000000284</v>
      </c>
      <c r="V36" s="539">
        <f t="shared" si="5"/>
        <v>8.0190893443905939E-2</v>
      </c>
      <c r="W36" s="540">
        <f t="shared" si="117"/>
        <v>0</v>
      </c>
      <c r="X36" s="538"/>
      <c r="Y36" s="539">
        <f t="shared" si="6"/>
        <v>0</v>
      </c>
      <c r="Z36" s="540">
        <f t="shared" si="118"/>
        <v>0</v>
      </c>
      <c r="AA36" s="538"/>
      <c r="AB36" s="539">
        <f t="shared" si="7"/>
        <v>0</v>
      </c>
      <c r="AC36" s="540">
        <f t="shared" si="119"/>
        <v>0</v>
      </c>
      <c r="AD36" s="538"/>
      <c r="AE36" s="539">
        <f t="shared" si="8"/>
        <v>0</v>
      </c>
      <c r="AF36" s="540">
        <f t="shared" si="120"/>
        <v>0</v>
      </c>
      <c r="AG36" s="538"/>
      <c r="AH36" s="539">
        <f t="shared" si="9"/>
        <v>0</v>
      </c>
      <c r="AI36" s="540">
        <f t="shared" si="121"/>
        <v>0</v>
      </c>
      <c r="AJ36" s="538"/>
      <c r="AK36" s="539">
        <f t="shared" si="10"/>
        <v>0</v>
      </c>
      <c r="AL36" s="540">
        <f t="shared" si="122"/>
        <v>0</v>
      </c>
      <c r="AM36" s="538">
        <v>23.653846153846132</v>
      </c>
      <c r="AN36" s="539">
        <f t="shared" si="11"/>
        <v>0.37011181589494813</v>
      </c>
      <c r="AO36" s="540">
        <f t="shared" si="123"/>
        <v>0</v>
      </c>
      <c r="AP36" s="538"/>
      <c r="AQ36" s="539">
        <f t="shared" si="12"/>
        <v>0</v>
      </c>
      <c r="AR36" s="540">
        <f t="shared" si="124"/>
        <v>0</v>
      </c>
      <c r="AS36" s="538"/>
      <c r="AT36" s="539">
        <f t="shared" si="13"/>
        <v>0</v>
      </c>
      <c r="AU36" s="540">
        <f t="shared" si="125"/>
        <v>0</v>
      </c>
      <c r="AV36" s="538">
        <v>11.100000000000009</v>
      </c>
      <c r="AW36" s="539">
        <f t="shared" si="14"/>
        <v>0.17368173994680033</v>
      </c>
      <c r="AX36" s="540">
        <f t="shared" si="126"/>
        <v>0</v>
      </c>
      <c r="AY36" s="538">
        <v>28</v>
      </c>
      <c r="AZ36" s="539">
        <f t="shared" si="15"/>
        <v>0.43811610076670321</v>
      </c>
      <c r="BA36" s="540">
        <f t="shared" si="127"/>
        <v>0</v>
      </c>
      <c r="BB36" s="538"/>
      <c r="BC36" s="539">
        <f t="shared" si="16"/>
        <v>0</v>
      </c>
      <c r="BD36" s="540">
        <f t="shared" si="128"/>
        <v>0</v>
      </c>
      <c r="BE36" s="538"/>
      <c r="BF36" s="539">
        <f t="shared" si="17"/>
        <v>0</v>
      </c>
      <c r="BG36" s="540">
        <f t="shared" si="129"/>
        <v>0</v>
      </c>
      <c r="BH36" s="538"/>
      <c r="BI36" s="539">
        <f t="shared" si="18"/>
        <v>0</v>
      </c>
      <c r="BJ36" s="540">
        <f t="shared" si="130"/>
        <v>0</v>
      </c>
      <c r="BK36" s="538"/>
      <c r="BL36" s="539">
        <f t="shared" si="19"/>
        <v>0</v>
      </c>
      <c r="BM36" s="540">
        <f t="shared" si="131"/>
        <v>0</v>
      </c>
      <c r="BN36" s="538"/>
      <c r="BO36" s="539">
        <f t="shared" si="20"/>
        <v>0</v>
      </c>
      <c r="BP36" s="540">
        <f t="shared" si="132"/>
        <v>0</v>
      </c>
      <c r="BQ36" s="538"/>
      <c r="BR36" s="539">
        <f t="shared" si="21"/>
        <v>0</v>
      </c>
      <c r="BS36" s="540">
        <f t="shared" si="133"/>
        <v>0</v>
      </c>
      <c r="BT36" s="538"/>
      <c r="BU36" s="539">
        <f t="shared" si="22"/>
        <v>0</v>
      </c>
      <c r="BV36" s="540">
        <f t="shared" si="134"/>
        <v>0</v>
      </c>
      <c r="BW36" s="538"/>
      <c r="BX36" s="539">
        <f t="shared" si="23"/>
        <v>0</v>
      </c>
      <c r="BY36" s="540">
        <f t="shared" si="135"/>
        <v>0</v>
      </c>
      <c r="BZ36" s="538">
        <v>0</v>
      </c>
      <c r="CA36" s="539">
        <f t="shared" si="24"/>
        <v>0</v>
      </c>
      <c r="CB36" s="540">
        <f t="shared" si="136"/>
        <v>0</v>
      </c>
      <c r="CC36" s="538">
        <v>0</v>
      </c>
      <c r="CD36" s="539">
        <f t="shared" si="25"/>
        <v>0</v>
      </c>
      <c r="CE36" s="540">
        <f t="shared" si="137"/>
        <v>0</v>
      </c>
      <c r="CF36" s="538">
        <v>2.4000000000000004</v>
      </c>
      <c r="CG36" s="539">
        <f t="shared" si="26"/>
        <v>3.7552808637145996E-2</v>
      </c>
      <c r="CH36" s="540">
        <f t="shared" si="138"/>
        <v>0</v>
      </c>
      <c r="CI36" s="538">
        <v>0</v>
      </c>
      <c r="CJ36" s="539">
        <f t="shared" si="27"/>
        <v>0</v>
      </c>
      <c r="CK36" s="540">
        <f t="shared" si="139"/>
        <v>0</v>
      </c>
      <c r="CL36" s="538"/>
      <c r="CM36" s="539">
        <f t="shared" si="28"/>
        <v>0</v>
      </c>
      <c r="CN36" s="540">
        <f t="shared" si="140"/>
        <v>0</v>
      </c>
      <c r="CO36" s="538"/>
      <c r="CP36" s="539">
        <f t="shared" si="29"/>
        <v>0</v>
      </c>
      <c r="CQ36" s="540">
        <f t="shared" si="141"/>
        <v>0</v>
      </c>
      <c r="CR36" s="538"/>
      <c r="CS36" s="539">
        <f t="shared" si="30"/>
        <v>0</v>
      </c>
      <c r="CT36" s="540">
        <f t="shared" si="142"/>
        <v>0</v>
      </c>
      <c r="CU36" s="538"/>
      <c r="CV36" s="539">
        <f t="shared" si="31"/>
        <v>0</v>
      </c>
      <c r="CW36" s="540">
        <f t="shared" si="143"/>
        <v>0</v>
      </c>
      <c r="CX36" s="538"/>
      <c r="CY36" s="539">
        <f t="shared" si="32"/>
        <v>0</v>
      </c>
      <c r="CZ36" s="540">
        <f t="shared" si="144"/>
        <v>0</v>
      </c>
      <c r="DA36" s="538">
        <v>294.11764705882342</v>
      </c>
      <c r="DB36" s="539">
        <f t="shared" si="33"/>
        <v>4.6020598820031831</v>
      </c>
      <c r="DC36" s="540">
        <f t="shared" si="145"/>
        <v>0</v>
      </c>
      <c r="DD36" s="538"/>
      <c r="DE36" s="539">
        <f t="shared" si="34"/>
        <v>0</v>
      </c>
      <c r="DF36" s="540">
        <f t="shared" si="146"/>
        <v>0</v>
      </c>
      <c r="DG36" s="538"/>
      <c r="DH36" s="539">
        <f t="shared" si="35"/>
        <v>0</v>
      </c>
      <c r="DI36" s="540">
        <f t="shared" si="201"/>
        <v>0</v>
      </c>
      <c r="DJ36" s="538"/>
      <c r="DK36" s="539">
        <f t="shared" si="36"/>
        <v>0</v>
      </c>
      <c r="DL36" s="540">
        <f t="shared" si="147"/>
        <v>0</v>
      </c>
      <c r="DM36" s="538"/>
      <c r="DN36" s="539">
        <f t="shared" si="37"/>
        <v>0</v>
      </c>
      <c r="DO36" s="540">
        <f t="shared" si="148"/>
        <v>0</v>
      </c>
      <c r="DP36" s="538"/>
      <c r="DQ36" s="539">
        <f t="shared" si="38"/>
        <v>0</v>
      </c>
      <c r="DR36" s="540">
        <f t="shared" si="149"/>
        <v>0</v>
      </c>
      <c r="DS36" s="538"/>
      <c r="DT36" s="539">
        <f t="shared" si="39"/>
        <v>0</v>
      </c>
      <c r="DU36" s="540">
        <f t="shared" si="150"/>
        <v>0</v>
      </c>
      <c r="DV36" s="538"/>
      <c r="DW36" s="539">
        <f t="shared" si="40"/>
        <v>0</v>
      </c>
      <c r="DX36" s="540">
        <f t="shared" si="151"/>
        <v>0</v>
      </c>
      <c r="DY36" s="538">
        <v>0</v>
      </c>
      <c r="DZ36" s="539">
        <f t="shared" si="41"/>
        <v>0</v>
      </c>
      <c r="EA36" s="540">
        <f t="shared" si="152"/>
        <v>0</v>
      </c>
      <c r="EB36" s="538">
        <v>988.23529411764719</v>
      </c>
      <c r="EC36" s="539">
        <f t="shared" si="42"/>
        <v>15.462921203530703</v>
      </c>
      <c r="ED36" s="540">
        <f t="shared" si="153"/>
        <v>0</v>
      </c>
      <c r="EE36" s="538">
        <v>14.534883720930225</v>
      </c>
      <c r="EF36" s="539">
        <f t="shared" si="43"/>
        <v>0.22742737788969214</v>
      </c>
      <c r="EG36" s="540">
        <f t="shared" si="154"/>
        <v>0</v>
      </c>
      <c r="EH36" s="538">
        <v>0</v>
      </c>
      <c r="EI36" s="539">
        <f t="shared" si="44"/>
        <v>0</v>
      </c>
      <c r="EJ36" s="540">
        <f t="shared" si="155"/>
        <v>0</v>
      </c>
      <c r="EK36" s="538"/>
      <c r="EL36" s="539">
        <f t="shared" si="45"/>
        <v>0</v>
      </c>
      <c r="EM36" s="540">
        <f t="shared" si="156"/>
        <v>0</v>
      </c>
      <c r="EN36" s="538"/>
      <c r="EO36" s="539">
        <f t="shared" si="46"/>
        <v>0</v>
      </c>
      <c r="EP36" s="540">
        <f t="shared" si="157"/>
        <v>0</v>
      </c>
      <c r="EQ36" s="538"/>
      <c r="ER36" s="539">
        <f t="shared" si="47"/>
        <v>0</v>
      </c>
      <c r="ES36" s="540">
        <f t="shared" si="158"/>
        <v>0</v>
      </c>
      <c r="ET36" s="538"/>
      <c r="EU36" s="539">
        <f t="shared" si="48"/>
        <v>0</v>
      </c>
      <c r="EV36" s="540">
        <f t="shared" si="159"/>
        <v>0</v>
      </c>
      <c r="EW36" s="538"/>
      <c r="EX36" s="539">
        <f t="shared" si="49"/>
        <v>0</v>
      </c>
      <c r="EY36" s="540">
        <f t="shared" si="160"/>
        <v>0</v>
      </c>
      <c r="EZ36" s="538"/>
      <c r="FA36" s="539">
        <f t="shared" si="50"/>
        <v>0</v>
      </c>
      <c r="FB36" s="540">
        <f t="shared" si="161"/>
        <v>0</v>
      </c>
      <c r="FC36" s="538"/>
      <c r="FD36" s="539">
        <f t="shared" si="51"/>
        <v>0</v>
      </c>
      <c r="FE36" s="540">
        <f t="shared" si="162"/>
        <v>0</v>
      </c>
      <c r="FF36" s="538"/>
      <c r="FG36" s="539">
        <f t="shared" si="52"/>
        <v>0</v>
      </c>
      <c r="FH36" s="540">
        <f t="shared" si="163"/>
        <v>0</v>
      </c>
      <c r="FI36" s="538"/>
      <c r="FJ36" s="539">
        <f t="shared" si="53"/>
        <v>0</v>
      </c>
      <c r="FK36" s="540">
        <f t="shared" si="164"/>
        <v>0</v>
      </c>
      <c r="FL36" s="538"/>
      <c r="FM36" s="539">
        <f t="shared" si="54"/>
        <v>0</v>
      </c>
      <c r="FN36" s="540">
        <f t="shared" si="165"/>
        <v>0</v>
      </c>
      <c r="FO36" s="538"/>
      <c r="FP36" s="539">
        <f t="shared" si="55"/>
        <v>0</v>
      </c>
      <c r="FQ36" s="540">
        <f t="shared" si="166"/>
        <v>0</v>
      </c>
      <c r="FR36" s="538"/>
      <c r="FS36" s="539">
        <f t="shared" si="56"/>
        <v>0</v>
      </c>
      <c r="FT36" s="540">
        <f t="shared" si="167"/>
        <v>0</v>
      </c>
      <c r="FU36" s="538"/>
      <c r="FV36" s="539">
        <f t="shared" si="57"/>
        <v>0</v>
      </c>
      <c r="FW36" s="540">
        <f t="shared" si="168"/>
        <v>0</v>
      </c>
      <c r="FX36" s="538"/>
      <c r="FY36" s="539">
        <f t="shared" si="58"/>
        <v>0</v>
      </c>
      <c r="FZ36" s="540">
        <f t="shared" si="169"/>
        <v>0</v>
      </c>
      <c r="GA36" s="538"/>
      <c r="GB36" s="539">
        <f t="shared" si="59"/>
        <v>0</v>
      </c>
      <c r="GC36" s="540">
        <f t="shared" si="170"/>
        <v>0</v>
      </c>
      <c r="GD36" s="538"/>
      <c r="GE36" s="539">
        <f t="shared" si="60"/>
        <v>0</v>
      </c>
      <c r="GF36" s="540">
        <f t="shared" si="171"/>
        <v>0</v>
      </c>
      <c r="GG36" s="538">
        <v>10</v>
      </c>
      <c r="GH36" s="539">
        <f t="shared" si="61"/>
        <v>0.1564700359881083</v>
      </c>
      <c r="GI36" s="540">
        <f t="shared" si="172"/>
        <v>0</v>
      </c>
      <c r="GJ36" s="538">
        <v>10</v>
      </c>
      <c r="GK36" s="539">
        <f t="shared" si="211"/>
        <v>0.1564700359881083</v>
      </c>
      <c r="GL36" s="540">
        <f t="shared" si="212"/>
        <v>0</v>
      </c>
      <c r="GM36" s="538">
        <v>10</v>
      </c>
      <c r="GN36" s="539">
        <f t="shared" si="202"/>
        <v>0.1564700359881083</v>
      </c>
      <c r="GO36" s="540">
        <f t="shared" si="203"/>
        <v>0</v>
      </c>
      <c r="GP36" s="538">
        <v>0</v>
      </c>
      <c r="GQ36" s="539">
        <f t="shared" si="204"/>
        <v>0</v>
      </c>
      <c r="GR36" s="540">
        <f t="shared" si="205"/>
        <v>0</v>
      </c>
      <c r="GS36" s="538">
        <v>0</v>
      </c>
      <c r="GT36" s="539">
        <f t="shared" si="206"/>
        <v>0</v>
      </c>
      <c r="GU36" s="540">
        <f t="shared" si="207"/>
        <v>0</v>
      </c>
      <c r="GV36" s="538">
        <v>0</v>
      </c>
      <c r="GW36" s="539">
        <f t="shared" si="208"/>
        <v>0</v>
      </c>
      <c r="GX36" s="540">
        <f t="shared" si="209"/>
        <v>0</v>
      </c>
      <c r="GY36" s="538"/>
      <c r="GZ36" s="539">
        <f t="shared" si="67"/>
        <v>0</v>
      </c>
      <c r="HA36" s="540">
        <f t="shared" si="178"/>
        <v>0</v>
      </c>
      <c r="HB36" s="538"/>
      <c r="HC36" s="539">
        <f t="shared" si="68"/>
        <v>0</v>
      </c>
      <c r="HD36" s="540">
        <f t="shared" si="179"/>
        <v>0</v>
      </c>
      <c r="HE36" s="538"/>
      <c r="HF36" s="539">
        <f t="shared" si="69"/>
        <v>0</v>
      </c>
      <c r="HG36" s="540">
        <f t="shared" si="180"/>
        <v>0</v>
      </c>
      <c r="HH36" s="538"/>
      <c r="HI36" s="539">
        <f t="shared" si="70"/>
        <v>0</v>
      </c>
      <c r="HJ36" s="540">
        <f t="shared" si="181"/>
        <v>0</v>
      </c>
      <c r="HK36" s="538"/>
      <c r="HL36" s="539">
        <f t="shared" si="71"/>
        <v>0</v>
      </c>
      <c r="HM36" s="540">
        <f t="shared" si="182"/>
        <v>0</v>
      </c>
      <c r="HN36" s="538">
        <v>1740</v>
      </c>
      <c r="HO36" s="539">
        <f t="shared" si="72"/>
        <v>27.225786261930843</v>
      </c>
      <c r="HP36" s="540">
        <f t="shared" si="183"/>
        <v>0</v>
      </c>
      <c r="HQ36" s="538"/>
      <c r="HR36" s="539">
        <f t="shared" si="73"/>
        <v>0</v>
      </c>
      <c r="HS36" s="540">
        <f t="shared" si="184"/>
        <v>0</v>
      </c>
      <c r="HT36" s="538">
        <v>55</v>
      </c>
      <c r="HU36" s="539">
        <f t="shared" si="74"/>
        <v>0.86058519793459554</v>
      </c>
      <c r="HV36" s="540">
        <f t="shared" si="185"/>
        <v>0</v>
      </c>
      <c r="HW36" s="538">
        <v>15</v>
      </c>
      <c r="HX36" s="539">
        <f t="shared" si="75"/>
        <v>0.23470505398216243</v>
      </c>
      <c r="HY36" s="540">
        <f t="shared" si="186"/>
        <v>0</v>
      </c>
      <c r="HZ36" s="538">
        <v>30</v>
      </c>
      <c r="IA36" s="539">
        <f t="shared" si="76"/>
        <v>0.46941010796432486</v>
      </c>
      <c r="IB36" s="540">
        <f t="shared" si="187"/>
        <v>0</v>
      </c>
      <c r="IC36" s="538">
        <v>70</v>
      </c>
      <c r="ID36" s="539">
        <f t="shared" si="77"/>
        <v>1.095290251916758</v>
      </c>
      <c r="IE36" s="540">
        <f t="shared" si="188"/>
        <v>0</v>
      </c>
      <c r="IF36" s="538">
        <v>0</v>
      </c>
      <c r="IG36" s="539">
        <f t="shared" si="78"/>
        <v>0</v>
      </c>
      <c r="IH36" s="540">
        <f t="shared" si="189"/>
        <v>0</v>
      </c>
      <c r="II36" s="538"/>
      <c r="IJ36" s="539">
        <f t="shared" si="79"/>
        <v>0</v>
      </c>
      <c r="IK36" s="540">
        <f t="shared" si="190"/>
        <v>0</v>
      </c>
      <c r="IL36" s="538">
        <v>0</v>
      </c>
      <c r="IM36" s="539">
        <f t="shared" si="80"/>
        <v>0</v>
      </c>
      <c r="IN36" s="540">
        <f t="shared" si="191"/>
        <v>0</v>
      </c>
      <c r="IO36" s="538">
        <v>120</v>
      </c>
      <c r="IP36" s="539">
        <f t="shared" si="81"/>
        <v>1.8776404318572995</v>
      </c>
      <c r="IQ36" s="540">
        <f t="shared" si="192"/>
        <v>0</v>
      </c>
      <c r="IR36" s="538">
        <v>10</v>
      </c>
      <c r="IS36" s="539">
        <f t="shared" si="82"/>
        <v>0.1564700359881083</v>
      </c>
      <c r="IT36" s="540">
        <f t="shared" si="193"/>
        <v>0</v>
      </c>
      <c r="IU36" s="538"/>
      <c r="IV36" s="539">
        <f t="shared" si="83"/>
        <v>0</v>
      </c>
      <c r="IW36" s="540">
        <f t="shared" si="194"/>
        <v>0</v>
      </c>
      <c r="IX36" s="538">
        <v>10</v>
      </c>
      <c r="IY36" s="539">
        <f t="shared" si="84"/>
        <v>0.1564700359881083</v>
      </c>
      <c r="IZ36" s="540">
        <f t="shared" si="195"/>
        <v>0</v>
      </c>
      <c r="JA36" s="538"/>
      <c r="JB36" s="539">
        <f t="shared" si="85"/>
        <v>0</v>
      </c>
      <c r="JC36" s="540">
        <f t="shared" si="196"/>
        <v>0</v>
      </c>
      <c r="JD36" s="538"/>
      <c r="JE36" s="539">
        <f t="shared" si="86"/>
        <v>0</v>
      </c>
      <c r="JF36" s="540">
        <f t="shared" si="197"/>
        <v>0</v>
      </c>
      <c r="JG36" s="538">
        <v>40</v>
      </c>
      <c r="JH36" s="540" t="str">
        <f t="shared" si="87"/>
        <v>0</v>
      </c>
      <c r="JI36" s="540" t="str">
        <f t="shared" si="88"/>
        <v>0</v>
      </c>
      <c r="JJ36" s="538">
        <v>40</v>
      </c>
      <c r="JK36" s="540" t="str">
        <f t="shared" si="89"/>
        <v>0</v>
      </c>
      <c r="JL36" s="540" t="str">
        <f t="shared" si="90"/>
        <v>0</v>
      </c>
      <c r="JM36" s="538"/>
      <c r="JN36" s="540" t="str">
        <f t="shared" si="91"/>
        <v>0</v>
      </c>
      <c r="JO36" s="540" t="str">
        <f t="shared" si="92"/>
        <v>0</v>
      </c>
      <c r="JP36" s="538"/>
      <c r="JQ36" s="540" t="str">
        <f t="shared" si="93"/>
        <v>0</v>
      </c>
      <c r="JR36" s="540" t="str">
        <f t="shared" si="94"/>
        <v>0</v>
      </c>
      <c r="JS36" s="538"/>
      <c r="JT36" s="540" t="str">
        <f t="shared" si="95"/>
        <v>0</v>
      </c>
      <c r="JU36" s="540" t="str">
        <f t="shared" si="96"/>
        <v>0</v>
      </c>
      <c r="JV36" s="538"/>
      <c r="JW36" s="540" t="str">
        <f t="shared" si="97"/>
        <v>0</v>
      </c>
      <c r="JX36" s="540" t="str">
        <f t="shared" si="98"/>
        <v>0</v>
      </c>
      <c r="JY36" s="538"/>
      <c r="JZ36" s="540" t="str">
        <f t="shared" si="99"/>
        <v>0</v>
      </c>
      <c r="KA36" s="540" t="str">
        <f t="shared" si="100"/>
        <v>0</v>
      </c>
      <c r="KB36" s="538"/>
      <c r="KC36" s="540" t="str">
        <f t="shared" si="101"/>
        <v>0</v>
      </c>
      <c r="KD36" s="540" t="str">
        <f t="shared" si="102"/>
        <v>0</v>
      </c>
      <c r="KE36" s="538"/>
      <c r="KF36" s="540" t="str">
        <f t="shared" si="103"/>
        <v>0</v>
      </c>
      <c r="KG36" s="540" t="str">
        <f t="shared" si="104"/>
        <v>0</v>
      </c>
      <c r="KH36" s="538"/>
      <c r="KI36" s="540" t="str">
        <f t="shared" si="105"/>
        <v>0</v>
      </c>
      <c r="KJ36" s="540" t="str">
        <f t="shared" si="106"/>
        <v>0</v>
      </c>
      <c r="KK36" s="538"/>
      <c r="KL36" s="540" t="str">
        <f t="shared" si="107"/>
        <v>0</v>
      </c>
      <c r="KM36" s="540" t="str">
        <f t="shared" si="108"/>
        <v>0</v>
      </c>
      <c r="KN36" s="538"/>
      <c r="KO36" s="540" t="str">
        <f t="shared" si="109"/>
        <v>0</v>
      </c>
      <c r="KP36" s="540" t="str">
        <f t="shared" si="110"/>
        <v>0</v>
      </c>
      <c r="KQ36" s="540">
        <f t="shared" si="111"/>
        <v>0</v>
      </c>
      <c r="KR36" s="540">
        <f t="shared" si="198"/>
        <v>0</v>
      </c>
      <c r="KS36" s="268">
        <f t="shared" si="199"/>
        <v>3675.7015547721776</v>
      </c>
    </row>
    <row r="37" spans="1:16381" ht="15" customHeight="1">
      <c r="A37" s="270">
        <f t="shared" si="200"/>
        <v>45959</v>
      </c>
      <c r="B37" s="271" t="str">
        <f>+Report1!B37</f>
        <v>Towel</v>
      </c>
      <c r="C37" s="271" t="str">
        <f>+Report1!C37</f>
        <v>30/31,5</v>
      </c>
      <c r="D37" s="272">
        <f>+Report1!P37</f>
        <v>72.42</v>
      </c>
      <c r="E37" s="273">
        <f>+Report1!R37</f>
        <v>72.962999999999994</v>
      </c>
      <c r="F37" s="538">
        <v>162.79069767441865</v>
      </c>
      <c r="G37" s="539">
        <f t="shared" si="0"/>
        <v>2.2311404091720277</v>
      </c>
      <c r="H37" s="540">
        <f t="shared" si="112"/>
        <v>0</v>
      </c>
      <c r="I37" s="538">
        <v>0</v>
      </c>
      <c r="J37" s="539">
        <f t="shared" si="1"/>
        <v>0</v>
      </c>
      <c r="K37" s="540">
        <f t="shared" si="113"/>
        <v>0</v>
      </c>
      <c r="L37" s="538"/>
      <c r="M37" s="539">
        <f t="shared" si="2"/>
        <v>0</v>
      </c>
      <c r="N37" s="540">
        <f t="shared" si="114"/>
        <v>0</v>
      </c>
      <c r="O37" s="538">
        <v>9</v>
      </c>
      <c r="P37" s="539">
        <f t="shared" si="3"/>
        <v>0.12335019119279636</v>
      </c>
      <c r="Q37" s="540">
        <f t="shared" si="115"/>
        <v>0</v>
      </c>
      <c r="R37" s="538"/>
      <c r="S37" s="539">
        <f t="shared" si="4"/>
        <v>0</v>
      </c>
      <c r="T37" s="540">
        <f t="shared" si="116"/>
        <v>0</v>
      </c>
      <c r="U37" s="538">
        <v>5.1249999999999716</v>
      </c>
      <c r="V37" s="539">
        <f t="shared" si="5"/>
        <v>7.0241081095897537E-2</v>
      </c>
      <c r="W37" s="540">
        <f t="shared" si="117"/>
        <v>0</v>
      </c>
      <c r="X37" s="538"/>
      <c r="Y37" s="539">
        <f t="shared" si="6"/>
        <v>0</v>
      </c>
      <c r="Z37" s="540">
        <f t="shared" si="118"/>
        <v>0</v>
      </c>
      <c r="AA37" s="538"/>
      <c r="AB37" s="539">
        <f t="shared" si="7"/>
        <v>0</v>
      </c>
      <c r="AC37" s="540">
        <f t="shared" si="119"/>
        <v>0</v>
      </c>
      <c r="AD37" s="538"/>
      <c r="AE37" s="539">
        <f t="shared" si="8"/>
        <v>0</v>
      </c>
      <c r="AF37" s="540">
        <f t="shared" si="120"/>
        <v>0</v>
      </c>
      <c r="AG37" s="538"/>
      <c r="AH37" s="539">
        <f t="shared" si="9"/>
        <v>0</v>
      </c>
      <c r="AI37" s="540">
        <f t="shared" si="121"/>
        <v>0</v>
      </c>
      <c r="AJ37" s="538"/>
      <c r="AK37" s="539">
        <f t="shared" si="10"/>
        <v>0</v>
      </c>
      <c r="AL37" s="540">
        <f t="shared" si="122"/>
        <v>0</v>
      </c>
      <c r="AM37" s="538">
        <v>31.538461538461519</v>
      </c>
      <c r="AN37" s="539">
        <f t="shared" si="11"/>
        <v>0.43225280674398697</v>
      </c>
      <c r="AO37" s="540">
        <f t="shared" si="123"/>
        <v>0</v>
      </c>
      <c r="AP37" s="538"/>
      <c r="AQ37" s="539">
        <f t="shared" si="12"/>
        <v>0</v>
      </c>
      <c r="AR37" s="540">
        <f t="shared" si="124"/>
        <v>0</v>
      </c>
      <c r="AS37" s="538"/>
      <c r="AT37" s="539">
        <f t="shared" si="13"/>
        <v>0</v>
      </c>
      <c r="AU37" s="540">
        <f t="shared" si="125"/>
        <v>0</v>
      </c>
      <c r="AV37" s="538">
        <v>8.3250000000000028</v>
      </c>
      <c r="AW37" s="539">
        <f t="shared" si="14"/>
        <v>0.11409892685333667</v>
      </c>
      <c r="AX37" s="540">
        <f t="shared" si="126"/>
        <v>0</v>
      </c>
      <c r="AY37" s="538">
        <v>35</v>
      </c>
      <c r="AZ37" s="539">
        <f t="shared" si="15"/>
        <v>0.47969518797198585</v>
      </c>
      <c r="BA37" s="540">
        <f t="shared" si="127"/>
        <v>0</v>
      </c>
      <c r="BB37" s="538"/>
      <c r="BC37" s="539">
        <f t="shared" si="16"/>
        <v>0</v>
      </c>
      <c r="BD37" s="540">
        <f t="shared" si="128"/>
        <v>0</v>
      </c>
      <c r="BE37" s="538"/>
      <c r="BF37" s="539">
        <f t="shared" si="17"/>
        <v>0</v>
      </c>
      <c r="BG37" s="540">
        <f t="shared" si="129"/>
        <v>0</v>
      </c>
      <c r="BH37" s="538"/>
      <c r="BI37" s="539">
        <f t="shared" si="18"/>
        <v>0</v>
      </c>
      <c r="BJ37" s="540">
        <f t="shared" si="130"/>
        <v>0</v>
      </c>
      <c r="BK37" s="538"/>
      <c r="BL37" s="539">
        <f t="shared" si="19"/>
        <v>0</v>
      </c>
      <c r="BM37" s="540">
        <f t="shared" si="131"/>
        <v>0</v>
      </c>
      <c r="BN37" s="538"/>
      <c r="BO37" s="539">
        <f t="shared" si="20"/>
        <v>0</v>
      </c>
      <c r="BP37" s="540">
        <f t="shared" si="132"/>
        <v>0</v>
      </c>
      <c r="BQ37" s="538"/>
      <c r="BR37" s="539">
        <f t="shared" si="21"/>
        <v>0</v>
      </c>
      <c r="BS37" s="540">
        <f t="shared" si="133"/>
        <v>0</v>
      </c>
      <c r="BT37" s="538"/>
      <c r="BU37" s="539">
        <f t="shared" si="22"/>
        <v>0</v>
      </c>
      <c r="BV37" s="540">
        <f t="shared" si="134"/>
        <v>0</v>
      </c>
      <c r="BW37" s="538"/>
      <c r="BX37" s="539">
        <f t="shared" si="23"/>
        <v>0</v>
      </c>
      <c r="BY37" s="540">
        <f t="shared" si="135"/>
        <v>0</v>
      </c>
      <c r="BZ37" s="538">
        <v>0</v>
      </c>
      <c r="CA37" s="539">
        <f t="shared" si="24"/>
        <v>0</v>
      </c>
      <c r="CB37" s="540">
        <f t="shared" si="136"/>
        <v>0</v>
      </c>
      <c r="CC37" s="538">
        <v>0</v>
      </c>
      <c r="CD37" s="539">
        <f t="shared" si="25"/>
        <v>0</v>
      </c>
      <c r="CE37" s="540">
        <f t="shared" si="137"/>
        <v>0</v>
      </c>
      <c r="CF37" s="538">
        <v>2.3999999999999986</v>
      </c>
      <c r="CG37" s="539">
        <f t="shared" si="26"/>
        <v>3.2893384318079012E-2</v>
      </c>
      <c r="CH37" s="540">
        <f t="shared" si="138"/>
        <v>0</v>
      </c>
      <c r="CI37" s="538">
        <v>0</v>
      </c>
      <c r="CJ37" s="539">
        <f t="shared" si="27"/>
        <v>0</v>
      </c>
      <c r="CK37" s="540">
        <f t="shared" si="139"/>
        <v>0</v>
      </c>
      <c r="CL37" s="538"/>
      <c r="CM37" s="539">
        <f t="shared" si="28"/>
        <v>0</v>
      </c>
      <c r="CN37" s="540">
        <f t="shared" si="140"/>
        <v>0</v>
      </c>
      <c r="CO37" s="538"/>
      <c r="CP37" s="539">
        <f t="shared" si="29"/>
        <v>0</v>
      </c>
      <c r="CQ37" s="540">
        <f t="shared" si="141"/>
        <v>0</v>
      </c>
      <c r="CR37" s="538"/>
      <c r="CS37" s="539">
        <f t="shared" si="30"/>
        <v>0</v>
      </c>
      <c r="CT37" s="540">
        <f t="shared" si="142"/>
        <v>0</v>
      </c>
      <c r="CU37" s="538"/>
      <c r="CV37" s="539">
        <f t="shared" si="31"/>
        <v>0</v>
      </c>
      <c r="CW37" s="540">
        <f t="shared" si="143"/>
        <v>0</v>
      </c>
      <c r="CX37" s="538"/>
      <c r="CY37" s="539">
        <f t="shared" si="32"/>
        <v>0</v>
      </c>
      <c r="CZ37" s="540">
        <f t="shared" si="144"/>
        <v>0</v>
      </c>
      <c r="DA37" s="538">
        <v>500</v>
      </c>
      <c r="DB37" s="539">
        <f t="shared" si="33"/>
        <v>6.852788399599798</v>
      </c>
      <c r="DC37" s="540">
        <f t="shared" si="145"/>
        <v>0</v>
      </c>
      <c r="DD37" s="538"/>
      <c r="DE37" s="539">
        <f t="shared" si="34"/>
        <v>0</v>
      </c>
      <c r="DF37" s="540">
        <f t="shared" si="146"/>
        <v>0</v>
      </c>
      <c r="DG37" s="538"/>
      <c r="DH37" s="539">
        <f t="shared" si="35"/>
        <v>0</v>
      </c>
      <c r="DI37" s="540">
        <f t="shared" si="201"/>
        <v>0</v>
      </c>
      <c r="DJ37" s="538"/>
      <c r="DK37" s="539">
        <f t="shared" si="36"/>
        <v>0</v>
      </c>
      <c r="DL37" s="540">
        <f t="shared" si="147"/>
        <v>0</v>
      </c>
      <c r="DM37" s="538"/>
      <c r="DN37" s="539">
        <f t="shared" si="37"/>
        <v>0</v>
      </c>
      <c r="DO37" s="540">
        <f t="shared" si="148"/>
        <v>0</v>
      </c>
      <c r="DP37" s="538"/>
      <c r="DQ37" s="539">
        <f t="shared" si="38"/>
        <v>0</v>
      </c>
      <c r="DR37" s="540">
        <f t="shared" si="149"/>
        <v>0</v>
      </c>
      <c r="DS37" s="538"/>
      <c r="DT37" s="539">
        <f t="shared" si="39"/>
        <v>0</v>
      </c>
      <c r="DU37" s="540">
        <f t="shared" si="150"/>
        <v>0</v>
      </c>
      <c r="DV37" s="538"/>
      <c r="DW37" s="539">
        <f t="shared" si="40"/>
        <v>0</v>
      </c>
      <c r="DX37" s="540">
        <f t="shared" si="151"/>
        <v>0</v>
      </c>
      <c r="DY37" s="538">
        <v>0</v>
      </c>
      <c r="DZ37" s="539">
        <f t="shared" si="41"/>
        <v>0</v>
      </c>
      <c r="EA37" s="540">
        <f t="shared" si="152"/>
        <v>0</v>
      </c>
      <c r="EB37" s="538">
        <v>976.47058823529392</v>
      </c>
      <c r="EC37" s="539">
        <f t="shared" si="42"/>
        <v>13.383092639218425</v>
      </c>
      <c r="ED37" s="540">
        <f t="shared" si="153"/>
        <v>0</v>
      </c>
      <c r="EE37" s="538">
        <v>14.534883720930225</v>
      </c>
      <c r="EF37" s="539">
        <f t="shared" si="43"/>
        <v>0.19920896510464517</v>
      </c>
      <c r="EG37" s="540">
        <f t="shared" si="154"/>
        <v>0</v>
      </c>
      <c r="EH37" s="538">
        <v>0</v>
      </c>
      <c r="EI37" s="539">
        <f t="shared" si="44"/>
        <v>0</v>
      </c>
      <c r="EJ37" s="540">
        <f t="shared" si="155"/>
        <v>0</v>
      </c>
      <c r="EK37" s="538"/>
      <c r="EL37" s="539">
        <f t="shared" si="45"/>
        <v>0</v>
      </c>
      <c r="EM37" s="540">
        <f t="shared" si="156"/>
        <v>0</v>
      </c>
      <c r="EN37" s="538"/>
      <c r="EO37" s="539">
        <f t="shared" si="46"/>
        <v>0</v>
      </c>
      <c r="EP37" s="540">
        <f t="shared" si="157"/>
        <v>0</v>
      </c>
      <c r="EQ37" s="538"/>
      <c r="ER37" s="539">
        <f t="shared" si="47"/>
        <v>0</v>
      </c>
      <c r="ES37" s="540">
        <f t="shared" si="158"/>
        <v>0</v>
      </c>
      <c r="ET37" s="538"/>
      <c r="EU37" s="539">
        <f t="shared" si="48"/>
        <v>0</v>
      </c>
      <c r="EV37" s="540">
        <f t="shared" si="159"/>
        <v>0</v>
      </c>
      <c r="EW37" s="538"/>
      <c r="EX37" s="539">
        <f t="shared" si="49"/>
        <v>0</v>
      </c>
      <c r="EY37" s="540">
        <f t="shared" si="160"/>
        <v>0</v>
      </c>
      <c r="EZ37" s="538"/>
      <c r="FA37" s="539">
        <f t="shared" si="50"/>
        <v>0</v>
      </c>
      <c r="FB37" s="540">
        <f t="shared" si="161"/>
        <v>0</v>
      </c>
      <c r="FC37" s="538"/>
      <c r="FD37" s="539">
        <f t="shared" si="51"/>
        <v>0</v>
      </c>
      <c r="FE37" s="540">
        <f t="shared" si="162"/>
        <v>0</v>
      </c>
      <c r="FF37" s="538"/>
      <c r="FG37" s="539">
        <f t="shared" si="52"/>
        <v>0</v>
      </c>
      <c r="FH37" s="540">
        <f t="shared" si="163"/>
        <v>0</v>
      </c>
      <c r="FI37" s="538"/>
      <c r="FJ37" s="539">
        <f t="shared" si="53"/>
        <v>0</v>
      </c>
      <c r="FK37" s="540">
        <f t="shared" si="164"/>
        <v>0</v>
      </c>
      <c r="FL37" s="538"/>
      <c r="FM37" s="539">
        <f t="shared" si="54"/>
        <v>0</v>
      </c>
      <c r="FN37" s="540">
        <f t="shared" si="165"/>
        <v>0</v>
      </c>
      <c r="FO37" s="538"/>
      <c r="FP37" s="539">
        <f t="shared" si="55"/>
        <v>0</v>
      </c>
      <c r="FQ37" s="540">
        <f t="shared" si="166"/>
        <v>0</v>
      </c>
      <c r="FR37" s="538"/>
      <c r="FS37" s="539">
        <f t="shared" si="56"/>
        <v>0</v>
      </c>
      <c r="FT37" s="540">
        <f t="shared" si="167"/>
        <v>0</v>
      </c>
      <c r="FU37" s="538"/>
      <c r="FV37" s="539">
        <f t="shared" si="57"/>
        <v>0</v>
      </c>
      <c r="FW37" s="540">
        <f t="shared" si="168"/>
        <v>0</v>
      </c>
      <c r="FX37" s="538"/>
      <c r="FY37" s="539">
        <f t="shared" si="58"/>
        <v>0</v>
      </c>
      <c r="FZ37" s="540">
        <f t="shared" si="169"/>
        <v>0</v>
      </c>
      <c r="GA37" s="538"/>
      <c r="GB37" s="539">
        <f t="shared" si="59"/>
        <v>0</v>
      </c>
      <c r="GC37" s="540">
        <f t="shared" si="170"/>
        <v>0</v>
      </c>
      <c r="GD37" s="538"/>
      <c r="GE37" s="539">
        <f t="shared" si="60"/>
        <v>0</v>
      </c>
      <c r="GF37" s="540">
        <f t="shared" si="171"/>
        <v>0</v>
      </c>
      <c r="GG37" s="538">
        <v>10</v>
      </c>
      <c r="GH37" s="539">
        <f t="shared" si="61"/>
        <v>0.13705576799199595</v>
      </c>
      <c r="GI37" s="540">
        <f t="shared" si="172"/>
        <v>0</v>
      </c>
      <c r="GJ37" s="538">
        <v>10</v>
      </c>
      <c r="GK37" s="539">
        <f t="shared" si="211"/>
        <v>0.13705576799199595</v>
      </c>
      <c r="GL37" s="540">
        <f t="shared" si="212"/>
        <v>0</v>
      </c>
      <c r="GM37" s="538">
        <v>10</v>
      </c>
      <c r="GN37" s="539">
        <f t="shared" si="202"/>
        <v>0.13705576799199595</v>
      </c>
      <c r="GO37" s="540">
        <f t="shared" si="203"/>
        <v>0</v>
      </c>
      <c r="GP37" s="538">
        <v>0</v>
      </c>
      <c r="GQ37" s="539">
        <f t="shared" si="204"/>
        <v>0</v>
      </c>
      <c r="GR37" s="540">
        <f t="shared" si="205"/>
        <v>0</v>
      </c>
      <c r="GS37" s="538">
        <v>0</v>
      </c>
      <c r="GT37" s="539">
        <f t="shared" si="206"/>
        <v>0</v>
      </c>
      <c r="GU37" s="540">
        <f t="shared" si="207"/>
        <v>0</v>
      </c>
      <c r="GV37" s="538">
        <v>0</v>
      </c>
      <c r="GW37" s="539">
        <f t="shared" si="208"/>
        <v>0</v>
      </c>
      <c r="GX37" s="540">
        <f t="shared" si="209"/>
        <v>0</v>
      </c>
      <c r="GY37" s="538"/>
      <c r="GZ37" s="539">
        <f t="shared" si="67"/>
        <v>0</v>
      </c>
      <c r="HA37" s="540">
        <f t="shared" si="178"/>
        <v>0</v>
      </c>
      <c r="HB37" s="538"/>
      <c r="HC37" s="539">
        <f t="shared" si="68"/>
        <v>0</v>
      </c>
      <c r="HD37" s="540">
        <f t="shared" si="179"/>
        <v>0</v>
      </c>
      <c r="HE37" s="538"/>
      <c r="HF37" s="539">
        <f t="shared" si="69"/>
        <v>0</v>
      </c>
      <c r="HG37" s="540">
        <f t="shared" si="180"/>
        <v>0</v>
      </c>
      <c r="HH37" s="538"/>
      <c r="HI37" s="539">
        <f t="shared" si="70"/>
        <v>0</v>
      </c>
      <c r="HJ37" s="540">
        <f t="shared" si="181"/>
        <v>0</v>
      </c>
      <c r="HK37" s="538"/>
      <c r="HL37" s="539">
        <f t="shared" si="71"/>
        <v>0</v>
      </c>
      <c r="HM37" s="540">
        <f t="shared" si="182"/>
        <v>0</v>
      </c>
      <c r="HN37" s="538">
        <v>1790</v>
      </c>
      <c r="HO37" s="539">
        <f t="shared" si="72"/>
        <v>24.532982470567276</v>
      </c>
      <c r="HP37" s="540">
        <f t="shared" si="183"/>
        <v>0</v>
      </c>
      <c r="HQ37" s="538"/>
      <c r="HR37" s="539">
        <f t="shared" si="73"/>
        <v>0</v>
      </c>
      <c r="HS37" s="540">
        <f t="shared" si="184"/>
        <v>0</v>
      </c>
      <c r="HT37" s="538">
        <v>50</v>
      </c>
      <c r="HU37" s="539">
        <f t="shared" si="74"/>
        <v>0.68527883995997974</v>
      </c>
      <c r="HV37" s="540">
        <f t="shared" si="185"/>
        <v>0</v>
      </c>
      <c r="HW37" s="538">
        <v>15</v>
      </c>
      <c r="HX37" s="539">
        <f t="shared" si="75"/>
        <v>0.20558365198799394</v>
      </c>
      <c r="HY37" s="540">
        <f t="shared" si="186"/>
        <v>0</v>
      </c>
      <c r="HZ37" s="538">
        <v>35</v>
      </c>
      <c r="IA37" s="539">
        <f t="shared" si="76"/>
        <v>0.47969518797198585</v>
      </c>
      <c r="IB37" s="540">
        <f t="shared" si="187"/>
        <v>0</v>
      </c>
      <c r="IC37" s="538">
        <v>50</v>
      </c>
      <c r="ID37" s="539">
        <f t="shared" si="77"/>
        <v>0.68527883995997974</v>
      </c>
      <c r="IE37" s="540">
        <f t="shared" si="188"/>
        <v>0</v>
      </c>
      <c r="IF37" s="538">
        <v>0</v>
      </c>
      <c r="IG37" s="539">
        <f t="shared" si="78"/>
        <v>0</v>
      </c>
      <c r="IH37" s="540">
        <f t="shared" si="189"/>
        <v>0</v>
      </c>
      <c r="II37" s="538"/>
      <c r="IJ37" s="539">
        <f t="shared" si="79"/>
        <v>0</v>
      </c>
      <c r="IK37" s="540">
        <f t="shared" si="190"/>
        <v>0</v>
      </c>
      <c r="IL37" s="538">
        <v>0</v>
      </c>
      <c r="IM37" s="539">
        <f t="shared" si="80"/>
        <v>0</v>
      </c>
      <c r="IN37" s="540">
        <f t="shared" si="191"/>
        <v>0</v>
      </c>
      <c r="IO37" s="538">
        <v>100</v>
      </c>
      <c r="IP37" s="539">
        <f t="shared" si="81"/>
        <v>1.3705576799199595</v>
      </c>
      <c r="IQ37" s="540">
        <f t="shared" si="192"/>
        <v>0</v>
      </c>
      <c r="IR37" s="538">
        <v>10</v>
      </c>
      <c r="IS37" s="539">
        <f t="shared" si="82"/>
        <v>0.13705576799199595</v>
      </c>
      <c r="IT37" s="540">
        <f t="shared" si="193"/>
        <v>0</v>
      </c>
      <c r="IU37" s="538"/>
      <c r="IV37" s="539">
        <f t="shared" si="83"/>
        <v>0</v>
      </c>
      <c r="IW37" s="540">
        <f t="shared" si="194"/>
        <v>0</v>
      </c>
      <c r="IX37" s="538">
        <v>10</v>
      </c>
      <c r="IY37" s="539">
        <f t="shared" si="84"/>
        <v>0.13705576799199595</v>
      </c>
      <c r="IZ37" s="540">
        <f t="shared" si="195"/>
        <v>0</v>
      </c>
      <c r="JA37" s="538"/>
      <c r="JB37" s="539">
        <f t="shared" si="85"/>
        <v>0</v>
      </c>
      <c r="JC37" s="540">
        <f t="shared" si="196"/>
        <v>0</v>
      </c>
      <c r="JD37" s="538"/>
      <c r="JE37" s="539">
        <f t="shared" si="86"/>
        <v>0</v>
      </c>
      <c r="JF37" s="540">
        <f t="shared" si="197"/>
        <v>0</v>
      </c>
      <c r="JG37" s="538">
        <v>30</v>
      </c>
      <c r="JH37" s="540" t="str">
        <f t="shared" si="87"/>
        <v>0</v>
      </c>
      <c r="JI37" s="540" t="str">
        <f t="shared" si="88"/>
        <v>0</v>
      </c>
      <c r="JJ37" s="538">
        <v>40</v>
      </c>
      <c r="JK37" s="540" t="str">
        <f t="shared" si="89"/>
        <v>0</v>
      </c>
      <c r="JL37" s="540" t="str">
        <f t="shared" si="90"/>
        <v>0</v>
      </c>
      <c r="JM37" s="538"/>
      <c r="JN37" s="540" t="str">
        <f t="shared" si="91"/>
        <v>0</v>
      </c>
      <c r="JO37" s="540" t="str">
        <f t="shared" si="92"/>
        <v>0</v>
      </c>
      <c r="JP37" s="538"/>
      <c r="JQ37" s="540" t="str">
        <f t="shared" si="93"/>
        <v>0</v>
      </c>
      <c r="JR37" s="540" t="str">
        <f t="shared" si="94"/>
        <v>0</v>
      </c>
      <c r="JS37" s="538"/>
      <c r="JT37" s="540" t="str">
        <f t="shared" si="95"/>
        <v>0</v>
      </c>
      <c r="JU37" s="540" t="str">
        <f t="shared" si="96"/>
        <v>0</v>
      </c>
      <c r="JV37" s="538"/>
      <c r="JW37" s="540" t="str">
        <f t="shared" si="97"/>
        <v>0</v>
      </c>
      <c r="JX37" s="540" t="str">
        <f t="shared" si="98"/>
        <v>0</v>
      </c>
      <c r="JY37" s="538"/>
      <c r="JZ37" s="540" t="str">
        <f t="shared" si="99"/>
        <v>0</v>
      </c>
      <c r="KA37" s="540" t="str">
        <f t="shared" si="100"/>
        <v>0</v>
      </c>
      <c r="KB37" s="538"/>
      <c r="KC37" s="540" t="str">
        <f t="shared" si="101"/>
        <v>0</v>
      </c>
      <c r="KD37" s="540" t="str">
        <f t="shared" si="102"/>
        <v>0</v>
      </c>
      <c r="KE37" s="538"/>
      <c r="KF37" s="540" t="str">
        <f t="shared" si="103"/>
        <v>0</v>
      </c>
      <c r="KG37" s="540" t="str">
        <f t="shared" si="104"/>
        <v>0</v>
      </c>
      <c r="KH37" s="538"/>
      <c r="KI37" s="540" t="str">
        <f t="shared" si="105"/>
        <v>0</v>
      </c>
      <c r="KJ37" s="540" t="str">
        <f t="shared" si="106"/>
        <v>0</v>
      </c>
      <c r="KK37" s="538"/>
      <c r="KL37" s="540" t="str">
        <f t="shared" si="107"/>
        <v>0</v>
      </c>
      <c r="KM37" s="540" t="str">
        <f t="shared" si="108"/>
        <v>0</v>
      </c>
      <c r="KN37" s="538"/>
      <c r="KO37" s="540" t="str">
        <f t="shared" si="109"/>
        <v>0</v>
      </c>
      <c r="KP37" s="540" t="str">
        <f t="shared" si="110"/>
        <v>0</v>
      </c>
      <c r="KQ37" s="540">
        <f t="shared" si="111"/>
        <v>0</v>
      </c>
      <c r="KR37" s="540">
        <f t="shared" si="198"/>
        <v>0</v>
      </c>
      <c r="KS37" s="268">
        <f t="shared" si="199"/>
        <v>3905.1846311691043</v>
      </c>
    </row>
    <row r="38" spans="1:16381" ht="15" customHeight="1">
      <c r="A38" s="270">
        <f t="shared" si="200"/>
        <v>45960</v>
      </c>
      <c r="B38" s="271" t="str">
        <f>+Report1!B38</f>
        <v>Towel/Napkin</v>
      </c>
      <c r="C38" s="271" t="str">
        <f>+Report1!C38</f>
        <v>31,5/25/19</v>
      </c>
      <c r="D38" s="272">
        <f>+Report1!P38</f>
        <v>68.887</v>
      </c>
      <c r="E38" s="273">
        <f>+Report1!R38</f>
        <v>68.492999999999995</v>
      </c>
      <c r="F38" s="538">
        <v>0</v>
      </c>
      <c r="G38" s="539">
        <f t="shared" si="0"/>
        <v>0</v>
      </c>
      <c r="H38" s="540">
        <f t="shared" si="112"/>
        <v>0</v>
      </c>
      <c r="I38" s="538">
        <v>0</v>
      </c>
      <c r="J38" s="539">
        <f t="shared" si="1"/>
        <v>0</v>
      </c>
      <c r="K38" s="540">
        <f t="shared" si="113"/>
        <v>0</v>
      </c>
      <c r="L38" s="538"/>
      <c r="M38" s="539">
        <f t="shared" si="2"/>
        <v>0</v>
      </c>
      <c r="N38" s="540">
        <f t="shared" si="114"/>
        <v>0</v>
      </c>
      <c r="O38" s="538">
        <v>9</v>
      </c>
      <c r="P38" s="539">
        <f t="shared" si="3"/>
        <v>0.13140028908063597</v>
      </c>
      <c r="Q38" s="540">
        <f t="shared" si="115"/>
        <v>0</v>
      </c>
      <c r="R38" s="538"/>
      <c r="S38" s="539">
        <f t="shared" si="4"/>
        <v>0</v>
      </c>
      <c r="T38" s="540">
        <f t="shared" si="116"/>
        <v>0</v>
      </c>
      <c r="U38" s="538">
        <v>5.1250000000000284</v>
      </c>
      <c r="V38" s="539">
        <f t="shared" si="5"/>
        <v>7.482516461536258E-2</v>
      </c>
      <c r="W38" s="540">
        <f t="shared" si="117"/>
        <v>0</v>
      </c>
      <c r="X38" s="538"/>
      <c r="Y38" s="539">
        <f t="shared" si="6"/>
        <v>0</v>
      </c>
      <c r="Z38" s="540">
        <f t="shared" si="118"/>
        <v>0</v>
      </c>
      <c r="AA38" s="538"/>
      <c r="AB38" s="539">
        <f t="shared" si="7"/>
        <v>0</v>
      </c>
      <c r="AC38" s="540">
        <f t="shared" si="119"/>
        <v>0</v>
      </c>
      <c r="AD38" s="538"/>
      <c r="AE38" s="539">
        <f t="shared" si="8"/>
        <v>0</v>
      </c>
      <c r="AF38" s="540">
        <f t="shared" si="120"/>
        <v>0</v>
      </c>
      <c r="AG38" s="538"/>
      <c r="AH38" s="539">
        <f t="shared" si="9"/>
        <v>0</v>
      </c>
      <c r="AI38" s="540">
        <f t="shared" si="121"/>
        <v>0</v>
      </c>
      <c r="AJ38" s="538"/>
      <c r="AK38" s="539">
        <f t="shared" si="10"/>
        <v>0</v>
      </c>
      <c r="AL38" s="540">
        <f t="shared" si="122"/>
        <v>0</v>
      </c>
      <c r="AM38" s="538">
        <v>36.794871794871824</v>
      </c>
      <c r="AN38" s="539">
        <f t="shared" si="11"/>
        <v>0.53720631005901076</v>
      </c>
      <c r="AO38" s="540">
        <f t="shared" si="123"/>
        <v>0</v>
      </c>
      <c r="AP38" s="538"/>
      <c r="AQ38" s="539">
        <f t="shared" si="12"/>
        <v>0</v>
      </c>
      <c r="AR38" s="540">
        <f t="shared" si="124"/>
        <v>0</v>
      </c>
      <c r="AS38" s="538"/>
      <c r="AT38" s="539">
        <f t="shared" si="13"/>
        <v>0</v>
      </c>
      <c r="AU38" s="540">
        <f t="shared" si="125"/>
        <v>0</v>
      </c>
      <c r="AV38" s="538">
        <v>11.100000000000009</v>
      </c>
      <c r="AW38" s="539">
        <f t="shared" si="14"/>
        <v>0.1620603565327845</v>
      </c>
      <c r="AX38" s="540">
        <f t="shared" si="126"/>
        <v>0</v>
      </c>
      <c r="AY38" s="538">
        <v>42</v>
      </c>
      <c r="AZ38" s="539">
        <f t="shared" si="15"/>
        <v>0.61320134904296797</v>
      </c>
      <c r="BA38" s="540">
        <f t="shared" si="127"/>
        <v>0</v>
      </c>
      <c r="BB38" s="538"/>
      <c r="BC38" s="539">
        <f t="shared" si="16"/>
        <v>0</v>
      </c>
      <c r="BD38" s="540">
        <f t="shared" si="128"/>
        <v>0</v>
      </c>
      <c r="BE38" s="538"/>
      <c r="BF38" s="539">
        <f t="shared" si="17"/>
        <v>0</v>
      </c>
      <c r="BG38" s="540">
        <f t="shared" si="129"/>
        <v>0</v>
      </c>
      <c r="BH38" s="538"/>
      <c r="BI38" s="539">
        <f t="shared" si="18"/>
        <v>0</v>
      </c>
      <c r="BJ38" s="540">
        <f t="shared" si="130"/>
        <v>0</v>
      </c>
      <c r="BK38" s="538"/>
      <c r="BL38" s="539">
        <f t="shared" si="19"/>
        <v>0</v>
      </c>
      <c r="BM38" s="540">
        <f t="shared" si="131"/>
        <v>0</v>
      </c>
      <c r="BN38" s="538"/>
      <c r="BO38" s="539">
        <f t="shared" si="20"/>
        <v>0</v>
      </c>
      <c r="BP38" s="540">
        <f t="shared" si="132"/>
        <v>0</v>
      </c>
      <c r="BQ38" s="538"/>
      <c r="BR38" s="539">
        <f t="shared" si="21"/>
        <v>0</v>
      </c>
      <c r="BS38" s="540">
        <f t="shared" si="133"/>
        <v>0</v>
      </c>
      <c r="BT38" s="538"/>
      <c r="BU38" s="539">
        <f t="shared" si="22"/>
        <v>0</v>
      </c>
      <c r="BV38" s="540">
        <f t="shared" si="134"/>
        <v>0</v>
      </c>
      <c r="BW38" s="538"/>
      <c r="BX38" s="539">
        <f t="shared" si="23"/>
        <v>0</v>
      </c>
      <c r="BY38" s="540">
        <f t="shared" si="135"/>
        <v>0</v>
      </c>
      <c r="BZ38" s="538">
        <v>0</v>
      </c>
      <c r="CA38" s="539">
        <f t="shared" si="24"/>
        <v>0</v>
      </c>
      <c r="CB38" s="540">
        <f t="shared" si="136"/>
        <v>0</v>
      </c>
      <c r="CC38" s="538">
        <v>0</v>
      </c>
      <c r="CD38" s="539">
        <f t="shared" si="25"/>
        <v>0</v>
      </c>
      <c r="CE38" s="540">
        <f t="shared" si="137"/>
        <v>0</v>
      </c>
      <c r="CF38" s="538">
        <v>2.4000000000000021</v>
      </c>
      <c r="CG38" s="539">
        <f t="shared" si="26"/>
        <v>3.5040077088169627E-2</v>
      </c>
      <c r="CH38" s="540">
        <f t="shared" si="138"/>
        <v>0</v>
      </c>
      <c r="CI38" s="538">
        <v>0</v>
      </c>
      <c r="CJ38" s="539">
        <f t="shared" si="27"/>
        <v>0</v>
      </c>
      <c r="CK38" s="540">
        <f t="shared" si="139"/>
        <v>0</v>
      </c>
      <c r="CL38" s="538"/>
      <c r="CM38" s="539">
        <f t="shared" si="28"/>
        <v>0</v>
      </c>
      <c r="CN38" s="540">
        <f t="shared" si="140"/>
        <v>0</v>
      </c>
      <c r="CO38" s="538"/>
      <c r="CP38" s="539">
        <f t="shared" si="29"/>
        <v>0</v>
      </c>
      <c r="CQ38" s="540">
        <f t="shared" si="141"/>
        <v>0</v>
      </c>
      <c r="CR38" s="538"/>
      <c r="CS38" s="539">
        <f t="shared" si="30"/>
        <v>0</v>
      </c>
      <c r="CT38" s="540">
        <f t="shared" si="142"/>
        <v>0</v>
      </c>
      <c r="CU38" s="538"/>
      <c r="CV38" s="539">
        <f t="shared" si="31"/>
        <v>0</v>
      </c>
      <c r="CW38" s="540">
        <f t="shared" si="143"/>
        <v>0</v>
      </c>
      <c r="CX38" s="538"/>
      <c r="CY38" s="539">
        <f t="shared" si="32"/>
        <v>0</v>
      </c>
      <c r="CZ38" s="540">
        <f t="shared" si="144"/>
        <v>0</v>
      </c>
      <c r="DA38" s="538">
        <v>588.23529411764707</v>
      </c>
      <c r="DB38" s="539">
        <f t="shared" si="33"/>
        <v>8.5882541882768617</v>
      </c>
      <c r="DC38" s="540">
        <f t="shared" si="145"/>
        <v>0</v>
      </c>
      <c r="DD38" s="538"/>
      <c r="DE38" s="539">
        <f t="shared" si="34"/>
        <v>0</v>
      </c>
      <c r="DF38" s="540">
        <f t="shared" si="146"/>
        <v>0</v>
      </c>
      <c r="DG38" s="538"/>
      <c r="DH38" s="539">
        <f t="shared" si="35"/>
        <v>0</v>
      </c>
      <c r="DI38" s="540">
        <f t="shared" si="201"/>
        <v>0</v>
      </c>
      <c r="DJ38" s="538"/>
      <c r="DK38" s="539">
        <f t="shared" si="36"/>
        <v>0</v>
      </c>
      <c r="DL38" s="540">
        <f t="shared" si="147"/>
        <v>0</v>
      </c>
      <c r="DM38" s="538"/>
      <c r="DN38" s="539">
        <f t="shared" si="37"/>
        <v>0</v>
      </c>
      <c r="DO38" s="540">
        <f t="shared" si="148"/>
        <v>0</v>
      </c>
      <c r="DP38" s="538"/>
      <c r="DQ38" s="539">
        <f t="shared" si="38"/>
        <v>0</v>
      </c>
      <c r="DR38" s="540">
        <f t="shared" si="149"/>
        <v>0</v>
      </c>
      <c r="DS38" s="538"/>
      <c r="DT38" s="539">
        <f t="shared" si="39"/>
        <v>0</v>
      </c>
      <c r="DU38" s="540">
        <f t="shared" si="150"/>
        <v>0</v>
      </c>
      <c r="DV38" s="538"/>
      <c r="DW38" s="539">
        <f t="shared" si="40"/>
        <v>0</v>
      </c>
      <c r="DX38" s="540">
        <f t="shared" si="151"/>
        <v>0</v>
      </c>
      <c r="DY38" s="538">
        <v>0</v>
      </c>
      <c r="DZ38" s="539">
        <f t="shared" si="41"/>
        <v>0</v>
      </c>
      <c r="EA38" s="540">
        <f t="shared" si="152"/>
        <v>0</v>
      </c>
      <c r="EB38" s="538">
        <v>976.47058823529426</v>
      </c>
      <c r="EC38" s="539">
        <f t="shared" si="42"/>
        <v>14.256501952539592</v>
      </c>
      <c r="ED38" s="540">
        <f t="shared" si="153"/>
        <v>0</v>
      </c>
      <c r="EE38" s="538">
        <v>14.534883720930338</v>
      </c>
      <c r="EF38" s="539">
        <f t="shared" si="43"/>
        <v>0.21220976918707515</v>
      </c>
      <c r="EG38" s="540">
        <f t="shared" si="154"/>
        <v>0</v>
      </c>
      <c r="EH38" s="538">
        <v>1</v>
      </c>
      <c r="EI38" s="539">
        <f t="shared" si="44"/>
        <v>1.4600032120070666E-2</v>
      </c>
      <c r="EJ38" s="540">
        <f t="shared" si="155"/>
        <v>0</v>
      </c>
      <c r="EK38" s="538"/>
      <c r="EL38" s="539">
        <f t="shared" si="45"/>
        <v>0</v>
      </c>
      <c r="EM38" s="540">
        <f t="shared" si="156"/>
        <v>0</v>
      </c>
      <c r="EN38" s="538"/>
      <c r="EO38" s="539">
        <f t="shared" si="46"/>
        <v>0</v>
      </c>
      <c r="EP38" s="540">
        <f t="shared" si="157"/>
        <v>0</v>
      </c>
      <c r="EQ38" s="538"/>
      <c r="ER38" s="539">
        <f t="shared" si="47"/>
        <v>0</v>
      </c>
      <c r="ES38" s="540">
        <f t="shared" si="158"/>
        <v>0</v>
      </c>
      <c r="ET38" s="538"/>
      <c r="EU38" s="539">
        <f t="shared" si="48"/>
        <v>0</v>
      </c>
      <c r="EV38" s="540">
        <f t="shared" si="159"/>
        <v>0</v>
      </c>
      <c r="EW38" s="538"/>
      <c r="EX38" s="539">
        <f t="shared" si="49"/>
        <v>0</v>
      </c>
      <c r="EY38" s="540">
        <f t="shared" si="160"/>
        <v>0</v>
      </c>
      <c r="EZ38" s="538"/>
      <c r="FA38" s="539">
        <f t="shared" si="50"/>
        <v>0</v>
      </c>
      <c r="FB38" s="540">
        <f t="shared" si="161"/>
        <v>0</v>
      </c>
      <c r="FC38" s="538"/>
      <c r="FD38" s="539">
        <f t="shared" si="51"/>
        <v>0</v>
      </c>
      <c r="FE38" s="540">
        <f t="shared" si="162"/>
        <v>0</v>
      </c>
      <c r="FF38" s="538"/>
      <c r="FG38" s="539">
        <f t="shared" si="52"/>
        <v>0</v>
      </c>
      <c r="FH38" s="540">
        <f t="shared" si="163"/>
        <v>0</v>
      </c>
      <c r="FI38" s="538"/>
      <c r="FJ38" s="539">
        <f t="shared" si="53"/>
        <v>0</v>
      </c>
      <c r="FK38" s="540">
        <f t="shared" si="164"/>
        <v>0</v>
      </c>
      <c r="FL38" s="538"/>
      <c r="FM38" s="539">
        <f t="shared" si="54"/>
        <v>0</v>
      </c>
      <c r="FN38" s="540">
        <f t="shared" si="165"/>
        <v>0</v>
      </c>
      <c r="FO38" s="538"/>
      <c r="FP38" s="539">
        <f t="shared" si="55"/>
        <v>0</v>
      </c>
      <c r="FQ38" s="540">
        <f t="shared" si="166"/>
        <v>0</v>
      </c>
      <c r="FR38" s="538"/>
      <c r="FS38" s="539">
        <f t="shared" si="56"/>
        <v>0</v>
      </c>
      <c r="FT38" s="540">
        <f t="shared" si="167"/>
        <v>0</v>
      </c>
      <c r="FU38" s="538"/>
      <c r="FV38" s="539">
        <f t="shared" si="57"/>
        <v>0</v>
      </c>
      <c r="FW38" s="540">
        <f t="shared" si="168"/>
        <v>0</v>
      </c>
      <c r="FX38" s="538"/>
      <c r="FY38" s="539">
        <f t="shared" si="58"/>
        <v>0</v>
      </c>
      <c r="FZ38" s="540">
        <f t="shared" si="169"/>
        <v>0</v>
      </c>
      <c r="GA38" s="538"/>
      <c r="GB38" s="539">
        <f t="shared" si="59"/>
        <v>0</v>
      </c>
      <c r="GC38" s="540">
        <f t="shared" si="170"/>
        <v>0</v>
      </c>
      <c r="GD38" s="538"/>
      <c r="GE38" s="539">
        <f t="shared" si="60"/>
        <v>0</v>
      </c>
      <c r="GF38" s="540">
        <f t="shared" si="171"/>
        <v>0</v>
      </c>
      <c r="GG38" s="538">
        <v>10</v>
      </c>
      <c r="GH38" s="539">
        <f t="shared" si="61"/>
        <v>0.14600032120070666</v>
      </c>
      <c r="GI38" s="540">
        <f t="shared" si="172"/>
        <v>0</v>
      </c>
      <c r="GJ38" s="538">
        <v>10</v>
      </c>
      <c r="GK38" s="539">
        <f t="shared" si="211"/>
        <v>0.14600032120070666</v>
      </c>
      <c r="GL38" s="540">
        <f t="shared" si="212"/>
        <v>0</v>
      </c>
      <c r="GM38" s="538">
        <v>10</v>
      </c>
      <c r="GN38" s="539">
        <f t="shared" si="202"/>
        <v>0.14600032120070666</v>
      </c>
      <c r="GO38" s="540">
        <f t="shared" si="203"/>
        <v>0</v>
      </c>
      <c r="GP38" s="538">
        <v>0</v>
      </c>
      <c r="GQ38" s="539">
        <f t="shared" si="204"/>
        <v>0</v>
      </c>
      <c r="GR38" s="540">
        <f t="shared" si="205"/>
        <v>0</v>
      </c>
      <c r="GS38" s="538">
        <v>0</v>
      </c>
      <c r="GT38" s="539">
        <f t="shared" si="206"/>
        <v>0</v>
      </c>
      <c r="GU38" s="540">
        <f t="shared" si="207"/>
        <v>0</v>
      </c>
      <c r="GV38" s="538">
        <v>0</v>
      </c>
      <c r="GW38" s="539">
        <f t="shared" si="208"/>
        <v>0</v>
      </c>
      <c r="GX38" s="540">
        <f t="shared" si="209"/>
        <v>0</v>
      </c>
      <c r="GY38" s="538"/>
      <c r="GZ38" s="539">
        <f t="shared" si="67"/>
        <v>0</v>
      </c>
      <c r="HA38" s="540">
        <f t="shared" si="178"/>
        <v>0</v>
      </c>
      <c r="HB38" s="538"/>
      <c r="HC38" s="539">
        <f t="shared" si="68"/>
        <v>0</v>
      </c>
      <c r="HD38" s="540">
        <f t="shared" si="179"/>
        <v>0</v>
      </c>
      <c r="HE38" s="538"/>
      <c r="HF38" s="539">
        <f t="shared" si="69"/>
        <v>0</v>
      </c>
      <c r="HG38" s="540">
        <f t="shared" si="180"/>
        <v>0</v>
      </c>
      <c r="HH38" s="538"/>
      <c r="HI38" s="539">
        <f t="shared" si="70"/>
        <v>0</v>
      </c>
      <c r="HJ38" s="540">
        <f t="shared" si="181"/>
        <v>0</v>
      </c>
      <c r="HK38" s="538"/>
      <c r="HL38" s="539">
        <f t="shared" si="71"/>
        <v>0</v>
      </c>
      <c r="HM38" s="540">
        <f t="shared" si="182"/>
        <v>0</v>
      </c>
      <c r="HN38" s="538">
        <v>1790</v>
      </c>
      <c r="HO38" s="539">
        <f t="shared" si="72"/>
        <v>26.134057494926491</v>
      </c>
      <c r="HP38" s="540">
        <f t="shared" si="183"/>
        <v>0</v>
      </c>
      <c r="HQ38" s="538"/>
      <c r="HR38" s="539">
        <f t="shared" si="73"/>
        <v>0</v>
      </c>
      <c r="HS38" s="540">
        <f t="shared" si="184"/>
        <v>0</v>
      </c>
      <c r="HT38" s="538">
        <v>35</v>
      </c>
      <c r="HU38" s="539">
        <f t="shared" si="74"/>
        <v>0.51100112420247323</v>
      </c>
      <c r="HV38" s="540">
        <f t="shared" si="185"/>
        <v>0</v>
      </c>
      <c r="HW38" s="538">
        <v>15</v>
      </c>
      <c r="HX38" s="539">
        <f t="shared" si="75"/>
        <v>0.21900048180105997</v>
      </c>
      <c r="HY38" s="540">
        <f t="shared" si="186"/>
        <v>0</v>
      </c>
      <c r="HZ38" s="538">
        <v>15</v>
      </c>
      <c r="IA38" s="539">
        <f t="shared" si="76"/>
        <v>0.21900048180105997</v>
      </c>
      <c r="IB38" s="540">
        <f t="shared" si="187"/>
        <v>0</v>
      </c>
      <c r="IC38" s="538">
        <v>60</v>
      </c>
      <c r="ID38" s="539">
        <f t="shared" si="77"/>
        <v>0.87600192720423986</v>
      </c>
      <c r="IE38" s="540">
        <f t="shared" si="188"/>
        <v>0</v>
      </c>
      <c r="IF38" s="538">
        <v>0</v>
      </c>
      <c r="IG38" s="539">
        <f t="shared" si="78"/>
        <v>0</v>
      </c>
      <c r="IH38" s="540">
        <f t="shared" si="189"/>
        <v>0</v>
      </c>
      <c r="II38" s="538"/>
      <c r="IJ38" s="539">
        <f t="shared" si="79"/>
        <v>0</v>
      </c>
      <c r="IK38" s="540">
        <f t="shared" si="190"/>
        <v>0</v>
      </c>
      <c r="IL38" s="538">
        <v>0</v>
      </c>
      <c r="IM38" s="539">
        <f t="shared" si="80"/>
        <v>0</v>
      </c>
      <c r="IN38" s="540">
        <f t="shared" si="191"/>
        <v>0</v>
      </c>
      <c r="IO38" s="538">
        <v>100</v>
      </c>
      <c r="IP38" s="539">
        <f t="shared" si="81"/>
        <v>1.4600032120070665</v>
      </c>
      <c r="IQ38" s="540">
        <f t="shared" si="192"/>
        <v>0</v>
      </c>
      <c r="IR38" s="538">
        <v>10</v>
      </c>
      <c r="IS38" s="539">
        <f t="shared" si="82"/>
        <v>0.14600032120070666</v>
      </c>
      <c r="IT38" s="540">
        <f t="shared" si="193"/>
        <v>0</v>
      </c>
      <c r="IU38" s="538"/>
      <c r="IV38" s="539">
        <f t="shared" si="83"/>
        <v>0</v>
      </c>
      <c r="IW38" s="540">
        <f t="shared" si="194"/>
        <v>0</v>
      </c>
      <c r="IX38" s="538">
        <v>10</v>
      </c>
      <c r="IY38" s="539">
        <f t="shared" si="84"/>
        <v>0.14600032120070666</v>
      </c>
      <c r="IZ38" s="540">
        <f t="shared" si="195"/>
        <v>0</v>
      </c>
      <c r="JA38" s="538"/>
      <c r="JB38" s="539">
        <f t="shared" si="85"/>
        <v>0</v>
      </c>
      <c r="JC38" s="540">
        <f t="shared" si="196"/>
        <v>0</v>
      </c>
      <c r="JD38" s="538"/>
      <c r="JE38" s="539">
        <f t="shared" si="86"/>
        <v>0</v>
      </c>
      <c r="JF38" s="540">
        <f t="shared" si="197"/>
        <v>0</v>
      </c>
      <c r="JG38" s="538">
        <v>40</v>
      </c>
      <c r="JH38" s="540" t="str">
        <f t="shared" si="87"/>
        <v>0</v>
      </c>
      <c r="JI38" s="540" t="str">
        <f t="shared" si="88"/>
        <v>0</v>
      </c>
      <c r="JJ38" s="538">
        <v>40</v>
      </c>
      <c r="JK38" s="540" t="str">
        <f t="shared" si="89"/>
        <v>0</v>
      </c>
      <c r="JL38" s="540" t="str">
        <f t="shared" si="90"/>
        <v>0</v>
      </c>
      <c r="JM38" s="538"/>
      <c r="JN38" s="540" t="str">
        <f t="shared" si="91"/>
        <v>0</v>
      </c>
      <c r="JO38" s="540" t="str">
        <f t="shared" si="92"/>
        <v>0</v>
      </c>
      <c r="JP38" s="538"/>
      <c r="JQ38" s="540" t="str">
        <f t="shared" si="93"/>
        <v>0</v>
      </c>
      <c r="JR38" s="540" t="str">
        <f t="shared" si="94"/>
        <v>0</v>
      </c>
      <c r="JS38" s="538"/>
      <c r="JT38" s="540" t="str">
        <f t="shared" si="95"/>
        <v>0</v>
      </c>
      <c r="JU38" s="540" t="str">
        <f t="shared" si="96"/>
        <v>0</v>
      </c>
      <c r="JV38" s="538"/>
      <c r="JW38" s="540" t="str">
        <f t="shared" si="97"/>
        <v>0</v>
      </c>
      <c r="JX38" s="540" t="str">
        <f t="shared" si="98"/>
        <v>0</v>
      </c>
      <c r="JY38" s="538"/>
      <c r="JZ38" s="540" t="str">
        <f t="shared" si="99"/>
        <v>0</v>
      </c>
      <c r="KA38" s="540" t="str">
        <f t="shared" si="100"/>
        <v>0</v>
      </c>
      <c r="KB38" s="538"/>
      <c r="KC38" s="540" t="str">
        <f t="shared" si="101"/>
        <v>0</v>
      </c>
      <c r="KD38" s="540" t="str">
        <f t="shared" si="102"/>
        <v>0</v>
      </c>
      <c r="KE38" s="538"/>
      <c r="KF38" s="540" t="str">
        <f t="shared" si="103"/>
        <v>0</v>
      </c>
      <c r="KG38" s="540" t="str">
        <f t="shared" si="104"/>
        <v>0</v>
      </c>
      <c r="KH38" s="538"/>
      <c r="KI38" s="540" t="str">
        <f t="shared" si="105"/>
        <v>0</v>
      </c>
      <c r="KJ38" s="540" t="str">
        <f t="shared" si="106"/>
        <v>0</v>
      </c>
      <c r="KK38" s="538"/>
      <c r="KL38" s="540" t="str">
        <f t="shared" si="107"/>
        <v>0</v>
      </c>
      <c r="KM38" s="540" t="str">
        <f t="shared" si="108"/>
        <v>0</v>
      </c>
      <c r="KN38" s="538"/>
      <c r="KO38" s="540" t="str">
        <f t="shared" si="109"/>
        <v>0</v>
      </c>
      <c r="KP38" s="540" t="str">
        <f t="shared" si="110"/>
        <v>0</v>
      </c>
      <c r="KQ38" s="540">
        <f t="shared" si="111"/>
        <v>0</v>
      </c>
      <c r="KR38" s="540">
        <f t="shared" si="198"/>
        <v>0</v>
      </c>
      <c r="KS38" s="268">
        <f t="shared" si="199"/>
        <v>3831.6606378687434</v>
      </c>
    </row>
    <row r="39" spans="1:16381" ht="15" customHeight="1">
      <c r="A39" s="270">
        <f t="shared" si="200"/>
        <v>45961</v>
      </c>
      <c r="B39" s="271" t="str">
        <f>+Report1!B39</f>
        <v>Napkin</v>
      </c>
      <c r="C39" s="271" t="str">
        <f>+Report1!C39</f>
        <v>19/16</v>
      </c>
      <c r="D39" s="272">
        <f>+Report1!P39</f>
        <v>45.510000000000005</v>
      </c>
      <c r="E39" s="273">
        <f>+Report1!R39</f>
        <v>41.704000000000001</v>
      </c>
      <c r="F39" s="538">
        <v>0</v>
      </c>
      <c r="G39" s="539">
        <f t="shared" si="0"/>
        <v>0</v>
      </c>
      <c r="H39" s="540">
        <f t="shared" si="112"/>
        <v>0</v>
      </c>
      <c r="I39" s="538">
        <v>0</v>
      </c>
      <c r="J39" s="539">
        <f t="shared" si="1"/>
        <v>0</v>
      </c>
      <c r="K39" s="540">
        <f t="shared" si="113"/>
        <v>0</v>
      </c>
      <c r="L39" s="538"/>
      <c r="M39" s="539">
        <f t="shared" si="2"/>
        <v>0</v>
      </c>
      <c r="N39" s="540">
        <f t="shared" si="114"/>
        <v>0</v>
      </c>
      <c r="O39" s="538">
        <v>9</v>
      </c>
      <c r="P39" s="539">
        <f t="shared" si="3"/>
        <v>0.21580663725302129</v>
      </c>
      <c r="Q39" s="540">
        <f t="shared" si="115"/>
        <v>0</v>
      </c>
      <c r="R39" s="538"/>
      <c r="S39" s="539">
        <f t="shared" si="4"/>
        <v>0</v>
      </c>
      <c r="T39" s="540">
        <f t="shared" si="116"/>
        <v>0</v>
      </c>
      <c r="U39" s="538">
        <v>5.1249999999999716</v>
      </c>
      <c r="V39" s="539">
        <f t="shared" si="5"/>
        <v>0.12288989065796978</v>
      </c>
      <c r="W39" s="540">
        <f t="shared" si="117"/>
        <v>0</v>
      </c>
      <c r="X39" s="538"/>
      <c r="Y39" s="539">
        <f t="shared" si="6"/>
        <v>0</v>
      </c>
      <c r="Z39" s="540">
        <f t="shared" si="118"/>
        <v>0</v>
      </c>
      <c r="AA39" s="538"/>
      <c r="AB39" s="539">
        <f t="shared" si="7"/>
        <v>0</v>
      </c>
      <c r="AC39" s="540">
        <f t="shared" si="119"/>
        <v>0</v>
      </c>
      <c r="AD39" s="538"/>
      <c r="AE39" s="539">
        <f t="shared" si="8"/>
        <v>0</v>
      </c>
      <c r="AF39" s="540">
        <f t="shared" si="120"/>
        <v>0</v>
      </c>
      <c r="AG39" s="538"/>
      <c r="AH39" s="539">
        <f t="shared" si="9"/>
        <v>0</v>
      </c>
      <c r="AI39" s="540">
        <f t="shared" si="121"/>
        <v>0</v>
      </c>
      <c r="AJ39" s="538"/>
      <c r="AK39" s="539">
        <f t="shared" si="10"/>
        <v>0</v>
      </c>
      <c r="AL39" s="540">
        <f t="shared" si="122"/>
        <v>0</v>
      </c>
      <c r="AM39" s="538">
        <v>31.538461538461519</v>
      </c>
      <c r="AN39" s="539">
        <f t="shared" si="11"/>
        <v>0.75624548097212541</v>
      </c>
      <c r="AO39" s="540">
        <f t="shared" si="123"/>
        <v>0</v>
      </c>
      <c r="AP39" s="538"/>
      <c r="AQ39" s="539">
        <f t="shared" si="12"/>
        <v>0</v>
      </c>
      <c r="AR39" s="540">
        <f t="shared" si="124"/>
        <v>0</v>
      </c>
      <c r="AS39" s="538"/>
      <c r="AT39" s="539">
        <f t="shared" si="13"/>
        <v>0</v>
      </c>
      <c r="AU39" s="540">
        <f t="shared" si="125"/>
        <v>0</v>
      </c>
      <c r="AV39" s="538">
        <v>11.100000000000009</v>
      </c>
      <c r="AW39" s="539">
        <f t="shared" si="14"/>
        <v>0.26616151927872644</v>
      </c>
      <c r="AX39" s="540">
        <f t="shared" si="126"/>
        <v>0</v>
      </c>
      <c r="AY39" s="538">
        <v>53.666666666666686</v>
      </c>
      <c r="AZ39" s="539">
        <f t="shared" si="15"/>
        <v>1.2868469851013495</v>
      </c>
      <c r="BA39" s="540">
        <f t="shared" si="127"/>
        <v>0</v>
      </c>
      <c r="BB39" s="538"/>
      <c r="BC39" s="539">
        <f t="shared" si="16"/>
        <v>0</v>
      </c>
      <c r="BD39" s="540">
        <f t="shared" si="128"/>
        <v>0</v>
      </c>
      <c r="BE39" s="538"/>
      <c r="BF39" s="539">
        <f t="shared" si="17"/>
        <v>0</v>
      </c>
      <c r="BG39" s="540">
        <f t="shared" si="129"/>
        <v>0</v>
      </c>
      <c r="BH39" s="538"/>
      <c r="BI39" s="539">
        <f t="shared" si="18"/>
        <v>0</v>
      </c>
      <c r="BJ39" s="540">
        <f t="shared" si="130"/>
        <v>0</v>
      </c>
      <c r="BK39" s="538"/>
      <c r="BL39" s="539">
        <f t="shared" si="19"/>
        <v>0</v>
      </c>
      <c r="BM39" s="540">
        <f t="shared" si="131"/>
        <v>0</v>
      </c>
      <c r="BN39" s="538"/>
      <c r="BO39" s="539">
        <f t="shared" si="20"/>
        <v>0</v>
      </c>
      <c r="BP39" s="540">
        <f t="shared" si="132"/>
        <v>0</v>
      </c>
      <c r="BQ39" s="538"/>
      <c r="BR39" s="539">
        <f t="shared" si="21"/>
        <v>0</v>
      </c>
      <c r="BS39" s="540">
        <f t="shared" si="133"/>
        <v>0</v>
      </c>
      <c r="BT39" s="538"/>
      <c r="BU39" s="539">
        <f t="shared" si="22"/>
        <v>0</v>
      </c>
      <c r="BV39" s="540">
        <f t="shared" si="134"/>
        <v>0</v>
      </c>
      <c r="BW39" s="538"/>
      <c r="BX39" s="539">
        <f t="shared" si="23"/>
        <v>0</v>
      </c>
      <c r="BY39" s="540">
        <f t="shared" si="135"/>
        <v>0</v>
      </c>
      <c r="BZ39" s="538">
        <v>0</v>
      </c>
      <c r="CA39" s="539">
        <f t="shared" si="24"/>
        <v>0</v>
      </c>
      <c r="CB39" s="540">
        <f t="shared" si="136"/>
        <v>0</v>
      </c>
      <c r="CC39" s="538">
        <v>0</v>
      </c>
      <c r="CD39" s="539">
        <f t="shared" si="25"/>
        <v>0</v>
      </c>
      <c r="CE39" s="540">
        <f t="shared" si="137"/>
        <v>0</v>
      </c>
      <c r="CF39" s="538">
        <v>2.3999999999999986</v>
      </c>
      <c r="CG39" s="539">
        <f t="shared" si="26"/>
        <v>5.7548436600805643E-2</v>
      </c>
      <c r="CH39" s="540">
        <f t="shared" si="138"/>
        <v>0</v>
      </c>
      <c r="CI39" s="538">
        <v>0</v>
      </c>
      <c r="CJ39" s="539">
        <f t="shared" si="27"/>
        <v>0</v>
      </c>
      <c r="CK39" s="540">
        <f t="shared" si="139"/>
        <v>0</v>
      </c>
      <c r="CL39" s="538"/>
      <c r="CM39" s="539">
        <f t="shared" si="28"/>
        <v>0</v>
      </c>
      <c r="CN39" s="540">
        <f t="shared" si="140"/>
        <v>0</v>
      </c>
      <c r="CO39" s="538"/>
      <c r="CP39" s="539">
        <f t="shared" si="29"/>
        <v>0</v>
      </c>
      <c r="CQ39" s="540">
        <f t="shared" si="141"/>
        <v>0</v>
      </c>
      <c r="CR39" s="538"/>
      <c r="CS39" s="539">
        <f t="shared" si="30"/>
        <v>0</v>
      </c>
      <c r="CT39" s="540">
        <f t="shared" si="142"/>
        <v>0</v>
      </c>
      <c r="CU39" s="538"/>
      <c r="CV39" s="539">
        <f t="shared" si="31"/>
        <v>0</v>
      </c>
      <c r="CW39" s="540">
        <f t="shared" si="143"/>
        <v>0</v>
      </c>
      <c r="CX39" s="538"/>
      <c r="CY39" s="539">
        <f t="shared" si="32"/>
        <v>0</v>
      </c>
      <c r="CZ39" s="540">
        <f t="shared" si="144"/>
        <v>0</v>
      </c>
      <c r="DA39" s="538">
        <v>397.05882352941171</v>
      </c>
      <c r="DB39" s="539">
        <f t="shared" si="33"/>
        <v>9.5208810552803502</v>
      </c>
      <c r="DC39" s="540">
        <f t="shared" si="145"/>
        <v>0</v>
      </c>
      <c r="DD39" s="538"/>
      <c r="DE39" s="539">
        <f t="shared" si="34"/>
        <v>0</v>
      </c>
      <c r="DF39" s="540">
        <f t="shared" si="146"/>
        <v>0</v>
      </c>
      <c r="DG39" s="538"/>
      <c r="DH39" s="539">
        <f t="shared" si="35"/>
        <v>0</v>
      </c>
      <c r="DI39" s="540">
        <f t="shared" si="201"/>
        <v>0</v>
      </c>
      <c r="DJ39" s="538"/>
      <c r="DK39" s="539">
        <f t="shared" si="36"/>
        <v>0</v>
      </c>
      <c r="DL39" s="540">
        <f t="shared" si="147"/>
        <v>0</v>
      </c>
      <c r="DM39" s="538"/>
      <c r="DN39" s="539">
        <f t="shared" si="37"/>
        <v>0</v>
      </c>
      <c r="DO39" s="540">
        <f t="shared" si="148"/>
        <v>0</v>
      </c>
      <c r="DP39" s="538"/>
      <c r="DQ39" s="539">
        <f t="shared" si="38"/>
        <v>0</v>
      </c>
      <c r="DR39" s="540">
        <f t="shared" si="149"/>
        <v>0</v>
      </c>
      <c r="DS39" s="538"/>
      <c r="DT39" s="539">
        <f t="shared" si="39"/>
        <v>0</v>
      </c>
      <c r="DU39" s="540">
        <f t="shared" si="150"/>
        <v>0</v>
      </c>
      <c r="DV39" s="538"/>
      <c r="DW39" s="539">
        <f t="shared" si="40"/>
        <v>0</v>
      </c>
      <c r="DX39" s="540">
        <f t="shared" si="151"/>
        <v>0</v>
      </c>
      <c r="DY39" s="538">
        <v>0</v>
      </c>
      <c r="DZ39" s="539">
        <f t="shared" si="41"/>
        <v>0</v>
      </c>
      <c r="EA39" s="540">
        <f t="shared" si="152"/>
        <v>0</v>
      </c>
      <c r="EB39" s="538">
        <v>564.70588235294088</v>
      </c>
      <c r="EC39" s="539">
        <f t="shared" si="42"/>
        <v>13.540808611954271</v>
      </c>
      <c r="ED39" s="540">
        <f t="shared" si="153"/>
        <v>0</v>
      </c>
      <c r="EE39" s="538">
        <v>14.534883720930225</v>
      </c>
      <c r="EF39" s="539">
        <f t="shared" si="43"/>
        <v>0.34852493096418147</v>
      </c>
      <c r="EG39" s="540">
        <f t="shared" si="154"/>
        <v>0</v>
      </c>
      <c r="EH39" s="538">
        <v>1</v>
      </c>
      <c r="EI39" s="539">
        <f t="shared" si="44"/>
        <v>2.3978515250335699E-2</v>
      </c>
      <c r="EJ39" s="540">
        <f t="shared" si="155"/>
        <v>0</v>
      </c>
      <c r="EK39" s="538"/>
      <c r="EL39" s="539">
        <f t="shared" si="45"/>
        <v>0</v>
      </c>
      <c r="EM39" s="540">
        <f t="shared" si="156"/>
        <v>0</v>
      </c>
      <c r="EN39" s="538"/>
      <c r="EO39" s="539">
        <f t="shared" si="46"/>
        <v>0</v>
      </c>
      <c r="EP39" s="540">
        <f t="shared" si="157"/>
        <v>0</v>
      </c>
      <c r="EQ39" s="538"/>
      <c r="ER39" s="539">
        <f t="shared" si="47"/>
        <v>0</v>
      </c>
      <c r="ES39" s="540">
        <f t="shared" si="158"/>
        <v>0</v>
      </c>
      <c r="ET39" s="538"/>
      <c r="EU39" s="539">
        <f t="shared" si="48"/>
        <v>0</v>
      </c>
      <c r="EV39" s="540">
        <f t="shared" si="159"/>
        <v>0</v>
      </c>
      <c r="EW39" s="538"/>
      <c r="EX39" s="539">
        <f t="shared" si="49"/>
        <v>0</v>
      </c>
      <c r="EY39" s="540">
        <f t="shared" si="160"/>
        <v>0</v>
      </c>
      <c r="EZ39" s="538"/>
      <c r="FA39" s="539">
        <f t="shared" si="50"/>
        <v>0</v>
      </c>
      <c r="FB39" s="540">
        <f t="shared" si="161"/>
        <v>0</v>
      </c>
      <c r="FC39" s="538"/>
      <c r="FD39" s="539">
        <f t="shared" si="51"/>
        <v>0</v>
      </c>
      <c r="FE39" s="540">
        <f t="shared" si="162"/>
        <v>0</v>
      </c>
      <c r="FF39" s="538"/>
      <c r="FG39" s="539">
        <f t="shared" si="52"/>
        <v>0</v>
      </c>
      <c r="FH39" s="540">
        <f t="shared" si="163"/>
        <v>0</v>
      </c>
      <c r="FI39" s="538"/>
      <c r="FJ39" s="539">
        <f t="shared" si="53"/>
        <v>0</v>
      </c>
      <c r="FK39" s="540">
        <f t="shared" si="164"/>
        <v>0</v>
      </c>
      <c r="FL39" s="538"/>
      <c r="FM39" s="539">
        <f t="shared" si="54"/>
        <v>0</v>
      </c>
      <c r="FN39" s="540">
        <f t="shared" si="165"/>
        <v>0</v>
      </c>
      <c r="FO39" s="538"/>
      <c r="FP39" s="539">
        <f t="shared" si="55"/>
        <v>0</v>
      </c>
      <c r="FQ39" s="540">
        <f t="shared" si="166"/>
        <v>0</v>
      </c>
      <c r="FR39" s="538"/>
      <c r="FS39" s="539">
        <f t="shared" si="56"/>
        <v>0</v>
      </c>
      <c r="FT39" s="540">
        <f t="shared" si="167"/>
        <v>0</v>
      </c>
      <c r="FU39" s="538"/>
      <c r="FV39" s="539">
        <f t="shared" si="57"/>
        <v>0</v>
      </c>
      <c r="FW39" s="540">
        <f t="shared" si="168"/>
        <v>0</v>
      </c>
      <c r="FX39" s="538"/>
      <c r="FY39" s="539">
        <f t="shared" si="58"/>
        <v>0</v>
      </c>
      <c r="FZ39" s="540">
        <f t="shared" si="169"/>
        <v>0</v>
      </c>
      <c r="GA39" s="538"/>
      <c r="GB39" s="539">
        <f t="shared" si="59"/>
        <v>0</v>
      </c>
      <c r="GC39" s="540">
        <f t="shared" si="170"/>
        <v>0</v>
      </c>
      <c r="GD39" s="538"/>
      <c r="GE39" s="539">
        <f t="shared" si="60"/>
        <v>0</v>
      </c>
      <c r="GF39" s="540">
        <f t="shared" si="171"/>
        <v>0</v>
      </c>
      <c r="GG39" s="538">
        <v>10</v>
      </c>
      <c r="GH39" s="539">
        <f t="shared" si="61"/>
        <v>0.239785152503357</v>
      </c>
      <c r="GI39" s="540">
        <f t="shared" si="172"/>
        <v>0</v>
      </c>
      <c r="GJ39" s="538">
        <v>10</v>
      </c>
      <c r="GK39" s="539">
        <f t="shared" si="211"/>
        <v>0.239785152503357</v>
      </c>
      <c r="GL39" s="540">
        <f t="shared" si="212"/>
        <v>0</v>
      </c>
      <c r="GM39" s="538">
        <v>0</v>
      </c>
      <c r="GN39" s="539">
        <f t="shared" si="202"/>
        <v>0</v>
      </c>
      <c r="GO39" s="540">
        <f t="shared" si="203"/>
        <v>0</v>
      </c>
      <c r="GP39" s="538">
        <v>0</v>
      </c>
      <c r="GQ39" s="539">
        <f t="shared" si="204"/>
        <v>0</v>
      </c>
      <c r="GR39" s="540">
        <f t="shared" si="205"/>
        <v>0</v>
      </c>
      <c r="GS39" s="538">
        <v>0</v>
      </c>
      <c r="GT39" s="539">
        <f t="shared" si="206"/>
        <v>0</v>
      </c>
      <c r="GU39" s="540">
        <f t="shared" si="207"/>
        <v>0</v>
      </c>
      <c r="GV39" s="538">
        <v>0</v>
      </c>
      <c r="GW39" s="539">
        <f t="shared" si="208"/>
        <v>0</v>
      </c>
      <c r="GX39" s="540">
        <f t="shared" si="209"/>
        <v>0</v>
      </c>
      <c r="GY39" s="538"/>
      <c r="GZ39" s="539">
        <f t="shared" si="67"/>
        <v>0</v>
      </c>
      <c r="HA39" s="540">
        <f t="shared" si="178"/>
        <v>0</v>
      </c>
      <c r="HB39" s="538"/>
      <c r="HC39" s="539">
        <f t="shared" si="68"/>
        <v>0</v>
      </c>
      <c r="HD39" s="540">
        <f t="shared" si="179"/>
        <v>0</v>
      </c>
      <c r="HE39" s="538"/>
      <c r="HF39" s="539">
        <f t="shared" si="69"/>
        <v>0</v>
      </c>
      <c r="HG39" s="540">
        <f t="shared" si="180"/>
        <v>0</v>
      </c>
      <c r="HH39" s="538"/>
      <c r="HI39" s="539">
        <f t="shared" si="70"/>
        <v>0</v>
      </c>
      <c r="HJ39" s="540">
        <f t="shared" si="181"/>
        <v>0</v>
      </c>
      <c r="HK39" s="538"/>
      <c r="HL39" s="539">
        <f t="shared" si="71"/>
        <v>0</v>
      </c>
      <c r="HM39" s="540">
        <f t="shared" si="182"/>
        <v>0</v>
      </c>
      <c r="HN39" s="538">
        <v>1600</v>
      </c>
      <c r="HO39" s="539">
        <f t="shared" si="72"/>
        <v>38.365624400537115</v>
      </c>
      <c r="HP39" s="540">
        <f t="shared" si="183"/>
        <v>0</v>
      </c>
      <c r="HQ39" s="538"/>
      <c r="HR39" s="539">
        <f t="shared" si="73"/>
        <v>0</v>
      </c>
      <c r="HS39" s="540">
        <f t="shared" si="184"/>
        <v>0</v>
      </c>
      <c r="HT39" s="538">
        <v>50</v>
      </c>
      <c r="HU39" s="539">
        <f t="shared" si="74"/>
        <v>1.1989257625167848</v>
      </c>
      <c r="HV39" s="540">
        <f t="shared" si="185"/>
        <v>0</v>
      </c>
      <c r="HW39" s="538">
        <v>15</v>
      </c>
      <c r="HX39" s="539">
        <f t="shared" si="75"/>
        <v>0.35967772875503551</v>
      </c>
      <c r="HY39" s="540">
        <f t="shared" si="186"/>
        <v>0</v>
      </c>
      <c r="HZ39" s="538">
        <v>20</v>
      </c>
      <c r="IA39" s="539">
        <f t="shared" si="76"/>
        <v>0.47957030500671399</v>
      </c>
      <c r="IB39" s="540">
        <f t="shared" si="187"/>
        <v>0</v>
      </c>
      <c r="IC39" s="538">
        <v>50</v>
      </c>
      <c r="ID39" s="539">
        <f t="shared" si="77"/>
        <v>1.1989257625167848</v>
      </c>
      <c r="IE39" s="540">
        <f t="shared" si="188"/>
        <v>0</v>
      </c>
      <c r="IF39" s="538">
        <v>0</v>
      </c>
      <c r="IG39" s="539">
        <f t="shared" si="78"/>
        <v>0</v>
      </c>
      <c r="IH39" s="540">
        <f t="shared" si="189"/>
        <v>0</v>
      </c>
      <c r="II39" s="538"/>
      <c r="IJ39" s="539">
        <f t="shared" si="79"/>
        <v>0</v>
      </c>
      <c r="IK39" s="540">
        <f t="shared" si="190"/>
        <v>0</v>
      </c>
      <c r="IL39" s="538">
        <v>0</v>
      </c>
      <c r="IM39" s="539">
        <f t="shared" si="80"/>
        <v>0</v>
      </c>
      <c r="IN39" s="540">
        <f t="shared" si="191"/>
        <v>0</v>
      </c>
      <c r="IO39" s="538">
        <v>100</v>
      </c>
      <c r="IP39" s="539">
        <f t="shared" si="81"/>
        <v>2.3978515250335697</v>
      </c>
      <c r="IQ39" s="540">
        <f t="shared" si="192"/>
        <v>0</v>
      </c>
      <c r="IR39" s="538">
        <v>10</v>
      </c>
      <c r="IS39" s="539">
        <f t="shared" si="82"/>
        <v>0.239785152503357</v>
      </c>
      <c r="IT39" s="540">
        <f t="shared" si="193"/>
        <v>0</v>
      </c>
      <c r="IU39" s="538"/>
      <c r="IV39" s="539">
        <f t="shared" si="83"/>
        <v>0</v>
      </c>
      <c r="IW39" s="540">
        <f t="shared" si="194"/>
        <v>0</v>
      </c>
      <c r="IX39" s="538">
        <v>5</v>
      </c>
      <c r="IY39" s="539">
        <f t="shared" si="84"/>
        <v>0.1198925762516785</v>
      </c>
      <c r="IZ39" s="540">
        <f t="shared" si="195"/>
        <v>0</v>
      </c>
      <c r="JA39" s="538"/>
      <c r="JB39" s="539">
        <f t="shared" si="85"/>
        <v>0</v>
      </c>
      <c r="JC39" s="540">
        <f t="shared" si="196"/>
        <v>0</v>
      </c>
      <c r="JD39" s="538"/>
      <c r="JE39" s="539">
        <f t="shared" si="86"/>
        <v>0</v>
      </c>
      <c r="JF39" s="540">
        <f t="shared" si="197"/>
        <v>0</v>
      </c>
      <c r="JG39" s="538">
        <v>40</v>
      </c>
      <c r="JH39" s="540" t="str">
        <f t="shared" si="87"/>
        <v>0</v>
      </c>
      <c r="JI39" s="540" t="str">
        <f t="shared" si="88"/>
        <v>0</v>
      </c>
      <c r="JJ39" s="538">
        <v>40</v>
      </c>
      <c r="JK39" s="540" t="str">
        <f t="shared" si="89"/>
        <v>0</v>
      </c>
      <c r="JL39" s="540" t="str">
        <f t="shared" si="90"/>
        <v>0</v>
      </c>
      <c r="JM39" s="538"/>
      <c r="JN39" s="540" t="str">
        <f t="shared" si="91"/>
        <v>0</v>
      </c>
      <c r="JO39" s="540" t="str">
        <f t="shared" si="92"/>
        <v>0</v>
      </c>
      <c r="JP39" s="538"/>
      <c r="JQ39" s="540" t="str">
        <f t="shared" si="93"/>
        <v>0</v>
      </c>
      <c r="JR39" s="540" t="str">
        <f t="shared" si="94"/>
        <v>0</v>
      </c>
      <c r="JS39" s="538"/>
      <c r="JT39" s="540" t="str">
        <f t="shared" si="95"/>
        <v>0</v>
      </c>
      <c r="JU39" s="540" t="str">
        <f t="shared" si="96"/>
        <v>0</v>
      </c>
      <c r="JV39" s="538"/>
      <c r="JW39" s="540" t="str">
        <f t="shared" si="97"/>
        <v>0</v>
      </c>
      <c r="JX39" s="540" t="str">
        <f t="shared" si="98"/>
        <v>0</v>
      </c>
      <c r="JY39" s="538"/>
      <c r="JZ39" s="540" t="str">
        <f t="shared" si="99"/>
        <v>0</v>
      </c>
      <c r="KA39" s="540" t="str">
        <f t="shared" si="100"/>
        <v>0</v>
      </c>
      <c r="KB39" s="538"/>
      <c r="KC39" s="540" t="str">
        <f t="shared" si="101"/>
        <v>0</v>
      </c>
      <c r="KD39" s="540" t="str">
        <f t="shared" si="102"/>
        <v>0</v>
      </c>
      <c r="KE39" s="538"/>
      <c r="KF39" s="540" t="str">
        <f t="shared" si="103"/>
        <v>0</v>
      </c>
      <c r="KG39" s="540" t="str">
        <f t="shared" si="104"/>
        <v>0</v>
      </c>
      <c r="KH39" s="538"/>
      <c r="KI39" s="540" t="str">
        <f t="shared" si="105"/>
        <v>0</v>
      </c>
      <c r="KJ39" s="540" t="str">
        <f t="shared" si="106"/>
        <v>0</v>
      </c>
      <c r="KK39" s="538"/>
      <c r="KL39" s="540" t="str">
        <f t="shared" si="107"/>
        <v>0</v>
      </c>
      <c r="KM39" s="540" t="str">
        <f t="shared" si="108"/>
        <v>0</v>
      </c>
      <c r="KN39" s="538"/>
      <c r="KO39" s="540" t="str">
        <f t="shared" si="109"/>
        <v>0</v>
      </c>
      <c r="KP39" s="540" t="str">
        <f t="shared" si="110"/>
        <v>0</v>
      </c>
      <c r="KQ39" s="540">
        <f t="shared" si="111"/>
        <v>0</v>
      </c>
      <c r="KR39" s="540">
        <f t="shared" si="198"/>
        <v>0</v>
      </c>
      <c r="KS39" s="268">
        <f t="shared" si="199"/>
        <v>3040.129717808411</v>
      </c>
    </row>
    <row r="40" spans="1:16381" ht="15" customHeight="1" thickBot="1">
      <c r="A40" s="275"/>
      <c r="B40" s="276"/>
      <c r="C40" s="277"/>
      <c r="D40" s="277"/>
      <c r="E40" s="273"/>
      <c r="F40" s="538"/>
      <c r="G40" s="539"/>
      <c r="H40" s="540"/>
      <c r="I40" s="538"/>
      <c r="J40" s="539"/>
      <c r="K40" s="540"/>
      <c r="L40" s="538"/>
      <c r="M40" s="539"/>
      <c r="N40" s="540"/>
      <c r="O40" s="538"/>
      <c r="P40" s="539"/>
      <c r="Q40" s="540"/>
      <c r="R40" s="538"/>
      <c r="S40" s="539"/>
      <c r="T40" s="540"/>
      <c r="U40" s="538"/>
      <c r="V40" s="539"/>
      <c r="W40" s="540"/>
      <c r="X40" s="538"/>
      <c r="Y40" s="539"/>
      <c r="Z40" s="540"/>
      <c r="AA40" s="538"/>
      <c r="AB40" s="539"/>
      <c r="AC40" s="540"/>
      <c r="AD40" s="538"/>
      <c r="AE40" s="539"/>
      <c r="AF40" s="540"/>
      <c r="AG40" s="538"/>
      <c r="AH40" s="539"/>
      <c r="AI40" s="540"/>
      <c r="AJ40" s="538"/>
      <c r="AK40" s="539"/>
      <c r="AL40" s="540"/>
      <c r="AM40" s="538"/>
      <c r="AN40" s="539"/>
      <c r="AO40" s="540"/>
      <c r="AP40" s="538"/>
      <c r="AQ40" s="539"/>
      <c r="AR40" s="540"/>
      <c r="AS40" s="538"/>
      <c r="AT40" s="539"/>
      <c r="AU40" s="540"/>
      <c r="AV40" s="538"/>
      <c r="AW40" s="539"/>
      <c r="AX40" s="540"/>
      <c r="AY40" s="538"/>
      <c r="AZ40" s="539"/>
      <c r="BA40" s="540"/>
      <c r="BB40" s="538"/>
      <c r="BC40" s="539"/>
      <c r="BD40" s="540"/>
      <c r="BE40" s="538"/>
      <c r="BF40" s="539"/>
      <c r="BG40" s="540"/>
      <c r="BH40" s="538"/>
      <c r="BI40" s="539"/>
      <c r="BJ40" s="540"/>
      <c r="BK40" s="538"/>
      <c r="BL40" s="539"/>
      <c r="BM40" s="540"/>
      <c r="BN40" s="538"/>
      <c r="BO40" s="539"/>
      <c r="BP40" s="540"/>
      <c r="BQ40" s="538"/>
      <c r="BR40" s="539"/>
      <c r="BS40" s="540"/>
      <c r="BT40" s="538"/>
      <c r="BU40" s="539"/>
      <c r="BV40" s="540"/>
      <c r="BW40" s="538"/>
      <c r="BX40" s="539"/>
      <c r="BY40" s="540"/>
      <c r="BZ40" s="538"/>
      <c r="CA40" s="539"/>
      <c r="CB40" s="540"/>
      <c r="CC40" s="538"/>
      <c r="CD40" s="539"/>
      <c r="CE40" s="540"/>
      <c r="CF40" s="538"/>
      <c r="CG40" s="539"/>
      <c r="CH40" s="540"/>
      <c r="CI40" s="538"/>
      <c r="CJ40" s="539"/>
      <c r="CK40" s="540"/>
      <c r="CL40" s="538"/>
      <c r="CM40" s="539"/>
      <c r="CN40" s="540"/>
      <c r="CO40" s="538"/>
      <c r="CP40" s="539"/>
      <c r="CQ40" s="540"/>
      <c r="CR40" s="538"/>
      <c r="CS40" s="539"/>
      <c r="CT40" s="540"/>
      <c r="CU40" s="538"/>
      <c r="CV40" s="539"/>
      <c r="CW40" s="540"/>
      <c r="CX40" s="538"/>
      <c r="CY40" s="539"/>
      <c r="CZ40" s="540"/>
      <c r="DA40" s="538"/>
      <c r="DB40" s="539"/>
      <c r="DC40" s="540"/>
      <c r="DD40" s="538"/>
      <c r="DE40" s="539"/>
      <c r="DF40" s="540"/>
      <c r="DG40" s="538"/>
      <c r="DH40" s="539"/>
      <c r="DI40" s="540"/>
      <c r="DJ40" s="538"/>
      <c r="DK40" s="539"/>
      <c r="DL40" s="540"/>
      <c r="DM40" s="538"/>
      <c r="DN40" s="539"/>
      <c r="DO40" s="540"/>
      <c r="DP40" s="538"/>
      <c r="DQ40" s="539"/>
      <c r="DR40" s="540"/>
      <c r="DS40" s="538"/>
      <c r="DT40" s="539"/>
      <c r="DU40" s="540"/>
      <c r="DV40" s="538"/>
      <c r="DW40" s="539"/>
      <c r="DX40" s="540"/>
      <c r="DY40" s="538"/>
      <c r="DZ40" s="539"/>
      <c r="EA40" s="540"/>
      <c r="EB40" s="538"/>
      <c r="EC40" s="539"/>
      <c r="ED40" s="540"/>
      <c r="EE40" s="538"/>
      <c r="EF40" s="539"/>
      <c r="EG40" s="540"/>
      <c r="EH40" s="538"/>
      <c r="EI40" s="539"/>
      <c r="EJ40" s="540"/>
      <c r="EK40" s="538"/>
      <c r="EL40" s="539"/>
      <c r="EM40" s="540"/>
      <c r="EN40" s="538"/>
      <c r="EO40" s="539"/>
      <c r="EP40" s="540"/>
      <c r="EQ40" s="538"/>
      <c r="ER40" s="539"/>
      <c r="ES40" s="540"/>
      <c r="ET40" s="538"/>
      <c r="EU40" s="539"/>
      <c r="EV40" s="540"/>
      <c r="EW40" s="538"/>
      <c r="EX40" s="539"/>
      <c r="EY40" s="540"/>
      <c r="EZ40" s="538"/>
      <c r="FA40" s="539"/>
      <c r="FB40" s="540"/>
      <c r="FC40" s="538"/>
      <c r="FD40" s="539"/>
      <c r="FE40" s="540"/>
      <c r="FF40" s="538"/>
      <c r="FG40" s="539"/>
      <c r="FH40" s="540"/>
      <c r="FI40" s="538"/>
      <c r="FJ40" s="539"/>
      <c r="FK40" s="540"/>
      <c r="FL40" s="538"/>
      <c r="FM40" s="539"/>
      <c r="FN40" s="540"/>
      <c r="FO40" s="538"/>
      <c r="FP40" s="539"/>
      <c r="FQ40" s="540"/>
      <c r="FR40" s="538"/>
      <c r="FS40" s="539"/>
      <c r="FT40" s="540"/>
      <c r="FU40" s="538"/>
      <c r="FV40" s="539"/>
      <c r="FW40" s="540"/>
      <c r="FX40" s="538"/>
      <c r="FY40" s="539"/>
      <c r="FZ40" s="540"/>
      <c r="GA40" s="538"/>
      <c r="GB40" s="539"/>
      <c r="GC40" s="540"/>
      <c r="GD40" s="538"/>
      <c r="GE40" s="539"/>
      <c r="GF40" s="540"/>
      <c r="GG40" s="538"/>
      <c r="GH40" s="539"/>
      <c r="GI40" s="540"/>
      <c r="GJ40" s="538"/>
      <c r="GK40" s="539"/>
      <c r="GL40" s="540"/>
      <c r="GM40" s="538"/>
      <c r="GN40" s="539"/>
      <c r="GO40" s="540"/>
      <c r="GP40" s="538"/>
      <c r="GQ40" s="539"/>
      <c r="GR40" s="540"/>
      <c r="GS40" s="538"/>
      <c r="GT40" s="539"/>
      <c r="GU40" s="540"/>
      <c r="GV40" s="538"/>
      <c r="GW40" s="539"/>
      <c r="GX40" s="540"/>
      <c r="GY40" s="538"/>
      <c r="GZ40" s="539"/>
      <c r="HA40" s="540"/>
      <c r="HB40" s="538"/>
      <c r="HC40" s="539"/>
      <c r="HD40" s="540"/>
      <c r="HE40" s="538"/>
      <c r="HF40" s="539"/>
      <c r="HG40" s="540"/>
      <c r="HH40" s="538"/>
      <c r="HI40" s="539"/>
      <c r="HJ40" s="540"/>
      <c r="HK40" s="538"/>
      <c r="HL40" s="539"/>
      <c r="HM40" s="540"/>
      <c r="HN40" s="538"/>
      <c r="HO40" s="539"/>
      <c r="HP40" s="540"/>
      <c r="HQ40" s="538"/>
      <c r="HR40" s="539"/>
      <c r="HS40" s="540"/>
      <c r="HT40" s="538"/>
      <c r="HU40" s="539"/>
      <c r="HV40" s="540"/>
      <c r="HW40" s="538"/>
      <c r="HX40" s="539"/>
      <c r="HY40" s="540"/>
      <c r="HZ40" s="538"/>
      <c r="IA40" s="539"/>
      <c r="IB40" s="540"/>
      <c r="IC40" s="538"/>
      <c r="ID40" s="539"/>
      <c r="IE40" s="540"/>
      <c r="IF40" s="538"/>
      <c r="IG40" s="539"/>
      <c r="IH40" s="540"/>
      <c r="II40" s="538"/>
      <c r="IJ40" s="539"/>
      <c r="IK40" s="540"/>
      <c r="IL40" s="538"/>
      <c r="IM40" s="539"/>
      <c r="IN40" s="540"/>
      <c r="IO40" s="538"/>
      <c r="IP40" s="539"/>
      <c r="IQ40" s="540"/>
      <c r="IR40" s="538"/>
      <c r="IS40" s="539"/>
      <c r="IT40" s="540"/>
      <c r="IU40" s="538"/>
      <c r="IV40" s="539"/>
      <c r="IW40" s="540"/>
      <c r="IX40" s="538"/>
      <c r="IY40" s="539"/>
      <c r="IZ40" s="540"/>
      <c r="JA40" s="538"/>
      <c r="JB40" s="539"/>
      <c r="JC40" s="540"/>
      <c r="JD40" s="538"/>
      <c r="JE40" s="539"/>
      <c r="JF40" s="540"/>
      <c r="JG40" s="538"/>
      <c r="JH40" s="540"/>
      <c r="JI40" s="540"/>
      <c r="JJ40" s="538"/>
      <c r="JK40" s="540"/>
      <c r="JL40" s="540"/>
      <c r="JM40" s="538"/>
      <c r="JN40" s="540"/>
      <c r="JO40" s="540"/>
      <c r="JP40" s="538"/>
      <c r="JQ40" s="540"/>
      <c r="JR40" s="540"/>
      <c r="JS40" s="538"/>
      <c r="JT40" s="540"/>
      <c r="JU40" s="540"/>
      <c r="JV40" s="538"/>
      <c r="JW40" s="540"/>
      <c r="JX40" s="540"/>
      <c r="JY40" s="538"/>
      <c r="JZ40" s="540"/>
      <c r="KA40" s="540"/>
      <c r="KB40" s="538"/>
      <c r="KC40" s="540"/>
      <c r="KD40" s="540"/>
      <c r="KE40" s="538"/>
      <c r="KF40" s="540"/>
      <c r="KG40" s="540"/>
      <c r="KH40" s="538"/>
      <c r="KI40" s="540"/>
      <c r="KJ40" s="540"/>
      <c r="KK40" s="538"/>
      <c r="KL40" s="540"/>
      <c r="KM40" s="540"/>
      <c r="KN40" s="538"/>
      <c r="KO40" s="540"/>
      <c r="KP40" s="540"/>
      <c r="KQ40" s="540"/>
      <c r="KR40" s="540"/>
      <c r="KS40" s="268"/>
    </row>
    <row r="41" spans="1:16381" s="274" customFormat="1" ht="15" customHeight="1" thickTop="1" thickBot="1">
      <c r="A41" s="723" t="s">
        <v>29</v>
      </c>
      <c r="B41" s="724"/>
      <c r="C41" s="725"/>
      <c r="D41" s="278">
        <f>SUM(D9:D40)</f>
        <v>1726.1390000000001</v>
      </c>
      <c r="E41" s="273">
        <v>0</v>
      </c>
      <c r="F41" s="541">
        <f>SUM(F9:F39)</f>
        <v>2674.4186046511632</v>
      </c>
      <c r="G41" s="541">
        <f>IFERROR((F41/$L$41),0)</f>
        <v>0</v>
      </c>
      <c r="H41" s="541">
        <f>IFERROR(((F41*H$8)/$L$41),0)</f>
        <v>0</v>
      </c>
      <c r="I41" s="541">
        <f>SUM(I9:I39)</f>
        <v>5341.1764705882342</v>
      </c>
      <c r="J41" s="541">
        <f>IFERROR((I41/$L$41),0)</f>
        <v>0</v>
      </c>
      <c r="K41" s="541">
        <f>IFERROR(((I41*K$8)/$L$41),0)</f>
        <v>0</v>
      </c>
      <c r="L41" s="541">
        <f>SUM(L9:L39)</f>
        <v>0</v>
      </c>
      <c r="M41" s="541">
        <f>IFERROR((L41/$L$41),0)</f>
        <v>0</v>
      </c>
      <c r="N41" s="541">
        <f>IFERROR(((L41*N$8)/$L$41),0)</f>
        <v>0</v>
      </c>
      <c r="O41" s="541">
        <f>SUM(O9:O39)</f>
        <v>255.00000000000003</v>
      </c>
      <c r="P41" s="541">
        <f>IFERROR((O41/$L$41),0)</f>
        <v>0</v>
      </c>
      <c r="Q41" s="541">
        <f>IFERROR(((O41*Q$8)/$L$41),0)</f>
        <v>0</v>
      </c>
      <c r="R41" s="541">
        <f>SUM(R9:R39)</f>
        <v>0</v>
      </c>
      <c r="S41" s="541">
        <f>IFERROR((R41/$L$41),0)</f>
        <v>0</v>
      </c>
      <c r="T41" s="541">
        <f>IFERROR(((R41*T$8)/$L$41),0)</f>
        <v>0</v>
      </c>
      <c r="U41" s="541">
        <f>SUM(U9:U39)</f>
        <v>199.875</v>
      </c>
      <c r="V41" s="541">
        <f>IFERROR((U41/$L$41),0)</f>
        <v>0</v>
      </c>
      <c r="W41" s="541">
        <f>IFERROR(((U41*W$8)/$L$41),0)</f>
        <v>0</v>
      </c>
      <c r="X41" s="541">
        <f>SUM(X9:X39)</f>
        <v>0</v>
      </c>
      <c r="Y41" s="541">
        <f>IFERROR((X41/$L$41),0)</f>
        <v>0</v>
      </c>
      <c r="Z41" s="541">
        <f>IFERROR(((X41*Z$8)/$L$41),0)</f>
        <v>0</v>
      </c>
      <c r="AA41" s="541">
        <f>SUM(AA9:AA39)</f>
        <v>0</v>
      </c>
      <c r="AB41" s="541">
        <f>IFERROR((AA41/$L$41),0)</f>
        <v>0</v>
      </c>
      <c r="AC41" s="541">
        <f>IFERROR(((AA41*AC$8)/$L$41),0)</f>
        <v>0</v>
      </c>
      <c r="AD41" s="541">
        <f>SUM(AD9:AD39)</f>
        <v>0</v>
      </c>
      <c r="AE41" s="541">
        <f>IFERROR((AD41/$L$41),0)</f>
        <v>0</v>
      </c>
      <c r="AF41" s="541">
        <f>IFERROR(((AD41*AF$8)/$L$41),0)</f>
        <v>0</v>
      </c>
      <c r="AG41" s="541">
        <f>SUM(AG9:AG39)</f>
        <v>0</v>
      </c>
      <c r="AH41" s="541">
        <f>IFERROR((AG41/$L$41),0)</f>
        <v>0</v>
      </c>
      <c r="AI41" s="541">
        <f>IFERROR(((AG41*AI$8)/$L$41),0)</f>
        <v>0</v>
      </c>
      <c r="AJ41" s="541">
        <f>SUM(AJ9:AJ39)</f>
        <v>0</v>
      </c>
      <c r="AK41" s="541">
        <f>IFERROR((AJ41/$L$41),0)</f>
        <v>0</v>
      </c>
      <c r="AL41" s="541">
        <f>IFERROR(((AJ41*AL$8)/$L$41),0)</f>
        <v>0</v>
      </c>
      <c r="AM41" s="541">
        <f>SUM(AM9:AM39)</f>
        <v>988.20512820512818</v>
      </c>
      <c r="AN41" s="541">
        <f>IFERROR((AM41/$L$41),0)</f>
        <v>0</v>
      </c>
      <c r="AO41" s="541">
        <f>IFERROR(((AM41*AO$8)/$L$41),0)</f>
        <v>0</v>
      </c>
      <c r="AP41" s="541">
        <f>SUM(AP9:AP39)</f>
        <v>0</v>
      </c>
      <c r="AQ41" s="541">
        <f>IFERROR((AP41/$L$41),0)</f>
        <v>0</v>
      </c>
      <c r="AR41" s="541">
        <f>IFERROR(((AP41*AR$8)/$L$41),0)</f>
        <v>0</v>
      </c>
      <c r="AS41" s="541">
        <f>SUM(AS9:AS39)</f>
        <v>0</v>
      </c>
      <c r="AT41" s="541">
        <f>IFERROR((AS41/$L$41),0)</f>
        <v>0</v>
      </c>
      <c r="AU41" s="541">
        <f>IFERROR(((AS41*AU$8)/$L$41),0)</f>
        <v>0</v>
      </c>
      <c r="AV41" s="541">
        <f>SUM(AV9:AV39)</f>
        <v>191.47500000000002</v>
      </c>
      <c r="AW41" s="541">
        <f>IFERROR((AV41/$L$41),0)</f>
        <v>0</v>
      </c>
      <c r="AX41" s="541">
        <f>IFERROR(((AV41*AX$8)/$L$41),0)</f>
        <v>0</v>
      </c>
      <c r="AY41" s="541">
        <f>SUM(AY9:AY39)</f>
        <v>1232</v>
      </c>
      <c r="AZ41" s="541">
        <f>IFERROR((AY41/$L$41),0)</f>
        <v>0</v>
      </c>
      <c r="BA41" s="541">
        <f>IFERROR(((AY41*BA$8)/$L$41),0)</f>
        <v>0</v>
      </c>
      <c r="BB41" s="541">
        <f>SUM(BB9:BB39)</f>
        <v>0</v>
      </c>
      <c r="BC41" s="541">
        <f>IFERROR((BB41/$L$41),0)</f>
        <v>0</v>
      </c>
      <c r="BD41" s="541">
        <f>IFERROR(((BB41*BD$8)/$L$41),0)</f>
        <v>0</v>
      </c>
      <c r="BE41" s="541">
        <f>SUM(BE9:BE39)</f>
        <v>0</v>
      </c>
      <c r="BF41" s="541">
        <f>IFERROR((BE41/$L$41),0)</f>
        <v>0</v>
      </c>
      <c r="BG41" s="541">
        <f>IFERROR(((BE41*BG$8)/$L$41),0)</f>
        <v>0</v>
      </c>
      <c r="BH41" s="541">
        <f>SUM(BH9:BH39)</f>
        <v>0</v>
      </c>
      <c r="BI41" s="541">
        <f>IFERROR((BH41/$L$41),0)</f>
        <v>0</v>
      </c>
      <c r="BJ41" s="541">
        <f>IFERROR(((BH41*BJ$8)/$L$41),0)</f>
        <v>0</v>
      </c>
      <c r="BK41" s="541">
        <f>SUM(BK9:BK39)</f>
        <v>0</v>
      </c>
      <c r="BL41" s="541">
        <f>IFERROR((BK41/$L$41),0)</f>
        <v>0</v>
      </c>
      <c r="BM41" s="541">
        <f>IFERROR(((BK41*BM$8)/$L$41),0)</f>
        <v>0</v>
      </c>
      <c r="BN41" s="541">
        <f>SUM(BN9:BN39)</f>
        <v>0</v>
      </c>
      <c r="BO41" s="541">
        <f>IFERROR((BN41/$L$41),0)</f>
        <v>0</v>
      </c>
      <c r="BP41" s="541">
        <f>IFERROR(((BN41*BP$8)/$L$41),0)</f>
        <v>0</v>
      </c>
      <c r="BQ41" s="541">
        <f>SUM(BQ9:BQ39)</f>
        <v>0</v>
      </c>
      <c r="BR41" s="541">
        <f>IFERROR((BQ41/$L$41),0)</f>
        <v>0</v>
      </c>
      <c r="BS41" s="541">
        <f>IFERROR(((BQ41*BS$8)/$L$41),0)</f>
        <v>0</v>
      </c>
      <c r="BT41" s="541">
        <f>SUM(BT9:BT39)</f>
        <v>0</v>
      </c>
      <c r="BU41" s="541">
        <f>IFERROR((BT41/$L$41),0)</f>
        <v>0</v>
      </c>
      <c r="BV41" s="541">
        <f>IFERROR(((BT41*BV$8)/$L$41),0)</f>
        <v>0</v>
      </c>
      <c r="BW41" s="541">
        <f>SUM(BW9:BW39)</f>
        <v>0</v>
      </c>
      <c r="BX41" s="541">
        <f>IFERROR((BW41/$L$41),0)</f>
        <v>0</v>
      </c>
      <c r="BY41" s="541">
        <f>IFERROR(((BW41*BY$8)/$L$41),0)</f>
        <v>0</v>
      </c>
      <c r="BZ41" s="541">
        <f>SUM(BZ9:BZ39)</f>
        <v>1262.2209302325582</v>
      </c>
      <c r="CA41" s="541">
        <f>IFERROR((BZ41/$L$41),0)</f>
        <v>0</v>
      </c>
      <c r="CB41" s="541">
        <f>IFERROR(((BZ41*CB$8)/$L$41),0)</f>
        <v>0</v>
      </c>
      <c r="CC41" s="541">
        <f>SUM(CC9:CC39)</f>
        <v>93.75</v>
      </c>
      <c r="CD41" s="541">
        <f>IFERROR((CC41/$L$41),0)</f>
        <v>0</v>
      </c>
      <c r="CE41" s="541">
        <f>IFERROR(((CC41*CE$8)/$L$41),0)</f>
        <v>0</v>
      </c>
      <c r="CF41" s="541">
        <f>SUM(CF9:CF39)</f>
        <v>58.999999999999993</v>
      </c>
      <c r="CG41" s="541">
        <f>IFERROR((CF41/$L$41),0)</f>
        <v>0</v>
      </c>
      <c r="CH41" s="541">
        <f>IFERROR(((CF41*CH$8)/$L$41),0)</f>
        <v>0</v>
      </c>
      <c r="CI41" s="541">
        <f>SUM(CI9:CI39)</f>
        <v>52.5</v>
      </c>
      <c r="CJ41" s="541">
        <f>IFERROR((CI41/$L$41),0)</f>
        <v>0</v>
      </c>
      <c r="CK41" s="541">
        <f>IFERROR(((CI41*CK$8)/$L$41),0)</f>
        <v>0</v>
      </c>
      <c r="CL41" s="541">
        <f>SUM(CL9:CL39)</f>
        <v>0</v>
      </c>
      <c r="CM41" s="541">
        <f>IFERROR((CL41/$L$41),0)</f>
        <v>0</v>
      </c>
      <c r="CN41" s="541">
        <f>IFERROR(((CL41*CN$8)/$L$41),0)</f>
        <v>0</v>
      </c>
      <c r="CO41" s="541">
        <f>SUM(CO9:CO39)</f>
        <v>0</v>
      </c>
      <c r="CP41" s="541">
        <f>IFERROR((CO41/$L$41),0)</f>
        <v>0</v>
      </c>
      <c r="CQ41" s="541">
        <f>IFERROR(((CO41*CQ$8)/$L$41),0)</f>
        <v>0</v>
      </c>
      <c r="CR41" s="541">
        <f>SUM(CR9:CR39)</f>
        <v>0</v>
      </c>
      <c r="CS41" s="541">
        <f>IFERROR((CR41/$L$41),0)</f>
        <v>0</v>
      </c>
      <c r="CT41" s="541">
        <f>IFERROR(((CR41*CT$8)/$L$41),0)</f>
        <v>0</v>
      </c>
      <c r="CU41" s="541">
        <f>SUM(CU9:CU39)</f>
        <v>0</v>
      </c>
      <c r="CV41" s="541">
        <f>IFERROR((CU41/$L$41),0)</f>
        <v>0</v>
      </c>
      <c r="CW41" s="541">
        <f>IFERROR(((CU41*CW$8)/$L$41),0)</f>
        <v>0</v>
      </c>
      <c r="CX41" s="541">
        <f>SUM(CX9:CX39)</f>
        <v>0</v>
      </c>
      <c r="CY41" s="541">
        <f>IFERROR((CX41/$L$41),0)</f>
        <v>0</v>
      </c>
      <c r="CZ41" s="541">
        <f>IFERROR(((CX41*CZ$8)/$L$41),0)</f>
        <v>0</v>
      </c>
      <c r="DA41" s="541">
        <f>SUM(DA9:DA39)</f>
        <v>5558.823529411764</v>
      </c>
      <c r="DB41" s="541">
        <f>IFERROR((DA41/$L$41),0)</f>
        <v>0</v>
      </c>
      <c r="DC41" s="541">
        <f>IFERROR(((DA41*DC$8)/$L$41),0)</f>
        <v>0</v>
      </c>
      <c r="DD41" s="541">
        <f>SUM(DD9:DD39)</f>
        <v>0</v>
      </c>
      <c r="DE41" s="541">
        <f>IFERROR((DD41/$L$41),0)</f>
        <v>0</v>
      </c>
      <c r="DF41" s="541">
        <f>IFERROR(((DD41*DF$8)/$L$41),0)</f>
        <v>0</v>
      </c>
      <c r="DG41" s="541">
        <f>SUM(DG14:DG39)</f>
        <v>0</v>
      </c>
      <c r="DH41" s="541">
        <f>IFERROR((DG41/$L$41),0)</f>
        <v>0</v>
      </c>
      <c r="DI41" s="541">
        <f>IFERROR(((DG41*DI$8)/$L$41),0)</f>
        <v>0</v>
      </c>
      <c r="DJ41" s="541">
        <f>SUM(DJ9:DJ39)</f>
        <v>0</v>
      </c>
      <c r="DK41" s="541">
        <f>IFERROR((DJ41/$L$41),0)</f>
        <v>0</v>
      </c>
      <c r="DL41" s="541">
        <f>IFERROR(((DJ41*DL$8)/$L$41),0)</f>
        <v>0</v>
      </c>
      <c r="DM41" s="541">
        <f>SUM(DM9:DM39)</f>
        <v>0</v>
      </c>
      <c r="DN41" s="541">
        <f>IFERROR((DM41/$L$41),0)</f>
        <v>0</v>
      </c>
      <c r="DO41" s="541">
        <f>IFERROR(((DM41*DO$8)/$L$41),0)</f>
        <v>0</v>
      </c>
      <c r="DP41" s="541">
        <f>SUM(DP9:DP39)</f>
        <v>0</v>
      </c>
      <c r="DQ41" s="541">
        <f>IFERROR((DP41/$L$41),0)</f>
        <v>0</v>
      </c>
      <c r="DR41" s="541">
        <f>IFERROR(((DP41*DR$8)/$L$41),0)</f>
        <v>0</v>
      </c>
      <c r="DS41" s="541">
        <f>SUM(DS9:DS39)</f>
        <v>0</v>
      </c>
      <c r="DT41" s="541">
        <f>IFERROR((DS41/$L$41),0)</f>
        <v>0</v>
      </c>
      <c r="DU41" s="541">
        <f>IFERROR(((DS41*DU$8)/$L$41),0)</f>
        <v>0</v>
      </c>
      <c r="DV41" s="541">
        <f>SUM(DV9:DV39)</f>
        <v>0</v>
      </c>
      <c r="DW41" s="541">
        <f>IFERROR((DV41/$L$41),0)</f>
        <v>0</v>
      </c>
      <c r="DX41" s="541">
        <f>IFERROR(((DV41*DX$8)/$L$41),0)</f>
        <v>0</v>
      </c>
      <c r="DY41" s="541">
        <f>SUM(DY9:DY39)</f>
        <v>127.24096385542168</v>
      </c>
      <c r="DZ41" s="541">
        <f>IFERROR((DY41/$L$41),0)</f>
        <v>0</v>
      </c>
      <c r="EA41" s="541">
        <f>IFERROR(((DY41*EA$8)/$L$41),0)</f>
        <v>0</v>
      </c>
      <c r="EB41" s="541">
        <f>SUM(EB9:EB39)</f>
        <v>18152.941176470587</v>
      </c>
      <c r="EC41" s="541">
        <f>IFERROR((EB41/$L$41),0)</f>
        <v>0</v>
      </c>
      <c r="ED41" s="541">
        <f>IFERROR(((EB41*ED$8)/$L$41),0)</f>
        <v>0</v>
      </c>
      <c r="EE41" s="541">
        <f>SUM(EE9:EE39)</f>
        <v>433.37209302325584</v>
      </c>
      <c r="EF41" s="541">
        <f>IFERROR((EE41/$L$41),0)</f>
        <v>0</v>
      </c>
      <c r="EG41" s="541">
        <f>IFERROR(((EE41*EG$8)/$L$41),0)</f>
        <v>0</v>
      </c>
      <c r="EH41" s="541">
        <f>SUM(EH9:EH39)</f>
        <v>10</v>
      </c>
      <c r="EI41" s="541">
        <f>IFERROR((EH41/$L$41),0)</f>
        <v>0</v>
      </c>
      <c r="EJ41" s="541">
        <f>IFERROR(((EH41*EJ$8)/$L$41),0)</f>
        <v>0</v>
      </c>
      <c r="EK41" s="541">
        <f>SUM(EK9:EK39)</f>
        <v>0</v>
      </c>
      <c r="EL41" s="541">
        <f>IFERROR((EK41/$L$41),0)</f>
        <v>0</v>
      </c>
      <c r="EM41" s="541">
        <f>IFERROR(((EK41*EM$8)/$L$41),0)</f>
        <v>0</v>
      </c>
      <c r="EN41" s="541">
        <f>SUM(EN9:EN39)</f>
        <v>0</v>
      </c>
      <c r="EO41" s="541">
        <f>IFERROR((EN41/$L$41),0)</f>
        <v>0</v>
      </c>
      <c r="EP41" s="541">
        <f>IFERROR(((EN41*EP$8)/$L$41),0)</f>
        <v>0</v>
      </c>
      <c r="EQ41" s="541">
        <f>SUM(EQ9:EQ39)</f>
        <v>0</v>
      </c>
      <c r="ER41" s="541">
        <f>IFERROR((EQ41/$L$41),0)</f>
        <v>0</v>
      </c>
      <c r="ES41" s="541">
        <f>IFERROR(((EQ41*ES$8)/$L$41),0)</f>
        <v>0</v>
      </c>
      <c r="ET41" s="541">
        <f>SUM(ET9:ET39)</f>
        <v>0</v>
      </c>
      <c r="EU41" s="541">
        <f>IFERROR((ET41/$L$41),0)</f>
        <v>0</v>
      </c>
      <c r="EV41" s="541">
        <f>IFERROR(((ET41*EV$8)/$L$41),0)</f>
        <v>0</v>
      </c>
      <c r="EW41" s="541">
        <f>SUM(EW9:EW39)</f>
        <v>0</v>
      </c>
      <c r="EX41" s="541">
        <f>IFERROR((EW41/$L$41),0)</f>
        <v>0</v>
      </c>
      <c r="EY41" s="541">
        <f>IFERROR(((EW41*EY$8)/$L$41),0)</f>
        <v>0</v>
      </c>
      <c r="EZ41" s="541">
        <f>SUM(EZ9:EZ39)</f>
        <v>0</v>
      </c>
      <c r="FA41" s="541">
        <f>IFERROR((EZ41/$L$41),0)</f>
        <v>0</v>
      </c>
      <c r="FB41" s="541">
        <f>IFERROR(((EZ41*FB$8)/$L$41),0)</f>
        <v>0</v>
      </c>
      <c r="FC41" s="541">
        <f>SUM(FC9:FC39)</f>
        <v>0</v>
      </c>
      <c r="FD41" s="541">
        <f>IFERROR((FC41/$L$41),0)</f>
        <v>0</v>
      </c>
      <c r="FE41" s="541">
        <f>IFERROR(((FC41*FE$8)/$L$41),0)</f>
        <v>0</v>
      </c>
      <c r="FF41" s="541">
        <f>SUM(FF9:FF39)</f>
        <v>0</v>
      </c>
      <c r="FG41" s="541">
        <f>IFERROR((FF41/$L$41),0)</f>
        <v>0</v>
      </c>
      <c r="FH41" s="541">
        <f>IFERROR(((FF41*FH$8)/$L$41),0)</f>
        <v>0</v>
      </c>
      <c r="FI41" s="541">
        <f>SUM(FI9:FI39)</f>
        <v>0</v>
      </c>
      <c r="FJ41" s="541">
        <f>IFERROR((FI41/$L$41),0)</f>
        <v>0</v>
      </c>
      <c r="FK41" s="541">
        <f>IFERROR(((FI41*FK$8)/$L$41),0)</f>
        <v>0</v>
      </c>
      <c r="FL41" s="541">
        <f>SUM(FL9:FL39)</f>
        <v>0</v>
      </c>
      <c r="FM41" s="541">
        <f>IFERROR((FL41/$L$41),0)</f>
        <v>0</v>
      </c>
      <c r="FN41" s="541">
        <f>IFERROR(((FL41*FN$8)/$L$41),0)</f>
        <v>0</v>
      </c>
      <c r="FO41" s="541">
        <f>SUM(FO9:FO39)</f>
        <v>0</v>
      </c>
      <c r="FP41" s="541">
        <f>IFERROR((FO41/$L$41),0)</f>
        <v>0</v>
      </c>
      <c r="FQ41" s="541">
        <f>IFERROR(((FO41*FQ$8)/$L$41),0)</f>
        <v>0</v>
      </c>
      <c r="FR41" s="541">
        <f>SUM(FR9:FR39)</f>
        <v>0</v>
      </c>
      <c r="FS41" s="541">
        <f>IFERROR((FR41/$L$41),0)</f>
        <v>0</v>
      </c>
      <c r="FT41" s="541">
        <f>IFERROR(((FR41*FT$8)/$L$41),0)</f>
        <v>0</v>
      </c>
      <c r="FU41" s="541">
        <f>SUM(FU9:FU39)</f>
        <v>0</v>
      </c>
      <c r="FV41" s="541">
        <f>IFERROR((FU41/$L$41),0)</f>
        <v>0</v>
      </c>
      <c r="FW41" s="541">
        <f>IFERROR(((FU41*FW$8)/$L$41),0)</f>
        <v>0</v>
      </c>
      <c r="FX41" s="541">
        <f>SUM(FX9:FX39)</f>
        <v>0</v>
      </c>
      <c r="FY41" s="541">
        <f>IFERROR((FX41/$L$41),0)</f>
        <v>0</v>
      </c>
      <c r="FZ41" s="541">
        <f>IFERROR(((FX41*FZ$8)/$L$41),0)</f>
        <v>0</v>
      </c>
      <c r="GA41" s="541">
        <f>SUM(GA9:GA39)</f>
        <v>0</v>
      </c>
      <c r="GB41" s="541">
        <f>IFERROR((GA41/$L$41),0)</f>
        <v>0</v>
      </c>
      <c r="GC41" s="541">
        <f>IFERROR(((GA41*GC$8)/$L$41),0)</f>
        <v>0</v>
      </c>
      <c r="GD41" s="541">
        <f>SUM(GD9:GD39)</f>
        <v>0</v>
      </c>
      <c r="GE41" s="541">
        <f>IFERROR((GD41/$L$41),0)</f>
        <v>0</v>
      </c>
      <c r="GF41" s="541">
        <f>IFERROR(((GD41*GF$8)/$L$41),0)</f>
        <v>0</v>
      </c>
      <c r="GG41" s="541">
        <f>SUM(GG9:GG39)</f>
        <v>242.71416367131269</v>
      </c>
      <c r="GH41" s="541">
        <f>IFERROR((GG41/$L$41),0)</f>
        <v>0</v>
      </c>
      <c r="GI41" s="541">
        <f>IFERROR(((GG41*GI$8)/$L$41),0)</f>
        <v>0</v>
      </c>
      <c r="GJ41" s="541">
        <f>SUM(GJ9:GJ39)</f>
        <v>259.38306097158545</v>
      </c>
      <c r="GK41" s="541">
        <f>IFERROR((GJ41/$L$41),0)</f>
        <v>0</v>
      </c>
      <c r="GL41" s="541">
        <f>IFERROR(((GJ41*GL$8)/$L$41),0)</f>
        <v>0</v>
      </c>
      <c r="GM41" s="541">
        <f>SUM(GM9:GM39)</f>
        <v>130</v>
      </c>
      <c r="GN41" s="541">
        <f>IFERROR((GM41/$L$41),0)</f>
        <v>0</v>
      </c>
      <c r="GO41" s="541">
        <f>IFERROR(((GM41*GO$8)/$L$41),0)</f>
        <v>0</v>
      </c>
      <c r="GP41" s="541">
        <f>SUM(GP9:GP39)</f>
        <v>473.63369725995562</v>
      </c>
      <c r="GQ41" s="541">
        <f>IFERROR((GP41/$L$41),0)</f>
        <v>0</v>
      </c>
      <c r="GR41" s="541">
        <f>IFERROR(((GP41*GR$8)/$L$41),0)</f>
        <v>0</v>
      </c>
      <c r="GS41" s="541">
        <f>SUM(GS9:GS39)</f>
        <v>2635.7847489608107</v>
      </c>
      <c r="GT41" s="541">
        <f>IFERROR((GS41/$L$41),0)</f>
        <v>0</v>
      </c>
      <c r="GU41" s="541">
        <f>IFERROR(((GS41*GU$8)/$L$41),0)</f>
        <v>0</v>
      </c>
      <c r="GV41" s="541">
        <f>SUM(GV9:GV39)</f>
        <v>1071.1664472334687</v>
      </c>
      <c r="GW41" s="541">
        <f>IFERROR((GV41/$L$41),0)</f>
        <v>0</v>
      </c>
      <c r="GX41" s="541">
        <f>IFERROR(((GV41*GX$8)/$L$41),0)</f>
        <v>0</v>
      </c>
      <c r="GY41" s="541">
        <f>SUM(GY9:GY39)</f>
        <v>0</v>
      </c>
      <c r="GZ41" s="541">
        <f>IFERROR((GY41/$L$41),0)</f>
        <v>0</v>
      </c>
      <c r="HA41" s="541">
        <f>IFERROR(((GY41*HA$8)/$L$41),0)</f>
        <v>0</v>
      </c>
      <c r="HB41" s="541">
        <f>SUM(HB9:HB39)</f>
        <v>0</v>
      </c>
      <c r="HC41" s="541">
        <f>IFERROR((HB41/$L$41),0)</f>
        <v>0</v>
      </c>
      <c r="HD41" s="541">
        <f>IFERROR(((HB41*HD$8)/$L$41),0)</f>
        <v>0</v>
      </c>
      <c r="HE41" s="541">
        <f>SUM(HE9:HE39)</f>
        <v>0</v>
      </c>
      <c r="HF41" s="541">
        <f>IFERROR((HE41/$L$41),0)</f>
        <v>0</v>
      </c>
      <c r="HG41" s="541">
        <f>IFERROR(((HE41*HG$8)/$L$41),0)</f>
        <v>0</v>
      </c>
      <c r="HH41" s="541">
        <f>SUM(HH9:HH39)</f>
        <v>0</v>
      </c>
      <c r="HI41" s="541">
        <f>IFERROR((HH41/$L$41),0)</f>
        <v>0</v>
      </c>
      <c r="HJ41" s="541">
        <f>IFERROR(((HH41*HJ$8)/$L$41),0)</f>
        <v>0</v>
      </c>
      <c r="HK41" s="541">
        <f>SUM(HK9:HK39)</f>
        <v>0</v>
      </c>
      <c r="HL41" s="541">
        <f>IFERROR((HK41/$L$41),0)</f>
        <v>0</v>
      </c>
      <c r="HM41" s="541">
        <f>IFERROR(((HK41*HM$8)/$L$41),0)</f>
        <v>0</v>
      </c>
      <c r="HN41" s="541">
        <f>SUM(HN9:HN39)</f>
        <v>44416.415250174861</v>
      </c>
      <c r="HO41" s="541">
        <f>IFERROR((HN41/$L$41),0)</f>
        <v>0</v>
      </c>
      <c r="HP41" s="541">
        <f>IFERROR(((HN41*HP$8)/$L$41),0)</f>
        <v>0</v>
      </c>
      <c r="HQ41" s="541">
        <f>SUM(HQ9:HQ39)</f>
        <v>0</v>
      </c>
      <c r="HR41" s="541">
        <f>IFERROR((HQ41/$L$41),0)</f>
        <v>0</v>
      </c>
      <c r="HS41" s="541">
        <f>IFERROR(((HQ41*HS$8)/$L$41),0)</f>
        <v>0</v>
      </c>
      <c r="HT41" s="541">
        <f>SUM(HT9:HT39)</f>
        <v>1070</v>
      </c>
      <c r="HU41" s="541">
        <f>IFERROR((HT41/$L$41),0)</f>
        <v>0</v>
      </c>
      <c r="HV41" s="541">
        <f>IFERROR(((HT41*HV$8)/$L$41),0)</f>
        <v>0</v>
      </c>
      <c r="HW41" s="541">
        <f>SUM(HW9:HW39)</f>
        <v>215</v>
      </c>
      <c r="HX41" s="541">
        <f>IFERROR((HW41/$L$41),0)</f>
        <v>0</v>
      </c>
      <c r="HY41" s="541">
        <f>IFERROR(((HW41*HY$8)/$L$41),0)</f>
        <v>0</v>
      </c>
      <c r="HZ41" s="541">
        <f>SUM(HZ9:HZ39)</f>
        <v>670</v>
      </c>
      <c r="IA41" s="541">
        <f>IFERROR((HZ41/$L$41),0)</f>
        <v>0</v>
      </c>
      <c r="IB41" s="541">
        <f>IFERROR(((HZ41*IB$8)/$L$41),0)</f>
        <v>0</v>
      </c>
      <c r="IC41" s="541">
        <f>SUM(IC9:IC39)</f>
        <v>1030</v>
      </c>
      <c r="ID41" s="541">
        <f>IFERROR((IC41/$L$41),0)</f>
        <v>0</v>
      </c>
      <c r="IE41" s="541">
        <f>IFERROR(((IC41*IE$8)/$L$41),0)</f>
        <v>0</v>
      </c>
      <c r="IF41" s="541">
        <f>SUM(IF9:IF39)</f>
        <v>394.76456733763825</v>
      </c>
      <c r="IG41" s="541">
        <f>IFERROR((IF41/$L$41),0)</f>
        <v>0</v>
      </c>
      <c r="IH41" s="541">
        <f>IFERROR(((IF41*IH$8)/$L$41),0)</f>
        <v>0</v>
      </c>
      <c r="II41" s="541">
        <f>SUM(II9:II39)</f>
        <v>0</v>
      </c>
      <c r="IJ41" s="541">
        <f>IFERROR((II41/$L$41),0)</f>
        <v>0</v>
      </c>
      <c r="IK41" s="541">
        <f>IFERROR(((II41*IK$8)/$L$41),0)</f>
        <v>0</v>
      </c>
      <c r="IL41" s="541">
        <f>SUM(IL9:IL39)</f>
        <v>249.32742786512375</v>
      </c>
      <c r="IM41" s="541">
        <f>IFERROR((IL41/$L$41),0)</f>
        <v>0</v>
      </c>
      <c r="IN41" s="541">
        <f>IFERROR(((IL41*IN$8)/$L$41),0)</f>
        <v>0</v>
      </c>
      <c r="IO41" s="541">
        <f>SUM(IO9:IO39)</f>
        <v>2150.8888698209885</v>
      </c>
      <c r="IP41" s="541">
        <f>IFERROR((IO41/$L$41),0)</f>
        <v>0</v>
      </c>
      <c r="IQ41" s="541">
        <f>IFERROR(((IO41*IQ$8)/$L$41),0)</f>
        <v>0</v>
      </c>
      <c r="IR41" s="541">
        <f>SUM(IR9:IR39)</f>
        <v>165</v>
      </c>
      <c r="IS41" s="541">
        <f>IFERROR((IR41/$L$41),0)</f>
        <v>0</v>
      </c>
      <c r="IT41" s="541">
        <f>IFERROR(((IR41*IT$8)/$L$41),0)</f>
        <v>0</v>
      </c>
      <c r="IU41" s="541">
        <f>SUM(IU9:IU39)</f>
        <v>0</v>
      </c>
      <c r="IV41" s="541">
        <f>IFERROR((IU41/$L$41),0)</f>
        <v>0</v>
      </c>
      <c r="IW41" s="541">
        <f>IFERROR(((IU41*IW$8)/$L$41),0)</f>
        <v>0</v>
      </c>
      <c r="IX41" s="541">
        <f>SUM(IX9:IX39)</f>
        <v>125</v>
      </c>
      <c r="IY41" s="541">
        <f>IFERROR((IX41/$L$41),0)</f>
        <v>0</v>
      </c>
      <c r="IZ41" s="541">
        <f>IFERROR(((IX41*IZ$8)/$L$41),0)</f>
        <v>0</v>
      </c>
      <c r="JA41" s="541">
        <f>SUM(JA9:JA39)</f>
        <v>0</v>
      </c>
      <c r="JB41" s="541">
        <f>IFERROR((JA41/$L$41),0)</f>
        <v>0</v>
      </c>
      <c r="JC41" s="541">
        <f>IFERROR(((JA41*JC$8)/$L$41),0)</f>
        <v>0</v>
      </c>
      <c r="JD41" s="541">
        <f>SUM(JD9:JD39)</f>
        <v>0</v>
      </c>
      <c r="JE41" s="541">
        <f>IFERROR((JD41/$L$41),0)</f>
        <v>0</v>
      </c>
      <c r="JF41" s="541">
        <f>IFERROR(((JD41*JF$8)/$L$41),0)</f>
        <v>0</v>
      </c>
      <c r="JG41" s="541">
        <f>SUM(JG9:JG39)</f>
        <v>1109.1643955852844</v>
      </c>
      <c r="JH41" s="541">
        <f>IFERROR((JG41/$L$41),0)</f>
        <v>0</v>
      </c>
      <c r="JI41" s="541">
        <f>IFERROR(((JG41*JI$8)/$L$41),0)</f>
        <v>0</v>
      </c>
      <c r="JJ41" s="541">
        <f>SUM(JJ9:JJ39)</f>
        <v>645.79319046033606</v>
      </c>
      <c r="JK41" s="541">
        <f>IFERROR((JJ41/$L$41),0)</f>
        <v>0</v>
      </c>
      <c r="JL41" s="541">
        <f>IFERROR(((JJ41*JL$8)/$L$41),0)</f>
        <v>0</v>
      </c>
      <c r="JM41" s="541">
        <f>SUM(JM9:JM39)</f>
        <v>0</v>
      </c>
      <c r="JN41" s="541">
        <f>IFERROR((JM41/$L$41),0)</f>
        <v>0</v>
      </c>
      <c r="JO41" s="541">
        <f>IFERROR(((JM41*JO$8)/$L$41),0)</f>
        <v>0</v>
      </c>
      <c r="JP41" s="541">
        <f>SUM(JP9:JP39)</f>
        <v>0</v>
      </c>
      <c r="JQ41" s="541">
        <f>IFERROR((JP41/$L$41),0)</f>
        <v>0</v>
      </c>
      <c r="JR41" s="541">
        <f>IFERROR(((JP41*JR$8)/$L$41),0)</f>
        <v>0</v>
      </c>
      <c r="JS41" s="541">
        <f>SUM(JS9:JS39)</f>
        <v>0</v>
      </c>
      <c r="JT41" s="541">
        <f>IFERROR((JS41/$L$41),0)</f>
        <v>0</v>
      </c>
      <c r="JU41" s="541">
        <f>IFERROR(((JS41*JU$8)/$L$41),0)</f>
        <v>0</v>
      </c>
      <c r="JV41" s="541">
        <f>SUM(JV9:JV39)</f>
        <v>0</v>
      </c>
      <c r="JW41" s="541">
        <f>IFERROR((JV41/$L$41),0)</f>
        <v>0</v>
      </c>
      <c r="JX41" s="541">
        <f>IFERROR(((JV41*JX$8)/$L$41),0)</f>
        <v>0</v>
      </c>
      <c r="JY41" s="541">
        <f>SUM(JY9:JY39)</f>
        <v>0</v>
      </c>
      <c r="JZ41" s="541">
        <f>IFERROR((JY41/$L$41),0)</f>
        <v>0</v>
      </c>
      <c r="KA41" s="541">
        <f>IFERROR(((JY41*KA$8)/$L$41),0)</f>
        <v>0</v>
      </c>
      <c r="KB41" s="541">
        <f>SUM(KB9:KB39)</f>
        <v>0</v>
      </c>
      <c r="KC41" s="541">
        <f>IFERROR((KB41/$L$41),0)</f>
        <v>0</v>
      </c>
      <c r="KD41" s="541">
        <f>IFERROR(((KB41*KD$8)/$L$41),0)</f>
        <v>0</v>
      </c>
      <c r="KE41" s="541">
        <f>SUM(KE9:KE39)</f>
        <v>0</v>
      </c>
      <c r="KF41" s="541">
        <f>IFERROR((KE41/$L$41),0)</f>
        <v>0</v>
      </c>
      <c r="KG41" s="541">
        <f>IFERROR(((KE41*KG$8)/$L$41),0)</f>
        <v>0</v>
      </c>
      <c r="KH41" s="541">
        <f>SUM(KH9:KH39)</f>
        <v>0</v>
      </c>
      <c r="KI41" s="541">
        <f>IFERROR((KH41/$L$41),0)</f>
        <v>0</v>
      </c>
      <c r="KJ41" s="541">
        <f>IFERROR(((KH41*KJ$8)/$L$41),0)</f>
        <v>0</v>
      </c>
      <c r="KK41" s="541">
        <f>SUM(KK9:KK39)</f>
        <v>0</v>
      </c>
      <c r="KL41" s="541">
        <f>IFERROR((KK41/$L$41),0)</f>
        <v>0</v>
      </c>
      <c r="KM41" s="541">
        <f>IFERROR(((KK41*KM$8)/$L$41),0)</f>
        <v>0</v>
      </c>
      <c r="KN41" s="541">
        <f>SUM(KN9:KN39)</f>
        <v>0</v>
      </c>
      <c r="KO41" s="541">
        <f>IFERROR((KN41/$L$41),0)</f>
        <v>0</v>
      </c>
      <c r="KP41" s="541">
        <f>IFERROR(((KN41*KP$8)/$L$41),0)</f>
        <v>0</v>
      </c>
      <c r="KQ41" s="542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40">
        <f t="shared" si="198"/>
        <v>0</v>
      </c>
      <c r="KS41" s="268">
        <f t="shared" si="199"/>
        <v>93686.03471577946</v>
      </c>
      <c r="KT41" s="543"/>
      <c r="KU41" s="543"/>
      <c r="KV41" s="543"/>
      <c r="KW41" s="543"/>
      <c r="KX41" s="543"/>
      <c r="KY41" s="543"/>
      <c r="KZ41" s="543"/>
      <c r="LA41" s="543"/>
      <c r="LB41" s="543"/>
      <c r="LC41" s="543"/>
      <c r="LD41" s="543"/>
      <c r="LE41" s="543"/>
      <c r="LF41" s="543"/>
      <c r="LG41" s="543"/>
      <c r="LH41" s="543"/>
      <c r="LI41" s="543"/>
      <c r="LJ41" s="543"/>
      <c r="LK41" s="543"/>
      <c r="LL41" s="543"/>
      <c r="LM41" s="543"/>
      <c r="LN41" s="543"/>
      <c r="LO41" s="543"/>
      <c r="LP41" s="543"/>
      <c r="LQ41" s="543"/>
      <c r="LR41" s="543"/>
      <c r="LS41" s="543"/>
      <c r="LT41" s="543"/>
      <c r="LU41" s="543"/>
      <c r="LV41" s="543"/>
      <c r="LW41" s="543"/>
      <c r="LX41" s="543"/>
      <c r="LY41" s="543"/>
      <c r="LZ41" s="543"/>
      <c r="MA41" s="543"/>
      <c r="MB41" s="543"/>
      <c r="MC41" s="543"/>
      <c r="MD41" s="543"/>
      <c r="ME41" s="543"/>
      <c r="MF41" s="543"/>
      <c r="MG41" s="543"/>
      <c r="MH41" s="543"/>
      <c r="MI41" s="543"/>
      <c r="MJ41" s="543"/>
      <c r="MK41" s="543"/>
      <c r="ML41" s="543"/>
      <c r="MM41" s="543"/>
      <c r="MN41" s="543"/>
      <c r="MO41" s="543"/>
      <c r="MP41" s="543"/>
      <c r="MQ41" s="543"/>
      <c r="MR41" s="543"/>
      <c r="MS41" s="543"/>
      <c r="MT41" s="543"/>
      <c r="MU41" s="543"/>
      <c r="MV41" s="543"/>
      <c r="MW41" s="543"/>
      <c r="MX41" s="543"/>
      <c r="MY41" s="543"/>
      <c r="MZ41" s="543"/>
      <c r="NA41" s="543"/>
      <c r="NB41" s="543"/>
      <c r="NC41" s="543"/>
      <c r="ND41" s="543"/>
      <c r="NE41" s="543"/>
      <c r="NF41" s="543"/>
      <c r="NG41" s="543"/>
      <c r="NH41" s="543"/>
      <c r="NI41" s="543"/>
      <c r="NJ41" s="543"/>
      <c r="NK41" s="543"/>
      <c r="NL41" s="543"/>
      <c r="NM41" s="543"/>
      <c r="NN41" s="543"/>
      <c r="NO41" s="543"/>
      <c r="NP41" s="543"/>
      <c r="NQ41" s="543"/>
      <c r="NR41" s="543"/>
      <c r="NS41" s="543"/>
      <c r="NT41" s="543"/>
      <c r="NU41" s="543"/>
      <c r="NV41" s="543"/>
      <c r="NW41" s="543"/>
      <c r="NX41" s="543"/>
      <c r="NY41" s="543"/>
      <c r="NZ41" s="543"/>
      <c r="OA41" s="543"/>
      <c r="OB41" s="543"/>
      <c r="OC41" s="543"/>
      <c r="OD41" s="543"/>
      <c r="OE41" s="543"/>
      <c r="OF41" s="543"/>
      <c r="OG41" s="543"/>
      <c r="OH41" s="543"/>
      <c r="OI41" s="543"/>
      <c r="OJ41" s="543"/>
      <c r="OK41" s="543"/>
      <c r="OL41" s="543"/>
      <c r="OM41" s="543"/>
      <c r="ON41" s="543"/>
      <c r="OO41" s="543"/>
      <c r="OP41" s="543"/>
      <c r="OQ41" s="543"/>
      <c r="OR41" s="543"/>
      <c r="OS41" s="543"/>
      <c r="OT41" s="543"/>
      <c r="OU41" s="543"/>
      <c r="OV41" s="543"/>
      <c r="OW41" s="543"/>
      <c r="OX41" s="543"/>
      <c r="OY41" s="543"/>
      <c r="OZ41" s="543"/>
      <c r="PA41" s="543"/>
      <c r="PB41" s="543"/>
      <c r="PC41" s="543"/>
      <c r="PD41" s="543"/>
      <c r="PE41" s="543"/>
      <c r="PF41" s="543"/>
      <c r="PG41" s="543"/>
      <c r="PH41" s="543"/>
      <c r="PI41" s="543"/>
      <c r="PJ41" s="543"/>
      <c r="PK41" s="543"/>
      <c r="PL41" s="543"/>
      <c r="PM41" s="543"/>
      <c r="PN41" s="543"/>
      <c r="PO41" s="543"/>
      <c r="PP41" s="543"/>
      <c r="PQ41" s="543"/>
      <c r="PR41" s="543"/>
      <c r="PS41" s="543"/>
      <c r="PT41" s="543"/>
      <c r="PU41" s="543"/>
      <c r="PV41" s="543"/>
      <c r="PW41" s="543"/>
      <c r="PX41" s="543"/>
      <c r="PY41" s="543"/>
      <c r="PZ41" s="543"/>
      <c r="QA41" s="543"/>
      <c r="QB41" s="543"/>
      <c r="QC41" s="543"/>
      <c r="QD41" s="543"/>
      <c r="QE41" s="543"/>
      <c r="QF41" s="543"/>
      <c r="QG41" s="543"/>
      <c r="QH41" s="543"/>
      <c r="QI41" s="543"/>
      <c r="QJ41" s="543"/>
      <c r="QK41" s="543"/>
      <c r="QL41" s="543"/>
      <c r="QM41" s="543"/>
      <c r="QN41" s="543"/>
      <c r="QO41" s="543"/>
      <c r="QP41" s="543"/>
      <c r="QQ41" s="543"/>
      <c r="QR41" s="543"/>
      <c r="QS41" s="543"/>
      <c r="QT41" s="543"/>
      <c r="QU41" s="543"/>
      <c r="QV41" s="543"/>
      <c r="QW41" s="543"/>
      <c r="QX41" s="543"/>
      <c r="QY41" s="543"/>
      <c r="QZ41" s="543"/>
      <c r="RA41" s="543"/>
      <c r="RB41" s="543"/>
      <c r="RC41" s="543"/>
      <c r="RD41" s="543"/>
      <c r="RE41" s="543"/>
      <c r="RF41" s="543"/>
      <c r="RG41" s="543"/>
      <c r="RH41" s="543"/>
      <c r="RI41" s="543"/>
      <c r="RJ41" s="543"/>
      <c r="RK41" s="543"/>
      <c r="RL41" s="543"/>
      <c r="RM41" s="543"/>
      <c r="RN41" s="543"/>
      <c r="RO41" s="543"/>
      <c r="RP41" s="543"/>
      <c r="RQ41" s="543"/>
      <c r="RR41" s="543"/>
      <c r="RS41" s="543"/>
      <c r="RT41" s="543"/>
      <c r="RU41" s="543"/>
      <c r="RV41" s="543"/>
      <c r="RW41" s="543"/>
      <c r="RX41" s="543"/>
      <c r="RY41" s="543"/>
      <c r="RZ41" s="543"/>
      <c r="SA41" s="543"/>
      <c r="SB41" s="543"/>
      <c r="SC41" s="543"/>
      <c r="SD41" s="543"/>
      <c r="SE41" s="543"/>
      <c r="SF41" s="543"/>
      <c r="SG41" s="543"/>
      <c r="SH41" s="543"/>
      <c r="SI41" s="543"/>
      <c r="SJ41" s="543"/>
      <c r="SK41" s="543"/>
      <c r="SL41" s="543"/>
      <c r="SM41" s="543"/>
      <c r="SN41" s="543"/>
      <c r="SO41" s="543"/>
      <c r="SP41" s="543"/>
      <c r="SQ41" s="543"/>
      <c r="SR41" s="543"/>
      <c r="SS41" s="543"/>
      <c r="ST41" s="543"/>
      <c r="SU41" s="543"/>
      <c r="SV41" s="543"/>
      <c r="SW41" s="543"/>
      <c r="SX41" s="543"/>
      <c r="SY41" s="543"/>
      <c r="SZ41" s="543"/>
      <c r="TA41" s="543"/>
      <c r="TB41" s="543"/>
      <c r="TC41" s="543"/>
      <c r="TD41" s="543"/>
      <c r="TE41" s="543"/>
      <c r="TF41" s="543"/>
      <c r="TG41" s="543"/>
      <c r="TH41" s="543"/>
      <c r="TI41" s="543"/>
      <c r="TJ41" s="543"/>
      <c r="TK41" s="543"/>
      <c r="TL41" s="543"/>
      <c r="TM41" s="543"/>
      <c r="TN41" s="543"/>
      <c r="TO41" s="543"/>
      <c r="TP41" s="543"/>
      <c r="TQ41" s="543"/>
      <c r="TR41" s="543"/>
      <c r="TS41" s="543"/>
      <c r="TT41" s="543"/>
      <c r="TU41" s="543"/>
      <c r="TV41" s="543"/>
      <c r="TW41" s="543"/>
      <c r="TX41" s="543"/>
      <c r="TY41" s="543"/>
      <c r="TZ41" s="543"/>
      <c r="UA41" s="543"/>
      <c r="UB41" s="543"/>
      <c r="UC41" s="543"/>
      <c r="UD41" s="543"/>
      <c r="UE41" s="543"/>
      <c r="UF41" s="543"/>
      <c r="UG41" s="543"/>
      <c r="UH41" s="543"/>
      <c r="UI41" s="543"/>
      <c r="UJ41" s="543"/>
      <c r="UK41" s="543"/>
      <c r="UL41" s="543"/>
      <c r="UM41" s="543"/>
      <c r="UN41" s="543"/>
      <c r="UO41" s="543"/>
      <c r="UP41" s="543"/>
      <c r="UQ41" s="543"/>
      <c r="UR41" s="543"/>
      <c r="US41" s="543"/>
      <c r="UT41" s="543"/>
      <c r="UU41" s="543"/>
      <c r="UV41" s="543"/>
      <c r="UW41" s="543"/>
      <c r="UX41" s="543"/>
      <c r="UY41" s="543"/>
      <c r="UZ41" s="543"/>
      <c r="VA41" s="543"/>
      <c r="VB41" s="543"/>
      <c r="VC41" s="543"/>
      <c r="VD41" s="543"/>
      <c r="VE41" s="543"/>
      <c r="VF41" s="543"/>
      <c r="VG41" s="543"/>
      <c r="VH41" s="543"/>
      <c r="VI41" s="543"/>
      <c r="VJ41" s="543"/>
      <c r="VK41" s="543"/>
      <c r="VL41" s="543"/>
      <c r="VM41" s="543"/>
      <c r="VN41" s="543"/>
      <c r="VO41" s="543"/>
      <c r="VP41" s="543"/>
      <c r="VQ41" s="543"/>
      <c r="VR41" s="543"/>
      <c r="VS41" s="543"/>
      <c r="VT41" s="543"/>
      <c r="VU41" s="543"/>
      <c r="VV41" s="543"/>
      <c r="VW41" s="543"/>
      <c r="VX41" s="543"/>
      <c r="VY41" s="543"/>
      <c r="VZ41" s="543"/>
      <c r="WA41" s="543"/>
      <c r="WB41" s="543"/>
      <c r="WC41" s="543"/>
      <c r="WD41" s="543"/>
      <c r="WE41" s="543"/>
      <c r="WF41" s="543"/>
      <c r="WG41" s="543"/>
      <c r="WH41" s="543"/>
      <c r="WI41" s="543"/>
      <c r="WJ41" s="543"/>
      <c r="WK41" s="543"/>
      <c r="WL41" s="543"/>
      <c r="WM41" s="543"/>
      <c r="WN41" s="543"/>
      <c r="WO41" s="543"/>
      <c r="WP41" s="543"/>
      <c r="WQ41" s="543"/>
      <c r="WR41" s="543"/>
      <c r="WS41" s="543"/>
      <c r="WT41" s="543"/>
      <c r="WU41" s="543"/>
      <c r="WV41" s="543"/>
      <c r="WW41" s="543"/>
      <c r="WX41" s="543"/>
      <c r="WY41" s="543"/>
      <c r="WZ41" s="543"/>
      <c r="XA41" s="543"/>
      <c r="XB41" s="543"/>
      <c r="XC41" s="543"/>
      <c r="XD41" s="543"/>
      <c r="XE41" s="543"/>
      <c r="XF41" s="543"/>
      <c r="XG41" s="543"/>
      <c r="XH41" s="543"/>
      <c r="XI41" s="543"/>
      <c r="XJ41" s="543"/>
      <c r="XK41" s="543"/>
      <c r="XL41" s="543"/>
      <c r="XM41" s="543"/>
      <c r="XN41" s="543"/>
      <c r="XO41" s="543"/>
      <c r="XP41" s="543"/>
      <c r="XQ41" s="543"/>
      <c r="XR41" s="543"/>
      <c r="XS41" s="543"/>
      <c r="XT41" s="543"/>
      <c r="XU41" s="543"/>
      <c r="XV41" s="543"/>
      <c r="XW41" s="543"/>
      <c r="XX41" s="543"/>
      <c r="XY41" s="543"/>
      <c r="XZ41" s="543"/>
      <c r="YA41" s="543"/>
      <c r="YB41" s="543"/>
      <c r="YC41" s="543"/>
      <c r="YD41" s="543"/>
      <c r="YE41" s="543"/>
      <c r="YF41" s="543"/>
      <c r="YG41" s="543"/>
      <c r="YH41" s="543"/>
      <c r="YI41" s="543"/>
      <c r="YJ41" s="543"/>
      <c r="YK41" s="543"/>
      <c r="YL41" s="543"/>
      <c r="YM41" s="543"/>
      <c r="YN41" s="543"/>
      <c r="YO41" s="543"/>
      <c r="YP41" s="543"/>
      <c r="YQ41" s="543"/>
      <c r="YR41" s="543"/>
      <c r="YS41" s="543"/>
      <c r="YT41" s="543"/>
      <c r="YU41" s="543"/>
      <c r="YV41" s="543"/>
      <c r="YW41" s="543"/>
      <c r="YX41" s="543"/>
      <c r="YY41" s="543"/>
      <c r="YZ41" s="543"/>
      <c r="ZA41" s="543"/>
      <c r="ZB41" s="543"/>
      <c r="ZC41" s="543"/>
      <c r="ZD41" s="543"/>
      <c r="ZE41" s="543"/>
      <c r="ZF41" s="543"/>
      <c r="ZG41" s="543"/>
      <c r="ZH41" s="543"/>
      <c r="ZI41" s="543"/>
      <c r="ZJ41" s="543"/>
      <c r="ZK41" s="543"/>
      <c r="ZL41" s="543"/>
      <c r="ZM41" s="543"/>
      <c r="ZN41" s="543"/>
      <c r="ZO41" s="543"/>
      <c r="ZP41" s="543"/>
      <c r="ZQ41" s="543"/>
      <c r="ZR41" s="543"/>
      <c r="ZS41" s="543"/>
      <c r="ZT41" s="543"/>
      <c r="ZU41" s="543"/>
      <c r="ZV41" s="543"/>
      <c r="ZW41" s="543"/>
      <c r="ZX41" s="543"/>
      <c r="ZY41" s="543"/>
      <c r="ZZ41" s="543"/>
      <c r="AAA41" s="543"/>
      <c r="AAB41" s="543"/>
      <c r="AAC41" s="543"/>
      <c r="AAD41" s="543"/>
      <c r="AAE41" s="543"/>
      <c r="AAF41" s="543"/>
      <c r="AAG41" s="543"/>
      <c r="AAH41" s="543"/>
      <c r="AAI41" s="543"/>
      <c r="AAJ41" s="543"/>
      <c r="AAK41" s="543"/>
      <c r="AAL41" s="543"/>
      <c r="AAM41" s="543"/>
      <c r="AAN41" s="543"/>
      <c r="AAO41" s="543"/>
      <c r="AAP41" s="543"/>
      <c r="AAQ41" s="543"/>
      <c r="AAR41" s="543"/>
      <c r="AAS41" s="543"/>
      <c r="AAT41" s="543"/>
      <c r="AAU41" s="543"/>
      <c r="AAV41" s="543"/>
      <c r="AAW41" s="543"/>
      <c r="AAX41" s="543"/>
      <c r="AAY41" s="543"/>
      <c r="AAZ41" s="543"/>
      <c r="ABA41" s="543"/>
      <c r="ABB41" s="543"/>
      <c r="ABC41" s="543"/>
      <c r="ABD41" s="543"/>
      <c r="ABE41" s="543"/>
      <c r="ABF41" s="543"/>
      <c r="ABG41" s="543"/>
      <c r="ABH41" s="543"/>
      <c r="ABI41" s="543"/>
      <c r="ABJ41" s="543"/>
      <c r="ABK41" s="543"/>
      <c r="ABL41" s="543"/>
      <c r="ABM41" s="543"/>
      <c r="ABN41" s="543"/>
      <c r="ABO41" s="543"/>
      <c r="ABP41" s="543"/>
      <c r="ABQ41" s="543"/>
      <c r="ABR41" s="543"/>
      <c r="ABS41" s="543"/>
      <c r="ABT41" s="543"/>
      <c r="ABU41" s="543"/>
      <c r="ABV41" s="543"/>
      <c r="ABW41" s="543"/>
      <c r="ABX41" s="543"/>
      <c r="ABY41" s="543"/>
      <c r="ABZ41" s="543"/>
      <c r="ACA41" s="543"/>
      <c r="ACB41" s="543"/>
      <c r="ACC41" s="543"/>
      <c r="ACD41" s="543"/>
      <c r="ACE41" s="543"/>
      <c r="ACF41" s="543"/>
      <c r="ACG41" s="543"/>
      <c r="ACH41" s="543"/>
      <c r="ACI41" s="543"/>
      <c r="ACJ41" s="543"/>
      <c r="ACK41" s="543"/>
      <c r="ACL41" s="543"/>
      <c r="ACM41" s="543"/>
      <c r="ACN41" s="543"/>
      <c r="ACO41" s="543"/>
      <c r="ACP41" s="543"/>
      <c r="ACQ41" s="543"/>
      <c r="ACR41" s="543"/>
      <c r="ACS41" s="543"/>
      <c r="ACT41" s="543"/>
      <c r="ACU41" s="543"/>
      <c r="ACV41" s="543"/>
      <c r="ACW41" s="543"/>
      <c r="ACX41" s="543"/>
      <c r="ACY41" s="543"/>
      <c r="ACZ41" s="543"/>
      <c r="ADA41" s="543"/>
      <c r="ADB41" s="543"/>
      <c r="ADC41" s="543"/>
      <c r="ADD41" s="543"/>
      <c r="ADE41" s="543"/>
      <c r="ADF41" s="543"/>
      <c r="ADG41" s="543"/>
      <c r="ADH41" s="543"/>
      <c r="ADI41" s="543"/>
      <c r="ADJ41" s="543"/>
      <c r="ADK41" s="543"/>
      <c r="ADL41" s="543"/>
      <c r="ADM41" s="543"/>
      <c r="ADN41" s="543"/>
      <c r="ADO41" s="543"/>
      <c r="ADP41" s="543"/>
      <c r="ADQ41" s="543"/>
      <c r="ADR41" s="543"/>
      <c r="ADS41" s="543"/>
      <c r="ADT41" s="543"/>
      <c r="ADU41" s="543"/>
      <c r="ADV41" s="543"/>
      <c r="ADW41" s="543"/>
      <c r="ADX41" s="543"/>
      <c r="ADY41" s="543"/>
      <c r="ADZ41" s="543"/>
      <c r="AEA41" s="543"/>
      <c r="AEB41" s="543"/>
      <c r="AEC41" s="543"/>
      <c r="AED41" s="543"/>
      <c r="AEE41" s="543"/>
      <c r="AEF41" s="543"/>
      <c r="AEG41" s="543"/>
      <c r="AEH41" s="543"/>
      <c r="AEI41" s="543"/>
      <c r="AEJ41" s="543"/>
      <c r="AEK41" s="543"/>
      <c r="AEL41" s="543"/>
      <c r="AEM41" s="543"/>
      <c r="AEN41" s="543"/>
      <c r="AEO41" s="543"/>
      <c r="AEP41" s="543"/>
      <c r="AEQ41" s="543"/>
      <c r="AER41" s="543"/>
      <c r="AES41" s="543"/>
      <c r="AET41" s="543"/>
      <c r="AEU41" s="543"/>
      <c r="AEV41" s="543"/>
      <c r="AEW41" s="543"/>
      <c r="AEX41" s="543"/>
      <c r="AEY41" s="543"/>
      <c r="AEZ41" s="543"/>
      <c r="AFA41" s="543"/>
      <c r="AFB41" s="543"/>
      <c r="AFC41" s="543"/>
      <c r="AFD41" s="543"/>
      <c r="AFE41" s="543"/>
      <c r="AFF41" s="543"/>
      <c r="AFG41" s="543"/>
      <c r="AFH41" s="543"/>
      <c r="AFI41" s="543"/>
      <c r="AFJ41" s="543"/>
      <c r="AFK41" s="543"/>
      <c r="AFL41" s="543"/>
      <c r="AFM41" s="543"/>
      <c r="AFN41" s="543"/>
      <c r="AFO41" s="543"/>
      <c r="AFP41" s="543"/>
      <c r="AFQ41" s="543"/>
      <c r="AFR41" s="543"/>
      <c r="AFS41" s="543"/>
      <c r="AFT41" s="543"/>
      <c r="AFU41" s="543"/>
      <c r="AFV41" s="543"/>
      <c r="AFW41" s="543"/>
      <c r="AFX41" s="543"/>
      <c r="AFY41" s="543"/>
      <c r="AFZ41" s="543"/>
      <c r="AGA41" s="543"/>
      <c r="AGB41" s="543"/>
      <c r="AGC41" s="543"/>
      <c r="AGD41" s="543"/>
      <c r="AGE41" s="543"/>
      <c r="AGF41" s="543"/>
      <c r="AGG41" s="543"/>
      <c r="AGH41" s="543"/>
      <c r="AGI41" s="543"/>
      <c r="AGJ41" s="543"/>
      <c r="AGK41" s="543"/>
      <c r="AGL41" s="543"/>
      <c r="AGM41" s="543"/>
      <c r="AGN41" s="543"/>
      <c r="AGO41" s="543"/>
      <c r="AGP41" s="543"/>
      <c r="AGQ41" s="543"/>
      <c r="AGR41" s="543"/>
      <c r="AGS41" s="543"/>
      <c r="AGT41" s="543"/>
      <c r="AGU41" s="543"/>
      <c r="AGV41" s="543"/>
      <c r="AGW41" s="543"/>
      <c r="AGX41" s="543"/>
      <c r="AGY41" s="543"/>
      <c r="AGZ41" s="543"/>
      <c r="AHA41" s="543"/>
      <c r="AHB41" s="543"/>
      <c r="AHC41" s="543"/>
      <c r="AHD41" s="543"/>
      <c r="AHE41" s="543"/>
      <c r="AHF41" s="543"/>
      <c r="AHG41" s="543"/>
      <c r="AHH41" s="543"/>
      <c r="AHI41" s="543"/>
      <c r="AHJ41" s="543"/>
      <c r="AHK41" s="543"/>
      <c r="AHL41" s="543"/>
      <c r="AHM41" s="543"/>
      <c r="AHN41" s="543"/>
      <c r="AHO41" s="543"/>
      <c r="AHP41" s="543"/>
      <c r="AHQ41" s="543"/>
      <c r="AHR41" s="543"/>
      <c r="AHS41" s="543"/>
      <c r="AHT41" s="543"/>
      <c r="AHU41" s="543"/>
      <c r="AHV41" s="543"/>
      <c r="AHW41" s="543"/>
      <c r="AHX41" s="543"/>
      <c r="AHY41" s="543"/>
      <c r="AHZ41" s="543"/>
      <c r="AIA41" s="543"/>
      <c r="AIB41" s="543"/>
      <c r="AIC41" s="543"/>
      <c r="AID41" s="543"/>
      <c r="AIE41" s="543"/>
      <c r="AIF41" s="543"/>
      <c r="AIG41" s="543"/>
      <c r="AIH41" s="543"/>
      <c r="AII41" s="543"/>
      <c r="AIJ41" s="543"/>
      <c r="AIK41" s="543"/>
      <c r="AIL41" s="543"/>
      <c r="AIM41" s="543"/>
      <c r="AIN41" s="543"/>
      <c r="AIO41" s="543"/>
      <c r="AIP41" s="543"/>
      <c r="AIQ41" s="543"/>
      <c r="AIR41" s="543"/>
      <c r="AIS41" s="543"/>
      <c r="AIT41" s="543"/>
      <c r="AIU41" s="543"/>
      <c r="AIV41" s="543"/>
      <c r="AIW41" s="543"/>
      <c r="AIX41" s="543"/>
      <c r="AIY41" s="543"/>
      <c r="AIZ41" s="543"/>
      <c r="AJA41" s="543"/>
      <c r="AJB41" s="543"/>
      <c r="AJC41" s="543"/>
      <c r="AJD41" s="543"/>
      <c r="AJE41" s="543"/>
      <c r="AJF41" s="543"/>
      <c r="AJG41" s="543"/>
      <c r="AJH41" s="543"/>
      <c r="AJI41" s="543"/>
      <c r="AJJ41" s="543"/>
      <c r="AJK41" s="543"/>
      <c r="AJL41" s="543"/>
      <c r="AJM41" s="543"/>
      <c r="AJN41" s="543"/>
      <c r="AJO41" s="543"/>
      <c r="AJP41" s="543"/>
      <c r="AJQ41" s="543"/>
      <c r="AJR41" s="543"/>
      <c r="AJS41" s="543"/>
      <c r="AJT41" s="543"/>
      <c r="AJU41" s="543"/>
      <c r="AJV41" s="543"/>
      <c r="AJW41" s="543"/>
      <c r="AJX41" s="543"/>
      <c r="AJY41" s="543"/>
      <c r="AJZ41" s="543"/>
      <c r="AKA41" s="543"/>
      <c r="AKB41" s="543"/>
      <c r="AKC41" s="543"/>
      <c r="AKD41" s="543"/>
      <c r="AKE41" s="543"/>
      <c r="AKF41" s="543"/>
      <c r="AKG41" s="543"/>
      <c r="AKH41" s="543"/>
      <c r="AKI41" s="543"/>
      <c r="AKJ41" s="543"/>
      <c r="AKK41" s="543"/>
      <c r="AKL41" s="543"/>
      <c r="AKM41" s="543"/>
      <c r="AKN41" s="543"/>
      <c r="AKO41" s="543"/>
      <c r="AKP41" s="543"/>
      <c r="AKQ41" s="543"/>
      <c r="AKR41" s="543"/>
      <c r="AKS41" s="543"/>
      <c r="AKT41" s="543"/>
      <c r="AKU41" s="543"/>
      <c r="AKV41" s="543"/>
      <c r="AKW41" s="543"/>
      <c r="AKX41" s="543"/>
      <c r="AKY41" s="543"/>
      <c r="AKZ41" s="543"/>
      <c r="ALA41" s="543"/>
      <c r="ALB41" s="543"/>
      <c r="ALC41" s="543"/>
      <c r="ALD41" s="543"/>
      <c r="ALE41" s="543"/>
      <c r="ALF41" s="543"/>
      <c r="ALG41" s="543"/>
      <c r="ALH41" s="543"/>
      <c r="ALI41" s="543"/>
      <c r="ALJ41" s="543"/>
      <c r="ALK41" s="543"/>
      <c r="ALL41" s="543"/>
      <c r="ALM41" s="543"/>
      <c r="ALN41" s="543"/>
      <c r="ALO41" s="543"/>
      <c r="ALP41" s="543"/>
      <c r="ALQ41" s="543"/>
      <c r="ALR41" s="543"/>
      <c r="ALS41" s="543"/>
      <c r="ALT41" s="543"/>
      <c r="ALU41" s="543"/>
      <c r="ALV41" s="543"/>
      <c r="ALW41" s="543"/>
      <c r="ALX41" s="543"/>
      <c r="ALY41" s="543"/>
      <c r="ALZ41" s="543"/>
      <c r="AMA41" s="543"/>
      <c r="AMB41" s="543"/>
      <c r="AMC41" s="543"/>
      <c r="AMD41" s="543"/>
      <c r="AME41" s="543"/>
      <c r="AMF41" s="543"/>
      <c r="AMG41" s="543"/>
      <c r="AMH41" s="543"/>
      <c r="AMI41" s="543"/>
      <c r="AMJ41" s="543"/>
      <c r="AMK41" s="543"/>
      <c r="AML41" s="543"/>
      <c r="AMM41" s="543"/>
      <c r="AMN41" s="543"/>
      <c r="AMO41" s="543"/>
      <c r="AMP41" s="543"/>
      <c r="AMQ41" s="543"/>
      <c r="AMR41" s="543"/>
      <c r="AMS41" s="543"/>
      <c r="AMT41" s="543"/>
      <c r="AMU41" s="543"/>
      <c r="AMV41" s="543"/>
      <c r="AMW41" s="543"/>
      <c r="AMX41" s="543"/>
      <c r="AMY41" s="543"/>
      <c r="AMZ41" s="543"/>
      <c r="ANA41" s="543"/>
      <c r="ANB41" s="543"/>
      <c r="ANC41" s="543"/>
      <c r="AND41" s="543"/>
      <c r="ANE41" s="543"/>
      <c r="ANF41" s="543"/>
      <c r="ANG41" s="543"/>
      <c r="ANH41" s="543"/>
      <c r="ANI41" s="543"/>
      <c r="ANJ41" s="543"/>
      <c r="ANK41" s="543"/>
      <c r="ANL41" s="543"/>
      <c r="ANM41" s="543"/>
      <c r="ANN41" s="543"/>
      <c r="ANO41" s="543"/>
      <c r="ANP41" s="543"/>
      <c r="ANQ41" s="543"/>
      <c r="ANR41" s="543"/>
      <c r="ANS41" s="543"/>
      <c r="ANT41" s="543"/>
      <c r="ANU41" s="543"/>
      <c r="ANV41" s="543"/>
      <c r="ANW41" s="543"/>
      <c r="ANX41" s="543"/>
      <c r="ANY41" s="543"/>
      <c r="ANZ41" s="543"/>
      <c r="AOA41" s="543"/>
      <c r="AOB41" s="543"/>
      <c r="AOC41" s="543"/>
      <c r="AOD41" s="543"/>
      <c r="AOE41" s="543"/>
      <c r="AOF41" s="543"/>
      <c r="AOG41" s="543"/>
      <c r="AOH41" s="543"/>
      <c r="AOI41" s="543"/>
      <c r="AOJ41" s="543"/>
      <c r="AOK41" s="543"/>
      <c r="AOL41" s="543"/>
      <c r="AOM41" s="543"/>
      <c r="AON41" s="543"/>
      <c r="AOO41" s="543"/>
      <c r="AOP41" s="543"/>
      <c r="AOQ41" s="543"/>
      <c r="AOR41" s="543"/>
      <c r="AOS41" s="543"/>
      <c r="AOT41" s="543"/>
      <c r="AOU41" s="543"/>
      <c r="AOV41" s="543"/>
      <c r="AOW41" s="543"/>
      <c r="AOX41" s="543"/>
      <c r="AOY41" s="543"/>
      <c r="AOZ41" s="543"/>
      <c r="APA41" s="543"/>
      <c r="APB41" s="543"/>
      <c r="APC41" s="543"/>
      <c r="APD41" s="543"/>
      <c r="APE41" s="543"/>
      <c r="APF41" s="543"/>
      <c r="APG41" s="543"/>
      <c r="APH41" s="543"/>
      <c r="API41" s="543"/>
      <c r="APJ41" s="543"/>
      <c r="APK41" s="543"/>
      <c r="APL41" s="543"/>
      <c r="APM41" s="543"/>
      <c r="APN41" s="543"/>
      <c r="APO41" s="543"/>
      <c r="APP41" s="543"/>
      <c r="APQ41" s="543"/>
      <c r="APR41" s="543"/>
      <c r="APS41" s="543"/>
      <c r="APT41" s="543"/>
      <c r="APU41" s="543"/>
      <c r="APV41" s="543"/>
      <c r="APW41" s="543"/>
      <c r="APX41" s="543"/>
      <c r="APY41" s="543"/>
      <c r="APZ41" s="543"/>
      <c r="AQA41" s="543"/>
      <c r="AQB41" s="543"/>
      <c r="AQC41" s="543"/>
      <c r="AQD41" s="543"/>
      <c r="AQE41" s="543"/>
      <c r="AQF41" s="543"/>
      <c r="AQG41" s="543"/>
      <c r="AQH41" s="543"/>
      <c r="AQI41" s="543"/>
      <c r="AQJ41" s="543"/>
      <c r="AQK41" s="543"/>
      <c r="AQL41" s="543"/>
      <c r="AQM41" s="543"/>
      <c r="AQN41" s="543"/>
      <c r="AQO41" s="543"/>
      <c r="AQP41" s="543"/>
      <c r="AQQ41" s="543"/>
      <c r="AQR41" s="543"/>
      <c r="AQS41" s="543"/>
      <c r="AQT41" s="543"/>
      <c r="AQU41" s="543"/>
      <c r="AQV41" s="543"/>
      <c r="AQW41" s="543"/>
      <c r="AQX41" s="543"/>
      <c r="AQY41" s="543"/>
      <c r="AQZ41" s="543"/>
      <c r="ARA41" s="543"/>
      <c r="ARB41" s="543"/>
      <c r="ARC41" s="543"/>
      <c r="ARD41" s="543"/>
      <c r="ARE41" s="543"/>
      <c r="ARF41" s="543"/>
      <c r="ARG41" s="543"/>
      <c r="ARH41" s="543"/>
      <c r="ARI41" s="543"/>
      <c r="ARJ41" s="543"/>
      <c r="ARK41" s="543"/>
      <c r="ARL41" s="543"/>
      <c r="ARM41" s="543"/>
      <c r="ARN41" s="543"/>
      <c r="ARO41" s="543"/>
      <c r="ARP41" s="543"/>
      <c r="ARQ41" s="543"/>
      <c r="ARR41" s="543"/>
      <c r="ARS41" s="543"/>
      <c r="ART41" s="543"/>
      <c r="ARU41" s="543"/>
      <c r="ARV41" s="543"/>
      <c r="ARW41" s="543"/>
      <c r="ARX41" s="543"/>
      <c r="ARY41" s="543"/>
      <c r="ARZ41" s="543"/>
      <c r="ASA41" s="543"/>
      <c r="ASB41" s="543"/>
      <c r="ASC41" s="543"/>
      <c r="ASD41" s="543"/>
      <c r="ASE41" s="543"/>
      <c r="ASF41" s="543"/>
      <c r="ASG41" s="543"/>
      <c r="ASH41" s="543"/>
      <c r="ASI41" s="543"/>
      <c r="ASJ41" s="543"/>
      <c r="ASK41" s="543"/>
      <c r="ASL41" s="543"/>
      <c r="ASM41" s="543"/>
      <c r="ASN41" s="543"/>
      <c r="ASO41" s="543"/>
      <c r="ASP41" s="543"/>
      <c r="ASQ41" s="543"/>
      <c r="ASR41" s="543"/>
      <c r="ASS41" s="543"/>
      <c r="AST41" s="543"/>
      <c r="ASU41" s="543"/>
      <c r="ASV41" s="543"/>
      <c r="ASW41" s="543"/>
      <c r="ASX41" s="543"/>
      <c r="ASY41" s="543"/>
      <c r="ASZ41" s="543"/>
      <c r="ATA41" s="543"/>
      <c r="ATB41" s="543"/>
      <c r="ATC41" s="543"/>
      <c r="ATD41" s="543"/>
      <c r="ATE41" s="543"/>
      <c r="ATF41" s="543"/>
      <c r="ATG41" s="543"/>
      <c r="ATH41" s="543"/>
      <c r="ATI41" s="543"/>
      <c r="ATJ41" s="543"/>
      <c r="ATK41" s="543"/>
      <c r="ATL41" s="543"/>
      <c r="ATM41" s="543"/>
      <c r="ATN41" s="543"/>
      <c r="ATO41" s="543"/>
      <c r="ATP41" s="543"/>
      <c r="ATQ41" s="543"/>
      <c r="ATR41" s="543"/>
      <c r="ATS41" s="543"/>
      <c r="ATT41" s="543"/>
      <c r="ATU41" s="543"/>
      <c r="ATV41" s="543"/>
      <c r="ATW41" s="543"/>
      <c r="ATX41" s="543"/>
      <c r="ATY41" s="543"/>
      <c r="ATZ41" s="543"/>
      <c r="AUA41" s="543"/>
      <c r="AUB41" s="543"/>
      <c r="AUC41" s="543"/>
      <c r="AUD41" s="543"/>
      <c r="AUE41" s="543"/>
      <c r="AUF41" s="543"/>
      <c r="AUG41" s="543"/>
      <c r="AUH41" s="543"/>
      <c r="AUI41" s="543"/>
      <c r="AUJ41" s="543"/>
      <c r="AUK41" s="543"/>
      <c r="AUL41" s="543"/>
      <c r="AUM41" s="543"/>
      <c r="AUN41" s="543"/>
      <c r="AUO41" s="543"/>
      <c r="AUP41" s="543"/>
      <c r="AUQ41" s="543"/>
      <c r="AUR41" s="543"/>
      <c r="AUS41" s="543"/>
      <c r="AUT41" s="543"/>
      <c r="AUU41" s="543"/>
      <c r="AUV41" s="543"/>
      <c r="AUW41" s="543"/>
      <c r="AUX41" s="543"/>
      <c r="AUY41" s="543"/>
      <c r="AUZ41" s="543"/>
      <c r="AVA41" s="543"/>
      <c r="AVB41" s="543"/>
      <c r="AVC41" s="543"/>
      <c r="AVD41" s="543"/>
      <c r="AVE41" s="543"/>
      <c r="AVF41" s="543"/>
      <c r="AVG41" s="543"/>
      <c r="AVH41" s="543"/>
      <c r="AVI41" s="543"/>
      <c r="AVJ41" s="543"/>
      <c r="AVK41" s="543"/>
      <c r="AVL41" s="543"/>
      <c r="AVM41" s="543"/>
      <c r="AVN41" s="543"/>
      <c r="AVO41" s="543"/>
      <c r="AVP41" s="543"/>
      <c r="AVQ41" s="543"/>
      <c r="AVR41" s="543"/>
      <c r="AVS41" s="543"/>
      <c r="AVT41" s="543"/>
      <c r="AVU41" s="543"/>
      <c r="AVV41" s="543"/>
      <c r="AVW41" s="543"/>
      <c r="AVX41" s="543"/>
      <c r="AVY41" s="543"/>
      <c r="AVZ41" s="543"/>
      <c r="AWA41" s="543"/>
      <c r="AWB41" s="543"/>
      <c r="AWC41" s="543"/>
      <c r="AWD41" s="543"/>
      <c r="AWE41" s="543"/>
      <c r="AWF41" s="543"/>
      <c r="AWG41" s="543"/>
      <c r="AWH41" s="543"/>
      <c r="AWI41" s="543"/>
      <c r="AWJ41" s="543"/>
      <c r="AWK41" s="543"/>
      <c r="AWL41" s="543"/>
      <c r="AWM41" s="543"/>
      <c r="AWN41" s="543"/>
      <c r="AWO41" s="543"/>
      <c r="AWP41" s="543"/>
      <c r="AWQ41" s="543"/>
      <c r="AWR41" s="543"/>
      <c r="AWS41" s="543"/>
      <c r="AWT41" s="543"/>
      <c r="AWU41" s="543"/>
      <c r="AWV41" s="543"/>
      <c r="AWW41" s="543"/>
      <c r="AWX41" s="543"/>
      <c r="AWY41" s="543"/>
      <c r="AWZ41" s="543"/>
      <c r="AXA41" s="543"/>
      <c r="AXB41" s="543"/>
      <c r="AXC41" s="543"/>
      <c r="AXD41" s="543"/>
      <c r="AXE41" s="543"/>
      <c r="AXF41" s="543"/>
      <c r="AXG41" s="543"/>
      <c r="AXH41" s="543"/>
      <c r="AXI41" s="543"/>
      <c r="AXJ41" s="543"/>
      <c r="AXK41" s="543"/>
      <c r="AXL41" s="543"/>
      <c r="AXM41" s="543"/>
      <c r="AXN41" s="543"/>
      <c r="AXO41" s="543"/>
      <c r="AXP41" s="543"/>
      <c r="AXQ41" s="543"/>
      <c r="AXR41" s="543"/>
      <c r="AXS41" s="543"/>
      <c r="AXT41" s="543"/>
      <c r="AXU41" s="543"/>
      <c r="AXV41" s="543"/>
      <c r="AXW41" s="543"/>
      <c r="AXX41" s="543"/>
      <c r="AXY41" s="543"/>
      <c r="AXZ41" s="543"/>
      <c r="AYA41" s="543"/>
      <c r="AYB41" s="543"/>
      <c r="AYC41" s="543"/>
      <c r="AYD41" s="543"/>
      <c r="AYE41" s="543"/>
      <c r="AYF41" s="543"/>
      <c r="AYG41" s="543"/>
      <c r="AYH41" s="543"/>
      <c r="AYI41" s="543"/>
      <c r="AYJ41" s="543"/>
      <c r="AYK41" s="543"/>
      <c r="AYL41" s="543"/>
      <c r="AYM41" s="543"/>
      <c r="AYN41" s="543"/>
      <c r="AYO41" s="543"/>
      <c r="AYP41" s="543"/>
      <c r="AYQ41" s="543"/>
      <c r="AYR41" s="543"/>
      <c r="AYS41" s="543"/>
      <c r="AYT41" s="543"/>
      <c r="AYU41" s="543"/>
      <c r="AYV41" s="543"/>
      <c r="AYW41" s="543"/>
      <c r="AYX41" s="543"/>
      <c r="AYY41" s="543"/>
      <c r="AYZ41" s="543"/>
      <c r="AZA41" s="543"/>
      <c r="AZB41" s="543"/>
      <c r="AZC41" s="543"/>
      <c r="AZD41" s="543"/>
      <c r="AZE41" s="543"/>
      <c r="AZF41" s="543"/>
      <c r="AZG41" s="543"/>
      <c r="AZH41" s="543"/>
      <c r="AZI41" s="543"/>
      <c r="AZJ41" s="543"/>
      <c r="AZK41" s="543"/>
      <c r="AZL41" s="543"/>
      <c r="AZM41" s="543"/>
      <c r="AZN41" s="543"/>
      <c r="AZO41" s="543"/>
      <c r="AZP41" s="543"/>
      <c r="AZQ41" s="543"/>
      <c r="AZR41" s="543"/>
      <c r="AZS41" s="543"/>
      <c r="AZT41" s="543"/>
      <c r="AZU41" s="543"/>
      <c r="AZV41" s="543"/>
      <c r="AZW41" s="543"/>
      <c r="AZX41" s="543"/>
      <c r="AZY41" s="543"/>
      <c r="AZZ41" s="543"/>
      <c r="BAA41" s="543"/>
      <c r="BAB41" s="543"/>
      <c r="BAC41" s="543"/>
      <c r="BAD41" s="543"/>
      <c r="BAE41" s="543"/>
      <c r="BAF41" s="543"/>
      <c r="BAG41" s="543"/>
      <c r="BAH41" s="543"/>
      <c r="BAI41" s="543"/>
      <c r="BAJ41" s="543"/>
      <c r="BAK41" s="543"/>
      <c r="BAL41" s="543"/>
      <c r="BAM41" s="543"/>
      <c r="BAN41" s="543"/>
      <c r="BAO41" s="543"/>
      <c r="BAP41" s="543"/>
      <c r="BAQ41" s="543"/>
      <c r="BAR41" s="543"/>
      <c r="BAS41" s="543"/>
      <c r="BAT41" s="543"/>
      <c r="BAU41" s="543"/>
      <c r="BAV41" s="543"/>
      <c r="BAW41" s="543"/>
      <c r="BAX41" s="543"/>
      <c r="BAY41" s="543"/>
      <c r="BAZ41" s="543"/>
      <c r="BBA41" s="543"/>
      <c r="BBB41" s="543"/>
      <c r="BBC41" s="543"/>
      <c r="BBD41" s="543"/>
      <c r="BBE41" s="543"/>
      <c r="BBF41" s="543"/>
      <c r="BBG41" s="543"/>
      <c r="BBH41" s="543"/>
      <c r="BBI41" s="543"/>
      <c r="BBJ41" s="543"/>
      <c r="BBK41" s="543"/>
      <c r="BBL41" s="543"/>
      <c r="BBM41" s="543"/>
      <c r="BBN41" s="543"/>
      <c r="BBO41" s="543"/>
      <c r="BBP41" s="543"/>
      <c r="BBQ41" s="543"/>
      <c r="BBR41" s="543"/>
      <c r="BBS41" s="543"/>
      <c r="BBT41" s="543"/>
      <c r="BBU41" s="543"/>
      <c r="BBV41" s="543"/>
      <c r="BBW41" s="543"/>
      <c r="BBX41" s="543"/>
      <c r="BBY41" s="543"/>
      <c r="BBZ41" s="543"/>
      <c r="BCA41" s="543"/>
      <c r="BCB41" s="543"/>
      <c r="BCC41" s="543"/>
      <c r="BCD41" s="543"/>
      <c r="BCE41" s="543"/>
      <c r="BCF41" s="543"/>
      <c r="BCG41" s="543"/>
      <c r="BCH41" s="543"/>
      <c r="BCI41" s="543"/>
      <c r="BCJ41" s="543"/>
      <c r="BCK41" s="543"/>
      <c r="BCL41" s="543"/>
      <c r="BCM41" s="543"/>
      <c r="BCN41" s="543"/>
      <c r="BCO41" s="543"/>
      <c r="BCP41" s="543"/>
      <c r="BCQ41" s="543"/>
      <c r="BCR41" s="543"/>
      <c r="BCS41" s="543"/>
      <c r="BCT41" s="543"/>
      <c r="BCU41" s="543"/>
      <c r="BCV41" s="543"/>
      <c r="BCW41" s="543"/>
      <c r="BCX41" s="543"/>
      <c r="BCY41" s="543"/>
      <c r="BCZ41" s="543"/>
      <c r="BDA41" s="543"/>
      <c r="BDB41" s="543"/>
      <c r="BDC41" s="543"/>
      <c r="BDD41" s="543"/>
      <c r="BDE41" s="543"/>
      <c r="BDF41" s="543"/>
      <c r="BDG41" s="543"/>
      <c r="BDH41" s="543"/>
      <c r="BDI41" s="543"/>
      <c r="BDJ41" s="543"/>
      <c r="BDK41" s="543"/>
      <c r="BDL41" s="543"/>
      <c r="BDM41" s="543"/>
      <c r="BDN41" s="543"/>
      <c r="BDO41" s="543"/>
      <c r="BDP41" s="543"/>
      <c r="BDQ41" s="543"/>
      <c r="BDR41" s="543"/>
      <c r="BDS41" s="543"/>
      <c r="BDT41" s="543"/>
      <c r="BDU41" s="543"/>
      <c r="BDV41" s="543"/>
      <c r="BDW41" s="543"/>
      <c r="BDX41" s="543"/>
      <c r="BDY41" s="543"/>
      <c r="BDZ41" s="543"/>
      <c r="BEA41" s="543"/>
      <c r="BEB41" s="543"/>
      <c r="BEC41" s="543"/>
      <c r="BED41" s="543"/>
      <c r="BEE41" s="543"/>
      <c r="BEF41" s="543"/>
      <c r="BEG41" s="543"/>
      <c r="BEH41" s="543"/>
      <c r="BEI41" s="543"/>
      <c r="BEJ41" s="543"/>
      <c r="BEK41" s="543"/>
      <c r="BEL41" s="543"/>
      <c r="BEM41" s="543"/>
      <c r="BEN41" s="543"/>
      <c r="BEO41" s="543"/>
      <c r="BEP41" s="543"/>
      <c r="BEQ41" s="543"/>
      <c r="BER41" s="543"/>
      <c r="BES41" s="543"/>
      <c r="BET41" s="543"/>
      <c r="BEU41" s="543"/>
      <c r="BEV41" s="543"/>
      <c r="BEW41" s="543"/>
      <c r="BEX41" s="543"/>
      <c r="BEY41" s="543"/>
      <c r="BEZ41" s="543"/>
      <c r="BFA41" s="543"/>
      <c r="BFB41" s="543"/>
      <c r="BFC41" s="543"/>
      <c r="BFD41" s="543"/>
      <c r="BFE41" s="543"/>
      <c r="BFF41" s="543"/>
      <c r="BFG41" s="543"/>
      <c r="BFH41" s="543"/>
      <c r="BFI41" s="543"/>
      <c r="BFJ41" s="543"/>
      <c r="BFK41" s="543"/>
      <c r="BFL41" s="543"/>
      <c r="BFM41" s="543"/>
      <c r="BFN41" s="543"/>
      <c r="BFO41" s="543"/>
      <c r="BFP41" s="543"/>
      <c r="BFQ41" s="543"/>
      <c r="BFR41" s="543"/>
      <c r="BFS41" s="543"/>
      <c r="BFT41" s="543"/>
      <c r="BFU41" s="543"/>
      <c r="BFV41" s="543"/>
      <c r="BFW41" s="543"/>
      <c r="BFX41" s="543"/>
      <c r="BFY41" s="543"/>
      <c r="BFZ41" s="543"/>
      <c r="BGA41" s="543"/>
      <c r="BGB41" s="543"/>
      <c r="BGC41" s="543"/>
      <c r="BGD41" s="543"/>
      <c r="BGE41" s="543"/>
      <c r="BGF41" s="543"/>
      <c r="BGG41" s="543"/>
      <c r="BGH41" s="543"/>
      <c r="BGI41" s="543"/>
      <c r="BGJ41" s="543"/>
      <c r="BGK41" s="543"/>
      <c r="BGL41" s="543"/>
      <c r="BGM41" s="543"/>
      <c r="BGN41" s="543"/>
      <c r="BGO41" s="543"/>
      <c r="BGP41" s="543"/>
      <c r="BGQ41" s="543"/>
      <c r="BGR41" s="543"/>
      <c r="BGS41" s="543"/>
      <c r="BGT41" s="543"/>
      <c r="BGU41" s="543"/>
      <c r="BGV41" s="543"/>
      <c r="BGW41" s="543"/>
      <c r="BGX41" s="543"/>
      <c r="BGY41" s="543"/>
      <c r="BGZ41" s="543"/>
      <c r="BHA41" s="543"/>
      <c r="BHB41" s="543"/>
      <c r="BHC41" s="543"/>
      <c r="BHD41" s="543"/>
      <c r="BHE41" s="543"/>
      <c r="BHF41" s="543"/>
      <c r="BHG41" s="543"/>
      <c r="BHH41" s="543"/>
      <c r="BHI41" s="543"/>
      <c r="BHJ41" s="543"/>
      <c r="BHK41" s="543"/>
      <c r="BHL41" s="543"/>
      <c r="BHM41" s="543"/>
      <c r="BHN41" s="543"/>
      <c r="BHO41" s="543"/>
      <c r="BHP41" s="543"/>
      <c r="BHQ41" s="543"/>
      <c r="BHR41" s="543"/>
      <c r="BHS41" s="543"/>
      <c r="BHT41" s="543"/>
      <c r="BHU41" s="543"/>
      <c r="BHV41" s="543"/>
      <c r="BHW41" s="543"/>
      <c r="BHX41" s="543"/>
      <c r="BHY41" s="543"/>
      <c r="BHZ41" s="543"/>
      <c r="BIA41" s="543"/>
      <c r="BIB41" s="543"/>
      <c r="BIC41" s="543"/>
      <c r="BID41" s="543"/>
      <c r="BIE41" s="543"/>
      <c r="BIF41" s="543"/>
      <c r="BIG41" s="543"/>
      <c r="BIH41" s="543"/>
      <c r="BII41" s="543"/>
      <c r="BIJ41" s="543"/>
      <c r="BIK41" s="543"/>
      <c r="BIL41" s="543"/>
      <c r="BIM41" s="543"/>
      <c r="BIN41" s="543"/>
      <c r="BIO41" s="543"/>
      <c r="BIP41" s="543"/>
      <c r="BIQ41" s="543"/>
      <c r="BIR41" s="543"/>
      <c r="BIS41" s="543"/>
      <c r="BIT41" s="543"/>
      <c r="BIU41" s="543"/>
      <c r="BIV41" s="543"/>
      <c r="BIW41" s="543"/>
      <c r="BIX41" s="543"/>
      <c r="BIY41" s="543"/>
      <c r="BIZ41" s="543"/>
      <c r="BJA41" s="543"/>
      <c r="BJB41" s="543"/>
      <c r="BJC41" s="543"/>
      <c r="BJD41" s="543"/>
      <c r="BJE41" s="543"/>
      <c r="BJF41" s="543"/>
      <c r="BJG41" s="543"/>
      <c r="BJH41" s="543"/>
      <c r="BJI41" s="543"/>
      <c r="BJJ41" s="543"/>
      <c r="BJK41" s="543"/>
      <c r="BJL41" s="543"/>
      <c r="BJM41" s="543"/>
      <c r="BJN41" s="543"/>
      <c r="BJO41" s="543"/>
      <c r="BJP41" s="543"/>
      <c r="BJQ41" s="543"/>
      <c r="BJR41" s="543"/>
      <c r="BJS41" s="543"/>
      <c r="BJT41" s="543"/>
      <c r="BJU41" s="543"/>
      <c r="BJV41" s="543"/>
      <c r="BJW41" s="543"/>
      <c r="BJX41" s="543"/>
      <c r="BJY41" s="543"/>
      <c r="BJZ41" s="543"/>
      <c r="BKA41" s="543"/>
      <c r="BKB41" s="543"/>
      <c r="BKC41" s="543"/>
      <c r="BKD41" s="543"/>
      <c r="BKE41" s="543"/>
      <c r="BKF41" s="543"/>
      <c r="BKG41" s="543"/>
      <c r="BKH41" s="543"/>
      <c r="BKI41" s="543"/>
      <c r="BKJ41" s="543"/>
      <c r="BKK41" s="543"/>
      <c r="BKL41" s="543"/>
      <c r="BKM41" s="543"/>
      <c r="BKN41" s="543"/>
      <c r="BKO41" s="543"/>
      <c r="BKP41" s="543"/>
      <c r="BKQ41" s="543"/>
      <c r="BKR41" s="543"/>
      <c r="BKS41" s="543"/>
      <c r="BKT41" s="543"/>
      <c r="BKU41" s="543"/>
      <c r="BKV41" s="543"/>
      <c r="BKW41" s="543"/>
      <c r="BKX41" s="543"/>
      <c r="BKY41" s="543"/>
      <c r="BKZ41" s="543"/>
      <c r="BLA41" s="543"/>
      <c r="BLB41" s="543"/>
      <c r="BLC41" s="543"/>
      <c r="BLD41" s="543"/>
      <c r="BLE41" s="543"/>
      <c r="BLF41" s="543"/>
      <c r="BLG41" s="543"/>
      <c r="BLH41" s="543"/>
      <c r="BLI41" s="543"/>
      <c r="BLJ41" s="543"/>
      <c r="BLK41" s="543"/>
      <c r="BLL41" s="543"/>
      <c r="BLM41" s="543"/>
      <c r="BLN41" s="543"/>
      <c r="BLO41" s="543"/>
      <c r="BLP41" s="543"/>
      <c r="BLQ41" s="543"/>
      <c r="BLR41" s="543"/>
      <c r="BLS41" s="543"/>
      <c r="BLT41" s="543"/>
      <c r="BLU41" s="543"/>
      <c r="BLV41" s="543"/>
      <c r="BLW41" s="543"/>
      <c r="BLX41" s="543"/>
      <c r="BLY41" s="543"/>
      <c r="BLZ41" s="543"/>
      <c r="BMA41" s="543"/>
      <c r="BMB41" s="543"/>
      <c r="BMC41" s="543"/>
      <c r="BMD41" s="543"/>
      <c r="BME41" s="543"/>
      <c r="BMF41" s="543"/>
      <c r="BMG41" s="543"/>
      <c r="BMH41" s="543"/>
      <c r="BMI41" s="543"/>
      <c r="BMJ41" s="543"/>
      <c r="BMK41" s="543"/>
      <c r="BML41" s="543"/>
      <c r="BMM41" s="543"/>
      <c r="BMN41" s="543"/>
      <c r="BMO41" s="543"/>
      <c r="BMP41" s="543"/>
      <c r="BMQ41" s="543"/>
      <c r="BMR41" s="543"/>
      <c r="BMS41" s="543"/>
      <c r="BMT41" s="543"/>
      <c r="BMU41" s="543"/>
      <c r="BMV41" s="543"/>
      <c r="BMW41" s="543"/>
      <c r="BMX41" s="543"/>
      <c r="BMY41" s="543"/>
      <c r="BMZ41" s="543"/>
      <c r="BNA41" s="543"/>
      <c r="BNB41" s="543"/>
      <c r="BNC41" s="543"/>
      <c r="BND41" s="543"/>
      <c r="BNE41" s="543"/>
      <c r="BNF41" s="543"/>
      <c r="BNG41" s="543"/>
      <c r="BNH41" s="543"/>
      <c r="BNI41" s="543"/>
      <c r="BNJ41" s="543"/>
      <c r="BNK41" s="543"/>
      <c r="BNL41" s="543"/>
      <c r="BNM41" s="543"/>
      <c r="BNN41" s="543"/>
      <c r="BNO41" s="543"/>
      <c r="BNP41" s="543"/>
      <c r="BNQ41" s="543"/>
      <c r="BNR41" s="543"/>
      <c r="BNS41" s="543"/>
      <c r="BNT41" s="543"/>
      <c r="BNU41" s="543"/>
      <c r="BNV41" s="543"/>
      <c r="BNW41" s="543"/>
      <c r="BNX41" s="543"/>
      <c r="BNY41" s="543"/>
      <c r="BNZ41" s="543"/>
      <c r="BOA41" s="543"/>
      <c r="BOB41" s="543"/>
      <c r="BOC41" s="543"/>
      <c r="BOD41" s="543"/>
      <c r="BOE41" s="543"/>
      <c r="BOF41" s="543"/>
      <c r="BOG41" s="543"/>
      <c r="BOH41" s="543"/>
      <c r="BOI41" s="543"/>
      <c r="BOJ41" s="543"/>
      <c r="BOK41" s="543"/>
      <c r="BOL41" s="543"/>
      <c r="BOM41" s="543"/>
      <c r="BON41" s="543"/>
      <c r="BOO41" s="543"/>
      <c r="BOP41" s="543"/>
      <c r="BOQ41" s="543"/>
      <c r="BOR41" s="543"/>
      <c r="BOS41" s="543"/>
      <c r="BOT41" s="543"/>
      <c r="BOU41" s="543"/>
      <c r="BOV41" s="543"/>
      <c r="BOW41" s="543"/>
      <c r="BOX41" s="543"/>
      <c r="BOY41" s="543"/>
      <c r="BOZ41" s="543"/>
      <c r="BPA41" s="543"/>
      <c r="BPB41" s="543"/>
      <c r="BPC41" s="543"/>
      <c r="BPD41" s="543"/>
      <c r="BPE41" s="543"/>
      <c r="BPF41" s="543"/>
      <c r="BPG41" s="543"/>
      <c r="BPH41" s="543"/>
      <c r="BPI41" s="543"/>
      <c r="BPJ41" s="543"/>
      <c r="BPK41" s="543"/>
      <c r="BPL41" s="543"/>
      <c r="BPM41" s="543"/>
      <c r="BPN41" s="543"/>
      <c r="BPO41" s="543"/>
      <c r="BPP41" s="543"/>
      <c r="BPQ41" s="543"/>
      <c r="BPR41" s="543"/>
      <c r="BPS41" s="543"/>
      <c r="BPT41" s="543"/>
      <c r="BPU41" s="543"/>
      <c r="BPV41" s="543"/>
      <c r="BPW41" s="543"/>
      <c r="BPX41" s="543"/>
      <c r="BPY41" s="543"/>
      <c r="BPZ41" s="543"/>
      <c r="BQA41" s="543"/>
      <c r="BQB41" s="543"/>
      <c r="BQC41" s="543"/>
      <c r="BQD41" s="543"/>
      <c r="BQE41" s="543"/>
      <c r="BQF41" s="543"/>
      <c r="BQG41" s="543"/>
      <c r="BQH41" s="543"/>
      <c r="BQI41" s="543"/>
      <c r="BQJ41" s="543"/>
      <c r="BQK41" s="543"/>
      <c r="BQL41" s="543"/>
      <c r="BQM41" s="543"/>
      <c r="BQN41" s="543"/>
      <c r="BQO41" s="543"/>
      <c r="BQP41" s="543"/>
      <c r="BQQ41" s="543"/>
      <c r="BQR41" s="543"/>
      <c r="BQS41" s="543"/>
      <c r="BQT41" s="543"/>
      <c r="BQU41" s="543"/>
      <c r="BQV41" s="543"/>
      <c r="BQW41" s="543"/>
      <c r="BQX41" s="543"/>
      <c r="BQY41" s="543"/>
      <c r="BQZ41" s="543"/>
      <c r="BRA41" s="543"/>
      <c r="BRB41" s="543"/>
      <c r="BRC41" s="543"/>
      <c r="BRD41" s="543"/>
      <c r="BRE41" s="543"/>
      <c r="BRF41" s="543"/>
      <c r="BRG41" s="543"/>
      <c r="BRH41" s="543"/>
      <c r="BRI41" s="543"/>
      <c r="BRJ41" s="543"/>
      <c r="BRK41" s="543"/>
      <c r="BRL41" s="543"/>
      <c r="BRM41" s="543"/>
      <c r="BRN41" s="543"/>
      <c r="BRO41" s="543"/>
      <c r="BRP41" s="543"/>
      <c r="BRQ41" s="543"/>
      <c r="BRR41" s="543"/>
      <c r="BRS41" s="543"/>
      <c r="BRT41" s="543"/>
      <c r="BRU41" s="543"/>
      <c r="BRV41" s="543"/>
      <c r="BRW41" s="543"/>
      <c r="BRX41" s="543"/>
      <c r="BRY41" s="543"/>
      <c r="BRZ41" s="543"/>
      <c r="BSA41" s="543"/>
      <c r="BSB41" s="543"/>
      <c r="BSC41" s="543"/>
      <c r="BSD41" s="543"/>
      <c r="BSE41" s="543"/>
      <c r="BSF41" s="543"/>
      <c r="BSG41" s="543"/>
      <c r="BSH41" s="543"/>
      <c r="BSI41" s="543"/>
      <c r="BSJ41" s="543"/>
      <c r="BSK41" s="543"/>
      <c r="BSL41" s="543"/>
      <c r="BSM41" s="543"/>
      <c r="BSN41" s="543"/>
      <c r="BSO41" s="543"/>
      <c r="BSP41" s="543"/>
      <c r="BSQ41" s="543"/>
      <c r="BSR41" s="543"/>
      <c r="BSS41" s="543"/>
      <c r="BST41" s="543"/>
      <c r="BSU41" s="543"/>
      <c r="BSV41" s="543"/>
      <c r="BSW41" s="543"/>
      <c r="BSX41" s="543"/>
      <c r="BSY41" s="543"/>
      <c r="BSZ41" s="543"/>
      <c r="BTA41" s="543"/>
      <c r="BTB41" s="543"/>
      <c r="BTC41" s="543"/>
      <c r="BTD41" s="543"/>
      <c r="BTE41" s="543"/>
      <c r="BTF41" s="543"/>
      <c r="BTG41" s="543"/>
      <c r="BTH41" s="543"/>
      <c r="BTI41" s="543"/>
      <c r="BTJ41" s="543"/>
      <c r="BTK41" s="543"/>
      <c r="BTL41" s="543"/>
      <c r="BTM41" s="543"/>
      <c r="BTN41" s="543"/>
      <c r="BTO41" s="543"/>
      <c r="BTP41" s="543"/>
      <c r="BTQ41" s="543"/>
      <c r="BTR41" s="543"/>
      <c r="BTS41" s="543"/>
      <c r="BTT41" s="543"/>
      <c r="BTU41" s="543"/>
      <c r="BTV41" s="543"/>
      <c r="BTW41" s="543"/>
      <c r="BTX41" s="543"/>
      <c r="BTY41" s="543"/>
      <c r="BTZ41" s="543"/>
      <c r="BUA41" s="543"/>
      <c r="BUB41" s="543"/>
      <c r="BUC41" s="543"/>
      <c r="BUD41" s="543"/>
      <c r="BUE41" s="543"/>
      <c r="BUF41" s="543"/>
      <c r="BUG41" s="543"/>
      <c r="BUH41" s="543"/>
      <c r="BUI41" s="543"/>
      <c r="BUJ41" s="543"/>
      <c r="BUK41" s="543"/>
      <c r="BUL41" s="543"/>
      <c r="BUM41" s="543"/>
      <c r="BUN41" s="543"/>
      <c r="BUO41" s="543"/>
      <c r="BUP41" s="543"/>
      <c r="BUQ41" s="543"/>
      <c r="BUR41" s="543"/>
      <c r="BUS41" s="543"/>
      <c r="BUT41" s="543"/>
      <c r="BUU41" s="543"/>
      <c r="BUV41" s="543"/>
      <c r="BUW41" s="543"/>
      <c r="BUX41" s="543"/>
      <c r="BUY41" s="543"/>
      <c r="BUZ41" s="543"/>
      <c r="BVA41" s="543"/>
      <c r="BVB41" s="543"/>
      <c r="BVC41" s="543"/>
      <c r="BVD41" s="543"/>
      <c r="BVE41" s="543"/>
      <c r="BVF41" s="543"/>
      <c r="BVG41" s="543"/>
      <c r="BVH41" s="543"/>
      <c r="BVI41" s="543"/>
      <c r="BVJ41" s="543"/>
      <c r="BVK41" s="543"/>
      <c r="BVL41" s="543"/>
      <c r="BVM41" s="543"/>
      <c r="BVN41" s="543"/>
      <c r="BVO41" s="543"/>
      <c r="BVP41" s="543"/>
      <c r="BVQ41" s="543"/>
      <c r="BVR41" s="543"/>
      <c r="BVS41" s="543"/>
      <c r="BVT41" s="543"/>
      <c r="BVU41" s="543"/>
      <c r="BVV41" s="543"/>
      <c r="BVW41" s="543"/>
      <c r="BVX41" s="543"/>
      <c r="BVY41" s="543"/>
      <c r="BVZ41" s="543"/>
      <c r="BWA41" s="543"/>
      <c r="BWB41" s="543"/>
      <c r="BWC41" s="543"/>
      <c r="BWD41" s="543"/>
      <c r="BWE41" s="543"/>
      <c r="BWF41" s="543"/>
      <c r="BWG41" s="543"/>
      <c r="BWH41" s="543"/>
      <c r="BWI41" s="543"/>
      <c r="BWJ41" s="543"/>
      <c r="BWK41" s="543"/>
      <c r="BWL41" s="543"/>
      <c r="BWM41" s="543"/>
      <c r="BWN41" s="543"/>
      <c r="BWO41" s="543"/>
      <c r="BWP41" s="543"/>
      <c r="BWQ41" s="543"/>
      <c r="BWR41" s="543"/>
      <c r="BWS41" s="543"/>
      <c r="BWT41" s="543"/>
      <c r="BWU41" s="543"/>
      <c r="BWV41" s="543"/>
      <c r="BWW41" s="543"/>
      <c r="BWX41" s="543"/>
      <c r="BWY41" s="543"/>
      <c r="BWZ41" s="543"/>
      <c r="BXA41" s="543"/>
      <c r="BXB41" s="543"/>
      <c r="BXC41" s="543"/>
      <c r="BXD41" s="543"/>
      <c r="BXE41" s="543"/>
      <c r="BXF41" s="543"/>
      <c r="BXG41" s="543"/>
      <c r="BXH41" s="543"/>
      <c r="BXI41" s="543"/>
      <c r="BXJ41" s="543"/>
      <c r="BXK41" s="543"/>
      <c r="BXL41" s="543"/>
      <c r="BXM41" s="543"/>
      <c r="BXN41" s="543"/>
      <c r="BXO41" s="543"/>
      <c r="BXP41" s="543"/>
      <c r="BXQ41" s="543"/>
      <c r="BXR41" s="543"/>
      <c r="BXS41" s="543"/>
      <c r="BXT41" s="543"/>
      <c r="BXU41" s="543"/>
      <c r="BXV41" s="543"/>
      <c r="BXW41" s="543"/>
      <c r="BXX41" s="543"/>
      <c r="BXY41" s="543"/>
      <c r="BXZ41" s="543"/>
      <c r="BYA41" s="543"/>
      <c r="BYB41" s="543"/>
      <c r="BYC41" s="543"/>
      <c r="BYD41" s="543"/>
      <c r="BYE41" s="543"/>
      <c r="BYF41" s="543"/>
      <c r="BYG41" s="543"/>
      <c r="BYH41" s="543"/>
      <c r="BYI41" s="543"/>
      <c r="BYJ41" s="543"/>
      <c r="BYK41" s="543"/>
      <c r="BYL41" s="543"/>
      <c r="BYM41" s="543"/>
      <c r="BYN41" s="543"/>
      <c r="BYO41" s="543"/>
      <c r="BYP41" s="543"/>
      <c r="BYQ41" s="543"/>
      <c r="BYR41" s="543"/>
      <c r="BYS41" s="543"/>
      <c r="BYT41" s="543"/>
      <c r="BYU41" s="543"/>
      <c r="BYV41" s="543"/>
      <c r="BYW41" s="543"/>
      <c r="BYX41" s="543"/>
      <c r="BYY41" s="543"/>
      <c r="BYZ41" s="543"/>
      <c r="BZA41" s="543"/>
      <c r="BZB41" s="543"/>
      <c r="BZC41" s="543"/>
      <c r="BZD41" s="543"/>
      <c r="BZE41" s="543"/>
      <c r="BZF41" s="543"/>
      <c r="BZG41" s="543"/>
      <c r="BZH41" s="543"/>
      <c r="BZI41" s="543"/>
      <c r="BZJ41" s="543"/>
      <c r="BZK41" s="543"/>
      <c r="BZL41" s="543"/>
      <c r="BZM41" s="543"/>
      <c r="BZN41" s="543"/>
      <c r="BZO41" s="543"/>
      <c r="BZP41" s="543"/>
      <c r="BZQ41" s="543"/>
      <c r="BZR41" s="543"/>
      <c r="BZS41" s="543"/>
      <c r="BZT41" s="543"/>
      <c r="BZU41" s="543"/>
      <c r="BZV41" s="543"/>
      <c r="BZW41" s="543"/>
      <c r="BZX41" s="543"/>
      <c r="BZY41" s="543"/>
      <c r="BZZ41" s="543"/>
      <c r="CAA41" s="543"/>
      <c r="CAB41" s="543"/>
      <c r="CAC41" s="543"/>
      <c r="CAD41" s="543"/>
      <c r="CAE41" s="543"/>
      <c r="CAF41" s="543"/>
      <c r="CAG41" s="543"/>
      <c r="CAH41" s="543"/>
      <c r="CAI41" s="543"/>
      <c r="CAJ41" s="543"/>
      <c r="CAK41" s="543"/>
      <c r="CAL41" s="543"/>
      <c r="CAM41" s="543"/>
      <c r="CAN41" s="543"/>
      <c r="CAO41" s="543"/>
      <c r="CAP41" s="543"/>
      <c r="CAQ41" s="543"/>
      <c r="CAR41" s="543"/>
      <c r="CAS41" s="543"/>
      <c r="CAT41" s="543"/>
      <c r="CAU41" s="543"/>
      <c r="CAV41" s="543"/>
      <c r="CAW41" s="543"/>
      <c r="CAX41" s="543"/>
      <c r="CAY41" s="543"/>
      <c r="CAZ41" s="543"/>
      <c r="CBA41" s="543"/>
      <c r="CBB41" s="543"/>
      <c r="CBC41" s="543"/>
      <c r="CBD41" s="543"/>
      <c r="CBE41" s="543"/>
      <c r="CBF41" s="543"/>
      <c r="CBG41" s="543"/>
      <c r="CBH41" s="543"/>
      <c r="CBI41" s="543"/>
      <c r="CBJ41" s="543"/>
      <c r="CBK41" s="543"/>
      <c r="CBL41" s="543"/>
      <c r="CBM41" s="543"/>
      <c r="CBN41" s="543"/>
      <c r="CBO41" s="543"/>
      <c r="CBP41" s="543"/>
      <c r="CBQ41" s="543"/>
      <c r="CBR41" s="543"/>
      <c r="CBS41" s="543"/>
      <c r="CBT41" s="543"/>
      <c r="CBU41" s="543"/>
      <c r="CBV41" s="543"/>
      <c r="CBW41" s="543"/>
      <c r="CBX41" s="543"/>
      <c r="CBY41" s="543"/>
      <c r="CBZ41" s="543"/>
      <c r="CCA41" s="543"/>
      <c r="CCB41" s="543"/>
      <c r="CCC41" s="543"/>
      <c r="CCD41" s="543"/>
      <c r="CCE41" s="543"/>
      <c r="CCF41" s="543"/>
      <c r="CCG41" s="543"/>
      <c r="CCH41" s="543"/>
      <c r="CCI41" s="543"/>
      <c r="CCJ41" s="543"/>
      <c r="CCK41" s="543"/>
      <c r="CCL41" s="543"/>
      <c r="CCM41" s="543"/>
      <c r="CCN41" s="543"/>
      <c r="CCO41" s="543"/>
      <c r="CCP41" s="543"/>
      <c r="CCQ41" s="543"/>
      <c r="CCR41" s="543"/>
      <c r="CCS41" s="543"/>
      <c r="CCT41" s="543"/>
      <c r="CCU41" s="543"/>
      <c r="CCV41" s="543"/>
      <c r="CCW41" s="543"/>
      <c r="CCX41" s="543"/>
      <c r="CCY41" s="543"/>
      <c r="CCZ41" s="543"/>
      <c r="CDA41" s="543"/>
      <c r="CDB41" s="543"/>
      <c r="CDC41" s="543"/>
      <c r="CDD41" s="543"/>
      <c r="CDE41" s="543"/>
      <c r="CDF41" s="543"/>
      <c r="CDG41" s="543"/>
      <c r="CDH41" s="543"/>
      <c r="CDI41" s="543"/>
      <c r="CDJ41" s="543"/>
      <c r="CDK41" s="543"/>
      <c r="CDL41" s="543"/>
      <c r="CDM41" s="543"/>
      <c r="CDN41" s="543"/>
      <c r="CDO41" s="543"/>
      <c r="CDP41" s="543"/>
      <c r="CDQ41" s="543"/>
      <c r="CDR41" s="543"/>
      <c r="CDS41" s="543"/>
      <c r="CDT41" s="543"/>
      <c r="CDU41" s="543"/>
      <c r="CDV41" s="543"/>
      <c r="CDW41" s="543"/>
      <c r="CDX41" s="543"/>
      <c r="CDY41" s="543"/>
      <c r="CDZ41" s="543"/>
      <c r="CEA41" s="543"/>
      <c r="CEB41" s="543"/>
      <c r="CEC41" s="543"/>
      <c r="CED41" s="543"/>
      <c r="CEE41" s="543"/>
      <c r="CEF41" s="543"/>
      <c r="CEG41" s="543"/>
      <c r="CEH41" s="543"/>
      <c r="CEI41" s="543"/>
      <c r="CEJ41" s="543"/>
      <c r="CEK41" s="543"/>
      <c r="CEL41" s="543"/>
      <c r="CEM41" s="543"/>
      <c r="CEN41" s="543"/>
      <c r="CEO41" s="543"/>
      <c r="CEP41" s="543"/>
      <c r="CEQ41" s="543"/>
      <c r="CER41" s="543"/>
      <c r="CES41" s="543"/>
      <c r="CET41" s="543"/>
      <c r="CEU41" s="543"/>
      <c r="CEV41" s="543"/>
      <c r="CEW41" s="543"/>
      <c r="CEX41" s="543"/>
      <c r="CEY41" s="543"/>
      <c r="CEZ41" s="543"/>
      <c r="CFA41" s="543"/>
      <c r="CFB41" s="543"/>
      <c r="CFC41" s="543"/>
      <c r="CFD41" s="543"/>
      <c r="CFE41" s="543"/>
      <c r="CFF41" s="543"/>
      <c r="CFG41" s="543"/>
      <c r="CFH41" s="543"/>
      <c r="CFI41" s="543"/>
      <c r="CFJ41" s="543"/>
      <c r="CFK41" s="543"/>
      <c r="CFL41" s="543"/>
      <c r="CFM41" s="543"/>
      <c r="CFN41" s="543"/>
      <c r="CFO41" s="543"/>
      <c r="CFP41" s="543"/>
      <c r="CFQ41" s="543"/>
      <c r="CFR41" s="543"/>
      <c r="CFS41" s="543"/>
      <c r="CFT41" s="543"/>
      <c r="CFU41" s="543"/>
      <c r="CFV41" s="543"/>
      <c r="CFW41" s="543"/>
      <c r="CFX41" s="543"/>
      <c r="CFY41" s="543"/>
      <c r="CFZ41" s="543"/>
      <c r="CGA41" s="543"/>
      <c r="CGB41" s="543"/>
      <c r="CGC41" s="543"/>
      <c r="CGD41" s="543"/>
      <c r="CGE41" s="543"/>
      <c r="CGF41" s="543"/>
      <c r="CGG41" s="543"/>
      <c r="CGH41" s="543"/>
      <c r="CGI41" s="543"/>
      <c r="CGJ41" s="543"/>
      <c r="CGK41" s="543"/>
      <c r="CGL41" s="543"/>
      <c r="CGM41" s="543"/>
      <c r="CGN41" s="543"/>
      <c r="CGO41" s="543"/>
      <c r="CGP41" s="543"/>
      <c r="CGQ41" s="543"/>
      <c r="CGR41" s="543"/>
      <c r="CGS41" s="543"/>
      <c r="CGT41" s="543"/>
      <c r="CGU41" s="543"/>
      <c r="CGV41" s="543"/>
      <c r="CGW41" s="543"/>
      <c r="CGX41" s="543"/>
      <c r="CGY41" s="543"/>
      <c r="CGZ41" s="543"/>
      <c r="CHA41" s="543"/>
      <c r="CHB41" s="543"/>
      <c r="CHC41" s="543"/>
      <c r="CHD41" s="543"/>
      <c r="CHE41" s="543"/>
      <c r="CHF41" s="543"/>
      <c r="CHG41" s="543"/>
      <c r="CHH41" s="543"/>
      <c r="CHI41" s="543"/>
      <c r="CHJ41" s="543"/>
      <c r="CHK41" s="543"/>
      <c r="CHL41" s="543"/>
      <c r="CHM41" s="543"/>
      <c r="CHN41" s="543"/>
      <c r="CHO41" s="543"/>
      <c r="CHP41" s="543"/>
      <c r="CHQ41" s="543"/>
      <c r="CHR41" s="543"/>
      <c r="CHS41" s="543"/>
      <c r="CHT41" s="543"/>
      <c r="CHU41" s="543"/>
      <c r="CHV41" s="543"/>
      <c r="CHW41" s="543"/>
      <c r="CHX41" s="543"/>
      <c r="CHY41" s="543"/>
      <c r="CHZ41" s="543"/>
      <c r="CIA41" s="543"/>
      <c r="CIB41" s="543"/>
      <c r="CIC41" s="543"/>
      <c r="CID41" s="543"/>
      <c r="CIE41" s="543"/>
      <c r="CIF41" s="543"/>
      <c r="CIG41" s="543"/>
      <c r="CIH41" s="543"/>
      <c r="CII41" s="543"/>
      <c r="CIJ41" s="543"/>
      <c r="CIK41" s="543"/>
      <c r="CIL41" s="543"/>
      <c r="CIM41" s="543"/>
      <c r="CIN41" s="543"/>
      <c r="CIO41" s="543"/>
      <c r="CIP41" s="543"/>
      <c r="CIQ41" s="543"/>
      <c r="CIR41" s="543"/>
      <c r="CIS41" s="543"/>
      <c r="CIT41" s="543"/>
      <c r="CIU41" s="543"/>
      <c r="CIV41" s="543"/>
      <c r="CIW41" s="543"/>
      <c r="CIX41" s="543"/>
      <c r="CIY41" s="543"/>
      <c r="CIZ41" s="543"/>
      <c r="CJA41" s="543"/>
      <c r="CJB41" s="543"/>
      <c r="CJC41" s="543"/>
      <c r="CJD41" s="543"/>
      <c r="CJE41" s="543"/>
      <c r="CJF41" s="543"/>
      <c r="CJG41" s="543"/>
      <c r="CJH41" s="543"/>
      <c r="CJI41" s="543"/>
      <c r="CJJ41" s="543"/>
      <c r="CJK41" s="543"/>
      <c r="CJL41" s="543"/>
      <c r="CJM41" s="543"/>
      <c r="CJN41" s="543"/>
      <c r="CJO41" s="543"/>
      <c r="CJP41" s="543"/>
      <c r="CJQ41" s="543"/>
      <c r="CJR41" s="543"/>
      <c r="CJS41" s="543"/>
      <c r="CJT41" s="543"/>
      <c r="CJU41" s="543"/>
      <c r="CJV41" s="543"/>
      <c r="CJW41" s="543"/>
      <c r="CJX41" s="543"/>
      <c r="CJY41" s="543"/>
      <c r="CJZ41" s="543"/>
      <c r="CKA41" s="543"/>
      <c r="CKB41" s="543"/>
      <c r="CKC41" s="543"/>
      <c r="CKD41" s="543"/>
      <c r="CKE41" s="543"/>
      <c r="CKF41" s="543"/>
      <c r="CKG41" s="543"/>
      <c r="CKH41" s="543"/>
      <c r="CKI41" s="543"/>
      <c r="CKJ41" s="543"/>
      <c r="CKK41" s="543"/>
      <c r="CKL41" s="543"/>
      <c r="CKM41" s="543"/>
      <c r="CKN41" s="543"/>
      <c r="CKO41" s="543"/>
      <c r="CKP41" s="543"/>
      <c r="CKQ41" s="543"/>
      <c r="CKR41" s="543"/>
      <c r="CKS41" s="543"/>
      <c r="CKT41" s="543"/>
      <c r="CKU41" s="543"/>
      <c r="CKV41" s="543"/>
      <c r="CKW41" s="543"/>
      <c r="CKX41" s="543"/>
      <c r="CKY41" s="543"/>
      <c r="CKZ41" s="543"/>
      <c r="CLA41" s="543"/>
      <c r="CLB41" s="543"/>
      <c r="CLC41" s="543"/>
      <c r="CLD41" s="543"/>
      <c r="CLE41" s="543"/>
      <c r="CLF41" s="543"/>
      <c r="CLG41" s="543"/>
      <c r="CLH41" s="543"/>
      <c r="CLI41" s="543"/>
      <c r="CLJ41" s="543"/>
      <c r="CLK41" s="543"/>
      <c r="CLL41" s="543"/>
      <c r="CLM41" s="543"/>
      <c r="CLN41" s="543"/>
      <c r="CLO41" s="543"/>
      <c r="CLP41" s="543"/>
      <c r="CLQ41" s="543"/>
      <c r="CLR41" s="543"/>
      <c r="CLS41" s="543"/>
      <c r="CLT41" s="543"/>
      <c r="CLU41" s="543"/>
      <c r="CLV41" s="543"/>
      <c r="CLW41" s="543"/>
      <c r="CLX41" s="543"/>
      <c r="CLY41" s="543"/>
      <c r="CLZ41" s="543"/>
      <c r="CMA41" s="543"/>
      <c r="CMB41" s="543"/>
      <c r="CMC41" s="543"/>
      <c r="CMD41" s="543"/>
      <c r="CME41" s="543"/>
      <c r="CMF41" s="543"/>
      <c r="CMG41" s="543"/>
      <c r="CMH41" s="543"/>
      <c r="CMI41" s="543"/>
      <c r="CMJ41" s="543"/>
      <c r="CMK41" s="543"/>
      <c r="CML41" s="543"/>
      <c r="CMM41" s="543"/>
      <c r="CMN41" s="543"/>
      <c r="CMO41" s="543"/>
      <c r="CMP41" s="543"/>
      <c r="CMQ41" s="543"/>
      <c r="CMR41" s="543"/>
      <c r="CMS41" s="543"/>
      <c r="CMT41" s="543"/>
      <c r="CMU41" s="543"/>
      <c r="CMV41" s="543"/>
      <c r="CMW41" s="543"/>
      <c r="CMX41" s="543"/>
      <c r="CMY41" s="543"/>
      <c r="CMZ41" s="543"/>
      <c r="CNA41" s="543"/>
      <c r="CNB41" s="543"/>
      <c r="CNC41" s="543"/>
      <c r="CND41" s="543"/>
      <c r="CNE41" s="543"/>
      <c r="CNF41" s="543"/>
      <c r="CNG41" s="543"/>
      <c r="CNH41" s="543"/>
      <c r="CNI41" s="543"/>
      <c r="CNJ41" s="543"/>
      <c r="CNK41" s="543"/>
      <c r="CNL41" s="543"/>
      <c r="CNM41" s="543"/>
      <c r="CNN41" s="543"/>
      <c r="CNO41" s="543"/>
      <c r="CNP41" s="543"/>
      <c r="CNQ41" s="543"/>
      <c r="CNR41" s="543"/>
      <c r="CNS41" s="543"/>
      <c r="CNT41" s="543"/>
      <c r="CNU41" s="543"/>
      <c r="CNV41" s="543"/>
      <c r="CNW41" s="543"/>
      <c r="CNX41" s="543"/>
      <c r="CNY41" s="543"/>
      <c r="CNZ41" s="543"/>
      <c r="COA41" s="543"/>
      <c r="COB41" s="543"/>
      <c r="COC41" s="543"/>
      <c r="COD41" s="543"/>
      <c r="COE41" s="543"/>
      <c r="COF41" s="543"/>
      <c r="COG41" s="543"/>
      <c r="COH41" s="543"/>
      <c r="COI41" s="543"/>
      <c r="COJ41" s="543"/>
      <c r="COK41" s="543"/>
      <c r="COL41" s="543"/>
      <c r="COM41" s="543"/>
      <c r="CON41" s="543"/>
      <c r="COO41" s="543"/>
      <c r="COP41" s="543"/>
      <c r="COQ41" s="543"/>
      <c r="COR41" s="543"/>
      <c r="COS41" s="543"/>
      <c r="COT41" s="543"/>
      <c r="COU41" s="543"/>
      <c r="COV41" s="543"/>
      <c r="COW41" s="543"/>
      <c r="COX41" s="543"/>
      <c r="COY41" s="543"/>
      <c r="COZ41" s="543"/>
      <c r="CPA41" s="543"/>
      <c r="CPB41" s="543"/>
      <c r="CPC41" s="543"/>
      <c r="CPD41" s="543"/>
      <c r="CPE41" s="543"/>
      <c r="CPF41" s="543"/>
      <c r="CPG41" s="543"/>
      <c r="CPH41" s="543"/>
      <c r="CPI41" s="543"/>
      <c r="CPJ41" s="543"/>
      <c r="CPK41" s="543"/>
      <c r="CPL41" s="543"/>
      <c r="CPM41" s="543"/>
      <c r="CPN41" s="543"/>
      <c r="CPO41" s="543"/>
      <c r="CPP41" s="543"/>
      <c r="CPQ41" s="543"/>
      <c r="CPR41" s="543"/>
      <c r="CPS41" s="543"/>
      <c r="CPT41" s="543"/>
      <c r="CPU41" s="543"/>
      <c r="CPV41" s="543"/>
      <c r="CPW41" s="543"/>
      <c r="CPX41" s="543"/>
      <c r="CPY41" s="543"/>
      <c r="CPZ41" s="543"/>
      <c r="CQA41" s="543"/>
      <c r="CQB41" s="543"/>
      <c r="CQC41" s="543"/>
      <c r="CQD41" s="543"/>
      <c r="CQE41" s="543"/>
      <c r="CQF41" s="543"/>
      <c r="CQG41" s="543"/>
      <c r="CQH41" s="543"/>
      <c r="CQI41" s="543"/>
      <c r="CQJ41" s="543"/>
      <c r="CQK41" s="543"/>
      <c r="CQL41" s="543"/>
      <c r="CQM41" s="543"/>
      <c r="CQN41" s="543"/>
      <c r="CQO41" s="543"/>
      <c r="CQP41" s="543"/>
      <c r="CQQ41" s="543"/>
      <c r="CQR41" s="543"/>
      <c r="CQS41" s="543"/>
      <c r="CQT41" s="543"/>
      <c r="CQU41" s="543"/>
      <c r="CQV41" s="543"/>
      <c r="CQW41" s="543"/>
      <c r="CQX41" s="543"/>
      <c r="CQY41" s="543"/>
      <c r="CQZ41" s="543"/>
      <c r="CRA41" s="543"/>
      <c r="CRB41" s="543"/>
      <c r="CRC41" s="543"/>
      <c r="CRD41" s="543"/>
      <c r="CRE41" s="543"/>
      <c r="CRF41" s="543"/>
      <c r="CRG41" s="543"/>
      <c r="CRH41" s="543"/>
      <c r="CRI41" s="543"/>
      <c r="CRJ41" s="543"/>
      <c r="CRK41" s="543"/>
      <c r="CRL41" s="543"/>
      <c r="CRM41" s="543"/>
      <c r="CRN41" s="543"/>
      <c r="CRO41" s="543"/>
      <c r="CRP41" s="543"/>
      <c r="CRQ41" s="543"/>
      <c r="CRR41" s="543"/>
      <c r="CRS41" s="543"/>
      <c r="CRT41" s="543"/>
      <c r="CRU41" s="543"/>
      <c r="CRV41" s="543"/>
      <c r="CRW41" s="543"/>
      <c r="CRX41" s="543"/>
      <c r="CRY41" s="543"/>
      <c r="CRZ41" s="543"/>
      <c r="CSA41" s="543"/>
      <c r="CSB41" s="543"/>
      <c r="CSC41" s="543"/>
      <c r="CSD41" s="543"/>
      <c r="CSE41" s="543"/>
      <c r="CSF41" s="543"/>
      <c r="CSG41" s="543"/>
      <c r="CSH41" s="543"/>
      <c r="CSI41" s="543"/>
      <c r="CSJ41" s="543"/>
      <c r="CSK41" s="543"/>
      <c r="CSL41" s="543"/>
      <c r="CSM41" s="543"/>
      <c r="CSN41" s="543"/>
      <c r="CSO41" s="543"/>
      <c r="CSP41" s="543"/>
      <c r="CSQ41" s="543"/>
      <c r="CSR41" s="543"/>
      <c r="CSS41" s="543"/>
      <c r="CST41" s="543"/>
      <c r="CSU41" s="543"/>
      <c r="CSV41" s="543"/>
      <c r="CSW41" s="543"/>
      <c r="CSX41" s="543"/>
      <c r="CSY41" s="543"/>
      <c r="CSZ41" s="543"/>
      <c r="CTA41" s="543"/>
      <c r="CTB41" s="543"/>
      <c r="CTC41" s="543"/>
      <c r="CTD41" s="543"/>
      <c r="CTE41" s="543"/>
      <c r="CTF41" s="543"/>
      <c r="CTG41" s="543"/>
      <c r="CTH41" s="543"/>
      <c r="CTI41" s="543"/>
      <c r="CTJ41" s="543"/>
      <c r="CTK41" s="543"/>
      <c r="CTL41" s="543"/>
      <c r="CTM41" s="543"/>
      <c r="CTN41" s="543"/>
      <c r="CTO41" s="543"/>
      <c r="CTP41" s="543"/>
      <c r="CTQ41" s="543"/>
      <c r="CTR41" s="543"/>
      <c r="CTS41" s="543"/>
      <c r="CTT41" s="543"/>
      <c r="CTU41" s="543"/>
      <c r="CTV41" s="543"/>
      <c r="CTW41" s="543"/>
      <c r="CTX41" s="543"/>
      <c r="CTY41" s="543"/>
      <c r="CTZ41" s="543"/>
      <c r="CUA41" s="543"/>
      <c r="CUB41" s="543"/>
      <c r="CUC41" s="543"/>
      <c r="CUD41" s="543"/>
      <c r="CUE41" s="543"/>
      <c r="CUF41" s="543"/>
      <c r="CUG41" s="543"/>
      <c r="CUH41" s="543"/>
      <c r="CUI41" s="543"/>
      <c r="CUJ41" s="543"/>
      <c r="CUK41" s="543"/>
      <c r="CUL41" s="543"/>
      <c r="CUM41" s="543"/>
      <c r="CUN41" s="543"/>
      <c r="CUO41" s="543"/>
      <c r="CUP41" s="543"/>
      <c r="CUQ41" s="543"/>
      <c r="CUR41" s="543"/>
      <c r="CUS41" s="543"/>
      <c r="CUT41" s="543"/>
      <c r="CUU41" s="543"/>
      <c r="CUV41" s="543"/>
      <c r="CUW41" s="543"/>
      <c r="CUX41" s="543"/>
      <c r="CUY41" s="543"/>
      <c r="CUZ41" s="543"/>
      <c r="CVA41" s="543"/>
      <c r="CVB41" s="543"/>
      <c r="CVC41" s="543"/>
      <c r="CVD41" s="543"/>
      <c r="CVE41" s="543"/>
      <c r="CVF41" s="543"/>
      <c r="CVG41" s="543"/>
      <c r="CVH41" s="543"/>
      <c r="CVI41" s="543"/>
      <c r="CVJ41" s="543"/>
      <c r="CVK41" s="543"/>
      <c r="CVL41" s="543"/>
      <c r="CVM41" s="543"/>
      <c r="CVN41" s="543"/>
      <c r="CVO41" s="543"/>
      <c r="CVP41" s="543"/>
      <c r="CVQ41" s="543"/>
      <c r="CVR41" s="543"/>
      <c r="CVS41" s="543"/>
      <c r="CVT41" s="543"/>
      <c r="CVU41" s="543"/>
      <c r="CVV41" s="543"/>
      <c r="CVW41" s="543"/>
      <c r="CVX41" s="543"/>
      <c r="CVY41" s="543"/>
      <c r="CVZ41" s="543"/>
      <c r="CWA41" s="543"/>
      <c r="CWB41" s="543"/>
      <c r="CWC41" s="543"/>
      <c r="CWD41" s="543"/>
      <c r="CWE41" s="543"/>
      <c r="CWF41" s="543"/>
      <c r="CWG41" s="543"/>
      <c r="CWH41" s="543"/>
      <c r="CWI41" s="543"/>
      <c r="CWJ41" s="543"/>
      <c r="CWK41" s="543"/>
      <c r="CWL41" s="543"/>
      <c r="CWM41" s="543"/>
      <c r="CWN41" s="543"/>
      <c r="CWO41" s="543"/>
      <c r="CWP41" s="543"/>
      <c r="CWQ41" s="543"/>
      <c r="CWR41" s="543"/>
      <c r="CWS41" s="543"/>
      <c r="CWT41" s="543"/>
      <c r="CWU41" s="543"/>
      <c r="CWV41" s="543"/>
      <c r="CWW41" s="543"/>
      <c r="CWX41" s="543"/>
      <c r="CWY41" s="543"/>
      <c r="CWZ41" s="543"/>
      <c r="CXA41" s="543"/>
      <c r="CXB41" s="543"/>
      <c r="CXC41" s="543"/>
      <c r="CXD41" s="543"/>
      <c r="CXE41" s="543"/>
      <c r="CXF41" s="543"/>
      <c r="CXG41" s="543"/>
      <c r="CXH41" s="543"/>
      <c r="CXI41" s="543"/>
      <c r="CXJ41" s="543"/>
      <c r="CXK41" s="543"/>
      <c r="CXL41" s="543"/>
      <c r="CXM41" s="543"/>
      <c r="CXN41" s="543"/>
      <c r="CXO41" s="543"/>
      <c r="CXP41" s="543"/>
      <c r="CXQ41" s="543"/>
      <c r="CXR41" s="543"/>
      <c r="CXS41" s="543"/>
      <c r="CXT41" s="543"/>
      <c r="CXU41" s="543"/>
      <c r="CXV41" s="543"/>
      <c r="CXW41" s="543"/>
      <c r="CXX41" s="543"/>
      <c r="CXY41" s="543"/>
      <c r="CXZ41" s="543"/>
      <c r="CYA41" s="543"/>
      <c r="CYB41" s="543"/>
      <c r="CYC41" s="543"/>
      <c r="CYD41" s="543"/>
      <c r="CYE41" s="543"/>
      <c r="CYF41" s="543"/>
      <c r="CYG41" s="543"/>
      <c r="CYH41" s="543"/>
      <c r="CYI41" s="543"/>
      <c r="CYJ41" s="543"/>
      <c r="CYK41" s="543"/>
      <c r="CYL41" s="543"/>
      <c r="CYM41" s="543"/>
      <c r="CYN41" s="543"/>
      <c r="CYO41" s="543"/>
      <c r="CYP41" s="543"/>
      <c r="CYQ41" s="543"/>
      <c r="CYR41" s="543"/>
      <c r="CYS41" s="543"/>
      <c r="CYT41" s="543"/>
      <c r="CYU41" s="543"/>
      <c r="CYV41" s="543"/>
      <c r="CYW41" s="543"/>
      <c r="CYX41" s="543"/>
      <c r="CYY41" s="543"/>
      <c r="CYZ41" s="543"/>
      <c r="CZA41" s="543"/>
      <c r="CZB41" s="543"/>
      <c r="CZC41" s="543"/>
      <c r="CZD41" s="543"/>
      <c r="CZE41" s="543"/>
      <c r="CZF41" s="543"/>
      <c r="CZG41" s="543"/>
      <c r="CZH41" s="543"/>
      <c r="CZI41" s="543"/>
      <c r="CZJ41" s="543"/>
      <c r="CZK41" s="543"/>
      <c r="CZL41" s="543"/>
      <c r="CZM41" s="543"/>
      <c r="CZN41" s="543"/>
      <c r="CZO41" s="543"/>
      <c r="CZP41" s="543"/>
      <c r="CZQ41" s="543"/>
      <c r="CZR41" s="543"/>
      <c r="CZS41" s="543"/>
      <c r="CZT41" s="543"/>
      <c r="CZU41" s="543"/>
      <c r="CZV41" s="543"/>
      <c r="CZW41" s="543"/>
      <c r="CZX41" s="543"/>
      <c r="CZY41" s="543"/>
      <c r="CZZ41" s="543"/>
      <c r="DAA41" s="543"/>
      <c r="DAB41" s="543"/>
      <c r="DAC41" s="543"/>
      <c r="DAD41" s="543"/>
      <c r="DAE41" s="543"/>
      <c r="DAF41" s="543"/>
      <c r="DAG41" s="543"/>
      <c r="DAH41" s="543"/>
      <c r="DAI41" s="543"/>
      <c r="DAJ41" s="543"/>
      <c r="DAK41" s="543"/>
      <c r="DAL41" s="543"/>
      <c r="DAM41" s="543"/>
      <c r="DAN41" s="543"/>
      <c r="DAO41" s="543"/>
      <c r="DAP41" s="543"/>
      <c r="DAQ41" s="543"/>
      <c r="DAR41" s="543"/>
      <c r="DAS41" s="543"/>
      <c r="DAT41" s="543"/>
      <c r="DAU41" s="543"/>
      <c r="DAV41" s="543"/>
      <c r="DAW41" s="543"/>
      <c r="DAX41" s="543"/>
      <c r="DAY41" s="543"/>
      <c r="DAZ41" s="543"/>
      <c r="DBA41" s="543"/>
      <c r="DBB41" s="543"/>
      <c r="DBC41" s="543"/>
      <c r="DBD41" s="543"/>
      <c r="DBE41" s="543"/>
      <c r="DBF41" s="543"/>
      <c r="DBG41" s="543"/>
      <c r="DBH41" s="543"/>
      <c r="DBI41" s="543"/>
      <c r="DBJ41" s="543"/>
      <c r="DBK41" s="543"/>
      <c r="DBL41" s="543"/>
      <c r="DBM41" s="543"/>
      <c r="DBN41" s="543"/>
      <c r="DBO41" s="543"/>
      <c r="DBP41" s="543"/>
      <c r="DBQ41" s="543"/>
      <c r="DBR41" s="543"/>
      <c r="DBS41" s="543"/>
      <c r="DBT41" s="543"/>
      <c r="DBU41" s="543"/>
      <c r="DBV41" s="543"/>
      <c r="DBW41" s="543"/>
      <c r="DBX41" s="543"/>
      <c r="DBY41" s="543"/>
      <c r="DBZ41" s="543"/>
      <c r="DCA41" s="543"/>
      <c r="DCB41" s="543"/>
      <c r="DCC41" s="543"/>
      <c r="DCD41" s="543"/>
      <c r="DCE41" s="543"/>
      <c r="DCF41" s="543"/>
      <c r="DCG41" s="543"/>
      <c r="DCH41" s="543"/>
      <c r="DCI41" s="543"/>
      <c r="DCJ41" s="543"/>
      <c r="DCK41" s="543"/>
      <c r="DCL41" s="543"/>
      <c r="DCM41" s="543"/>
      <c r="DCN41" s="543"/>
      <c r="DCO41" s="543"/>
      <c r="DCP41" s="543"/>
      <c r="DCQ41" s="543"/>
      <c r="DCR41" s="543"/>
      <c r="DCS41" s="543"/>
      <c r="DCT41" s="543"/>
      <c r="DCU41" s="543"/>
      <c r="DCV41" s="543"/>
      <c r="DCW41" s="543"/>
      <c r="DCX41" s="543"/>
      <c r="DCY41" s="543"/>
      <c r="DCZ41" s="543"/>
      <c r="DDA41" s="543"/>
      <c r="DDB41" s="543"/>
      <c r="DDC41" s="543"/>
      <c r="DDD41" s="543"/>
      <c r="DDE41" s="543"/>
      <c r="DDF41" s="543"/>
      <c r="DDG41" s="543"/>
      <c r="DDH41" s="543"/>
      <c r="DDI41" s="543"/>
      <c r="DDJ41" s="543"/>
      <c r="DDK41" s="543"/>
      <c r="DDL41" s="543"/>
      <c r="DDM41" s="543"/>
      <c r="DDN41" s="543"/>
      <c r="DDO41" s="543"/>
      <c r="DDP41" s="543"/>
      <c r="DDQ41" s="543"/>
      <c r="DDR41" s="543"/>
      <c r="DDS41" s="543"/>
      <c r="DDT41" s="543"/>
      <c r="DDU41" s="543"/>
      <c r="DDV41" s="543"/>
      <c r="DDW41" s="543"/>
      <c r="DDX41" s="543"/>
      <c r="DDY41" s="543"/>
      <c r="DDZ41" s="543"/>
      <c r="DEA41" s="543"/>
      <c r="DEB41" s="543"/>
      <c r="DEC41" s="543"/>
      <c r="DED41" s="543"/>
      <c r="DEE41" s="543"/>
      <c r="DEF41" s="543"/>
      <c r="DEG41" s="543"/>
      <c r="DEH41" s="543"/>
      <c r="DEI41" s="543"/>
      <c r="DEJ41" s="543"/>
      <c r="DEK41" s="543"/>
      <c r="DEL41" s="543"/>
      <c r="DEM41" s="543"/>
      <c r="DEN41" s="543"/>
      <c r="DEO41" s="543"/>
      <c r="DEP41" s="543"/>
      <c r="DEQ41" s="543"/>
      <c r="DER41" s="543"/>
      <c r="DES41" s="543"/>
      <c r="DET41" s="543"/>
      <c r="DEU41" s="543"/>
      <c r="DEV41" s="543"/>
      <c r="DEW41" s="543"/>
      <c r="DEX41" s="543"/>
      <c r="DEY41" s="543"/>
      <c r="DEZ41" s="543"/>
      <c r="DFA41" s="543"/>
      <c r="DFB41" s="543"/>
      <c r="DFC41" s="543"/>
      <c r="DFD41" s="543"/>
      <c r="DFE41" s="543"/>
      <c r="DFF41" s="543"/>
      <c r="DFG41" s="543"/>
      <c r="DFH41" s="543"/>
      <c r="DFI41" s="543"/>
      <c r="DFJ41" s="543"/>
      <c r="DFK41" s="543"/>
      <c r="DFL41" s="543"/>
      <c r="DFM41" s="543"/>
      <c r="DFN41" s="543"/>
      <c r="DFO41" s="543"/>
      <c r="DFP41" s="543"/>
      <c r="DFQ41" s="543"/>
      <c r="DFR41" s="543"/>
      <c r="DFS41" s="543"/>
      <c r="DFT41" s="543"/>
      <c r="DFU41" s="543"/>
      <c r="DFV41" s="543"/>
      <c r="DFW41" s="543"/>
      <c r="DFX41" s="543"/>
      <c r="DFY41" s="543"/>
      <c r="DFZ41" s="543"/>
      <c r="DGA41" s="543"/>
      <c r="DGB41" s="543"/>
      <c r="DGC41" s="543"/>
      <c r="DGD41" s="543"/>
      <c r="DGE41" s="543"/>
      <c r="DGF41" s="543"/>
      <c r="DGG41" s="543"/>
      <c r="DGH41" s="543"/>
      <c r="DGI41" s="543"/>
      <c r="DGJ41" s="543"/>
      <c r="DGK41" s="543"/>
      <c r="DGL41" s="543"/>
      <c r="DGM41" s="543"/>
      <c r="DGN41" s="543"/>
      <c r="DGO41" s="543"/>
      <c r="DGP41" s="543"/>
      <c r="DGQ41" s="543"/>
      <c r="DGR41" s="543"/>
      <c r="DGS41" s="543"/>
      <c r="DGT41" s="543"/>
      <c r="DGU41" s="543"/>
      <c r="DGV41" s="543"/>
      <c r="DGW41" s="543"/>
      <c r="DGX41" s="543"/>
      <c r="DGY41" s="543"/>
      <c r="DGZ41" s="543"/>
      <c r="DHA41" s="543"/>
      <c r="DHB41" s="543"/>
      <c r="DHC41" s="543"/>
      <c r="DHD41" s="543"/>
      <c r="DHE41" s="543"/>
      <c r="DHF41" s="543"/>
      <c r="DHG41" s="543"/>
      <c r="DHH41" s="543"/>
      <c r="DHI41" s="543"/>
      <c r="DHJ41" s="543"/>
      <c r="DHK41" s="543"/>
      <c r="DHL41" s="543"/>
      <c r="DHM41" s="543"/>
      <c r="DHN41" s="543"/>
      <c r="DHO41" s="543"/>
      <c r="DHP41" s="543"/>
      <c r="DHQ41" s="543"/>
      <c r="DHR41" s="543"/>
      <c r="DHS41" s="543"/>
      <c r="DHT41" s="543"/>
      <c r="DHU41" s="543"/>
      <c r="DHV41" s="543"/>
      <c r="DHW41" s="543"/>
      <c r="DHX41" s="543"/>
      <c r="DHY41" s="543"/>
      <c r="DHZ41" s="543"/>
      <c r="DIA41" s="543"/>
      <c r="DIB41" s="543"/>
      <c r="DIC41" s="543"/>
      <c r="DID41" s="543"/>
      <c r="DIE41" s="543"/>
      <c r="DIF41" s="543"/>
      <c r="DIG41" s="543"/>
      <c r="DIH41" s="543"/>
      <c r="DII41" s="543"/>
      <c r="DIJ41" s="543"/>
      <c r="DIK41" s="543"/>
      <c r="DIL41" s="543"/>
      <c r="DIM41" s="543"/>
      <c r="DIN41" s="543"/>
      <c r="DIO41" s="543"/>
      <c r="DIP41" s="543"/>
      <c r="DIQ41" s="543"/>
      <c r="DIR41" s="543"/>
      <c r="DIS41" s="543"/>
      <c r="DIT41" s="543"/>
      <c r="DIU41" s="543"/>
      <c r="DIV41" s="543"/>
      <c r="DIW41" s="543"/>
      <c r="DIX41" s="543"/>
      <c r="DIY41" s="543"/>
      <c r="DIZ41" s="543"/>
      <c r="DJA41" s="543"/>
      <c r="DJB41" s="543"/>
      <c r="DJC41" s="543"/>
      <c r="DJD41" s="543"/>
      <c r="DJE41" s="543"/>
      <c r="DJF41" s="543"/>
      <c r="DJG41" s="543"/>
      <c r="DJH41" s="543"/>
      <c r="DJI41" s="543"/>
      <c r="DJJ41" s="543"/>
      <c r="DJK41" s="543"/>
      <c r="DJL41" s="543"/>
      <c r="DJM41" s="543"/>
      <c r="DJN41" s="543"/>
      <c r="DJO41" s="543"/>
      <c r="DJP41" s="543"/>
      <c r="DJQ41" s="543"/>
      <c r="DJR41" s="543"/>
      <c r="DJS41" s="543"/>
      <c r="DJT41" s="543"/>
      <c r="DJU41" s="543"/>
      <c r="DJV41" s="543"/>
      <c r="DJW41" s="543"/>
      <c r="DJX41" s="543"/>
      <c r="DJY41" s="543"/>
      <c r="DJZ41" s="543"/>
      <c r="DKA41" s="543"/>
      <c r="DKB41" s="543"/>
      <c r="DKC41" s="543"/>
      <c r="DKD41" s="543"/>
      <c r="DKE41" s="543"/>
      <c r="DKF41" s="543"/>
      <c r="DKG41" s="543"/>
      <c r="DKH41" s="543"/>
      <c r="DKI41" s="543"/>
      <c r="DKJ41" s="543"/>
      <c r="DKK41" s="543"/>
      <c r="DKL41" s="543"/>
      <c r="DKM41" s="543"/>
      <c r="DKN41" s="543"/>
      <c r="DKO41" s="543"/>
      <c r="DKP41" s="543"/>
      <c r="DKQ41" s="543"/>
      <c r="DKR41" s="543"/>
      <c r="DKS41" s="543"/>
      <c r="DKT41" s="543"/>
      <c r="DKU41" s="543"/>
      <c r="DKV41" s="543"/>
      <c r="DKW41" s="543"/>
      <c r="DKX41" s="543"/>
      <c r="DKY41" s="543"/>
      <c r="DKZ41" s="543"/>
      <c r="DLA41" s="543"/>
      <c r="DLB41" s="543"/>
      <c r="DLC41" s="543"/>
      <c r="DLD41" s="543"/>
      <c r="DLE41" s="543"/>
      <c r="DLF41" s="543"/>
      <c r="DLG41" s="543"/>
      <c r="DLH41" s="543"/>
      <c r="DLI41" s="543"/>
      <c r="DLJ41" s="543"/>
      <c r="DLK41" s="543"/>
      <c r="DLL41" s="543"/>
      <c r="DLM41" s="543"/>
      <c r="DLN41" s="543"/>
      <c r="DLO41" s="543"/>
      <c r="DLP41" s="543"/>
      <c r="DLQ41" s="543"/>
      <c r="DLR41" s="543"/>
      <c r="DLS41" s="543"/>
      <c r="DLT41" s="543"/>
      <c r="DLU41" s="543"/>
      <c r="DLV41" s="543"/>
      <c r="DLW41" s="543"/>
      <c r="DLX41" s="543"/>
      <c r="DLY41" s="543"/>
      <c r="DLZ41" s="543"/>
      <c r="DMA41" s="543"/>
      <c r="DMB41" s="543"/>
      <c r="DMC41" s="543"/>
      <c r="DMD41" s="543"/>
      <c r="DME41" s="543"/>
      <c r="DMF41" s="543"/>
      <c r="DMG41" s="543"/>
      <c r="DMH41" s="543"/>
      <c r="DMI41" s="543"/>
      <c r="DMJ41" s="543"/>
      <c r="DMK41" s="543"/>
      <c r="DML41" s="543"/>
      <c r="DMM41" s="543"/>
      <c r="DMN41" s="543"/>
      <c r="DMO41" s="543"/>
      <c r="DMP41" s="543"/>
      <c r="DMQ41" s="543"/>
      <c r="DMR41" s="543"/>
      <c r="DMS41" s="543"/>
      <c r="DMT41" s="543"/>
      <c r="DMU41" s="543"/>
      <c r="DMV41" s="543"/>
      <c r="DMW41" s="543"/>
      <c r="DMX41" s="543"/>
      <c r="DMY41" s="543"/>
      <c r="DMZ41" s="543"/>
      <c r="DNA41" s="543"/>
      <c r="DNB41" s="543"/>
      <c r="DNC41" s="543"/>
      <c r="DND41" s="543"/>
      <c r="DNE41" s="543"/>
      <c r="DNF41" s="543"/>
      <c r="DNG41" s="543"/>
      <c r="DNH41" s="543"/>
      <c r="DNI41" s="543"/>
      <c r="DNJ41" s="543"/>
      <c r="DNK41" s="543"/>
      <c r="DNL41" s="543"/>
      <c r="DNM41" s="543"/>
      <c r="DNN41" s="543"/>
      <c r="DNO41" s="543"/>
      <c r="DNP41" s="543"/>
      <c r="DNQ41" s="543"/>
      <c r="DNR41" s="543"/>
      <c r="DNS41" s="543"/>
      <c r="DNT41" s="543"/>
      <c r="DNU41" s="543"/>
      <c r="DNV41" s="543"/>
      <c r="DNW41" s="543"/>
      <c r="DNX41" s="543"/>
      <c r="DNY41" s="543"/>
      <c r="DNZ41" s="543"/>
      <c r="DOA41" s="543"/>
      <c r="DOB41" s="543"/>
      <c r="DOC41" s="543"/>
      <c r="DOD41" s="543"/>
      <c r="DOE41" s="543"/>
      <c r="DOF41" s="543"/>
      <c r="DOG41" s="543"/>
      <c r="DOH41" s="543"/>
      <c r="DOI41" s="543"/>
      <c r="DOJ41" s="543"/>
      <c r="DOK41" s="543"/>
      <c r="DOL41" s="543"/>
      <c r="DOM41" s="543"/>
      <c r="DON41" s="543"/>
      <c r="DOO41" s="543"/>
      <c r="DOP41" s="543"/>
      <c r="DOQ41" s="543"/>
      <c r="DOR41" s="543"/>
      <c r="DOS41" s="543"/>
      <c r="DOT41" s="543"/>
      <c r="DOU41" s="543"/>
      <c r="DOV41" s="543"/>
      <c r="DOW41" s="543"/>
      <c r="DOX41" s="543"/>
      <c r="DOY41" s="543"/>
      <c r="DOZ41" s="543"/>
      <c r="DPA41" s="543"/>
      <c r="DPB41" s="543"/>
      <c r="DPC41" s="543"/>
      <c r="DPD41" s="543"/>
      <c r="DPE41" s="543"/>
      <c r="DPF41" s="543"/>
      <c r="DPG41" s="543"/>
      <c r="DPH41" s="543"/>
      <c r="DPI41" s="543"/>
      <c r="DPJ41" s="543"/>
      <c r="DPK41" s="543"/>
      <c r="DPL41" s="543"/>
      <c r="DPM41" s="543"/>
      <c r="DPN41" s="543"/>
      <c r="DPO41" s="543"/>
      <c r="DPP41" s="543"/>
      <c r="DPQ41" s="543"/>
      <c r="DPR41" s="543"/>
      <c r="DPS41" s="543"/>
      <c r="DPT41" s="543"/>
      <c r="DPU41" s="543"/>
      <c r="DPV41" s="543"/>
      <c r="DPW41" s="543"/>
      <c r="DPX41" s="543"/>
      <c r="DPY41" s="543"/>
      <c r="DPZ41" s="543"/>
      <c r="DQA41" s="543"/>
      <c r="DQB41" s="543"/>
      <c r="DQC41" s="543"/>
      <c r="DQD41" s="543"/>
      <c r="DQE41" s="543"/>
      <c r="DQF41" s="543"/>
      <c r="DQG41" s="543"/>
      <c r="DQH41" s="543"/>
      <c r="DQI41" s="543"/>
      <c r="DQJ41" s="543"/>
      <c r="DQK41" s="543"/>
      <c r="DQL41" s="543"/>
      <c r="DQM41" s="543"/>
      <c r="DQN41" s="543"/>
      <c r="DQO41" s="543"/>
      <c r="DQP41" s="543"/>
      <c r="DQQ41" s="543"/>
      <c r="DQR41" s="543"/>
      <c r="DQS41" s="543"/>
      <c r="DQT41" s="543"/>
      <c r="DQU41" s="543"/>
      <c r="DQV41" s="543"/>
      <c r="DQW41" s="543"/>
      <c r="DQX41" s="543"/>
      <c r="DQY41" s="543"/>
      <c r="DQZ41" s="543"/>
      <c r="DRA41" s="543"/>
      <c r="DRB41" s="543"/>
      <c r="DRC41" s="543"/>
      <c r="DRD41" s="543"/>
      <c r="DRE41" s="543"/>
      <c r="DRF41" s="543"/>
      <c r="DRG41" s="543"/>
      <c r="DRH41" s="543"/>
      <c r="DRI41" s="543"/>
      <c r="DRJ41" s="543"/>
      <c r="DRK41" s="543"/>
      <c r="DRL41" s="543"/>
      <c r="DRM41" s="543"/>
      <c r="DRN41" s="543"/>
      <c r="DRO41" s="543"/>
      <c r="DRP41" s="543"/>
      <c r="DRQ41" s="543"/>
      <c r="DRR41" s="543"/>
      <c r="DRS41" s="543"/>
      <c r="DRT41" s="543"/>
      <c r="DRU41" s="543"/>
      <c r="DRV41" s="543"/>
      <c r="DRW41" s="543"/>
      <c r="DRX41" s="543"/>
      <c r="DRY41" s="543"/>
      <c r="DRZ41" s="543"/>
      <c r="DSA41" s="543"/>
      <c r="DSB41" s="543"/>
      <c r="DSC41" s="543"/>
      <c r="DSD41" s="543"/>
      <c r="DSE41" s="543"/>
      <c r="DSF41" s="543"/>
      <c r="DSG41" s="543"/>
      <c r="DSH41" s="543"/>
      <c r="DSI41" s="543"/>
      <c r="DSJ41" s="543"/>
      <c r="DSK41" s="543"/>
      <c r="DSL41" s="543"/>
      <c r="DSM41" s="543"/>
      <c r="DSN41" s="543"/>
      <c r="DSO41" s="543"/>
      <c r="DSP41" s="543"/>
      <c r="DSQ41" s="543"/>
      <c r="DSR41" s="543"/>
      <c r="DSS41" s="543"/>
      <c r="DST41" s="543"/>
      <c r="DSU41" s="543"/>
      <c r="DSV41" s="543"/>
      <c r="DSW41" s="543"/>
      <c r="DSX41" s="543"/>
      <c r="DSY41" s="543"/>
      <c r="DSZ41" s="543"/>
      <c r="DTA41" s="543"/>
      <c r="DTB41" s="543"/>
      <c r="DTC41" s="543"/>
      <c r="DTD41" s="543"/>
      <c r="DTE41" s="543"/>
      <c r="DTF41" s="543"/>
      <c r="DTG41" s="543"/>
      <c r="DTH41" s="543"/>
      <c r="DTI41" s="543"/>
      <c r="DTJ41" s="543"/>
      <c r="DTK41" s="543"/>
      <c r="DTL41" s="543"/>
      <c r="DTM41" s="543"/>
      <c r="DTN41" s="543"/>
      <c r="DTO41" s="543"/>
      <c r="DTP41" s="543"/>
      <c r="DTQ41" s="543"/>
      <c r="DTR41" s="543"/>
      <c r="DTS41" s="543"/>
      <c r="DTT41" s="543"/>
      <c r="DTU41" s="543"/>
      <c r="DTV41" s="543"/>
      <c r="DTW41" s="543"/>
      <c r="DTX41" s="543"/>
      <c r="DTY41" s="543"/>
      <c r="DTZ41" s="543"/>
      <c r="DUA41" s="543"/>
      <c r="DUB41" s="543"/>
      <c r="DUC41" s="543"/>
      <c r="DUD41" s="543"/>
      <c r="DUE41" s="543"/>
      <c r="DUF41" s="543"/>
      <c r="DUG41" s="543"/>
      <c r="DUH41" s="543"/>
      <c r="DUI41" s="543"/>
      <c r="DUJ41" s="543"/>
      <c r="DUK41" s="543"/>
      <c r="DUL41" s="543"/>
      <c r="DUM41" s="543"/>
      <c r="DUN41" s="543"/>
      <c r="DUO41" s="543"/>
      <c r="DUP41" s="543"/>
      <c r="DUQ41" s="543"/>
      <c r="DUR41" s="543"/>
      <c r="DUS41" s="543"/>
      <c r="DUT41" s="543"/>
      <c r="DUU41" s="543"/>
      <c r="DUV41" s="543"/>
      <c r="DUW41" s="543"/>
      <c r="DUX41" s="543"/>
      <c r="DUY41" s="543"/>
      <c r="DUZ41" s="543"/>
      <c r="DVA41" s="543"/>
      <c r="DVB41" s="543"/>
      <c r="DVC41" s="543"/>
      <c r="DVD41" s="543"/>
      <c r="DVE41" s="543"/>
      <c r="DVF41" s="543"/>
      <c r="DVG41" s="543"/>
      <c r="DVH41" s="543"/>
      <c r="DVI41" s="543"/>
      <c r="DVJ41" s="543"/>
      <c r="DVK41" s="543"/>
      <c r="DVL41" s="543"/>
      <c r="DVM41" s="543"/>
      <c r="DVN41" s="543"/>
      <c r="DVO41" s="543"/>
      <c r="DVP41" s="543"/>
      <c r="DVQ41" s="543"/>
      <c r="DVR41" s="543"/>
      <c r="DVS41" s="543"/>
      <c r="DVT41" s="543"/>
      <c r="DVU41" s="543"/>
      <c r="DVV41" s="543"/>
      <c r="DVW41" s="543"/>
      <c r="DVX41" s="543"/>
      <c r="DVY41" s="543"/>
      <c r="DVZ41" s="543"/>
      <c r="DWA41" s="543"/>
      <c r="DWB41" s="543"/>
      <c r="DWC41" s="543"/>
      <c r="DWD41" s="543"/>
      <c r="DWE41" s="543"/>
      <c r="DWF41" s="543"/>
      <c r="DWG41" s="543"/>
      <c r="DWH41" s="543"/>
      <c r="DWI41" s="543"/>
      <c r="DWJ41" s="543"/>
      <c r="DWK41" s="543"/>
      <c r="DWL41" s="543"/>
      <c r="DWM41" s="543"/>
      <c r="DWN41" s="543"/>
      <c r="DWO41" s="543"/>
      <c r="DWP41" s="543"/>
      <c r="DWQ41" s="543"/>
      <c r="DWR41" s="543"/>
      <c r="DWS41" s="543"/>
      <c r="DWT41" s="543"/>
      <c r="DWU41" s="543"/>
      <c r="DWV41" s="543"/>
      <c r="DWW41" s="543"/>
      <c r="DWX41" s="543"/>
      <c r="DWY41" s="543"/>
      <c r="DWZ41" s="543"/>
      <c r="DXA41" s="543"/>
      <c r="DXB41" s="543"/>
      <c r="DXC41" s="543"/>
      <c r="DXD41" s="543"/>
      <c r="DXE41" s="543"/>
      <c r="DXF41" s="543"/>
      <c r="DXG41" s="543"/>
      <c r="DXH41" s="543"/>
      <c r="DXI41" s="543"/>
      <c r="DXJ41" s="543"/>
      <c r="DXK41" s="543"/>
      <c r="DXL41" s="543"/>
      <c r="DXM41" s="543"/>
      <c r="DXN41" s="543"/>
      <c r="DXO41" s="543"/>
      <c r="DXP41" s="543"/>
      <c r="DXQ41" s="543"/>
      <c r="DXR41" s="543"/>
      <c r="DXS41" s="543"/>
      <c r="DXT41" s="543"/>
      <c r="DXU41" s="543"/>
      <c r="DXV41" s="543"/>
      <c r="DXW41" s="543"/>
      <c r="DXX41" s="543"/>
      <c r="DXY41" s="543"/>
      <c r="DXZ41" s="543"/>
      <c r="DYA41" s="543"/>
      <c r="DYB41" s="543"/>
      <c r="DYC41" s="543"/>
      <c r="DYD41" s="543"/>
      <c r="DYE41" s="543"/>
      <c r="DYF41" s="543"/>
      <c r="DYG41" s="543"/>
      <c r="DYH41" s="543"/>
      <c r="DYI41" s="543"/>
      <c r="DYJ41" s="543"/>
      <c r="DYK41" s="543"/>
      <c r="DYL41" s="543"/>
      <c r="DYM41" s="543"/>
      <c r="DYN41" s="543"/>
      <c r="DYO41" s="543"/>
      <c r="DYP41" s="543"/>
      <c r="DYQ41" s="543"/>
      <c r="DYR41" s="543"/>
      <c r="DYS41" s="543"/>
      <c r="DYT41" s="543"/>
      <c r="DYU41" s="543"/>
      <c r="DYV41" s="543"/>
      <c r="DYW41" s="543"/>
      <c r="DYX41" s="543"/>
      <c r="DYY41" s="543"/>
      <c r="DYZ41" s="543"/>
      <c r="DZA41" s="543"/>
      <c r="DZB41" s="543"/>
      <c r="DZC41" s="543"/>
      <c r="DZD41" s="543"/>
      <c r="DZE41" s="543"/>
      <c r="DZF41" s="543"/>
      <c r="DZG41" s="543"/>
      <c r="DZH41" s="543"/>
      <c r="DZI41" s="543"/>
      <c r="DZJ41" s="543"/>
      <c r="DZK41" s="543"/>
      <c r="DZL41" s="543"/>
      <c r="DZM41" s="543"/>
      <c r="DZN41" s="543"/>
      <c r="DZO41" s="543"/>
      <c r="DZP41" s="543"/>
      <c r="DZQ41" s="543"/>
      <c r="DZR41" s="543"/>
      <c r="DZS41" s="543"/>
      <c r="DZT41" s="543"/>
      <c r="DZU41" s="543"/>
      <c r="DZV41" s="543"/>
      <c r="DZW41" s="543"/>
      <c r="DZX41" s="543"/>
      <c r="DZY41" s="543"/>
      <c r="DZZ41" s="543"/>
      <c r="EAA41" s="543"/>
      <c r="EAB41" s="543"/>
      <c r="EAC41" s="543"/>
      <c r="EAD41" s="543"/>
      <c r="EAE41" s="543"/>
      <c r="EAF41" s="543"/>
      <c r="EAG41" s="543"/>
      <c r="EAH41" s="543"/>
      <c r="EAI41" s="543"/>
      <c r="EAJ41" s="543"/>
      <c r="EAK41" s="543"/>
      <c r="EAL41" s="543"/>
      <c r="EAM41" s="543"/>
      <c r="EAN41" s="543"/>
      <c r="EAO41" s="543"/>
      <c r="EAP41" s="543"/>
      <c r="EAQ41" s="543"/>
      <c r="EAR41" s="543"/>
      <c r="EAS41" s="543"/>
      <c r="EAT41" s="543"/>
      <c r="EAU41" s="543"/>
      <c r="EAV41" s="543"/>
      <c r="EAW41" s="543"/>
      <c r="EAX41" s="543"/>
      <c r="EAY41" s="543"/>
      <c r="EAZ41" s="543"/>
      <c r="EBA41" s="543"/>
      <c r="EBB41" s="543"/>
      <c r="EBC41" s="543"/>
      <c r="EBD41" s="543"/>
      <c r="EBE41" s="543"/>
      <c r="EBF41" s="543"/>
      <c r="EBG41" s="543"/>
      <c r="EBH41" s="543"/>
      <c r="EBI41" s="543"/>
      <c r="EBJ41" s="543"/>
      <c r="EBK41" s="543"/>
      <c r="EBL41" s="543"/>
      <c r="EBM41" s="543"/>
      <c r="EBN41" s="543"/>
      <c r="EBO41" s="543"/>
      <c r="EBP41" s="543"/>
      <c r="EBQ41" s="543"/>
      <c r="EBR41" s="543"/>
      <c r="EBS41" s="543"/>
      <c r="EBT41" s="543"/>
      <c r="EBU41" s="543"/>
      <c r="EBV41" s="543"/>
      <c r="EBW41" s="543"/>
      <c r="EBX41" s="543"/>
      <c r="EBY41" s="543"/>
      <c r="EBZ41" s="543"/>
      <c r="ECA41" s="543"/>
      <c r="ECB41" s="543"/>
      <c r="ECC41" s="543"/>
      <c r="ECD41" s="543"/>
      <c r="ECE41" s="543"/>
      <c r="ECF41" s="543"/>
      <c r="ECG41" s="543"/>
      <c r="ECH41" s="543"/>
      <c r="ECI41" s="543"/>
      <c r="ECJ41" s="543"/>
      <c r="ECK41" s="543"/>
      <c r="ECL41" s="543"/>
      <c r="ECM41" s="543"/>
      <c r="ECN41" s="543"/>
      <c r="ECO41" s="543"/>
      <c r="ECP41" s="543"/>
      <c r="ECQ41" s="543"/>
      <c r="ECR41" s="543"/>
      <c r="ECS41" s="543"/>
      <c r="ECT41" s="543"/>
      <c r="ECU41" s="543"/>
      <c r="ECV41" s="543"/>
      <c r="ECW41" s="543"/>
      <c r="ECX41" s="543"/>
      <c r="ECY41" s="543"/>
      <c r="ECZ41" s="543"/>
      <c r="EDA41" s="543"/>
      <c r="EDB41" s="543"/>
      <c r="EDC41" s="543"/>
      <c r="EDD41" s="543"/>
      <c r="EDE41" s="543"/>
      <c r="EDF41" s="543"/>
      <c r="EDG41" s="543"/>
      <c r="EDH41" s="543"/>
      <c r="EDI41" s="543"/>
      <c r="EDJ41" s="543"/>
      <c r="EDK41" s="543"/>
      <c r="EDL41" s="543"/>
      <c r="EDM41" s="543"/>
      <c r="EDN41" s="543"/>
      <c r="EDO41" s="543"/>
      <c r="EDP41" s="543"/>
      <c r="EDQ41" s="543"/>
      <c r="EDR41" s="543"/>
      <c r="EDS41" s="543"/>
      <c r="EDT41" s="543"/>
      <c r="EDU41" s="543"/>
      <c r="EDV41" s="543"/>
      <c r="EDW41" s="543"/>
      <c r="EDX41" s="543"/>
      <c r="EDY41" s="543"/>
      <c r="EDZ41" s="543"/>
      <c r="EEA41" s="543"/>
      <c r="EEB41" s="543"/>
      <c r="EEC41" s="543"/>
      <c r="EED41" s="543"/>
      <c r="EEE41" s="543"/>
      <c r="EEF41" s="543"/>
      <c r="EEG41" s="543"/>
      <c r="EEH41" s="543"/>
      <c r="EEI41" s="543"/>
      <c r="EEJ41" s="543"/>
      <c r="EEK41" s="543"/>
      <c r="EEL41" s="543"/>
      <c r="EEM41" s="543"/>
      <c r="EEN41" s="543"/>
      <c r="EEO41" s="543"/>
      <c r="EEP41" s="543"/>
      <c r="EEQ41" s="543"/>
      <c r="EER41" s="543"/>
      <c r="EES41" s="543"/>
      <c r="EET41" s="543"/>
      <c r="EEU41" s="543"/>
      <c r="EEV41" s="543"/>
      <c r="EEW41" s="543"/>
      <c r="EEX41" s="543"/>
      <c r="EEY41" s="543"/>
      <c r="EEZ41" s="543"/>
      <c r="EFA41" s="543"/>
      <c r="EFB41" s="543"/>
      <c r="EFC41" s="543"/>
      <c r="EFD41" s="543"/>
      <c r="EFE41" s="543"/>
      <c r="EFF41" s="543"/>
      <c r="EFG41" s="543"/>
      <c r="EFH41" s="543"/>
      <c r="EFI41" s="543"/>
      <c r="EFJ41" s="543"/>
      <c r="EFK41" s="543"/>
      <c r="EFL41" s="543"/>
      <c r="EFM41" s="543"/>
      <c r="EFN41" s="543"/>
      <c r="EFO41" s="543"/>
      <c r="EFP41" s="543"/>
      <c r="EFQ41" s="543"/>
      <c r="EFR41" s="543"/>
      <c r="EFS41" s="543"/>
      <c r="EFT41" s="543"/>
      <c r="EFU41" s="543"/>
      <c r="EFV41" s="543"/>
      <c r="EFW41" s="543"/>
      <c r="EFX41" s="543"/>
      <c r="EFY41" s="543"/>
      <c r="EFZ41" s="543"/>
      <c r="EGA41" s="543"/>
      <c r="EGB41" s="543"/>
      <c r="EGC41" s="543"/>
      <c r="EGD41" s="543"/>
      <c r="EGE41" s="543"/>
      <c r="EGF41" s="543"/>
      <c r="EGG41" s="543"/>
      <c r="EGH41" s="543"/>
      <c r="EGI41" s="543"/>
      <c r="EGJ41" s="543"/>
      <c r="EGK41" s="543"/>
      <c r="EGL41" s="543"/>
      <c r="EGM41" s="543"/>
      <c r="EGN41" s="543"/>
      <c r="EGO41" s="543"/>
      <c r="EGP41" s="543"/>
      <c r="EGQ41" s="543"/>
      <c r="EGR41" s="543"/>
      <c r="EGS41" s="543"/>
      <c r="EGT41" s="543"/>
      <c r="EGU41" s="543"/>
      <c r="EGV41" s="543"/>
      <c r="EGW41" s="543"/>
      <c r="EGX41" s="543"/>
      <c r="EGY41" s="543"/>
      <c r="EGZ41" s="543"/>
      <c r="EHA41" s="543"/>
      <c r="EHB41" s="543"/>
      <c r="EHC41" s="543"/>
      <c r="EHD41" s="543"/>
      <c r="EHE41" s="543"/>
      <c r="EHF41" s="543"/>
      <c r="EHG41" s="543"/>
      <c r="EHH41" s="543"/>
      <c r="EHI41" s="543"/>
      <c r="EHJ41" s="543"/>
      <c r="EHK41" s="543"/>
      <c r="EHL41" s="543"/>
      <c r="EHM41" s="543"/>
      <c r="EHN41" s="543"/>
      <c r="EHO41" s="543"/>
      <c r="EHP41" s="543"/>
      <c r="EHQ41" s="543"/>
      <c r="EHR41" s="543"/>
      <c r="EHS41" s="543"/>
      <c r="EHT41" s="543"/>
      <c r="EHU41" s="543"/>
      <c r="EHV41" s="543"/>
      <c r="EHW41" s="543"/>
      <c r="EHX41" s="543"/>
      <c r="EHY41" s="543"/>
      <c r="EHZ41" s="543"/>
      <c r="EIA41" s="543"/>
      <c r="EIB41" s="543"/>
      <c r="EIC41" s="543"/>
      <c r="EID41" s="543"/>
      <c r="EIE41" s="543"/>
      <c r="EIF41" s="543"/>
      <c r="EIG41" s="543"/>
      <c r="EIH41" s="543"/>
      <c r="EII41" s="543"/>
      <c r="EIJ41" s="543"/>
      <c r="EIK41" s="543"/>
      <c r="EIL41" s="543"/>
      <c r="EIM41" s="543"/>
      <c r="EIN41" s="543"/>
      <c r="EIO41" s="543"/>
      <c r="EIP41" s="543"/>
      <c r="EIQ41" s="543"/>
      <c r="EIR41" s="543"/>
      <c r="EIS41" s="543"/>
      <c r="EIT41" s="543"/>
      <c r="EIU41" s="543"/>
      <c r="EIV41" s="543"/>
      <c r="EIW41" s="543"/>
      <c r="EIX41" s="543"/>
      <c r="EIY41" s="543"/>
      <c r="EIZ41" s="543"/>
      <c r="EJA41" s="543"/>
      <c r="EJB41" s="543"/>
      <c r="EJC41" s="543"/>
      <c r="EJD41" s="543"/>
      <c r="EJE41" s="543"/>
      <c r="EJF41" s="543"/>
      <c r="EJG41" s="543"/>
      <c r="EJH41" s="543"/>
      <c r="EJI41" s="543"/>
      <c r="EJJ41" s="543"/>
      <c r="EJK41" s="543"/>
      <c r="EJL41" s="543"/>
      <c r="EJM41" s="543"/>
      <c r="EJN41" s="543"/>
      <c r="EJO41" s="543"/>
      <c r="EJP41" s="543"/>
      <c r="EJQ41" s="543"/>
      <c r="EJR41" s="543"/>
      <c r="EJS41" s="543"/>
      <c r="EJT41" s="543"/>
      <c r="EJU41" s="543"/>
      <c r="EJV41" s="543"/>
      <c r="EJW41" s="543"/>
      <c r="EJX41" s="543"/>
      <c r="EJY41" s="543"/>
      <c r="EJZ41" s="543"/>
      <c r="EKA41" s="543"/>
      <c r="EKB41" s="543"/>
      <c r="EKC41" s="543"/>
      <c r="EKD41" s="543"/>
      <c r="EKE41" s="543"/>
      <c r="EKF41" s="543"/>
      <c r="EKG41" s="543"/>
      <c r="EKH41" s="543"/>
      <c r="EKI41" s="543"/>
      <c r="EKJ41" s="543"/>
      <c r="EKK41" s="543"/>
      <c r="EKL41" s="543"/>
      <c r="EKM41" s="543"/>
      <c r="EKN41" s="543"/>
      <c r="EKO41" s="543"/>
      <c r="EKP41" s="543"/>
      <c r="EKQ41" s="543"/>
      <c r="EKR41" s="543"/>
      <c r="EKS41" s="543"/>
      <c r="EKT41" s="543"/>
      <c r="EKU41" s="543"/>
      <c r="EKV41" s="543"/>
      <c r="EKW41" s="543"/>
      <c r="EKX41" s="543"/>
      <c r="EKY41" s="543"/>
      <c r="EKZ41" s="543"/>
      <c r="ELA41" s="543"/>
      <c r="ELB41" s="543"/>
      <c r="ELC41" s="543"/>
      <c r="ELD41" s="543"/>
      <c r="ELE41" s="543"/>
      <c r="ELF41" s="543"/>
      <c r="ELG41" s="543"/>
      <c r="ELH41" s="543"/>
      <c r="ELI41" s="543"/>
      <c r="ELJ41" s="543"/>
      <c r="ELK41" s="543"/>
      <c r="ELL41" s="543"/>
      <c r="ELM41" s="543"/>
      <c r="ELN41" s="543"/>
      <c r="ELO41" s="543"/>
      <c r="ELP41" s="543"/>
      <c r="ELQ41" s="543"/>
      <c r="ELR41" s="543"/>
      <c r="ELS41" s="543"/>
      <c r="ELT41" s="543"/>
      <c r="ELU41" s="543"/>
      <c r="ELV41" s="543"/>
      <c r="ELW41" s="543"/>
      <c r="ELX41" s="543"/>
      <c r="ELY41" s="543"/>
      <c r="ELZ41" s="543"/>
      <c r="EMA41" s="543"/>
      <c r="EMB41" s="543"/>
      <c r="EMC41" s="543"/>
      <c r="EMD41" s="543"/>
      <c r="EME41" s="543"/>
      <c r="EMF41" s="543"/>
      <c r="EMG41" s="543"/>
      <c r="EMH41" s="543"/>
      <c r="EMI41" s="543"/>
      <c r="EMJ41" s="543"/>
      <c r="EMK41" s="543"/>
      <c r="EML41" s="543"/>
      <c r="EMM41" s="543"/>
      <c r="EMN41" s="543"/>
      <c r="EMO41" s="543"/>
      <c r="EMP41" s="543"/>
      <c r="EMQ41" s="543"/>
      <c r="EMR41" s="543"/>
      <c r="EMS41" s="543"/>
      <c r="EMT41" s="543"/>
      <c r="EMU41" s="543"/>
      <c r="EMV41" s="543"/>
      <c r="EMW41" s="543"/>
      <c r="EMX41" s="543"/>
      <c r="EMY41" s="543"/>
      <c r="EMZ41" s="543"/>
      <c r="ENA41" s="543"/>
      <c r="ENB41" s="543"/>
      <c r="ENC41" s="543"/>
      <c r="END41" s="543"/>
      <c r="ENE41" s="543"/>
      <c r="ENF41" s="543"/>
      <c r="ENG41" s="543"/>
      <c r="ENH41" s="543"/>
      <c r="ENI41" s="543"/>
      <c r="ENJ41" s="543"/>
      <c r="ENK41" s="543"/>
      <c r="ENL41" s="543"/>
      <c r="ENM41" s="543"/>
      <c r="ENN41" s="543"/>
      <c r="ENO41" s="543"/>
      <c r="ENP41" s="543"/>
      <c r="ENQ41" s="543"/>
      <c r="ENR41" s="543"/>
      <c r="ENS41" s="543"/>
      <c r="ENT41" s="543"/>
      <c r="ENU41" s="543"/>
      <c r="ENV41" s="543"/>
      <c r="ENW41" s="543"/>
      <c r="ENX41" s="543"/>
      <c r="ENY41" s="543"/>
      <c r="ENZ41" s="543"/>
      <c r="EOA41" s="543"/>
      <c r="EOB41" s="543"/>
      <c r="EOC41" s="543"/>
      <c r="EOD41" s="543"/>
      <c r="EOE41" s="543"/>
      <c r="EOF41" s="543"/>
      <c r="EOG41" s="543"/>
      <c r="EOH41" s="543"/>
      <c r="EOI41" s="543"/>
      <c r="EOJ41" s="543"/>
      <c r="EOK41" s="543"/>
      <c r="EOL41" s="543"/>
      <c r="EOM41" s="543"/>
      <c r="EON41" s="543"/>
      <c r="EOO41" s="543"/>
      <c r="EOP41" s="543"/>
      <c r="EOQ41" s="543"/>
      <c r="EOR41" s="543"/>
      <c r="EOS41" s="543"/>
      <c r="EOT41" s="543"/>
      <c r="EOU41" s="543"/>
      <c r="EOV41" s="543"/>
      <c r="EOW41" s="543"/>
      <c r="EOX41" s="543"/>
      <c r="EOY41" s="543"/>
      <c r="EOZ41" s="543"/>
      <c r="EPA41" s="543"/>
      <c r="EPB41" s="543"/>
      <c r="EPC41" s="543"/>
      <c r="EPD41" s="543"/>
      <c r="EPE41" s="543"/>
      <c r="EPF41" s="543"/>
      <c r="EPG41" s="543"/>
      <c r="EPH41" s="543"/>
      <c r="EPI41" s="543"/>
      <c r="EPJ41" s="543"/>
      <c r="EPK41" s="543"/>
      <c r="EPL41" s="543"/>
      <c r="EPM41" s="543"/>
      <c r="EPN41" s="543"/>
      <c r="EPO41" s="543"/>
      <c r="EPP41" s="543"/>
      <c r="EPQ41" s="543"/>
      <c r="EPR41" s="543"/>
      <c r="EPS41" s="543"/>
      <c r="EPT41" s="543"/>
      <c r="EPU41" s="543"/>
      <c r="EPV41" s="543"/>
      <c r="EPW41" s="543"/>
      <c r="EPX41" s="543"/>
      <c r="EPY41" s="543"/>
      <c r="EPZ41" s="543"/>
      <c r="EQA41" s="543"/>
      <c r="EQB41" s="543"/>
      <c r="EQC41" s="543"/>
      <c r="EQD41" s="543"/>
      <c r="EQE41" s="543"/>
      <c r="EQF41" s="543"/>
      <c r="EQG41" s="543"/>
      <c r="EQH41" s="543"/>
      <c r="EQI41" s="543"/>
      <c r="EQJ41" s="543"/>
      <c r="EQK41" s="543"/>
      <c r="EQL41" s="543"/>
      <c r="EQM41" s="543"/>
      <c r="EQN41" s="543"/>
      <c r="EQO41" s="543"/>
      <c r="EQP41" s="543"/>
      <c r="EQQ41" s="543"/>
      <c r="EQR41" s="543"/>
      <c r="EQS41" s="543"/>
      <c r="EQT41" s="543"/>
      <c r="EQU41" s="543"/>
      <c r="EQV41" s="543"/>
      <c r="EQW41" s="543"/>
      <c r="EQX41" s="543"/>
      <c r="EQY41" s="543"/>
      <c r="EQZ41" s="543"/>
      <c r="ERA41" s="543"/>
      <c r="ERB41" s="543"/>
      <c r="ERC41" s="543"/>
      <c r="ERD41" s="543"/>
      <c r="ERE41" s="543"/>
      <c r="ERF41" s="543"/>
      <c r="ERG41" s="543"/>
      <c r="ERH41" s="543"/>
      <c r="ERI41" s="543"/>
      <c r="ERJ41" s="543"/>
      <c r="ERK41" s="543"/>
      <c r="ERL41" s="543"/>
      <c r="ERM41" s="543"/>
      <c r="ERN41" s="543"/>
      <c r="ERO41" s="543"/>
      <c r="ERP41" s="543"/>
      <c r="ERQ41" s="543"/>
      <c r="ERR41" s="543"/>
      <c r="ERS41" s="543"/>
      <c r="ERT41" s="543"/>
      <c r="ERU41" s="543"/>
      <c r="ERV41" s="543"/>
      <c r="ERW41" s="543"/>
      <c r="ERX41" s="543"/>
      <c r="ERY41" s="543"/>
      <c r="ERZ41" s="543"/>
      <c r="ESA41" s="543"/>
      <c r="ESB41" s="543"/>
      <c r="ESC41" s="543"/>
      <c r="ESD41" s="543"/>
      <c r="ESE41" s="543"/>
      <c r="ESF41" s="543"/>
      <c r="ESG41" s="543"/>
      <c r="ESH41" s="543"/>
      <c r="ESI41" s="543"/>
      <c r="ESJ41" s="543"/>
      <c r="ESK41" s="543"/>
      <c r="ESL41" s="543"/>
      <c r="ESM41" s="543"/>
      <c r="ESN41" s="543"/>
      <c r="ESO41" s="543"/>
      <c r="ESP41" s="543"/>
      <c r="ESQ41" s="543"/>
      <c r="ESR41" s="543"/>
      <c r="ESS41" s="543"/>
      <c r="EST41" s="543"/>
      <c r="ESU41" s="543"/>
      <c r="ESV41" s="543"/>
      <c r="ESW41" s="543"/>
      <c r="ESX41" s="543"/>
      <c r="ESY41" s="543"/>
      <c r="ESZ41" s="543"/>
      <c r="ETA41" s="543"/>
      <c r="ETB41" s="543"/>
      <c r="ETC41" s="543"/>
      <c r="ETD41" s="543"/>
      <c r="ETE41" s="543"/>
      <c r="ETF41" s="543"/>
      <c r="ETG41" s="543"/>
      <c r="ETH41" s="543"/>
      <c r="ETI41" s="543"/>
      <c r="ETJ41" s="543"/>
      <c r="ETK41" s="543"/>
      <c r="ETL41" s="543"/>
      <c r="ETM41" s="543"/>
      <c r="ETN41" s="543"/>
      <c r="ETO41" s="543"/>
      <c r="ETP41" s="543"/>
      <c r="ETQ41" s="543"/>
      <c r="ETR41" s="543"/>
      <c r="ETS41" s="543"/>
      <c r="ETT41" s="543"/>
      <c r="ETU41" s="543"/>
      <c r="ETV41" s="543"/>
      <c r="ETW41" s="543"/>
      <c r="ETX41" s="543"/>
      <c r="ETY41" s="543"/>
      <c r="ETZ41" s="543"/>
      <c r="EUA41" s="543"/>
      <c r="EUB41" s="543"/>
      <c r="EUC41" s="543"/>
      <c r="EUD41" s="543"/>
      <c r="EUE41" s="543"/>
      <c r="EUF41" s="543"/>
      <c r="EUG41" s="543"/>
      <c r="EUH41" s="543"/>
      <c r="EUI41" s="543"/>
      <c r="EUJ41" s="543"/>
      <c r="EUK41" s="543"/>
      <c r="EUL41" s="543"/>
      <c r="EUM41" s="543"/>
      <c r="EUN41" s="543"/>
      <c r="EUO41" s="543"/>
      <c r="EUP41" s="543"/>
      <c r="EUQ41" s="543"/>
      <c r="EUR41" s="543"/>
      <c r="EUS41" s="543"/>
      <c r="EUT41" s="543"/>
      <c r="EUU41" s="543"/>
      <c r="EUV41" s="543"/>
      <c r="EUW41" s="543"/>
      <c r="EUX41" s="543"/>
      <c r="EUY41" s="543"/>
      <c r="EUZ41" s="543"/>
      <c r="EVA41" s="543"/>
      <c r="EVB41" s="543"/>
      <c r="EVC41" s="543"/>
      <c r="EVD41" s="543"/>
      <c r="EVE41" s="543"/>
      <c r="EVF41" s="543"/>
      <c r="EVG41" s="543"/>
      <c r="EVH41" s="543"/>
      <c r="EVI41" s="543"/>
      <c r="EVJ41" s="543"/>
      <c r="EVK41" s="543"/>
      <c r="EVL41" s="543"/>
      <c r="EVM41" s="543"/>
      <c r="EVN41" s="543"/>
      <c r="EVO41" s="543"/>
      <c r="EVP41" s="543"/>
      <c r="EVQ41" s="543"/>
      <c r="EVR41" s="543"/>
      <c r="EVS41" s="543"/>
      <c r="EVT41" s="543"/>
      <c r="EVU41" s="543"/>
      <c r="EVV41" s="543"/>
      <c r="EVW41" s="543"/>
      <c r="EVX41" s="543"/>
      <c r="EVY41" s="543"/>
      <c r="EVZ41" s="543"/>
      <c r="EWA41" s="543"/>
      <c r="EWB41" s="543"/>
      <c r="EWC41" s="543"/>
      <c r="EWD41" s="543"/>
      <c r="EWE41" s="543"/>
      <c r="EWF41" s="543"/>
      <c r="EWG41" s="543"/>
      <c r="EWH41" s="543"/>
      <c r="EWI41" s="543"/>
      <c r="EWJ41" s="543"/>
      <c r="EWK41" s="543"/>
      <c r="EWL41" s="543"/>
      <c r="EWM41" s="543"/>
      <c r="EWN41" s="543"/>
      <c r="EWO41" s="543"/>
      <c r="EWP41" s="543"/>
      <c r="EWQ41" s="543"/>
      <c r="EWR41" s="543"/>
      <c r="EWS41" s="543"/>
      <c r="EWT41" s="543"/>
      <c r="EWU41" s="543"/>
      <c r="EWV41" s="543"/>
      <c r="EWW41" s="543"/>
      <c r="EWX41" s="543"/>
      <c r="EWY41" s="543"/>
      <c r="EWZ41" s="543"/>
      <c r="EXA41" s="543"/>
      <c r="EXB41" s="543"/>
      <c r="EXC41" s="543"/>
      <c r="EXD41" s="543"/>
      <c r="EXE41" s="543"/>
      <c r="EXF41" s="543"/>
      <c r="EXG41" s="543"/>
      <c r="EXH41" s="543"/>
      <c r="EXI41" s="543"/>
      <c r="EXJ41" s="543"/>
      <c r="EXK41" s="543"/>
      <c r="EXL41" s="543"/>
      <c r="EXM41" s="543"/>
      <c r="EXN41" s="543"/>
      <c r="EXO41" s="543"/>
      <c r="EXP41" s="543"/>
      <c r="EXQ41" s="543"/>
      <c r="EXR41" s="543"/>
      <c r="EXS41" s="543"/>
      <c r="EXT41" s="543"/>
      <c r="EXU41" s="543"/>
      <c r="EXV41" s="543"/>
      <c r="EXW41" s="543"/>
      <c r="EXX41" s="543"/>
      <c r="EXY41" s="543"/>
      <c r="EXZ41" s="543"/>
      <c r="EYA41" s="543"/>
      <c r="EYB41" s="543"/>
      <c r="EYC41" s="543"/>
      <c r="EYD41" s="543"/>
      <c r="EYE41" s="543"/>
      <c r="EYF41" s="543"/>
      <c r="EYG41" s="543"/>
      <c r="EYH41" s="543"/>
      <c r="EYI41" s="543"/>
      <c r="EYJ41" s="543"/>
      <c r="EYK41" s="543"/>
      <c r="EYL41" s="543"/>
      <c r="EYM41" s="543"/>
      <c r="EYN41" s="543"/>
      <c r="EYO41" s="543"/>
      <c r="EYP41" s="543"/>
      <c r="EYQ41" s="543"/>
      <c r="EYR41" s="543"/>
      <c r="EYS41" s="543"/>
      <c r="EYT41" s="543"/>
      <c r="EYU41" s="543"/>
      <c r="EYV41" s="543"/>
      <c r="EYW41" s="543"/>
      <c r="EYX41" s="543"/>
      <c r="EYY41" s="543"/>
      <c r="EYZ41" s="543"/>
      <c r="EZA41" s="543"/>
      <c r="EZB41" s="543"/>
      <c r="EZC41" s="543"/>
      <c r="EZD41" s="543"/>
      <c r="EZE41" s="543"/>
      <c r="EZF41" s="543"/>
      <c r="EZG41" s="543"/>
      <c r="EZH41" s="543"/>
      <c r="EZI41" s="543"/>
      <c r="EZJ41" s="543"/>
      <c r="EZK41" s="543"/>
      <c r="EZL41" s="543"/>
      <c r="EZM41" s="543"/>
      <c r="EZN41" s="543"/>
      <c r="EZO41" s="543"/>
      <c r="EZP41" s="543"/>
      <c r="EZQ41" s="543"/>
      <c r="EZR41" s="543"/>
      <c r="EZS41" s="543"/>
      <c r="EZT41" s="543"/>
      <c r="EZU41" s="543"/>
      <c r="EZV41" s="543"/>
      <c r="EZW41" s="543"/>
      <c r="EZX41" s="543"/>
      <c r="EZY41" s="543"/>
      <c r="EZZ41" s="543"/>
      <c r="FAA41" s="543"/>
      <c r="FAB41" s="543"/>
      <c r="FAC41" s="543"/>
      <c r="FAD41" s="543"/>
      <c r="FAE41" s="543"/>
      <c r="FAF41" s="543"/>
      <c r="FAG41" s="543"/>
      <c r="FAH41" s="543"/>
      <c r="FAI41" s="543"/>
      <c r="FAJ41" s="543"/>
      <c r="FAK41" s="543"/>
      <c r="FAL41" s="543"/>
      <c r="FAM41" s="543"/>
      <c r="FAN41" s="543"/>
      <c r="FAO41" s="543"/>
      <c r="FAP41" s="543"/>
      <c r="FAQ41" s="543"/>
      <c r="FAR41" s="543"/>
      <c r="FAS41" s="543"/>
      <c r="FAT41" s="543"/>
      <c r="FAU41" s="543"/>
      <c r="FAV41" s="543"/>
      <c r="FAW41" s="543"/>
      <c r="FAX41" s="543"/>
      <c r="FAY41" s="543"/>
      <c r="FAZ41" s="543"/>
      <c r="FBA41" s="543"/>
      <c r="FBB41" s="543"/>
      <c r="FBC41" s="543"/>
      <c r="FBD41" s="543"/>
      <c r="FBE41" s="543"/>
      <c r="FBF41" s="543"/>
      <c r="FBG41" s="543"/>
      <c r="FBH41" s="543"/>
      <c r="FBI41" s="543"/>
      <c r="FBJ41" s="543"/>
      <c r="FBK41" s="543"/>
      <c r="FBL41" s="543"/>
      <c r="FBM41" s="543"/>
      <c r="FBN41" s="543"/>
      <c r="FBO41" s="543"/>
      <c r="FBP41" s="543"/>
      <c r="FBQ41" s="543"/>
      <c r="FBR41" s="543"/>
      <c r="FBS41" s="543"/>
      <c r="FBT41" s="543"/>
      <c r="FBU41" s="543"/>
      <c r="FBV41" s="543"/>
      <c r="FBW41" s="543"/>
      <c r="FBX41" s="543"/>
      <c r="FBY41" s="543"/>
      <c r="FBZ41" s="543"/>
      <c r="FCA41" s="543"/>
      <c r="FCB41" s="543"/>
      <c r="FCC41" s="543"/>
      <c r="FCD41" s="543"/>
      <c r="FCE41" s="543"/>
      <c r="FCF41" s="543"/>
      <c r="FCG41" s="543"/>
      <c r="FCH41" s="543"/>
      <c r="FCI41" s="543"/>
      <c r="FCJ41" s="543"/>
      <c r="FCK41" s="543"/>
      <c r="FCL41" s="543"/>
      <c r="FCM41" s="543"/>
      <c r="FCN41" s="543"/>
      <c r="FCO41" s="543"/>
      <c r="FCP41" s="543"/>
      <c r="FCQ41" s="543"/>
      <c r="FCR41" s="543"/>
      <c r="FCS41" s="543"/>
      <c r="FCT41" s="543"/>
      <c r="FCU41" s="543"/>
      <c r="FCV41" s="543"/>
      <c r="FCW41" s="543"/>
      <c r="FCX41" s="543"/>
      <c r="FCY41" s="543"/>
      <c r="FCZ41" s="543"/>
      <c r="FDA41" s="543"/>
      <c r="FDB41" s="543"/>
      <c r="FDC41" s="543"/>
      <c r="FDD41" s="543"/>
      <c r="FDE41" s="543"/>
      <c r="FDF41" s="543"/>
      <c r="FDG41" s="543"/>
      <c r="FDH41" s="543"/>
      <c r="FDI41" s="543"/>
      <c r="FDJ41" s="543"/>
      <c r="FDK41" s="543"/>
      <c r="FDL41" s="543"/>
      <c r="FDM41" s="543"/>
      <c r="FDN41" s="543"/>
      <c r="FDO41" s="543"/>
      <c r="FDP41" s="543"/>
      <c r="FDQ41" s="543"/>
      <c r="FDR41" s="543"/>
      <c r="FDS41" s="543"/>
      <c r="FDT41" s="543"/>
      <c r="FDU41" s="543"/>
      <c r="FDV41" s="543"/>
      <c r="FDW41" s="543"/>
      <c r="FDX41" s="543"/>
      <c r="FDY41" s="543"/>
      <c r="FDZ41" s="543"/>
      <c r="FEA41" s="543"/>
      <c r="FEB41" s="543"/>
      <c r="FEC41" s="543"/>
      <c r="FED41" s="543"/>
      <c r="FEE41" s="543"/>
      <c r="FEF41" s="543"/>
      <c r="FEG41" s="543"/>
      <c r="FEH41" s="543"/>
      <c r="FEI41" s="543"/>
      <c r="FEJ41" s="543"/>
      <c r="FEK41" s="543"/>
      <c r="FEL41" s="543"/>
      <c r="FEM41" s="543"/>
      <c r="FEN41" s="543"/>
      <c r="FEO41" s="543"/>
      <c r="FEP41" s="543"/>
      <c r="FEQ41" s="543"/>
      <c r="FER41" s="543"/>
      <c r="FES41" s="543"/>
      <c r="FET41" s="543"/>
      <c r="FEU41" s="543"/>
      <c r="FEV41" s="543"/>
      <c r="FEW41" s="543"/>
      <c r="FEX41" s="543"/>
      <c r="FEY41" s="543"/>
      <c r="FEZ41" s="543"/>
      <c r="FFA41" s="543"/>
      <c r="FFB41" s="543"/>
      <c r="FFC41" s="543"/>
      <c r="FFD41" s="543"/>
      <c r="FFE41" s="543"/>
      <c r="FFF41" s="543"/>
      <c r="FFG41" s="543"/>
      <c r="FFH41" s="543"/>
      <c r="FFI41" s="543"/>
      <c r="FFJ41" s="543"/>
      <c r="FFK41" s="543"/>
      <c r="FFL41" s="543"/>
      <c r="FFM41" s="543"/>
      <c r="FFN41" s="543"/>
      <c r="FFO41" s="543"/>
      <c r="FFP41" s="543"/>
      <c r="FFQ41" s="543"/>
      <c r="FFR41" s="543"/>
      <c r="FFS41" s="543"/>
      <c r="FFT41" s="543"/>
      <c r="FFU41" s="543"/>
      <c r="FFV41" s="543"/>
      <c r="FFW41" s="543"/>
      <c r="FFX41" s="543"/>
      <c r="FFY41" s="543"/>
      <c r="FFZ41" s="543"/>
      <c r="FGA41" s="543"/>
      <c r="FGB41" s="543"/>
      <c r="FGC41" s="543"/>
      <c r="FGD41" s="543"/>
      <c r="FGE41" s="543"/>
      <c r="FGF41" s="543"/>
      <c r="FGG41" s="543"/>
      <c r="FGH41" s="543"/>
      <c r="FGI41" s="543"/>
      <c r="FGJ41" s="543"/>
      <c r="FGK41" s="543"/>
      <c r="FGL41" s="543"/>
      <c r="FGM41" s="543"/>
      <c r="FGN41" s="543"/>
      <c r="FGO41" s="543"/>
      <c r="FGP41" s="543"/>
      <c r="FGQ41" s="543"/>
      <c r="FGR41" s="543"/>
      <c r="FGS41" s="543"/>
      <c r="FGT41" s="543"/>
      <c r="FGU41" s="543"/>
      <c r="FGV41" s="543"/>
      <c r="FGW41" s="543"/>
      <c r="FGX41" s="543"/>
      <c r="FGY41" s="543"/>
      <c r="FGZ41" s="543"/>
      <c r="FHA41" s="543"/>
      <c r="FHB41" s="543"/>
      <c r="FHC41" s="543"/>
      <c r="FHD41" s="543"/>
      <c r="FHE41" s="543"/>
      <c r="FHF41" s="543"/>
      <c r="FHG41" s="543"/>
      <c r="FHH41" s="543"/>
      <c r="FHI41" s="543"/>
      <c r="FHJ41" s="543"/>
      <c r="FHK41" s="543"/>
      <c r="FHL41" s="543"/>
      <c r="FHM41" s="543"/>
      <c r="FHN41" s="543"/>
      <c r="FHO41" s="543"/>
      <c r="FHP41" s="543"/>
      <c r="FHQ41" s="543"/>
      <c r="FHR41" s="543"/>
      <c r="FHS41" s="543"/>
      <c r="FHT41" s="543"/>
      <c r="FHU41" s="543"/>
      <c r="FHV41" s="543"/>
      <c r="FHW41" s="543"/>
      <c r="FHX41" s="543"/>
      <c r="FHY41" s="543"/>
      <c r="FHZ41" s="543"/>
      <c r="FIA41" s="543"/>
      <c r="FIB41" s="543"/>
      <c r="FIC41" s="543"/>
      <c r="FID41" s="543"/>
      <c r="FIE41" s="543"/>
      <c r="FIF41" s="543"/>
      <c r="FIG41" s="543"/>
      <c r="FIH41" s="543"/>
      <c r="FII41" s="543"/>
      <c r="FIJ41" s="543"/>
      <c r="FIK41" s="543"/>
      <c r="FIL41" s="543"/>
      <c r="FIM41" s="543"/>
      <c r="FIN41" s="543"/>
      <c r="FIO41" s="543"/>
      <c r="FIP41" s="543"/>
      <c r="FIQ41" s="543"/>
      <c r="FIR41" s="543"/>
      <c r="FIS41" s="543"/>
      <c r="FIT41" s="543"/>
      <c r="FIU41" s="543"/>
      <c r="FIV41" s="543"/>
      <c r="FIW41" s="543"/>
      <c r="FIX41" s="543"/>
      <c r="FIY41" s="543"/>
      <c r="FIZ41" s="543"/>
      <c r="FJA41" s="543"/>
      <c r="FJB41" s="543"/>
      <c r="FJC41" s="543"/>
      <c r="FJD41" s="543"/>
      <c r="FJE41" s="543"/>
      <c r="FJF41" s="543"/>
      <c r="FJG41" s="543"/>
      <c r="FJH41" s="543"/>
      <c r="FJI41" s="543"/>
      <c r="FJJ41" s="543"/>
      <c r="FJK41" s="543"/>
      <c r="FJL41" s="543"/>
      <c r="FJM41" s="543"/>
      <c r="FJN41" s="543"/>
      <c r="FJO41" s="543"/>
      <c r="FJP41" s="543"/>
      <c r="FJQ41" s="543"/>
      <c r="FJR41" s="543"/>
      <c r="FJS41" s="543"/>
      <c r="FJT41" s="543"/>
      <c r="FJU41" s="543"/>
      <c r="FJV41" s="543"/>
      <c r="FJW41" s="543"/>
      <c r="FJX41" s="543"/>
      <c r="FJY41" s="543"/>
      <c r="FJZ41" s="543"/>
      <c r="FKA41" s="543"/>
      <c r="FKB41" s="543"/>
      <c r="FKC41" s="543"/>
      <c r="FKD41" s="543"/>
      <c r="FKE41" s="543"/>
      <c r="FKF41" s="543"/>
      <c r="FKG41" s="543"/>
      <c r="FKH41" s="543"/>
      <c r="FKI41" s="543"/>
      <c r="FKJ41" s="543"/>
      <c r="FKK41" s="543"/>
      <c r="FKL41" s="543"/>
      <c r="FKM41" s="543"/>
      <c r="FKN41" s="543"/>
      <c r="FKO41" s="543"/>
      <c r="FKP41" s="543"/>
      <c r="FKQ41" s="543"/>
      <c r="FKR41" s="543"/>
      <c r="FKS41" s="543"/>
      <c r="FKT41" s="543"/>
      <c r="FKU41" s="543"/>
      <c r="FKV41" s="543"/>
      <c r="FKW41" s="543"/>
      <c r="FKX41" s="543"/>
      <c r="FKY41" s="543"/>
      <c r="FKZ41" s="543"/>
      <c r="FLA41" s="543"/>
      <c r="FLB41" s="543"/>
      <c r="FLC41" s="543"/>
      <c r="FLD41" s="543"/>
      <c r="FLE41" s="543"/>
      <c r="FLF41" s="543"/>
      <c r="FLG41" s="543"/>
      <c r="FLH41" s="543"/>
      <c r="FLI41" s="543"/>
      <c r="FLJ41" s="543"/>
      <c r="FLK41" s="543"/>
      <c r="FLL41" s="543"/>
      <c r="FLM41" s="543"/>
      <c r="FLN41" s="543"/>
      <c r="FLO41" s="543"/>
      <c r="FLP41" s="543"/>
      <c r="FLQ41" s="543"/>
      <c r="FLR41" s="543"/>
      <c r="FLS41" s="543"/>
      <c r="FLT41" s="543"/>
      <c r="FLU41" s="543"/>
      <c r="FLV41" s="543"/>
      <c r="FLW41" s="543"/>
      <c r="FLX41" s="543"/>
      <c r="FLY41" s="543"/>
      <c r="FLZ41" s="543"/>
      <c r="FMA41" s="543"/>
      <c r="FMB41" s="543"/>
      <c r="FMC41" s="543"/>
      <c r="FMD41" s="543"/>
      <c r="FME41" s="543"/>
      <c r="FMF41" s="543"/>
      <c r="FMG41" s="543"/>
      <c r="FMH41" s="543"/>
      <c r="FMI41" s="543"/>
      <c r="FMJ41" s="543"/>
      <c r="FMK41" s="543"/>
      <c r="FML41" s="543"/>
      <c r="FMM41" s="543"/>
      <c r="FMN41" s="543"/>
      <c r="FMO41" s="543"/>
      <c r="FMP41" s="543"/>
      <c r="FMQ41" s="543"/>
      <c r="FMR41" s="543"/>
      <c r="FMS41" s="543"/>
      <c r="FMT41" s="543"/>
      <c r="FMU41" s="543"/>
      <c r="FMV41" s="543"/>
      <c r="FMW41" s="543"/>
      <c r="FMX41" s="543"/>
      <c r="FMY41" s="543"/>
      <c r="FMZ41" s="543"/>
      <c r="FNA41" s="543"/>
      <c r="FNB41" s="543"/>
      <c r="FNC41" s="543"/>
      <c r="FND41" s="543"/>
      <c r="FNE41" s="543"/>
      <c r="FNF41" s="543"/>
      <c r="FNG41" s="543"/>
      <c r="FNH41" s="543"/>
      <c r="FNI41" s="543"/>
      <c r="FNJ41" s="543"/>
      <c r="FNK41" s="543"/>
      <c r="FNL41" s="543"/>
      <c r="FNM41" s="543"/>
      <c r="FNN41" s="543"/>
      <c r="FNO41" s="543"/>
      <c r="FNP41" s="543"/>
      <c r="FNQ41" s="543"/>
      <c r="FNR41" s="543"/>
      <c r="FNS41" s="543"/>
      <c r="FNT41" s="543"/>
      <c r="FNU41" s="543"/>
      <c r="FNV41" s="543"/>
      <c r="FNW41" s="543"/>
      <c r="FNX41" s="543"/>
      <c r="FNY41" s="543"/>
      <c r="FNZ41" s="543"/>
      <c r="FOA41" s="543"/>
      <c r="FOB41" s="543"/>
      <c r="FOC41" s="543"/>
      <c r="FOD41" s="543"/>
      <c r="FOE41" s="543"/>
      <c r="FOF41" s="543"/>
      <c r="FOG41" s="543"/>
      <c r="FOH41" s="543"/>
      <c r="FOI41" s="543"/>
      <c r="FOJ41" s="543"/>
      <c r="FOK41" s="543"/>
      <c r="FOL41" s="543"/>
      <c r="FOM41" s="543"/>
      <c r="FON41" s="543"/>
      <c r="FOO41" s="543"/>
      <c r="FOP41" s="543"/>
      <c r="FOQ41" s="543"/>
      <c r="FOR41" s="543"/>
      <c r="FOS41" s="543"/>
      <c r="FOT41" s="543"/>
      <c r="FOU41" s="543"/>
      <c r="FOV41" s="543"/>
      <c r="FOW41" s="543"/>
      <c r="FOX41" s="543"/>
      <c r="FOY41" s="543"/>
      <c r="FOZ41" s="543"/>
      <c r="FPA41" s="543"/>
      <c r="FPB41" s="543"/>
      <c r="FPC41" s="543"/>
      <c r="FPD41" s="543"/>
      <c r="FPE41" s="543"/>
      <c r="FPF41" s="543"/>
      <c r="FPG41" s="543"/>
      <c r="FPH41" s="543"/>
      <c r="FPI41" s="543"/>
      <c r="FPJ41" s="543"/>
      <c r="FPK41" s="543"/>
      <c r="FPL41" s="543"/>
      <c r="FPM41" s="543"/>
      <c r="FPN41" s="543"/>
      <c r="FPO41" s="543"/>
      <c r="FPP41" s="543"/>
      <c r="FPQ41" s="543"/>
      <c r="FPR41" s="543"/>
      <c r="FPS41" s="543"/>
      <c r="FPT41" s="543"/>
      <c r="FPU41" s="543"/>
      <c r="FPV41" s="543"/>
      <c r="FPW41" s="543"/>
      <c r="FPX41" s="543"/>
      <c r="FPY41" s="543"/>
      <c r="FPZ41" s="543"/>
      <c r="FQA41" s="543"/>
      <c r="FQB41" s="543"/>
      <c r="FQC41" s="543"/>
      <c r="FQD41" s="543"/>
      <c r="FQE41" s="543"/>
      <c r="FQF41" s="543"/>
      <c r="FQG41" s="543"/>
      <c r="FQH41" s="543"/>
      <c r="FQI41" s="543"/>
      <c r="FQJ41" s="543"/>
      <c r="FQK41" s="543"/>
      <c r="FQL41" s="543"/>
      <c r="FQM41" s="543"/>
      <c r="FQN41" s="543"/>
      <c r="FQO41" s="543"/>
      <c r="FQP41" s="543"/>
      <c r="FQQ41" s="543"/>
      <c r="FQR41" s="543"/>
      <c r="FQS41" s="543"/>
      <c r="FQT41" s="543"/>
      <c r="FQU41" s="543"/>
      <c r="FQV41" s="543"/>
      <c r="FQW41" s="543"/>
      <c r="FQX41" s="543"/>
      <c r="FQY41" s="543"/>
      <c r="FQZ41" s="543"/>
      <c r="FRA41" s="543"/>
      <c r="FRB41" s="543"/>
      <c r="FRC41" s="543"/>
      <c r="FRD41" s="543"/>
      <c r="FRE41" s="543"/>
      <c r="FRF41" s="543"/>
      <c r="FRG41" s="543"/>
      <c r="FRH41" s="543"/>
      <c r="FRI41" s="543"/>
      <c r="FRJ41" s="543"/>
      <c r="FRK41" s="543"/>
      <c r="FRL41" s="543"/>
      <c r="FRM41" s="543"/>
      <c r="FRN41" s="543"/>
      <c r="FRO41" s="543"/>
      <c r="FRP41" s="543"/>
      <c r="FRQ41" s="543"/>
      <c r="FRR41" s="543"/>
      <c r="FRS41" s="543"/>
      <c r="FRT41" s="543"/>
      <c r="FRU41" s="543"/>
      <c r="FRV41" s="543"/>
      <c r="FRW41" s="543"/>
      <c r="FRX41" s="543"/>
      <c r="FRY41" s="543"/>
      <c r="FRZ41" s="543"/>
      <c r="FSA41" s="543"/>
      <c r="FSB41" s="543"/>
      <c r="FSC41" s="543"/>
      <c r="FSD41" s="543"/>
      <c r="FSE41" s="543"/>
      <c r="FSF41" s="543"/>
      <c r="FSG41" s="543"/>
      <c r="FSH41" s="543"/>
      <c r="FSI41" s="543"/>
      <c r="FSJ41" s="543"/>
      <c r="FSK41" s="543"/>
      <c r="FSL41" s="543"/>
      <c r="FSM41" s="543"/>
      <c r="FSN41" s="543"/>
      <c r="FSO41" s="543"/>
      <c r="FSP41" s="543"/>
      <c r="FSQ41" s="543"/>
      <c r="FSR41" s="543"/>
      <c r="FSS41" s="543"/>
      <c r="FST41" s="543"/>
      <c r="FSU41" s="543"/>
      <c r="FSV41" s="543"/>
      <c r="FSW41" s="543"/>
      <c r="FSX41" s="543"/>
      <c r="FSY41" s="543"/>
      <c r="FSZ41" s="543"/>
      <c r="FTA41" s="543"/>
      <c r="FTB41" s="543"/>
      <c r="FTC41" s="543"/>
      <c r="FTD41" s="543"/>
      <c r="FTE41" s="543"/>
      <c r="FTF41" s="543"/>
      <c r="FTG41" s="543"/>
      <c r="FTH41" s="543"/>
      <c r="FTI41" s="543"/>
      <c r="FTJ41" s="543"/>
      <c r="FTK41" s="543"/>
      <c r="FTL41" s="543"/>
      <c r="FTM41" s="543"/>
      <c r="FTN41" s="543"/>
      <c r="FTO41" s="543"/>
      <c r="FTP41" s="543"/>
      <c r="FTQ41" s="543"/>
      <c r="FTR41" s="543"/>
      <c r="FTS41" s="543"/>
      <c r="FTT41" s="543"/>
      <c r="FTU41" s="543"/>
      <c r="FTV41" s="543"/>
      <c r="FTW41" s="543"/>
      <c r="FTX41" s="543"/>
      <c r="FTY41" s="543"/>
      <c r="FTZ41" s="543"/>
      <c r="FUA41" s="543"/>
      <c r="FUB41" s="543"/>
      <c r="FUC41" s="543"/>
      <c r="FUD41" s="543"/>
      <c r="FUE41" s="543"/>
      <c r="FUF41" s="543"/>
      <c r="FUG41" s="543"/>
      <c r="FUH41" s="543"/>
      <c r="FUI41" s="543"/>
      <c r="FUJ41" s="543"/>
      <c r="FUK41" s="543"/>
      <c r="FUL41" s="543"/>
      <c r="FUM41" s="543"/>
      <c r="FUN41" s="543"/>
      <c r="FUO41" s="543"/>
      <c r="FUP41" s="543"/>
      <c r="FUQ41" s="543"/>
      <c r="FUR41" s="543"/>
      <c r="FUS41" s="543"/>
      <c r="FUT41" s="543"/>
      <c r="FUU41" s="543"/>
      <c r="FUV41" s="543"/>
      <c r="FUW41" s="543"/>
      <c r="FUX41" s="543"/>
      <c r="FUY41" s="543"/>
      <c r="FUZ41" s="543"/>
      <c r="FVA41" s="543"/>
      <c r="FVB41" s="543"/>
      <c r="FVC41" s="543"/>
      <c r="FVD41" s="543"/>
      <c r="FVE41" s="543"/>
      <c r="FVF41" s="543"/>
      <c r="FVG41" s="543"/>
      <c r="FVH41" s="543"/>
      <c r="FVI41" s="543"/>
      <c r="FVJ41" s="543"/>
      <c r="FVK41" s="543"/>
      <c r="FVL41" s="543"/>
      <c r="FVM41" s="543"/>
      <c r="FVN41" s="543"/>
      <c r="FVO41" s="543"/>
      <c r="FVP41" s="543"/>
      <c r="FVQ41" s="543"/>
      <c r="FVR41" s="543"/>
      <c r="FVS41" s="543"/>
      <c r="FVT41" s="543"/>
      <c r="FVU41" s="543"/>
      <c r="FVV41" s="543"/>
      <c r="FVW41" s="543"/>
      <c r="FVX41" s="543"/>
      <c r="FVY41" s="543"/>
      <c r="FVZ41" s="543"/>
      <c r="FWA41" s="543"/>
      <c r="FWB41" s="543"/>
      <c r="FWC41" s="543"/>
      <c r="FWD41" s="543"/>
      <c r="FWE41" s="543"/>
      <c r="FWF41" s="543"/>
      <c r="FWG41" s="543"/>
      <c r="FWH41" s="543"/>
      <c r="FWI41" s="543"/>
      <c r="FWJ41" s="543"/>
      <c r="FWK41" s="543"/>
      <c r="FWL41" s="543"/>
      <c r="FWM41" s="543"/>
      <c r="FWN41" s="543"/>
      <c r="FWO41" s="543"/>
      <c r="FWP41" s="543"/>
      <c r="FWQ41" s="543"/>
      <c r="FWR41" s="543"/>
      <c r="FWS41" s="543"/>
      <c r="FWT41" s="543"/>
      <c r="FWU41" s="543"/>
      <c r="FWV41" s="543"/>
      <c r="FWW41" s="543"/>
      <c r="FWX41" s="543"/>
      <c r="FWY41" s="543"/>
      <c r="FWZ41" s="543"/>
      <c r="FXA41" s="543"/>
      <c r="FXB41" s="543"/>
      <c r="FXC41" s="543"/>
      <c r="FXD41" s="543"/>
      <c r="FXE41" s="543"/>
      <c r="FXF41" s="543"/>
      <c r="FXG41" s="543"/>
      <c r="FXH41" s="543"/>
      <c r="FXI41" s="543"/>
      <c r="FXJ41" s="543"/>
      <c r="FXK41" s="543"/>
      <c r="FXL41" s="543"/>
      <c r="FXM41" s="543"/>
      <c r="FXN41" s="543"/>
      <c r="FXO41" s="543"/>
      <c r="FXP41" s="543"/>
      <c r="FXQ41" s="543"/>
      <c r="FXR41" s="543"/>
      <c r="FXS41" s="543"/>
      <c r="FXT41" s="543"/>
      <c r="FXU41" s="543"/>
      <c r="FXV41" s="543"/>
      <c r="FXW41" s="543"/>
      <c r="FXX41" s="543"/>
      <c r="FXY41" s="543"/>
      <c r="FXZ41" s="543"/>
      <c r="FYA41" s="543"/>
      <c r="FYB41" s="543"/>
      <c r="FYC41" s="543"/>
      <c r="FYD41" s="543"/>
      <c r="FYE41" s="543"/>
      <c r="FYF41" s="543"/>
      <c r="FYG41" s="543"/>
      <c r="FYH41" s="543"/>
      <c r="FYI41" s="543"/>
      <c r="FYJ41" s="543"/>
      <c r="FYK41" s="543"/>
      <c r="FYL41" s="543"/>
      <c r="FYM41" s="543"/>
      <c r="FYN41" s="543"/>
      <c r="FYO41" s="543"/>
      <c r="FYP41" s="543"/>
      <c r="FYQ41" s="543"/>
      <c r="FYR41" s="543"/>
      <c r="FYS41" s="543"/>
      <c r="FYT41" s="543"/>
      <c r="FYU41" s="543"/>
      <c r="FYV41" s="543"/>
      <c r="FYW41" s="543"/>
      <c r="FYX41" s="543"/>
      <c r="FYY41" s="543"/>
      <c r="FYZ41" s="543"/>
      <c r="FZA41" s="543"/>
      <c r="FZB41" s="543"/>
      <c r="FZC41" s="543"/>
      <c r="FZD41" s="543"/>
      <c r="FZE41" s="543"/>
      <c r="FZF41" s="543"/>
      <c r="FZG41" s="543"/>
      <c r="FZH41" s="543"/>
      <c r="FZI41" s="543"/>
      <c r="FZJ41" s="543"/>
      <c r="FZK41" s="543"/>
      <c r="FZL41" s="543"/>
      <c r="FZM41" s="543"/>
      <c r="FZN41" s="543"/>
      <c r="FZO41" s="543"/>
      <c r="FZP41" s="543"/>
      <c r="FZQ41" s="543"/>
      <c r="FZR41" s="543"/>
      <c r="FZS41" s="543"/>
      <c r="FZT41" s="543"/>
      <c r="FZU41" s="543"/>
      <c r="FZV41" s="543"/>
      <c r="FZW41" s="543"/>
      <c r="FZX41" s="543"/>
      <c r="FZY41" s="543"/>
      <c r="FZZ41" s="543"/>
      <c r="GAA41" s="543"/>
      <c r="GAB41" s="543"/>
      <c r="GAC41" s="543"/>
      <c r="GAD41" s="543"/>
      <c r="GAE41" s="543"/>
      <c r="GAF41" s="543"/>
      <c r="GAG41" s="543"/>
      <c r="GAH41" s="543"/>
      <c r="GAI41" s="543"/>
      <c r="GAJ41" s="543"/>
      <c r="GAK41" s="543"/>
      <c r="GAL41" s="543"/>
      <c r="GAM41" s="543"/>
      <c r="GAN41" s="543"/>
      <c r="GAO41" s="543"/>
      <c r="GAP41" s="543"/>
      <c r="GAQ41" s="543"/>
      <c r="GAR41" s="543"/>
      <c r="GAS41" s="543"/>
      <c r="GAT41" s="543"/>
      <c r="GAU41" s="543"/>
      <c r="GAV41" s="543"/>
      <c r="GAW41" s="543"/>
      <c r="GAX41" s="543"/>
      <c r="GAY41" s="543"/>
      <c r="GAZ41" s="543"/>
      <c r="GBA41" s="543"/>
      <c r="GBB41" s="543"/>
      <c r="GBC41" s="543"/>
      <c r="GBD41" s="543"/>
      <c r="GBE41" s="543"/>
      <c r="GBF41" s="543"/>
      <c r="GBG41" s="543"/>
      <c r="GBH41" s="543"/>
      <c r="GBI41" s="543"/>
      <c r="GBJ41" s="543"/>
      <c r="GBK41" s="543"/>
      <c r="GBL41" s="543"/>
      <c r="GBM41" s="543"/>
      <c r="GBN41" s="543"/>
      <c r="GBO41" s="543"/>
      <c r="GBP41" s="543"/>
      <c r="GBQ41" s="543"/>
      <c r="GBR41" s="543"/>
      <c r="GBS41" s="543"/>
      <c r="GBT41" s="543"/>
      <c r="GBU41" s="543"/>
      <c r="GBV41" s="543"/>
      <c r="GBW41" s="543"/>
      <c r="GBX41" s="543"/>
      <c r="GBY41" s="543"/>
      <c r="GBZ41" s="543"/>
      <c r="GCA41" s="543"/>
      <c r="GCB41" s="543"/>
      <c r="GCC41" s="543"/>
      <c r="GCD41" s="543"/>
      <c r="GCE41" s="543"/>
      <c r="GCF41" s="543"/>
      <c r="GCG41" s="543"/>
      <c r="GCH41" s="543"/>
      <c r="GCI41" s="543"/>
      <c r="GCJ41" s="543"/>
      <c r="GCK41" s="543"/>
      <c r="GCL41" s="543"/>
      <c r="GCM41" s="543"/>
      <c r="GCN41" s="543"/>
      <c r="GCO41" s="543"/>
      <c r="GCP41" s="543"/>
      <c r="GCQ41" s="543"/>
      <c r="GCR41" s="543"/>
      <c r="GCS41" s="543"/>
      <c r="GCT41" s="543"/>
      <c r="GCU41" s="543"/>
      <c r="GCV41" s="543"/>
      <c r="GCW41" s="543"/>
      <c r="GCX41" s="543"/>
      <c r="GCY41" s="543"/>
      <c r="GCZ41" s="543"/>
      <c r="GDA41" s="543"/>
      <c r="GDB41" s="543"/>
      <c r="GDC41" s="543"/>
      <c r="GDD41" s="543"/>
      <c r="GDE41" s="543"/>
      <c r="GDF41" s="543"/>
      <c r="GDG41" s="543"/>
      <c r="GDH41" s="543"/>
      <c r="GDI41" s="543"/>
      <c r="GDJ41" s="543"/>
      <c r="GDK41" s="543"/>
      <c r="GDL41" s="543"/>
      <c r="GDM41" s="543"/>
      <c r="GDN41" s="543"/>
      <c r="GDO41" s="543"/>
      <c r="GDP41" s="543"/>
      <c r="GDQ41" s="543"/>
      <c r="GDR41" s="543"/>
      <c r="GDS41" s="543"/>
      <c r="GDT41" s="543"/>
      <c r="GDU41" s="543"/>
      <c r="GDV41" s="543"/>
      <c r="GDW41" s="543"/>
      <c r="GDX41" s="543"/>
      <c r="GDY41" s="543"/>
      <c r="GDZ41" s="543"/>
      <c r="GEA41" s="543"/>
      <c r="GEB41" s="543"/>
      <c r="GEC41" s="543"/>
      <c r="GED41" s="543"/>
      <c r="GEE41" s="543"/>
      <c r="GEF41" s="543"/>
      <c r="GEG41" s="543"/>
      <c r="GEH41" s="543"/>
      <c r="GEI41" s="543"/>
      <c r="GEJ41" s="543"/>
      <c r="GEK41" s="543"/>
      <c r="GEL41" s="543"/>
      <c r="GEM41" s="543"/>
      <c r="GEN41" s="543"/>
      <c r="GEO41" s="543"/>
      <c r="GEP41" s="543"/>
      <c r="GEQ41" s="543"/>
      <c r="GER41" s="543"/>
      <c r="GES41" s="543"/>
      <c r="GET41" s="543"/>
      <c r="GEU41" s="543"/>
      <c r="GEV41" s="543"/>
      <c r="GEW41" s="543"/>
      <c r="GEX41" s="543"/>
      <c r="GEY41" s="543"/>
      <c r="GEZ41" s="543"/>
      <c r="GFA41" s="543"/>
      <c r="GFB41" s="543"/>
      <c r="GFC41" s="543"/>
      <c r="GFD41" s="543"/>
      <c r="GFE41" s="543"/>
      <c r="GFF41" s="543"/>
      <c r="GFG41" s="543"/>
      <c r="GFH41" s="543"/>
      <c r="GFI41" s="543"/>
      <c r="GFJ41" s="543"/>
      <c r="GFK41" s="543"/>
      <c r="GFL41" s="543"/>
      <c r="GFM41" s="543"/>
      <c r="GFN41" s="543"/>
      <c r="GFO41" s="543"/>
      <c r="GFP41" s="543"/>
      <c r="GFQ41" s="543"/>
      <c r="GFR41" s="543"/>
      <c r="GFS41" s="543"/>
      <c r="GFT41" s="543"/>
      <c r="GFU41" s="543"/>
      <c r="GFV41" s="543"/>
      <c r="GFW41" s="543"/>
      <c r="GFX41" s="543"/>
      <c r="GFY41" s="543"/>
      <c r="GFZ41" s="543"/>
      <c r="GGA41" s="543"/>
      <c r="GGB41" s="543"/>
      <c r="GGC41" s="543"/>
      <c r="GGD41" s="543"/>
      <c r="GGE41" s="543"/>
      <c r="GGF41" s="543"/>
      <c r="GGG41" s="543"/>
      <c r="GGH41" s="543"/>
      <c r="GGI41" s="543"/>
      <c r="GGJ41" s="543"/>
      <c r="GGK41" s="543"/>
      <c r="GGL41" s="543"/>
      <c r="GGM41" s="543"/>
      <c r="GGN41" s="543"/>
      <c r="GGO41" s="543"/>
      <c r="GGP41" s="543"/>
      <c r="GGQ41" s="543"/>
      <c r="GGR41" s="543"/>
      <c r="GGS41" s="543"/>
      <c r="GGT41" s="543"/>
      <c r="GGU41" s="543"/>
      <c r="GGV41" s="543"/>
      <c r="GGW41" s="543"/>
      <c r="GGX41" s="543"/>
      <c r="GGY41" s="543"/>
      <c r="GGZ41" s="543"/>
      <c r="GHA41" s="543"/>
      <c r="GHB41" s="543"/>
      <c r="GHC41" s="543"/>
      <c r="GHD41" s="543"/>
      <c r="GHE41" s="543"/>
      <c r="GHF41" s="543"/>
      <c r="GHG41" s="543"/>
      <c r="GHH41" s="543"/>
      <c r="GHI41" s="543"/>
      <c r="GHJ41" s="543"/>
      <c r="GHK41" s="543"/>
      <c r="GHL41" s="543"/>
      <c r="GHM41" s="543"/>
      <c r="GHN41" s="543"/>
      <c r="GHO41" s="543"/>
      <c r="GHP41" s="543"/>
      <c r="GHQ41" s="543"/>
      <c r="GHR41" s="543"/>
      <c r="GHS41" s="543"/>
      <c r="GHT41" s="543"/>
      <c r="GHU41" s="543"/>
      <c r="GHV41" s="543"/>
      <c r="GHW41" s="543"/>
      <c r="GHX41" s="543"/>
      <c r="GHY41" s="543"/>
      <c r="GHZ41" s="543"/>
      <c r="GIA41" s="543"/>
      <c r="GIB41" s="543"/>
      <c r="GIC41" s="543"/>
      <c r="GID41" s="543"/>
      <c r="GIE41" s="543"/>
      <c r="GIF41" s="543"/>
      <c r="GIG41" s="543"/>
      <c r="GIH41" s="543"/>
      <c r="GII41" s="543"/>
      <c r="GIJ41" s="543"/>
      <c r="GIK41" s="543"/>
      <c r="GIL41" s="543"/>
      <c r="GIM41" s="543"/>
      <c r="GIN41" s="543"/>
      <c r="GIO41" s="543"/>
      <c r="GIP41" s="543"/>
      <c r="GIQ41" s="543"/>
      <c r="GIR41" s="543"/>
      <c r="GIS41" s="543"/>
      <c r="GIT41" s="543"/>
      <c r="GIU41" s="543"/>
      <c r="GIV41" s="543"/>
      <c r="GIW41" s="543"/>
      <c r="GIX41" s="543"/>
      <c r="GIY41" s="543"/>
      <c r="GIZ41" s="543"/>
      <c r="GJA41" s="543"/>
      <c r="GJB41" s="543"/>
      <c r="GJC41" s="543"/>
      <c r="GJD41" s="543"/>
      <c r="GJE41" s="543"/>
      <c r="GJF41" s="543"/>
      <c r="GJG41" s="543"/>
      <c r="GJH41" s="543"/>
      <c r="GJI41" s="543"/>
      <c r="GJJ41" s="543"/>
      <c r="GJK41" s="543"/>
      <c r="GJL41" s="543"/>
      <c r="GJM41" s="543"/>
      <c r="GJN41" s="543"/>
      <c r="GJO41" s="543"/>
      <c r="GJP41" s="543"/>
      <c r="GJQ41" s="543"/>
      <c r="GJR41" s="543"/>
      <c r="GJS41" s="543"/>
      <c r="GJT41" s="543"/>
      <c r="GJU41" s="543"/>
      <c r="GJV41" s="543"/>
      <c r="GJW41" s="543"/>
      <c r="GJX41" s="543"/>
      <c r="GJY41" s="543"/>
      <c r="GJZ41" s="543"/>
      <c r="GKA41" s="543"/>
      <c r="GKB41" s="543"/>
      <c r="GKC41" s="543"/>
      <c r="GKD41" s="543"/>
      <c r="GKE41" s="543"/>
      <c r="GKF41" s="543"/>
      <c r="GKG41" s="543"/>
      <c r="GKH41" s="543"/>
      <c r="GKI41" s="543"/>
      <c r="GKJ41" s="543"/>
      <c r="GKK41" s="543"/>
      <c r="GKL41" s="543"/>
      <c r="GKM41" s="543"/>
      <c r="GKN41" s="543"/>
      <c r="GKO41" s="543"/>
      <c r="GKP41" s="543"/>
      <c r="GKQ41" s="543"/>
      <c r="GKR41" s="543"/>
      <c r="GKS41" s="543"/>
      <c r="GKT41" s="543"/>
      <c r="GKU41" s="543"/>
      <c r="GKV41" s="543"/>
      <c r="GKW41" s="543"/>
      <c r="GKX41" s="543"/>
      <c r="GKY41" s="543"/>
      <c r="GKZ41" s="543"/>
      <c r="GLA41" s="543"/>
      <c r="GLB41" s="543"/>
      <c r="GLC41" s="543"/>
      <c r="GLD41" s="543"/>
      <c r="GLE41" s="543"/>
      <c r="GLF41" s="543"/>
      <c r="GLG41" s="543"/>
      <c r="GLH41" s="543"/>
      <c r="GLI41" s="543"/>
      <c r="GLJ41" s="543"/>
      <c r="GLK41" s="543"/>
      <c r="GLL41" s="543"/>
      <c r="GLM41" s="543"/>
      <c r="GLN41" s="543"/>
      <c r="GLO41" s="543"/>
      <c r="GLP41" s="543"/>
      <c r="GLQ41" s="543"/>
      <c r="GLR41" s="543"/>
      <c r="GLS41" s="543"/>
      <c r="GLT41" s="543"/>
      <c r="GLU41" s="543"/>
      <c r="GLV41" s="543"/>
      <c r="GLW41" s="543"/>
      <c r="GLX41" s="543"/>
      <c r="GLY41" s="543"/>
      <c r="GLZ41" s="543"/>
      <c r="GMA41" s="543"/>
      <c r="GMB41" s="543"/>
      <c r="GMC41" s="543"/>
      <c r="GMD41" s="543"/>
      <c r="GME41" s="543"/>
      <c r="GMF41" s="543"/>
      <c r="GMG41" s="543"/>
      <c r="GMH41" s="543"/>
      <c r="GMI41" s="543"/>
      <c r="GMJ41" s="543"/>
      <c r="GMK41" s="543"/>
      <c r="GML41" s="543"/>
      <c r="GMM41" s="543"/>
      <c r="GMN41" s="543"/>
      <c r="GMO41" s="543"/>
      <c r="GMP41" s="543"/>
      <c r="GMQ41" s="543"/>
      <c r="GMR41" s="543"/>
      <c r="GMS41" s="543"/>
      <c r="GMT41" s="543"/>
      <c r="GMU41" s="543"/>
      <c r="GMV41" s="543"/>
      <c r="GMW41" s="543"/>
      <c r="GMX41" s="543"/>
      <c r="GMY41" s="543"/>
      <c r="GMZ41" s="543"/>
      <c r="GNA41" s="543"/>
      <c r="GNB41" s="543"/>
      <c r="GNC41" s="543"/>
      <c r="GND41" s="543"/>
      <c r="GNE41" s="543"/>
      <c r="GNF41" s="543"/>
      <c r="GNG41" s="543"/>
      <c r="GNH41" s="543"/>
      <c r="GNI41" s="543"/>
      <c r="GNJ41" s="543"/>
      <c r="GNK41" s="543"/>
      <c r="GNL41" s="543"/>
      <c r="GNM41" s="543"/>
      <c r="GNN41" s="543"/>
      <c r="GNO41" s="543"/>
      <c r="GNP41" s="543"/>
      <c r="GNQ41" s="543"/>
      <c r="GNR41" s="543"/>
      <c r="GNS41" s="543"/>
      <c r="GNT41" s="543"/>
      <c r="GNU41" s="543"/>
      <c r="GNV41" s="543"/>
      <c r="GNW41" s="543"/>
      <c r="GNX41" s="543"/>
      <c r="GNY41" s="543"/>
      <c r="GNZ41" s="543"/>
      <c r="GOA41" s="543"/>
      <c r="GOB41" s="543"/>
      <c r="GOC41" s="543"/>
      <c r="GOD41" s="543"/>
      <c r="GOE41" s="543"/>
      <c r="GOF41" s="543"/>
      <c r="GOG41" s="543"/>
      <c r="GOH41" s="543"/>
      <c r="GOI41" s="543"/>
      <c r="GOJ41" s="543"/>
      <c r="GOK41" s="543"/>
      <c r="GOL41" s="543"/>
      <c r="GOM41" s="543"/>
      <c r="GON41" s="543"/>
      <c r="GOO41" s="543"/>
      <c r="GOP41" s="543"/>
      <c r="GOQ41" s="543"/>
      <c r="GOR41" s="543"/>
      <c r="GOS41" s="543"/>
      <c r="GOT41" s="543"/>
      <c r="GOU41" s="543"/>
      <c r="GOV41" s="543"/>
      <c r="GOW41" s="543"/>
      <c r="GOX41" s="543"/>
      <c r="GOY41" s="543"/>
      <c r="GOZ41" s="543"/>
      <c r="GPA41" s="543"/>
      <c r="GPB41" s="543"/>
      <c r="GPC41" s="543"/>
      <c r="GPD41" s="543"/>
      <c r="GPE41" s="543"/>
      <c r="GPF41" s="543"/>
      <c r="GPG41" s="543"/>
      <c r="GPH41" s="543"/>
      <c r="GPI41" s="543"/>
      <c r="GPJ41" s="543"/>
      <c r="GPK41" s="543"/>
      <c r="GPL41" s="543"/>
      <c r="GPM41" s="543"/>
      <c r="GPN41" s="543"/>
      <c r="GPO41" s="543"/>
      <c r="GPP41" s="543"/>
      <c r="GPQ41" s="543"/>
      <c r="GPR41" s="543"/>
      <c r="GPS41" s="543"/>
      <c r="GPT41" s="543"/>
      <c r="GPU41" s="543"/>
      <c r="GPV41" s="543"/>
      <c r="GPW41" s="543"/>
      <c r="GPX41" s="543"/>
      <c r="GPY41" s="543"/>
      <c r="GPZ41" s="543"/>
      <c r="GQA41" s="543"/>
      <c r="GQB41" s="543"/>
      <c r="GQC41" s="543"/>
      <c r="GQD41" s="543"/>
      <c r="GQE41" s="543"/>
      <c r="GQF41" s="543"/>
      <c r="GQG41" s="543"/>
      <c r="GQH41" s="543"/>
      <c r="GQI41" s="543"/>
      <c r="GQJ41" s="543"/>
      <c r="GQK41" s="543"/>
      <c r="GQL41" s="543"/>
      <c r="GQM41" s="543"/>
      <c r="GQN41" s="543"/>
      <c r="GQO41" s="543"/>
      <c r="GQP41" s="543"/>
      <c r="GQQ41" s="543"/>
      <c r="GQR41" s="543"/>
      <c r="GQS41" s="543"/>
      <c r="GQT41" s="543"/>
      <c r="GQU41" s="543"/>
      <c r="GQV41" s="543"/>
      <c r="GQW41" s="543"/>
      <c r="GQX41" s="543"/>
      <c r="GQY41" s="543"/>
      <c r="GQZ41" s="543"/>
      <c r="GRA41" s="543"/>
      <c r="GRB41" s="543"/>
      <c r="GRC41" s="543"/>
      <c r="GRD41" s="543"/>
      <c r="GRE41" s="543"/>
      <c r="GRF41" s="543"/>
      <c r="GRG41" s="543"/>
      <c r="GRH41" s="543"/>
      <c r="GRI41" s="543"/>
      <c r="GRJ41" s="543"/>
      <c r="GRK41" s="543"/>
      <c r="GRL41" s="543"/>
      <c r="GRM41" s="543"/>
      <c r="GRN41" s="543"/>
      <c r="GRO41" s="543"/>
      <c r="GRP41" s="543"/>
      <c r="GRQ41" s="543"/>
      <c r="GRR41" s="543"/>
      <c r="GRS41" s="543"/>
      <c r="GRT41" s="543"/>
      <c r="GRU41" s="543"/>
      <c r="GRV41" s="543"/>
      <c r="GRW41" s="543"/>
      <c r="GRX41" s="543"/>
      <c r="GRY41" s="543"/>
      <c r="GRZ41" s="543"/>
      <c r="GSA41" s="543"/>
      <c r="GSB41" s="543"/>
      <c r="GSC41" s="543"/>
      <c r="GSD41" s="543"/>
      <c r="GSE41" s="543"/>
      <c r="GSF41" s="543"/>
      <c r="GSG41" s="543"/>
      <c r="GSH41" s="543"/>
      <c r="GSI41" s="543"/>
      <c r="GSJ41" s="543"/>
      <c r="GSK41" s="543"/>
      <c r="GSL41" s="543"/>
      <c r="GSM41" s="543"/>
      <c r="GSN41" s="543"/>
      <c r="GSO41" s="543"/>
      <c r="GSP41" s="543"/>
      <c r="GSQ41" s="543"/>
      <c r="GSR41" s="543"/>
      <c r="GSS41" s="543"/>
      <c r="GST41" s="543"/>
      <c r="GSU41" s="543"/>
      <c r="GSV41" s="543"/>
      <c r="GSW41" s="543"/>
      <c r="GSX41" s="543"/>
      <c r="GSY41" s="543"/>
      <c r="GSZ41" s="543"/>
      <c r="GTA41" s="543"/>
      <c r="GTB41" s="543"/>
      <c r="GTC41" s="543"/>
      <c r="GTD41" s="543"/>
      <c r="GTE41" s="543"/>
      <c r="GTF41" s="543"/>
      <c r="GTG41" s="543"/>
      <c r="GTH41" s="543"/>
      <c r="GTI41" s="543"/>
      <c r="GTJ41" s="543"/>
      <c r="GTK41" s="543"/>
      <c r="GTL41" s="543"/>
      <c r="GTM41" s="543"/>
      <c r="GTN41" s="543"/>
      <c r="GTO41" s="543"/>
      <c r="GTP41" s="543"/>
      <c r="GTQ41" s="543"/>
      <c r="GTR41" s="543"/>
      <c r="GTS41" s="543"/>
      <c r="GTT41" s="543"/>
      <c r="GTU41" s="543"/>
      <c r="GTV41" s="543"/>
      <c r="GTW41" s="543"/>
      <c r="GTX41" s="543"/>
      <c r="GTY41" s="543"/>
      <c r="GTZ41" s="543"/>
      <c r="GUA41" s="543"/>
      <c r="GUB41" s="543"/>
      <c r="GUC41" s="543"/>
      <c r="GUD41" s="543"/>
      <c r="GUE41" s="543"/>
      <c r="GUF41" s="543"/>
      <c r="GUG41" s="543"/>
      <c r="GUH41" s="543"/>
      <c r="GUI41" s="543"/>
      <c r="GUJ41" s="543"/>
      <c r="GUK41" s="543"/>
      <c r="GUL41" s="543"/>
      <c r="GUM41" s="543"/>
      <c r="GUN41" s="543"/>
      <c r="GUO41" s="543"/>
      <c r="GUP41" s="543"/>
      <c r="GUQ41" s="543"/>
      <c r="GUR41" s="543"/>
      <c r="GUS41" s="543"/>
      <c r="GUT41" s="543"/>
      <c r="GUU41" s="543"/>
      <c r="GUV41" s="543"/>
      <c r="GUW41" s="543"/>
      <c r="GUX41" s="543"/>
      <c r="GUY41" s="543"/>
      <c r="GUZ41" s="543"/>
      <c r="GVA41" s="543"/>
      <c r="GVB41" s="543"/>
      <c r="GVC41" s="543"/>
      <c r="GVD41" s="543"/>
      <c r="GVE41" s="543"/>
      <c r="GVF41" s="543"/>
      <c r="GVG41" s="543"/>
      <c r="GVH41" s="543"/>
      <c r="GVI41" s="543"/>
      <c r="GVJ41" s="543"/>
      <c r="GVK41" s="543"/>
      <c r="GVL41" s="543"/>
      <c r="GVM41" s="543"/>
      <c r="GVN41" s="543"/>
      <c r="GVO41" s="543"/>
      <c r="GVP41" s="543"/>
      <c r="GVQ41" s="543"/>
      <c r="GVR41" s="543"/>
      <c r="GVS41" s="543"/>
      <c r="GVT41" s="543"/>
      <c r="GVU41" s="543"/>
      <c r="GVV41" s="543"/>
      <c r="GVW41" s="543"/>
      <c r="GVX41" s="543"/>
      <c r="GVY41" s="543"/>
      <c r="GVZ41" s="543"/>
      <c r="GWA41" s="543"/>
      <c r="GWB41" s="543"/>
      <c r="GWC41" s="543"/>
      <c r="GWD41" s="543"/>
      <c r="GWE41" s="543"/>
      <c r="GWF41" s="543"/>
      <c r="GWG41" s="543"/>
      <c r="GWH41" s="543"/>
      <c r="GWI41" s="543"/>
      <c r="GWJ41" s="543"/>
      <c r="GWK41" s="543"/>
      <c r="GWL41" s="543"/>
      <c r="GWM41" s="543"/>
      <c r="GWN41" s="543"/>
      <c r="GWO41" s="543"/>
      <c r="GWP41" s="543"/>
      <c r="GWQ41" s="543"/>
      <c r="GWR41" s="543"/>
      <c r="GWS41" s="543"/>
      <c r="GWT41" s="543"/>
      <c r="GWU41" s="543"/>
      <c r="GWV41" s="543"/>
      <c r="GWW41" s="543"/>
      <c r="GWX41" s="543"/>
      <c r="GWY41" s="543"/>
      <c r="GWZ41" s="543"/>
      <c r="GXA41" s="543"/>
      <c r="GXB41" s="543"/>
      <c r="GXC41" s="543"/>
      <c r="GXD41" s="543"/>
      <c r="GXE41" s="543"/>
      <c r="GXF41" s="543"/>
      <c r="GXG41" s="543"/>
      <c r="GXH41" s="543"/>
      <c r="GXI41" s="543"/>
      <c r="GXJ41" s="543"/>
      <c r="GXK41" s="543"/>
      <c r="GXL41" s="543"/>
      <c r="GXM41" s="543"/>
      <c r="GXN41" s="543"/>
      <c r="GXO41" s="543"/>
      <c r="GXP41" s="543"/>
      <c r="GXQ41" s="543"/>
      <c r="GXR41" s="543"/>
      <c r="GXS41" s="543"/>
      <c r="GXT41" s="543"/>
      <c r="GXU41" s="543"/>
      <c r="GXV41" s="543"/>
      <c r="GXW41" s="543"/>
      <c r="GXX41" s="543"/>
      <c r="GXY41" s="543"/>
      <c r="GXZ41" s="543"/>
      <c r="GYA41" s="543"/>
      <c r="GYB41" s="543"/>
      <c r="GYC41" s="543"/>
      <c r="GYD41" s="543"/>
      <c r="GYE41" s="543"/>
      <c r="GYF41" s="543"/>
      <c r="GYG41" s="543"/>
      <c r="GYH41" s="543"/>
      <c r="GYI41" s="543"/>
      <c r="GYJ41" s="543"/>
      <c r="GYK41" s="543"/>
      <c r="GYL41" s="543"/>
      <c r="GYM41" s="543"/>
      <c r="GYN41" s="543"/>
      <c r="GYO41" s="543"/>
      <c r="GYP41" s="543"/>
      <c r="GYQ41" s="543"/>
      <c r="GYR41" s="543"/>
      <c r="GYS41" s="543"/>
      <c r="GYT41" s="543"/>
      <c r="GYU41" s="543"/>
      <c r="GYV41" s="543"/>
      <c r="GYW41" s="543"/>
      <c r="GYX41" s="543"/>
      <c r="GYY41" s="543"/>
      <c r="GYZ41" s="543"/>
      <c r="GZA41" s="543"/>
      <c r="GZB41" s="543"/>
      <c r="GZC41" s="543"/>
      <c r="GZD41" s="543"/>
      <c r="GZE41" s="543"/>
      <c r="GZF41" s="543"/>
      <c r="GZG41" s="543"/>
      <c r="GZH41" s="543"/>
      <c r="GZI41" s="543"/>
      <c r="GZJ41" s="543"/>
      <c r="GZK41" s="543"/>
      <c r="GZL41" s="543"/>
      <c r="GZM41" s="543"/>
      <c r="GZN41" s="543"/>
      <c r="GZO41" s="543"/>
      <c r="GZP41" s="543"/>
      <c r="GZQ41" s="543"/>
      <c r="GZR41" s="543"/>
      <c r="GZS41" s="543"/>
      <c r="GZT41" s="543"/>
      <c r="GZU41" s="543"/>
      <c r="GZV41" s="543"/>
      <c r="GZW41" s="543"/>
      <c r="GZX41" s="543"/>
      <c r="GZY41" s="543"/>
      <c r="GZZ41" s="543"/>
      <c r="HAA41" s="543"/>
      <c r="HAB41" s="543"/>
      <c r="HAC41" s="543"/>
      <c r="HAD41" s="543"/>
      <c r="HAE41" s="543"/>
      <c r="HAF41" s="543"/>
      <c r="HAG41" s="543"/>
      <c r="HAH41" s="543"/>
      <c r="HAI41" s="543"/>
      <c r="HAJ41" s="543"/>
      <c r="HAK41" s="543"/>
      <c r="HAL41" s="543"/>
      <c r="HAM41" s="543"/>
      <c r="HAN41" s="543"/>
      <c r="HAO41" s="543"/>
      <c r="HAP41" s="543"/>
      <c r="HAQ41" s="543"/>
      <c r="HAR41" s="543"/>
      <c r="HAS41" s="543"/>
      <c r="HAT41" s="543"/>
      <c r="HAU41" s="543"/>
      <c r="HAV41" s="543"/>
      <c r="HAW41" s="543"/>
      <c r="HAX41" s="543"/>
      <c r="HAY41" s="543"/>
      <c r="HAZ41" s="543"/>
      <c r="HBA41" s="543"/>
      <c r="HBB41" s="543"/>
      <c r="HBC41" s="543"/>
      <c r="HBD41" s="543"/>
      <c r="HBE41" s="543"/>
      <c r="HBF41" s="543"/>
      <c r="HBG41" s="543"/>
      <c r="HBH41" s="543"/>
      <c r="HBI41" s="543"/>
      <c r="HBJ41" s="543"/>
      <c r="HBK41" s="543"/>
      <c r="HBL41" s="543"/>
      <c r="HBM41" s="543"/>
      <c r="HBN41" s="543"/>
      <c r="HBO41" s="543"/>
      <c r="HBP41" s="543"/>
      <c r="HBQ41" s="543"/>
      <c r="HBR41" s="543"/>
      <c r="HBS41" s="543"/>
      <c r="HBT41" s="543"/>
      <c r="HBU41" s="543"/>
      <c r="HBV41" s="543"/>
      <c r="HBW41" s="543"/>
      <c r="HBX41" s="543"/>
      <c r="HBY41" s="543"/>
      <c r="HBZ41" s="543"/>
      <c r="HCA41" s="543"/>
      <c r="HCB41" s="543"/>
      <c r="HCC41" s="543"/>
      <c r="HCD41" s="543"/>
      <c r="HCE41" s="543"/>
      <c r="HCF41" s="543"/>
      <c r="HCG41" s="543"/>
      <c r="HCH41" s="543"/>
      <c r="HCI41" s="543"/>
      <c r="HCJ41" s="543"/>
      <c r="HCK41" s="543"/>
      <c r="HCL41" s="543"/>
      <c r="HCM41" s="543"/>
      <c r="HCN41" s="543"/>
      <c r="HCO41" s="543"/>
      <c r="HCP41" s="543"/>
      <c r="HCQ41" s="543"/>
      <c r="HCR41" s="543"/>
      <c r="HCS41" s="543"/>
      <c r="HCT41" s="543"/>
      <c r="HCU41" s="543"/>
      <c r="HCV41" s="543"/>
      <c r="HCW41" s="543"/>
      <c r="HCX41" s="543"/>
      <c r="HCY41" s="543"/>
      <c r="HCZ41" s="543"/>
      <c r="HDA41" s="543"/>
      <c r="HDB41" s="543"/>
      <c r="HDC41" s="543"/>
      <c r="HDD41" s="543"/>
      <c r="HDE41" s="543"/>
      <c r="HDF41" s="543"/>
      <c r="HDG41" s="543"/>
      <c r="HDH41" s="543"/>
      <c r="HDI41" s="543"/>
      <c r="HDJ41" s="543"/>
      <c r="HDK41" s="543"/>
      <c r="HDL41" s="543"/>
      <c r="HDM41" s="543"/>
      <c r="HDN41" s="543"/>
      <c r="HDO41" s="543"/>
      <c r="HDP41" s="543"/>
      <c r="HDQ41" s="543"/>
      <c r="HDR41" s="543"/>
      <c r="HDS41" s="543"/>
      <c r="HDT41" s="543"/>
      <c r="HDU41" s="543"/>
      <c r="HDV41" s="543"/>
      <c r="HDW41" s="543"/>
      <c r="HDX41" s="543"/>
      <c r="HDY41" s="543"/>
      <c r="HDZ41" s="543"/>
      <c r="HEA41" s="543"/>
      <c r="HEB41" s="543"/>
      <c r="HEC41" s="543"/>
      <c r="HED41" s="543"/>
      <c r="HEE41" s="543"/>
      <c r="HEF41" s="543"/>
      <c r="HEG41" s="543"/>
      <c r="HEH41" s="543"/>
      <c r="HEI41" s="543"/>
      <c r="HEJ41" s="543"/>
      <c r="HEK41" s="543"/>
      <c r="HEL41" s="543"/>
      <c r="HEM41" s="543"/>
      <c r="HEN41" s="543"/>
      <c r="HEO41" s="543"/>
      <c r="HEP41" s="543"/>
      <c r="HEQ41" s="543"/>
      <c r="HER41" s="543"/>
      <c r="HES41" s="543"/>
      <c r="HET41" s="543"/>
      <c r="HEU41" s="543"/>
      <c r="HEV41" s="543"/>
      <c r="HEW41" s="543"/>
      <c r="HEX41" s="543"/>
      <c r="HEY41" s="543"/>
      <c r="HEZ41" s="543"/>
      <c r="HFA41" s="543"/>
      <c r="HFB41" s="543"/>
      <c r="HFC41" s="543"/>
      <c r="HFD41" s="543"/>
      <c r="HFE41" s="543"/>
      <c r="HFF41" s="543"/>
      <c r="HFG41" s="543"/>
      <c r="HFH41" s="543"/>
      <c r="HFI41" s="543"/>
      <c r="HFJ41" s="543"/>
      <c r="HFK41" s="543"/>
      <c r="HFL41" s="543"/>
      <c r="HFM41" s="543"/>
      <c r="HFN41" s="543"/>
      <c r="HFO41" s="543"/>
      <c r="HFP41" s="543"/>
      <c r="HFQ41" s="543"/>
      <c r="HFR41" s="543"/>
      <c r="HFS41" s="543"/>
      <c r="HFT41" s="543"/>
      <c r="HFU41" s="543"/>
      <c r="HFV41" s="543"/>
      <c r="HFW41" s="543"/>
      <c r="HFX41" s="543"/>
      <c r="HFY41" s="543"/>
      <c r="HFZ41" s="543"/>
      <c r="HGA41" s="543"/>
      <c r="HGB41" s="543"/>
      <c r="HGC41" s="543"/>
      <c r="HGD41" s="543"/>
      <c r="HGE41" s="543"/>
      <c r="HGF41" s="543"/>
      <c r="HGG41" s="543"/>
      <c r="HGH41" s="543"/>
      <c r="HGI41" s="543"/>
      <c r="HGJ41" s="543"/>
      <c r="HGK41" s="543"/>
      <c r="HGL41" s="543"/>
      <c r="HGM41" s="543"/>
      <c r="HGN41" s="543"/>
      <c r="HGO41" s="543"/>
      <c r="HGP41" s="543"/>
      <c r="HGQ41" s="543"/>
      <c r="HGR41" s="543"/>
      <c r="HGS41" s="543"/>
      <c r="HGT41" s="543"/>
      <c r="HGU41" s="543"/>
      <c r="HGV41" s="543"/>
      <c r="HGW41" s="543"/>
      <c r="HGX41" s="543"/>
      <c r="HGY41" s="543"/>
      <c r="HGZ41" s="543"/>
      <c r="HHA41" s="543"/>
      <c r="HHB41" s="543"/>
      <c r="HHC41" s="543"/>
      <c r="HHD41" s="543"/>
      <c r="HHE41" s="543"/>
      <c r="HHF41" s="543"/>
      <c r="HHG41" s="543"/>
      <c r="HHH41" s="543"/>
      <c r="HHI41" s="543"/>
      <c r="HHJ41" s="543"/>
      <c r="HHK41" s="543"/>
      <c r="HHL41" s="543"/>
      <c r="HHM41" s="543"/>
      <c r="HHN41" s="543"/>
      <c r="HHO41" s="543"/>
      <c r="HHP41" s="543"/>
      <c r="HHQ41" s="543"/>
      <c r="HHR41" s="543"/>
      <c r="HHS41" s="543"/>
      <c r="HHT41" s="543"/>
      <c r="HHU41" s="543"/>
      <c r="HHV41" s="543"/>
      <c r="HHW41" s="543"/>
      <c r="HHX41" s="543"/>
      <c r="HHY41" s="543"/>
      <c r="HHZ41" s="543"/>
      <c r="HIA41" s="543"/>
      <c r="HIB41" s="543"/>
      <c r="HIC41" s="543"/>
      <c r="HID41" s="543"/>
      <c r="HIE41" s="543"/>
      <c r="HIF41" s="543"/>
      <c r="HIG41" s="543"/>
      <c r="HIH41" s="543"/>
      <c r="HII41" s="543"/>
      <c r="HIJ41" s="543"/>
      <c r="HIK41" s="543"/>
      <c r="HIL41" s="543"/>
      <c r="HIM41" s="543"/>
      <c r="HIN41" s="543"/>
      <c r="HIO41" s="543"/>
      <c r="HIP41" s="543"/>
      <c r="HIQ41" s="543"/>
      <c r="HIR41" s="543"/>
      <c r="HIS41" s="543"/>
      <c r="HIT41" s="543"/>
      <c r="HIU41" s="543"/>
      <c r="HIV41" s="543"/>
      <c r="HIW41" s="543"/>
      <c r="HIX41" s="543"/>
      <c r="HIY41" s="543"/>
      <c r="HIZ41" s="543"/>
      <c r="HJA41" s="543"/>
      <c r="HJB41" s="543"/>
      <c r="HJC41" s="543"/>
      <c r="HJD41" s="543"/>
      <c r="HJE41" s="543"/>
      <c r="HJF41" s="543"/>
      <c r="HJG41" s="543"/>
      <c r="HJH41" s="543"/>
      <c r="HJI41" s="543"/>
      <c r="HJJ41" s="543"/>
      <c r="HJK41" s="543"/>
      <c r="HJL41" s="543"/>
      <c r="HJM41" s="543"/>
      <c r="HJN41" s="543"/>
      <c r="HJO41" s="543"/>
      <c r="HJP41" s="543"/>
      <c r="HJQ41" s="543"/>
      <c r="HJR41" s="543"/>
      <c r="HJS41" s="543"/>
      <c r="HJT41" s="543"/>
      <c r="HJU41" s="543"/>
      <c r="HJV41" s="543"/>
      <c r="HJW41" s="543"/>
      <c r="HJX41" s="543"/>
      <c r="HJY41" s="543"/>
      <c r="HJZ41" s="543"/>
      <c r="HKA41" s="543"/>
      <c r="HKB41" s="543"/>
      <c r="HKC41" s="543"/>
      <c r="HKD41" s="543"/>
      <c r="HKE41" s="543"/>
      <c r="HKF41" s="543"/>
      <c r="HKG41" s="543"/>
      <c r="HKH41" s="543"/>
      <c r="HKI41" s="543"/>
      <c r="HKJ41" s="543"/>
      <c r="HKK41" s="543"/>
      <c r="HKL41" s="543"/>
      <c r="HKM41" s="543"/>
      <c r="HKN41" s="543"/>
      <c r="HKO41" s="543"/>
      <c r="HKP41" s="543"/>
      <c r="HKQ41" s="543"/>
      <c r="HKR41" s="543"/>
      <c r="HKS41" s="543"/>
      <c r="HKT41" s="543"/>
      <c r="HKU41" s="543"/>
      <c r="HKV41" s="543"/>
      <c r="HKW41" s="543"/>
      <c r="HKX41" s="543"/>
      <c r="HKY41" s="543"/>
      <c r="HKZ41" s="543"/>
      <c r="HLA41" s="543"/>
      <c r="HLB41" s="543"/>
      <c r="HLC41" s="543"/>
      <c r="HLD41" s="543"/>
      <c r="HLE41" s="543"/>
      <c r="HLF41" s="543"/>
      <c r="HLG41" s="543"/>
      <c r="HLH41" s="543"/>
      <c r="HLI41" s="543"/>
      <c r="HLJ41" s="543"/>
      <c r="HLK41" s="543"/>
      <c r="HLL41" s="543"/>
      <c r="HLM41" s="543"/>
      <c r="HLN41" s="543"/>
      <c r="HLO41" s="543"/>
      <c r="HLP41" s="543"/>
      <c r="HLQ41" s="543"/>
      <c r="HLR41" s="543"/>
      <c r="HLS41" s="543"/>
      <c r="HLT41" s="543"/>
      <c r="HLU41" s="543"/>
      <c r="HLV41" s="543"/>
      <c r="HLW41" s="543"/>
      <c r="HLX41" s="543"/>
      <c r="HLY41" s="543"/>
      <c r="HLZ41" s="543"/>
      <c r="HMA41" s="543"/>
      <c r="HMB41" s="543"/>
      <c r="HMC41" s="543"/>
      <c r="HMD41" s="543"/>
      <c r="HME41" s="543"/>
      <c r="HMF41" s="543"/>
      <c r="HMG41" s="543"/>
      <c r="HMH41" s="543"/>
      <c r="HMI41" s="543"/>
      <c r="HMJ41" s="543"/>
      <c r="HMK41" s="543"/>
      <c r="HML41" s="543"/>
      <c r="HMM41" s="543"/>
      <c r="HMN41" s="543"/>
      <c r="HMO41" s="543"/>
      <c r="HMP41" s="543"/>
      <c r="HMQ41" s="543"/>
      <c r="HMR41" s="543"/>
      <c r="HMS41" s="543"/>
      <c r="HMT41" s="543"/>
      <c r="HMU41" s="543"/>
      <c r="HMV41" s="543"/>
      <c r="HMW41" s="543"/>
      <c r="HMX41" s="543"/>
      <c r="HMY41" s="543"/>
      <c r="HMZ41" s="543"/>
      <c r="HNA41" s="543"/>
      <c r="HNB41" s="543"/>
      <c r="HNC41" s="543"/>
      <c r="HND41" s="543"/>
      <c r="HNE41" s="543"/>
      <c r="HNF41" s="543"/>
      <c r="HNG41" s="543"/>
      <c r="HNH41" s="543"/>
      <c r="HNI41" s="543"/>
      <c r="HNJ41" s="543"/>
      <c r="HNK41" s="543"/>
      <c r="HNL41" s="543"/>
      <c r="HNM41" s="543"/>
      <c r="HNN41" s="543"/>
      <c r="HNO41" s="543"/>
      <c r="HNP41" s="543"/>
      <c r="HNQ41" s="543"/>
      <c r="HNR41" s="543"/>
      <c r="HNS41" s="543"/>
      <c r="HNT41" s="543"/>
      <c r="HNU41" s="543"/>
      <c r="HNV41" s="543"/>
      <c r="HNW41" s="543"/>
      <c r="HNX41" s="543"/>
      <c r="HNY41" s="543"/>
      <c r="HNZ41" s="543"/>
      <c r="HOA41" s="543"/>
      <c r="HOB41" s="543"/>
      <c r="HOC41" s="543"/>
      <c r="HOD41" s="543"/>
      <c r="HOE41" s="543"/>
      <c r="HOF41" s="543"/>
      <c r="HOG41" s="543"/>
      <c r="HOH41" s="543"/>
      <c r="HOI41" s="543"/>
      <c r="HOJ41" s="543"/>
      <c r="HOK41" s="543"/>
      <c r="HOL41" s="543"/>
      <c r="HOM41" s="543"/>
      <c r="HON41" s="543"/>
      <c r="HOO41" s="543"/>
      <c r="HOP41" s="543"/>
      <c r="HOQ41" s="543"/>
      <c r="HOR41" s="543"/>
      <c r="HOS41" s="543"/>
      <c r="HOT41" s="543"/>
      <c r="HOU41" s="543"/>
      <c r="HOV41" s="543"/>
      <c r="HOW41" s="543"/>
      <c r="HOX41" s="543"/>
      <c r="HOY41" s="543"/>
      <c r="HOZ41" s="543"/>
      <c r="HPA41" s="543"/>
      <c r="HPB41" s="543"/>
      <c r="HPC41" s="543"/>
      <c r="HPD41" s="543"/>
      <c r="HPE41" s="543"/>
      <c r="HPF41" s="543"/>
      <c r="HPG41" s="543"/>
      <c r="HPH41" s="543"/>
      <c r="HPI41" s="543"/>
      <c r="HPJ41" s="543"/>
      <c r="HPK41" s="543"/>
      <c r="HPL41" s="543"/>
      <c r="HPM41" s="543"/>
      <c r="HPN41" s="543"/>
      <c r="HPO41" s="543"/>
      <c r="HPP41" s="543"/>
      <c r="HPQ41" s="543"/>
      <c r="HPR41" s="543"/>
      <c r="HPS41" s="543"/>
      <c r="HPT41" s="543"/>
      <c r="HPU41" s="543"/>
      <c r="HPV41" s="543"/>
      <c r="HPW41" s="543"/>
      <c r="HPX41" s="543"/>
      <c r="HPY41" s="543"/>
      <c r="HPZ41" s="543"/>
      <c r="HQA41" s="543"/>
      <c r="HQB41" s="543"/>
      <c r="HQC41" s="543"/>
      <c r="HQD41" s="543"/>
      <c r="HQE41" s="543"/>
      <c r="HQF41" s="543"/>
      <c r="HQG41" s="543"/>
      <c r="HQH41" s="543"/>
      <c r="HQI41" s="543"/>
      <c r="HQJ41" s="543"/>
      <c r="HQK41" s="543"/>
      <c r="HQL41" s="543"/>
      <c r="HQM41" s="543"/>
      <c r="HQN41" s="543"/>
      <c r="HQO41" s="543"/>
      <c r="HQP41" s="543"/>
      <c r="HQQ41" s="543"/>
      <c r="HQR41" s="543"/>
      <c r="HQS41" s="543"/>
      <c r="HQT41" s="543"/>
      <c r="HQU41" s="543"/>
      <c r="HQV41" s="543"/>
      <c r="HQW41" s="543"/>
      <c r="HQX41" s="543"/>
      <c r="HQY41" s="543"/>
      <c r="HQZ41" s="543"/>
      <c r="HRA41" s="543"/>
      <c r="HRB41" s="543"/>
      <c r="HRC41" s="543"/>
      <c r="HRD41" s="543"/>
      <c r="HRE41" s="543"/>
      <c r="HRF41" s="543"/>
      <c r="HRG41" s="543"/>
      <c r="HRH41" s="543"/>
      <c r="HRI41" s="543"/>
      <c r="HRJ41" s="543"/>
      <c r="HRK41" s="543"/>
      <c r="HRL41" s="543"/>
      <c r="HRM41" s="543"/>
      <c r="HRN41" s="543"/>
      <c r="HRO41" s="543"/>
      <c r="HRP41" s="543"/>
      <c r="HRQ41" s="543"/>
      <c r="HRR41" s="543"/>
      <c r="HRS41" s="543"/>
      <c r="HRT41" s="543"/>
      <c r="HRU41" s="543"/>
      <c r="HRV41" s="543"/>
      <c r="HRW41" s="543"/>
      <c r="HRX41" s="543"/>
      <c r="HRY41" s="543"/>
      <c r="HRZ41" s="543"/>
      <c r="HSA41" s="543"/>
      <c r="HSB41" s="543"/>
      <c r="HSC41" s="543"/>
      <c r="HSD41" s="543"/>
      <c r="HSE41" s="543"/>
      <c r="HSF41" s="543"/>
      <c r="HSG41" s="543"/>
      <c r="HSH41" s="543"/>
      <c r="HSI41" s="543"/>
      <c r="HSJ41" s="543"/>
      <c r="HSK41" s="543"/>
      <c r="HSL41" s="543"/>
      <c r="HSM41" s="543"/>
      <c r="HSN41" s="543"/>
      <c r="HSO41" s="543"/>
      <c r="HSP41" s="543"/>
      <c r="HSQ41" s="543"/>
      <c r="HSR41" s="543"/>
      <c r="HSS41" s="543"/>
      <c r="HST41" s="543"/>
      <c r="HSU41" s="543"/>
      <c r="HSV41" s="543"/>
      <c r="HSW41" s="543"/>
      <c r="HSX41" s="543"/>
      <c r="HSY41" s="543"/>
      <c r="HSZ41" s="543"/>
      <c r="HTA41" s="543"/>
      <c r="HTB41" s="543"/>
      <c r="HTC41" s="543"/>
      <c r="HTD41" s="543"/>
      <c r="HTE41" s="543"/>
      <c r="HTF41" s="543"/>
      <c r="HTG41" s="543"/>
      <c r="HTH41" s="543"/>
      <c r="HTI41" s="543"/>
      <c r="HTJ41" s="543"/>
      <c r="HTK41" s="543"/>
      <c r="HTL41" s="543"/>
      <c r="HTM41" s="543"/>
      <c r="HTN41" s="543"/>
      <c r="HTO41" s="543"/>
      <c r="HTP41" s="543"/>
      <c r="HTQ41" s="543"/>
      <c r="HTR41" s="543"/>
      <c r="HTS41" s="543"/>
      <c r="HTT41" s="543"/>
      <c r="HTU41" s="543"/>
      <c r="HTV41" s="543"/>
      <c r="HTW41" s="543"/>
      <c r="HTX41" s="543"/>
      <c r="HTY41" s="543"/>
      <c r="HTZ41" s="543"/>
      <c r="HUA41" s="543"/>
      <c r="HUB41" s="543"/>
      <c r="HUC41" s="543"/>
      <c r="HUD41" s="543"/>
      <c r="HUE41" s="543"/>
      <c r="HUF41" s="543"/>
      <c r="HUG41" s="543"/>
      <c r="HUH41" s="543"/>
      <c r="HUI41" s="543"/>
      <c r="HUJ41" s="543"/>
      <c r="HUK41" s="543"/>
      <c r="HUL41" s="543"/>
      <c r="HUM41" s="543"/>
      <c r="HUN41" s="543"/>
      <c r="HUO41" s="543"/>
      <c r="HUP41" s="543"/>
      <c r="HUQ41" s="543"/>
      <c r="HUR41" s="543"/>
      <c r="HUS41" s="543"/>
      <c r="HUT41" s="543"/>
      <c r="HUU41" s="543"/>
      <c r="HUV41" s="543"/>
      <c r="HUW41" s="543"/>
      <c r="HUX41" s="543"/>
      <c r="HUY41" s="543"/>
      <c r="HUZ41" s="543"/>
      <c r="HVA41" s="543"/>
      <c r="HVB41" s="543"/>
      <c r="HVC41" s="543"/>
      <c r="HVD41" s="543"/>
      <c r="HVE41" s="543"/>
      <c r="HVF41" s="543"/>
      <c r="HVG41" s="543"/>
      <c r="HVH41" s="543"/>
      <c r="HVI41" s="543"/>
      <c r="HVJ41" s="543"/>
      <c r="HVK41" s="543"/>
      <c r="HVL41" s="543"/>
      <c r="HVM41" s="543"/>
      <c r="HVN41" s="543"/>
      <c r="HVO41" s="543"/>
      <c r="HVP41" s="543"/>
      <c r="HVQ41" s="543"/>
      <c r="HVR41" s="543"/>
      <c r="HVS41" s="543"/>
      <c r="HVT41" s="543"/>
      <c r="HVU41" s="543"/>
      <c r="HVV41" s="543"/>
      <c r="HVW41" s="543"/>
      <c r="HVX41" s="543"/>
      <c r="HVY41" s="543"/>
      <c r="HVZ41" s="543"/>
      <c r="HWA41" s="543"/>
      <c r="HWB41" s="543"/>
      <c r="HWC41" s="543"/>
      <c r="HWD41" s="543"/>
      <c r="HWE41" s="543"/>
      <c r="HWF41" s="543"/>
      <c r="HWG41" s="543"/>
      <c r="HWH41" s="543"/>
      <c r="HWI41" s="543"/>
      <c r="HWJ41" s="543"/>
      <c r="HWK41" s="543"/>
      <c r="HWL41" s="543"/>
      <c r="HWM41" s="543"/>
      <c r="HWN41" s="543"/>
      <c r="HWO41" s="543"/>
      <c r="HWP41" s="543"/>
      <c r="HWQ41" s="543"/>
      <c r="HWR41" s="543"/>
      <c r="HWS41" s="543"/>
      <c r="HWT41" s="543"/>
      <c r="HWU41" s="543"/>
      <c r="HWV41" s="543"/>
      <c r="HWW41" s="543"/>
      <c r="HWX41" s="543"/>
      <c r="HWY41" s="543"/>
      <c r="HWZ41" s="543"/>
      <c r="HXA41" s="543"/>
      <c r="HXB41" s="543"/>
      <c r="HXC41" s="543"/>
      <c r="HXD41" s="543"/>
      <c r="HXE41" s="543"/>
      <c r="HXF41" s="543"/>
      <c r="HXG41" s="543"/>
      <c r="HXH41" s="543"/>
      <c r="HXI41" s="543"/>
      <c r="HXJ41" s="543"/>
      <c r="HXK41" s="543"/>
      <c r="HXL41" s="543"/>
      <c r="HXM41" s="543"/>
      <c r="HXN41" s="543"/>
      <c r="HXO41" s="543"/>
      <c r="HXP41" s="543"/>
      <c r="HXQ41" s="543"/>
      <c r="HXR41" s="543"/>
      <c r="HXS41" s="543"/>
      <c r="HXT41" s="543"/>
      <c r="HXU41" s="543"/>
      <c r="HXV41" s="543"/>
      <c r="HXW41" s="543"/>
      <c r="HXX41" s="543"/>
      <c r="HXY41" s="543"/>
      <c r="HXZ41" s="543"/>
      <c r="HYA41" s="543"/>
      <c r="HYB41" s="543"/>
      <c r="HYC41" s="543"/>
      <c r="HYD41" s="543"/>
      <c r="HYE41" s="543"/>
      <c r="HYF41" s="543"/>
      <c r="HYG41" s="543"/>
      <c r="HYH41" s="543"/>
      <c r="HYI41" s="543"/>
      <c r="HYJ41" s="543"/>
      <c r="HYK41" s="543"/>
      <c r="HYL41" s="543"/>
      <c r="HYM41" s="543"/>
      <c r="HYN41" s="543"/>
      <c r="HYO41" s="543"/>
      <c r="HYP41" s="543"/>
      <c r="HYQ41" s="543"/>
      <c r="HYR41" s="543"/>
      <c r="HYS41" s="543"/>
      <c r="HYT41" s="543"/>
      <c r="HYU41" s="543"/>
      <c r="HYV41" s="543"/>
      <c r="HYW41" s="543"/>
      <c r="HYX41" s="543"/>
      <c r="HYY41" s="543"/>
      <c r="HYZ41" s="543"/>
      <c r="HZA41" s="543"/>
      <c r="HZB41" s="543"/>
      <c r="HZC41" s="543"/>
      <c r="HZD41" s="543"/>
      <c r="HZE41" s="543"/>
      <c r="HZF41" s="543"/>
      <c r="HZG41" s="543"/>
      <c r="HZH41" s="543"/>
      <c r="HZI41" s="543"/>
      <c r="HZJ41" s="543"/>
      <c r="HZK41" s="543"/>
      <c r="HZL41" s="543"/>
      <c r="HZM41" s="543"/>
      <c r="HZN41" s="543"/>
      <c r="HZO41" s="543"/>
      <c r="HZP41" s="543"/>
      <c r="HZQ41" s="543"/>
      <c r="HZR41" s="543"/>
      <c r="HZS41" s="543"/>
      <c r="HZT41" s="543"/>
      <c r="HZU41" s="543"/>
      <c r="HZV41" s="543"/>
      <c r="HZW41" s="543"/>
      <c r="HZX41" s="543"/>
      <c r="HZY41" s="543"/>
      <c r="HZZ41" s="543"/>
      <c r="IAA41" s="543"/>
      <c r="IAB41" s="543"/>
      <c r="IAC41" s="543"/>
      <c r="IAD41" s="543"/>
      <c r="IAE41" s="543"/>
      <c r="IAF41" s="543"/>
      <c r="IAG41" s="543"/>
      <c r="IAH41" s="543"/>
      <c r="IAI41" s="543"/>
      <c r="IAJ41" s="543"/>
      <c r="IAK41" s="543"/>
      <c r="IAL41" s="543"/>
      <c r="IAM41" s="543"/>
      <c r="IAN41" s="543"/>
      <c r="IAO41" s="543"/>
      <c r="IAP41" s="543"/>
      <c r="IAQ41" s="543"/>
      <c r="IAR41" s="543"/>
      <c r="IAS41" s="543"/>
      <c r="IAT41" s="543"/>
      <c r="IAU41" s="543"/>
      <c r="IAV41" s="543"/>
      <c r="IAW41" s="543"/>
      <c r="IAX41" s="543"/>
      <c r="IAY41" s="543"/>
      <c r="IAZ41" s="543"/>
      <c r="IBA41" s="543"/>
      <c r="IBB41" s="543"/>
      <c r="IBC41" s="543"/>
      <c r="IBD41" s="543"/>
      <c r="IBE41" s="543"/>
      <c r="IBF41" s="543"/>
      <c r="IBG41" s="543"/>
      <c r="IBH41" s="543"/>
      <c r="IBI41" s="543"/>
      <c r="IBJ41" s="543"/>
      <c r="IBK41" s="543"/>
      <c r="IBL41" s="543"/>
      <c r="IBM41" s="543"/>
      <c r="IBN41" s="543"/>
      <c r="IBO41" s="543"/>
      <c r="IBP41" s="543"/>
      <c r="IBQ41" s="543"/>
      <c r="IBR41" s="543"/>
      <c r="IBS41" s="543"/>
      <c r="IBT41" s="543"/>
      <c r="IBU41" s="543"/>
      <c r="IBV41" s="543"/>
      <c r="IBW41" s="543"/>
      <c r="IBX41" s="543"/>
      <c r="IBY41" s="543"/>
      <c r="IBZ41" s="543"/>
      <c r="ICA41" s="543"/>
      <c r="ICB41" s="543"/>
      <c r="ICC41" s="543"/>
      <c r="ICD41" s="543"/>
      <c r="ICE41" s="543"/>
      <c r="ICF41" s="543"/>
      <c r="ICG41" s="543"/>
      <c r="ICH41" s="543"/>
      <c r="ICI41" s="543"/>
      <c r="ICJ41" s="543"/>
      <c r="ICK41" s="543"/>
      <c r="ICL41" s="543"/>
      <c r="ICM41" s="543"/>
      <c r="ICN41" s="543"/>
      <c r="ICO41" s="543"/>
      <c r="ICP41" s="543"/>
      <c r="ICQ41" s="543"/>
      <c r="ICR41" s="543"/>
      <c r="ICS41" s="543"/>
      <c r="ICT41" s="543"/>
      <c r="ICU41" s="543"/>
      <c r="ICV41" s="543"/>
      <c r="ICW41" s="543"/>
      <c r="ICX41" s="543"/>
      <c r="ICY41" s="543"/>
      <c r="ICZ41" s="543"/>
      <c r="IDA41" s="543"/>
      <c r="IDB41" s="543"/>
      <c r="IDC41" s="543"/>
      <c r="IDD41" s="543"/>
      <c r="IDE41" s="543"/>
      <c r="IDF41" s="543"/>
      <c r="IDG41" s="543"/>
      <c r="IDH41" s="543"/>
      <c r="IDI41" s="543"/>
      <c r="IDJ41" s="543"/>
      <c r="IDK41" s="543"/>
      <c r="IDL41" s="543"/>
      <c r="IDM41" s="543"/>
      <c r="IDN41" s="543"/>
      <c r="IDO41" s="543"/>
      <c r="IDP41" s="543"/>
      <c r="IDQ41" s="543"/>
      <c r="IDR41" s="543"/>
      <c r="IDS41" s="543"/>
      <c r="IDT41" s="543"/>
      <c r="IDU41" s="543"/>
      <c r="IDV41" s="543"/>
      <c r="IDW41" s="543"/>
      <c r="IDX41" s="543"/>
      <c r="IDY41" s="543"/>
      <c r="IDZ41" s="543"/>
      <c r="IEA41" s="543"/>
      <c r="IEB41" s="543"/>
      <c r="IEC41" s="543"/>
      <c r="IED41" s="543"/>
      <c r="IEE41" s="543"/>
      <c r="IEF41" s="543"/>
      <c r="IEG41" s="543"/>
      <c r="IEH41" s="543"/>
      <c r="IEI41" s="543"/>
      <c r="IEJ41" s="543"/>
      <c r="IEK41" s="543"/>
      <c r="IEL41" s="543"/>
      <c r="IEM41" s="543"/>
      <c r="IEN41" s="543"/>
      <c r="IEO41" s="543"/>
      <c r="IEP41" s="543"/>
      <c r="IEQ41" s="543"/>
      <c r="IER41" s="543"/>
      <c r="IES41" s="543"/>
      <c r="IET41" s="543"/>
      <c r="IEU41" s="543"/>
      <c r="IEV41" s="543"/>
      <c r="IEW41" s="543"/>
      <c r="IEX41" s="543"/>
      <c r="IEY41" s="543"/>
      <c r="IEZ41" s="543"/>
      <c r="IFA41" s="543"/>
      <c r="IFB41" s="543"/>
      <c r="IFC41" s="543"/>
      <c r="IFD41" s="543"/>
      <c r="IFE41" s="543"/>
      <c r="IFF41" s="543"/>
      <c r="IFG41" s="543"/>
      <c r="IFH41" s="543"/>
      <c r="IFI41" s="543"/>
      <c r="IFJ41" s="543"/>
      <c r="IFK41" s="543"/>
      <c r="IFL41" s="543"/>
      <c r="IFM41" s="543"/>
      <c r="IFN41" s="543"/>
      <c r="IFO41" s="543"/>
      <c r="IFP41" s="543"/>
      <c r="IFQ41" s="543"/>
      <c r="IFR41" s="543"/>
      <c r="IFS41" s="543"/>
      <c r="IFT41" s="543"/>
      <c r="IFU41" s="543"/>
      <c r="IFV41" s="543"/>
      <c r="IFW41" s="543"/>
      <c r="IFX41" s="543"/>
      <c r="IFY41" s="543"/>
      <c r="IFZ41" s="543"/>
      <c r="IGA41" s="543"/>
      <c r="IGB41" s="543"/>
      <c r="IGC41" s="543"/>
      <c r="IGD41" s="543"/>
      <c r="IGE41" s="543"/>
      <c r="IGF41" s="543"/>
      <c r="IGG41" s="543"/>
      <c r="IGH41" s="543"/>
      <c r="IGI41" s="543"/>
      <c r="IGJ41" s="543"/>
      <c r="IGK41" s="543"/>
      <c r="IGL41" s="543"/>
      <c r="IGM41" s="543"/>
      <c r="IGN41" s="543"/>
      <c r="IGO41" s="543"/>
      <c r="IGP41" s="543"/>
      <c r="IGQ41" s="543"/>
      <c r="IGR41" s="543"/>
      <c r="IGS41" s="543"/>
      <c r="IGT41" s="543"/>
      <c r="IGU41" s="543"/>
      <c r="IGV41" s="543"/>
      <c r="IGW41" s="543"/>
      <c r="IGX41" s="543"/>
      <c r="IGY41" s="543"/>
      <c r="IGZ41" s="543"/>
      <c r="IHA41" s="543"/>
      <c r="IHB41" s="543"/>
      <c r="IHC41" s="543"/>
      <c r="IHD41" s="543"/>
      <c r="IHE41" s="543"/>
      <c r="IHF41" s="543"/>
      <c r="IHG41" s="543"/>
      <c r="IHH41" s="543"/>
      <c r="IHI41" s="543"/>
      <c r="IHJ41" s="543"/>
      <c r="IHK41" s="543"/>
      <c r="IHL41" s="543"/>
      <c r="IHM41" s="543"/>
      <c r="IHN41" s="543"/>
      <c r="IHO41" s="543"/>
      <c r="IHP41" s="543"/>
      <c r="IHQ41" s="543"/>
      <c r="IHR41" s="543"/>
      <c r="IHS41" s="543"/>
      <c r="IHT41" s="543"/>
      <c r="IHU41" s="543"/>
      <c r="IHV41" s="543"/>
      <c r="IHW41" s="543"/>
      <c r="IHX41" s="543"/>
      <c r="IHY41" s="543"/>
      <c r="IHZ41" s="543"/>
      <c r="IIA41" s="543"/>
      <c r="IIB41" s="543"/>
      <c r="IIC41" s="543"/>
      <c r="IID41" s="543"/>
      <c r="IIE41" s="543"/>
      <c r="IIF41" s="543"/>
      <c r="IIG41" s="543"/>
      <c r="IIH41" s="543"/>
      <c r="III41" s="543"/>
      <c r="IIJ41" s="543"/>
      <c r="IIK41" s="543"/>
      <c r="IIL41" s="543"/>
      <c r="IIM41" s="543"/>
      <c r="IIN41" s="543"/>
      <c r="IIO41" s="543"/>
      <c r="IIP41" s="543"/>
      <c r="IIQ41" s="543"/>
      <c r="IIR41" s="543"/>
      <c r="IIS41" s="543"/>
      <c r="IIT41" s="543"/>
      <c r="IIU41" s="543"/>
      <c r="IIV41" s="543"/>
      <c r="IIW41" s="543"/>
      <c r="IIX41" s="543"/>
      <c r="IIY41" s="543"/>
      <c r="IIZ41" s="543"/>
      <c r="IJA41" s="543"/>
      <c r="IJB41" s="543"/>
      <c r="IJC41" s="543"/>
      <c r="IJD41" s="543"/>
      <c r="IJE41" s="543"/>
      <c r="IJF41" s="543"/>
      <c r="IJG41" s="543"/>
      <c r="IJH41" s="543"/>
      <c r="IJI41" s="543"/>
      <c r="IJJ41" s="543"/>
      <c r="IJK41" s="543"/>
      <c r="IJL41" s="543"/>
      <c r="IJM41" s="543"/>
      <c r="IJN41" s="543"/>
      <c r="IJO41" s="543"/>
      <c r="IJP41" s="543"/>
      <c r="IJQ41" s="543"/>
      <c r="IJR41" s="543"/>
      <c r="IJS41" s="543"/>
      <c r="IJT41" s="543"/>
      <c r="IJU41" s="543"/>
      <c r="IJV41" s="543"/>
      <c r="IJW41" s="543"/>
      <c r="IJX41" s="543"/>
      <c r="IJY41" s="543"/>
      <c r="IJZ41" s="543"/>
      <c r="IKA41" s="543"/>
      <c r="IKB41" s="543"/>
      <c r="IKC41" s="543"/>
      <c r="IKD41" s="543"/>
      <c r="IKE41" s="543"/>
      <c r="IKF41" s="543"/>
      <c r="IKG41" s="543"/>
      <c r="IKH41" s="543"/>
      <c r="IKI41" s="543"/>
      <c r="IKJ41" s="543"/>
      <c r="IKK41" s="543"/>
      <c r="IKL41" s="543"/>
      <c r="IKM41" s="543"/>
      <c r="IKN41" s="543"/>
      <c r="IKO41" s="543"/>
      <c r="IKP41" s="543"/>
      <c r="IKQ41" s="543"/>
      <c r="IKR41" s="543"/>
      <c r="IKS41" s="543"/>
      <c r="IKT41" s="543"/>
      <c r="IKU41" s="543"/>
      <c r="IKV41" s="543"/>
      <c r="IKW41" s="543"/>
      <c r="IKX41" s="543"/>
      <c r="IKY41" s="543"/>
      <c r="IKZ41" s="543"/>
      <c r="ILA41" s="543"/>
      <c r="ILB41" s="543"/>
      <c r="ILC41" s="543"/>
      <c r="ILD41" s="543"/>
      <c r="ILE41" s="543"/>
      <c r="ILF41" s="543"/>
      <c r="ILG41" s="543"/>
      <c r="ILH41" s="543"/>
      <c r="ILI41" s="543"/>
      <c r="ILJ41" s="543"/>
      <c r="ILK41" s="543"/>
      <c r="ILL41" s="543"/>
      <c r="ILM41" s="543"/>
      <c r="ILN41" s="543"/>
      <c r="ILO41" s="543"/>
      <c r="ILP41" s="543"/>
      <c r="ILQ41" s="543"/>
      <c r="ILR41" s="543"/>
      <c r="ILS41" s="543"/>
      <c r="ILT41" s="543"/>
      <c r="ILU41" s="543"/>
      <c r="ILV41" s="543"/>
      <c r="ILW41" s="543"/>
      <c r="ILX41" s="543"/>
      <c r="ILY41" s="543"/>
      <c r="ILZ41" s="543"/>
      <c r="IMA41" s="543"/>
      <c r="IMB41" s="543"/>
      <c r="IMC41" s="543"/>
      <c r="IMD41" s="543"/>
      <c r="IME41" s="543"/>
      <c r="IMF41" s="543"/>
      <c r="IMG41" s="543"/>
      <c r="IMH41" s="543"/>
      <c r="IMI41" s="543"/>
      <c r="IMJ41" s="543"/>
      <c r="IMK41" s="543"/>
      <c r="IML41" s="543"/>
      <c r="IMM41" s="543"/>
      <c r="IMN41" s="543"/>
      <c r="IMO41" s="543"/>
      <c r="IMP41" s="543"/>
      <c r="IMQ41" s="543"/>
      <c r="IMR41" s="543"/>
      <c r="IMS41" s="543"/>
      <c r="IMT41" s="543"/>
      <c r="IMU41" s="543"/>
      <c r="IMV41" s="543"/>
      <c r="IMW41" s="543"/>
      <c r="IMX41" s="543"/>
      <c r="IMY41" s="543"/>
      <c r="IMZ41" s="543"/>
      <c r="INA41" s="543"/>
      <c r="INB41" s="543"/>
      <c r="INC41" s="543"/>
      <c r="IND41" s="543"/>
      <c r="INE41" s="543"/>
      <c r="INF41" s="543"/>
      <c r="ING41" s="543"/>
      <c r="INH41" s="543"/>
      <c r="INI41" s="543"/>
      <c r="INJ41" s="543"/>
      <c r="INK41" s="543"/>
      <c r="INL41" s="543"/>
      <c r="INM41" s="543"/>
      <c r="INN41" s="543"/>
      <c r="INO41" s="543"/>
      <c r="INP41" s="543"/>
      <c r="INQ41" s="543"/>
      <c r="INR41" s="543"/>
      <c r="INS41" s="543"/>
      <c r="INT41" s="543"/>
      <c r="INU41" s="543"/>
      <c r="INV41" s="543"/>
      <c r="INW41" s="543"/>
      <c r="INX41" s="543"/>
      <c r="INY41" s="543"/>
      <c r="INZ41" s="543"/>
      <c r="IOA41" s="543"/>
      <c r="IOB41" s="543"/>
      <c r="IOC41" s="543"/>
      <c r="IOD41" s="543"/>
      <c r="IOE41" s="543"/>
      <c r="IOF41" s="543"/>
      <c r="IOG41" s="543"/>
      <c r="IOH41" s="543"/>
      <c r="IOI41" s="543"/>
      <c r="IOJ41" s="543"/>
      <c r="IOK41" s="543"/>
      <c r="IOL41" s="543"/>
      <c r="IOM41" s="543"/>
      <c r="ION41" s="543"/>
      <c r="IOO41" s="543"/>
      <c r="IOP41" s="543"/>
      <c r="IOQ41" s="543"/>
      <c r="IOR41" s="543"/>
      <c r="IOS41" s="543"/>
      <c r="IOT41" s="543"/>
      <c r="IOU41" s="543"/>
      <c r="IOV41" s="543"/>
      <c r="IOW41" s="543"/>
      <c r="IOX41" s="543"/>
      <c r="IOY41" s="543"/>
      <c r="IOZ41" s="543"/>
      <c r="IPA41" s="543"/>
      <c r="IPB41" s="543"/>
      <c r="IPC41" s="543"/>
      <c r="IPD41" s="543"/>
      <c r="IPE41" s="543"/>
      <c r="IPF41" s="543"/>
      <c r="IPG41" s="543"/>
      <c r="IPH41" s="543"/>
      <c r="IPI41" s="543"/>
      <c r="IPJ41" s="543"/>
      <c r="IPK41" s="543"/>
      <c r="IPL41" s="543"/>
      <c r="IPM41" s="543"/>
      <c r="IPN41" s="543"/>
      <c r="IPO41" s="543"/>
      <c r="IPP41" s="543"/>
      <c r="IPQ41" s="543"/>
      <c r="IPR41" s="543"/>
      <c r="IPS41" s="543"/>
      <c r="IPT41" s="543"/>
      <c r="IPU41" s="543"/>
      <c r="IPV41" s="543"/>
      <c r="IPW41" s="543"/>
      <c r="IPX41" s="543"/>
      <c r="IPY41" s="543"/>
      <c r="IPZ41" s="543"/>
      <c r="IQA41" s="543"/>
      <c r="IQB41" s="543"/>
      <c r="IQC41" s="543"/>
      <c r="IQD41" s="543"/>
      <c r="IQE41" s="543"/>
      <c r="IQF41" s="543"/>
      <c r="IQG41" s="543"/>
      <c r="IQH41" s="543"/>
      <c r="IQI41" s="543"/>
      <c r="IQJ41" s="543"/>
      <c r="IQK41" s="543"/>
      <c r="IQL41" s="543"/>
      <c r="IQM41" s="543"/>
      <c r="IQN41" s="543"/>
      <c r="IQO41" s="543"/>
      <c r="IQP41" s="543"/>
      <c r="IQQ41" s="543"/>
      <c r="IQR41" s="543"/>
      <c r="IQS41" s="543"/>
      <c r="IQT41" s="543"/>
      <c r="IQU41" s="543"/>
      <c r="IQV41" s="543"/>
      <c r="IQW41" s="543"/>
      <c r="IQX41" s="543"/>
      <c r="IQY41" s="543"/>
      <c r="IQZ41" s="543"/>
      <c r="IRA41" s="543"/>
      <c r="IRB41" s="543"/>
      <c r="IRC41" s="543"/>
      <c r="IRD41" s="543"/>
      <c r="IRE41" s="543"/>
      <c r="IRF41" s="543"/>
      <c r="IRG41" s="543"/>
      <c r="IRH41" s="543"/>
      <c r="IRI41" s="543"/>
      <c r="IRJ41" s="543"/>
      <c r="IRK41" s="543"/>
      <c r="IRL41" s="543"/>
      <c r="IRM41" s="543"/>
      <c r="IRN41" s="543"/>
      <c r="IRO41" s="543"/>
      <c r="IRP41" s="543"/>
      <c r="IRQ41" s="543"/>
      <c r="IRR41" s="543"/>
      <c r="IRS41" s="543"/>
      <c r="IRT41" s="543"/>
      <c r="IRU41" s="543"/>
      <c r="IRV41" s="543"/>
      <c r="IRW41" s="543"/>
      <c r="IRX41" s="543"/>
      <c r="IRY41" s="543"/>
      <c r="IRZ41" s="543"/>
      <c r="ISA41" s="543"/>
      <c r="ISB41" s="543"/>
      <c r="ISC41" s="543"/>
      <c r="ISD41" s="543"/>
      <c r="ISE41" s="543"/>
      <c r="ISF41" s="543"/>
      <c r="ISG41" s="543"/>
      <c r="ISH41" s="543"/>
      <c r="ISI41" s="543"/>
      <c r="ISJ41" s="543"/>
      <c r="ISK41" s="543"/>
      <c r="ISL41" s="543"/>
      <c r="ISM41" s="543"/>
      <c r="ISN41" s="543"/>
      <c r="ISO41" s="543"/>
      <c r="ISP41" s="543"/>
      <c r="ISQ41" s="543"/>
      <c r="ISR41" s="543"/>
      <c r="ISS41" s="543"/>
      <c r="IST41" s="543"/>
      <c r="ISU41" s="543"/>
      <c r="ISV41" s="543"/>
      <c r="ISW41" s="543"/>
      <c r="ISX41" s="543"/>
      <c r="ISY41" s="543"/>
      <c r="ISZ41" s="543"/>
      <c r="ITA41" s="543"/>
      <c r="ITB41" s="543"/>
      <c r="ITC41" s="543"/>
      <c r="ITD41" s="543"/>
      <c r="ITE41" s="543"/>
      <c r="ITF41" s="543"/>
      <c r="ITG41" s="543"/>
      <c r="ITH41" s="543"/>
      <c r="ITI41" s="543"/>
      <c r="ITJ41" s="543"/>
      <c r="ITK41" s="543"/>
      <c r="ITL41" s="543"/>
      <c r="ITM41" s="543"/>
      <c r="ITN41" s="543"/>
      <c r="ITO41" s="543"/>
      <c r="ITP41" s="543"/>
      <c r="ITQ41" s="543"/>
      <c r="ITR41" s="543"/>
      <c r="ITS41" s="543"/>
      <c r="ITT41" s="543"/>
      <c r="ITU41" s="543"/>
      <c r="ITV41" s="543"/>
      <c r="ITW41" s="543"/>
      <c r="ITX41" s="543"/>
      <c r="ITY41" s="543"/>
      <c r="ITZ41" s="543"/>
      <c r="IUA41" s="543"/>
      <c r="IUB41" s="543"/>
      <c r="IUC41" s="543"/>
      <c r="IUD41" s="543"/>
      <c r="IUE41" s="543"/>
      <c r="IUF41" s="543"/>
      <c r="IUG41" s="543"/>
      <c r="IUH41" s="543"/>
      <c r="IUI41" s="543"/>
      <c r="IUJ41" s="543"/>
      <c r="IUK41" s="543"/>
      <c r="IUL41" s="543"/>
      <c r="IUM41" s="543"/>
      <c r="IUN41" s="543"/>
      <c r="IUO41" s="543"/>
      <c r="IUP41" s="543"/>
      <c r="IUQ41" s="543"/>
      <c r="IUR41" s="543"/>
      <c r="IUS41" s="543"/>
      <c r="IUT41" s="543"/>
      <c r="IUU41" s="543"/>
      <c r="IUV41" s="543"/>
      <c r="IUW41" s="543"/>
      <c r="IUX41" s="543"/>
      <c r="IUY41" s="543"/>
      <c r="IUZ41" s="543"/>
      <c r="IVA41" s="543"/>
      <c r="IVB41" s="543"/>
      <c r="IVC41" s="543"/>
      <c r="IVD41" s="543"/>
      <c r="IVE41" s="543"/>
      <c r="IVF41" s="543"/>
      <c r="IVG41" s="543"/>
      <c r="IVH41" s="543"/>
      <c r="IVI41" s="543"/>
      <c r="IVJ41" s="543"/>
      <c r="IVK41" s="543"/>
      <c r="IVL41" s="543"/>
      <c r="IVM41" s="543"/>
      <c r="IVN41" s="543"/>
      <c r="IVO41" s="543"/>
      <c r="IVP41" s="543"/>
      <c r="IVQ41" s="543"/>
      <c r="IVR41" s="543"/>
      <c r="IVS41" s="543"/>
      <c r="IVT41" s="543"/>
      <c r="IVU41" s="543"/>
      <c r="IVV41" s="543"/>
      <c r="IVW41" s="543"/>
      <c r="IVX41" s="543"/>
      <c r="IVY41" s="543"/>
      <c r="IVZ41" s="543"/>
      <c r="IWA41" s="543"/>
      <c r="IWB41" s="543"/>
      <c r="IWC41" s="543"/>
      <c r="IWD41" s="543"/>
      <c r="IWE41" s="543"/>
      <c r="IWF41" s="543"/>
      <c r="IWG41" s="543"/>
      <c r="IWH41" s="543"/>
      <c r="IWI41" s="543"/>
      <c r="IWJ41" s="543"/>
      <c r="IWK41" s="543"/>
      <c r="IWL41" s="543"/>
      <c r="IWM41" s="543"/>
      <c r="IWN41" s="543"/>
      <c r="IWO41" s="543"/>
      <c r="IWP41" s="543"/>
      <c r="IWQ41" s="543"/>
      <c r="IWR41" s="543"/>
      <c r="IWS41" s="543"/>
      <c r="IWT41" s="543"/>
      <c r="IWU41" s="543"/>
      <c r="IWV41" s="543"/>
      <c r="IWW41" s="543"/>
      <c r="IWX41" s="543"/>
      <c r="IWY41" s="543"/>
      <c r="IWZ41" s="543"/>
      <c r="IXA41" s="543"/>
      <c r="IXB41" s="543"/>
      <c r="IXC41" s="543"/>
      <c r="IXD41" s="543"/>
      <c r="IXE41" s="543"/>
      <c r="IXF41" s="543"/>
      <c r="IXG41" s="543"/>
      <c r="IXH41" s="543"/>
      <c r="IXI41" s="543"/>
      <c r="IXJ41" s="543"/>
      <c r="IXK41" s="543"/>
      <c r="IXL41" s="543"/>
      <c r="IXM41" s="543"/>
      <c r="IXN41" s="543"/>
      <c r="IXO41" s="543"/>
      <c r="IXP41" s="543"/>
      <c r="IXQ41" s="543"/>
      <c r="IXR41" s="543"/>
      <c r="IXS41" s="543"/>
      <c r="IXT41" s="543"/>
      <c r="IXU41" s="543"/>
      <c r="IXV41" s="543"/>
      <c r="IXW41" s="543"/>
      <c r="IXX41" s="543"/>
      <c r="IXY41" s="543"/>
      <c r="IXZ41" s="543"/>
      <c r="IYA41" s="543"/>
      <c r="IYB41" s="543"/>
      <c r="IYC41" s="543"/>
      <c r="IYD41" s="543"/>
      <c r="IYE41" s="543"/>
      <c r="IYF41" s="543"/>
      <c r="IYG41" s="543"/>
      <c r="IYH41" s="543"/>
      <c r="IYI41" s="543"/>
      <c r="IYJ41" s="543"/>
      <c r="IYK41" s="543"/>
      <c r="IYL41" s="543"/>
      <c r="IYM41" s="543"/>
      <c r="IYN41" s="543"/>
      <c r="IYO41" s="543"/>
      <c r="IYP41" s="543"/>
      <c r="IYQ41" s="543"/>
      <c r="IYR41" s="543"/>
      <c r="IYS41" s="543"/>
      <c r="IYT41" s="543"/>
      <c r="IYU41" s="543"/>
      <c r="IYV41" s="543"/>
      <c r="IYW41" s="543"/>
      <c r="IYX41" s="543"/>
      <c r="IYY41" s="543"/>
      <c r="IYZ41" s="543"/>
      <c r="IZA41" s="543"/>
      <c r="IZB41" s="543"/>
      <c r="IZC41" s="543"/>
      <c r="IZD41" s="543"/>
      <c r="IZE41" s="543"/>
      <c r="IZF41" s="543"/>
      <c r="IZG41" s="543"/>
      <c r="IZH41" s="543"/>
      <c r="IZI41" s="543"/>
      <c r="IZJ41" s="543"/>
      <c r="IZK41" s="543"/>
      <c r="IZL41" s="543"/>
      <c r="IZM41" s="543"/>
      <c r="IZN41" s="543"/>
      <c r="IZO41" s="543"/>
      <c r="IZP41" s="543"/>
      <c r="IZQ41" s="543"/>
      <c r="IZR41" s="543"/>
      <c r="IZS41" s="543"/>
      <c r="IZT41" s="543"/>
      <c r="IZU41" s="543"/>
      <c r="IZV41" s="543"/>
      <c r="IZW41" s="543"/>
      <c r="IZX41" s="543"/>
      <c r="IZY41" s="543"/>
      <c r="IZZ41" s="543"/>
      <c r="JAA41" s="543"/>
      <c r="JAB41" s="543"/>
      <c r="JAC41" s="543"/>
      <c r="JAD41" s="543"/>
      <c r="JAE41" s="543"/>
      <c r="JAF41" s="543"/>
      <c r="JAG41" s="543"/>
      <c r="JAH41" s="543"/>
      <c r="JAI41" s="543"/>
      <c r="JAJ41" s="543"/>
      <c r="JAK41" s="543"/>
      <c r="JAL41" s="543"/>
      <c r="JAM41" s="543"/>
      <c r="JAN41" s="543"/>
      <c r="JAO41" s="543"/>
      <c r="JAP41" s="543"/>
      <c r="JAQ41" s="543"/>
      <c r="JAR41" s="543"/>
      <c r="JAS41" s="543"/>
      <c r="JAT41" s="543"/>
      <c r="JAU41" s="543"/>
      <c r="JAV41" s="543"/>
      <c r="JAW41" s="543"/>
      <c r="JAX41" s="543"/>
      <c r="JAY41" s="543"/>
      <c r="JAZ41" s="543"/>
      <c r="JBA41" s="543"/>
      <c r="JBB41" s="543"/>
      <c r="JBC41" s="543"/>
      <c r="JBD41" s="543"/>
      <c r="JBE41" s="543"/>
      <c r="JBF41" s="543"/>
      <c r="JBG41" s="543"/>
      <c r="JBH41" s="543"/>
      <c r="JBI41" s="543"/>
      <c r="JBJ41" s="543"/>
      <c r="JBK41" s="543"/>
      <c r="JBL41" s="543"/>
      <c r="JBM41" s="543"/>
      <c r="JBN41" s="543"/>
      <c r="JBO41" s="543"/>
      <c r="JBP41" s="543"/>
      <c r="JBQ41" s="543"/>
      <c r="JBR41" s="543"/>
      <c r="JBS41" s="543"/>
      <c r="JBT41" s="543"/>
      <c r="JBU41" s="543"/>
      <c r="JBV41" s="543"/>
      <c r="JBW41" s="543"/>
      <c r="JBX41" s="543"/>
      <c r="JBY41" s="543"/>
      <c r="JBZ41" s="543"/>
      <c r="JCA41" s="543"/>
      <c r="JCB41" s="543"/>
      <c r="JCC41" s="543"/>
      <c r="JCD41" s="543"/>
      <c r="JCE41" s="543"/>
      <c r="JCF41" s="543"/>
      <c r="JCG41" s="543"/>
      <c r="JCH41" s="543"/>
      <c r="JCI41" s="543"/>
      <c r="JCJ41" s="543"/>
      <c r="JCK41" s="543"/>
      <c r="JCL41" s="543"/>
      <c r="JCM41" s="543"/>
      <c r="JCN41" s="543"/>
      <c r="JCO41" s="543"/>
      <c r="JCP41" s="543"/>
      <c r="JCQ41" s="543"/>
      <c r="JCR41" s="543"/>
      <c r="JCS41" s="543"/>
      <c r="JCT41" s="543"/>
      <c r="JCU41" s="543"/>
      <c r="JCV41" s="543"/>
      <c r="JCW41" s="543"/>
      <c r="JCX41" s="543"/>
      <c r="JCY41" s="543"/>
      <c r="JCZ41" s="543"/>
      <c r="JDA41" s="543"/>
      <c r="JDB41" s="543"/>
      <c r="JDC41" s="543"/>
      <c r="JDD41" s="543"/>
      <c r="JDE41" s="543"/>
      <c r="JDF41" s="543"/>
      <c r="JDG41" s="543"/>
      <c r="JDH41" s="543"/>
      <c r="JDI41" s="543"/>
      <c r="JDJ41" s="543"/>
      <c r="JDK41" s="543"/>
      <c r="JDL41" s="543"/>
      <c r="JDM41" s="543"/>
      <c r="JDN41" s="543"/>
      <c r="JDO41" s="543"/>
      <c r="JDP41" s="543"/>
      <c r="JDQ41" s="543"/>
      <c r="JDR41" s="543"/>
      <c r="JDS41" s="543"/>
      <c r="JDT41" s="543"/>
      <c r="JDU41" s="543"/>
      <c r="JDV41" s="543"/>
      <c r="JDW41" s="543"/>
      <c r="JDX41" s="543"/>
      <c r="JDY41" s="543"/>
      <c r="JDZ41" s="543"/>
      <c r="JEA41" s="543"/>
      <c r="JEB41" s="543"/>
      <c r="JEC41" s="543"/>
      <c r="JED41" s="543"/>
      <c r="JEE41" s="543"/>
      <c r="JEF41" s="543"/>
      <c r="JEG41" s="543"/>
      <c r="JEH41" s="543"/>
      <c r="JEI41" s="543"/>
      <c r="JEJ41" s="543"/>
      <c r="JEK41" s="543"/>
      <c r="JEL41" s="543"/>
      <c r="JEM41" s="543"/>
      <c r="JEN41" s="543"/>
      <c r="JEO41" s="543"/>
      <c r="JEP41" s="543"/>
      <c r="JEQ41" s="543"/>
      <c r="JER41" s="543"/>
      <c r="JES41" s="543"/>
      <c r="JET41" s="543"/>
      <c r="JEU41" s="543"/>
      <c r="JEV41" s="543"/>
      <c r="JEW41" s="543"/>
      <c r="JEX41" s="543"/>
      <c r="JEY41" s="543"/>
      <c r="JEZ41" s="543"/>
      <c r="JFA41" s="543"/>
      <c r="JFB41" s="543"/>
      <c r="JFC41" s="543"/>
      <c r="JFD41" s="543"/>
      <c r="JFE41" s="543"/>
      <c r="JFF41" s="543"/>
      <c r="JFG41" s="543"/>
      <c r="JFH41" s="543"/>
      <c r="JFI41" s="543"/>
      <c r="JFJ41" s="543"/>
      <c r="JFK41" s="543"/>
      <c r="JFL41" s="543"/>
      <c r="JFM41" s="543"/>
      <c r="JFN41" s="543"/>
      <c r="JFO41" s="543"/>
      <c r="JFP41" s="543"/>
      <c r="JFQ41" s="543"/>
      <c r="JFR41" s="543"/>
      <c r="JFS41" s="543"/>
      <c r="JFT41" s="543"/>
      <c r="JFU41" s="543"/>
      <c r="JFV41" s="543"/>
      <c r="JFW41" s="543"/>
      <c r="JFX41" s="543"/>
      <c r="JFY41" s="543"/>
      <c r="JFZ41" s="543"/>
      <c r="JGA41" s="543"/>
      <c r="JGB41" s="543"/>
      <c r="JGC41" s="543"/>
      <c r="JGD41" s="543"/>
      <c r="JGE41" s="543"/>
      <c r="JGF41" s="543"/>
      <c r="JGG41" s="543"/>
      <c r="JGH41" s="543"/>
      <c r="JGI41" s="543"/>
      <c r="JGJ41" s="543"/>
      <c r="JGK41" s="543"/>
      <c r="JGL41" s="543"/>
      <c r="JGM41" s="543"/>
      <c r="JGN41" s="543"/>
      <c r="JGO41" s="543"/>
      <c r="JGP41" s="543"/>
      <c r="JGQ41" s="543"/>
      <c r="JGR41" s="543"/>
      <c r="JGS41" s="543"/>
      <c r="JGT41" s="543"/>
      <c r="JGU41" s="543"/>
      <c r="JGV41" s="543"/>
      <c r="JGW41" s="543"/>
      <c r="JGX41" s="543"/>
      <c r="JGY41" s="543"/>
      <c r="JGZ41" s="543"/>
      <c r="JHA41" s="543"/>
      <c r="JHB41" s="543"/>
      <c r="JHC41" s="543"/>
      <c r="JHD41" s="543"/>
      <c r="JHE41" s="543"/>
      <c r="JHF41" s="543"/>
      <c r="JHG41" s="543"/>
      <c r="JHH41" s="543"/>
      <c r="JHI41" s="543"/>
      <c r="JHJ41" s="543"/>
      <c r="JHK41" s="543"/>
      <c r="JHL41" s="543"/>
      <c r="JHM41" s="543"/>
      <c r="JHN41" s="543"/>
      <c r="JHO41" s="543"/>
      <c r="JHP41" s="543"/>
      <c r="JHQ41" s="543"/>
      <c r="JHR41" s="543"/>
      <c r="JHS41" s="543"/>
      <c r="JHT41" s="543"/>
      <c r="JHU41" s="543"/>
      <c r="JHV41" s="543"/>
      <c r="JHW41" s="543"/>
      <c r="JHX41" s="543"/>
      <c r="JHY41" s="543"/>
      <c r="JHZ41" s="543"/>
      <c r="JIA41" s="543"/>
      <c r="JIB41" s="543"/>
      <c r="JIC41" s="543"/>
      <c r="JID41" s="543"/>
      <c r="JIE41" s="543"/>
      <c r="JIF41" s="543"/>
      <c r="JIG41" s="543"/>
      <c r="JIH41" s="543"/>
      <c r="JII41" s="543"/>
      <c r="JIJ41" s="543"/>
      <c r="JIK41" s="543"/>
      <c r="JIL41" s="543"/>
      <c r="JIM41" s="543"/>
      <c r="JIN41" s="543"/>
      <c r="JIO41" s="543"/>
      <c r="JIP41" s="543"/>
      <c r="JIQ41" s="543"/>
      <c r="JIR41" s="543"/>
      <c r="JIS41" s="543"/>
      <c r="JIT41" s="543"/>
      <c r="JIU41" s="543"/>
      <c r="JIV41" s="543"/>
      <c r="JIW41" s="543"/>
      <c r="JIX41" s="543"/>
      <c r="JIY41" s="543"/>
      <c r="JIZ41" s="543"/>
      <c r="JJA41" s="543"/>
      <c r="JJB41" s="543"/>
      <c r="JJC41" s="543"/>
      <c r="JJD41" s="543"/>
      <c r="JJE41" s="543"/>
      <c r="JJF41" s="543"/>
      <c r="JJG41" s="543"/>
      <c r="JJH41" s="543"/>
      <c r="JJI41" s="543"/>
      <c r="JJJ41" s="543"/>
      <c r="JJK41" s="543"/>
      <c r="JJL41" s="543"/>
      <c r="JJM41" s="543"/>
      <c r="JJN41" s="543"/>
      <c r="JJO41" s="543"/>
      <c r="JJP41" s="543"/>
      <c r="JJQ41" s="543"/>
      <c r="JJR41" s="543"/>
      <c r="JJS41" s="543"/>
      <c r="JJT41" s="543"/>
      <c r="JJU41" s="543"/>
      <c r="JJV41" s="543"/>
      <c r="JJW41" s="543"/>
      <c r="JJX41" s="543"/>
      <c r="JJY41" s="543"/>
      <c r="JJZ41" s="543"/>
      <c r="JKA41" s="543"/>
      <c r="JKB41" s="543"/>
      <c r="JKC41" s="543"/>
      <c r="JKD41" s="543"/>
      <c r="JKE41" s="543"/>
      <c r="JKF41" s="543"/>
      <c r="JKG41" s="543"/>
      <c r="JKH41" s="543"/>
      <c r="JKI41" s="543"/>
      <c r="JKJ41" s="543"/>
      <c r="JKK41" s="543"/>
      <c r="JKL41" s="543"/>
      <c r="JKM41" s="543"/>
      <c r="JKN41" s="543"/>
      <c r="JKO41" s="543"/>
      <c r="JKP41" s="543"/>
      <c r="JKQ41" s="543"/>
      <c r="JKR41" s="543"/>
      <c r="JKS41" s="543"/>
      <c r="JKT41" s="543"/>
      <c r="JKU41" s="543"/>
      <c r="JKV41" s="543"/>
      <c r="JKW41" s="543"/>
      <c r="JKX41" s="543"/>
      <c r="JKY41" s="543"/>
      <c r="JKZ41" s="543"/>
      <c r="JLA41" s="543"/>
      <c r="JLB41" s="543"/>
      <c r="JLC41" s="543"/>
      <c r="JLD41" s="543"/>
      <c r="JLE41" s="543"/>
      <c r="JLF41" s="543"/>
      <c r="JLG41" s="543"/>
      <c r="JLH41" s="543"/>
      <c r="JLI41" s="543"/>
      <c r="JLJ41" s="543"/>
      <c r="JLK41" s="543"/>
      <c r="JLL41" s="543"/>
      <c r="JLM41" s="543"/>
      <c r="JLN41" s="543"/>
      <c r="JLO41" s="543"/>
      <c r="JLP41" s="543"/>
      <c r="JLQ41" s="543"/>
      <c r="JLR41" s="543"/>
      <c r="JLS41" s="543"/>
      <c r="JLT41" s="543"/>
      <c r="JLU41" s="543"/>
      <c r="JLV41" s="543"/>
      <c r="JLW41" s="543"/>
      <c r="JLX41" s="543"/>
      <c r="JLY41" s="543"/>
      <c r="JLZ41" s="543"/>
      <c r="JMA41" s="543"/>
      <c r="JMB41" s="543"/>
      <c r="JMC41" s="543"/>
      <c r="JMD41" s="543"/>
      <c r="JME41" s="543"/>
      <c r="JMF41" s="543"/>
      <c r="JMG41" s="543"/>
      <c r="JMH41" s="543"/>
      <c r="JMI41" s="543"/>
      <c r="JMJ41" s="543"/>
      <c r="JMK41" s="543"/>
      <c r="JML41" s="543"/>
      <c r="JMM41" s="543"/>
      <c r="JMN41" s="543"/>
      <c r="JMO41" s="543"/>
      <c r="JMP41" s="543"/>
      <c r="JMQ41" s="543"/>
      <c r="JMR41" s="543"/>
      <c r="JMS41" s="543"/>
      <c r="JMT41" s="543"/>
      <c r="JMU41" s="543"/>
      <c r="JMV41" s="543"/>
      <c r="JMW41" s="543"/>
      <c r="JMX41" s="543"/>
      <c r="JMY41" s="543"/>
      <c r="JMZ41" s="543"/>
      <c r="JNA41" s="543"/>
      <c r="JNB41" s="543"/>
      <c r="JNC41" s="543"/>
      <c r="JND41" s="543"/>
      <c r="JNE41" s="543"/>
      <c r="JNF41" s="543"/>
      <c r="JNG41" s="543"/>
      <c r="JNH41" s="543"/>
      <c r="JNI41" s="543"/>
      <c r="JNJ41" s="543"/>
      <c r="JNK41" s="543"/>
      <c r="JNL41" s="543"/>
      <c r="JNM41" s="543"/>
      <c r="JNN41" s="543"/>
      <c r="JNO41" s="543"/>
      <c r="JNP41" s="543"/>
      <c r="JNQ41" s="543"/>
      <c r="JNR41" s="543"/>
      <c r="JNS41" s="543"/>
      <c r="JNT41" s="543"/>
      <c r="JNU41" s="543"/>
      <c r="JNV41" s="543"/>
      <c r="JNW41" s="543"/>
      <c r="JNX41" s="543"/>
      <c r="JNY41" s="543"/>
      <c r="JNZ41" s="543"/>
      <c r="JOA41" s="543"/>
      <c r="JOB41" s="543"/>
      <c r="JOC41" s="543"/>
      <c r="JOD41" s="543"/>
      <c r="JOE41" s="543"/>
      <c r="JOF41" s="543"/>
      <c r="JOG41" s="543"/>
      <c r="JOH41" s="543"/>
      <c r="JOI41" s="543"/>
      <c r="JOJ41" s="543"/>
      <c r="JOK41" s="543"/>
      <c r="JOL41" s="543"/>
      <c r="JOM41" s="543"/>
      <c r="JON41" s="543"/>
      <c r="JOO41" s="543"/>
      <c r="JOP41" s="543"/>
      <c r="JOQ41" s="543"/>
      <c r="JOR41" s="543"/>
      <c r="JOS41" s="543"/>
      <c r="JOT41" s="543"/>
      <c r="JOU41" s="543"/>
      <c r="JOV41" s="543"/>
      <c r="JOW41" s="543"/>
      <c r="JOX41" s="543"/>
      <c r="JOY41" s="543"/>
      <c r="JOZ41" s="543"/>
      <c r="JPA41" s="543"/>
      <c r="JPB41" s="543"/>
      <c r="JPC41" s="543"/>
      <c r="JPD41" s="543"/>
      <c r="JPE41" s="543"/>
      <c r="JPF41" s="543"/>
      <c r="JPG41" s="543"/>
      <c r="JPH41" s="543"/>
      <c r="JPI41" s="543"/>
      <c r="JPJ41" s="543"/>
      <c r="JPK41" s="543"/>
      <c r="JPL41" s="543"/>
      <c r="JPM41" s="543"/>
      <c r="JPN41" s="543"/>
      <c r="JPO41" s="543"/>
      <c r="JPP41" s="543"/>
      <c r="JPQ41" s="543"/>
      <c r="JPR41" s="543"/>
      <c r="JPS41" s="543"/>
      <c r="JPT41" s="543"/>
      <c r="JPU41" s="543"/>
      <c r="JPV41" s="543"/>
      <c r="JPW41" s="543"/>
      <c r="JPX41" s="543"/>
      <c r="JPY41" s="543"/>
      <c r="JPZ41" s="543"/>
      <c r="JQA41" s="543"/>
      <c r="JQB41" s="543"/>
      <c r="JQC41" s="543"/>
      <c r="JQD41" s="543"/>
      <c r="JQE41" s="543"/>
      <c r="JQF41" s="543"/>
      <c r="JQG41" s="543"/>
      <c r="JQH41" s="543"/>
      <c r="JQI41" s="543"/>
      <c r="JQJ41" s="543"/>
      <c r="JQK41" s="543"/>
      <c r="JQL41" s="543"/>
      <c r="JQM41" s="543"/>
      <c r="JQN41" s="543"/>
      <c r="JQO41" s="543"/>
      <c r="JQP41" s="543"/>
      <c r="JQQ41" s="543"/>
      <c r="JQR41" s="543"/>
      <c r="JQS41" s="543"/>
      <c r="JQT41" s="543"/>
      <c r="JQU41" s="543"/>
      <c r="JQV41" s="543"/>
      <c r="JQW41" s="543"/>
      <c r="JQX41" s="543"/>
      <c r="JQY41" s="543"/>
      <c r="JQZ41" s="543"/>
      <c r="JRA41" s="543"/>
      <c r="JRB41" s="543"/>
      <c r="JRC41" s="543"/>
      <c r="JRD41" s="543"/>
      <c r="JRE41" s="543"/>
      <c r="JRF41" s="543"/>
      <c r="JRG41" s="543"/>
      <c r="JRH41" s="543"/>
      <c r="JRI41" s="543"/>
      <c r="JRJ41" s="543"/>
      <c r="JRK41" s="543"/>
      <c r="JRL41" s="543"/>
      <c r="JRM41" s="543"/>
      <c r="JRN41" s="543"/>
      <c r="JRO41" s="543"/>
      <c r="JRP41" s="543"/>
      <c r="JRQ41" s="543"/>
      <c r="JRR41" s="543"/>
      <c r="JRS41" s="543"/>
      <c r="JRT41" s="543"/>
      <c r="JRU41" s="543"/>
      <c r="JRV41" s="543"/>
      <c r="JRW41" s="543"/>
      <c r="JRX41" s="543"/>
      <c r="JRY41" s="543"/>
      <c r="JRZ41" s="543"/>
      <c r="JSA41" s="543"/>
      <c r="JSB41" s="543"/>
      <c r="JSC41" s="543"/>
      <c r="JSD41" s="543"/>
      <c r="JSE41" s="543"/>
      <c r="JSF41" s="543"/>
      <c r="JSG41" s="543"/>
      <c r="JSH41" s="543"/>
      <c r="JSI41" s="543"/>
      <c r="JSJ41" s="543"/>
      <c r="JSK41" s="543"/>
      <c r="JSL41" s="543"/>
      <c r="JSM41" s="543"/>
      <c r="JSN41" s="543"/>
      <c r="JSO41" s="543"/>
      <c r="JSP41" s="543"/>
      <c r="JSQ41" s="543"/>
      <c r="JSR41" s="543"/>
      <c r="JSS41" s="543"/>
      <c r="JST41" s="543"/>
      <c r="JSU41" s="543"/>
      <c r="JSV41" s="543"/>
      <c r="JSW41" s="543"/>
      <c r="JSX41" s="543"/>
      <c r="JSY41" s="543"/>
      <c r="JSZ41" s="543"/>
      <c r="JTA41" s="543"/>
      <c r="JTB41" s="543"/>
      <c r="JTC41" s="543"/>
      <c r="JTD41" s="543"/>
      <c r="JTE41" s="543"/>
      <c r="JTF41" s="543"/>
      <c r="JTG41" s="543"/>
      <c r="JTH41" s="543"/>
      <c r="JTI41" s="543"/>
      <c r="JTJ41" s="543"/>
      <c r="JTK41" s="543"/>
      <c r="JTL41" s="543"/>
      <c r="JTM41" s="543"/>
      <c r="JTN41" s="543"/>
      <c r="JTO41" s="543"/>
      <c r="JTP41" s="543"/>
      <c r="JTQ41" s="543"/>
      <c r="JTR41" s="543"/>
      <c r="JTS41" s="543"/>
      <c r="JTT41" s="543"/>
      <c r="JTU41" s="543"/>
      <c r="JTV41" s="543"/>
      <c r="JTW41" s="543"/>
      <c r="JTX41" s="543"/>
      <c r="JTY41" s="543"/>
      <c r="JTZ41" s="543"/>
      <c r="JUA41" s="543"/>
      <c r="JUB41" s="543"/>
      <c r="JUC41" s="543"/>
      <c r="JUD41" s="543"/>
      <c r="JUE41" s="543"/>
      <c r="JUF41" s="543"/>
      <c r="JUG41" s="543"/>
      <c r="JUH41" s="543"/>
      <c r="JUI41" s="543"/>
      <c r="JUJ41" s="543"/>
      <c r="JUK41" s="543"/>
      <c r="JUL41" s="543"/>
      <c r="JUM41" s="543"/>
      <c r="JUN41" s="543"/>
      <c r="JUO41" s="543"/>
      <c r="JUP41" s="543"/>
      <c r="JUQ41" s="543"/>
      <c r="JUR41" s="543"/>
      <c r="JUS41" s="543"/>
      <c r="JUT41" s="543"/>
      <c r="JUU41" s="543"/>
      <c r="JUV41" s="543"/>
      <c r="JUW41" s="543"/>
      <c r="JUX41" s="543"/>
      <c r="JUY41" s="543"/>
      <c r="JUZ41" s="543"/>
      <c r="JVA41" s="543"/>
      <c r="JVB41" s="543"/>
      <c r="JVC41" s="543"/>
      <c r="JVD41" s="543"/>
      <c r="JVE41" s="543"/>
      <c r="JVF41" s="543"/>
      <c r="JVG41" s="543"/>
      <c r="JVH41" s="543"/>
      <c r="JVI41" s="543"/>
      <c r="JVJ41" s="543"/>
      <c r="JVK41" s="543"/>
      <c r="JVL41" s="543"/>
      <c r="JVM41" s="543"/>
      <c r="JVN41" s="543"/>
      <c r="JVO41" s="543"/>
      <c r="JVP41" s="543"/>
      <c r="JVQ41" s="543"/>
      <c r="JVR41" s="543"/>
      <c r="JVS41" s="543"/>
      <c r="JVT41" s="543"/>
      <c r="JVU41" s="543"/>
      <c r="JVV41" s="543"/>
      <c r="JVW41" s="543"/>
      <c r="JVX41" s="543"/>
      <c r="JVY41" s="543"/>
      <c r="JVZ41" s="543"/>
      <c r="JWA41" s="543"/>
      <c r="JWB41" s="543"/>
      <c r="JWC41" s="543"/>
      <c r="JWD41" s="543"/>
      <c r="JWE41" s="543"/>
      <c r="JWF41" s="543"/>
      <c r="JWG41" s="543"/>
      <c r="JWH41" s="543"/>
      <c r="JWI41" s="543"/>
      <c r="JWJ41" s="543"/>
      <c r="JWK41" s="543"/>
      <c r="JWL41" s="543"/>
      <c r="JWM41" s="543"/>
      <c r="JWN41" s="543"/>
      <c r="JWO41" s="543"/>
      <c r="JWP41" s="543"/>
      <c r="JWQ41" s="543"/>
      <c r="JWR41" s="543"/>
      <c r="JWS41" s="543"/>
      <c r="JWT41" s="543"/>
      <c r="JWU41" s="543"/>
      <c r="JWV41" s="543"/>
      <c r="JWW41" s="543"/>
      <c r="JWX41" s="543"/>
      <c r="JWY41" s="543"/>
      <c r="JWZ41" s="543"/>
      <c r="JXA41" s="543"/>
      <c r="JXB41" s="543"/>
      <c r="JXC41" s="543"/>
      <c r="JXD41" s="543"/>
      <c r="JXE41" s="543"/>
      <c r="JXF41" s="543"/>
      <c r="JXG41" s="543"/>
      <c r="JXH41" s="543"/>
      <c r="JXI41" s="543"/>
      <c r="JXJ41" s="543"/>
      <c r="JXK41" s="543"/>
      <c r="JXL41" s="543"/>
      <c r="JXM41" s="543"/>
      <c r="JXN41" s="543"/>
      <c r="JXO41" s="543"/>
      <c r="JXP41" s="543"/>
      <c r="JXQ41" s="543"/>
      <c r="JXR41" s="543"/>
      <c r="JXS41" s="543"/>
      <c r="JXT41" s="543"/>
      <c r="JXU41" s="543"/>
      <c r="JXV41" s="543"/>
      <c r="JXW41" s="543"/>
      <c r="JXX41" s="543"/>
      <c r="JXY41" s="543"/>
      <c r="JXZ41" s="543"/>
      <c r="JYA41" s="543"/>
      <c r="JYB41" s="543"/>
      <c r="JYC41" s="543"/>
      <c r="JYD41" s="543"/>
      <c r="JYE41" s="543"/>
      <c r="JYF41" s="543"/>
      <c r="JYG41" s="543"/>
      <c r="JYH41" s="543"/>
      <c r="JYI41" s="543"/>
      <c r="JYJ41" s="543"/>
      <c r="JYK41" s="543"/>
      <c r="JYL41" s="543"/>
      <c r="JYM41" s="543"/>
      <c r="JYN41" s="543"/>
      <c r="JYO41" s="543"/>
      <c r="JYP41" s="543"/>
      <c r="JYQ41" s="543"/>
      <c r="JYR41" s="543"/>
      <c r="JYS41" s="543"/>
      <c r="JYT41" s="543"/>
      <c r="JYU41" s="543"/>
      <c r="JYV41" s="543"/>
      <c r="JYW41" s="543"/>
      <c r="JYX41" s="543"/>
      <c r="JYY41" s="543"/>
      <c r="JYZ41" s="543"/>
      <c r="JZA41" s="543"/>
      <c r="JZB41" s="543"/>
      <c r="JZC41" s="543"/>
      <c r="JZD41" s="543"/>
      <c r="JZE41" s="543"/>
      <c r="JZF41" s="543"/>
      <c r="JZG41" s="543"/>
      <c r="JZH41" s="543"/>
      <c r="JZI41" s="543"/>
      <c r="JZJ41" s="543"/>
      <c r="JZK41" s="543"/>
      <c r="JZL41" s="543"/>
      <c r="JZM41" s="543"/>
      <c r="JZN41" s="543"/>
      <c r="JZO41" s="543"/>
      <c r="JZP41" s="543"/>
      <c r="JZQ41" s="543"/>
      <c r="JZR41" s="543"/>
      <c r="JZS41" s="543"/>
      <c r="JZT41" s="543"/>
      <c r="JZU41" s="543"/>
      <c r="JZV41" s="543"/>
      <c r="JZW41" s="543"/>
      <c r="JZX41" s="543"/>
      <c r="JZY41" s="543"/>
      <c r="JZZ41" s="543"/>
      <c r="KAA41" s="543"/>
      <c r="KAB41" s="543"/>
      <c r="KAC41" s="543"/>
      <c r="KAD41" s="543"/>
      <c r="KAE41" s="543"/>
      <c r="KAF41" s="543"/>
      <c r="KAG41" s="543"/>
      <c r="KAH41" s="543"/>
      <c r="KAI41" s="543"/>
      <c r="KAJ41" s="543"/>
      <c r="KAK41" s="543"/>
      <c r="KAL41" s="543"/>
      <c r="KAM41" s="543"/>
      <c r="KAN41" s="543"/>
      <c r="KAO41" s="543"/>
      <c r="KAP41" s="543"/>
      <c r="KAQ41" s="543"/>
      <c r="KAR41" s="543"/>
      <c r="KAS41" s="543"/>
      <c r="KAT41" s="543"/>
      <c r="KAU41" s="543"/>
      <c r="KAV41" s="543"/>
      <c r="KAW41" s="543"/>
      <c r="KAX41" s="543"/>
      <c r="KAY41" s="543"/>
      <c r="KAZ41" s="543"/>
      <c r="KBA41" s="543"/>
      <c r="KBB41" s="543"/>
      <c r="KBC41" s="543"/>
      <c r="KBD41" s="543"/>
      <c r="KBE41" s="543"/>
      <c r="KBF41" s="543"/>
      <c r="KBG41" s="543"/>
      <c r="KBH41" s="543"/>
      <c r="KBI41" s="543"/>
      <c r="KBJ41" s="543"/>
      <c r="KBK41" s="543"/>
      <c r="KBL41" s="543"/>
      <c r="KBM41" s="543"/>
      <c r="KBN41" s="543"/>
      <c r="KBO41" s="543"/>
      <c r="KBP41" s="543"/>
      <c r="KBQ41" s="543"/>
      <c r="KBR41" s="543"/>
      <c r="KBS41" s="543"/>
      <c r="KBT41" s="543"/>
      <c r="KBU41" s="543"/>
      <c r="KBV41" s="543"/>
      <c r="KBW41" s="543"/>
      <c r="KBX41" s="543"/>
      <c r="KBY41" s="543"/>
      <c r="KBZ41" s="543"/>
      <c r="KCA41" s="543"/>
      <c r="KCB41" s="543"/>
      <c r="KCC41" s="543"/>
      <c r="KCD41" s="543"/>
      <c r="KCE41" s="543"/>
      <c r="KCF41" s="543"/>
      <c r="KCG41" s="543"/>
      <c r="KCH41" s="543"/>
      <c r="KCI41" s="543"/>
      <c r="KCJ41" s="543"/>
      <c r="KCK41" s="543"/>
      <c r="KCL41" s="543"/>
      <c r="KCM41" s="543"/>
      <c r="KCN41" s="543"/>
      <c r="KCO41" s="543"/>
      <c r="KCP41" s="543"/>
      <c r="KCQ41" s="543"/>
      <c r="KCR41" s="543"/>
      <c r="KCS41" s="543"/>
      <c r="KCT41" s="543"/>
      <c r="KCU41" s="543"/>
      <c r="KCV41" s="543"/>
      <c r="KCW41" s="543"/>
      <c r="KCX41" s="543"/>
      <c r="KCY41" s="543"/>
      <c r="KCZ41" s="543"/>
      <c r="KDA41" s="543"/>
      <c r="KDB41" s="543"/>
      <c r="KDC41" s="543"/>
      <c r="KDD41" s="543"/>
      <c r="KDE41" s="543"/>
      <c r="KDF41" s="543"/>
      <c r="KDG41" s="543"/>
      <c r="KDH41" s="543"/>
      <c r="KDI41" s="543"/>
      <c r="KDJ41" s="543"/>
      <c r="KDK41" s="543"/>
      <c r="KDL41" s="543"/>
      <c r="KDM41" s="543"/>
      <c r="KDN41" s="543"/>
      <c r="KDO41" s="543"/>
      <c r="KDP41" s="543"/>
      <c r="KDQ41" s="543"/>
      <c r="KDR41" s="543"/>
      <c r="KDS41" s="543"/>
      <c r="KDT41" s="543"/>
      <c r="KDU41" s="543"/>
      <c r="KDV41" s="543"/>
      <c r="KDW41" s="543"/>
      <c r="KDX41" s="543"/>
      <c r="KDY41" s="543"/>
      <c r="KDZ41" s="543"/>
      <c r="KEA41" s="543"/>
      <c r="KEB41" s="543"/>
      <c r="KEC41" s="543"/>
      <c r="KED41" s="543"/>
      <c r="KEE41" s="543"/>
      <c r="KEF41" s="543"/>
      <c r="KEG41" s="543"/>
      <c r="KEH41" s="543"/>
      <c r="KEI41" s="543"/>
      <c r="KEJ41" s="543"/>
      <c r="KEK41" s="543"/>
      <c r="KEL41" s="543"/>
      <c r="KEM41" s="543"/>
      <c r="KEN41" s="543"/>
      <c r="KEO41" s="543"/>
      <c r="KEP41" s="543"/>
      <c r="KEQ41" s="543"/>
      <c r="KER41" s="543"/>
      <c r="KES41" s="543"/>
      <c r="KET41" s="543"/>
      <c r="KEU41" s="543"/>
      <c r="KEV41" s="543"/>
      <c r="KEW41" s="543"/>
      <c r="KEX41" s="543"/>
      <c r="KEY41" s="543"/>
      <c r="KEZ41" s="543"/>
      <c r="KFA41" s="543"/>
      <c r="KFB41" s="543"/>
      <c r="KFC41" s="543"/>
      <c r="KFD41" s="543"/>
      <c r="KFE41" s="543"/>
      <c r="KFF41" s="543"/>
      <c r="KFG41" s="543"/>
      <c r="KFH41" s="543"/>
      <c r="KFI41" s="543"/>
      <c r="KFJ41" s="543"/>
      <c r="KFK41" s="543"/>
      <c r="KFL41" s="543"/>
      <c r="KFM41" s="543"/>
      <c r="KFN41" s="543"/>
      <c r="KFO41" s="543"/>
      <c r="KFP41" s="543"/>
      <c r="KFQ41" s="543"/>
      <c r="KFR41" s="543"/>
      <c r="KFS41" s="543"/>
      <c r="KFT41" s="543"/>
      <c r="KFU41" s="543"/>
      <c r="KFV41" s="543"/>
      <c r="KFW41" s="543"/>
      <c r="KFX41" s="543"/>
      <c r="KFY41" s="543"/>
      <c r="KFZ41" s="543"/>
      <c r="KGA41" s="543"/>
      <c r="KGB41" s="543"/>
      <c r="KGC41" s="543"/>
      <c r="KGD41" s="543"/>
      <c r="KGE41" s="543"/>
      <c r="KGF41" s="543"/>
      <c r="KGG41" s="543"/>
      <c r="KGH41" s="543"/>
      <c r="KGI41" s="543"/>
      <c r="KGJ41" s="543"/>
      <c r="KGK41" s="543"/>
      <c r="KGL41" s="543"/>
      <c r="KGM41" s="543"/>
      <c r="KGN41" s="543"/>
      <c r="KGO41" s="543"/>
      <c r="KGP41" s="543"/>
      <c r="KGQ41" s="543"/>
      <c r="KGR41" s="543"/>
      <c r="KGS41" s="543"/>
      <c r="KGT41" s="543"/>
      <c r="KGU41" s="543"/>
      <c r="KGV41" s="543"/>
      <c r="KGW41" s="543"/>
      <c r="KGX41" s="543"/>
      <c r="KGY41" s="543"/>
      <c r="KGZ41" s="543"/>
      <c r="KHA41" s="543"/>
      <c r="KHB41" s="543"/>
      <c r="KHC41" s="543"/>
      <c r="KHD41" s="543"/>
      <c r="KHE41" s="543"/>
      <c r="KHF41" s="543"/>
      <c r="KHG41" s="543"/>
      <c r="KHH41" s="543"/>
      <c r="KHI41" s="543"/>
      <c r="KHJ41" s="543"/>
      <c r="KHK41" s="543"/>
      <c r="KHL41" s="543"/>
      <c r="KHM41" s="543"/>
      <c r="KHN41" s="543"/>
      <c r="KHO41" s="543"/>
      <c r="KHP41" s="543"/>
      <c r="KHQ41" s="543"/>
      <c r="KHR41" s="543"/>
      <c r="KHS41" s="543"/>
      <c r="KHT41" s="543"/>
      <c r="KHU41" s="543"/>
      <c r="KHV41" s="543"/>
      <c r="KHW41" s="543"/>
      <c r="KHX41" s="543"/>
      <c r="KHY41" s="543"/>
      <c r="KHZ41" s="543"/>
      <c r="KIA41" s="543"/>
      <c r="KIB41" s="543"/>
      <c r="KIC41" s="543"/>
      <c r="KID41" s="543"/>
      <c r="KIE41" s="543"/>
      <c r="KIF41" s="543"/>
      <c r="KIG41" s="543"/>
      <c r="KIH41" s="543"/>
      <c r="KII41" s="543"/>
      <c r="KIJ41" s="543"/>
      <c r="KIK41" s="543"/>
      <c r="KIL41" s="543"/>
      <c r="KIM41" s="543"/>
      <c r="KIN41" s="543"/>
      <c r="KIO41" s="543"/>
      <c r="KIP41" s="543"/>
      <c r="KIQ41" s="543"/>
      <c r="KIR41" s="543"/>
      <c r="KIS41" s="543"/>
      <c r="KIT41" s="543"/>
      <c r="KIU41" s="543"/>
      <c r="KIV41" s="543"/>
      <c r="KIW41" s="543"/>
      <c r="KIX41" s="543"/>
      <c r="KIY41" s="543"/>
      <c r="KIZ41" s="543"/>
      <c r="KJA41" s="543"/>
      <c r="KJB41" s="543"/>
      <c r="KJC41" s="543"/>
      <c r="KJD41" s="543"/>
      <c r="KJE41" s="543"/>
      <c r="KJF41" s="543"/>
      <c r="KJG41" s="543"/>
      <c r="KJH41" s="543"/>
      <c r="KJI41" s="543"/>
      <c r="KJJ41" s="543"/>
      <c r="KJK41" s="543"/>
      <c r="KJL41" s="543"/>
      <c r="KJM41" s="543"/>
      <c r="KJN41" s="543"/>
      <c r="KJO41" s="543"/>
      <c r="KJP41" s="543"/>
      <c r="KJQ41" s="543"/>
      <c r="KJR41" s="543"/>
      <c r="KJS41" s="543"/>
      <c r="KJT41" s="543"/>
      <c r="KJU41" s="543"/>
      <c r="KJV41" s="543"/>
      <c r="KJW41" s="543"/>
      <c r="KJX41" s="543"/>
      <c r="KJY41" s="543"/>
      <c r="KJZ41" s="543"/>
      <c r="KKA41" s="543"/>
      <c r="KKB41" s="543"/>
      <c r="KKC41" s="543"/>
      <c r="KKD41" s="543"/>
      <c r="KKE41" s="543"/>
      <c r="KKF41" s="543"/>
      <c r="KKG41" s="543"/>
      <c r="KKH41" s="543"/>
      <c r="KKI41" s="543"/>
      <c r="KKJ41" s="543"/>
      <c r="KKK41" s="543"/>
      <c r="KKL41" s="543"/>
      <c r="KKM41" s="543"/>
      <c r="KKN41" s="543"/>
      <c r="KKO41" s="543"/>
      <c r="KKP41" s="543"/>
      <c r="KKQ41" s="543"/>
      <c r="KKR41" s="543"/>
      <c r="KKS41" s="543"/>
      <c r="KKT41" s="543"/>
      <c r="KKU41" s="543"/>
      <c r="KKV41" s="543"/>
      <c r="KKW41" s="543"/>
      <c r="KKX41" s="543"/>
      <c r="KKY41" s="543"/>
      <c r="KKZ41" s="543"/>
      <c r="KLA41" s="543"/>
      <c r="KLB41" s="543"/>
      <c r="KLC41" s="543"/>
      <c r="KLD41" s="543"/>
      <c r="KLE41" s="543"/>
      <c r="KLF41" s="543"/>
      <c r="KLG41" s="543"/>
      <c r="KLH41" s="543"/>
      <c r="KLI41" s="543"/>
      <c r="KLJ41" s="543"/>
      <c r="KLK41" s="543"/>
      <c r="KLL41" s="543"/>
      <c r="KLM41" s="543"/>
      <c r="KLN41" s="543"/>
      <c r="KLO41" s="543"/>
      <c r="KLP41" s="543"/>
      <c r="KLQ41" s="543"/>
      <c r="KLR41" s="543"/>
      <c r="KLS41" s="543"/>
      <c r="KLT41" s="543"/>
      <c r="KLU41" s="543"/>
      <c r="KLV41" s="543"/>
      <c r="KLW41" s="543"/>
      <c r="KLX41" s="543"/>
      <c r="KLY41" s="543"/>
      <c r="KLZ41" s="543"/>
      <c r="KMA41" s="543"/>
      <c r="KMB41" s="543"/>
      <c r="KMC41" s="543"/>
      <c r="KMD41" s="543"/>
      <c r="KME41" s="543"/>
      <c r="KMF41" s="543"/>
      <c r="KMG41" s="543"/>
      <c r="KMH41" s="543"/>
      <c r="KMI41" s="543"/>
      <c r="KMJ41" s="543"/>
      <c r="KMK41" s="543"/>
      <c r="KML41" s="543"/>
      <c r="KMM41" s="543"/>
      <c r="KMN41" s="543"/>
      <c r="KMO41" s="543"/>
      <c r="KMP41" s="543"/>
      <c r="KMQ41" s="543"/>
      <c r="KMR41" s="543"/>
      <c r="KMS41" s="543"/>
      <c r="KMT41" s="543"/>
      <c r="KMU41" s="543"/>
      <c r="KMV41" s="543"/>
      <c r="KMW41" s="543"/>
      <c r="KMX41" s="543"/>
      <c r="KMY41" s="543"/>
      <c r="KMZ41" s="543"/>
      <c r="KNA41" s="543"/>
      <c r="KNB41" s="543"/>
      <c r="KNC41" s="543"/>
      <c r="KND41" s="543"/>
      <c r="KNE41" s="543"/>
      <c r="KNF41" s="543"/>
      <c r="KNG41" s="543"/>
      <c r="KNH41" s="543"/>
      <c r="KNI41" s="543"/>
      <c r="KNJ41" s="543"/>
      <c r="KNK41" s="543"/>
      <c r="KNL41" s="543"/>
      <c r="KNM41" s="543"/>
      <c r="KNN41" s="543"/>
      <c r="KNO41" s="543"/>
      <c r="KNP41" s="543"/>
      <c r="KNQ41" s="543"/>
      <c r="KNR41" s="543"/>
      <c r="KNS41" s="543"/>
      <c r="KNT41" s="543"/>
      <c r="KNU41" s="543"/>
      <c r="KNV41" s="543"/>
      <c r="KNW41" s="543"/>
      <c r="KNX41" s="543"/>
      <c r="KNY41" s="543"/>
      <c r="KNZ41" s="543"/>
      <c r="KOA41" s="543"/>
      <c r="KOB41" s="543"/>
      <c r="KOC41" s="543"/>
      <c r="KOD41" s="543"/>
      <c r="KOE41" s="543"/>
      <c r="KOF41" s="543"/>
      <c r="KOG41" s="543"/>
      <c r="KOH41" s="543"/>
      <c r="KOI41" s="543"/>
      <c r="KOJ41" s="543"/>
      <c r="KOK41" s="543"/>
      <c r="KOL41" s="543"/>
      <c r="KOM41" s="543"/>
      <c r="KON41" s="543"/>
      <c r="KOO41" s="543"/>
      <c r="KOP41" s="543"/>
      <c r="KOQ41" s="543"/>
      <c r="KOR41" s="543"/>
      <c r="KOS41" s="543"/>
      <c r="KOT41" s="543"/>
      <c r="KOU41" s="543"/>
      <c r="KOV41" s="543"/>
      <c r="KOW41" s="543"/>
      <c r="KOX41" s="543"/>
      <c r="KOY41" s="543"/>
      <c r="KOZ41" s="543"/>
      <c r="KPA41" s="543"/>
      <c r="KPB41" s="543"/>
      <c r="KPC41" s="543"/>
      <c r="KPD41" s="543"/>
      <c r="KPE41" s="543"/>
      <c r="KPF41" s="543"/>
      <c r="KPG41" s="543"/>
      <c r="KPH41" s="543"/>
      <c r="KPI41" s="543"/>
      <c r="KPJ41" s="543"/>
      <c r="KPK41" s="543"/>
      <c r="KPL41" s="543"/>
      <c r="KPM41" s="543"/>
      <c r="KPN41" s="543"/>
      <c r="KPO41" s="543"/>
      <c r="KPP41" s="543"/>
      <c r="KPQ41" s="543"/>
      <c r="KPR41" s="543"/>
      <c r="KPS41" s="543"/>
      <c r="KPT41" s="543"/>
      <c r="KPU41" s="543"/>
      <c r="KPV41" s="543"/>
      <c r="KPW41" s="543"/>
      <c r="KPX41" s="543"/>
      <c r="KPY41" s="543"/>
      <c r="KPZ41" s="543"/>
      <c r="KQA41" s="543"/>
      <c r="KQB41" s="543"/>
      <c r="KQC41" s="543"/>
      <c r="KQD41" s="543"/>
      <c r="KQE41" s="543"/>
      <c r="KQF41" s="543"/>
      <c r="KQG41" s="543"/>
      <c r="KQH41" s="543"/>
      <c r="KQI41" s="543"/>
      <c r="KQJ41" s="543"/>
      <c r="KQK41" s="543"/>
      <c r="KQL41" s="543"/>
      <c r="KQM41" s="543"/>
      <c r="KQN41" s="543"/>
      <c r="KQO41" s="543"/>
      <c r="KQP41" s="543"/>
      <c r="KQQ41" s="543"/>
      <c r="KQR41" s="543"/>
      <c r="KQS41" s="543"/>
      <c r="KQT41" s="543"/>
      <c r="KQU41" s="543"/>
      <c r="KQV41" s="543"/>
      <c r="KQW41" s="543"/>
      <c r="KQX41" s="543"/>
      <c r="KQY41" s="543"/>
      <c r="KQZ41" s="543"/>
      <c r="KRA41" s="543"/>
      <c r="KRB41" s="543"/>
      <c r="KRC41" s="543"/>
      <c r="KRD41" s="543"/>
      <c r="KRE41" s="543"/>
      <c r="KRF41" s="543"/>
      <c r="KRG41" s="543"/>
      <c r="KRH41" s="543"/>
      <c r="KRI41" s="543"/>
      <c r="KRJ41" s="543"/>
      <c r="KRK41" s="543"/>
      <c r="KRL41" s="543"/>
      <c r="KRM41" s="543"/>
      <c r="KRN41" s="543"/>
      <c r="KRO41" s="543"/>
      <c r="KRP41" s="543"/>
      <c r="KRQ41" s="543"/>
      <c r="KRR41" s="543"/>
      <c r="KRS41" s="543"/>
      <c r="KRT41" s="543"/>
      <c r="KRU41" s="543"/>
      <c r="KRV41" s="543"/>
      <c r="KRW41" s="543"/>
      <c r="KRX41" s="543"/>
      <c r="KRY41" s="543"/>
      <c r="KRZ41" s="543"/>
      <c r="KSA41" s="543"/>
      <c r="KSB41" s="543"/>
      <c r="KSC41" s="543"/>
      <c r="KSD41" s="543"/>
      <c r="KSE41" s="543"/>
      <c r="KSF41" s="543"/>
      <c r="KSG41" s="543"/>
      <c r="KSH41" s="543"/>
      <c r="KSI41" s="543"/>
      <c r="KSJ41" s="543"/>
      <c r="KSK41" s="543"/>
      <c r="KSL41" s="543"/>
      <c r="KSM41" s="543"/>
      <c r="KSN41" s="543"/>
      <c r="KSO41" s="543"/>
      <c r="KSP41" s="543"/>
      <c r="KSQ41" s="543"/>
      <c r="KSR41" s="543"/>
      <c r="KSS41" s="543"/>
      <c r="KST41" s="543"/>
      <c r="KSU41" s="543"/>
      <c r="KSV41" s="543"/>
      <c r="KSW41" s="543"/>
      <c r="KSX41" s="543"/>
      <c r="KSY41" s="543"/>
      <c r="KSZ41" s="543"/>
      <c r="KTA41" s="543"/>
      <c r="KTB41" s="543"/>
      <c r="KTC41" s="543"/>
      <c r="KTD41" s="543"/>
      <c r="KTE41" s="543"/>
      <c r="KTF41" s="543"/>
      <c r="KTG41" s="543"/>
      <c r="KTH41" s="543"/>
      <c r="KTI41" s="543"/>
      <c r="KTJ41" s="543"/>
      <c r="KTK41" s="543"/>
      <c r="KTL41" s="543"/>
      <c r="KTM41" s="543"/>
      <c r="KTN41" s="543"/>
      <c r="KTO41" s="543"/>
      <c r="KTP41" s="543"/>
      <c r="KTQ41" s="543"/>
      <c r="KTR41" s="543"/>
      <c r="KTS41" s="543"/>
      <c r="KTT41" s="543"/>
      <c r="KTU41" s="543"/>
      <c r="KTV41" s="543"/>
      <c r="KTW41" s="543"/>
      <c r="KTX41" s="543"/>
      <c r="KTY41" s="543"/>
      <c r="KTZ41" s="543"/>
      <c r="KUA41" s="543"/>
      <c r="KUB41" s="543"/>
      <c r="KUC41" s="543"/>
      <c r="KUD41" s="543"/>
      <c r="KUE41" s="543"/>
      <c r="KUF41" s="543"/>
      <c r="KUG41" s="543"/>
      <c r="KUH41" s="543"/>
      <c r="KUI41" s="543"/>
      <c r="KUJ41" s="543"/>
      <c r="KUK41" s="543"/>
      <c r="KUL41" s="543"/>
      <c r="KUM41" s="543"/>
      <c r="KUN41" s="543"/>
      <c r="KUO41" s="543"/>
      <c r="KUP41" s="543"/>
      <c r="KUQ41" s="543"/>
      <c r="KUR41" s="543"/>
      <c r="KUS41" s="543"/>
      <c r="KUT41" s="543"/>
      <c r="KUU41" s="543"/>
      <c r="KUV41" s="543"/>
      <c r="KUW41" s="543"/>
      <c r="KUX41" s="543"/>
      <c r="KUY41" s="543"/>
      <c r="KUZ41" s="543"/>
      <c r="KVA41" s="543"/>
      <c r="KVB41" s="543"/>
      <c r="KVC41" s="543"/>
      <c r="KVD41" s="543"/>
      <c r="KVE41" s="543"/>
      <c r="KVF41" s="543"/>
      <c r="KVG41" s="543"/>
      <c r="KVH41" s="543"/>
      <c r="KVI41" s="543"/>
      <c r="KVJ41" s="543"/>
      <c r="KVK41" s="543"/>
      <c r="KVL41" s="543"/>
      <c r="KVM41" s="543"/>
      <c r="KVN41" s="543"/>
      <c r="KVO41" s="543"/>
      <c r="KVP41" s="543"/>
      <c r="KVQ41" s="543"/>
      <c r="KVR41" s="543"/>
      <c r="KVS41" s="543"/>
      <c r="KVT41" s="543"/>
      <c r="KVU41" s="543"/>
      <c r="KVV41" s="543"/>
      <c r="KVW41" s="543"/>
      <c r="KVX41" s="543"/>
      <c r="KVY41" s="543"/>
      <c r="KVZ41" s="543"/>
      <c r="KWA41" s="543"/>
      <c r="KWB41" s="543"/>
      <c r="KWC41" s="543"/>
      <c r="KWD41" s="543"/>
      <c r="KWE41" s="543"/>
      <c r="KWF41" s="543"/>
      <c r="KWG41" s="543"/>
      <c r="KWH41" s="543"/>
      <c r="KWI41" s="543"/>
      <c r="KWJ41" s="543"/>
      <c r="KWK41" s="543"/>
      <c r="KWL41" s="543"/>
      <c r="KWM41" s="543"/>
      <c r="KWN41" s="543"/>
      <c r="KWO41" s="543"/>
      <c r="KWP41" s="543"/>
      <c r="KWQ41" s="543"/>
      <c r="KWR41" s="543"/>
      <c r="KWS41" s="543"/>
      <c r="KWT41" s="543"/>
      <c r="KWU41" s="543"/>
      <c r="KWV41" s="543"/>
      <c r="KWW41" s="543"/>
      <c r="KWX41" s="543"/>
      <c r="KWY41" s="543"/>
      <c r="KWZ41" s="543"/>
      <c r="KXA41" s="543"/>
      <c r="KXB41" s="543"/>
      <c r="KXC41" s="543"/>
      <c r="KXD41" s="543"/>
      <c r="KXE41" s="543"/>
      <c r="KXF41" s="543"/>
      <c r="KXG41" s="543"/>
      <c r="KXH41" s="543"/>
      <c r="KXI41" s="543"/>
      <c r="KXJ41" s="543"/>
      <c r="KXK41" s="543"/>
      <c r="KXL41" s="543"/>
      <c r="KXM41" s="543"/>
      <c r="KXN41" s="543"/>
      <c r="KXO41" s="543"/>
      <c r="KXP41" s="543"/>
      <c r="KXQ41" s="543"/>
      <c r="KXR41" s="543"/>
      <c r="KXS41" s="543"/>
      <c r="KXT41" s="543"/>
      <c r="KXU41" s="543"/>
      <c r="KXV41" s="543"/>
      <c r="KXW41" s="543"/>
      <c r="KXX41" s="543"/>
      <c r="KXY41" s="543"/>
      <c r="KXZ41" s="543"/>
      <c r="KYA41" s="543"/>
      <c r="KYB41" s="543"/>
      <c r="KYC41" s="543"/>
      <c r="KYD41" s="543"/>
      <c r="KYE41" s="543"/>
      <c r="KYF41" s="543"/>
      <c r="KYG41" s="543"/>
      <c r="KYH41" s="543"/>
      <c r="KYI41" s="543"/>
      <c r="KYJ41" s="543"/>
      <c r="KYK41" s="543"/>
      <c r="KYL41" s="543"/>
      <c r="KYM41" s="543"/>
      <c r="KYN41" s="543"/>
      <c r="KYO41" s="543"/>
      <c r="KYP41" s="543"/>
      <c r="KYQ41" s="543"/>
      <c r="KYR41" s="543"/>
      <c r="KYS41" s="543"/>
      <c r="KYT41" s="543"/>
      <c r="KYU41" s="543"/>
      <c r="KYV41" s="543"/>
      <c r="KYW41" s="543"/>
      <c r="KYX41" s="543"/>
      <c r="KYY41" s="543"/>
      <c r="KYZ41" s="543"/>
      <c r="KZA41" s="543"/>
      <c r="KZB41" s="543"/>
      <c r="KZC41" s="543"/>
      <c r="KZD41" s="543"/>
      <c r="KZE41" s="543"/>
      <c r="KZF41" s="543"/>
      <c r="KZG41" s="543"/>
      <c r="KZH41" s="543"/>
      <c r="KZI41" s="543"/>
      <c r="KZJ41" s="543"/>
      <c r="KZK41" s="543"/>
      <c r="KZL41" s="543"/>
      <c r="KZM41" s="543"/>
      <c r="KZN41" s="543"/>
      <c r="KZO41" s="543"/>
      <c r="KZP41" s="543"/>
      <c r="KZQ41" s="543"/>
      <c r="KZR41" s="543"/>
      <c r="KZS41" s="543"/>
      <c r="KZT41" s="543"/>
      <c r="KZU41" s="543"/>
      <c r="KZV41" s="543"/>
      <c r="KZW41" s="543"/>
      <c r="KZX41" s="543"/>
      <c r="KZY41" s="543"/>
      <c r="KZZ41" s="543"/>
      <c r="LAA41" s="543"/>
      <c r="LAB41" s="543"/>
      <c r="LAC41" s="543"/>
      <c r="LAD41" s="543"/>
      <c r="LAE41" s="543"/>
      <c r="LAF41" s="543"/>
      <c r="LAG41" s="543"/>
      <c r="LAH41" s="543"/>
      <c r="LAI41" s="543"/>
      <c r="LAJ41" s="543"/>
      <c r="LAK41" s="543"/>
      <c r="LAL41" s="543"/>
      <c r="LAM41" s="543"/>
      <c r="LAN41" s="543"/>
      <c r="LAO41" s="543"/>
      <c r="LAP41" s="543"/>
      <c r="LAQ41" s="543"/>
      <c r="LAR41" s="543"/>
      <c r="LAS41" s="543"/>
      <c r="LAT41" s="543"/>
      <c r="LAU41" s="543"/>
      <c r="LAV41" s="543"/>
      <c r="LAW41" s="543"/>
      <c r="LAX41" s="543"/>
      <c r="LAY41" s="543"/>
      <c r="LAZ41" s="543"/>
      <c r="LBA41" s="543"/>
      <c r="LBB41" s="543"/>
      <c r="LBC41" s="543"/>
      <c r="LBD41" s="543"/>
      <c r="LBE41" s="543"/>
      <c r="LBF41" s="543"/>
      <c r="LBG41" s="543"/>
      <c r="LBH41" s="543"/>
      <c r="LBI41" s="543"/>
      <c r="LBJ41" s="543"/>
      <c r="LBK41" s="543"/>
      <c r="LBL41" s="543"/>
      <c r="LBM41" s="543"/>
      <c r="LBN41" s="543"/>
      <c r="LBO41" s="543"/>
      <c r="LBP41" s="543"/>
      <c r="LBQ41" s="543"/>
      <c r="LBR41" s="543"/>
      <c r="LBS41" s="543"/>
      <c r="LBT41" s="543"/>
      <c r="LBU41" s="543"/>
      <c r="LBV41" s="543"/>
      <c r="LBW41" s="543"/>
      <c r="LBX41" s="543"/>
      <c r="LBY41" s="543"/>
      <c r="LBZ41" s="543"/>
      <c r="LCA41" s="543"/>
      <c r="LCB41" s="543"/>
      <c r="LCC41" s="543"/>
      <c r="LCD41" s="543"/>
      <c r="LCE41" s="543"/>
      <c r="LCF41" s="543"/>
      <c r="LCG41" s="543"/>
      <c r="LCH41" s="543"/>
      <c r="LCI41" s="543"/>
      <c r="LCJ41" s="543"/>
      <c r="LCK41" s="543"/>
      <c r="LCL41" s="543"/>
      <c r="LCM41" s="543"/>
      <c r="LCN41" s="543"/>
      <c r="LCO41" s="543"/>
      <c r="LCP41" s="543"/>
      <c r="LCQ41" s="543"/>
      <c r="LCR41" s="543"/>
      <c r="LCS41" s="543"/>
      <c r="LCT41" s="543"/>
      <c r="LCU41" s="543"/>
      <c r="LCV41" s="543"/>
      <c r="LCW41" s="543"/>
      <c r="LCX41" s="543"/>
      <c r="LCY41" s="543"/>
      <c r="LCZ41" s="543"/>
      <c r="LDA41" s="543"/>
      <c r="LDB41" s="543"/>
      <c r="LDC41" s="543"/>
      <c r="LDD41" s="543"/>
      <c r="LDE41" s="543"/>
      <c r="LDF41" s="543"/>
      <c r="LDG41" s="543"/>
      <c r="LDH41" s="543"/>
      <c r="LDI41" s="543"/>
      <c r="LDJ41" s="543"/>
      <c r="LDK41" s="543"/>
      <c r="LDL41" s="543"/>
      <c r="LDM41" s="543"/>
      <c r="LDN41" s="543"/>
      <c r="LDO41" s="543"/>
      <c r="LDP41" s="543"/>
      <c r="LDQ41" s="543"/>
      <c r="LDR41" s="543"/>
      <c r="LDS41" s="543"/>
      <c r="LDT41" s="543"/>
      <c r="LDU41" s="543"/>
      <c r="LDV41" s="543"/>
      <c r="LDW41" s="543"/>
      <c r="LDX41" s="543"/>
      <c r="LDY41" s="543"/>
      <c r="LDZ41" s="543"/>
      <c r="LEA41" s="543"/>
      <c r="LEB41" s="543"/>
      <c r="LEC41" s="543"/>
      <c r="LED41" s="543"/>
      <c r="LEE41" s="543"/>
      <c r="LEF41" s="543"/>
      <c r="LEG41" s="543"/>
      <c r="LEH41" s="543"/>
      <c r="LEI41" s="543"/>
      <c r="LEJ41" s="543"/>
      <c r="LEK41" s="543"/>
      <c r="LEL41" s="543"/>
      <c r="LEM41" s="543"/>
      <c r="LEN41" s="543"/>
      <c r="LEO41" s="543"/>
      <c r="LEP41" s="543"/>
      <c r="LEQ41" s="543"/>
      <c r="LER41" s="543"/>
      <c r="LES41" s="543"/>
      <c r="LET41" s="543"/>
      <c r="LEU41" s="543"/>
      <c r="LEV41" s="543"/>
      <c r="LEW41" s="543"/>
      <c r="LEX41" s="543"/>
      <c r="LEY41" s="543"/>
      <c r="LEZ41" s="543"/>
      <c r="LFA41" s="543"/>
      <c r="LFB41" s="543"/>
      <c r="LFC41" s="543"/>
      <c r="LFD41" s="543"/>
      <c r="LFE41" s="543"/>
      <c r="LFF41" s="543"/>
      <c r="LFG41" s="543"/>
      <c r="LFH41" s="543"/>
      <c r="LFI41" s="543"/>
      <c r="LFJ41" s="543"/>
      <c r="LFK41" s="543"/>
      <c r="LFL41" s="543"/>
      <c r="LFM41" s="543"/>
      <c r="LFN41" s="543"/>
      <c r="LFO41" s="543"/>
      <c r="LFP41" s="543"/>
      <c r="LFQ41" s="543"/>
      <c r="LFR41" s="543"/>
      <c r="LFS41" s="543"/>
      <c r="LFT41" s="543"/>
      <c r="LFU41" s="543"/>
      <c r="LFV41" s="543"/>
      <c r="LFW41" s="543"/>
      <c r="LFX41" s="543"/>
      <c r="LFY41" s="543"/>
      <c r="LFZ41" s="543"/>
      <c r="LGA41" s="543"/>
      <c r="LGB41" s="543"/>
      <c r="LGC41" s="543"/>
      <c r="LGD41" s="543"/>
      <c r="LGE41" s="543"/>
      <c r="LGF41" s="543"/>
      <c r="LGG41" s="543"/>
      <c r="LGH41" s="543"/>
      <c r="LGI41" s="543"/>
      <c r="LGJ41" s="543"/>
      <c r="LGK41" s="543"/>
      <c r="LGL41" s="543"/>
      <c r="LGM41" s="543"/>
      <c r="LGN41" s="543"/>
      <c r="LGO41" s="543"/>
      <c r="LGP41" s="543"/>
      <c r="LGQ41" s="543"/>
      <c r="LGR41" s="543"/>
      <c r="LGS41" s="543"/>
      <c r="LGT41" s="543"/>
      <c r="LGU41" s="543"/>
      <c r="LGV41" s="543"/>
      <c r="LGW41" s="543"/>
      <c r="LGX41" s="543"/>
      <c r="LGY41" s="543"/>
      <c r="LGZ41" s="543"/>
      <c r="LHA41" s="543"/>
      <c r="LHB41" s="543"/>
      <c r="LHC41" s="543"/>
      <c r="LHD41" s="543"/>
      <c r="LHE41" s="543"/>
      <c r="LHF41" s="543"/>
      <c r="LHG41" s="543"/>
      <c r="LHH41" s="543"/>
      <c r="LHI41" s="543"/>
      <c r="LHJ41" s="543"/>
      <c r="LHK41" s="543"/>
      <c r="LHL41" s="543"/>
      <c r="LHM41" s="543"/>
      <c r="LHN41" s="543"/>
      <c r="LHO41" s="543"/>
      <c r="LHP41" s="543"/>
      <c r="LHQ41" s="543"/>
      <c r="LHR41" s="543"/>
      <c r="LHS41" s="543"/>
      <c r="LHT41" s="543"/>
      <c r="LHU41" s="543"/>
      <c r="LHV41" s="543"/>
      <c r="LHW41" s="543"/>
      <c r="LHX41" s="543"/>
      <c r="LHY41" s="543"/>
      <c r="LHZ41" s="543"/>
      <c r="LIA41" s="543"/>
      <c r="LIB41" s="543"/>
      <c r="LIC41" s="543"/>
      <c r="LID41" s="543"/>
      <c r="LIE41" s="543"/>
      <c r="LIF41" s="543"/>
      <c r="LIG41" s="543"/>
      <c r="LIH41" s="543"/>
      <c r="LII41" s="543"/>
      <c r="LIJ41" s="543"/>
      <c r="LIK41" s="543"/>
      <c r="LIL41" s="543"/>
      <c r="LIM41" s="543"/>
      <c r="LIN41" s="543"/>
      <c r="LIO41" s="543"/>
      <c r="LIP41" s="543"/>
      <c r="LIQ41" s="543"/>
      <c r="LIR41" s="543"/>
      <c r="LIS41" s="543"/>
      <c r="LIT41" s="543"/>
      <c r="LIU41" s="543"/>
      <c r="LIV41" s="543"/>
      <c r="LIW41" s="543"/>
      <c r="LIX41" s="543"/>
      <c r="LIY41" s="543"/>
      <c r="LIZ41" s="543"/>
      <c r="LJA41" s="543"/>
      <c r="LJB41" s="543"/>
      <c r="LJC41" s="543"/>
      <c r="LJD41" s="543"/>
      <c r="LJE41" s="543"/>
      <c r="LJF41" s="543"/>
      <c r="LJG41" s="543"/>
      <c r="LJH41" s="543"/>
      <c r="LJI41" s="543"/>
      <c r="LJJ41" s="543"/>
      <c r="LJK41" s="543"/>
      <c r="LJL41" s="543"/>
      <c r="LJM41" s="543"/>
      <c r="LJN41" s="543"/>
      <c r="LJO41" s="543"/>
      <c r="LJP41" s="543"/>
      <c r="LJQ41" s="543"/>
      <c r="LJR41" s="543"/>
      <c r="LJS41" s="543"/>
      <c r="LJT41" s="543"/>
      <c r="LJU41" s="543"/>
      <c r="LJV41" s="543"/>
      <c r="LJW41" s="543"/>
      <c r="LJX41" s="543"/>
      <c r="LJY41" s="543"/>
      <c r="LJZ41" s="543"/>
      <c r="LKA41" s="543"/>
      <c r="LKB41" s="543"/>
      <c r="LKC41" s="543"/>
      <c r="LKD41" s="543"/>
      <c r="LKE41" s="543"/>
      <c r="LKF41" s="543"/>
      <c r="LKG41" s="543"/>
      <c r="LKH41" s="543"/>
      <c r="LKI41" s="543"/>
      <c r="LKJ41" s="543"/>
      <c r="LKK41" s="543"/>
      <c r="LKL41" s="543"/>
      <c r="LKM41" s="543"/>
      <c r="LKN41" s="543"/>
      <c r="LKO41" s="543"/>
      <c r="LKP41" s="543"/>
      <c r="LKQ41" s="543"/>
      <c r="LKR41" s="543"/>
      <c r="LKS41" s="543"/>
      <c r="LKT41" s="543"/>
      <c r="LKU41" s="543"/>
      <c r="LKV41" s="543"/>
      <c r="LKW41" s="543"/>
      <c r="LKX41" s="543"/>
      <c r="LKY41" s="543"/>
      <c r="LKZ41" s="543"/>
      <c r="LLA41" s="543"/>
      <c r="LLB41" s="543"/>
      <c r="LLC41" s="543"/>
      <c r="LLD41" s="543"/>
      <c r="LLE41" s="543"/>
      <c r="LLF41" s="543"/>
      <c r="LLG41" s="543"/>
      <c r="LLH41" s="543"/>
      <c r="LLI41" s="543"/>
      <c r="LLJ41" s="543"/>
      <c r="LLK41" s="543"/>
      <c r="LLL41" s="543"/>
      <c r="LLM41" s="543"/>
      <c r="LLN41" s="543"/>
      <c r="LLO41" s="543"/>
      <c r="LLP41" s="543"/>
      <c r="LLQ41" s="543"/>
      <c r="LLR41" s="543"/>
      <c r="LLS41" s="543"/>
      <c r="LLT41" s="543"/>
      <c r="LLU41" s="543"/>
      <c r="LLV41" s="543"/>
      <c r="LLW41" s="543"/>
      <c r="LLX41" s="543"/>
      <c r="LLY41" s="543"/>
      <c r="LLZ41" s="543"/>
      <c r="LMA41" s="543"/>
      <c r="LMB41" s="543"/>
      <c r="LMC41" s="543"/>
      <c r="LMD41" s="543"/>
      <c r="LME41" s="543"/>
      <c r="LMF41" s="543"/>
      <c r="LMG41" s="543"/>
      <c r="LMH41" s="543"/>
      <c r="LMI41" s="543"/>
      <c r="LMJ41" s="543"/>
      <c r="LMK41" s="543"/>
      <c r="LML41" s="543"/>
      <c r="LMM41" s="543"/>
      <c r="LMN41" s="543"/>
      <c r="LMO41" s="543"/>
      <c r="LMP41" s="543"/>
      <c r="LMQ41" s="543"/>
      <c r="LMR41" s="543"/>
      <c r="LMS41" s="543"/>
      <c r="LMT41" s="543"/>
      <c r="LMU41" s="543"/>
      <c r="LMV41" s="543"/>
      <c r="LMW41" s="543"/>
      <c r="LMX41" s="543"/>
      <c r="LMY41" s="543"/>
      <c r="LMZ41" s="543"/>
      <c r="LNA41" s="543"/>
      <c r="LNB41" s="543"/>
      <c r="LNC41" s="543"/>
      <c r="LND41" s="543"/>
      <c r="LNE41" s="543"/>
      <c r="LNF41" s="543"/>
      <c r="LNG41" s="543"/>
      <c r="LNH41" s="543"/>
      <c r="LNI41" s="543"/>
      <c r="LNJ41" s="543"/>
      <c r="LNK41" s="543"/>
      <c r="LNL41" s="543"/>
      <c r="LNM41" s="543"/>
      <c r="LNN41" s="543"/>
      <c r="LNO41" s="543"/>
      <c r="LNP41" s="543"/>
      <c r="LNQ41" s="543"/>
      <c r="LNR41" s="543"/>
      <c r="LNS41" s="543"/>
      <c r="LNT41" s="543"/>
      <c r="LNU41" s="543"/>
      <c r="LNV41" s="543"/>
      <c r="LNW41" s="543"/>
      <c r="LNX41" s="543"/>
      <c r="LNY41" s="543"/>
      <c r="LNZ41" s="543"/>
      <c r="LOA41" s="543"/>
      <c r="LOB41" s="543"/>
      <c r="LOC41" s="543"/>
      <c r="LOD41" s="543"/>
      <c r="LOE41" s="543"/>
      <c r="LOF41" s="543"/>
      <c r="LOG41" s="543"/>
      <c r="LOH41" s="543"/>
      <c r="LOI41" s="543"/>
      <c r="LOJ41" s="543"/>
      <c r="LOK41" s="543"/>
      <c r="LOL41" s="543"/>
      <c r="LOM41" s="543"/>
      <c r="LON41" s="543"/>
      <c r="LOO41" s="543"/>
      <c r="LOP41" s="543"/>
      <c r="LOQ41" s="543"/>
      <c r="LOR41" s="543"/>
      <c r="LOS41" s="543"/>
      <c r="LOT41" s="543"/>
      <c r="LOU41" s="543"/>
      <c r="LOV41" s="543"/>
      <c r="LOW41" s="543"/>
      <c r="LOX41" s="543"/>
      <c r="LOY41" s="543"/>
      <c r="LOZ41" s="543"/>
      <c r="LPA41" s="543"/>
      <c r="LPB41" s="543"/>
      <c r="LPC41" s="543"/>
      <c r="LPD41" s="543"/>
      <c r="LPE41" s="543"/>
      <c r="LPF41" s="543"/>
      <c r="LPG41" s="543"/>
      <c r="LPH41" s="543"/>
      <c r="LPI41" s="543"/>
      <c r="LPJ41" s="543"/>
      <c r="LPK41" s="543"/>
      <c r="LPL41" s="543"/>
      <c r="LPM41" s="543"/>
      <c r="LPN41" s="543"/>
      <c r="LPO41" s="543"/>
      <c r="LPP41" s="543"/>
      <c r="LPQ41" s="543"/>
      <c r="LPR41" s="543"/>
      <c r="LPS41" s="543"/>
      <c r="LPT41" s="543"/>
      <c r="LPU41" s="543"/>
      <c r="LPV41" s="543"/>
      <c r="LPW41" s="543"/>
      <c r="LPX41" s="543"/>
      <c r="LPY41" s="543"/>
      <c r="LPZ41" s="543"/>
      <c r="LQA41" s="543"/>
      <c r="LQB41" s="543"/>
      <c r="LQC41" s="543"/>
      <c r="LQD41" s="543"/>
      <c r="LQE41" s="543"/>
      <c r="LQF41" s="543"/>
      <c r="LQG41" s="543"/>
      <c r="LQH41" s="543"/>
      <c r="LQI41" s="543"/>
      <c r="LQJ41" s="543"/>
      <c r="LQK41" s="543"/>
      <c r="LQL41" s="543"/>
      <c r="LQM41" s="543"/>
      <c r="LQN41" s="543"/>
      <c r="LQO41" s="543"/>
      <c r="LQP41" s="543"/>
      <c r="LQQ41" s="543"/>
      <c r="LQR41" s="543"/>
      <c r="LQS41" s="543"/>
      <c r="LQT41" s="543"/>
      <c r="LQU41" s="543"/>
      <c r="LQV41" s="543"/>
      <c r="LQW41" s="543"/>
      <c r="LQX41" s="543"/>
      <c r="LQY41" s="543"/>
      <c r="LQZ41" s="543"/>
      <c r="LRA41" s="543"/>
      <c r="LRB41" s="543"/>
      <c r="LRC41" s="543"/>
      <c r="LRD41" s="543"/>
      <c r="LRE41" s="543"/>
      <c r="LRF41" s="543"/>
      <c r="LRG41" s="543"/>
      <c r="LRH41" s="543"/>
      <c r="LRI41" s="543"/>
      <c r="LRJ41" s="543"/>
      <c r="LRK41" s="543"/>
      <c r="LRL41" s="543"/>
      <c r="LRM41" s="543"/>
      <c r="LRN41" s="543"/>
      <c r="LRO41" s="543"/>
      <c r="LRP41" s="543"/>
      <c r="LRQ41" s="543"/>
      <c r="LRR41" s="543"/>
      <c r="LRS41" s="543"/>
      <c r="LRT41" s="543"/>
      <c r="LRU41" s="543"/>
      <c r="LRV41" s="543"/>
      <c r="LRW41" s="543"/>
      <c r="LRX41" s="543"/>
      <c r="LRY41" s="543"/>
      <c r="LRZ41" s="543"/>
      <c r="LSA41" s="543"/>
      <c r="LSB41" s="543"/>
      <c r="LSC41" s="543"/>
      <c r="LSD41" s="543"/>
      <c r="LSE41" s="543"/>
      <c r="LSF41" s="543"/>
      <c r="LSG41" s="543"/>
      <c r="LSH41" s="543"/>
      <c r="LSI41" s="543"/>
      <c r="LSJ41" s="543"/>
      <c r="LSK41" s="543"/>
      <c r="LSL41" s="543"/>
      <c r="LSM41" s="543"/>
      <c r="LSN41" s="543"/>
      <c r="LSO41" s="543"/>
      <c r="LSP41" s="543"/>
      <c r="LSQ41" s="543"/>
      <c r="LSR41" s="543"/>
      <c r="LSS41" s="543"/>
      <c r="LST41" s="543"/>
      <c r="LSU41" s="543"/>
      <c r="LSV41" s="543"/>
      <c r="LSW41" s="543"/>
      <c r="LSX41" s="543"/>
      <c r="LSY41" s="543"/>
      <c r="LSZ41" s="543"/>
      <c r="LTA41" s="543"/>
      <c r="LTB41" s="543"/>
      <c r="LTC41" s="543"/>
      <c r="LTD41" s="543"/>
      <c r="LTE41" s="543"/>
      <c r="LTF41" s="543"/>
      <c r="LTG41" s="543"/>
      <c r="LTH41" s="543"/>
      <c r="LTI41" s="543"/>
      <c r="LTJ41" s="543"/>
      <c r="LTK41" s="543"/>
      <c r="LTL41" s="543"/>
      <c r="LTM41" s="543"/>
      <c r="LTN41" s="543"/>
      <c r="LTO41" s="543"/>
      <c r="LTP41" s="543"/>
      <c r="LTQ41" s="543"/>
      <c r="LTR41" s="543"/>
      <c r="LTS41" s="543"/>
      <c r="LTT41" s="543"/>
      <c r="LTU41" s="543"/>
      <c r="LTV41" s="543"/>
      <c r="LTW41" s="543"/>
      <c r="LTX41" s="543"/>
      <c r="LTY41" s="543"/>
      <c r="LTZ41" s="543"/>
      <c r="LUA41" s="543"/>
      <c r="LUB41" s="543"/>
      <c r="LUC41" s="543"/>
      <c r="LUD41" s="543"/>
      <c r="LUE41" s="543"/>
      <c r="LUF41" s="543"/>
      <c r="LUG41" s="543"/>
      <c r="LUH41" s="543"/>
      <c r="LUI41" s="543"/>
      <c r="LUJ41" s="543"/>
      <c r="LUK41" s="543"/>
      <c r="LUL41" s="543"/>
      <c r="LUM41" s="543"/>
      <c r="LUN41" s="543"/>
      <c r="LUO41" s="543"/>
      <c r="LUP41" s="543"/>
      <c r="LUQ41" s="543"/>
      <c r="LUR41" s="543"/>
      <c r="LUS41" s="543"/>
      <c r="LUT41" s="543"/>
      <c r="LUU41" s="543"/>
      <c r="LUV41" s="543"/>
      <c r="LUW41" s="543"/>
      <c r="LUX41" s="543"/>
      <c r="LUY41" s="543"/>
      <c r="LUZ41" s="543"/>
      <c r="LVA41" s="543"/>
      <c r="LVB41" s="543"/>
      <c r="LVC41" s="543"/>
      <c r="LVD41" s="543"/>
      <c r="LVE41" s="543"/>
      <c r="LVF41" s="543"/>
      <c r="LVG41" s="543"/>
      <c r="LVH41" s="543"/>
      <c r="LVI41" s="543"/>
      <c r="LVJ41" s="543"/>
      <c r="LVK41" s="543"/>
      <c r="LVL41" s="543"/>
      <c r="LVM41" s="543"/>
      <c r="LVN41" s="543"/>
      <c r="LVO41" s="543"/>
      <c r="LVP41" s="543"/>
      <c r="LVQ41" s="543"/>
      <c r="LVR41" s="543"/>
      <c r="LVS41" s="543"/>
      <c r="LVT41" s="543"/>
      <c r="LVU41" s="543"/>
      <c r="LVV41" s="543"/>
      <c r="LVW41" s="543"/>
      <c r="LVX41" s="543"/>
      <c r="LVY41" s="543"/>
      <c r="LVZ41" s="543"/>
      <c r="LWA41" s="543"/>
      <c r="LWB41" s="543"/>
      <c r="LWC41" s="543"/>
      <c r="LWD41" s="543"/>
      <c r="LWE41" s="543"/>
      <c r="LWF41" s="543"/>
      <c r="LWG41" s="543"/>
      <c r="LWH41" s="543"/>
      <c r="LWI41" s="543"/>
      <c r="LWJ41" s="543"/>
      <c r="LWK41" s="543"/>
      <c r="LWL41" s="543"/>
      <c r="LWM41" s="543"/>
      <c r="LWN41" s="543"/>
      <c r="LWO41" s="543"/>
      <c r="LWP41" s="543"/>
      <c r="LWQ41" s="543"/>
      <c r="LWR41" s="543"/>
      <c r="LWS41" s="543"/>
      <c r="LWT41" s="543"/>
      <c r="LWU41" s="543"/>
      <c r="LWV41" s="543"/>
      <c r="LWW41" s="543"/>
      <c r="LWX41" s="543"/>
      <c r="LWY41" s="543"/>
      <c r="LWZ41" s="543"/>
      <c r="LXA41" s="543"/>
      <c r="LXB41" s="543"/>
      <c r="LXC41" s="543"/>
      <c r="LXD41" s="543"/>
      <c r="LXE41" s="543"/>
      <c r="LXF41" s="543"/>
      <c r="LXG41" s="543"/>
      <c r="LXH41" s="543"/>
      <c r="LXI41" s="543"/>
      <c r="LXJ41" s="543"/>
      <c r="LXK41" s="543"/>
      <c r="LXL41" s="543"/>
      <c r="LXM41" s="543"/>
      <c r="LXN41" s="543"/>
      <c r="LXO41" s="543"/>
      <c r="LXP41" s="543"/>
      <c r="LXQ41" s="543"/>
      <c r="LXR41" s="543"/>
      <c r="LXS41" s="543"/>
      <c r="LXT41" s="543"/>
      <c r="LXU41" s="543"/>
      <c r="LXV41" s="543"/>
      <c r="LXW41" s="543"/>
      <c r="LXX41" s="543"/>
      <c r="LXY41" s="543"/>
      <c r="LXZ41" s="543"/>
      <c r="LYA41" s="543"/>
      <c r="LYB41" s="543"/>
      <c r="LYC41" s="543"/>
      <c r="LYD41" s="543"/>
      <c r="LYE41" s="543"/>
      <c r="LYF41" s="543"/>
      <c r="LYG41" s="543"/>
      <c r="LYH41" s="543"/>
      <c r="LYI41" s="543"/>
      <c r="LYJ41" s="543"/>
      <c r="LYK41" s="543"/>
      <c r="LYL41" s="543"/>
      <c r="LYM41" s="543"/>
      <c r="LYN41" s="543"/>
      <c r="LYO41" s="543"/>
      <c r="LYP41" s="543"/>
      <c r="LYQ41" s="543"/>
      <c r="LYR41" s="543"/>
      <c r="LYS41" s="543"/>
      <c r="LYT41" s="543"/>
      <c r="LYU41" s="543"/>
      <c r="LYV41" s="543"/>
      <c r="LYW41" s="543"/>
      <c r="LYX41" s="543"/>
      <c r="LYY41" s="543"/>
      <c r="LYZ41" s="543"/>
      <c r="LZA41" s="543"/>
      <c r="LZB41" s="543"/>
      <c r="LZC41" s="543"/>
      <c r="LZD41" s="543"/>
      <c r="LZE41" s="543"/>
      <c r="LZF41" s="543"/>
      <c r="LZG41" s="543"/>
      <c r="LZH41" s="543"/>
      <c r="LZI41" s="543"/>
      <c r="LZJ41" s="543"/>
      <c r="LZK41" s="543"/>
      <c r="LZL41" s="543"/>
      <c r="LZM41" s="543"/>
      <c r="LZN41" s="543"/>
      <c r="LZO41" s="543"/>
      <c r="LZP41" s="543"/>
      <c r="LZQ41" s="543"/>
      <c r="LZR41" s="543"/>
      <c r="LZS41" s="543"/>
      <c r="LZT41" s="543"/>
      <c r="LZU41" s="543"/>
      <c r="LZV41" s="543"/>
      <c r="LZW41" s="543"/>
      <c r="LZX41" s="543"/>
      <c r="LZY41" s="543"/>
      <c r="LZZ41" s="543"/>
      <c r="MAA41" s="543"/>
      <c r="MAB41" s="543"/>
      <c r="MAC41" s="543"/>
      <c r="MAD41" s="543"/>
      <c r="MAE41" s="543"/>
      <c r="MAF41" s="543"/>
      <c r="MAG41" s="543"/>
      <c r="MAH41" s="543"/>
      <c r="MAI41" s="543"/>
      <c r="MAJ41" s="543"/>
      <c r="MAK41" s="543"/>
      <c r="MAL41" s="543"/>
      <c r="MAM41" s="543"/>
      <c r="MAN41" s="543"/>
      <c r="MAO41" s="543"/>
      <c r="MAP41" s="543"/>
      <c r="MAQ41" s="543"/>
      <c r="MAR41" s="543"/>
      <c r="MAS41" s="543"/>
      <c r="MAT41" s="543"/>
      <c r="MAU41" s="543"/>
      <c r="MAV41" s="543"/>
      <c r="MAW41" s="543"/>
      <c r="MAX41" s="543"/>
      <c r="MAY41" s="543"/>
      <c r="MAZ41" s="543"/>
      <c r="MBA41" s="543"/>
      <c r="MBB41" s="543"/>
      <c r="MBC41" s="543"/>
      <c r="MBD41" s="543"/>
      <c r="MBE41" s="543"/>
      <c r="MBF41" s="543"/>
      <c r="MBG41" s="543"/>
      <c r="MBH41" s="543"/>
      <c r="MBI41" s="543"/>
      <c r="MBJ41" s="543"/>
      <c r="MBK41" s="543"/>
      <c r="MBL41" s="543"/>
      <c r="MBM41" s="543"/>
      <c r="MBN41" s="543"/>
      <c r="MBO41" s="543"/>
      <c r="MBP41" s="543"/>
      <c r="MBQ41" s="543"/>
      <c r="MBR41" s="543"/>
      <c r="MBS41" s="543"/>
      <c r="MBT41" s="543"/>
      <c r="MBU41" s="543"/>
      <c r="MBV41" s="543"/>
      <c r="MBW41" s="543"/>
      <c r="MBX41" s="543"/>
      <c r="MBY41" s="543"/>
      <c r="MBZ41" s="543"/>
      <c r="MCA41" s="543"/>
      <c r="MCB41" s="543"/>
      <c r="MCC41" s="543"/>
      <c r="MCD41" s="543"/>
      <c r="MCE41" s="543"/>
      <c r="MCF41" s="543"/>
      <c r="MCG41" s="543"/>
      <c r="MCH41" s="543"/>
      <c r="MCI41" s="543"/>
      <c r="MCJ41" s="543"/>
      <c r="MCK41" s="543"/>
      <c r="MCL41" s="543"/>
      <c r="MCM41" s="543"/>
      <c r="MCN41" s="543"/>
      <c r="MCO41" s="543"/>
      <c r="MCP41" s="543"/>
      <c r="MCQ41" s="543"/>
      <c r="MCR41" s="543"/>
      <c r="MCS41" s="543"/>
      <c r="MCT41" s="543"/>
      <c r="MCU41" s="543"/>
      <c r="MCV41" s="543"/>
      <c r="MCW41" s="543"/>
      <c r="MCX41" s="543"/>
      <c r="MCY41" s="543"/>
      <c r="MCZ41" s="543"/>
      <c r="MDA41" s="543"/>
      <c r="MDB41" s="543"/>
      <c r="MDC41" s="543"/>
      <c r="MDD41" s="543"/>
      <c r="MDE41" s="543"/>
      <c r="MDF41" s="543"/>
      <c r="MDG41" s="543"/>
      <c r="MDH41" s="543"/>
      <c r="MDI41" s="543"/>
      <c r="MDJ41" s="543"/>
      <c r="MDK41" s="543"/>
      <c r="MDL41" s="543"/>
      <c r="MDM41" s="543"/>
      <c r="MDN41" s="543"/>
      <c r="MDO41" s="543"/>
      <c r="MDP41" s="543"/>
      <c r="MDQ41" s="543"/>
      <c r="MDR41" s="543"/>
      <c r="MDS41" s="543"/>
      <c r="MDT41" s="543"/>
      <c r="MDU41" s="543"/>
      <c r="MDV41" s="543"/>
      <c r="MDW41" s="543"/>
      <c r="MDX41" s="543"/>
      <c r="MDY41" s="543"/>
      <c r="MDZ41" s="543"/>
      <c r="MEA41" s="543"/>
      <c r="MEB41" s="543"/>
      <c r="MEC41" s="543"/>
      <c r="MED41" s="543"/>
      <c r="MEE41" s="543"/>
      <c r="MEF41" s="543"/>
      <c r="MEG41" s="543"/>
      <c r="MEH41" s="543"/>
      <c r="MEI41" s="543"/>
      <c r="MEJ41" s="543"/>
      <c r="MEK41" s="543"/>
      <c r="MEL41" s="543"/>
      <c r="MEM41" s="543"/>
      <c r="MEN41" s="543"/>
      <c r="MEO41" s="543"/>
      <c r="MEP41" s="543"/>
      <c r="MEQ41" s="543"/>
      <c r="MER41" s="543"/>
      <c r="MES41" s="543"/>
      <c r="MET41" s="543"/>
      <c r="MEU41" s="543"/>
      <c r="MEV41" s="543"/>
      <c r="MEW41" s="543"/>
      <c r="MEX41" s="543"/>
      <c r="MEY41" s="543"/>
      <c r="MEZ41" s="543"/>
      <c r="MFA41" s="543"/>
      <c r="MFB41" s="543"/>
      <c r="MFC41" s="543"/>
      <c r="MFD41" s="543"/>
      <c r="MFE41" s="543"/>
      <c r="MFF41" s="543"/>
      <c r="MFG41" s="543"/>
      <c r="MFH41" s="543"/>
      <c r="MFI41" s="543"/>
      <c r="MFJ41" s="543"/>
      <c r="MFK41" s="543"/>
      <c r="MFL41" s="543"/>
      <c r="MFM41" s="543"/>
      <c r="MFN41" s="543"/>
      <c r="MFO41" s="543"/>
      <c r="MFP41" s="543"/>
      <c r="MFQ41" s="543"/>
      <c r="MFR41" s="543"/>
      <c r="MFS41" s="543"/>
      <c r="MFT41" s="543"/>
      <c r="MFU41" s="543"/>
      <c r="MFV41" s="543"/>
      <c r="MFW41" s="543"/>
      <c r="MFX41" s="543"/>
      <c r="MFY41" s="543"/>
      <c r="MFZ41" s="543"/>
      <c r="MGA41" s="543"/>
      <c r="MGB41" s="543"/>
      <c r="MGC41" s="543"/>
      <c r="MGD41" s="543"/>
      <c r="MGE41" s="543"/>
      <c r="MGF41" s="543"/>
      <c r="MGG41" s="543"/>
      <c r="MGH41" s="543"/>
      <c r="MGI41" s="543"/>
      <c r="MGJ41" s="543"/>
      <c r="MGK41" s="543"/>
      <c r="MGL41" s="543"/>
      <c r="MGM41" s="543"/>
      <c r="MGN41" s="543"/>
      <c r="MGO41" s="543"/>
      <c r="MGP41" s="543"/>
      <c r="MGQ41" s="543"/>
      <c r="MGR41" s="543"/>
      <c r="MGS41" s="543"/>
      <c r="MGT41" s="543"/>
      <c r="MGU41" s="543"/>
      <c r="MGV41" s="543"/>
      <c r="MGW41" s="543"/>
      <c r="MGX41" s="543"/>
      <c r="MGY41" s="543"/>
      <c r="MGZ41" s="543"/>
      <c r="MHA41" s="543"/>
      <c r="MHB41" s="543"/>
      <c r="MHC41" s="543"/>
      <c r="MHD41" s="543"/>
      <c r="MHE41" s="543"/>
      <c r="MHF41" s="543"/>
      <c r="MHG41" s="543"/>
      <c r="MHH41" s="543"/>
      <c r="MHI41" s="543"/>
      <c r="MHJ41" s="543"/>
      <c r="MHK41" s="543"/>
      <c r="MHL41" s="543"/>
      <c r="MHM41" s="543"/>
      <c r="MHN41" s="543"/>
      <c r="MHO41" s="543"/>
      <c r="MHP41" s="543"/>
      <c r="MHQ41" s="543"/>
      <c r="MHR41" s="543"/>
      <c r="MHS41" s="543"/>
      <c r="MHT41" s="543"/>
      <c r="MHU41" s="543"/>
      <c r="MHV41" s="543"/>
      <c r="MHW41" s="543"/>
      <c r="MHX41" s="543"/>
      <c r="MHY41" s="543"/>
      <c r="MHZ41" s="543"/>
      <c r="MIA41" s="543"/>
      <c r="MIB41" s="543"/>
      <c r="MIC41" s="543"/>
      <c r="MID41" s="543"/>
      <c r="MIE41" s="543"/>
      <c r="MIF41" s="543"/>
      <c r="MIG41" s="543"/>
      <c r="MIH41" s="543"/>
      <c r="MII41" s="543"/>
      <c r="MIJ41" s="543"/>
      <c r="MIK41" s="543"/>
      <c r="MIL41" s="543"/>
      <c r="MIM41" s="543"/>
      <c r="MIN41" s="543"/>
      <c r="MIO41" s="543"/>
      <c r="MIP41" s="543"/>
      <c r="MIQ41" s="543"/>
      <c r="MIR41" s="543"/>
      <c r="MIS41" s="543"/>
      <c r="MIT41" s="543"/>
      <c r="MIU41" s="543"/>
      <c r="MIV41" s="543"/>
      <c r="MIW41" s="543"/>
      <c r="MIX41" s="543"/>
      <c r="MIY41" s="543"/>
      <c r="MIZ41" s="543"/>
      <c r="MJA41" s="543"/>
      <c r="MJB41" s="543"/>
      <c r="MJC41" s="543"/>
      <c r="MJD41" s="543"/>
      <c r="MJE41" s="543"/>
      <c r="MJF41" s="543"/>
      <c r="MJG41" s="543"/>
      <c r="MJH41" s="543"/>
      <c r="MJI41" s="543"/>
      <c r="MJJ41" s="543"/>
      <c r="MJK41" s="543"/>
      <c r="MJL41" s="543"/>
      <c r="MJM41" s="543"/>
      <c r="MJN41" s="543"/>
      <c r="MJO41" s="543"/>
      <c r="MJP41" s="543"/>
      <c r="MJQ41" s="543"/>
      <c r="MJR41" s="543"/>
      <c r="MJS41" s="543"/>
      <c r="MJT41" s="543"/>
      <c r="MJU41" s="543"/>
      <c r="MJV41" s="543"/>
      <c r="MJW41" s="543"/>
      <c r="MJX41" s="543"/>
      <c r="MJY41" s="543"/>
      <c r="MJZ41" s="543"/>
      <c r="MKA41" s="543"/>
      <c r="MKB41" s="543"/>
      <c r="MKC41" s="543"/>
      <c r="MKD41" s="543"/>
      <c r="MKE41" s="543"/>
      <c r="MKF41" s="543"/>
      <c r="MKG41" s="543"/>
      <c r="MKH41" s="543"/>
      <c r="MKI41" s="543"/>
      <c r="MKJ41" s="543"/>
      <c r="MKK41" s="543"/>
      <c r="MKL41" s="543"/>
      <c r="MKM41" s="543"/>
      <c r="MKN41" s="543"/>
      <c r="MKO41" s="543"/>
      <c r="MKP41" s="543"/>
      <c r="MKQ41" s="543"/>
      <c r="MKR41" s="543"/>
      <c r="MKS41" s="543"/>
      <c r="MKT41" s="543"/>
      <c r="MKU41" s="543"/>
      <c r="MKV41" s="543"/>
      <c r="MKW41" s="543"/>
      <c r="MKX41" s="543"/>
      <c r="MKY41" s="543"/>
      <c r="MKZ41" s="543"/>
      <c r="MLA41" s="543"/>
      <c r="MLB41" s="543"/>
      <c r="MLC41" s="543"/>
      <c r="MLD41" s="543"/>
      <c r="MLE41" s="543"/>
      <c r="MLF41" s="543"/>
      <c r="MLG41" s="543"/>
      <c r="MLH41" s="543"/>
      <c r="MLI41" s="543"/>
      <c r="MLJ41" s="543"/>
      <c r="MLK41" s="543"/>
      <c r="MLL41" s="543"/>
      <c r="MLM41" s="543"/>
      <c r="MLN41" s="543"/>
      <c r="MLO41" s="543"/>
      <c r="MLP41" s="543"/>
      <c r="MLQ41" s="543"/>
      <c r="MLR41" s="543"/>
      <c r="MLS41" s="543"/>
      <c r="MLT41" s="543"/>
      <c r="MLU41" s="543"/>
      <c r="MLV41" s="543"/>
      <c r="MLW41" s="543"/>
      <c r="MLX41" s="543"/>
      <c r="MLY41" s="543"/>
      <c r="MLZ41" s="543"/>
      <c r="MMA41" s="543"/>
      <c r="MMB41" s="543"/>
      <c r="MMC41" s="543"/>
      <c r="MMD41" s="543"/>
      <c r="MME41" s="543"/>
      <c r="MMF41" s="543"/>
      <c r="MMG41" s="543"/>
      <c r="MMH41" s="543"/>
      <c r="MMI41" s="543"/>
      <c r="MMJ41" s="543"/>
      <c r="MMK41" s="543"/>
      <c r="MML41" s="543"/>
      <c r="MMM41" s="543"/>
      <c r="MMN41" s="543"/>
      <c r="MMO41" s="543"/>
      <c r="MMP41" s="543"/>
      <c r="MMQ41" s="543"/>
      <c r="MMR41" s="543"/>
      <c r="MMS41" s="543"/>
      <c r="MMT41" s="543"/>
      <c r="MMU41" s="543"/>
      <c r="MMV41" s="543"/>
      <c r="MMW41" s="543"/>
      <c r="MMX41" s="543"/>
      <c r="MMY41" s="543"/>
      <c r="MMZ41" s="543"/>
      <c r="MNA41" s="543"/>
      <c r="MNB41" s="543"/>
      <c r="MNC41" s="543"/>
      <c r="MND41" s="543"/>
      <c r="MNE41" s="543"/>
      <c r="MNF41" s="543"/>
      <c r="MNG41" s="543"/>
      <c r="MNH41" s="543"/>
      <c r="MNI41" s="543"/>
      <c r="MNJ41" s="543"/>
      <c r="MNK41" s="543"/>
      <c r="MNL41" s="543"/>
      <c r="MNM41" s="543"/>
      <c r="MNN41" s="543"/>
      <c r="MNO41" s="543"/>
      <c r="MNP41" s="543"/>
      <c r="MNQ41" s="543"/>
      <c r="MNR41" s="543"/>
      <c r="MNS41" s="543"/>
      <c r="MNT41" s="543"/>
      <c r="MNU41" s="543"/>
      <c r="MNV41" s="543"/>
      <c r="MNW41" s="543"/>
      <c r="MNX41" s="543"/>
      <c r="MNY41" s="543"/>
      <c r="MNZ41" s="543"/>
      <c r="MOA41" s="543"/>
      <c r="MOB41" s="543"/>
      <c r="MOC41" s="543"/>
      <c r="MOD41" s="543"/>
      <c r="MOE41" s="543"/>
      <c r="MOF41" s="543"/>
      <c r="MOG41" s="543"/>
      <c r="MOH41" s="543"/>
      <c r="MOI41" s="543"/>
      <c r="MOJ41" s="543"/>
      <c r="MOK41" s="543"/>
      <c r="MOL41" s="543"/>
      <c r="MOM41" s="543"/>
      <c r="MON41" s="543"/>
      <c r="MOO41" s="543"/>
      <c r="MOP41" s="543"/>
      <c r="MOQ41" s="543"/>
      <c r="MOR41" s="543"/>
      <c r="MOS41" s="543"/>
      <c r="MOT41" s="543"/>
      <c r="MOU41" s="543"/>
      <c r="MOV41" s="543"/>
      <c r="MOW41" s="543"/>
      <c r="MOX41" s="543"/>
      <c r="MOY41" s="543"/>
      <c r="MOZ41" s="543"/>
      <c r="MPA41" s="543"/>
      <c r="MPB41" s="543"/>
      <c r="MPC41" s="543"/>
      <c r="MPD41" s="543"/>
      <c r="MPE41" s="543"/>
      <c r="MPF41" s="543"/>
      <c r="MPG41" s="543"/>
      <c r="MPH41" s="543"/>
      <c r="MPI41" s="543"/>
      <c r="MPJ41" s="543"/>
      <c r="MPK41" s="543"/>
      <c r="MPL41" s="543"/>
      <c r="MPM41" s="543"/>
      <c r="MPN41" s="543"/>
      <c r="MPO41" s="543"/>
      <c r="MPP41" s="543"/>
      <c r="MPQ41" s="543"/>
      <c r="MPR41" s="543"/>
      <c r="MPS41" s="543"/>
      <c r="MPT41" s="543"/>
      <c r="MPU41" s="543"/>
      <c r="MPV41" s="543"/>
      <c r="MPW41" s="543"/>
      <c r="MPX41" s="543"/>
      <c r="MPY41" s="543"/>
      <c r="MPZ41" s="543"/>
      <c r="MQA41" s="543"/>
      <c r="MQB41" s="543"/>
      <c r="MQC41" s="543"/>
      <c r="MQD41" s="543"/>
      <c r="MQE41" s="543"/>
      <c r="MQF41" s="543"/>
      <c r="MQG41" s="543"/>
      <c r="MQH41" s="543"/>
      <c r="MQI41" s="543"/>
      <c r="MQJ41" s="543"/>
      <c r="MQK41" s="543"/>
      <c r="MQL41" s="543"/>
      <c r="MQM41" s="543"/>
      <c r="MQN41" s="543"/>
      <c r="MQO41" s="543"/>
      <c r="MQP41" s="543"/>
      <c r="MQQ41" s="543"/>
      <c r="MQR41" s="543"/>
      <c r="MQS41" s="543"/>
      <c r="MQT41" s="543"/>
      <c r="MQU41" s="543"/>
      <c r="MQV41" s="543"/>
      <c r="MQW41" s="543"/>
      <c r="MQX41" s="543"/>
      <c r="MQY41" s="543"/>
      <c r="MQZ41" s="543"/>
      <c r="MRA41" s="543"/>
      <c r="MRB41" s="543"/>
      <c r="MRC41" s="543"/>
      <c r="MRD41" s="543"/>
      <c r="MRE41" s="543"/>
      <c r="MRF41" s="543"/>
      <c r="MRG41" s="543"/>
      <c r="MRH41" s="543"/>
      <c r="MRI41" s="543"/>
      <c r="MRJ41" s="543"/>
      <c r="MRK41" s="543"/>
      <c r="MRL41" s="543"/>
      <c r="MRM41" s="543"/>
      <c r="MRN41" s="543"/>
      <c r="MRO41" s="543"/>
      <c r="MRP41" s="543"/>
      <c r="MRQ41" s="543"/>
      <c r="MRR41" s="543"/>
      <c r="MRS41" s="543"/>
      <c r="MRT41" s="543"/>
      <c r="MRU41" s="543"/>
      <c r="MRV41" s="543"/>
      <c r="MRW41" s="543"/>
      <c r="MRX41" s="543"/>
      <c r="MRY41" s="543"/>
      <c r="MRZ41" s="543"/>
      <c r="MSA41" s="543"/>
      <c r="MSB41" s="543"/>
      <c r="MSC41" s="543"/>
      <c r="MSD41" s="543"/>
      <c r="MSE41" s="543"/>
      <c r="MSF41" s="543"/>
      <c r="MSG41" s="543"/>
      <c r="MSH41" s="543"/>
      <c r="MSI41" s="543"/>
      <c r="MSJ41" s="543"/>
      <c r="MSK41" s="543"/>
      <c r="MSL41" s="543"/>
      <c r="MSM41" s="543"/>
      <c r="MSN41" s="543"/>
      <c r="MSO41" s="543"/>
      <c r="MSP41" s="543"/>
      <c r="MSQ41" s="543"/>
      <c r="MSR41" s="543"/>
      <c r="MSS41" s="543"/>
      <c r="MST41" s="543"/>
      <c r="MSU41" s="543"/>
      <c r="MSV41" s="543"/>
      <c r="MSW41" s="543"/>
      <c r="MSX41" s="543"/>
      <c r="MSY41" s="543"/>
      <c r="MSZ41" s="543"/>
      <c r="MTA41" s="543"/>
      <c r="MTB41" s="543"/>
      <c r="MTC41" s="543"/>
      <c r="MTD41" s="543"/>
      <c r="MTE41" s="543"/>
      <c r="MTF41" s="543"/>
      <c r="MTG41" s="543"/>
      <c r="MTH41" s="543"/>
      <c r="MTI41" s="543"/>
      <c r="MTJ41" s="543"/>
      <c r="MTK41" s="543"/>
      <c r="MTL41" s="543"/>
      <c r="MTM41" s="543"/>
      <c r="MTN41" s="543"/>
      <c r="MTO41" s="543"/>
      <c r="MTP41" s="543"/>
      <c r="MTQ41" s="543"/>
      <c r="MTR41" s="543"/>
      <c r="MTS41" s="543"/>
      <c r="MTT41" s="543"/>
      <c r="MTU41" s="543"/>
      <c r="MTV41" s="543"/>
      <c r="MTW41" s="543"/>
      <c r="MTX41" s="543"/>
      <c r="MTY41" s="543"/>
      <c r="MTZ41" s="543"/>
      <c r="MUA41" s="543"/>
      <c r="MUB41" s="543"/>
      <c r="MUC41" s="543"/>
      <c r="MUD41" s="543"/>
      <c r="MUE41" s="543"/>
      <c r="MUF41" s="543"/>
      <c r="MUG41" s="543"/>
      <c r="MUH41" s="543"/>
      <c r="MUI41" s="543"/>
      <c r="MUJ41" s="543"/>
      <c r="MUK41" s="543"/>
      <c r="MUL41" s="543"/>
      <c r="MUM41" s="543"/>
      <c r="MUN41" s="543"/>
      <c r="MUO41" s="543"/>
      <c r="MUP41" s="543"/>
      <c r="MUQ41" s="543"/>
      <c r="MUR41" s="543"/>
      <c r="MUS41" s="543"/>
      <c r="MUT41" s="543"/>
      <c r="MUU41" s="543"/>
      <c r="MUV41" s="543"/>
      <c r="MUW41" s="543"/>
      <c r="MUX41" s="543"/>
      <c r="MUY41" s="543"/>
      <c r="MUZ41" s="543"/>
      <c r="MVA41" s="543"/>
      <c r="MVB41" s="543"/>
      <c r="MVC41" s="543"/>
      <c r="MVD41" s="543"/>
      <c r="MVE41" s="543"/>
      <c r="MVF41" s="543"/>
      <c r="MVG41" s="543"/>
      <c r="MVH41" s="543"/>
      <c r="MVI41" s="543"/>
      <c r="MVJ41" s="543"/>
      <c r="MVK41" s="543"/>
      <c r="MVL41" s="543"/>
      <c r="MVM41" s="543"/>
      <c r="MVN41" s="543"/>
      <c r="MVO41" s="543"/>
      <c r="MVP41" s="543"/>
      <c r="MVQ41" s="543"/>
      <c r="MVR41" s="543"/>
      <c r="MVS41" s="543"/>
      <c r="MVT41" s="543"/>
      <c r="MVU41" s="543"/>
      <c r="MVV41" s="543"/>
      <c r="MVW41" s="543"/>
      <c r="MVX41" s="543"/>
      <c r="MVY41" s="543"/>
      <c r="MVZ41" s="543"/>
      <c r="MWA41" s="543"/>
      <c r="MWB41" s="543"/>
      <c r="MWC41" s="543"/>
      <c r="MWD41" s="543"/>
      <c r="MWE41" s="543"/>
      <c r="MWF41" s="543"/>
      <c r="MWG41" s="543"/>
      <c r="MWH41" s="543"/>
      <c r="MWI41" s="543"/>
      <c r="MWJ41" s="543"/>
      <c r="MWK41" s="543"/>
      <c r="MWL41" s="543"/>
      <c r="MWM41" s="543"/>
      <c r="MWN41" s="543"/>
      <c r="MWO41" s="543"/>
      <c r="MWP41" s="543"/>
      <c r="MWQ41" s="543"/>
      <c r="MWR41" s="543"/>
      <c r="MWS41" s="543"/>
      <c r="MWT41" s="543"/>
      <c r="MWU41" s="543"/>
      <c r="MWV41" s="543"/>
      <c r="MWW41" s="543"/>
      <c r="MWX41" s="543"/>
      <c r="MWY41" s="543"/>
      <c r="MWZ41" s="543"/>
      <c r="MXA41" s="543"/>
      <c r="MXB41" s="543"/>
      <c r="MXC41" s="543"/>
      <c r="MXD41" s="543"/>
      <c r="MXE41" s="543"/>
      <c r="MXF41" s="543"/>
      <c r="MXG41" s="543"/>
      <c r="MXH41" s="543"/>
      <c r="MXI41" s="543"/>
      <c r="MXJ41" s="543"/>
      <c r="MXK41" s="543"/>
      <c r="MXL41" s="543"/>
      <c r="MXM41" s="543"/>
      <c r="MXN41" s="543"/>
      <c r="MXO41" s="543"/>
      <c r="MXP41" s="543"/>
      <c r="MXQ41" s="543"/>
      <c r="MXR41" s="543"/>
      <c r="MXS41" s="543"/>
      <c r="MXT41" s="543"/>
      <c r="MXU41" s="543"/>
      <c r="MXV41" s="543"/>
      <c r="MXW41" s="543"/>
      <c r="MXX41" s="543"/>
      <c r="MXY41" s="543"/>
      <c r="MXZ41" s="543"/>
      <c r="MYA41" s="543"/>
      <c r="MYB41" s="543"/>
      <c r="MYC41" s="543"/>
      <c r="MYD41" s="543"/>
      <c r="MYE41" s="543"/>
      <c r="MYF41" s="543"/>
      <c r="MYG41" s="543"/>
      <c r="MYH41" s="543"/>
      <c r="MYI41" s="543"/>
      <c r="MYJ41" s="543"/>
      <c r="MYK41" s="543"/>
      <c r="MYL41" s="543"/>
      <c r="MYM41" s="543"/>
      <c r="MYN41" s="543"/>
      <c r="MYO41" s="543"/>
      <c r="MYP41" s="543"/>
      <c r="MYQ41" s="543"/>
      <c r="MYR41" s="543"/>
      <c r="MYS41" s="543"/>
      <c r="MYT41" s="543"/>
      <c r="MYU41" s="543"/>
      <c r="MYV41" s="543"/>
      <c r="MYW41" s="543"/>
      <c r="MYX41" s="543"/>
      <c r="MYY41" s="543"/>
      <c r="MYZ41" s="543"/>
      <c r="MZA41" s="543"/>
      <c r="MZB41" s="543"/>
      <c r="MZC41" s="543"/>
      <c r="MZD41" s="543"/>
      <c r="MZE41" s="543"/>
      <c r="MZF41" s="543"/>
      <c r="MZG41" s="543"/>
      <c r="MZH41" s="543"/>
      <c r="MZI41" s="543"/>
      <c r="MZJ41" s="543"/>
      <c r="MZK41" s="543"/>
      <c r="MZL41" s="543"/>
      <c r="MZM41" s="543"/>
      <c r="MZN41" s="543"/>
      <c r="MZO41" s="543"/>
      <c r="MZP41" s="543"/>
      <c r="MZQ41" s="543"/>
      <c r="MZR41" s="543"/>
      <c r="MZS41" s="543"/>
      <c r="MZT41" s="543"/>
      <c r="MZU41" s="543"/>
      <c r="MZV41" s="543"/>
      <c r="MZW41" s="543"/>
      <c r="MZX41" s="543"/>
      <c r="MZY41" s="543"/>
      <c r="MZZ41" s="543"/>
      <c r="NAA41" s="543"/>
      <c r="NAB41" s="543"/>
      <c r="NAC41" s="543"/>
      <c r="NAD41" s="543"/>
      <c r="NAE41" s="543"/>
      <c r="NAF41" s="543"/>
      <c r="NAG41" s="543"/>
      <c r="NAH41" s="543"/>
      <c r="NAI41" s="543"/>
      <c r="NAJ41" s="543"/>
      <c r="NAK41" s="543"/>
      <c r="NAL41" s="543"/>
      <c r="NAM41" s="543"/>
      <c r="NAN41" s="543"/>
      <c r="NAO41" s="543"/>
      <c r="NAP41" s="543"/>
      <c r="NAQ41" s="543"/>
      <c r="NAR41" s="543"/>
      <c r="NAS41" s="543"/>
      <c r="NAT41" s="543"/>
      <c r="NAU41" s="543"/>
      <c r="NAV41" s="543"/>
      <c r="NAW41" s="543"/>
      <c r="NAX41" s="543"/>
      <c r="NAY41" s="543"/>
      <c r="NAZ41" s="543"/>
      <c r="NBA41" s="543"/>
      <c r="NBB41" s="543"/>
      <c r="NBC41" s="543"/>
      <c r="NBD41" s="543"/>
      <c r="NBE41" s="543"/>
      <c r="NBF41" s="543"/>
      <c r="NBG41" s="543"/>
      <c r="NBH41" s="543"/>
      <c r="NBI41" s="543"/>
      <c r="NBJ41" s="543"/>
      <c r="NBK41" s="543"/>
      <c r="NBL41" s="543"/>
      <c r="NBM41" s="543"/>
      <c r="NBN41" s="543"/>
      <c r="NBO41" s="543"/>
      <c r="NBP41" s="543"/>
      <c r="NBQ41" s="543"/>
      <c r="NBR41" s="543"/>
      <c r="NBS41" s="543"/>
      <c r="NBT41" s="543"/>
      <c r="NBU41" s="543"/>
      <c r="NBV41" s="543"/>
      <c r="NBW41" s="543"/>
      <c r="NBX41" s="543"/>
      <c r="NBY41" s="543"/>
      <c r="NBZ41" s="543"/>
      <c r="NCA41" s="543"/>
      <c r="NCB41" s="543"/>
      <c r="NCC41" s="543"/>
      <c r="NCD41" s="543"/>
      <c r="NCE41" s="543"/>
      <c r="NCF41" s="543"/>
      <c r="NCG41" s="543"/>
      <c r="NCH41" s="543"/>
      <c r="NCI41" s="543"/>
      <c r="NCJ41" s="543"/>
      <c r="NCK41" s="543"/>
      <c r="NCL41" s="543"/>
      <c r="NCM41" s="543"/>
      <c r="NCN41" s="543"/>
      <c r="NCO41" s="543"/>
      <c r="NCP41" s="543"/>
      <c r="NCQ41" s="543"/>
      <c r="NCR41" s="543"/>
      <c r="NCS41" s="543"/>
      <c r="NCT41" s="543"/>
      <c r="NCU41" s="543"/>
      <c r="NCV41" s="543"/>
      <c r="NCW41" s="543"/>
      <c r="NCX41" s="543"/>
      <c r="NCY41" s="543"/>
      <c r="NCZ41" s="543"/>
      <c r="NDA41" s="543"/>
      <c r="NDB41" s="543"/>
      <c r="NDC41" s="543"/>
      <c r="NDD41" s="543"/>
      <c r="NDE41" s="543"/>
      <c r="NDF41" s="543"/>
      <c r="NDG41" s="543"/>
      <c r="NDH41" s="543"/>
      <c r="NDI41" s="543"/>
      <c r="NDJ41" s="543"/>
      <c r="NDK41" s="543"/>
      <c r="NDL41" s="543"/>
      <c r="NDM41" s="543"/>
      <c r="NDN41" s="543"/>
      <c r="NDO41" s="543"/>
      <c r="NDP41" s="543"/>
      <c r="NDQ41" s="543"/>
      <c r="NDR41" s="543"/>
      <c r="NDS41" s="543"/>
      <c r="NDT41" s="543"/>
      <c r="NDU41" s="543"/>
      <c r="NDV41" s="543"/>
      <c r="NDW41" s="543"/>
      <c r="NDX41" s="543"/>
      <c r="NDY41" s="543"/>
      <c r="NDZ41" s="543"/>
      <c r="NEA41" s="543"/>
      <c r="NEB41" s="543"/>
      <c r="NEC41" s="543"/>
      <c r="NED41" s="543"/>
      <c r="NEE41" s="543"/>
      <c r="NEF41" s="543"/>
      <c r="NEG41" s="543"/>
      <c r="NEH41" s="543"/>
      <c r="NEI41" s="543"/>
      <c r="NEJ41" s="543"/>
      <c r="NEK41" s="543"/>
      <c r="NEL41" s="543"/>
      <c r="NEM41" s="543"/>
      <c r="NEN41" s="543"/>
      <c r="NEO41" s="543"/>
      <c r="NEP41" s="543"/>
      <c r="NEQ41" s="543"/>
      <c r="NER41" s="543"/>
      <c r="NES41" s="543"/>
      <c r="NET41" s="543"/>
      <c r="NEU41" s="543"/>
      <c r="NEV41" s="543"/>
      <c r="NEW41" s="543"/>
      <c r="NEX41" s="543"/>
      <c r="NEY41" s="543"/>
      <c r="NEZ41" s="543"/>
      <c r="NFA41" s="543"/>
      <c r="NFB41" s="543"/>
      <c r="NFC41" s="543"/>
      <c r="NFD41" s="543"/>
      <c r="NFE41" s="543"/>
      <c r="NFF41" s="543"/>
      <c r="NFG41" s="543"/>
      <c r="NFH41" s="543"/>
      <c r="NFI41" s="543"/>
      <c r="NFJ41" s="543"/>
      <c r="NFK41" s="543"/>
      <c r="NFL41" s="543"/>
      <c r="NFM41" s="543"/>
      <c r="NFN41" s="543"/>
      <c r="NFO41" s="543"/>
      <c r="NFP41" s="543"/>
      <c r="NFQ41" s="543"/>
      <c r="NFR41" s="543"/>
      <c r="NFS41" s="543"/>
      <c r="NFT41" s="543"/>
      <c r="NFU41" s="543"/>
      <c r="NFV41" s="543"/>
      <c r="NFW41" s="543"/>
      <c r="NFX41" s="543"/>
      <c r="NFY41" s="543"/>
      <c r="NFZ41" s="543"/>
      <c r="NGA41" s="543"/>
      <c r="NGB41" s="543"/>
      <c r="NGC41" s="543"/>
      <c r="NGD41" s="543"/>
      <c r="NGE41" s="543"/>
      <c r="NGF41" s="543"/>
      <c r="NGG41" s="543"/>
      <c r="NGH41" s="543"/>
      <c r="NGI41" s="543"/>
      <c r="NGJ41" s="543"/>
      <c r="NGK41" s="543"/>
      <c r="NGL41" s="543"/>
      <c r="NGM41" s="543"/>
      <c r="NGN41" s="543"/>
      <c r="NGO41" s="543"/>
      <c r="NGP41" s="543"/>
      <c r="NGQ41" s="543"/>
      <c r="NGR41" s="543"/>
      <c r="NGS41" s="543"/>
      <c r="NGT41" s="543"/>
      <c r="NGU41" s="543"/>
      <c r="NGV41" s="543"/>
      <c r="NGW41" s="543"/>
      <c r="NGX41" s="543"/>
      <c r="NGY41" s="543"/>
      <c r="NGZ41" s="543"/>
      <c r="NHA41" s="543"/>
      <c r="NHB41" s="543"/>
      <c r="NHC41" s="543"/>
      <c r="NHD41" s="543"/>
      <c r="NHE41" s="543"/>
      <c r="NHF41" s="543"/>
      <c r="NHG41" s="543"/>
      <c r="NHH41" s="543"/>
      <c r="NHI41" s="543"/>
      <c r="NHJ41" s="543"/>
      <c r="NHK41" s="543"/>
      <c r="NHL41" s="543"/>
      <c r="NHM41" s="543"/>
      <c r="NHN41" s="543"/>
      <c r="NHO41" s="543"/>
      <c r="NHP41" s="543"/>
      <c r="NHQ41" s="543"/>
      <c r="NHR41" s="543"/>
      <c r="NHS41" s="543"/>
      <c r="NHT41" s="543"/>
      <c r="NHU41" s="543"/>
      <c r="NHV41" s="543"/>
      <c r="NHW41" s="543"/>
      <c r="NHX41" s="543"/>
      <c r="NHY41" s="543"/>
      <c r="NHZ41" s="543"/>
      <c r="NIA41" s="543"/>
      <c r="NIB41" s="543"/>
      <c r="NIC41" s="543"/>
      <c r="NID41" s="543"/>
      <c r="NIE41" s="543"/>
      <c r="NIF41" s="543"/>
      <c r="NIG41" s="543"/>
      <c r="NIH41" s="543"/>
      <c r="NII41" s="543"/>
      <c r="NIJ41" s="543"/>
      <c r="NIK41" s="543"/>
      <c r="NIL41" s="543"/>
      <c r="NIM41" s="543"/>
      <c r="NIN41" s="543"/>
      <c r="NIO41" s="543"/>
      <c r="NIP41" s="543"/>
      <c r="NIQ41" s="543"/>
      <c r="NIR41" s="543"/>
      <c r="NIS41" s="543"/>
      <c r="NIT41" s="543"/>
      <c r="NIU41" s="543"/>
      <c r="NIV41" s="543"/>
      <c r="NIW41" s="543"/>
      <c r="NIX41" s="543"/>
      <c r="NIY41" s="543"/>
      <c r="NIZ41" s="543"/>
      <c r="NJA41" s="543"/>
      <c r="NJB41" s="543"/>
      <c r="NJC41" s="543"/>
      <c r="NJD41" s="543"/>
      <c r="NJE41" s="543"/>
      <c r="NJF41" s="543"/>
      <c r="NJG41" s="543"/>
      <c r="NJH41" s="543"/>
      <c r="NJI41" s="543"/>
      <c r="NJJ41" s="543"/>
      <c r="NJK41" s="543"/>
      <c r="NJL41" s="543"/>
      <c r="NJM41" s="543"/>
      <c r="NJN41" s="543"/>
      <c r="NJO41" s="543"/>
      <c r="NJP41" s="543"/>
      <c r="NJQ41" s="543"/>
      <c r="NJR41" s="543"/>
      <c r="NJS41" s="543"/>
      <c r="NJT41" s="543"/>
      <c r="NJU41" s="543"/>
      <c r="NJV41" s="543"/>
      <c r="NJW41" s="543"/>
      <c r="NJX41" s="543"/>
      <c r="NJY41" s="543"/>
      <c r="NJZ41" s="543"/>
      <c r="NKA41" s="543"/>
      <c r="NKB41" s="543"/>
      <c r="NKC41" s="543"/>
      <c r="NKD41" s="543"/>
      <c r="NKE41" s="543"/>
      <c r="NKF41" s="543"/>
      <c r="NKG41" s="543"/>
      <c r="NKH41" s="543"/>
      <c r="NKI41" s="543"/>
      <c r="NKJ41" s="543"/>
      <c r="NKK41" s="543"/>
      <c r="NKL41" s="543"/>
      <c r="NKM41" s="543"/>
      <c r="NKN41" s="543"/>
      <c r="NKO41" s="543"/>
      <c r="NKP41" s="543"/>
      <c r="NKQ41" s="543"/>
      <c r="NKR41" s="543"/>
      <c r="NKS41" s="543"/>
      <c r="NKT41" s="543"/>
      <c r="NKU41" s="543"/>
      <c r="NKV41" s="543"/>
      <c r="NKW41" s="543"/>
      <c r="NKX41" s="543"/>
      <c r="NKY41" s="543"/>
      <c r="NKZ41" s="543"/>
      <c r="NLA41" s="543"/>
      <c r="NLB41" s="543"/>
      <c r="NLC41" s="543"/>
      <c r="NLD41" s="543"/>
      <c r="NLE41" s="543"/>
      <c r="NLF41" s="543"/>
      <c r="NLG41" s="543"/>
      <c r="NLH41" s="543"/>
      <c r="NLI41" s="543"/>
      <c r="NLJ41" s="543"/>
      <c r="NLK41" s="543"/>
      <c r="NLL41" s="543"/>
      <c r="NLM41" s="543"/>
      <c r="NLN41" s="543"/>
      <c r="NLO41" s="543"/>
      <c r="NLP41" s="543"/>
      <c r="NLQ41" s="543"/>
      <c r="NLR41" s="543"/>
      <c r="NLS41" s="543"/>
      <c r="NLT41" s="543"/>
      <c r="NLU41" s="543"/>
      <c r="NLV41" s="543"/>
      <c r="NLW41" s="543"/>
      <c r="NLX41" s="543"/>
      <c r="NLY41" s="543"/>
      <c r="NLZ41" s="543"/>
      <c r="NMA41" s="543"/>
      <c r="NMB41" s="543"/>
      <c r="NMC41" s="543"/>
      <c r="NMD41" s="543"/>
      <c r="NME41" s="543"/>
      <c r="NMF41" s="543"/>
      <c r="NMG41" s="543"/>
      <c r="NMH41" s="543"/>
      <c r="NMI41" s="543"/>
      <c r="NMJ41" s="543"/>
      <c r="NMK41" s="543"/>
      <c r="NML41" s="543"/>
      <c r="NMM41" s="543"/>
      <c r="NMN41" s="543"/>
      <c r="NMO41" s="543"/>
      <c r="NMP41" s="543"/>
      <c r="NMQ41" s="543"/>
      <c r="NMR41" s="543"/>
      <c r="NMS41" s="543"/>
      <c r="NMT41" s="543"/>
      <c r="NMU41" s="543"/>
      <c r="NMV41" s="543"/>
      <c r="NMW41" s="543"/>
      <c r="NMX41" s="543"/>
      <c r="NMY41" s="543"/>
      <c r="NMZ41" s="543"/>
      <c r="NNA41" s="543"/>
      <c r="NNB41" s="543"/>
      <c r="NNC41" s="543"/>
      <c r="NND41" s="543"/>
      <c r="NNE41" s="543"/>
      <c r="NNF41" s="543"/>
      <c r="NNG41" s="543"/>
      <c r="NNH41" s="543"/>
      <c r="NNI41" s="543"/>
      <c r="NNJ41" s="543"/>
      <c r="NNK41" s="543"/>
      <c r="NNL41" s="543"/>
      <c r="NNM41" s="543"/>
      <c r="NNN41" s="543"/>
      <c r="NNO41" s="543"/>
      <c r="NNP41" s="543"/>
      <c r="NNQ41" s="543"/>
      <c r="NNR41" s="543"/>
      <c r="NNS41" s="543"/>
      <c r="NNT41" s="543"/>
      <c r="NNU41" s="543"/>
      <c r="NNV41" s="543"/>
      <c r="NNW41" s="543"/>
      <c r="NNX41" s="543"/>
      <c r="NNY41" s="543"/>
      <c r="NNZ41" s="543"/>
      <c r="NOA41" s="543"/>
      <c r="NOB41" s="543"/>
      <c r="NOC41" s="543"/>
      <c r="NOD41" s="543"/>
      <c r="NOE41" s="543"/>
      <c r="NOF41" s="543"/>
      <c r="NOG41" s="543"/>
      <c r="NOH41" s="543"/>
      <c r="NOI41" s="543"/>
      <c r="NOJ41" s="543"/>
      <c r="NOK41" s="543"/>
      <c r="NOL41" s="543"/>
      <c r="NOM41" s="543"/>
      <c r="NON41" s="543"/>
      <c r="NOO41" s="543"/>
      <c r="NOP41" s="543"/>
      <c r="NOQ41" s="543"/>
      <c r="NOR41" s="543"/>
      <c r="NOS41" s="543"/>
      <c r="NOT41" s="543"/>
      <c r="NOU41" s="543"/>
      <c r="NOV41" s="543"/>
      <c r="NOW41" s="543"/>
      <c r="NOX41" s="543"/>
      <c r="NOY41" s="543"/>
      <c r="NOZ41" s="543"/>
      <c r="NPA41" s="543"/>
      <c r="NPB41" s="543"/>
      <c r="NPC41" s="543"/>
      <c r="NPD41" s="543"/>
      <c r="NPE41" s="543"/>
      <c r="NPF41" s="543"/>
      <c r="NPG41" s="543"/>
      <c r="NPH41" s="543"/>
      <c r="NPI41" s="543"/>
      <c r="NPJ41" s="543"/>
      <c r="NPK41" s="543"/>
      <c r="NPL41" s="543"/>
      <c r="NPM41" s="543"/>
      <c r="NPN41" s="543"/>
      <c r="NPO41" s="543"/>
      <c r="NPP41" s="543"/>
      <c r="NPQ41" s="543"/>
      <c r="NPR41" s="543"/>
      <c r="NPS41" s="543"/>
      <c r="NPT41" s="543"/>
      <c r="NPU41" s="543"/>
      <c r="NPV41" s="543"/>
      <c r="NPW41" s="543"/>
      <c r="NPX41" s="543"/>
      <c r="NPY41" s="543"/>
      <c r="NPZ41" s="543"/>
      <c r="NQA41" s="543"/>
      <c r="NQB41" s="543"/>
      <c r="NQC41" s="543"/>
      <c r="NQD41" s="543"/>
      <c r="NQE41" s="543"/>
      <c r="NQF41" s="543"/>
      <c r="NQG41" s="543"/>
      <c r="NQH41" s="543"/>
      <c r="NQI41" s="543"/>
      <c r="NQJ41" s="543"/>
      <c r="NQK41" s="543"/>
      <c r="NQL41" s="543"/>
      <c r="NQM41" s="543"/>
      <c r="NQN41" s="543"/>
      <c r="NQO41" s="543"/>
      <c r="NQP41" s="543"/>
      <c r="NQQ41" s="543"/>
      <c r="NQR41" s="543"/>
      <c r="NQS41" s="543"/>
      <c r="NQT41" s="543"/>
      <c r="NQU41" s="543"/>
      <c r="NQV41" s="543"/>
      <c r="NQW41" s="543"/>
      <c r="NQX41" s="543"/>
      <c r="NQY41" s="543"/>
      <c r="NQZ41" s="543"/>
      <c r="NRA41" s="543"/>
      <c r="NRB41" s="543"/>
      <c r="NRC41" s="543"/>
      <c r="NRD41" s="543"/>
      <c r="NRE41" s="543"/>
      <c r="NRF41" s="543"/>
      <c r="NRG41" s="543"/>
      <c r="NRH41" s="543"/>
      <c r="NRI41" s="543"/>
      <c r="NRJ41" s="543"/>
      <c r="NRK41" s="543"/>
      <c r="NRL41" s="543"/>
      <c r="NRM41" s="543"/>
      <c r="NRN41" s="543"/>
      <c r="NRO41" s="543"/>
      <c r="NRP41" s="543"/>
      <c r="NRQ41" s="543"/>
      <c r="NRR41" s="543"/>
      <c r="NRS41" s="543"/>
      <c r="NRT41" s="543"/>
      <c r="NRU41" s="543"/>
      <c r="NRV41" s="543"/>
      <c r="NRW41" s="543"/>
      <c r="NRX41" s="543"/>
      <c r="NRY41" s="543"/>
      <c r="NRZ41" s="543"/>
      <c r="NSA41" s="543"/>
      <c r="NSB41" s="543"/>
      <c r="NSC41" s="543"/>
      <c r="NSD41" s="543"/>
      <c r="NSE41" s="543"/>
      <c r="NSF41" s="543"/>
      <c r="NSG41" s="543"/>
      <c r="NSH41" s="543"/>
      <c r="NSI41" s="543"/>
      <c r="NSJ41" s="543"/>
      <c r="NSK41" s="543"/>
      <c r="NSL41" s="543"/>
      <c r="NSM41" s="543"/>
      <c r="NSN41" s="543"/>
      <c r="NSO41" s="543"/>
      <c r="NSP41" s="543"/>
      <c r="NSQ41" s="543"/>
      <c r="NSR41" s="543"/>
      <c r="NSS41" s="543"/>
      <c r="NST41" s="543"/>
      <c r="NSU41" s="543"/>
      <c r="NSV41" s="543"/>
      <c r="NSW41" s="543"/>
      <c r="NSX41" s="543"/>
      <c r="NSY41" s="543"/>
      <c r="NSZ41" s="543"/>
      <c r="NTA41" s="543"/>
      <c r="NTB41" s="543"/>
      <c r="NTC41" s="543"/>
      <c r="NTD41" s="543"/>
      <c r="NTE41" s="543"/>
      <c r="NTF41" s="543"/>
      <c r="NTG41" s="543"/>
      <c r="NTH41" s="543"/>
      <c r="NTI41" s="543"/>
      <c r="NTJ41" s="543"/>
      <c r="NTK41" s="543"/>
      <c r="NTL41" s="543"/>
      <c r="NTM41" s="543"/>
      <c r="NTN41" s="543"/>
      <c r="NTO41" s="543"/>
      <c r="NTP41" s="543"/>
      <c r="NTQ41" s="543"/>
      <c r="NTR41" s="543"/>
      <c r="NTS41" s="543"/>
      <c r="NTT41" s="543"/>
      <c r="NTU41" s="543"/>
      <c r="NTV41" s="543"/>
      <c r="NTW41" s="543"/>
      <c r="NTX41" s="543"/>
      <c r="NTY41" s="543"/>
      <c r="NTZ41" s="543"/>
      <c r="NUA41" s="543"/>
      <c r="NUB41" s="543"/>
      <c r="NUC41" s="543"/>
      <c r="NUD41" s="543"/>
      <c r="NUE41" s="543"/>
      <c r="NUF41" s="543"/>
      <c r="NUG41" s="543"/>
      <c r="NUH41" s="543"/>
      <c r="NUI41" s="543"/>
      <c r="NUJ41" s="543"/>
      <c r="NUK41" s="543"/>
      <c r="NUL41" s="543"/>
      <c r="NUM41" s="543"/>
      <c r="NUN41" s="543"/>
      <c r="NUO41" s="543"/>
      <c r="NUP41" s="543"/>
      <c r="NUQ41" s="543"/>
      <c r="NUR41" s="543"/>
      <c r="NUS41" s="543"/>
      <c r="NUT41" s="543"/>
      <c r="NUU41" s="543"/>
      <c r="NUV41" s="543"/>
      <c r="NUW41" s="543"/>
      <c r="NUX41" s="543"/>
      <c r="NUY41" s="543"/>
      <c r="NUZ41" s="543"/>
      <c r="NVA41" s="543"/>
      <c r="NVB41" s="543"/>
      <c r="NVC41" s="543"/>
      <c r="NVD41" s="543"/>
      <c r="NVE41" s="543"/>
      <c r="NVF41" s="543"/>
      <c r="NVG41" s="543"/>
      <c r="NVH41" s="543"/>
      <c r="NVI41" s="543"/>
      <c r="NVJ41" s="543"/>
      <c r="NVK41" s="543"/>
      <c r="NVL41" s="543"/>
      <c r="NVM41" s="543"/>
      <c r="NVN41" s="543"/>
      <c r="NVO41" s="543"/>
      <c r="NVP41" s="543"/>
      <c r="NVQ41" s="543"/>
      <c r="NVR41" s="543"/>
      <c r="NVS41" s="543"/>
      <c r="NVT41" s="543"/>
      <c r="NVU41" s="543"/>
      <c r="NVV41" s="543"/>
      <c r="NVW41" s="543"/>
      <c r="NVX41" s="543"/>
      <c r="NVY41" s="543"/>
      <c r="NVZ41" s="543"/>
      <c r="NWA41" s="543"/>
      <c r="NWB41" s="543"/>
      <c r="NWC41" s="543"/>
      <c r="NWD41" s="543"/>
      <c r="NWE41" s="543"/>
      <c r="NWF41" s="543"/>
      <c r="NWG41" s="543"/>
      <c r="NWH41" s="543"/>
      <c r="NWI41" s="543"/>
      <c r="NWJ41" s="543"/>
      <c r="NWK41" s="543"/>
      <c r="NWL41" s="543"/>
      <c r="NWM41" s="543"/>
      <c r="NWN41" s="543"/>
      <c r="NWO41" s="543"/>
      <c r="NWP41" s="543"/>
      <c r="NWQ41" s="543"/>
      <c r="NWR41" s="543"/>
      <c r="NWS41" s="543"/>
      <c r="NWT41" s="543"/>
      <c r="NWU41" s="543"/>
      <c r="NWV41" s="543"/>
      <c r="NWW41" s="543"/>
      <c r="NWX41" s="543"/>
      <c r="NWY41" s="543"/>
      <c r="NWZ41" s="543"/>
      <c r="NXA41" s="543"/>
      <c r="NXB41" s="543"/>
      <c r="NXC41" s="543"/>
      <c r="NXD41" s="543"/>
      <c r="NXE41" s="543"/>
      <c r="NXF41" s="543"/>
      <c r="NXG41" s="543"/>
      <c r="NXH41" s="543"/>
      <c r="NXI41" s="543"/>
      <c r="NXJ41" s="543"/>
      <c r="NXK41" s="543"/>
      <c r="NXL41" s="543"/>
      <c r="NXM41" s="543"/>
      <c r="NXN41" s="543"/>
      <c r="NXO41" s="543"/>
      <c r="NXP41" s="543"/>
      <c r="NXQ41" s="543"/>
      <c r="NXR41" s="543"/>
      <c r="NXS41" s="543"/>
      <c r="NXT41" s="543"/>
      <c r="NXU41" s="543"/>
      <c r="NXV41" s="543"/>
      <c r="NXW41" s="543"/>
      <c r="NXX41" s="543"/>
      <c r="NXY41" s="543"/>
      <c r="NXZ41" s="543"/>
      <c r="NYA41" s="543"/>
      <c r="NYB41" s="543"/>
      <c r="NYC41" s="543"/>
      <c r="NYD41" s="543"/>
      <c r="NYE41" s="543"/>
      <c r="NYF41" s="543"/>
      <c r="NYG41" s="543"/>
      <c r="NYH41" s="543"/>
      <c r="NYI41" s="543"/>
      <c r="NYJ41" s="543"/>
      <c r="NYK41" s="543"/>
      <c r="NYL41" s="543"/>
      <c r="NYM41" s="543"/>
      <c r="NYN41" s="543"/>
      <c r="NYO41" s="543"/>
      <c r="NYP41" s="543"/>
      <c r="NYQ41" s="543"/>
      <c r="NYR41" s="543"/>
      <c r="NYS41" s="543"/>
      <c r="NYT41" s="543"/>
      <c r="NYU41" s="543"/>
      <c r="NYV41" s="543"/>
      <c r="NYW41" s="543"/>
      <c r="NYX41" s="543"/>
      <c r="NYY41" s="543"/>
      <c r="NYZ41" s="543"/>
      <c r="NZA41" s="543"/>
      <c r="NZB41" s="543"/>
      <c r="NZC41" s="543"/>
      <c r="NZD41" s="543"/>
      <c r="NZE41" s="543"/>
      <c r="NZF41" s="543"/>
      <c r="NZG41" s="543"/>
      <c r="NZH41" s="543"/>
      <c r="NZI41" s="543"/>
      <c r="NZJ41" s="543"/>
      <c r="NZK41" s="543"/>
      <c r="NZL41" s="543"/>
      <c r="NZM41" s="543"/>
      <c r="NZN41" s="543"/>
      <c r="NZO41" s="543"/>
      <c r="NZP41" s="543"/>
      <c r="NZQ41" s="543"/>
      <c r="NZR41" s="543"/>
      <c r="NZS41" s="543"/>
      <c r="NZT41" s="543"/>
      <c r="NZU41" s="543"/>
      <c r="NZV41" s="543"/>
      <c r="NZW41" s="543"/>
      <c r="NZX41" s="543"/>
      <c r="NZY41" s="543"/>
      <c r="NZZ41" s="543"/>
      <c r="OAA41" s="543"/>
      <c r="OAB41" s="543"/>
      <c r="OAC41" s="543"/>
      <c r="OAD41" s="543"/>
      <c r="OAE41" s="543"/>
      <c r="OAF41" s="543"/>
      <c r="OAG41" s="543"/>
      <c r="OAH41" s="543"/>
      <c r="OAI41" s="543"/>
      <c r="OAJ41" s="543"/>
      <c r="OAK41" s="543"/>
      <c r="OAL41" s="543"/>
      <c r="OAM41" s="543"/>
      <c r="OAN41" s="543"/>
      <c r="OAO41" s="543"/>
      <c r="OAP41" s="543"/>
      <c r="OAQ41" s="543"/>
      <c r="OAR41" s="543"/>
      <c r="OAS41" s="543"/>
      <c r="OAT41" s="543"/>
      <c r="OAU41" s="543"/>
      <c r="OAV41" s="543"/>
      <c r="OAW41" s="543"/>
      <c r="OAX41" s="543"/>
      <c r="OAY41" s="543"/>
      <c r="OAZ41" s="543"/>
      <c r="OBA41" s="543"/>
      <c r="OBB41" s="543"/>
      <c r="OBC41" s="543"/>
      <c r="OBD41" s="543"/>
      <c r="OBE41" s="543"/>
      <c r="OBF41" s="543"/>
      <c r="OBG41" s="543"/>
      <c r="OBH41" s="543"/>
      <c r="OBI41" s="543"/>
      <c r="OBJ41" s="543"/>
      <c r="OBK41" s="543"/>
      <c r="OBL41" s="543"/>
      <c r="OBM41" s="543"/>
      <c r="OBN41" s="543"/>
      <c r="OBO41" s="543"/>
      <c r="OBP41" s="543"/>
      <c r="OBQ41" s="543"/>
      <c r="OBR41" s="543"/>
      <c r="OBS41" s="543"/>
      <c r="OBT41" s="543"/>
      <c r="OBU41" s="543"/>
      <c r="OBV41" s="543"/>
      <c r="OBW41" s="543"/>
      <c r="OBX41" s="543"/>
      <c r="OBY41" s="543"/>
      <c r="OBZ41" s="543"/>
      <c r="OCA41" s="543"/>
      <c r="OCB41" s="543"/>
      <c r="OCC41" s="543"/>
      <c r="OCD41" s="543"/>
      <c r="OCE41" s="543"/>
      <c r="OCF41" s="543"/>
      <c r="OCG41" s="543"/>
      <c r="OCH41" s="543"/>
      <c r="OCI41" s="543"/>
      <c r="OCJ41" s="543"/>
      <c r="OCK41" s="543"/>
      <c r="OCL41" s="543"/>
      <c r="OCM41" s="543"/>
      <c r="OCN41" s="543"/>
      <c r="OCO41" s="543"/>
      <c r="OCP41" s="543"/>
      <c r="OCQ41" s="543"/>
      <c r="OCR41" s="543"/>
      <c r="OCS41" s="543"/>
      <c r="OCT41" s="543"/>
      <c r="OCU41" s="543"/>
      <c r="OCV41" s="543"/>
      <c r="OCW41" s="543"/>
      <c r="OCX41" s="543"/>
      <c r="OCY41" s="543"/>
      <c r="OCZ41" s="543"/>
      <c r="ODA41" s="543"/>
      <c r="ODB41" s="543"/>
      <c r="ODC41" s="543"/>
      <c r="ODD41" s="543"/>
      <c r="ODE41" s="543"/>
      <c r="ODF41" s="543"/>
      <c r="ODG41" s="543"/>
      <c r="ODH41" s="543"/>
      <c r="ODI41" s="543"/>
      <c r="ODJ41" s="543"/>
      <c r="ODK41" s="543"/>
      <c r="ODL41" s="543"/>
      <c r="ODM41" s="543"/>
      <c r="ODN41" s="543"/>
      <c r="ODO41" s="543"/>
      <c r="ODP41" s="543"/>
      <c r="ODQ41" s="543"/>
      <c r="ODR41" s="543"/>
      <c r="ODS41" s="543"/>
      <c r="ODT41" s="543"/>
      <c r="ODU41" s="543"/>
      <c r="ODV41" s="543"/>
      <c r="ODW41" s="543"/>
      <c r="ODX41" s="543"/>
      <c r="ODY41" s="543"/>
      <c r="ODZ41" s="543"/>
      <c r="OEA41" s="543"/>
      <c r="OEB41" s="543"/>
      <c r="OEC41" s="543"/>
      <c r="OED41" s="543"/>
      <c r="OEE41" s="543"/>
      <c r="OEF41" s="543"/>
      <c r="OEG41" s="543"/>
      <c r="OEH41" s="543"/>
      <c r="OEI41" s="543"/>
      <c r="OEJ41" s="543"/>
      <c r="OEK41" s="543"/>
      <c r="OEL41" s="543"/>
      <c r="OEM41" s="543"/>
      <c r="OEN41" s="543"/>
      <c r="OEO41" s="543"/>
      <c r="OEP41" s="543"/>
      <c r="OEQ41" s="543"/>
      <c r="OER41" s="543"/>
      <c r="OES41" s="543"/>
      <c r="OET41" s="543"/>
      <c r="OEU41" s="543"/>
      <c r="OEV41" s="543"/>
      <c r="OEW41" s="543"/>
      <c r="OEX41" s="543"/>
      <c r="OEY41" s="543"/>
      <c r="OEZ41" s="543"/>
      <c r="OFA41" s="543"/>
      <c r="OFB41" s="543"/>
      <c r="OFC41" s="543"/>
      <c r="OFD41" s="543"/>
      <c r="OFE41" s="543"/>
      <c r="OFF41" s="543"/>
      <c r="OFG41" s="543"/>
      <c r="OFH41" s="543"/>
      <c r="OFI41" s="543"/>
      <c r="OFJ41" s="543"/>
      <c r="OFK41" s="543"/>
      <c r="OFL41" s="543"/>
      <c r="OFM41" s="543"/>
      <c r="OFN41" s="543"/>
      <c r="OFO41" s="543"/>
      <c r="OFP41" s="543"/>
      <c r="OFQ41" s="543"/>
      <c r="OFR41" s="543"/>
      <c r="OFS41" s="543"/>
      <c r="OFT41" s="543"/>
      <c r="OFU41" s="543"/>
      <c r="OFV41" s="543"/>
      <c r="OFW41" s="543"/>
      <c r="OFX41" s="543"/>
      <c r="OFY41" s="543"/>
      <c r="OFZ41" s="543"/>
      <c r="OGA41" s="543"/>
      <c r="OGB41" s="543"/>
      <c r="OGC41" s="543"/>
      <c r="OGD41" s="543"/>
      <c r="OGE41" s="543"/>
      <c r="OGF41" s="543"/>
      <c r="OGG41" s="543"/>
      <c r="OGH41" s="543"/>
      <c r="OGI41" s="543"/>
      <c r="OGJ41" s="543"/>
      <c r="OGK41" s="543"/>
      <c r="OGL41" s="543"/>
      <c r="OGM41" s="543"/>
      <c r="OGN41" s="543"/>
      <c r="OGO41" s="543"/>
      <c r="OGP41" s="543"/>
      <c r="OGQ41" s="543"/>
      <c r="OGR41" s="543"/>
      <c r="OGS41" s="543"/>
      <c r="OGT41" s="543"/>
      <c r="OGU41" s="543"/>
      <c r="OGV41" s="543"/>
      <c r="OGW41" s="543"/>
      <c r="OGX41" s="543"/>
      <c r="OGY41" s="543"/>
      <c r="OGZ41" s="543"/>
      <c r="OHA41" s="543"/>
      <c r="OHB41" s="543"/>
      <c r="OHC41" s="543"/>
      <c r="OHD41" s="543"/>
      <c r="OHE41" s="543"/>
      <c r="OHF41" s="543"/>
      <c r="OHG41" s="543"/>
      <c r="OHH41" s="543"/>
      <c r="OHI41" s="543"/>
      <c r="OHJ41" s="543"/>
      <c r="OHK41" s="543"/>
      <c r="OHL41" s="543"/>
      <c r="OHM41" s="543"/>
      <c r="OHN41" s="543"/>
      <c r="OHO41" s="543"/>
      <c r="OHP41" s="543"/>
      <c r="OHQ41" s="543"/>
      <c r="OHR41" s="543"/>
      <c r="OHS41" s="543"/>
      <c r="OHT41" s="543"/>
      <c r="OHU41" s="543"/>
      <c r="OHV41" s="543"/>
      <c r="OHW41" s="543"/>
      <c r="OHX41" s="543"/>
      <c r="OHY41" s="543"/>
      <c r="OHZ41" s="543"/>
      <c r="OIA41" s="543"/>
      <c r="OIB41" s="543"/>
      <c r="OIC41" s="543"/>
      <c r="OID41" s="543"/>
      <c r="OIE41" s="543"/>
      <c r="OIF41" s="543"/>
      <c r="OIG41" s="543"/>
      <c r="OIH41" s="543"/>
      <c r="OII41" s="543"/>
      <c r="OIJ41" s="543"/>
      <c r="OIK41" s="543"/>
      <c r="OIL41" s="543"/>
      <c r="OIM41" s="543"/>
      <c r="OIN41" s="543"/>
      <c r="OIO41" s="543"/>
      <c r="OIP41" s="543"/>
      <c r="OIQ41" s="543"/>
      <c r="OIR41" s="543"/>
      <c r="OIS41" s="543"/>
      <c r="OIT41" s="543"/>
      <c r="OIU41" s="543"/>
      <c r="OIV41" s="543"/>
      <c r="OIW41" s="543"/>
      <c r="OIX41" s="543"/>
      <c r="OIY41" s="543"/>
      <c r="OIZ41" s="543"/>
      <c r="OJA41" s="543"/>
      <c r="OJB41" s="543"/>
      <c r="OJC41" s="543"/>
      <c r="OJD41" s="543"/>
      <c r="OJE41" s="543"/>
      <c r="OJF41" s="543"/>
      <c r="OJG41" s="543"/>
      <c r="OJH41" s="543"/>
      <c r="OJI41" s="543"/>
      <c r="OJJ41" s="543"/>
      <c r="OJK41" s="543"/>
      <c r="OJL41" s="543"/>
      <c r="OJM41" s="543"/>
      <c r="OJN41" s="543"/>
      <c r="OJO41" s="543"/>
      <c r="OJP41" s="543"/>
      <c r="OJQ41" s="543"/>
      <c r="OJR41" s="543"/>
      <c r="OJS41" s="543"/>
      <c r="OJT41" s="543"/>
      <c r="OJU41" s="543"/>
      <c r="OJV41" s="543"/>
      <c r="OJW41" s="543"/>
      <c r="OJX41" s="543"/>
      <c r="OJY41" s="543"/>
      <c r="OJZ41" s="543"/>
      <c r="OKA41" s="543"/>
      <c r="OKB41" s="543"/>
      <c r="OKC41" s="543"/>
      <c r="OKD41" s="543"/>
      <c r="OKE41" s="543"/>
      <c r="OKF41" s="543"/>
      <c r="OKG41" s="543"/>
      <c r="OKH41" s="543"/>
      <c r="OKI41" s="543"/>
      <c r="OKJ41" s="543"/>
      <c r="OKK41" s="543"/>
      <c r="OKL41" s="543"/>
      <c r="OKM41" s="543"/>
      <c r="OKN41" s="543"/>
      <c r="OKO41" s="543"/>
      <c r="OKP41" s="543"/>
      <c r="OKQ41" s="543"/>
      <c r="OKR41" s="543"/>
      <c r="OKS41" s="543"/>
      <c r="OKT41" s="543"/>
      <c r="OKU41" s="543"/>
      <c r="OKV41" s="543"/>
      <c r="OKW41" s="543"/>
      <c r="OKX41" s="543"/>
      <c r="OKY41" s="543"/>
      <c r="OKZ41" s="543"/>
      <c r="OLA41" s="543"/>
      <c r="OLB41" s="543"/>
      <c r="OLC41" s="543"/>
      <c r="OLD41" s="543"/>
      <c r="OLE41" s="543"/>
      <c r="OLF41" s="543"/>
      <c r="OLG41" s="543"/>
      <c r="OLH41" s="543"/>
      <c r="OLI41" s="543"/>
      <c r="OLJ41" s="543"/>
      <c r="OLK41" s="543"/>
      <c r="OLL41" s="543"/>
      <c r="OLM41" s="543"/>
      <c r="OLN41" s="543"/>
      <c r="OLO41" s="543"/>
      <c r="OLP41" s="543"/>
      <c r="OLQ41" s="543"/>
      <c r="OLR41" s="543"/>
      <c r="OLS41" s="543"/>
      <c r="OLT41" s="543"/>
      <c r="OLU41" s="543"/>
      <c r="OLV41" s="543"/>
      <c r="OLW41" s="543"/>
      <c r="OLX41" s="543"/>
      <c r="OLY41" s="543"/>
      <c r="OLZ41" s="543"/>
      <c r="OMA41" s="543"/>
      <c r="OMB41" s="543"/>
      <c r="OMC41" s="543"/>
      <c r="OMD41" s="543"/>
      <c r="OME41" s="543"/>
      <c r="OMF41" s="543"/>
      <c r="OMG41" s="543"/>
      <c r="OMH41" s="543"/>
      <c r="OMI41" s="543"/>
      <c r="OMJ41" s="543"/>
      <c r="OMK41" s="543"/>
      <c r="OML41" s="543"/>
      <c r="OMM41" s="543"/>
      <c r="OMN41" s="543"/>
      <c r="OMO41" s="543"/>
      <c r="OMP41" s="543"/>
      <c r="OMQ41" s="543"/>
      <c r="OMR41" s="543"/>
      <c r="OMS41" s="543"/>
      <c r="OMT41" s="543"/>
      <c r="OMU41" s="543"/>
      <c r="OMV41" s="543"/>
      <c r="OMW41" s="543"/>
      <c r="OMX41" s="543"/>
      <c r="OMY41" s="543"/>
      <c r="OMZ41" s="543"/>
      <c r="ONA41" s="543"/>
      <c r="ONB41" s="543"/>
      <c r="ONC41" s="543"/>
      <c r="OND41" s="543"/>
      <c r="ONE41" s="543"/>
      <c r="ONF41" s="543"/>
      <c r="ONG41" s="543"/>
      <c r="ONH41" s="543"/>
      <c r="ONI41" s="543"/>
      <c r="ONJ41" s="543"/>
      <c r="ONK41" s="543"/>
      <c r="ONL41" s="543"/>
      <c r="ONM41" s="543"/>
      <c r="ONN41" s="543"/>
      <c r="ONO41" s="543"/>
      <c r="ONP41" s="543"/>
      <c r="ONQ41" s="543"/>
      <c r="ONR41" s="543"/>
      <c r="ONS41" s="543"/>
      <c r="ONT41" s="543"/>
      <c r="ONU41" s="543"/>
      <c r="ONV41" s="543"/>
      <c r="ONW41" s="543"/>
      <c r="ONX41" s="543"/>
      <c r="ONY41" s="543"/>
      <c r="ONZ41" s="543"/>
      <c r="OOA41" s="543"/>
      <c r="OOB41" s="543"/>
      <c r="OOC41" s="543"/>
      <c r="OOD41" s="543"/>
      <c r="OOE41" s="543"/>
      <c r="OOF41" s="543"/>
      <c r="OOG41" s="543"/>
      <c r="OOH41" s="543"/>
      <c r="OOI41" s="543"/>
      <c r="OOJ41" s="543"/>
      <c r="OOK41" s="543"/>
      <c r="OOL41" s="543"/>
      <c r="OOM41" s="543"/>
      <c r="OON41" s="543"/>
      <c r="OOO41" s="543"/>
      <c r="OOP41" s="543"/>
      <c r="OOQ41" s="543"/>
      <c r="OOR41" s="543"/>
      <c r="OOS41" s="543"/>
      <c r="OOT41" s="543"/>
      <c r="OOU41" s="543"/>
      <c r="OOV41" s="543"/>
      <c r="OOW41" s="543"/>
      <c r="OOX41" s="543"/>
      <c r="OOY41" s="543"/>
      <c r="OOZ41" s="543"/>
      <c r="OPA41" s="543"/>
      <c r="OPB41" s="543"/>
      <c r="OPC41" s="543"/>
      <c r="OPD41" s="543"/>
      <c r="OPE41" s="543"/>
      <c r="OPF41" s="543"/>
      <c r="OPG41" s="543"/>
      <c r="OPH41" s="543"/>
      <c r="OPI41" s="543"/>
      <c r="OPJ41" s="543"/>
      <c r="OPK41" s="543"/>
      <c r="OPL41" s="543"/>
      <c r="OPM41" s="543"/>
      <c r="OPN41" s="543"/>
      <c r="OPO41" s="543"/>
      <c r="OPP41" s="543"/>
      <c r="OPQ41" s="543"/>
      <c r="OPR41" s="543"/>
      <c r="OPS41" s="543"/>
      <c r="OPT41" s="543"/>
      <c r="OPU41" s="543"/>
      <c r="OPV41" s="543"/>
      <c r="OPW41" s="543"/>
      <c r="OPX41" s="543"/>
      <c r="OPY41" s="543"/>
      <c r="OPZ41" s="543"/>
      <c r="OQA41" s="543"/>
      <c r="OQB41" s="543"/>
      <c r="OQC41" s="543"/>
      <c r="OQD41" s="543"/>
      <c r="OQE41" s="543"/>
      <c r="OQF41" s="543"/>
      <c r="OQG41" s="543"/>
      <c r="OQH41" s="543"/>
      <c r="OQI41" s="543"/>
      <c r="OQJ41" s="543"/>
      <c r="OQK41" s="543"/>
      <c r="OQL41" s="543"/>
      <c r="OQM41" s="543"/>
      <c r="OQN41" s="543"/>
      <c r="OQO41" s="543"/>
      <c r="OQP41" s="543"/>
      <c r="OQQ41" s="543"/>
      <c r="OQR41" s="543"/>
      <c r="OQS41" s="543"/>
      <c r="OQT41" s="543"/>
      <c r="OQU41" s="543"/>
      <c r="OQV41" s="543"/>
      <c r="OQW41" s="543"/>
      <c r="OQX41" s="543"/>
      <c r="OQY41" s="543"/>
      <c r="OQZ41" s="543"/>
      <c r="ORA41" s="543"/>
      <c r="ORB41" s="543"/>
      <c r="ORC41" s="543"/>
      <c r="ORD41" s="543"/>
      <c r="ORE41" s="543"/>
      <c r="ORF41" s="543"/>
      <c r="ORG41" s="543"/>
      <c r="ORH41" s="543"/>
      <c r="ORI41" s="543"/>
      <c r="ORJ41" s="543"/>
      <c r="ORK41" s="543"/>
      <c r="ORL41" s="543"/>
      <c r="ORM41" s="543"/>
      <c r="ORN41" s="543"/>
      <c r="ORO41" s="543"/>
      <c r="ORP41" s="543"/>
      <c r="ORQ41" s="543"/>
      <c r="ORR41" s="543"/>
      <c r="ORS41" s="543"/>
      <c r="ORT41" s="543"/>
      <c r="ORU41" s="543"/>
      <c r="ORV41" s="543"/>
      <c r="ORW41" s="543"/>
      <c r="ORX41" s="543"/>
      <c r="ORY41" s="543"/>
      <c r="ORZ41" s="543"/>
      <c r="OSA41" s="543"/>
      <c r="OSB41" s="543"/>
      <c r="OSC41" s="543"/>
      <c r="OSD41" s="543"/>
      <c r="OSE41" s="543"/>
      <c r="OSF41" s="543"/>
      <c r="OSG41" s="543"/>
      <c r="OSH41" s="543"/>
      <c r="OSI41" s="543"/>
      <c r="OSJ41" s="543"/>
      <c r="OSK41" s="543"/>
      <c r="OSL41" s="543"/>
      <c r="OSM41" s="543"/>
      <c r="OSN41" s="543"/>
      <c r="OSO41" s="543"/>
      <c r="OSP41" s="543"/>
      <c r="OSQ41" s="543"/>
      <c r="OSR41" s="543"/>
      <c r="OSS41" s="543"/>
      <c r="OST41" s="543"/>
      <c r="OSU41" s="543"/>
      <c r="OSV41" s="543"/>
      <c r="OSW41" s="543"/>
      <c r="OSX41" s="543"/>
      <c r="OSY41" s="543"/>
      <c r="OSZ41" s="543"/>
      <c r="OTA41" s="543"/>
      <c r="OTB41" s="543"/>
      <c r="OTC41" s="543"/>
      <c r="OTD41" s="543"/>
      <c r="OTE41" s="543"/>
      <c r="OTF41" s="543"/>
      <c r="OTG41" s="543"/>
      <c r="OTH41" s="543"/>
      <c r="OTI41" s="543"/>
      <c r="OTJ41" s="543"/>
      <c r="OTK41" s="543"/>
      <c r="OTL41" s="543"/>
      <c r="OTM41" s="543"/>
      <c r="OTN41" s="543"/>
      <c r="OTO41" s="543"/>
      <c r="OTP41" s="543"/>
      <c r="OTQ41" s="543"/>
      <c r="OTR41" s="543"/>
      <c r="OTS41" s="543"/>
      <c r="OTT41" s="543"/>
      <c r="OTU41" s="543"/>
      <c r="OTV41" s="543"/>
      <c r="OTW41" s="543"/>
      <c r="OTX41" s="543"/>
      <c r="OTY41" s="543"/>
      <c r="OTZ41" s="543"/>
      <c r="OUA41" s="543"/>
      <c r="OUB41" s="543"/>
      <c r="OUC41" s="543"/>
      <c r="OUD41" s="543"/>
      <c r="OUE41" s="543"/>
      <c r="OUF41" s="543"/>
      <c r="OUG41" s="543"/>
      <c r="OUH41" s="543"/>
      <c r="OUI41" s="543"/>
      <c r="OUJ41" s="543"/>
      <c r="OUK41" s="543"/>
      <c r="OUL41" s="543"/>
      <c r="OUM41" s="543"/>
      <c r="OUN41" s="543"/>
      <c r="OUO41" s="543"/>
      <c r="OUP41" s="543"/>
      <c r="OUQ41" s="543"/>
      <c r="OUR41" s="543"/>
      <c r="OUS41" s="543"/>
      <c r="OUT41" s="543"/>
      <c r="OUU41" s="543"/>
      <c r="OUV41" s="543"/>
      <c r="OUW41" s="543"/>
      <c r="OUX41" s="543"/>
      <c r="OUY41" s="543"/>
      <c r="OUZ41" s="543"/>
      <c r="OVA41" s="543"/>
      <c r="OVB41" s="543"/>
      <c r="OVC41" s="543"/>
      <c r="OVD41" s="543"/>
      <c r="OVE41" s="543"/>
      <c r="OVF41" s="543"/>
      <c r="OVG41" s="543"/>
      <c r="OVH41" s="543"/>
      <c r="OVI41" s="543"/>
      <c r="OVJ41" s="543"/>
      <c r="OVK41" s="543"/>
      <c r="OVL41" s="543"/>
      <c r="OVM41" s="543"/>
      <c r="OVN41" s="543"/>
      <c r="OVO41" s="543"/>
      <c r="OVP41" s="543"/>
      <c r="OVQ41" s="543"/>
      <c r="OVR41" s="543"/>
      <c r="OVS41" s="543"/>
      <c r="OVT41" s="543"/>
      <c r="OVU41" s="543"/>
      <c r="OVV41" s="543"/>
      <c r="OVW41" s="543"/>
      <c r="OVX41" s="543"/>
      <c r="OVY41" s="543"/>
      <c r="OVZ41" s="543"/>
      <c r="OWA41" s="543"/>
      <c r="OWB41" s="543"/>
      <c r="OWC41" s="543"/>
      <c r="OWD41" s="543"/>
      <c r="OWE41" s="543"/>
      <c r="OWF41" s="543"/>
      <c r="OWG41" s="543"/>
      <c r="OWH41" s="543"/>
      <c r="OWI41" s="543"/>
      <c r="OWJ41" s="543"/>
      <c r="OWK41" s="543"/>
      <c r="OWL41" s="543"/>
      <c r="OWM41" s="543"/>
      <c r="OWN41" s="543"/>
      <c r="OWO41" s="543"/>
      <c r="OWP41" s="543"/>
      <c r="OWQ41" s="543"/>
      <c r="OWR41" s="543"/>
      <c r="OWS41" s="543"/>
      <c r="OWT41" s="543"/>
      <c r="OWU41" s="543"/>
      <c r="OWV41" s="543"/>
      <c r="OWW41" s="543"/>
      <c r="OWX41" s="543"/>
      <c r="OWY41" s="543"/>
      <c r="OWZ41" s="543"/>
      <c r="OXA41" s="543"/>
      <c r="OXB41" s="543"/>
      <c r="OXC41" s="543"/>
      <c r="OXD41" s="543"/>
      <c r="OXE41" s="543"/>
      <c r="OXF41" s="543"/>
      <c r="OXG41" s="543"/>
      <c r="OXH41" s="543"/>
      <c r="OXI41" s="543"/>
      <c r="OXJ41" s="543"/>
      <c r="OXK41" s="543"/>
      <c r="OXL41" s="543"/>
      <c r="OXM41" s="543"/>
      <c r="OXN41" s="543"/>
      <c r="OXO41" s="543"/>
      <c r="OXP41" s="543"/>
      <c r="OXQ41" s="543"/>
      <c r="OXR41" s="543"/>
      <c r="OXS41" s="543"/>
      <c r="OXT41" s="543"/>
      <c r="OXU41" s="543"/>
      <c r="OXV41" s="543"/>
      <c r="OXW41" s="543"/>
      <c r="OXX41" s="543"/>
      <c r="OXY41" s="543"/>
      <c r="OXZ41" s="543"/>
      <c r="OYA41" s="543"/>
      <c r="OYB41" s="543"/>
      <c r="OYC41" s="543"/>
      <c r="OYD41" s="543"/>
      <c r="OYE41" s="543"/>
      <c r="OYF41" s="543"/>
      <c r="OYG41" s="543"/>
      <c r="OYH41" s="543"/>
      <c r="OYI41" s="543"/>
      <c r="OYJ41" s="543"/>
      <c r="OYK41" s="543"/>
      <c r="OYL41" s="543"/>
      <c r="OYM41" s="543"/>
      <c r="OYN41" s="543"/>
      <c r="OYO41" s="543"/>
      <c r="OYP41" s="543"/>
      <c r="OYQ41" s="543"/>
      <c r="OYR41" s="543"/>
      <c r="OYS41" s="543"/>
      <c r="OYT41" s="543"/>
      <c r="OYU41" s="543"/>
      <c r="OYV41" s="543"/>
      <c r="OYW41" s="543"/>
      <c r="OYX41" s="543"/>
      <c r="OYY41" s="543"/>
      <c r="OYZ41" s="543"/>
      <c r="OZA41" s="543"/>
      <c r="OZB41" s="543"/>
      <c r="OZC41" s="543"/>
      <c r="OZD41" s="543"/>
      <c r="OZE41" s="543"/>
      <c r="OZF41" s="543"/>
      <c r="OZG41" s="543"/>
      <c r="OZH41" s="543"/>
      <c r="OZI41" s="543"/>
      <c r="OZJ41" s="543"/>
      <c r="OZK41" s="543"/>
      <c r="OZL41" s="543"/>
      <c r="OZM41" s="543"/>
      <c r="OZN41" s="543"/>
      <c r="OZO41" s="543"/>
      <c r="OZP41" s="543"/>
      <c r="OZQ41" s="543"/>
      <c r="OZR41" s="543"/>
      <c r="OZS41" s="543"/>
      <c r="OZT41" s="543"/>
      <c r="OZU41" s="543"/>
      <c r="OZV41" s="543"/>
      <c r="OZW41" s="543"/>
      <c r="OZX41" s="543"/>
      <c r="OZY41" s="543"/>
      <c r="OZZ41" s="543"/>
      <c r="PAA41" s="543"/>
      <c r="PAB41" s="543"/>
      <c r="PAC41" s="543"/>
      <c r="PAD41" s="543"/>
      <c r="PAE41" s="543"/>
      <c r="PAF41" s="543"/>
      <c r="PAG41" s="543"/>
      <c r="PAH41" s="543"/>
      <c r="PAI41" s="543"/>
      <c r="PAJ41" s="543"/>
      <c r="PAK41" s="543"/>
      <c r="PAL41" s="543"/>
      <c r="PAM41" s="543"/>
      <c r="PAN41" s="543"/>
      <c r="PAO41" s="543"/>
      <c r="PAP41" s="543"/>
      <c r="PAQ41" s="543"/>
      <c r="PAR41" s="543"/>
      <c r="PAS41" s="543"/>
      <c r="PAT41" s="543"/>
      <c r="PAU41" s="543"/>
      <c r="PAV41" s="543"/>
      <c r="PAW41" s="543"/>
      <c r="PAX41" s="543"/>
      <c r="PAY41" s="543"/>
      <c r="PAZ41" s="543"/>
      <c r="PBA41" s="543"/>
      <c r="PBB41" s="543"/>
      <c r="PBC41" s="543"/>
      <c r="PBD41" s="543"/>
      <c r="PBE41" s="543"/>
      <c r="PBF41" s="543"/>
      <c r="PBG41" s="543"/>
      <c r="PBH41" s="543"/>
      <c r="PBI41" s="543"/>
      <c r="PBJ41" s="543"/>
      <c r="PBK41" s="543"/>
      <c r="PBL41" s="543"/>
      <c r="PBM41" s="543"/>
      <c r="PBN41" s="543"/>
      <c r="PBO41" s="543"/>
      <c r="PBP41" s="543"/>
      <c r="PBQ41" s="543"/>
      <c r="PBR41" s="543"/>
      <c r="PBS41" s="543"/>
      <c r="PBT41" s="543"/>
      <c r="PBU41" s="543"/>
      <c r="PBV41" s="543"/>
      <c r="PBW41" s="543"/>
      <c r="PBX41" s="543"/>
      <c r="PBY41" s="543"/>
      <c r="PBZ41" s="543"/>
      <c r="PCA41" s="543"/>
      <c r="PCB41" s="543"/>
      <c r="PCC41" s="543"/>
      <c r="PCD41" s="543"/>
      <c r="PCE41" s="543"/>
      <c r="PCF41" s="543"/>
      <c r="PCG41" s="543"/>
      <c r="PCH41" s="543"/>
      <c r="PCI41" s="543"/>
      <c r="PCJ41" s="543"/>
      <c r="PCK41" s="543"/>
      <c r="PCL41" s="543"/>
      <c r="PCM41" s="543"/>
      <c r="PCN41" s="543"/>
      <c r="PCO41" s="543"/>
      <c r="PCP41" s="543"/>
      <c r="PCQ41" s="543"/>
      <c r="PCR41" s="543"/>
      <c r="PCS41" s="543"/>
      <c r="PCT41" s="543"/>
      <c r="PCU41" s="543"/>
      <c r="PCV41" s="543"/>
      <c r="PCW41" s="543"/>
      <c r="PCX41" s="543"/>
      <c r="PCY41" s="543"/>
      <c r="PCZ41" s="543"/>
      <c r="PDA41" s="543"/>
      <c r="PDB41" s="543"/>
      <c r="PDC41" s="543"/>
      <c r="PDD41" s="543"/>
      <c r="PDE41" s="543"/>
      <c r="PDF41" s="543"/>
      <c r="PDG41" s="543"/>
      <c r="PDH41" s="543"/>
      <c r="PDI41" s="543"/>
      <c r="PDJ41" s="543"/>
      <c r="PDK41" s="543"/>
      <c r="PDL41" s="543"/>
      <c r="PDM41" s="543"/>
      <c r="PDN41" s="543"/>
      <c r="PDO41" s="543"/>
      <c r="PDP41" s="543"/>
      <c r="PDQ41" s="543"/>
      <c r="PDR41" s="543"/>
      <c r="PDS41" s="543"/>
      <c r="PDT41" s="543"/>
      <c r="PDU41" s="543"/>
      <c r="PDV41" s="543"/>
      <c r="PDW41" s="543"/>
      <c r="PDX41" s="543"/>
      <c r="PDY41" s="543"/>
      <c r="PDZ41" s="543"/>
      <c r="PEA41" s="543"/>
      <c r="PEB41" s="543"/>
      <c r="PEC41" s="543"/>
      <c r="PED41" s="543"/>
      <c r="PEE41" s="543"/>
      <c r="PEF41" s="543"/>
      <c r="PEG41" s="543"/>
      <c r="PEH41" s="543"/>
      <c r="PEI41" s="543"/>
      <c r="PEJ41" s="543"/>
      <c r="PEK41" s="543"/>
      <c r="PEL41" s="543"/>
      <c r="PEM41" s="543"/>
      <c r="PEN41" s="543"/>
      <c r="PEO41" s="543"/>
      <c r="PEP41" s="543"/>
      <c r="PEQ41" s="543"/>
      <c r="PER41" s="543"/>
      <c r="PES41" s="543"/>
      <c r="PET41" s="543"/>
      <c r="PEU41" s="543"/>
      <c r="PEV41" s="543"/>
      <c r="PEW41" s="543"/>
      <c r="PEX41" s="543"/>
      <c r="PEY41" s="543"/>
      <c r="PEZ41" s="543"/>
      <c r="PFA41" s="543"/>
      <c r="PFB41" s="543"/>
      <c r="PFC41" s="543"/>
      <c r="PFD41" s="543"/>
      <c r="PFE41" s="543"/>
      <c r="PFF41" s="543"/>
      <c r="PFG41" s="543"/>
      <c r="PFH41" s="543"/>
      <c r="PFI41" s="543"/>
      <c r="PFJ41" s="543"/>
      <c r="PFK41" s="543"/>
      <c r="PFL41" s="543"/>
      <c r="PFM41" s="543"/>
      <c r="PFN41" s="543"/>
      <c r="PFO41" s="543"/>
      <c r="PFP41" s="543"/>
      <c r="PFQ41" s="543"/>
      <c r="PFR41" s="543"/>
      <c r="PFS41" s="543"/>
      <c r="PFT41" s="543"/>
      <c r="PFU41" s="543"/>
      <c r="PFV41" s="543"/>
      <c r="PFW41" s="543"/>
      <c r="PFX41" s="543"/>
      <c r="PFY41" s="543"/>
      <c r="PFZ41" s="543"/>
      <c r="PGA41" s="543"/>
      <c r="PGB41" s="543"/>
      <c r="PGC41" s="543"/>
      <c r="PGD41" s="543"/>
      <c r="PGE41" s="543"/>
      <c r="PGF41" s="543"/>
      <c r="PGG41" s="543"/>
      <c r="PGH41" s="543"/>
      <c r="PGI41" s="543"/>
      <c r="PGJ41" s="543"/>
      <c r="PGK41" s="543"/>
      <c r="PGL41" s="543"/>
      <c r="PGM41" s="543"/>
      <c r="PGN41" s="543"/>
      <c r="PGO41" s="543"/>
      <c r="PGP41" s="543"/>
      <c r="PGQ41" s="543"/>
      <c r="PGR41" s="543"/>
      <c r="PGS41" s="543"/>
      <c r="PGT41" s="543"/>
      <c r="PGU41" s="543"/>
      <c r="PGV41" s="543"/>
      <c r="PGW41" s="543"/>
      <c r="PGX41" s="543"/>
      <c r="PGY41" s="543"/>
      <c r="PGZ41" s="543"/>
      <c r="PHA41" s="543"/>
      <c r="PHB41" s="543"/>
      <c r="PHC41" s="543"/>
      <c r="PHD41" s="543"/>
      <c r="PHE41" s="543"/>
      <c r="PHF41" s="543"/>
      <c r="PHG41" s="543"/>
      <c r="PHH41" s="543"/>
      <c r="PHI41" s="543"/>
      <c r="PHJ41" s="543"/>
      <c r="PHK41" s="543"/>
      <c r="PHL41" s="543"/>
      <c r="PHM41" s="543"/>
      <c r="PHN41" s="543"/>
      <c r="PHO41" s="543"/>
      <c r="PHP41" s="543"/>
      <c r="PHQ41" s="543"/>
      <c r="PHR41" s="543"/>
      <c r="PHS41" s="543"/>
      <c r="PHT41" s="543"/>
      <c r="PHU41" s="543"/>
      <c r="PHV41" s="543"/>
      <c r="PHW41" s="543"/>
      <c r="PHX41" s="543"/>
      <c r="PHY41" s="543"/>
      <c r="PHZ41" s="543"/>
      <c r="PIA41" s="543"/>
      <c r="PIB41" s="543"/>
      <c r="PIC41" s="543"/>
      <c r="PID41" s="543"/>
      <c r="PIE41" s="543"/>
      <c r="PIF41" s="543"/>
      <c r="PIG41" s="543"/>
      <c r="PIH41" s="543"/>
      <c r="PII41" s="543"/>
      <c r="PIJ41" s="543"/>
      <c r="PIK41" s="543"/>
      <c r="PIL41" s="543"/>
      <c r="PIM41" s="543"/>
      <c r="PIN41" s="543"/>
      <c r="PIO41" s="543"/>
      <c r="PIP41" s="543"/>
      <c r="PIQ41" s="543"/>
      <c r="PIR41" s="543"/>
      <c r="PIS41" s="543"/>
      <c r="PIT41" s="543"/>
      <c r="PIU41" s="543"/>
      <c r="PIV41" s="543"/>
      <c r="PIW41" s="543"/>
      <c r="PIX41" s="543"/>
      <c r="PIY41" s="543"/>
      <c r="PIZ41" s="543"/>
      <c r="PJA41" s="543"/>
      <c r="PJB41" s="543"/>
      <c r="PJC41" s="543"/>
      <c r="PJD41" s="543"/>
      <c r="PJE41" s="543"/>
      <c r="PJF41" s="543"/>
      <c r="PJG41" s="543"/>
      <c r="PJH41" s="543"/>
      <c r="PJI41" s="543"/>
      <c r="PJJ41" s="543"/>
      <c r="PJK41" s="543"/>
      <c r="PJL41" s="543"/>
      <c r="PJM41" s="543"/>
      <c r="PJN41" s="543"/>
      <c r="PJO41" s="543"/>
      <c r="PJP41" s="543"/>
      <c r="PJQ41" s="543"/>
      <c r="PJR41" s="543"/>
      <c r="PJS41" s="543"/>
      <c r="PJT41" s="543"/>
      <c r="PJU41" s="543"/>
      <c r="PJV41" s="543"/>
      <c r="PJW41" s="543"/>
      <c r="PJX41" s="543"/>
      <c r="PJY41" s="543"/>
      <c r="PJZ41" s="543"/>
      <c r="PKA41" s="543"/>
      <c r="PKB41" s="543"/>
      <c r="PKC41" s="543"/>
      <c r="PKD41" s="543"/>
      <c r="PKE41" s="543"/>
      <c r="PKF41" s="543"/>
      <c r="PKG41" s="543"/>
      <c r="PKH41" s="543"/>
      <c r="PKI41" s="543"/>
      <c r="PKJ41" s="543"/>
      <c r="PKK41" s="543"/>
      <c r="PKL41" s="543"/>
      <c r="PKM41" s="543"/>
      <c r="PKN41" s="543"/>
      <c r="PKO41" s="543"/>
      <c r="PKP41" s="543"/>
      <c r="PKQ41" s="543"/>
      <c r="PKR41" s="543"/>
      <c r="PKS41" s="543"/>
      <c r="PKT41" s="543"/>
      <c r="PKU41" s="543"/>
      <c r="PKV41" s="543"/>
      <c r="PKW41" s="543"/>
      <c r="PKX41" s="543"/>
      <c r="PKY41" s="543"/>
      <c r="PKZ41" s="543"/>
      <c r="PLA41" s="543"/>
      <c r="PLB41" s="543"/>
      <c r="PLC41" s="543"/>
      <c r="PLD41" s="543"/>
      <c r="PLE41" s="543"/>
      <c r="PLF41" s="543"/>
      <c r="PLG41" s="543"/>
      <c r="PLH41" s="543"/>
      <c r="PLI41" s="543"/>
      <c r="PLJ41" s="543"/>
      <c r="PLK41" s="543"/>
      <c r="PLL41" s="543"/>
      <c r="PLM41" s="543"/>
      <c r="PLN41" s="543"/>
      <c r="PLO41" s="543"/>
      <c r="PLP41" s="543"/>
      <c r="PLQ41" s="543"/>
      <c r="PLR41" s="543"/>
      <c r="PLS41" s="543"/>
      <c r="PLT41" s="543"/>
      <c r="PLU41" s="543"/>
      <c r="PLV41" s="543"/>
      <c r="PLW41" s="543"/>
      <c r="PLX41" s="543"/>
      <c r="PLY41" s="543"/>
      <c r="PLZ41" s="543"/>
      <c r="PMA41" s="543"/>
      <c r="PMB41" s="543"/>
      <c r="PMC41" s="543"/>
      <c r="PMD41" s="543"/>
      <c r="PME41" s="543"/>
      <c r="PMF41" s="543"/>
      <c r="PMG41" s="543"/>
      <c r="PMH41" s="543"/>
      <c r="PMI41" s="543"/>
      <c r="PMJ41" s="543"/>
      <c r="PMK41" s="543"/>
      <c r="PML41" s="543"/>
      <c r="PMM41" s="543"/>
      <c r="PMN41" s="543"/>
      <c r="PMO41" s="543"/>
      <c r="PMP41" s="543"/>
      <c r="PMQ41" s="543"/>
      <c r="PMR41" s="543"/>
      <c r="PMS41" s="543"/>
      <c r="PMT41" s="543"/>
      <c r="PMU41" s="543"/>
      <c r="PMV41" s="543"/>
      <c r="PMW41" s="543"/>
      <c r="PMX41" s="543"/>
      <c r="PMY41" s="543"/>
      <c r="PMZ41" s="543"/>
      <c r="PNA41" s="543"/>
      <c r="PNB41" s="543"/>
      <c r="PNC41" s="543"/>
      <c r="PND41" s="543"/>
      <c r="PNE41" s="543"/>
      <c r="PNF41" s="543"/>
      <c r="PNG41" s="543"/>
      <c r="PNH41" s="543"/>
      <c r="PNI41" s="543"/>
      <c r="PNJ41" s="543"/>
      <c r="PNK41" s="543"/>
      <c r="PNL41" s="543"/>
      <c r="PNM41" s="543"/>
      <c r="PNN41" s="543"/>
      <c r="PNO41" s="543"/>
      <c r="PNP41" s="543"/>
      <c r="PNQ41" s="543"/>
      <c r="PNR41" s="543"/>
      <c r="PNS41" s="543"/>
      <c r="PNT41" s="543"/>
      <c r="PNU41" s="543"/>
      <c r="PNV41" s="543"/>
      <c r="PNW41" s="543"/>
      <c r="PNX41" s="543"/>
      <c r="PNY41" s="543"/>
      <c r="PNZ41" s="543"/>
      <c r="POA41" s="543"/>
      <c r="POB41" s="543"/>
      <c r="POC41" s="543"/>
      <c r="POD41" s="543"/>
      <c r="POE41" s="543"/>
      <c r="POF41" s="543"/>
      <c r="POG41" s="543"/>
      <c r="POH41" s="543"/>
      <c r="POI41" s="543"/>
      <c r="POJ41" s="543"/>
      <c r="POK41" s="543"/>
      <c r="POL41" s="543"/>
      <c r="POM41" s="543"/>
      <c r="PON41" s="543"/>
      <c r="POO41" s="543"/>
      <c r="POP41" s="543"/>
      <c r="POQ41" s="543"/>
      <c r="POR41" s="543"/>
      <c r="POS41" s="543"/>
      <c r="POT41" s="543"/>
      <c r="POU41" s="543"/>
      <c r="POV41" s="543"/>
      <c r="POW41" s="543"/>
      <c r="POX41" s="543"/>
      <c r="POY41" s="543"/>
      <c r="POZ41" s="543"/>
      <c r="PPA41" s="543"/>
      <c r="PPB41" s="543"/>
      <c r="PPC41" s="543"/>
      <c r="PPD41" s="543"/>
      <c r="PPE41" s="543"/>
      <c r="PPF41" s="543"/>
      <c r="PPG41" s="543"/>
      <c r="PPH41" s="543"/>
      <c r="PPI41" s="543"/>
      <c r="PPJ41" s="543"/>
      <c r="PPK41" s="543"/>
      <c r="PPL41" s="543"/>
      <c r="PPM41" s="543"/>
      <c r="PPN41" s="543"/>
      <c r="PPO41" s="543"/>
      <c r="PPP41" s="543"/>
      <c r="PPQ41" s="543"/>
      <c r="PPR41" s="543"/>
      <c r="PPS41" s="543"/>
      <c r="PPT41" s="543"/>
      <c r="PPU41" s="543"/>
      <c r="PPV41" s="543"/>
      <c r="PPW41" s="543"/>
      <c r="PPX41" s="543"/>
      <c r="PPY41" s="543"/>
      <c r="PPZ41" s="543"/>
      <c r="PQA41" s="543"/>
      <c r="PQB41" s="543"/>
      <c r="PQC41" s="543"/>
      <c r="PQD41" s="543"/>
      <c r="PQE41" s="543"/>
      <c r="PQF41" s="543"/>
      <c r="PQG41" s="543"/>
      <c r="PQH41" s="543"/>
      <c r="PQI41" s="543"/>
      <c r="PQJ41" s="543"/>
      <c r="PQK41" s="543"/>
      <c r="PQL41" s="543"/>
      <c r="PQM41" s="543"/>
      <c r="PQN41" s="543"/>
      <c r="PQO41" s="543"/>
      <c r="PQP41" s="543"/>
      <c r="PQQ41" s="543"/>
      <c r="PQR41" s="543"/>
      <c r="PQS41" s="543"/>
      <c r="PQT41" s="543"/>
      <c r="PQU41" s="543"/>
      <c r="PQV41" s="543"/>
      <c r="PQW41" s="543"/>
      <c r="PQX41" s="543"/>
      <c r="PQY41" s="543"/>
      <c r="PQZ41" s="543"/>
      <c r="PRA41" s="543"/>
      <c r="PRB41" s="543"/>
      <c r="PRC41" s="543"/>
      <c r="PRD41" s="543"/>
      <c r="PRE41" s="543"/>
      <c r="PRF41" s="543"/>
      <c r="PRG41" s="543"/>
      <c r="PRH41" s="543"/>
      <c r="PRI41" s="543"/>
      <c r="PRJ41" s="543"/>
      <c r="PRK41" s="543"/>
      <c r="PRL41" s="543"/>
      <c r="PRM41" s="543"/>
      <c r="PRN41" s="543"/>
      <c r="PRO41" s="543"/>
      <c r="PRP41" s="543"/>
      <c r="PRQ41" s="543"/>
      <c r="PRR41" s="543"/>
      <c r="PRS41" s="543"/>
      <c r="PRT41" s="543"/>
      <c r="PRU41" s="543"/>
      <c r="PRV41" s="543"/>
      <c r="PRW41" s="543"/>
      <c r="PRX41" s="543"/>
      <c r="PRY41" s="543"/>
      <c r="PRZ41" s="543"/>
      <c r="PSA41" s="543"/>
      <c r="PSB41" s="543"/>
      <c r="PSC41" s="543"/>
      <c r="PSD41" s="543"/>
      <c r="PSE41" s="543"/>
      <c r="PSF41" s="543"/>
      <c r="PSG41" s="543"/>
      <c r="PSH41" s="543"/>
      <c r="PSI41" s="543"/>
      <c r="PSJ41" s="543"/>
      <c r="PSK41" s="543"/>
      <c r="PSL41" s="543"/>
      <c r="PSM41" s="543"/>
      <c r="PSN41" s="543"/>
      <c r="PSO41" s="543"/>
      <c r="PSP41" s="543"/>
      <c r="PSQ41" s="543"/>
      <c r="PSR41" s="543"/>
      <c r="PSS41" s="543"/>
      <c r="PST41" s="543"/>
      <c r="PSU41" s="543"/>
      <c r="PSV41" s="543"/>
      <c r="PSW41" s="543"/>
      <c r="PSX41" s="543"/>
      <c r="PSY41" s="543"/>
      <c r="PSZ41" s="543"/>
      <c r="PTA41" s="543"/>
      <c r="PTB41" s="543"/>
      <c r="PTC41" s="543"/>
      <c r="PTD41" s="543"/>
      <c r="PTE41" s="543"/>
      <c r="PTF41" s="543"/>
      <c r="PTG41" s="543"/>
      <c r="PTH41" s="543"/>
      <c r="PTI41" s="543"/>
      <c r="PTJ41" s="543"/>
      <c r="PTK41" s="543"/>
      <c r="PTL41" s="543"/>
      <c r="PTM41" s="543"/>
      <c r="PTN41" s="543"/>
      <c r="PTO41" s="543"/>
      <c r="PTP41" s="543"/>
      <c r="PTQ41" s="543"/>
      <c r="PTR41" s="543"/>
      <c r="PTS41" s="543"/>
      <c r="PTT41" s="543"/>
      <c r="PTU41" s="543"/>
      <c r="PTV41" s="543"/>
      <c r="PTW41" s="543"/>
      <c r="PTX41" s="543"/>
      <c r="PTY41" s="543"/>
      <c r="PTZ41" s="543"/>
      <c r="PUA41" s="543"/>
      <c r="PUB41" s="543"/>
      <c r="PUC41" s="543"/>
      <c r="PUD41" s="543"/>
      <c r="PUE41" s="543"/>
      <c r="PUF41" s="543"/>
      <c r="PUG41" s="543"/>
      <c r="PUH41" s="543"/>
      <c r="PUI41" s="543"/>
      <c r="PUJ41" s="543"/>
      <c r="PUK41" s="543"/>
      <c r="PUL41" s="543"/>
      <c r="PUM41" s="543"/>
      <c r="PUN41" s="543"/>
      <c r="PUO41" s="543"/>
      <c r="PUP41" s="543"/>
      <c r="PUQ41" s="543"/>
      <c r="PUR41" s="543"/>
      <c r="PUS41" s="543"/>
      <c r="PUT41" s="543"/>
      <c r="PUU41" s="543"/>
      <c r="PUV41" s="543"/>
      <c r="PUW41" s="543"/>
      <c r="PUX41" s="543"/>
      <c r="PUY41" s="543"/>
      <c r="PUZ41" s="543"/>
      <c r="PVA41" s="543"/>
      <c r="PVB41" s="543"/>
      <c r="PVC41" s="543"/>
      <c r="PVD41" s="543"/>
      <c r="PVE41" s="543"/>
      <c r="PVF41" s="543"/>
      <c r="PVG41" s="543"/>
      <c r="PVH41" s="543"/>
      <c r="PVI41" s="543"/>
      <c r="PVJ41" s="543"/>
      <c r="PVK41" s="543"/>
      <c r="PVL41" s="543"/>
      <c r="PVM41" s="543"/>
      <c r="PVN41" s="543"/>
      <c r="PVO41" s="543"/>
      <c r="PVP41" s="543"/>
      <c r="PVQ41" s="543"/>
      <c r="PVR41" s="543"/>
      <c r="PVS41" s="543"/>
      <c r="PVT41" s="543"/>
      <c r="PVU41" s="543"/>
      <c r="PVV41" s="543"/>
      <c r="PVW41" s="543"/>
      <c r="PVX41" s="543"/>
      <c r="PVY41" s="543"/>
      <c r="PVZ41" s="543"/>
      <c r="PWA41" s="543"/>
      <c r="PWB41" s="543"/>
      <c r="PWC41" s="543"/>
      <c r="PWD41" s="543"/>
      <c r="PWE41" s="543"/>
      <c r="PWF41" s="543"/>
      <c r="PWG41" s="543"/>
      <c r="PWH41" s="543"/>
      <c r="PWI41" s="543"/>
      <c r="PWJ41" s="543"/>
      <c r="PWK41" s="543"/>
      <c r="PWL41" s="543"/>
      <c r="PWM41" s="543"/>
      <c r="PWN41" s="543"/>
      <c r="PWO41" s="543"/>
      <c r="PWP41" s="543"/>
      <c r="PWQ41" s="543"/>
      <c r="PWR41" s="543"/>
      <c r="PWS41" s="543"/>
      <c r="PWT41" s="543"/>
      <c r="PWU41" s="543"/>
      <c r="PWV41" s="543"/>
      <c r="PWW41" s="543"/>
      <c r="PWX41" s="543"/>
      <c r="PWY41" s="543"/>
      <c r="PWZ41" s="543"/>
      <c r="PXA41" s="543"/>
      <c r="PXB41" s="543"/>
      <c r="PXC41" s="543"/>
      <c r="PXD41" s="543"/>
      <c r="PXE41" s="543"/>
      <c r="PXF41" s="543"/>
      <c r="PXG41" s="543"/>
      <c r="PXH41" s="543"/>
      <c r="PXI41" s="543"/>
      <c r="PXJ41" s="543"/>
      <c r="PXK41" s="543"/>
      <c r="PXL41" s="543"/>
      <c r="PXM41" s="543"/>
      <c r="PXN41" s="543"/>
      <c r="PXO41" s="543"/>
      <c r="PXP41" s="543"/>
      <c r="PXQ41" s="543"/>
      <c r="PXR41" s="543"/>
      <c r="PXS41" s="543"/>
      <c r="PXT41" s="543"/>
      <c r="PXU41" s="543"/>
      <c r="PXV41" s="543"/>
      <c r="PXW41" s="543"/>
      <c r="PXX41" s="543"/>
      <c r="PXY41" s="543"/>
      <c r="PXZ41" s="543"/>
      <c r="PYA41" s="543"/>
      <c r="PYB41" s="543"/>
      <c r="PYC41" s="543"/>
      <c r="PYD41" s="543"/>
      <c r="PYE41" s="543"/>
      <c r="PYF41" s="543"/>
      <c r="PYG41" s="543"/>
      <c r="PYH41" s="543"/>
      <c r="PYI41" s="543"/>
      <c r="PYJ41" s="543"/>
      <c r="PYK41" s="543"/>
      <c r="PYL41" s="543"/>
      <c r="PYM41" s="543"/>
      <c r="PYN41" s="543"/>
      <c r="PYO41" s="543"/>
      <c r="PYP41" s="543"/>
      <c r="PYQ41" s="543"/>
      <c r="PYR41" s="543"/>
      <c r="PYS41" s="543"/>
      <c r="PYT41" s="543"/>
      <c r="PYU41" s="543"/>
      <c r="PYV41" s="543"/>
      <c r="PYW41" s="543"/>
      <c r="PYX41" s="543"/>
      <c r="PYY41" s="543"/>
      <c r="PYZ41" s="543"/>
      <c r="PZA41" s="543"/>
      <c r="PZB41" s="543"/>
      <c r="PZC41" s="543"/>
      <c r="PZD41" s="543"/>
      <c r="PZE41" s="543"/>
      <c r="PZF41" s="543"/>
      <c r="PZG41" s="543"/>
      <c r="PZH41" s="543"/>
      <c r="PZI41" s="543"/>
      <c r="PZJ41" s="543"/>
      <c r="PZK41" s="543"/>
      <c r="PZL41" s="543"/>
      <c r="PZM41" s="543"/>
      <c r="PZN41" s="543"/>
      <c r="PZO41" s="543"/>
      <c r="PZP41" s="543"/>
      <c r="PZQ41" s="543"/>
      <c r="PZR41" s="543"/>
      <c r="PZS41" s="543"/>
      <c r="PZT41" s="543"/>
      <c r="PZU41" s="543"/>
      <c r="PZV41" s="543"/>
      <c r="PZW41" s="543"/>
      <c r="PZX41" s="543"/>
      <c r="PZY41" s="543"/>
      <c r="PZZ41" s="543"/>
      <c r="QAA41" s="543"/>
      <c r="QAB41" s="543"/>
      <c r="QAC41" s="543"/>
      <c r="QAD41" s="543"/>
      <c r="QAE41" s="543"/>
      <c r="QAF41" s="543"/>
      <c r="QAG41" s="543"/>
      <c r="QAH41" s="543"/>
      <c r="QAI41" s="543"/>
      <c r="QAJ41" s="543"/>
      <c r="QAK41" s="543"/>
      <c r="QAL41" s="543"/>
      <c r="QAM41" s="543"/>
      <c r="QAN41" s="543"/>
      <c r="QAO41" s="543"/>
      <c r="QAP41" s="543"/>
      <c r="QAQ41" s="543"/>
      <c r="QAR41" s="543"/>
      <c r="QAS41" s="543"/>
      <c r="QAT41" s="543"/>
      <c r="QAU41" s="543"/>
      <c r="QAV41" s="543"/>
      <c r="QAW41" s="543"/>
      <c r="QAX41" s="543"/>
      <c r="QAY41" s="543"/>
      <c r="QAZ41" s="543"/>
      <c r="QBA41" s="543"/>
      <c r="QBB41" s="543"/>
      <c r="QBC41" s="543"/>
      <c r="QBD41" s="543"/>
      <c r="QBE41" s="543"/>
      <c r="QBF41" s="543"/>
      <c r="QBG41" s="543"/>
      <c r="QBH41" s="543"/>
      <c r="QBI41" s="543"/>
      <c r="QBJ41" s="543"/>
      <c r="QBK41" s="543"/>
      <c r="QBL41" s="543"/>
      <c r="QBM41" s="543"/>
      <c r="QBN41" s="543"/>
      <c r="QBO41" s="543"/>
      <c r="QBP41" s="543"/>
      <c r="QBQ41" s="543"/>
      <c r="QBR41" s="543"/>
      <c r="QBS41" s="543"/>
      <c r="QBT41" s="543"/>
      <c r="QBU41" s="543"/>
      <c r="QBV41" s="543"/>
      <c r="QBW41" s="543"/>
      <c r="QBX41" s="543"/>
      <c r="QBY41" s="543"/>
      <c r="QBZ41" s="543"/>
      <c r="QCA41" s="543"/>
      <c r="QCB41" s="543"/>
      <c r="QCC41" s="543"/>
      <c r="QCD41" s="543"/>
      <c r="QCE41" s="543"/>
      <c r="QCF41" s="543"/>
      <c r="QCG41" s="543"/>
      <c r="QCH41" s="543"/>
      <c r="QCI41" s="543"/>
      <c r="QCJ41" s="543"/>
      <c r="QCK41" s="543"/>
      <c r="QCL41" s="543"/>
      <c r="QCM41" s="543"/>
      <c r="QCN41" s="543"/>
      <c r="QCO41" s="543"/>
      <c r="QCP41" s="543"/>
      <c r="QCQ41" s="543"/>
      <c r="QCR41" s="543"/>
      <c r="QCS41" s="543"/>
      <c r="QCT41" s="543"/>
      <c r="QCU41" s="543"/>
      <c r="QCV41" s="543"/>
      <c r="QCW41" s="543"/>
      <c r="QCX41" s="543"/>
      <c r="QCY41" s="543"/>
      <c r="QCZ41" s="543"/>
      <c r="QDA41" s="543"/>
      <c r="QDB41" s="543"/>
      <c r="QDC41" s="543"/>
      <c r="QDD41" s="543"/>
      <c r="QDE41" s="543"/>
      <c r="QDF41" s="543"/>
      <c r="QDG41" s="543"/>
      <c r="QDH41" s="543"/>
      <c r="QDI41" s="543"/>
      <c r="QDJ41" s="543"/>
      <c r="QDK41" s="543"/>
      <c r="QDL41" s="543"/>
      <c r="QDM41" s="543"/>
      <c r="QDN41" s="543"/>
      <c r="QDO41" s="543"/>
      <c r="QDP41" s="543"/>
      <c r="QDQ41" s="543"/>
      <c r="QDR41" s="543"/>
      <c r="QDS41" s="543"/>
      <c r="QDT41" s="543"/>
      <c r="QDU41" s="543"/>
      <c r="QDV41" s="543"/>
      <c r="QDW41" s="543"/>
      <c r="QDX41" s="543"/>
      <c r="QDY41" s="543"/>
      <c r="QDZ41" s="543"/>
      <c r="QEA41" s="543"/>
      <c r="QEB41" s="543"/>
      <c r="QEC41" s="543"/>
      <c r="QED41" s="543"/>
      <c r="QEE41" s="543"/>
      <c r="QEF41" s="543"/>
      <c r="QEG41" s="543"/>
      <c r="QEH41" s="543"/>
      <c r="QEI41" s="543"/>
      <c r="QEJ41" s="543"/>
      <c r="QEK41" s="543"/>
      <c r="QEL41" s="543"/>
      <c r="QEM41" s="543"/>
      <c r="QEN41" s="543"/>
      <c r="QEO41" s="543"/>
      <c r="QEP41" s="543"/>
      <c r="QEQ41" s="543"/>
      <c r="QER41" s="543"/>
      <c r="QES41" s="543"/>
      <c r="QET41" s="543"/>
      <c r="QEU41" s="543"/>
      <c r="QEV41" s="543"/>
      <c r="QEW41" s="543"/>
      <c r="QEX41" s="543"/>
      <c r="QEY41" s="543"/>
      <c r="QEZ41" s="543"/>
      <c r="QFA41" s="543"/>
      <c r="QFB41" s="543"/>
      <c r="QFC41" s="543"/>
      <c r="QFD41" s="543"/>
      <c r="QFE41" s="543"/>
      <c r="QFF41" s="543"/>
      <c r="QFG41" s="543"/>
      <c r="QFH41" s="543"/>
      <c r="QFI41" s="543"/>
      <c r="QFJ41" s="543"/>
      <c r="QFK41" s="543"/>
      <c r="QFL41" s="543"/>
      <c r="QFM41" s="543"/>
      <c r="QFN41" s="543"/>
      <c r="QFO41" s="543"/>
      <c r="QFP41" s="543"/>
      <c r="QFQ41" s="543"/>
      <c r="QFR41" s="543"/>
      <c r="QFS41" s="543"/>
      <c r="QFT41" s="543"/>
      <c r="QFU41" s="543"/>
      <c r="QFV41" s="543"/>
      <c r="QFW41" s="543"/>
      <c r="QFX41" s="543"/>
      <c r="QFY41" s="543"/>
      <c r="QFZ41" s="543"/>
      <c r="QGA41" s="543"/>
      <c r="QGB41" s="543"/>
      <c r="QGC41" s="543"/>
      <c r="QGD41" s="543"/>
      <c r="QGE41" s="543"/>
      <c r="QGF41" s="543"/>
      <c r="QGG41" s="543"/>
      <c r="QGH41" s="543"/>
      <c r="QGI41" s="543"/>
      <c r="QGJ41" s="543"/>
      <c r="QGK41" s="543"/>
      <c r="QGL41" s="543"/>
      <c r="QGM41" s="543"/>
      <c r="QGN41" s="543"/>
      <c r="QGO41" s="543"/>
      <c r="QGP41" s="543"/>
      <c r="QGQ41" s="543"/>
      <c r="QGR41" s="543"/>
      <c r="QGS41" s="543"/>
      <c r="QGT41" s="543"/>
      <c r="QGU41" s="543"/>
      <c r="QGV41" s="543"/>
      <c r="QGW41" s="543"/>
      <c r="QGX41" s="543"/>
      <c r="QGY41" s="543"/>
      <c r="QGZ41" s="543"/>
      <c r="QHA41" s="543"/>
      <c r="QHB41" s="543"/>
      <c r="QHC41" s="543"/>
      <c r="QHD41" s="543"/>
      <c r="QHE41" s="543"/>
      <c r="QHF41" s="543"/>
      <c r="QHG41" s="543"/>
      <c r="QHH41" s="543"/>
      <c r="QHI41" s="543"/>
      <c r="QHJ41" s="543"/>
      <c r="QHK41" s="543"/>
      <c r="QHL41" s="543"/>
      <c r="QHM41" s="543"/>
      <c r="QHN41" s="543"/>
      <c r="QHO41" s="543"/>
      <c r="QHP41" s="543"/>
      <c r="QHQ41" s="543"/>
      <c r="QHR41" s="543"/>
      <c r="QHS41" s="543"/>
      <c r="QHT41" s="543"/>
      <c r="QHU41" s="543"/>
      <c r="QHV41" s="543"/>
      <c r="QHW41" s="543"/>
      <c r="QHX41" s="543"/>
      <c r="QHY41" s="543"/>
      <c r="QHZ41" s="543"/>
      <c r="QIA41" s="543"/>
      <c r="QIB41" s="543"/>
      <c r="QIC41" s="543"/>
      <c r="QID41" s="543"/>
      <c r="QIE41" s="543"/>
      <c r="QIF41" s="543"/>
      <c r="QIG41" s="543"/>
      <c r="QIH41" s="543"/>
      <c r="QII41" s="543"/>
      <c r="QIJ41" s="543"/>
      <c r="QIK41" s="543"/>
      <c r="QIL41" s="543"/>
      <c r="QIM41" s="543"/>
      <c r="QIN41" s="543"/>
      <c r="QIO41" s="543"/>
      <c r="QIP41" s="543"/>
      <c r="QIQ41" s="543"/>
      <c r="QIR41" s="543"/>
      <c r="QIS41" s="543"/>
      <c r="QIT41" s="543"/>
      <c r="QIU41" s="543"/>
      <c r="QIV41" s="543"/>
      <c r="QIW41" s="543"/>
      <c r="QIX41" s="543"/>
      <c r="QIY41" s="543"/>
      <c r="QIZ41" s="543"/>
      <c r="QJA41" s="543"/>
      <c r="QJB41" s="543"/>
      <c r="QJC41" s="543"/>
      <c r="QJD41" s="543"/>
      <c r="QJE41" s="543"/>
      <c r="QJF41" s="543"/>
      <c r="QJG41" s="543"/>
      <c r="QJH41" s="543"/>
      <c r="QJI41" s="543"/>
      <c r="QJJ41" s="543"/>
      <c r="QJK41" s="543"/>
      <c r="QJL41" s="543"/>
      <c r="QJM41" s="543"/>
      <c r="QJN41" s="543"/>
      <c r="QJO41" s="543"/>
      <c r="QJP41" s="543"/>
      <c r="QJQ41" s="543"/>
      <c r="QJR41" s="543"/>
      <c r="QJS41" s="543"/>
      <c r="QJT41" s="543"/>
      <c r="QJU41" s="543"/>
      <c r="QJV41" s="543"/>
      <c r="QJW41" s="543"/>
      <c r="QJX41" s="543"/>
      <c r="QJY41" s="543"/>
      <c r="QJZ41" s="543"/>
      <c r="QKA41" s="543"/>
      <c r="QKB41" s="543"/>
      <c r="QKC41" s="543"/>
      <c r="QKD41" s="543"/>
      <c r="QKE41" s="543"/>
      <c r="QKF41" s="543"/>
      <c r="QKG41" s="543"/>
      <c r="QKH41" s="543"/>
      <c r="QKI41" s="543"/>
      <c r="QKJ41" s="543"/>
      <c r="QKK41" s="543"/>
      <c r="QKL41" s="543"/>
      <c r="QKM41" s="543"/>
      <c r="QKN41" s="543"/>
      <c r="QKO41" s="543"/>
      <c r="QKP41" s="543"/>
      <c r="QKQ41" s="543"/>
      <c r="QKR41" s="543"/>
      <c r="QKS41" s="543"/>
      <c r="QKT41" s="543"/>
      <c r="QKU41" s="543"/>
      <c r="QKV41" s="543"/>
      <c r="QKW41" s="543"/>
      <c r="QKX41" s="543"/>
      <c r="QKY41" s="543"/>
      <c r="QKZ41" s="543"/>
      <c r="QLA41" s="543"/>
      <c r="QLB41" s="543"/>
      <c r="QLC41" s="543"/>
      <c r="QLD41" s="543"/>
      <c r="QLE41" s="543"/>
      <c r="QLF41" s="543"/>
      <c r="QLG41" s="543"/>
      <c r="QLH41" s="543"/>
      <c r="QLI41" s="543"/>
      <c r="QLJ41" s="543"/>
      <c r="QLK41" s="543"/>
      <c r="QLL41" s="543"/>
      <c r="QLM41" s="543"/>
      <c r="QLN41" s="543"/>
      <c r="QLO41" s="543"/>
      <c r="QLP41" s="543"/>
      <c r="QLQ41" s="543"/>
      <c r="QLR41" s="543"/>
      <c r="QLS41" s="543"/>
      <c r="QLT41" s="543"/>
      <c r="QLU41" s="543"/>
      <c r="QLV41" s="543"/>
      <c r="QLW41" s="543"/>
      <c r="QLX41" s="543"/>
      <c r="QLY41" s="543"/>
      <c r="QLZ41" s="543"/>
      <c r="QMA41" s="543"/>
      <c r="QMB41" s="543"/>
      <c r="QMC41" s="543"/>
      <c r="QMD41" s="543"/>
      <c r="QME41" s="543"/>
      <c r="QMF41" s="543"/>
      <c r="QMG41" s="543"/>
      <c r="QMH41" s="543"/>
      <c r="QMI41" s="543"/>
      <c r="QMJ41" s="543"/>
      <c r="QMK41" s="543"/>
      <c r="QML41" s="543"/>
      <c r="QMM41" s="543"/>
      <c r="QMN41" s="543"/>
      <c r="QMO41" s="543"/>
      <c r="QMP41" s="543"/>
      <c r="QMQ41" s="543"/>
      <c r="QMR41" s="543"/>
      <c r="QMS41" s="543"/>
      <c r="QMT41" s="543"/>
      <c r="QMU41" s="543"/>
      <c r="QMV41" s="543"/>
      <c r="QMW41" s="543"/>
      <c r="QMX41" s="543"/>
      <c r="QMY41" s="543"/>
      <c r="QMZ41" s="543"/>
      <c r="QNA41" s="543"/>
      <c r="QNB41" s="543"/>
      <c r="QNC41" s="543"/>
      <c r="QND41" s="543"/>
      <c r="QNE41" s="543"/>
      <c r="QNF41" s="543"/>
      <c r="QNG41" s="543"/>
      <c r="QNH41" s="543"/>
      <c r="QNI41" s="543"/>
      <c r="QNJ41" s="543"/>
      <c r="QNK41" s="543"/>
      <c r="QNL41" s="543"/>
      <c r="QNM41" s="543"/>
      <c r="QNN41" s="543"/>
      <c r="QNO41" s="543"/>
      <c r="QNP41" s="543"/>
      <c r="QNQ41" s="543"/>
      <c r="QNR41" s="543"/>
      <c r="QNS41" s="543"/>
      <c r="QNT41" s="543"/>
      <c r="QNU41" s="543"/>
      <c r="QNV41" s="543"/>
      <c r="QNW41" s="543"/>
      <c r="QNX41" s="543"/>
      <c r="QNY41" s="543"/>
      <c r="QNZ41" s="543"/>
      <c r="QOA41" s="543"/>
      <c r="QOB41" s="543"/>
      <c r="QOC41" s="543"/>
      <c r="QOD41" s="543"/>
      <c r="QOE41" s="543"/>
      <c r="QOF41" s="543"/>
      <c r="QOG41" s="543"/>
      <c r="QOH41" s="543"/>
      <c r="QOI41" s="543"/>
      <c r="QOJ41" s="543"/>
      <c r="QOK41" s="543"/>
      <c r="QOL41" s="543"/>
      <c r="QOM41" s="543"/>
      <c r="QON41" s="543"/>
      <c r="QOO41" s="543"/>
      <c r="QOP41" s="543"/>
      <c r="QOQ41" s="543"/>
      <c r="QOR41" s="543"/>
      <c r="QOS41" s="543"/>
      <c r="QOT41" s="543"/>
      <c r="QOU41" s="543"/>
      <c r="QOV41" s="543"/>
      <c r="QOW41" s="543"/>
      <c r="QOX41" s="543"/>
      <c r="QOY41" s="543"/>
      <c r="QOZ41" s="543"/>
      <c r="QPA41" s="543"/>
      <c r="QPB41" s="543"/>
      <c r="QPC41" s="543"/>
      <c r="QPD41" s="543"/>
      <c r="QPE41" s="543"/>
      <c r="QPF41" s="543"/>
      <c r="QPG41" s="543"/>
      <c r="QPH41" s="543"/>
      <c r="QPI41" s="543"/>
      <c r="QPJ41" s="543"/>
      <c r="QPK41" s="543"/>
      <c r="QPL41" s="543"/>
      <c r="QPM41" s="543"/>
      <c r="QPN41" s="543"/>
      <c r="QPO41" s="543"/>
      <c r="QPP41" s="543"/>
      <c r="QPQ41" s="543"/>
      <c r="QPR41" s="543"/>
      <c r="QPS41" s="543"/>
      <c r="QPT41" s="543"/>
      <c r="QPU41" s="543"/>
      <c r="QPV41" s="543"/>
      <c r="QPW41" s="543"/>
      <c r="QPX41" s="543"/>
      <c r="QPY41" s="543"/>
      <c r="QPZ41" s="543"/>
      <c r="QQA41" s="543"/>
      <c r="QQB41" s="543"/>
      <c r="QQC41" s="543"/>
      <c r="QQD41" s="543"/>
      <c r="QQE41" s="543"/>
      <c r="QQF41" s="543"/>
      <c r="QQG41" s="543"/>
      <c r="QQH41" s="543"/>
      <c r="QQI41" s="543"/>
      <c r="QQJ41" s="543"/>
      <c r="QQK41" s="543"/>
      <c r="QQL41" s="543"/>
      <c r="QQM41" s="543"/>
      <c r="QQN41" s="543"/>
      <c r="QQO41" s="543"/>
      <c r="QQP41" s="543"/>
      <c r="QQQ41" s="543"/>
      <c r="QQR41" s="543"/>
      <c r="QQS41" s="543"/>
      <c r="QQT41" s="543"/>
      <c r="QQU41" s="543"/>
      <c r="QQV41" s="543"/>
      <c r="QQW41" s="543"/>
      <c r="QQX41" s="543"/>
      <c r="QQY41" s="543"/>
      <c r="QQZ41" s="543"/>
      <c r="QRA41" s="543"/>
      <c r="QRB41" s="543"/>
      <c r="QRC41" s="543"/>
      <c r="QRD41" s="543"/>
      <c r="QRE41" s="543"/>
      <c r="QRF41" s="543"/>
      <c r="QRG41" s="543"/>
      <c r="QRH41" s="543"/>
      <c r="QRI41" s="543"/>
      <c r="QRJ41" s="543"/>
      <c r="QRK41" s="543"/>
      <c r="QRL41" s="543"/>
      <c r="QRM41" s="543"/>
      <c r="QRN41" s="543"/>
      <c r="QRO41" s="543"/>
      <c r="QRP41" s="543"/>
      <c r="QRQ41" s="543"/>
      <c r="QRR41" s="543"/>
      <c r="QRS41" s="543"/>
      <c r="QRT41" s="543"/>
      <c r="QRU41" s="543"/>
      <c r="QRV41" s="543"/>
      <c r="QRW41" s="543"/>
      <c r="QRX41" s="543"/>
      <c r="QRY41" s="543"/>
      <c r="QRZ41" s="543"/>
      <c r="QSA41" s="543"/>
      <c r="QSB41" s="543"/>
      <c r="QSC41" s="543"/>
      <c r="QSD41" s="543"/>
      <c r="QSE41" s="543"/>
      <c r="QSF41" s="543"/>
      <c r="QSG41" s="543"/>
      <c r="QSH41" s="543"/>
      <c r="QSI41" s="543"/>
      <c r="QSJ41" s="543"/>
      <c r="QSK41" s="543"/>
      <c r="QSL41" s="543"/>
      <c r="QSM41" s="543"/>
      <c r="QSN41" s="543"/>
      <c r="QSO41" s="543"/>
      <c r="QSP41" s="543"/>
      <c r="QSQ41" s="543"/>
      <c r="QSR41" s="543"/>
      <c r="QSS41" s="543"/>
      <c r="QST41" s="543"/>
      <c r="QSU41" s="543"/>
      <c r="QSV41" s="543"/>
      <c r="QSW41" s="543"/>
      <c r="QSX41" s="543"/>
      <c r="QSY41" s="543"/>
      <c r="QSZ41" s="543"/>
      <c r="QTA41" s="543"/>
      <c r="QTB41" s="543"/>
      <c r="QTC41" s="543"/>
      <c r="QTD41" s="543"/>
      <c r="QTE41" s="543"/>
      <c r="QTF41" s="543"/>
      <c r="QTG41" s="543"/>
      <c r="QTH41" s="543"/>
      <c r="QTI41" s="543"/>
      <c r="QTJ41" s="543"/>
      <c r="QTK41" s="543"/>
      <c r="QTL41" s="543"/>
      <c r="QTM41" s="543"/>
      <c r="QTN41" s="543"/>
      <c r="QTO41" s="543"/>
      <c r="QTP41" s="543"/>
      <c r="QTQ41" s="543"/>
      <c r="QTR41" s="543"/>
      <c r="QTS41" s="543"/>
      <c r="QTT41" s="543"/>
      <c r="QTU41" s="543"/>
      <c r="QTV41" s="543"/>
      <c r="QTW41" s="543"/>
      <c r="QTX41" s="543"/>
      <c r="QTY41" s="543"/>
      <c r="QTZ41" s="543"/>
      <c r="QUA41" s="543"/>
      <c r="QUB41" s="543"/>
      <c r="QUC41" s="543"/>
      <c r="QUD41" s="543"/>
      <c r="QUE41" s="543"/>
      <c r="QUF41" s="543"/>
      <c r="QUG41" s="543"/>
      <c r="QUH41" s="543"/>
      <c r="QUI41" s="543"/>
      <c r="QUJ41" s="543"/>
      <c r="QUK41" s="543"/>
      <c r="QUL41" s="543"/>
      <c r="QUM41" s="543"/>
      <c r="QUN41" s="543"/>
      <c r="QUO41" s="543"/>
      <c r="QUP41" s="543"/>
      <c r="QUQ41" s="543"/>
      <c r="QUR41" s="543"/>
      <c r="QUS41" s="543"/>
      <c r="QUT41" s="543"/>
      <c r="QUU41" s="543"/>
      <c r="QUV41" s="543"/>
      <c r="QUW41" s="543"/>
      <c r="QUX41" s="543"/>
      <c r="QUY41" s="543"/>
      <c r="QUZ41" s="543"/>
      <c r="QVA41" s="543"/>
      <c r="QVB41" s="543"/>
      <c r="QVC41" s="543"/>
      <c r="QVD41" s="543"/>
      <c r="QVE41" s="543"/>
      <c r="QVF41" s="543"/>
      <c r="QVG41" s="543"/>
      <c r="QVH41" s="543"/>
      <c r="QVI41" s="543"/>
      <c r="QVJ41" s="543"/>
      <c r="QVK41" s="543"/>
      <c r="QVL41" s="543"/>
      <c r="QVM41" s="543"/>
      <c r="QVN41" s="543"/>
      <c r="QVO41" s="543"/>
      <c r="QVP41" s="543"/>
      <c r="QVQ41" s="543"/>
      <c r="QVR41" s="543"/>
      <c r="QVS41" s="543"/>
      <c r="QVT41" s="543"/>
      <c r="QVU41" s="543"/>
      <c r="QVV41" s="543"/>
      <c r="QVW41" s="543"/>
      <c r="QVX41" s="543"/>
      <c r="QVY41" s="543"/>
      <c r="QVZ41" s="543"/>
      <c r="QWA41" s="543"/>
      <c r="QWB41" s="543"/>
      <c r="QWC41" s="543"/>
      <c r="QWD41" s="543"/>
      <c r="QWE41" s="543"/>
      <c r="QWF41" s="543"/>
      <c r="QWG41" s="543"/>
      <c r="QWH41" s="543"/>
      <c r="QWI41" s="543"/>
      <c r="QWJ41" s="543"/>
      <c r="QWK41" s="543"/>
      <c r="QWL41" s="543"/>
      <c r="QWM41" s="543"/>
      <c r="QWN41" s="543"/>
      <c r="QWO41" s="543"/>
      <c r="QWP41" s="543"/>
      <c r="QWQ41" s="543"/>
      <c r="QWR41" s="543"/>
      <c r="QWS41" s="543"/>
      <c r="QWT41" s="543"/>
      <c r="QWU41" s="543"/>
      <c r="QWV41" s="543"/>
      <c r="QWW41" s="543"/>
      <c r="QWX41" s="543"/>
      <c r="QWY41" s="543"/>
      <c r="QWZ41" s="543"/>
      <c r="QXA41" s="543"/>
      <c r="QXB41" s="543"/>
      <c r="QXC41" s="543"/>
      <c r="QXD41" s="543"/>
      <c r="QXE41" s="543"/>
      <c r="QXF41" s="543"/>
      <c r="QXG41" s="543"/>
      <c r="QXH41" s="543"/>
      <c r="QXI41" s="543"/>
      <c r="QXJ41" s="543"/>
      <c r="QXK41" s="543"/>
      <c r="QXL41" s="543"/>
      <c r="QXM41" s="543"/>
      <c r="QXN41" s="543"/>
      <c r="QXO41" s="543"/>
      <c r="QXP41" s="543"/>
      <c r="QXQ41" s="543"/>
      <c r="QXR41" s="543"/>
      <c r="QXS41" s="543"/>
      <c r="QXT41" s="543"/>
      <c r="QXU41" s="543"/>
      <c r="QXV41" s="543"/>
      <c r="QXW41" s="543"/>
      <c r="QXX41" s="543"/>
      <c r="QXY41" s="543"/>
      <c r="QXZ41" s="543"/>
      <c r="QYA41" s="543"/>
      <c r="QYB41" s="543"/>
      <c r="QYC41" s="543"/>
      <c r="QYD41" s="543"/>
      <c r="QYE41" s="543"/>
      <c r="QYF41" s="543"/>
      <c r="QYG41" s="543"/>
      <c r="QYH41" s="543"/>
      <c r="QYI41" s="543"/>
      <c r="QYJ41" s="543"/>
      <c r="QYK41" s="543"/>
      <c r="QYL41" s="543"/>
      <c r="QYM41" s="543"/>
      <c r="QYN41" s="543"/>
      <c r="QYO41" s="543"/>
      <c r="QYP41" s="543"/>
      <c r="QYQ41" s="543"/>
      <c r="QYR41" s="543"/>
      <c r="QYS41" s="543"/>
      <c r="QYT41" s="543"/>
      <c r="QYU41" s="543"/>
      <c r="QYV41" s="543"/>
      <c r="QYW41" s="543"/>
      <c r="QYX41" s="543"/>
      <c r="QYY41" s="543"/>
      <c r="QYZ41" s="543"/>
      <c r="QZA41" s="543"/>
      <c r="QZB41" s="543"/>
      <c r="QZC41" s="543"/>
      <c r="QZD41" s="543"/>
      <c r="QZE41" s="543"/>
      <c r="QZF41" s="543"/>
      <c r="QZG41" s="543"/>
      <c r="QZH41" s="543"/>
      <c r="QZI41" s="543"/>
      <c r="QZJ41" s="543"/>
      <c r="QZK41" s="543"/>
      <c r="QZL41" s="543"/>
      <c r="QZM41" s="543"/>
      <c r="QZN41" s="543"/>
      <c r="QZO41" s="543"/>
      <c r="QZP41" s="543"/>
      <c r="QZQ41" s="543"/>
      <c r="QZR41" s="543"/>
      <c r="QZS41" s="543"/>
      <c r="QZT41" s="543"/>
      <c r="QZU41" s="543"/>
      <c r="QZV41" s="543"/>
      <c r="QZW41" s="543"/>
      <c r="QZX41" s="543"/>
      <c r="QZY41" s="543"/>
      <c r="QZZ41" s="543"/>
      <c r="RAA41" s="543"/>
      <c r="RAB41" s="543"/>
      <c r="RAC41" s="543"/>
      <c r="RAD41" s="543"/>
      <c r="RAE41" s="543"/>
      <c r="RAF41" s="543"/>
      <c r="RAG41" s="543"/>
      <c r="RAH41" s="543"/>
      <c r="RAI41" s="543"/>
      <c r="RAJ41" s="543"/>
      <c r="RAK41" s="543"/>
      <c r="RAL41" s="543"/>
      <c r="RAM41" s="543"/>
      <c r="RAN41" s="543"/>
      <c r="RAO41" s="543"/>
      <c r="RAP41" s="543"/>
      <c r="RAQ41" s="543"/>
      <c r="RAR41" s="543"/>
      <c r="RAS41" s="543"/>
      <c r="RAT41" s="543"/>
      <c r="RAU41" s="543"/>
      <c r="RAV41" s="543"/>
      <c r="RAW41" s="543"/>
      <c r="RAX41" s="543"/>
      <c r="RAY41" s="543"/>
      <c r="RAZ41" s="543"/>
      <c r="RBA41" s="543"/>
      <c r="RBB41" s="543"/>
      <c r="RBC41" s="543"/>
      <c r="RBD41" s="543"/>
      <c r="RBE41" s="543"/>
      <c r="RBF41" s="543"/>
      <c r="RBG41" s="543"/>
      <c r="RBH41" s="543"/>
      <c r="RBI41" s="543"/>
      <c r="RBJ41" s="543"/>
      <c r="RBK41" s="543"/>
      <c r="RBL41" s="543"/>
      <c r="RBM41" s="543"/>
      <c r="RBN41" s="543"/>
      <c r="RBO41" s="543"/>
      <c r="RBP41" s="543"/>
      <c r="RBQ41" s="543"/>
      <c r="RBR41" s="543"/>
      <c r="RBS41" s="543"/>
      <c r="RBT41" s="543"/>
      <c r="RBU41" s="543"/>
      <c r="RBV41" s="543"/>
      <c r="RBW41" s="543"/>
      <c r="RBX41" s="543"/>
      <c r="RBY41" s="543"/>
      <c r="RBZ41" s="543"/>
      <c r="RCA41" s="543"/>
      <c r="RCB41" s="543"/>
      <c r="RCC41" s="543"/>
      <c r="RCD41" s="543"/>
      <c r="RCE41" s="543"/>
      <c r="RCF41" s="543"/>
      <c r="RCG41" s="543"/>
      <c r="RCH41" s="543"/>
      <c r="RCI41" s="543"/>
      <c r="RCJ41" s="543"/>
      <c r="RCK41" s="543"/>
      <c r="RCL41" s="543"/>
      <c r="RCM41" s="543"/>
      <c r="RCN41" s="543"/>
      <c r="RCO41" s="543"/>
      <c r="RCP41" s="543"/>
      <c r="RCQ41" s="543"/>
      <c r="RCR41" s="543"/>
      <c r="RCS41" s="543"/>
      <c r="RCT41" s="543"/>
      <c r="RCU41" s="543"/>
      <c r="RCV41" s="543"/>
      <c r="RCW41" s="543"/>
      <c r="RCX41" s="543"/>
      <c r="RCY41" s="543"/>
      <c r="RCZ41" s="543"/>
      <c r="RDA41" s="543"/>
      <c r="RDB41" s="543"/>
      <c r="RDC41" s="543"/>
      <c r="RDD41" s="543"/>
      <c r="RDE41" s="543"/>
      <c r="RDF41" s="543"/>
      <c r="RDG41" s="543"/>
      <c r="RDH41" s="543"/>
      <c r="RDI41" s="543"/>
      <c r="RDJ41" s="543"/>
      <c r="RDK41" s="543"/>
      <c r="RDL41" s="543"/>
      <c r="RDM41" s="543"/>
      <c r="RDN41" s="543"/>
      <c r="RDO41" s="543"/>
      <c r="RDP41" s="543"/>
      <c r="RDQ41" s="543"/>
      <c r="RDR41" s="543"/>
      <c r="RDS41" s="543"/>
      <c r="RDT41" s="543"/>
      <c r="RDU41" s="543"/>
      <c r="RDV41" s="543"/>
      <c r="RDW41" s="543"/>
      <c r="RDX41" s="543"/>
      <c r="RDY41" s="543"/>
      <c r="RDZ41" s="543"/>
      <c r="REA41" s="543"/>
      <c r="REB41" s="543"/>
      <c r="REC41" s="543"/>
      <c r="RED41" s="543"/>
      <c r="REE41" s="543"/>
      <c r="REF41" s="543"/>
      <c r="REG41" s="543"/>
      <c r="REH41" s="543"/>
      <c r="REI41" s="543"/>
      <c r="REJ41" s="543"/>
      <c r="REK41" s="543"/>
      <c r="REL41" s="543"/>
      <c r="REM41" s="543"/>
      <c r="REN41" s="543"/>
      <c r="REO41" s="543"/>
      <c r="REP41" s="543"/>
      <c r="REQ41" s="543"/>
      <c r="RER41" s="543"/>
      <c r="RES41" s="543"/>
      <c r="RET41" s="543"/>
      <c r="REU41" s="543"/>
      <c r="REV41" s="543"/>
      <c r="REW41" s="543"/>
      <c r="REX41" s="543"/>
      <c r="REY41" s="543"/>
      <c r="REZ41" s="543"/>
      <c r="RFA41" s="543"/>
      <c r="RFB41" s="543"/>
      <c r="RFC41" s="543"/>
      <c r="RFD41" s="543"/>
      <c r="RFE41" s="543"/>
      <c r="RFF41" s="543"/>
      <c r="RFG41" s="543"/>
      <c r="RFH41" s="543"/>
      <c r="RFI41" s="543"/>
      <c r="RFJ41" s="543"/>
      <c r="RFK41" s="543"/>
      <c r="RFL41" s="543"/>
      <c r="RFM41" s="543"/>
      <c r="RFN41" s="543"/>
      <c r="RFO41" s="543"/>
      <c r="RFP41" s="543"/>
      <c r="RFQ41" s="543"/>
      <c r="RFR41" s="543"/>
      <c r="RFS41" s="543"/>
      <c r="RFT41" s="543"/>
      <c r="RFU41" s="543"/>
      <c r="RFV41" s="543"/>
      <c r="RFW41" s="543"/>
      <c r="RFX41" s="543"/>
      <c r="RFY41" s="543"/>
      <c r="RFZ41" s="543"/>
      <c r="RGA41" s="543"/>
      <c r="RGB41" s="543"/>
      <c r="RGC41" s="543"/>
      <c r="RGD41" s="543"/>
      <c r="RGE41" s="543"/>
      <c r="RGF41" s="543"/>
      <c r="RGG41" s="543"/>
      <c r="RGH41" s="543"/>
      <c r="RGI41" s="543"/>
      <c r="RGJ41" s="543"/>
      <c r="RGK41" s="543"/>
      <c r="RGL41" s="543"/>
      <c r="RGM41" s="543"/>
      <c r="RGN41" s="543"/>
      <c r="RGO41" s="543"/>
      <c r="RGP41" s="543"/>
      <c r="RGQ41" s="543"/>
      <c r="RGR41" s="543"/>
      <c r="RGS41" s="543"/>
      <c r="RGT41" s="543"/>
      <c r="RGU41" s="543"/>
      <c r="RGV41" s="543"/>
      <c r="RGW41" s="543"/>
      <c r="RGX41" s="543"/>
      <c r="RGY41" s="543"/>
      <c r="RGZ41" s="543"/>
      <c r="RHA41" s="543"/>
      <c r="RHB41" s="543"/>
      <c r="RHC41" s="543"/>
      <c r="RHD41" s="543"/>
      <c r="RHE41" s="543"/>
      <c r="RHF41" s="543"/>
      <c r="RHG41" s="543"/>
      <c r="RHH41" s="543"/>
      <c r="RHI41" s="543"/>
      <c r="RHJ41" s="543"/>
      <c r="RHK41" s="543"/>
      <c r="RHL41" s="543"/>
      <c r="RHM41" s="543"/>
      <c r="RHN41" s="543"/>
      <c r="RHO41" s="543"/>
      <c r="RHP41" s="543"/>
      <c r="RHQ41" s="543"/>
      <c r="RHR41" s="543"/>
      <c r="RHS41" s="543"/>
      <c r="RHT41" s="543"/>
      <c r="RHU41" s="543"/>
      <c r="RHV41" s="543"/>
      <c r="RHW41" s="543"/>
      <c r="RHX41" s="543"/>
      <c r="RHY41" s="543"/>
      <c r="RHZ41" s="543"/>
      <c r="RIA41" s="543"/>
      <c r="RIB41" s="543"/>
      <c r="RIC41" s="543"/>
      <c r="RID41" s="543"/>
      <c r="RIE41" s="543"/>
      <c r="RIF41" s="543"/>
      <c r="RIG41" s="543"/>
      <c r="RIH41" s="543"/>
      <c r="RII41" s="543"/>
      <c r="RIJ41" s="543"/>
      <c r="RIK41" s="543"/>
      <c r="RIL41" s="543"/>
      <c r="RIM41" s="543"/>
      <c r="RIN41" s="543"/>
      <c r="RIO41" s="543"/>
      <c r="RIP41" s="543"/>
      <c r="RIQ41" s="543"/>
      <c r="RIR41" s="543"/>
      <c r="RIS41" s="543"/>
      <c r="RIT41" s="543"/>
      <c r="RIU41" s="543"/>
      <c r="RIV41" s="543"/>
      <c r="RIW41" s="543"/>
      <c r="RIX41" s="543"/>
      <c r="RIY41" s="543"/>
      <c r="RIZ41" s="543"/>
      <c r="RJA41" s="543"/>
      <c r="RJB41" s="543"/>
      <c r="RJC41" s="543"/>
      <c r="RJD41" s="543"/>
      <c r="RJE41" s="543"/>
      <c r="RJF41" s="543"/>
      <c r="RJG41" s="543"/>
      <c r="RJH41" s="543"/>
      <c r="RJI41" s="543"/>
      <c r="RJJ41" s="543"/>
      <c r="RJK41" s="543"/>
      <c r="RJL41" s="543"/>
      <c r="RJM41" s="543"/>
      <c r="RJN41" s="543"/>
      <c r="RJO41" s="543"/>
      <c r="RJP41" s="543"/>
      <c r="RJQ41" s="543"/>
      <c r="RJR41" s="543"/>
      <c r="RJS41" s="543"/>
      <c r="RJT41" s="543"/>
      <c r="RJU41" s="543"/>
      <c r="RJV41" s="543"/>
      <c r="RJW41" s="543"/>
      <c r="RJX41" s="543"/>
      <c r="RJY41" s="543"/>
      <c r="RJZ41" s="543"/>
      <c r="RKA41" s="543"/>
      <c r="RKB41" s="543"/>
      <c r="RKC41" s="543"/>
      <c r="RKD41" s="543"/>
      <c r="RKE41" s="543"/>
      <c r="RKF41" s="543"/>
      <c r="RKG41" s="543"/>
      <c r="RKH41" s="543"/>
      <c r="RKI41" s="543"/>
      <c r="RKJ41" s="543"/>
      <c r="RKK41" s="543"/>
      <c r="RKL41" s="543"/>
      <c r="RKM41" s="543"/>
      <c r="RKN41" s="543"/>
      <c r="RKO41" s="543"/>
      <c r="RKP41" s="543"/>
      <c r="RKQ41" s="543"/>
      <c r="RKR41" s="543"/>
      <c r="RKS41" s="543"/>
      <c r="RKT41" s="543"/>
      <c r="RKU41" s="543"/>
      <c r="RKV41" s="543"/>
      <c r="RKW41" s="543"/>
      <c r="RKX41" s="543"/>
      <c r="RKY41" s="543"/>
      <c r="RKZ41" s="543"/>
      <c r="RLA41" s="543"/>
      <c r="RLB41" s="543"/>
      <c r="RLC41" s="543"/>
      <c r="RLD41" s="543"/>
      <c r="RLE41" s="543"/>
      <c r="RLF41" s="543"/>
      <c r="RLG41" s="543"/>
      <c r="RLH41" s="543"/>
      <c r="RLI41" s="543"/>
      <c r="RLJ41" s="543"/>
      <c r="RLK41" s="543"/>
      <c r="RLL41" s="543"/>
      <c r="RLM41" s="543"/>
      <c r="RLN41" s="543"/>
      <c r="RLO41" s="543"/>
      <c r="RLP41" s="543"/>
      <c r="RLQ41" s="543"/>
      <c r="RLR41" s="543"/>
      <c r="RLS41" s="543"/>
      <c r="RLT41" s="543"/>
      <c r="RLU41" s="543"/>
      <c r="RLV41" s="543"/>
      <c r="RLW41" s="543"/>
      <c r="RLX41" s="543"/>
      <c r="RLY41" s="543"/>
      <c r="RLZ41" s="543"/>
      <c r="RMA41" s="543"/>
      <c r="RMB41" s="543"/>
      <c r="RMC41" s="543"/>
      <c r="RMD41" s="543"/>
      <c r="RME41" s="543"/>
      <c r="RMF41" s="543"/>
      <c r="RMG41" s="543"/>
      <c r="RMH41" s="543"/>
      <c r="RMI41" s="543"/>
      <c r="RMJ41" s="543"/>
      <c r="RMK41" s="543"/>
      <c r="RML41" s="543"/>
      <c r="RMM41" s="543"/>
      <c r="RMN41" s="543"/>
      <c r="RMO41" s="543"/>
      <c r="RMP41" s="543"/>
      <c r="RMQ41" s="543"/>
      <c r="RMR41" s="543"/>
      <c r="RMS41" s="543"/>
      <c r="RMT41" s="543"/>
      <c r="RMU41" s="543"/>
      <c r="RMV41" s="543"/>
      <c r="RMW41" s="543"/>
      <c r="RMX41" s="543"/>
      <c r="RMY41" s="543"/>
      <c r="RMZ41" s="543"/>
      <c r="RNA41" s="543"/>
      <c r="RNB41" s="543"/>
      <c r="RNC41" s="543"/>
      <c r="RND41" s="543"/>
      <c r="RNE41" s="543"/>
      <c r="RNF41" s="543"/>
      <c r="RNG41" s="543"/>
      <c r="RNH41" s="543"/>
      <c r="RNI41" s="543"/>
      <c r="RNJ41" s="543"/>
      <c r="RNK41" s="543"/>
      <c r="RNL41" s="543"/>
      <c r="RNM41" s="543"/>
      <c r="RNN41" s="543"/>
      <c r="RNO41" s="543"/>
      <c r="RNP41" s="543"/>
      <c r="RNQ41" s="543"/>
      <c r="RNR41" s="543"/>
      <c r="RNS41" s="543"/>
      <c r="RNT41" s="543"/>
      <c r="RNU41" s="543"/>
      <c r="RNV41" s="543"/>
      <c r="RNW41" s="543"/>
      <c r="RNX41" s="543"/>
      <c r="RNY41" s="543"/>
      <c r="RNZ41" s="543"/>
      <c r="ROA41" s="543"/>
      <c r="ROB41" s="543"/>
      <c r="ROC41" s="543"/>
      <c r="ROD41" s="543"/>
      <c r="ROE41" s="543"/>
      <c r="ROF41" s="543"/>
      <c r="ROG41" s="543"/>
      <c r="ROH41" s="543"/>
      <c r="ROI41" s="543"/>
      <c r="ROJ41" s="543"/>
      <c r="ROK41" s="543"/>
      <c r="ROL41" s="543"/>
      <c r="ROM41" s="543"/>
      <c r="RON41" s="543"/>
      <c r="ROO41" s="543"/>
      <c r="ROP41" s="543"/>
      <c r="ROQ41" s="543"/>
      <c r="ROR41" s="543"/>
      <c r="ROS41" s="543"/>
      <c r="ROT41" s="543"/>
      <c r="ROU41" s="543"/>
      <c r="ROV41" s="543"/>
      <c r="ROW41" s="543"/>
      <c r="ROX41" s="543"/>
      <c r="ROY41" s="543"/>
      <c r="ROZ41" s="543"/>
      <c r="RPA41" s="543"/>
      <c r="RPB41" s="543"/>
      <c r="RPC41" s="543"/>
      <c r="RPD41" s="543"/>
      <c r="RPE41" s="543"/>
      <c r="RPF41" s="543"/>
      <c r="RPG41" s="543"/>
      <c r="RPH41" s="543"/>
      <c r="RPI41" s="543"/>
      <c r="RPJ41" s="543"/>
      <c r="RPK41" s="543"/>
      <c r="RPL41" s="543"/>
      <c r="RPM41" s="543"/>
      <c r="RPN41" s="543"/>
      <c r="RPO41" s="543"/>
      <c r="RPP41" s="543"/>
      <c r="RPQ41" s="543"/>
      <c r="RPR41" s="543"/>
      <c r="RPS41" s="543"/>
      <c r="RPT41" s="543"/>
      <c r="RPU41" s="543"/>
      <c r="RPV41" s="543"/>
      <c r="RPW41" s="543"/>
      <c r="RPX41" s="543"/>
      <c r="RPY41" s="543"/>
      <c r="RPZ41" s="543"/>
      <c r="RQA41" s="543"/>
      <c r="RQB41" s="543"/>
      <c r="RQC41" s="543"/>
      <c r="RQD41" s="543"/>
      <c r="RQE41" s="543"/>
      <c r="RQF41" s="543"/>
      <c r="RQG41" s="543"/>
      <c r="RQH41" s="543"/>
      <c r="RQI41" s="543"/>
      <c r="RQJ41" s="543"/>
      <c r="RQK41" s="543"/>
      <c r="RQL41" s="543"/>
      <c r="RQM41" s="543"/>
      <c r="RQN41" s="543"/>
      <c r="RQO41" s="543"/>
      <c r="RQP41" s="543"/>
      <c r="RQQ41" s="543"/>
      <c r="RQR41" s="543"/>
      <c r="RQS41" s="543"/>
      <c r="RQT41" s="543"/>
      <c r="RQU41" s="543"/>
      <c r="RQV41" s="543"/>
      <c r="RQW41" s="543"/>
      <c r="RQX41" s="543"/>
      <c r="RQY41" s="543"/>
      <c r="RQZ41" s="543"/>
      <c r="RRA41" s="543"/>
      <c r="RRB41" s="543"/>
      <c r="RRC41" s="543"/>
      <c r="RRD41" s="543"/>
      <c r="RRE41" s="543"/>
      <c r="RRF41" s="543"/>
      <c r="RRG41" s="543"/>
      <c r="RRH41" s="543"/>
      <c r="RRI41" s="543"/>
      <c r="RRJ41" s="543"/>
      <c r="RRK41" s="543"/>
      <c r="RRL41" s="543"/>
      <c r="RRM41" s="543"/>
      <c r="RRN41" s="543"/>
      <c r="RRO41" s="543"/>
      <c r="RRP41" s="543"/>
      <c r="RRQ41" s="543"/>
      <c r="RRR41" s="543"/>
      <c r="RRS41" s="543"/>
      <c r="RRT41" s="543"/>
      <c r="RRU41" s="543"/>
      <c r="RRV41" s="543"/>
      <c r="RRW41" s="543"/>
      <c r="RRX41" s="543"/>
      <c r="RRY41" s="543"/>
      <c r="RRZ41" s="543"/>
      <c r="RSA41" s="543"/>
      <c r="RSB41" s="543"/>
      <c r="RSC41" s="543"/>
      <c r="RSD41" s="543"/>
      <c r="RSE41" s="543"/>
      <c r="RSF41" s="543"/>
      <c r="RSG41" s="543"/>
      <c r="RSH41" s="543"/>
      <c r="RSI41" s="543"/>
      <c r="RSJ41" s="543"/>
      <c r="RSK41" s="543"/>
      <c r="RSL41" s="543"/>
      <c r="RSM41" s="543"/>
      <c r="RSN41" s="543"/>
      <c r="RSO41" s="543"/>
      <c r="RSP41" s="543"/>
      <c r="RSQ41" s="543"/>
      <c r="RSR41" s="543"/>
      <c r="RSS41" s="543"/>
      <c r="RST41" s="543"/>
      <c r="RSU41" s="543"/>
      <c r="RSV41" s="543"/>
      <c r="RSW41" s="543"/>
      <c r="RSX41" s="543"/>
      <c r="RSY41" s="543"/>
      <c r="RSZ41" s="543"/>
      <c r="RTA41" s="543"/>
      <c r="RTB41" s="543"/>
      <c r="RTC41" s="543"/>
      <c r="RTD41" s="543"/>
      <c r="RTE41" s="543"/>
      <c r="RTF41" s="543"/>
      <c r="RTG41" s="543"/>
      <c r="RTH41" s="543"/>
      <c r="RTI41" s="543"/>
      <c r="RTJ41" s="543"/>
      <c r="RTK41" s="543"/>
      <c r="RTL41" s="543"/>
      <c r="RTM41" s="543"/>
      <c r="RTN41" s="543"/>
      <c r="RTO41" s="543"/>
      <c r="RTP41" s="543"/>
      <c r="RTQ41" s="543"/>
      <c r="RTR41" s="543"/>
      <c r="RTS41" s="543"/>
      <c r="RTT41" s="543"/>
      <c r="RTU41" s="543"/>
      <c r="RTV41" s="543"/>
      <c r="RTW41" s="543"/>
      <c r="RTX41" s="543"/>
      <c r="RTY41" s="543"/>
      <c r="RTZ41" s="543"/>
      <c r="RUA41" s="543"/>
      <c r="RUB41" s="543"/>
      <c r="RUC41" s="543"/>
      <c r="RUD41" s="543"/>
      <c r="RUE41" s="543"/>
      <c r="RUF41" s="543"/>
      <c r="RUG41" s="543"/>
      <c r="RUH41" s="543"/>
      <c r="RUI41" s="543"/>
      <c r="RUJ41" s="543"/>
      <c r="RUK41" s="543"/>
      <c r="RUL41" s="543"/>
      <c r="RUM41" s="543"/>
      <c r="RUN41" s="543"/>
      <c r="RUO41" s="543"/>
      <c r="RUP41" s="543"/>
      <c r="RUQ41" s="543"/>
      <c r="RUR41" s="543"/>
      <c r="RUS41" s="543"/>
      <c r="RUT41" s="543"/>
      <c r="RUU41" s="543"/>
      <c r="RUV41" s="543"/>
      <c r="RUW41" s="543"/>
      <c r="RUX41" s="543"/>
      <c r="RUY41" s="543"/>
      <c r="RUZ41" s="543"/>
      <c r="RVA41" s="543"/>
      <c r="RVB41" s="543"/>
      <c r="RVC41" s="543"/>
      <c r="RVD41" s="543"/>
      <c r="RVE41" s="543"/>
      <c r="RVF41" s="543"/>
      <c r="RVG41" s="543"/>
      <c r="RVH41" s="543"/>
      <c r="RVI41" s="543"/>
      <c r="RVJ41" s="543"/>
      <c r="RVK41" s="543"/>
      <c r="RVL41" s="543"/>
      <c r="RVM41" s="543"/>
      <c r="RVN41" s="543"/>
      <c r="RVO41" s="543"/>
      <c r="RVP41" s="543"/>
      <c r="RVQ41" s="543"/>
      <c r="RVR41" s="543"/>
      <c r="RVS41" s="543"/>
      <c r="RVT41" s="543"/>
      <c r="RVU41" s="543"/>
      <c r="RVV41" s="543"/>
      <c r="RVW41" s="543"/>
      <c r="RVX41" s="543"/>
      <c r="RVY41" s="543"/>
      <c r="RVZ41" s="543"/>
      <c r="RWA41" s="543"/>
      <c r="RWB41" s="543"/>
      <c r="RWC41" s="543"/>
      <c r="RWD41" s="543"/>
      <c r="RWE41" s="543"/>
      <c r="RWF41" s="543"/>
      <c r="RWG41" s="543"/>
      <c r="RWH41" s="543"/>
      <c r="RWI41" s="543"/>
      <c r="RWJ41" s="543"/>
      <c r="RWK41" s="543"/>
      <c r="RWL41" s="543"/>
      <c r="RWM41" s="543"/>
      <c r="RWN41" s="543"/>
      <c r="RWO41" s="543"/>
      <c r="RWP41" s="543"/>
      <c r="RWQ41" s="543"/>
      <c r="RWR41" s="543"/>
      <c r="RWS41" s="543"/>
      <c r="RWT41" s="543"/>
      <c r="RWU41" s="543"/>
      <c r="RWV41" s="543"/>
      <c r="RWW41" s="543"/>
      <c r="RWX41" s="543"/>
      <c r="RWY41" s="543"/>
      <c r="RWZ41" s="543"/>
      <c r="RXA41" s="543"/>
      <c r="RXB41" s="543"/>
      <c r="RXC41" s="543"/>
      <c r="RXD41" s="543"/>
      <c r="RXE41" s="543"/>
      <c r="RXF41" s="543"/>
      <c r="RXG41" s="543"/>
      <c r="RXH41" s="543"/>
      <c r="RXI41" s="543"/>
      <c r="RXJ41" s="543"/>
      <c r="RXK41" s="543"/>
      <c r="RXL41" s="543"/>
      <c r="RXM41" s="543"/>
      <c r="RXN41" s="543"/>
      <c r="RXO41" s="543"/>
      <c r="RXP41" s="543"/>
      <c r="RXQ41" s="543"/>
      <c r="RXR41" s="543"/>
      <c r="RXS41" s="543"/>
      <c r="RXT41" s="543"/>
      <c r="RXU41" s="543"/>
      <c r="RXV41" s="543"/>
      <c r="RXW41" s="543"/>
      <c r="RXX41" s="543"/>
      <c r="RXY41" s="543"/>
      <c r="RXZ41" s="543"/>
      <c r="RYA41" s="543"/>
      <c r="RYB41" s="543"/>
      <c r="RYC41" s="543"/>
      <c r="RYD41" s="543"/>
      <c r="RYE41" s="543"/>
      <c r="RYF41" s="543"/>
      <c r="RYG41" s="543"/>
      <c r="RYH41" s="543"/>
      <c r="RYI41" s="543"/>
      <c r="RYJ41" s="543"/>
      <c r="RYK41" s="543"/>
      <c r="RYL41" s="543"/>
      <c r="RYM41" s="543"/>
      <c r="RYN41" s="543"/>
      <c r="RYO41" s="543"/>
      <c r="RYP41" s="543"/>
      <c r="RYQ41" s="543"/>
      <c r="RYR41" s="543"/>
      <c r="RYS41" s="543"/>
      <c r="RYT41" s="543"/>
      <c r="RYU41" s="543"/>
      <c r="RYV41" s="543"/>
      <c r="RYW41" s="543"/>
      <c r="RYX41" s="543"/>
      <c r="RYY41" s="543"/>
      <c r="RYZ41" s="543"/>
      <c r="RZA41" s="543"/>
      <c r="RZB41" s="543"/>
      <c r="RZC41" s="543"/>
      <c r="RZD41" s="543"/>
      <c r="RZE41" s="543"/>
      <c r="RZF41" s="543"/>
      <c r="RZG41" s="543"/>
      <c r="RZH41" s="543"/>
      <c r="RZI41" s="543"/>
      <c r="RZJ41" s="543"/>
      <c r="RZK41" s="543"/>
      <c r="RZL41" s="543"/>
      <c r="RZM41" s="543"/>
      <c r="RZN41" s="543"/>
      <c r="RZO41" s="543"/>
      <c r="RZP41" s="543"/>
      <c r="RZQ41" s="543"/>
      <c r="RZR41" s="543"/>
      <c r="RZS41" s="543"/>
      <c r="RZT41" s="543"/>
      <c r="RZU41" s="543"/>
      <c r="RZV41" s="543"/>
      <c r="RZW41" s="543"/>
      <c r="RZX41" s="543"/>
      <c r="RZY41" s="543"/>
      <c r="RZZ41" s="543"/>
      <c r="SAA41" s="543"/>
      <c r="SAB41" s="543"/>
      <c r="SAC41" s="543"/>
      <c r="SAD41" s="543"/>
      <c r="SAE41" s="543"/>
      <c r="SAF41" s="543"/>
      <c r="SAG41" s="543"/>
      <c r="SAH41" s="543"/>
      <c r="SAI41" s="543"/>
      <c r="SAJ41" s="543"/>
      <c r="SAK41" s="543"/>
      <c r="SAL41" s="543"/>
      <c r="SAM41" s="543"/>
      <c r="SAN41" s="543"/>
      <c r="SAO41" s="543"/>
      <c r="SAP41" s="543"/>
      <c r="SAQ41" s="543"/>
      <c r="SAR41" s="543"/>
      <c r="SAS41" s="543"/>
      <c r="SAT41" s="543"/>
      <c r="SAU41" s="543"/>
      <c r="SAV41" s="543"/>
      <c r="SAW41" s="543"/>
      <c r="SAX41" s="543"/>
      <c r="SAY41" s="543"/>
      <c r="SAZ41" s="543"/>
      <c r="SBA41" s="543"/>
      <c r="SBB41" s="543"/>
      <c r="SBC41" s="543"/>
      <c r="SBD41" s="543"/>
      <c r="SBE41" s="543"/>
      <c r="SBF41" s="543"/>
      <c r="SBG41" s="543"/>
      <c r="SBH41" s="543"/>
      <c r="SBI41" s="543"/>
      <c r="SBJ41" s="543"/>
      <c r="SBK41" s="543"/>
      <c r="SBL41" s="543"/>
      <c r="SBM41" s="543"/>
      <c r="SBN41" s="543"/>
      <c r="SBO41" s="543"/>
      <c r="SBP41" s="543"/>
      <c r="SBQ41" s="543"/>
      <c r="SBR41" s="543"/>
      <c r="SBS41" s="543"/>
      <c r="SBT41" s="543"/>
      <c r="SBU41" s="543"/>
      <c r="SBV41" s="543"/>
      <c r="SBW41" s="543"/>
      <c r="SBX41" s="543"/>
      <c r="SBY41" s="543"/>
      <c r="SBZ41" s="543"/>
      <c r="SCA41" s="543"/>
      <c r="SCB41" s="543"/>
      <c r="SCC41" s="543"/>
      <c r="SCD41" s="543"/>
      <c r="SCE41" s="543"/>
      <c r="SCF41" s="543"/>
      <c r="SCG41" s="543"/>
      <c r="SCH41" s="543"/>
      <c r="SCI41" s="543"/>
      <c r="SCJ41" s="543"/>
      <c r="SCK41" s="543"/>
      <c r="SCL41" s="543"/>
      <c r="SCM41" s="543"/>
      <c r="SCN41" s="543"/>
      <c r="SCO41" s="543"/>
      <c r="SCP41" s="543"/>
      <c r="SCQ41" s="543"/>
      <c r="SCR41" s="543"/>
      <c r="SCS41" s="543"/>
      <c r="SCT41" s="543"/>
      <c r="SCU41" s="543"/>
      <c r="SCV41" s="543"/>
      <c r="SCW41" s="543"/>
      <c r="SCX41" s="543"/>
      <c r="SCY41" s="543"/>
      <c r="SCZ41" s="543"/>
      <c r="SDA41" s="543"/>
      <c r="SDB41" s="543"/>
      <c r="SDC41" s="543"/>
      <c r="SDD41" s="543"/>
      <c r="SDE41" s="543"/>
      <c r="SDF41" s="543"/>
      <c r="SDG41" s="543"/>
      <c r="SDH41" s="543"/>
      <c r="SDI41" s="543"/>
      <c r="SDJ41" s="543"/>
      <c r="SDK41" s="543"/>
      <c r="SDL41" s="543"/>
      <c r="SDM41" s="543"/>
      <c r="SDN41" s="543"/>
      <c r="SDO41" s="543"/>
      <c r="SDP41" s="543"/>
      <c r="SDQ41" s="543"/>
      <c r="SDR41" s="543"/>
      <c r="SDS41" s="543"/>
      <c r="SDT41" s="543"/>
      <c r="SDU41" s="543"/>
      <c r="SDV41" s="543"/>
      <c r="SDW41" s="543"/>
      <c r="SDX41" s="543"/>
      <c r="SDY41" s="543"/>
      <c r="SDZ41" s="543"/>
      <c r="SEA41" s="543"/>
      <c r="SEB41" s="543"/>
      <c r="SEC41" s="543"/>
      <c r="SED41" s="543"/>
      <c r="SEE41" s="543"/>
      <c r="SEF41" s="543"/>
      <c r="SEG41" s="543"/>
      <c r="SEH41" s="543"/>
      <c r="SEI41" s="543"/>
      <c r="SEJ41" s="543"/>
      <c r="SEK41" s="543"/>
      <c r="SEL41" s="543"/>
      <c r="SEM41" s="543"/>
      <c r="SEN41" s="543"/>
      <c r="SEO41" s="543"/>
      <c r="SEP41" s="543"/>
      <c r="SEQ41" s="543"/>
      <c r="SER41" s="543"/>
      <c r="SES41" s="543"/>
      <c r="SET41" s="543"/>
      <c r="SEU41" s="543"/>
      <c r="SEV41" s="543"/>
      <c r="SEW41" s="543"/>
      <c r="SEX41" s="543"/>
      <c r="SEY41" s="543"/>
      <c r="SEZ41" s="543"/>
      <c r="SFA41" s="543"/>
      <c r="SFB41" s="543"/>
      <c r="SFC41" s="543"/>
      <c r="SFD41" s="543"/>
      <c r="SFE41" s="543"/>
      <c r="SFF41" s="543"/>
      <c r="SFG41" s="543"/>
      <c r="SFH41" s="543"/>
      <c r="SFI41" s="543"/>
      <c r="SFJ41" s="543"/>
      <c r="SFK41" s="543"/>
      <c r="SFL41" s="543"/>
      <c r="SFM41" s="543"/>
      <c r="SFN41" s="543"/>
      <c r="SFO41" s="543"/>
      <c r="SFP41" s="543"/>
      <c r="SFQ41" s="543"/>
      <c r="SFR41" s="543"/>
      <c r="SFS41" s="543"/>
      <c r="SFT41" s="543"/>
      <c r="SFU41" s="543"/>
      <c r="SFV41" s="543"/>
      <c r="SFW41" s="543"/>
      <c r="SFX41" s="543"/>
      <c r="SFY41" s="543"/>
      <c r="SFZ41" s="543"/>
      <c r="SGA41" s="543"/>
      <c r="SGB41" s="543"/>
      <c r="SGC41" s="543"/>
      <c r="SGD41" s="543"/>
      <c r="SGE41" s="543"/>
      <c r="SGF41" s="543"/>
      <c r="SGG41" s="543"/>
      <c r="SGH41" s="543"/>
      <c r="SGI41" s="543"/>
      <c r="SGJ41" s="543"/>
      <c r="SGK41" s="543"/>
      <c r="SGL41" s="543"/>
      <c r="SGM41" s="543"/>
      <c r="SGN41" s="543"/>
      <c r="SGO41" s="543"/>
      <c r="SGP41" s="543"/>
      <c r="SGQ41" s="543"/>
      <c r="SGR41" s="543"/>
      <c r="SGS41" s="543"/>
      <c r="SGT41" s="543"/>
      <c r="SGU41" s="543"/>
      <c r="SGV41" s="543"/>
      <c r="SGW41" s="543"/>
      <c r="SGX41" s="543"/>
      <c r="SGY41" s="543"/>
      <c r="SGZ41" s="543"/>
      <c r="SHA41" s="543"/>
      <c r="SHB41" s="543"/>
      <c r="SHC41" s="543"/>
      <c r="SHD41" s="543"/>
      <c r="SHE41" s="543"/>
      <c r="SHF41" s="543"/>
      <c r="SHG41" s="543"/>
      <c r="SHH41" s="543"/>
      <c r="SHI41" s="543"/>
      <c r="SHJ41" s="543"/>
      <c r="SHK41" s="543"/>
      <c r="SHL41" s="543"/>
      <c r="SHM41" s="543"/>
      <c r="SHN41" s="543"/>
      <c r="SHO41" s="543"/>
      <c r="SHP41" s="543"/>
      <c r="SHQ41" s="543"/>
      <c r="SHR41" s="543"/>
      <c r="SHS41" s="543"/>
      <c r="SHT41" s="543"/>
      <c r="SHU41" s="543"/>
      <c r="SHV41" s="543"/>
      <c r="SHW41" s="543"/>
      <c r="SHX41" s="543"/>
      <c r="SHY41" s="543"/>
      <c r="SHZ41" s="543"/>
      <c r="SIA41" s="543"/>
      <c r="SIB41" s="543"/>
      <c r="SIC41" s="543"/>
      <c r="SID41" s="543"/>
      <c r="SIE41" s="543"/>
      <c r="SIF41" s="543"/>
      <c r="SIG41" s="543"/>
      <c r="SIH41" s="543"/>
      <c r="SII41" s="543"/>
      <c r="SIJ41" s="543"/>
      <c r="SIK41" s="543"/>
      <c r="SIL41" s="543"/>
      <c r="SIM41" s="543"/>
      <c r="SIN41" s="543"/>
      <c r="SIO41" s="543"/>
      <c r="SIP41" s="543"/>
      <c r="SIQ41" s="543"/>
      <c r="SIR41" s="543"/>
      <c r="SIS41" s="543"/>
      <c r="SIT41" s="543"/>
      <c r="SIU41" s="543"/>
      <c r="SIV41" s="543"/>
      <c r="SIW41" s="543"/>
      <c r="SIX41" s="543"/>
      <c r="SIY41" s="543"/>
      <c r="SIZ41" s="543"/>
      <c r="SJA41" s="543"/>
      <c r="SJB41" s="543"/>
      <c r="SJC41" s="543"/>
      <c r="SJD41" s="543"/>
      <c r="SJE41" s="543"/>
      <c r="SJF41" s="543"/>
      <c r="SJG41" s="543"/>
      <c r="SJH41" s="543"/>
      <c r="SJI41" s="543"/>
      <c r="SJJ41" s="543"/>
      <c r="SJK41" s="543"/>
      <c r="SJL41" s="543"/>
      <c r="SJM41" s="543"/>
      <c r="SJN41" s="543"/>
      <c r="SJO41" s="543"/>
      <c r="SJP41" s="543"/>
      <c r="SJQ41" s="543"/>
      <c r="SJR41" s="543"/>
      <c r="SJS41" s="543"/>
      <c r="SJT41" s="543"/>
      <c r="SJU41" s="543"/>
      <c r="SJV41" s="543"/>
      <c r="SJW41" s="543"/>
      <c r="SJX41" s="543"/>
      <c r="SJY41" s="543"/>
      <c r="SJZ41" s="543"/>
      <c r="SKA41" s="543"/>
      <c r="SKB41" s="543"/>
      <c r="SKC41" s="543"/>
      <c r="SKD41" s="543"/>
      <c r="SKE41" s="543"/>
      <c r="SKF41" s="543"/>
      <c r="SKG41" s="543"/>
      <c r="SKH41" s="543"/>
      <c r="SKI41" s="543"/>
      <c r="SKJ41" s="543"/>
      <c r="SKK41" s="543"/>
      <c r="SKL41" s="543"/>
      <c r="SKM41" s="543"/>
      <c r="SKN41" s="543"/>
      <c r="SKO41" s="543"/>
      <c r="SKP41" s="543"/>
      <c r="SKQ41" s="543"/>
      <c r="SKR41" s="543"/>
      <c r="SKS41" s="543"/>
      <c r="SKT41" s="543"/>
      <c r="SKU41" s="543"/>
      <c r="SKV41" s="543"/>
      <c r="SKW41" s="543"/>
      <c r="SKX41" s="543"/>
      <c r="SKY41" s="543"/>
      <c r="SKZ41" s="543"/>
      <c r="SLA41" s="543"/>
      <c r="SLB41" s="543"/>
      <c r="SLC41" s="543"/>
      <c r="SLD41" s="543"/>
      <c r="SLE41" s="543"/>
      <c r="SLF41" s="543"/>
      <c r="SLG41" s="543"/>
      <c r="SLH41" s="543"/>
      <c r="SLI41" s="543"/>
      <c r="SLJ41" s="543"/>
      <c r="SLK41" s="543"/>
      <c r="SLL41" s="543"/>
      <c r="SLM41" s="543"/>
      <c r="SLN41" s="543"/>
      <c r="SLO41" s="543"/>
      <c r="SLP41" s="543"/>
      <c r="SLQ41" s="543"/>
      <c r="SLR41" s="543"/>
      <c r="SLS41" s="543"/>
      <c r="SLT41" s="543"/>
      <c r="SLU41" s="543"/>
      <c r="SLV41" s="543"/>
      <c r="SLW41" s="543"/>
      <c r="SLX41" s="543"/>
      <c r="SLY41" s="543"/>
      <c r="SLZ41" s="543"/>
      <c r="SMA41" s="543"/>
      <c r="SMB41" s="543"/>
      <c r="SMC41" s="543"/>
      <c r="SMD41" s="543"/>
      <c r="SME41" s="543"/>
      <c r="SMF41" s="543"/>
      <c r="SMG41" s="543"/>
      <c r="SMH41" s="543"/>
      <c r="SMI41" s="543"/>
      <c r="SMJ41" s="543"/>
      <c r="SMK41" s="543"/>
      <c r="SML41" s="543"/>
      <c r="SMM41" s="543"/>
      <c r="SMN41" s="543"/>
      <c r="SMO41" s="543"/>
      <c r="SMP41" s="543"/>
      <c r="SMQ41" s="543"/>
      <c r="SMR41" s="543"/>
      <c r="SMS41" s="543"/>
      <c r="SMT41" s="543"/>
      <c r="SMU41" s="543"/>
      <c r="SMV41" s="543"/>
      <c r="SMW41" s="543"/>
      <c r="SMX41" s="543"/>
      <c r="SMY41" s="543"/>
      <c r="SMZ41" s="543"/>
      <c r="SNA41" s="543"/>
      <c r="SNB41" s="543"/>
      <c r="SNC41" s="543"/>
      <c r="SND41" s="543"/>
      <c r="SNE41" s="543"/>
      <c r="SNF41" s="543"/>
      <c r="SNG41" s="543"/>
      <c r="SNH41" s="543"/>
      <c r="SNI41" s="543"/>
      <c r="SNJ41" s="543"/>
      <c r="SNK41" s="543"/>
      <c r="SNL41" s="543"/>
      <c r="SNM41" s="543"/>
      <c r="SNN41" s="543"/>
      <c r="SNO41" s="543"/>
      <c r="SNP41" s="543"/>
      <c r="SNQ41" s="543"/>
      <c r="SNR41" s="543"/>
      <c r="SNS41" s="543"/>
      <c r="SNT41" s="543"/>
      <c r="SNU41" s="543"/>
      <c r="SNV41" s="543"/>
      <c r="SNW41" s="543"/>
      <c r="SNX41" s="543"/>
      <c r="SNY41" s="543"/>
      <c r="SNZ41" s="543"/>
      <c r="SOA41" s="543"/>
      <c r="SOB41" s="543"/>
      <c r="SOC41" s="543"/>
      <c r="SOD41" s="543"/>
      <c r="SOE41" s="543"/>
      <c r="SOF41" s="543"/>
      <c r="SOG41" s="543"/>
      <c r="SOH41" s="543"/>
      <c r="SOI41" s="543"/>
      <c r="SOJ41" s="543"/>
      <c r="SOK41" s="543"/>
      <c r="SOL41" s="543"/>
      <c r="SOM41" s="543"/>
      <c r="SON41" s="543"/>
      <c r="SOO41" s="543"/>
      <c r="SOP41" s="543"/>
      <c r="SOQ41" s="543"/>
      <c r="SOR41" s="543"/>
      <c r="SOS41" s="543"/>
      <c r="SOT41" s="543"/>
      <c r="SOU41" s="543"/>
      <c r="SOV41" s="543"/>
      <c r="SOW41" s="543"/>
      <c r="SOX41" s="543"/>
      <c r="SOY41" s="543"/>
      <c r="SOZ41" s="543"/>
      <c r="SPA41" s="543"/>
      <c r="SPB41" s="543"/>
      <c r="SPC41" s="543"/>
      <c r="SPD41" s="543"/>
      <c r="SPE41" s="543"/>
      <c r="SPF41" s="543"/>
      <c r="SPG41" s="543"/>
      <c r="SPH41" s="543"/>
      <c r="SPI41" s="543"/>
      <c r="SPJ41" s="543"/>
      <c r="SPK41" s="543"/>
      <c r="SPL41" s="543"/>
      <c r="SPM41" s="543"/>
      <c r="SPN41" s="543"/>
      <c r="SPO41" s="543"/>
      <c r="SPP41" s="543"/>
      <c r="SPQ41" s="543"/>
      <c r="SPR41" s="543"/>
      <c r="SPS41" s="543"/>
      <c r="SPT41" s="543"/>
      <c r="SPU41" s="543"/>
      <c r="SPV41" s="543"/>
      <c r="SPW41" s="543"/>
      <c r="SPX41" s="543"/>
      <c r="SPY41" s="543"/>
      <c r="SPZ41" s="543"/>
      <c r="SQA41" s="543"/>
      <c r="SQB41" s="543"/>
      <c r="SQC41" s="543"/>
      <c r="SQD41" s="543"/>
      <c r="SQE41" s="543"/>
      <c r="SQF41" s="543"/>
      <c r="SQG41" s="543"/>
      <c r="SQH41" s="543"/>
      <c r="SQI41" s="543"/>
      <c r="SQJ41" s="543"/>
      <c r="SQK41" s="543"/>
      <c r="SQL41" s="543"/>
      <c r="SQM41" s="543"/>
      <c r="SQN41" s="543"/>
      <c r="SQO41" s="543"/>
      <c r="SQP41" s="543"/>
      <c r="SQQ41" s="543"/>
      <c r="SQR41" s="543"/>
      <c r="SQS41" s="543"/>
      <c r="SQT41" s="543"/>
      <c r="SQU41" s="543"/>
      <c r="SQV41" s="543"/>
      <c r="SQW41" s="543"/>
      <c r="SQX41" s="543"/>
      <c r="SQY41" s="543"/>
      <c r="SQZ41" s="543"/>
      <c r="SRA41" s="543"/>
      <c r="SRB41" s="543"/>
      <c r="SRC41" s="543"/>
      <c r="SRD41" s="543"/>
      <c r="SRE41" s="543"/>
      <c r="SRF41" s="543"/>
      <c r="SRG41" s="543"/>
      <c r="SRH41" s="543"/>
      <c r="SRI41" s="543"/>
      <c r="SRJ41" s="543"/>
      <c r="SRK41" s="543"/>
      <c r="SRL41" s="543"/>
      <c r="SRM41" s="543"/>
      <c r="SRN41" s="543"/>
      <c r="SRO41" s="543"/>
      <c r="SRP41" s="543"/>
      <c r="SRQ41" s="543"/>
      <c r="SRR41" s="543"/>
      <c r="SRS41" s="543"/>
      <c r="SRT41" s="543"/>
      <c r="SRU41" s="543"/>
      <c r="SRV41" s="543"/>
      <c r="SRW41" s="543"/>
      <c r="SRX41" s="543"/>
      <c r="SRY41" s="543"/>
      <c r="SRZ41" s="543"/>
      <c r="SSA41" s="543"/>
      <c r="SSB41" s="543"/>
      <c r="SSC41" s="543"/>
      <c r="SSD41" s="543"/>
      <c r="SSE41" s="543"/>
      <c r="SSF41" s="543"/>
      <c r="SSG41" s="543"/>
      <c r="SSH41" s="543"/>
      <c r="SSI41" s="543"/>
      <c r="SSJ41" s="543"/>
      <c r="SSK41" s="543"/>
      <c r="SSL41" s="543"/>
      <c r="SSM41" s="543"/>
      <c r="SSN41" s="543"/>
      <c r="SSO41" s="543"/>
      <c r="SSP41" s="543"/>
      <c r="SSQ41" s="543"/>
      <c r="SSR41" s="543"/>
      <c r="SSS41" s="543"/>
      <c r="SST41" s="543"/>
      <c r="SSU41" s="543"/>
      <c r="SSV41" s="543"/>
      <c r="SSW41" s="543"/>
      <c r="SSX41" s="543"/>
      <c r="SSY41" s="543"/>
      <c r="SSZ41" s="543"/>
      <c r="STA41" s="543"/>
      <c r="STB41" s="543"/>
      <c r="STC41" s="543"/>
      <c r="STD41" s="543"/>
      <c r="STE41" s="543"/>
      <c r="STF41" s="543"/>
      <c r="STG41" s="543"/>
      <c r="STH41" s="543"/>
      <c r="STI41" s="543"/>
      <c r="STJ41" s="543"/>
      <c r="STK41" s="543"/>
      <c r="STL41" s="543"/>
      <c r="STM41" s="543"/>
      <c r="STN41" s="543"/>
      <c r="STO41" s="543"/>
      <c r="STP41" s="543"/>
      <c r="STQ41" s="543"/>
      <c r="STR41" s="543"/>
      <c r="STS41" s="543"/>
      <c r="STT41" s="543"/>
      <c r="STU41" s="543"/>
      <c r="STV41" s="543"/>
      <c r="STW41" s="543"/>
      <c r="STX41" s="543"/>
      <c r="STY41" s="543"/>
      <c r="STZ41" s="543"/>
      <c r="SUA41" s="543"/>
      <c r="SUB41" s="543"/>
      <c r="SUC41" s="543"/>
      <c r="SUD41" s="543"/>
      <c r="SUE41" s="543"/>
      <c r="SUF41" s="543"/>
      <c r="SUG41" s="543"/>
      <c r="SUH41" s="543"/>
      <c r="SUI41" s="543"/>
      <c r="SUJ41" s="543"/>
      <c r="SUK41" s="543"/>
      <c r="SUL41" s="543"/>
      <c r="SUM41" s="543"/>
      <c r="SUN41" s="543"/>
      <c r="SUO41" s="543"/>
      <c r="SUP41" s="543"/>
      <c r="SUQ41" s="543"/>
      <c r="SUR41" s="543"/>
      <c r="SUS41" s="543"/>
      <c r="SUT41" s="543"/>
      <c r="SUU41" s="543"/>
      <c r="SUV41" s="543"/>
      <c r="SUW41" s="543"/>
      <c r="SUX41" s="543"/>
      <c r="SUY41" s="543"/>
      <c r="SUZ41" s="543"/>
      <c r="SVA41" s="543"/>
      <c r="SVB41" s="543"/>
      <c r="SVC41" s="543"/>
      <c r="SVD41" s="543"/>
      <c r="SVE41" s="543"/>
      <c r="SVF41" s="543"/>
      <c r="SVG41" s="543"/>
      <c r="SVH41" s="543"/>
      <c r="SVI41" s="543"/>
      <c r="SVJ41" s="543"/>
      <c r="SVK41" s="543"/>
      <c r="SVL41" s="543"/>
      <c r="SVM41" s="543"/>
      <c r="SVN41" s="543"/>
      <c r="SVO41" s="543"/>
      <c r="SVP41" s="543"/>
      <c r="SVQ41" s="543"/>
      <c r="SVR41" s="543"/>
      <c r="SVS41" s="543"/>
      <c r="SVT41" s="543"/>
      <c r="SVU41" s="543"/>
      <c r="SVV41" s="543"/>
      <c r="SVW41" s="543"/>
      <c r="SVX41" s="543"/>
      <c r="SVY41" s="543"/>
      <c r="SVZ41" s="543"/>
      <c r="SWA41" s="543"/>
      <c r="SWB41" s="543"/>
      <c r="SWC41" s="543"/>
      <c r="SWD41" s="543"/>
      <c r="SWE41" s="543"/>
      <c r="SWF41" s="543"/>
      <c r="SWG41" s="543"/>
      <c r="SWH41" s="543"/>
      <c r="SWI41" s="543"/>
      <c r="SWJ41" s="543"/>
      <c r="SWK41" s="543"/>
      <c r="SWL41" s="543"/>
      <c r="SWM41" s="543"/>
      <c r="SWN41" s="543"/>
      <c r="SWO41" s="543"/>
      <c r="SWP41" s="543"/>
      <c r="SWQ41" s="543"/>
      <c r="SWR41" s="543"/>
      <c r="SWS41" s="543"/>
      <c r="SWT41" s="543"/>
      <c r="SWU41" s="543"/>
      <c r="SWV41" s="543"/>
      <c r="SWW41" s="543"/>
      <c r="SWX41" s="543"/>
      <c r="SWY41" s="543"/>
      <c r="SWZ41" s="543"/>
      <c r="SXA41" s="543"/>
      <c r="SXB41" s="543"/>
      <c r="SXC41" s="543"/>
      <c r="SXD41" s="543"/>
      <c r="SXE41" s="543"/>
      <c r="SXF41" s="543"/>
      <c r="SXG41" s="543"/>
      <c r="SXH41" s="543"/>
      <c r="SXI41" s="543"/>
      <c r="SXJ41" s="543"/>
      <c r="SXK41" s="543"/>
      <c r="SXL41" s="543"/>
      <c r="SXM41" s="543"/>
      <c r="SXN41" s="543"/>
      <c r="SXO41" s="543"/>
      <c r="SXP41" s="543"/>
      <c r="SXQ41" s="543"/>
      <c r="SXR41" s="543"/>
      <c r="SXS41" s="543"/>
      <c r="SXT41" s="543"/>
      <c r="SXU41" s="543"/>
      <c r="SXV41" s="543"/>
      <c r="SXW41" s="543"/>
      <c r="SXX41" s="543"/>
      <c r="SXY41" s="543"/>
      <c r="SXZ41" s="543"/>
      <c r="SYA41" s="543"/>
      <c r="SYB41" s="543"/>
      <c r="SYC41" s="543"/>
      <c r="SYD41" s="543"/>
      <c r="SYE41" s="543"/>
      <c r="SYF41" s="543"/>
      <c r="SYG41" s="543"/>
      <c r="SYH41" s="543"/>
      <c r="SYI41" s="543"/>
      <c r="SYJ41" s="543"/>
      <c r="SYK41" s="543"/>
      <c r="SYL41" s="543"/>
      <c r="SYM41" s="543"/>
      <c r="SYN41" s="543"/>
      <c r="SYO41" s="543"/>
      <c r="SYP41" s="543"/>
      <c r="SYQ41" s="543"/>
      <c r="SYR41" s="543"/>
      <c r="SYS41" s="543"/>
      <c r="SYT41" s="543"/>
      <c r="SYU41" s="543"/>
      <c r="SYV41" s="543"/>
      <c r="SYW41" s="543"/>
      <c r="SYX41" s="543"/>
      <c r="SYY41" s="543"/>
      <c r="SYZ41" s="543"/>
      <c r="SZA41" s="543"/>
      <c r="SZB41" s="543"/>
      <c r="SZC41" s="543"/>
      <c r="SZD41" s="543"/>
      <c r="SZE41" s="543"/>
      <c r="SZF41" s="543"/>
      <c r="SZG41" s="543"/>
      <c r="SZH41" s="543"/>
      <c r="SZI41" s="543"/>
      <c r="SZJ41" s="543"/>
      <c r="SZK41" s="543"/>
      <c r="SZL41" s="543"/>
      <c r="SZM41" s="543"/>
      <c r="SZN41" s="543"/>
      <c r="SZO41" s="543"/>
      <c r="SZP41" s="543"/>
      <c r="SZQ41" s="543"/>
      <c r="SZR41" s="543"/>
      <c r="SZS41" s="543"/>
      <c r="SZT41" s="543"/>
      <c r="SZU41" s="543"/>
      <c r="SZV41" s="543"/>
      <c r="SZW41" s="543"/>
      <c r="SZX41" s="543"/>
      <c r="SZY41" s="543"/>
      <c r="SZZ41" s="543"/>
      <c r="TAA41" s="543"/>
      <c r="TAB41" s="543"/>
      <c r="TAC41" s="543"/>
      <c r="TAD41" s="543"/>
      <c r="TAE41" s="543"/>
      <c r="TAF41" s="543"/>
      <c r="TAG41" s="543"/>
      <c r="TAH41" s="543"/>
      <c r="TAI41" s="543"/>
      <c r="TAJ41" s="543"/>
      <c r="TAK41" s="543"/>
      <c r="TAL41" s="543"/>
      <c r="TAM41" s="543"/>
      <c r="TAN41" s="543"/>
      <c r="TAO41" s="543"/>
      <c r="TAP41" s="543"/>
      <c r="TAQ41" s="543"/>
      <c r="TAR41" s="543"/>
      <c r="TAS41" s="543"/>
      <c r="TAT41" s="543"/>
      <c r="TAU41" s="543"/>
      <c r="TAV41" s="543"/>
      <c r="TAW41" s="543"/>
      <c r="TAX41" s="543"/>
      <c r="TAY41" s="543"/>
      <c r="TAZ41" s="543"/>
      <c r="TBA41" s="543"/>
      <c r="TBB41" s="543"/>
      <c r="TBC41" s="543"/>
      <c r="TBD41" s="543"/>
      <c r="TBE41" s="543"/>
      <c r="TBF41" s="543"/>
      <c r="TBG41" s="543"/>
      <c r="TBH41" s="543"/>
      <c r="TBI41" s="543"/>
      <c r="TBJ41" s="543"/>
      <c r="TBK41" s="543"/>
      <c r="TBL41" s="543"/>
      <c r="TBM41" s="543"/>
      <c r="TBN41" s="543"/>
      <c r="TBO41" s="543"/>
      <c r="TBP41" s="543"/>
      <c r="TBQ41" s="543"/>
      <c r="TBR41" s="543"/>
      <c r="TBS41" s="543"/>
      <c r="TBT41" s="543"/>
      <c r="TBU41" s="543"/>
      <c r="TBV41" s="543"/>
      <c r="TBW41" s="543"/>
      <c r="TBX41" s="543"/>
      <c r="TBY41" s="543"/>
      <c r="TBZ41" s="543"/>
      <c r="TCA41" s="543"/>
      <c r="TCB41" s="543"/>
      <c r="TCC41" s="543"/>
      <c r="TCD41" s="543"/>
      <c r="TCE41" s="543"/>
      <c r="TCF41" s="543"/>
      <c r="TCG41" s="543"/>
      <c r="TCH41" s="543"/>
      <c r="TCI41" s="543"/>
      <c r="TCJ41" s="543"/>
      <c r="TCK41" s="543"/>
      <c r="TCL41" s="543"/>
      <c r="TCM41" s="543"/>
      <c r="TCN41" s="543"/>
      <c r="TCO41" s="543"/>
      <c r="TCP41" s="543"/>
      <c r="TCQ41" s="543"/>
      <c r="TCR41" s="543"/>
      <c r="TCS41" s="543"/>
      <c r="TCT41" s="543"/>
      <c r="TCU41" s="543"/>
      <c r="TCV41" s="543"/>
      <c r="TCW41" s="543"/>
      <c r="TCX41" s="543"/>
      <c r="TCY41" s="543"/>
      <c r="TCZ41" s="543"/>
      <c r="TDA41" s="543"/>
      <c r="TDB41" s="543"/>
      <c r="TDC41" s="543"/>
      <c r="TDD41" s="543"/>
      <c r="TDE41" s="543"/>
      <c r="TDF41" s="543"/>
      <c r="TDG41" s="543"/>
      <c r="TDH41" s="543"/>
      <c r="TDI41" s="543"/>
      <c r="TDJ41" s="543"/>
      <c r="TDK41" s="543"/>
      <c r="TDL41" s="543"/>
      <c r="TDM41" s="543"/>
      <c r="TDN41" s="543"/>
      <c r="TDO41" s="543"/>
      <c r="TDP41" s="543"/>
      <c r="TDQ41" s="543"/>
      <c r="TDR41" s="543"/>
      <c r="TDS41" s="543"/>
      <c r="TDT41" s="543"/>
      <c r="TDU41" s="543"/>
      <c r="TDV41" s="543"/>
      <c r="TDW41" s="543"/>
      <c r="TDX41" s="543"/>
      <c r="TDY41" s="543"/>
      <c r="TDZ41" s="543"/>
      <c r="TEA41" s="543"/>
      <c r="TEB41" s="543"/>
      <c r="TEC41" s="543"/>
      <c r="TED41" s="543"/>
      <c r="TEE41" s="543"/>
      <c r="TEF41" s="543"/>
      <c r="TEG41" s="543"/>
      <c r="TEH41" s="543"/>
      <c r="TEI41" s="543"/>
      <c r="TEJ41" s="543"/>
      <c r="TEK41" s="543"/>
      <c r="TEL41" s="543"/>
      <c r="TEM41" s="543"/>
      <c r="TEN41" s="543"/>
      <c r="TEO41" s="543"/>
      <c r="TEP41" s="543"/>
      <c r="TEQ41" s="543"/>
      <c r="TER41" s="543"/>
      <c r="TES41" s="543"/>
      <c r="TET41" s="543"/>
      <c r="TEU41" s="543"/>
      <c r="TEV41" s="543"/>
      <c r="TEW41" s="543"/>
      <c r="TEX41" s="543"/>
      <c r="TEY41" s="543"/>
      <c r="TEZ41" s="543"/>
      <c r="TFA41" s="543"/>
      <c r="TFB41" s="543"/>
      <c r="TFC41" s="543"/>
      <c r="TFD41" s="543"/>
      <c r="TFE41" s="543"/>
      <c r="TFF41" s="543"/>
      <c r="TFG41" s="543"/>
      <c r="TFH41" s="543"/>
      <c r="TFI41" s="543"/>
      <c r="TFJ41" s="543"/>
      <c r="TFK41" s="543"/>
      <c r="TFL41" s="543"/>
      <c r="TFM41" s="543"/>
      <c r="TFN41" s="543"/>
      <c r="TFO41" s="543"/>
      <c r="TFP41" s="543"/>
      <c r="TFQ41" s="543"/>
      <c r="TFR41" s="543"/>
      <c r="TFS41" s="543"/>
      <c r="TFT41" s="543"/>
      <c r="TFU41" s="543"/>
      <c r="TFV41" s="543"/>
      <c r="TFW41" s="543"/>
      <c r="TFX41" s="543"/>
      <c r="TFY41" s="543"/>
      <c r="TFZ41" s="543"/>
      <c r="TGA41" s="543"/>
      <c r="TGB41" s="543"/>
      <c r="TGC41" s="543"/>
      <c r="TGD41" s="543"/>
      <c r="TGE41" s="543"/>
      <c r="TGF41" s="543"/>
      <c r="TGG41" s="543"/>
      <c r="TGH41" s="543"/>
      <c r="TGI41" s="543"/>
      <c r="TGJ41" s="543"/>
      <c r="TGK41" s="543"/>
      <c r="TGL41" s="543"/>
      <c r="TGM41" s="543"/>
      <c r="TGN41" s="543"/>
      <c r="TGO41" s="543"/>
      <c r="TGP41" s="543"/>
      <c r="TGQ41" s="543"/>
      <c r="TGR41" s="543"/>
      <c r="TGS41" s="543"/>
      <c r="TGT41" s="543"/>
      <c r="TGU41" s="543"/>
      <c r="TGV41" s="543"/>
      <c r="TGW41" s="543"/>
      <c r="TGX41" s="543"/>
      <c r="TGY41" s="543"/>
      <c r="TGZ41" s="543"/>
      <c r="THA41" s="543"/>
      <c r="THB41" s="543"/>
      <c r="THC41" s="543"/>
      <c r="THD41" s="543"/>
      <c r="THE41" s="543"/>
      <c r="THF41" s="543"/>
      <c r="THG41" s="543"/>
      <c r="THH41" s="543"/>
      <c r="THI41" s="543"/>
      <c r="THJ41" s="543"/>
      <c r="THK41" s="543"/>
      <c r="THL41" s="543"/>
      <c r="THM41" s="543"/>
      <c r="THN41" s="543"/>
      <c r="THO41" s="543"/>
      <c r="THP41" s="543"/>
      <c r="THQ41" s="543"/>
      <c r="THR41" s="543"/>
      <c r="THS41" s="543"/>
      <c r="THT41" s="543"/>
      <c r="THU41" s="543"/>
      <c r="THV41" s="543"/>
      <c r="THW41" s="543"/>
      <c r="THX41" s="543"/>
      <c r="THY41" s="543"/>
      <c r="THZ41" s="543"/>
      <c r="TIA41" s="543"/>
      <c r="TIB41" s="543"/>
      <c r="TIC41" s="543"/>
      <c r="TID41" s="543"/>
      <c r="TIE41" s="543"/>
      <c r="TIF41" s="543"/>
      <c r="TIG41" s="543"/>
      <c r="TIH41" s="543"/>
      <c r="TII41" s="543"/>
      <c r="TIJ41" s="543"/>
      <c r="TIK41" s="543"/>
      <c r="TIL41" s="543"/>
      <c r="TIM41" s="543"/>
      <c r="TIN41" s="543"/>
      <c r="TIO41" s="543"/>
      <c r="TIP41" s="543"/>
      <c r="TIQ41" s="543"/>
      <c r="TIR41" s="543"/>
      <c r="TIS41" s="543"/>
      <c r="TIT41" s="543"/>
      <c r="TIU41" s="543"/>
      <c r="TIV41" s="543"/>
      <c r="TIW41" s="543"/>
      <c r="TIX41" s="543"/>
      <c r="TIY41" s="543"/>
      <c r="TIZ41" s="543"/>
      <c r="TJA41" s="543"/>
      <c r="TJB41" s="543"/>
      <c r="TJC41" s="543"/>
      <c r="TJD41" s="543"/>
      <c r="TJE41" s="543"/>
      <c r="TJF41" s="543"/>
      <c r="TJG41" s="543"/>
      <c r="TJH41" s="543"/>
      <c r="TJI41" s="543"/>
      <c r="TJJ41" s="543"/>
      <c r="TJK41" s="543"/>
      <c r="TJL41" s="543"/>
      <c r="TJM41" s="543"/>
      <c r="TJN41" s="543"/>
      <c r="TJO41" s="543"/>
      <c r="TJP41" s="543"/>
      <c r="TJQ41" s="543"/>
      <c r="TJR41" s="543"/>
      <c r="TJS41" s="543"/>
      <c r="TJT41" s="543"/>
      <c r="TJU41" s="543"/>
      <c r="TJV41" s="543"/>
      <c r="TJW41" s="543"/>
      <c r="TJX41" s="543"/>
      <c r="TJY41" s="543"/>
      <c r="TJZ41" s="543"/>
      <c r="TKA41" s="543"/>
      <c r="TKB41" s="543"/>
      <c r="TKC41" s="543"/>
      <c r="TKD41" s="543"/>
      <c r="TKE41" s="543"/>
      <c r="TKF41" s="543"/>
      <c r="TKG41" s="543"/>
      <c r="TKH41" s="543"/>
      <c r="TKI41" s="543"/>
      <c r="TKJ41" s="543"/>
      <c r="TKK41" s="543"/>
      <c r="TKL41" s="543"/>
      <c r="TKM41" s="543"/>
      <c r="TKN41" s="543"/>
      <c r="TKO41" s="543"/>
      <c r="TKP41" s="543"/>
      <c r="TKQ41" s="543"/>
      <c r="TKR41" s="543"/>
      <c r="TKS41" s="543"/>
      <c r="TKT41" s="543"/>
      <c r="TKU41" s="543"/>
      <c r="TKV41" s="543"/>
      <c r="TKW41" s="543"/>
      <c r="TKX41" s="543"/>
      <c r="TKY41" s="543"/>
      <c r="TKZ41" s="543"/>
      <c r="TLA41" s="543"/>
      <c r="TLB41" s="543"/>
      <c r="TLC41" s="543"/>
      <c r="TLD41" s="543"/>
      <c r="TLE41" s="543"/>
      <c r="TLF41" s="543"/>
      <c r="TLG41" s="543"/>
      <c r="TLH41" s="543"/>
      <c r="TLI41" s="543"/>
      <c r="TLJ41" s="543"/>
      <c r="TLK41" s="543"/>
      <c r="TLL41" s="543"/>
      <c r="TLM41" s="543"/>
      <c r="TLN41" s="543"/>
      <c r="TLO41" s="543"/>
      <c r="TLP41" s="543"/>
      <c r="TLQ41" s="543"/>
      <c r="TLR41" s="543"/>
      <c r="TLS41" s="543"/>
      <c r="TLT41" s="543"/>
      <c r="TLU41" s="543"/>
      <c r="TLV41" s="543"/>
      <c r="TLW41" s="543"/>
      <c r="TLX41" s="543"/>
      <c r="TLY41" s="543"/>
      <c r="TLZ41" s="543"/>
      <c r="TMA41" s="543"/>
      <c r="TMB41" s="543"/>
      <c r="TMC41" s="543"/>
      <c r="TMD41" s="543"/>
      <c r="TME41" s="543"/>
      <c r="TMF41" s="543"/>
      <c r="TMG41" s="543"/>
      <c r="TMH41" s="543"/>
      <c r="TMI41" s="543"/>
      <c r="TMJ41" s="543"/>
      <c r="TMK41" s="543"/>
      <c r="TML41" s="543"/>
      <c r="TMM41" s="543"/>
      <c r="TMN41" s="543"/>
      <c r="TMO41" s="543"/>
      <c r="TMP41" s="543"/>
      <c r="TMQ41" s="543"/>
      <c r="TMR41" s="543"/>
      <c r="TMS41" s="543"/>
      <c r="TMT41" s="543"/>
      <c r="TMU41" s="543"/>
      <c r="TMV41" s="543"/>
      <c r="TMW41" s="543"/>
      <c r="TMX41" s="543"/>
      <c r="TMY41" s="543"/>
      <c r="TMZ41" s="543"/>
      <c r="TNA41" s="543"/>
      <c r="TNB41" s="543"/>
      <c r="TNC41" s="543"/>
      <c r="TND41" s="543"/>
      <c r="TNE41" s="543"/>
      <c r="TNF41" s="543"/>
      <c r="TNG41" s="543"/>
      <c r="TNH41" s="543"/>
      <c r="TNI41" s="543"/>
      <c r="TNJ41" s="543"/>
      <c r="TNK41" s="543"/>
      <c r="TNL41" s="543"/>
      <c r="TNM41" s="543"/>
      <c r="TNN41" s="543"/>
      <c r="TNO41" s="543"/>
      <c r="TNP41" s="543"/>
      <c r="TNQ41" s="543"/>
      <c r="TNR41" s="543"/>
      <c r="TNS41" s="543"/>
      <c r="TNT41" s="543"/>
      <c r="TNU41" s="543"/>
      <c r="TNV41" s="543"/>
      <c r="TNW41" s="543"/>
      <c r="TNX41" s="543"/>
      <c r="TNY41" s="543"/>
      <c r="TNZ41" s="543"/>
      <c r="TOA41" s="543"/>
      <c r="TOB41" s="543"/>
      <c r="TOC41" s="543"/>
      <c r="TOD41" s="543"/>
      <c r="TOE41" s="543"/>
      <c r="TOF41" s="543"/>
      <c r="TOG41" s="543"/>
      <c r="TOH41" s="543"/>
      <c r="TOI41" s="543"/>
      <c r="TOJ41" s="543"/>
      <c r="TOK41" s="543"/>
      <c r="TOL41" s="543"/>
      <c r="TOM41" s="543"/>
      <c r="TON41" s="543"/>
      <c r="TOO41" s="543"/>
      <c r="TOP41" s="543"/>
      <c r="TOQ41" s="543"/>
      <c r="TOR41" s="543"/>
      <c r="TOS41" s="543"/>
      <c r="TOT41" s="543"/>
      <c r="TOU41" s="543"/>
      <c r="TOV41" s="543"/>
      <c r="TOW41" s="543"/>
      <c r="TOX41" s="543"/>
      <c r="TOY41" s="543"/>
      <c r="TOZ41" s="543"/>
      <c r="TPA41" s="543"/>
      <c r="TPB41" s="543"/>
      <c r="TPC41" s="543"/>
      <c r="TPD41" s="543"/>
      <c r="TPE41" s="543"/>
      <c r="TPF41" s="543"/>
      <c r="TPG41" s="543"/>
      <c r="TPH41" s="543"/>
      <c r="TPI41" s="543"/>
      <c r="TPJ41" s="543"/>
      <c r="TPK41" s="543"/>
      <c r="TPL41" s="543"/>
      <c r="TPM41" s="543"/>
      <c r="TPN41" s="543"/>
      <c r="TPO41" s="543"/>
      <c r="TPP41" s="543"/>
      <c r="TPQ41" s="543"/>
      <c r="TPR41" s="543"/>
      <c r="TPS41" s="543"/>
      <c r="TPT41" s="543"/>
      <c r="TPU41" s="543"/>
      <c r="TPV41" s="543"/>
      <c r="TPW41" s="543"/>
      <c r="TPX41" s="543"/>
      <c r="TPY41" s="543"/>
      <c r="TPZ41" s="543"/>
      <c r="TQA41" s="543"/>
      <c r="TQB41" s="543"/>
      <c r="TQC41" s="543"/>
      <c r="TQD41" s="543"/>
      <c r="TQE41" s="543"/>
      <c r="TQF41" s="543"/>
      <c r="TQG41" s="543"/>
      <c r="TQH41" s="543"/>
      <c r="TQI41" s="543"/>
      <c r="TQJ41" s="543"/>
      <c r="TQK41" s="543"/>
      <c r="TQL41" s="543"/>
      <c r="TQM41" s="543"/>
      <c r="TQN41" s="543"/>
      <c r="TQO41" s="543"/>
      <c r="TQP41" s="543"/>
      <c r="TQQ41" s="543"/>
      <c r="TQR41" s="543"/>
      <c r="TQS41" s="543"/>
      <c r="TQT41" s="543"/>
      <c r="TQU41" s="543"/>
      <c r="TQV41" s="543"/>
      <c r="TQW41" s="543"/>
      <c r="TQX41" s="543"/>
      <c r="TQY41" s="543"/>
      <c r="TQZ41" s="543"/>
      <c r="TRA41" s="543"/>
      <c r="TRB41" s="543"/>
      <c r="TRC41" s="543"/>
      <c r="TRD41" s="543"/>
      <c r="TRE41" s="543"/>
      <c r="TRF41" s="543"/>
      <c r="TRG41" s="543"/>
      <c r="TRH41" s="543"/>
      <c r="TRI41" s="543"/>
      <c r="TRJ41" s="543"/>
      <c r="TRK41" s="543"/>
      <c r="TRL41" s="543"/>
      <c r="TRM41" s="543"/>
      <c r="TRN41" s="543"/>
      <c r="TRO41" s="543"/>
      <c r="TRP41" s="543"/>
      <c r="TRQ41" s="543"/>
      <c r="TRR41" s="543"/>
      <c r="TRS41" s="543"/>
      <c r="TRT41" s="543"/>
      <c r="TRU41" s="543"/>
      <c r="TRV41" s="543"/>
      <c r="TRW41" s="543"/>
      <c r="TRX41" s="543"/>
      <c r="TRY41" s="543"/>
      <c r="TRZ41" s="543"/>
      <c r="TSA41" s="543"/>
      <c r="TSB41" s="543"/>
      <c r="TSC41" s="543"/>
      <c r="TSD41" s="543"/>
      <c r="TSE41" s="543"/>
      <c r="TSF41" s="543"/>
      <c r="TSG41" s="543"/>
      <c r="TSH41" s="543"/>
      <c r="TSI41" s="543"/>
      <c r="TSJ41" s="543"/>
      <c r="TSK41" s="543"/>
      <c r="TSL41" s="543"/>
      <c r="TSM41" s="543"/>
      <c r="TSN41" s="543"/>
      <c r="TSO41" s="543"/>
      <c r="TSP41" s="543"/>
      <c r="TSQ41" s="543"/>
      <c r="TSR41" s="543"/>
      <c r="TSS41" s="543"/>
      <c r="TST41" s="543"/>
      <c r="TSU41" s="543"/>
      <c r="TSV41" s="543"/>
      <c r="TSW41" s="543"/>
      <c r="TSX41" s="543"/>
      <c r="TSY41" s="543"/>
      <c r="TSZ41" s="543"/>
      <c r="TTA41" s="543"/>
      <c r="TTB41" s="543"/>
      <c r="TTC41" s="543"/>
      <c r="TTD41" s="543"/>
      <c r="TTE41" s="543"/>
      <c r="TTF41" s="543"/>
      <c r="TTG41" s="543"/>
      <c r="TTH41" s="543"/>
      <c r="TTI41" s="543"/>
      <c r="TTJ41" s="543"/>
      <c r="TTK41" s="543"/>
      <c r="TTL41" s="543"/>
      <c r="TTM41" s="543"/>
      <c r="TTN41" s="543"/>
      <c r="TTO41" s="543"/>
      <c r="TTP41" s="543"/>
      <c r="TTQ41" s="543"/>
      <c r="TTR41" s="543"/>
      <c r="TTS41" s="543"/>
      <c r="TTT41" s="543"/>
      <c r="TTU41" s="543"/>
      <c r="TTV41" s="543"/>
      <c r="TTW41" s="543"/>
      <c r="TTX41" s="543"/>
      <c r="TTY41" s="543"/>
      <c r="TTZ41" s="543"/>
      <c r="TUA41" s="543"/>
      <c r="TUB41" s="543"/>
      <c r="TUC41" s="543"/>
      <c r="TUD41" s="543"/>
      <c r="TUE41" s="543"/>
      <c r="TUF41" s="543"/>
      <c r="TUG41" s="543"/>
      <c r="TUH41" s="543"/>
      <c r="TUI41" s="543"/>
      <c r="TUJ41" s="543"/>
      <c r="TUK41" s="543"/>
      <c r="TUL41" s="543"/>
      <c r="TUM41" s="543"/>
      <c r="TUN41" s="543"/>
      <c r="TUO41" s="543"/>
      <c r="TUP41" s="543"/>
      <c r="TUQ41" s="543"/>
      <c r="TUR41" s="543"/>
      <c r="TUS41" s="543"/>
      <c r="TUT41" s="543"/>
      <c r="TUU41" s="543"/>
      <c r="TUV41" s="543"/>
      <c r="TUW41" s="543"/>
      <c r="TUX41" s="543"/>
      <c r="TUY41" s="543"/>
      <c r="TUZ41" s="543"/>
      <c r="TVA41" s="543"/>
      <c r="TVB41" s="543"/>
      <c r="TVC41" s="543"/>
      <c r="TVD41" s="543"/>
      <c r="TVE41" s="543"/>
      <c r="TVF41" s="543"/>
      <c r="TVG41" s="543"/>
      <c r="TVH41" s="543"/>
      <c r="TVI41" s="543"/>
      <c r="TVJ41" s="543"/>
      <c r="TVK41" s="543"/>
      <c r="TVL41" s="543"/>
      <c r="TVM41" s="543"/>
      <c r="TVN41" s="543"/>
      <c r="TVO41" s="543"/>
      <c r="TVP41" s="543"/>
      <c r="TVQ41" s="543"/>
      <c r="TVR41" s="543"/>
      <c r="TVS41" s="543"/>
      <c r="TVT41" s="543"/>
      <c r="TVU41" s="543"/>
      <c r="TVV41" s="543"/>
      <c r="TVW41" s="543"/>
      <c r="TVX41" s="543"/>
      <c r="TVY41" s="543"/>
      <c r="TVZ41" s="543"/>
      <c r="TWA41" s="543"/>
      <c r="TWB41" s="543"/>
      <c r="TWC41" s="543"/>
      <c r="TWD41" s="543"/>
      <c r="TWE41" s="543"/>
      <c r="TWF41" s="543"/>
      <c r="TWG41" s="543"/>
      <c r="TWH41" s="543"/>
      <c r="TWI41" s="543"/>
      <c r="TWJ41" s="543"/>
      <c r="TWK41" s="543"/>
      <c r="TWL41" s="543"/>
      <c r="TWM41" s="543"/>
      <c r="TWN41" s="543"/>
      <c r="TWO41" s="543"/>
      <c r="TWP41" s="543"/>
      <c r="TWQ41" s="543"/>
      <c r="TWR41" s="543"/>
      <c r="TWS41" s="543"/>
      <c r="TWT41" s="543"/>
      <c r="TWU41" s="543"/>
      <c r="TWV41" s="543"/>
      <c r="TWW41" s="543"/>
      <c r="TWX41" s="543"/>
      <c r="TWY41" s="543"/>
      <c r="TWZ41" s="543"/>
      <c r="TXA41" s="543"/>
      <c r="TXB41" s="543"/>
      <c r="TXC41" s="543"/>
      <c r="TXD41" s="543"/>
      <c r="TXE41" s="543"/>
      <c r="TXF41" s="543"/>
      <c r="TXG41" s="543"/>
      <c r="TXH41" s="543"/>
      <c r="TXI41" s="543"/>
      <c r="TXJ41" s="543"/>
      <c r="TXK41" s="543"/>
      <c r="TXL41" s="543"/>
      <c r="TXM41" s="543"/>
      <c r="TXN41" s="543"/>
      <c r="TXO41" s="543"/>
      <c r="TXP41" s="543"/>
      <c r="TXQ41" s="543"/>
      <c r="TXR41" s="543"/>
      <c r="TXS41" s="543"/>
      <c r="TXT41" s="543"/>
      <c r="TXU41" s="543"/>
      <c r="TXV41" s="543"/>
      <c r="TXW41" s="543"/>
      <c r="TXX41" s="543"/>
      <c r="TXY41" s="543"/>
      <c r="TXZ41" s="543"/>
      <c r="TYA41" s="543"/>
      <c r="TYB41" s="543"/>
      <c r="TYC41" s="543"/>
      <c r="TYD41" s="543"/>
      <c r="TYE41" s="543"/>
      <c r="TYF41" s="543"/>
      <c r="TYG41" s="543"/>
      <c r="TYH41" s="543"/>
      <c r="TYI41" s="543"/>
      <c r="TYJ41" s="543"/>
      <c r="TYK41" s="543"/>
      <c r="TYL41" s="543"/>
      <c r="TYM41" s="543"/>
      <c r="TYN41" s="543"/>
      <c r="TYO41" s="543"/>
      <c r="TYP41" s="543"/>
      <c r="TYQ41" s="543"/>
      <c r="TYR41" s="543"/>
      <c r="TYS41" s="543"/>
      <c r="TYT41" s="543"/>
      <c r="TYU41" s="543"/>
      <c r="TYV41" s="543"/>
      <c r="TYW41" s="543"/>
      <c r="TYX41" s="543"/>
      <c r="TYY41" s="543"/>
      <c r="TYZ41" s="543"/>
      <c r="TZA41" s="543"/>
      <c r="TZB41" s="543"/>
      <c r="TZC41" s="543"/>
      <c r="TZD41" s="543"/>
      <c r="TZE41" s="543"/>
      <c r="TZF41" s="543"/>
      <c r="TZG41" s="543"/>
      <c r="TZH41" s="543"/>
      <c r="TZI41" s="543"/>
      <c r="TZJ41" s="543"/>
      <c r="TZK41" s="543"/>
      <c r="TZL41" s="543"/>
      <c r="TZM41" s="543"/>
      <c r="TZN41" s="543"/>
      <c r="TZO41" s="543"/>
      <c r="TZP41" s="543"/>
      <c r="TZQ41" s="543"/>
      <c r="TZR41" s="543"/>
      <c r="TZS41" s="543"/>
      <c r="TZT41" s="543"/>
      <c r="TZU41" s="543"/>
      <c r="TZV41" s="543"/>
      <c r="TZW41" s="543"/>
      <c r="TZX41" s="543"/>
      <c r="TZY41" s="543"/>
      <c r="TZZ41" s="543"/>
      <c r="UAA41" s="543"/>
      <c r="UAB41" s="543"/>
      <c r="UAC41" s="543"/>
      <c r="UAD41" s="543"/>
      <c r="UAE41" s="543"/>
      <c r="UAF41" s="543"/>
      <c r="UAG41" s="543"/>
      <c r="UAH41" s="543"/>
      <c r="UAI41" s="543"/>
      <c r="UAJ41" s="543"/>
      <c r="UAK41" s="543"/>
      <c r="UAL41" s="543"/>
      <c r="UAM41" s="543"/>
      <c r="UAN41" s="543"/>
      <c r="UAO41" s="543"/>
      <c r="UAP41" s="543"/>
      <c r="UAQ41" s="543"/>
      <c r="UAR41" s="543"/>
      <c r="UAS41" s="543"/>
      <c r="UAT41" s="543"/>
      <c r="UAU41" s="543"/>
      <c r="UAV41" s="543"/>
      <c r="UAW41" s="543"/>
      <c r="UAX41" s="543"/>
      <c r="UAY41" s="543"/>
      <c r="UAZ41" s="543"/>
      <c r="UBA41" s="543"/>
      <c r="UBB41" s="543"/>
      <c r="UBC41" s="543"/>
      <c r="UBD41" s="543"/>
      <c r="UBE41" s="543"/>
      <c r="UBF41" s="543"/>
      <c r="UBG41" s="543"/>
      <c r="UBH41" s="543"/>
      <c r="UBI41" s="543"/>
      <c r="UBJ41" s="543"/>
      <c r="UBK41" s="543"/>
      <c r="UBL41" s="543"/>
      <c r="UBM41" s="543"/>
      <c r="UBN41" s="543"/>
      <c r="UBO41" s="543"/>
      <c r="UBP41" s="543"/>
      <c r="UBQ41" s="543"/>
      <c r="UBR41" s="543"/>
      <c r="UBS41" s="543"/>
      <c r="UBT41" s="543"/>
      <c r="UBU41" s="543"/>
      <c r="UBV41" s="543"/>
      <c r="UBW41" s="543"/>
      <c r="UBX41" s="543"/>
      <c r="UBY41" s="543"/>
      <c r="UBZ41" s="543"/>
      <c r="UCA41" s="543"/>
      <c r="UCB41" s="543"/>
      <c r="UCC41" s="543"/>
      <c r="UCD41" s="543"/>
      <c r="UCE41" s="543"/>
      <c r="UCF41" s="543"/>
      <c r="UCG41" s="543"/>
      <c r="UCH41" s="543"/>
      <c r="UCI41" s="543"/>
      <c r="UCJ41" s="543"/>
      <c r="UCK41" s="543"/>
      <c r="UCL41" s="543"/>
      <c r="UCM41" s="543"/>
      <c r="UCN41" s="543"/>
      <c r="UCO41" s="543"/>
      <c r="UCP41" s="543"/>
      <c r="UCQ41" s="543"/>
      <c r="UCR41" s="543"/>
      <c r="UCS41" s="543"/>
      <c r="UCT41" s="543"/>
      <c r="UCU41" s="543"/>
      <c r="UCV41" s="543"/>
      <c r="UCW41" s="543"/>
      <c r="UCX41" s="543"/>
      <c r="UCY41" s="543"/>
      <c r="UCZ41" s="543"/>
      <c r="UDA41" s="543"/>
      <c r="UDB41" s="543"/>
      <c r="UDC41" s="543"/>
      <c r="UDD41" s="543"/>
      <c r="UDE41" s="543"/>
      <c r="UDF41" s="543"/>
      <c r="UDG41" s="543"/>
      <c r="UDH41" s="543"/>
      <c r="UDI41" s="543"/>
      <c r="UDJ41" s="543"/>
      <c r="UDK41" s="543"/>
      <c r="UDL41" s="543"/>
      <c r="UDM41" s="543"/>
      <c r="UDN41" s="543"/>
      <c r="UDO41" s="543"/>
      <c r="UDP41" s="543"/>
      <c r="UDQ41" s="543"/>
      <c r="UDR41" s="543"/>
      <c r="UDS41" s="543"/>
      <c r="UDT41" s="543"/>
      <c r="UDU41" s="543"/>
      <c r="UDV41" s="543"/>
      <c r="UDW41" s="543"/>
      <c r="UDX41" s="543"/>
      <c r="UDY41" s="543"/>
      <c r="UDZ41" s="543"/>
      <c r="UEA41" s="543"/>
      <c r="UEB41" s="543"/>
      <c r="UEC41" s="543"/>
      <c r="UED41" s="543"/>
      <c r="UEE41" s="543"/>
      <c r="UEF41" s="543"/>
      <c r="UEG41" s="543"/>
      <c r="UEH41" s="543"/>
      <c r="UEI41" s="543"/>
      <c r="UEJ41" s="543"/>
      <c r="UEK41" s="543"/>
      <c r="UEL41" s="543"/>
      <c r="UEM41" s="543"/>
      <c r="UEN41" s="543"/>
      <c r="UEO41" s="543"/>
      <c r="UEP41" s="543"/>
      <c r="UEQ41" s="543"/>
      <c r="UER41" s="543"/>
      <c r="UES41" s="543"/>
      <c r="UET41" s="543"/>
      <c r="UEU41" s="543"/>
      <c r="UEV41" s="543"/>
      <c r="UEW41" s="543"/>
      <c r="UEX41" s="543"/>
      <c r="UEY41" s="543"/>
      <c r="UEZ41" s="543"/>
      <c r="UFA41" s="543"/>
      <c r="UFB41" s="543"/>
      <c r="UFC41" s="543"/>
      <c r="UFD41" s="543"/>
      <c r="UFE41" s="543"/>
      <c r="UFF41" s="543"/>
      <c r="UFG41" s="543"/>
      <c r="UFH41" s="543"/>
      <c r="UFI41" s="543"/>
      <c r="UFJ41" s="543"/>
      <c r="UFK41" s="543"/>
      <c r="UFL41" s="543"/>
      <c r="UFM41" s="543"/>
      <c r="UFN41" s="543"/>
      <c r="UFO41" s="543"/>
      <c r="UFP41" s="543"/>
      <c r="UFQ41" s="543"/>
      <c r="UFR41" s="543"/>
      <c r="UFS41" s="543"/>
      <c r="UFT41" s="543"/>
      <c r="UFU41" s="543"/>
      <c r="UFV41" s="543"/>
      <c r="UFW41" s="543"/>
      <c r="UFX41" s="543"/>
      <c r="UFY41" s="543"/>
      <c r="UFZ41" s="543"/>
      <c r="UGA41" s="543"/>
      <c r="UGB41" s="543"/>
      <c r="UGC41" s="543"/>
      <c r="UGD41" s="543"/>
      <c r="UGE41" s="543"/>
      <c r="UGF41" s="543"/>
      <c r="UGG41" s="543"/>
      <c r="UGH41" s="543"/>
      <c r="UGI41" s="543"/>
      <c r="UGJ41" s="543"/>
      <c r="UGK41" s="543"/>
      <c r="UGL41" s="543"/>
      <c r="UGM41" s="543"/>
      <c r="UGN41" s="543"/>
      <c r="UGO41" s="543"/>
      <c r="UGP41" s="543"/>
      <c r="UGQ41" s="543"/>
      <c r="UGR41" s="543"/>
      <c r="UGS41" s="543"/>
      <c r="UGT41" s="543"/>
      <c r="UGU41" s="543"/>
      <c r="UGV41" s="543"/>
      <c r="UGW41" s="543"/>
      <c r="UGX41" s="543"/>
      <c r="UGY41" s="543"/>
      <c r="UGZ41" s="543"/>
      <c r="UHA41" s="543"/>
      <c r="UHB41" s="543"/>
      <c r="UHC41" s="543"/>
      <c r="UHD41" s="543"/>
      <c r="UHE41" s="543"/>
      <c r="UHF41" s="543"/>
      <c r="UHG41" s="543"/>
      <c r="UHH41" s="543"/>
      <c r="UHI41" s="543"/>
      <c r="UHJ41" s="543"/>
      <c r="UHK41" s="543"/>
      <c r="UHL41" s="543"/>
      <c r="UHM41" s="543"/>
      <c r="UHN41" s="543"/>
      <c r="UHO41" s="543"/>
      <c r="UHP41" s="543"/>
      <c r="UHQ41" s="543"/>
      <c r="UHR41" s="543"/>
      <c r="UHS41" s="543"/>
      <c r="UHT41" s="543"/>
      <c r="UHU41" s="543"/>
      <c r="UHV41" s="543"/>
      <c r="UHW41" s="543"/>
      <c r="UHX41" s="543"/>
      <c r="UHY41" s="543"/>
      <c r="UHZ41" s="543"/>
      <c r="UIA41" s="543"/>
      <c r="UIB41" s="543"/>
      <c r="UIC41" s="543"/>
      <c r="UID41" s="543"/>
      <c r="UIE41" s="543"/>
      <c r="UIF41" s="543"/>
      <c r="UIG41" s="543"/>
      <c r="UIH41" s="543"/>
      <c r="UII41" s="543"/>
      <c r="UIJ41" s="543"/>
      <c r="UIK41" s="543"/>
      <c r="UIL41" s="543"/>
      <c r="UIM41" s="543"/>
      <c r="UIN41" s="543"/>
      <c r="UIO41" s="543"/>
      <c r="UIP41" s="543"/>
      <c r="UIQ41" s="543"/>
      <c r="UIR41" s="543"/>
      <c r="UIS41" s="543"/>
      <c r="UIT41" s="543"/>
      <c r="UIU41" s="543"/>
      <c r="UIV41" s="543"/>
      <c r="UIW41" s="543"/>
      <c r="UIX41" s="543"/>
      <c r="UIY41" s="543"/>
      <c r="UIZ41" s="543"/>
      <c r="UJA41" s="543"/>
      <c r="UJB41" s="543"/>
      <c r="UJC41" s="543"/>
      <c r="UJD41" s="543"/>
      <c r="UJE41" s="543"/>
      <c r="UJF41" s="543"/>
      <c r="UJG41" s="543"/>
      <c r="UJH41" s="543"/>
      <c r="UJI41" s="543"/>
      <c r="UJJ41" s="543"/>
      <c r="UJK41" s="543"/>
      <c r="UJL41" s="543"/>
      <c r="UJM41" s="543"/>
      <c r="UJN41" s="543"/>
      <c r="UJO41" s="543"/>
      <c r="UJP41" s="543"/>
      <c r="UJQ41" s="543"/>
      <c r="UJR41" s="543"/>
      <c r="UJS41" s="543"/>
      <c r="UJT41" s="543"/>
      <c r="UJU41" s="543"/>
      <c r="UJV41" s="543"/>
      <c r="UJW41" s="543"/>
      <c r="UJX41" s="543"/>
      <c r="UJY41" s="543"/>
      <c r="UJZ41" s="543"/>
      <c r="UKA41" s="543"/>
      <c r="UKB41" s="543"/>
      <c r="UKC41" s="543"/>
      <c r="UKD41" s="543"/>
      <c r="UKE41" s="543"/>
      <c r="UKF41" s="543"/>
      <c r="UKG41" s="543"/>
      <c r="UKH41" s="543"/>
      <c r="UKI41" s="543"/>
      <c r="UKJ41" s="543"/>
      <c r="UKK41" s="543"/>
      <c r="UKL41" s="543"/>
      <c r="UKM41" s="543"/>
      <c r="UKN41" s="543"/>
      <c r="UKO41" s="543"/>
      <c r="UKP41" s="543"/>
      <c r="UKQ41" s="543"/>
      <c r="UKR41" s="543"/>
      <c r="UKS41" s="543"/>
      <c r="UKT41" s="543"/>
      <c r="UKU41" s="543"/>
      <c r="UKV41" s="543"/>
      <c r="UKW41" s="543"/>
      <c r="UKX41" s="543"/>
      <c r="UKY41" s="543"/>
      <c r="UKZ41" s="543"/>
      <c r="ULA41" s="543"/>
      <c r="ULB41" s="543"/>
      <c r="ULC41" s="543"/>
      <c r="ULD41" s="543"/>
      <c r="ULE41" s="543"/>
      <c r="ULF41" s="543"/>
      <c r="ULG41" s="543"/>
      <c r="ULH41" s="543"/>
      <c r="ULI41" s="543"/>
      <c r="ULJ41" s="543"/>
      <c r="ULK41" s="543"/>
      <c r="ULL41" s="543"/>
      <c r="ULM41" s="543"/>
      <c r="ULN41" s="543"/>
      <c r="ULO41" s="543"/>
      <c r="ULP41" s="543"/>
      <c r="ULQ41" s="543"/>
      <c r="ULR41" s="543"/>
      <c r="ULS41" s="543"/>
      <c r="ULT41" s="543"/>
      <c r="ULU41" s="543"/>
      <c r="ULV41" s="543"/>
      <c r="ULW41" s="543"/>
      <c r="ULX41" s="543"/>
      <c r="ULY41" s="543"/>
      <c r="ULZ41" s="543"/>
      <c r="UMA41" s="543"/>
      <c r="UMB41" s="543"/>
      <c r="UMC41" s="543"/>
      <c r="UMD41" s="543"/>
      <c r="UME41" s="543"/>
      <c r="UMF41" s="543"/>
      <c r="UMG41" s="543"/>
      <c r="UMH41" s="543"/>
      <c r="UMI41" s="543"/>
      <c r="UMJ41" s="543"/>
      <c r="UMK41" s="543"/>
      <c r="UML41" s="543"/>
      <c r="UMM41" s="543"/>
      <c r="UMN41" s="543"/>
      <c r="UMO41" s="543"/>
      <c r="UMP41" s="543"/>
      <c r="UMQ41" s="543"/>
      <c r="UMR41" s="543"/>
      <c r="UMS41" s="543"/>
      <c r="UMT41" s="543"/>
      <c r="UMU41" s="543"/>
      <c r="UMV41" s="543"/>
      <c r="UMW41" s="543"/>
      <c r="UMX41" s="543"/>
      <c r="UMY41" s="543"/>
      <c r="UMZ41" s="543"/>
      <c r="UNA41" s="543"/>
      <c r="UNB41" s="543"/>
      <c r="UNC41" s="543"/>
      <c r="UND41" s="543"/>
      <c r="UNE41" s="543"/>
      <c r="UNF41" s="543"/>
      <c r="UNG41" s="543"/>
      <c r="UNH41" s="543"/>
      <c r="UNI41" s="543"/>
      <c r="UNJ41" s="543"/>
      <c r="UNK41" s="543"/>
      <c r="UNL41" s="543"/>
      <c r="UNM41" s="543"/>
      <c r="UNN41" s="543"/>
      <c r="UNO41" s="543"/>
      <c r="UNP41" s="543"/>
      <c r="UNQ41" s="543"/>
      <c r="UNR41" s="543"/>
      <c r="UNS41" s="543"/>
      <c r="UNT41" s="543"/>
      <c r="UNU41" s="543"/>
      <c r="UNV41" s="543"/>
      <c r="UNW41" s="543"/>
      <c r="UNX41" s="543"/>
      <c r="UNY41" s="543"/>
      <c r="UNZ41" s="543"/>
      <c r="UOA41" s="543"/>
      <c r="UOB41" s="543"/>
      <c r="UOC41" s="543"/>
      <c r="UOD41" s="543"/>
      <c r="UOE41" s="543"/>
      <c r="UOF41" s="543"/>
      <c r="UOG41" s="543"/>
      <c r="UOH41" s="543"/>
      <c r="UOI41" s="543"/>
      <c r="UOJ41" s="543"/>
      <c r="UOK41" s="543"/>
      <c r="UOL41" s="543"/>
      <c r="UOM41" s="543"/>
      <c r="UON41" s="543"/>
      <c r="UOO41" s="543"/>
      <c r="UOP41" s="543"/>
      <c r="UOQ41" s="543"/>
      <c r="UOR41" s="543"/>
      <c r="UOS41" s="543"/>
      <c r="UOT41" s="543"/>
      <c r="UOU41" s="543"/>
      <c r="UOV41" s="543"/>
      <c r="UOW41" s="543"/>
      <c r="UOX41" s="543"/>
      <c r="UOY41" s="543"/>
      <c r="UOZ41" s="543"/>
      <c r="UPA41" s="543"/>
      <c r="UPB41" s="543"/>
      <c r="UPC41" s="543"/>
      <c r="UPD41" s="543"/>
      <c r="UPE41" s="543"/>
      <c r="UPF41" s="543"/>
      <c r="UPG41" s="543"/>
      <c r="UPH41" s="543"/>
      <c r="UPI41" s="543"/>
      <c r="UPJ41" s="543"/>
      <c r="UPK41" s="543"/>
      <c r="UPL41" s="543"/>
      <c r="UPM41" s="543"/>
      <c r="UPN41" s="543"/>
      <c r="UPO41" s="543"/>
      <c r="UPP41" s="543"/>
      <c r="UPQ41" s="543"/>
      <c r="UPR41" s="543"/>
      <c r="UPS41" s="543"/>
      <c r="UPT41" s="543"/>
      <c r="UPU41" s="543"/>
      <c r="UPV41" s="543"/>
      <c r="UPW41" s="543"/>
      <c r="UPX41" s="543"/>
      <c r="UPY41" s="543"/>
      <c r="UPZ41" s="543"/>
      <c r="UQA41" s="543"/>
      <c r="UQB41" s="543"/>
      <c r="UQC41" s="543"/>
      <c r="UQD41" s="543"/>
      <c r="UQE41" s="543"/>
      <c r="UQF41" s="543"/>
      <c r="UQG41" s="543"/>
      <c r="UQH41" s="543"/>
      <c r="UQI41" s="543"/>
      <c r="UQJ41" s="543"/>
      <c r="UQK41" s="543"/>
      <c r="UQL41" s="543"/>
      <c r="UQM41" s="543"/>
      <c r="UQN41" s="543"/>
      <c r="UQO41" s="543"/>
      <c r="UQP41" s="543"/>
      <c r="UQQ41" s="543"/>
      <c r="UQR41" s="543"/>
      <c r="UQS41" s="543"/>
      <c r="UQT41" s="543"/>
      <c r="UQU41" s="543"/>
      <c r="UQV41" s="543"/>
      <c r="UQW41" s="543"/>
      <c r="UQX41" s="543"/>
      <c r="UQY41" s="543"/>
      <c r="UQZ41" s="543"/>
      <c r="URA41" s="543"/>
      <c r="URB41" s="543"/>
      <c r="URC41" s="543"/>
      <c r="URD41" s="543"/>
      <c r="URE41" s="543"/>
      <c r="URF41" s="543"/>
      <c r="URG41" s="543"/>
      <c r="URH41" s="543"/>
      <c r="URI41" s="543"/>
      <c r="URJ41" s="543"/>
      <c r="URK41" s="543"/>
      <c r="URL41" s="543"/>
      <c r="URM41" s="543"/>
      <c r="URN41" s="543"/>
      <c r="URO41" s="543"/>
      <c r="URP41" s="543"/>
      <c r="URQ41" s="543"/>
      <c r="URR41" s="543"/>
      <c r="URS41" s="543"/>
      <c r="URT41" s="543"/>
      <c r="URU41" s="543"/>
      <c r="URV41" s="543"/>
      <c r="URW41" s="543"/>
      <c r="URX41" s="543"/>
      <c r="URY41" s="543"/>
      <c r="URZ41" s="543"/>
      <c r="USA41" s="543"/>
      <c r="USB41" s="543"/>
      <c r="USC41" s="543"/>
      <c r="USD41" s="543"/>
      <c r="USE41" s="543"/>
      <c r="USF41" s="543"/>
      <c r="USG41" s="543"/>
      <c r="USH41" s="543"/>
      <c r="USI41" s="543"/>
      <c r="USJ41" s="543"/>
      <c r="USK41" s="543"/>
      <c r="USL41" s="543"/>
      <c r="USM41" s="543"/>
      <c r="USN41" s="543"/>
      <c r="USO41" s="543"/>
      <c r="USP41" s="543"/>
      <c r="USQ41" s="543"/>
      <c r="USR41" s="543"/>
      <c r="USS41" s="543"/>
      <c r="UST41" s="543"/>
      <c r="USU41" s="543"/>
      <c r="USV41" s="543"/>
      <c r="USW41" s="543"/>
      <c r="USX41" s="543"/>
      <c r="USY41" s="543"/>
      <c r="USZ41" s="543"/>
      <c r="UTA41" s="543"/>
      <c r="UTB41" s="543"/>
      <c r="UTC41" s="543"/>
      <c r="UTD41" s="543"/>
      <c r="UTE41" s="543"/>
      <c r="UTF41" s="543"/>
      <c r="UTG41" s="543"/>
      <c r="UTH41" s="543"/>
      <c r="UTI41" s="543"/>
      <c r="UTJ41" s="543"/>
      <c r="UTK41" s="543"/>
      <c r="UTL41" s="543"/>
      <c r="UTM41" s="543"/>
      <c r="UTN41" s="543"/>
      <c r="UTO41" s="543"/>
      <c r="UTP41" s="543"/>
      <c r="UTQ41" s="543"/>
      <c r="UTR41" s="543"/>
      <c r="UTS41" s="543"/>
      <c r="UTT41" s="543"/>
      <c r="UTU41" s="543"/>
      <c r="UTV41" s="543"/>
      <c r="UTW41" s="543"/>
      <c r="UTX41" s="543"/>
      <c r="UTY41" s="543"/>
      <c r="UTZ41" s="543"/>
      <c r="UUA41" s="543"/>
      <c r="UUB41" s="543"/>
      <c r="UUC41" s="543"/>
      <c r="UUD41" s="543"/>
      <c r="UUE41" s="543"/>
      <c r="UUF41" s="543"/>
      <c r="UUG41" s="543"/>
      <c r="UUH41" s="543"/>
      <c r="UUI41" s="543"/>
      <c r="UUJ41" s="543"/>
      <c r="UUK41" s="543"/>
      <c r="UUL41" s="543"/>
      <c r="UUM41" s="543"/>
      <c r="UUN41" s="543"/>
      <c r="UUO41" s="543"/>
      <c r="UUP41" s="543"/>
      <c r="UUQ41" s="543"/>
      <c r="UUR41" s="543"/>
      <c r="UUS41" s="543"/>
      <c r="UUT41" s="543"/>
      <c r="UUU41" s="543"/>
      <c r="UUV41" s="543"/>
      <c r="UUW41" s="543"/>
      <c r="UUX41" s="543"/>
      <c r="UUY41" s="543"/>
      <c r="UUZ41" s="543"/>
      <c r="UVA41" s="543"/>
      <c r="UVB41" s="543"/>
      <c r="UVC41" s="543"/>
      <c r="UVD41" s="543"/>
      <c r="UVE41" s="543"/>
      <c r="UVF41" s="543"/>
      <c r="UVG41" s="543"/>
      <c r="UVH41" s="543"/>
      <c r="UVI41" s="543"/>
      <c r="UVJ41" s="543"/>
      <c r="UVK41" s="543"/>
      <c r="UVL41" s="543"/>
      <c r="UVM41" s="543"/>
      <c r="UVN41" s="543"/>
      <c r="UVO41" s="543"/>
      <c r="UVP41" s="543"/>
      <c r="UVQ41" s="543"/>
      <c r="UVR41" s="543"/>
      <c r="UVS41" s="543"/>
      <c r="UVT41" s="543"/>
      <c r="UVU41" s="543"/>
      <c r="UVV41" s="543"/>
      <c r="UVW41" s="543"/>
      <c r="UVX41" s="543"/>
      <c r="UVY41" s="543"/>
      <c r="UVZ41" s="543"/>
      <c r="UWA41" s="543"/>
      <c r="UWB41" s="543"/>
      <c r="UWC41" s="543"/>
      <c r="UWD41" s="543"/>
      <c r="UWE41" s="543"/>
      <c r="UWF41" s="543"/>
      <c r="UWG41" s="543"/>
      <c r="UWH41" s="543"/>
      <c r="UWI41" s="543"/>
      <c r="UWJ41" s="543"/>
      <c r="UWK41" s="543"/>
      <c r="UWL41" s="543"/>
      <c r="UWM41" s="543"/>
      <c r="UWN41" s="543"/>
      <c r="UWO41" s="543"/>
      <c r="UWP41" s="543"/>
      <c r="UWQ41" s="543"/>
      <c r="UWR41" s="543"/>
      <c r="UWS41" s="543"/>
      <c r="UWT41" s="543"/>
      <c r="UWU41" s="543"/>
      <c r="UWV41" s="543"/>
      <c r="UWW41" s="543"/>
      <c r="UWX41" s="543"/>
      <c r="UWY41" s="543"/>
      <c r="UWZ41" s="543"/>
      <c r="UXA41" s="543"/>
      <c r="UXB41" s="543"/>
      <c r="UXC41" s="543"/>
      <c r="UXD41" s="543"/>
      <c r="UXE41" s="543"/>
      <c r="UXF41" s="543"/>
      <c r="UXG41" s="543"/>
      <c r="UXH41" s="543"/>
      <c r="UXI41" s="543"/>
      <c r="UXJ41" s="543"/>
      <c r="UXK41" s="543"/>
      <c r="UXL41" s="543"/>
      <c r="UXM41" s="543"/>
      <c r="UXN41" s="543"/>
      <c r="UXO41" s="543"/>
      <c r="UXP41" s="543"/>
      <c r="UXQ41" s="543"/>
      <c r="UXR41" s="543"/>
      <c r="UXS41" s="543"/>
      <c r="UXT41" s="543"/>
      <c r="UXU41" s="543"/>
      <c r="UXV41" s="543"/>
      <c r="UXW41" s="543"/>
      <c r="UXX41" s="543"/>
      <c r="UXY41" s="543"/>
      <c r="UXZ41" s="543"/>
      <c r="UYA41" s="543"/>
      <c r="UYB41" s="543"/>
      <c r="UYC41" s="543"/>
      <c r="UYD41" s="543"/>
      <c r="UYE41" s="543"/>
      <c r="UYF41" s="543"/>
      <c r="UYG41" s="543"/>
      <c r="UYH41" s="543"/>
      <c r="UYI41" s="543"/>
      <c r="UYJ41" s="543"/>
      <c r="UYK41" s="543"/>
      <c r="UYL41" s="543"/>
      <c r="UYM41" s="543"/>
      <c r="UYN41" s="543"/>
      <c r="UYO41" s="543"/>
      <c r="UYP41" s="543"/>
      <c r="UYQ41" s="543"/>
      <c r="UYR41" s="543"/>
      <c r="UYS41" s="543"/>
      <c r="UYT41" s="543"/>
      <c r="UYU41" s="543"/>
      <c r="UYV41" s="543"/>
      <c r="UYW41" s="543"/>
      <c r="UYX41" s="543"/>
      <c r="UYY41" s="543"/>
      <c r="UYZ41" s="543"/>
      <c r="UZA41" s="543"/>
      <c r="UZB41" s="543"/>
      <c r="UZC41" s="543"/>
      <c r="UZD41" s="543"/>
      <c r="UZE41" s="543"/>
      <c r="UZF41" s="543"/>
      <c r="UZG41" s="543"/>
      <c r="UZH41" s="543"/>
      <c r="UZI41" s="543"/>
      <c r="UZJ41" s="543"/>
      <c r="UZK41" s="543"/>
      <c r="UZL41" s="543"/>
      <c r="UZM41" s="543"/>
      <c r="UZN41" s="543"/>
      <c r="UZO41" s="543"/>
      <c r="UZP41" s="543"/>
      <c r="UZQ41" s="543"/>
      <c r="UZR41" s="543"/>
      <c r="UZS41" s="543"/>
      <c r="UZT41" s="543"/>
      <c r="UZU41" s="543"/>
      <c r="UZV41" s="543"/>
      <c r="UZW41" s="543"/>
      <c r="UZX41" s="543"/>
      <c r="UZY41" s="543"/>
      <c r="UZZ41" s="543"/>
      <c r="VAA41" s="543"/>
      <c r="VAB41" s="543"/>
      <c r="VAC41" s="543"/>
      <c r="VAD41" s="543"/>
      <c r="VAE41" s="543"/>
      <c r="VAF41" s="543"/>
      <c r="VAG41" s="543"/>
      <c r="VAH41" s="543"/>
      <c r="VAI41" s="543"/>
      <c r="VAJ41" s="543"/>
      <c r="VAK41" s="543"/>
      <c r="VAL41" s="543"/>
      <c r="VAM41" s="543"/>
      <c r="VAN41" s="543"/>
      <c r="VAO41" s="543"/>
      <c r="VAP41" s="543"/>
      <c r="VAQ41" s="543"/>
      <c r="VAR41" s="543"/>
      <c r="VAS41" s="543"/>
      <c r="VAT41" s="543"/>
      <c r="VAU41" s="543"/>
      <c r="VAV41" s="543"/>
      <c r="VAW41" s="543"/>
      <c r="VAX41" s="543"/>
      <c r="VAY41" s="543"/>
      <c r="VAZ41" s="543"/>
      <c r="VBA41" s="543"/>
      <c r="VBB41" s="543"/>
      <c r="VBC41" s="543"/>
      <c r="VBD41" s="543"/>
      <c r="VBE41" s="543"/>
      <c r="VBF41" s="543"/>
      <c r="VBG41" s="543"/>
      <c r="VBH41" s="543"/>
      <c r="VBI41" s="543"/>
      <c r="VBJ41" s="543"/>
      <c r="VBK41" s="543"/>
      <c r="VBL41" s="543"/>
      <c r="VBM41" s="543"/>
      <c r="VBN41" s="543"/>
      <c r="VBO41" s="543"/>
      <c r="VBP41" s="543"/>
      <c r="VBQ41" s="543"/>
      <c r="VBR41" s="543"/>
      <c r="VBS41" s="543"/>
      <c r="VBT41" s="543"/>
      <c r="VBU41" s="543"/>
      <c r="VBV41" s="543"/>
      <c r="VBW41" s="543"/>
      <c r="VBX41" s="543"/>
      <c r="VBY41" s="543"/>
      <c r="VBZ41" s="543"/>
      <c r="VCA41" s="543"/>
      <c r="VCB41" s="543"/>
      <c r="VCC41" s="543"/>
      <c r="VCD41" s="543"/>
      <c r="VCE41" s="543"/>
      <c r="VCF41" s="543"/>
      <c r="VCG41" s="543"/>
      <c r="VCH41" s="543"/>
      <c r="VCI41" s="543"/>
      <c r="VCJ41" s="543"/>
      <c r="VCK41" s="543"/>
      <c r="VCL41" s="543"/>
      <c r="VCM41" s="543"/>
      <c r="VCN41" s="543"/>
      <c r="VCO41" s="543"/>
      <c r="VCP41" s="543"/>
      <c r="VCQ41" s="543"/>
      <c r="VCR41" s="543"/>
      <c r="VCS41" s="543"/>
      <c r="VCT41" s="543"/>
      <c r="VCU41" s="543"/>
      <c r="VCV41" s="543"/>
      <c r="VCW41" s="543"/>
      <c r="VCX41" s="543"/>
      <c r="VCY41" s="543"/>
      <c r="VCZ41" s="543"/>
      <c r="VDA41" s="543"/>
      <c r="VDB41" s="543"/>
      <c r="VDC41" s="543"/>
      <c r="VDD41" s="543"/>
      <c r="VDE41" s="543"/>
      <c r="VDF41" s="543"/>
      <c r="VDG41" s="543"/>
      <c r="VDH41" s="543"/>
      <c r="VDI41" s="543"/>
      <c r="VDJ41" s="543"/>
      <c r="VDK41" s="543"/>
      <c r="VDL41" s="543"/>
      <c r="VDM41" s="543"/>
      <c r="VDN41" s="543"/>
      <c r="VDO41" s="543"/>
      <c r="VDP41" s="543"/>
      <c r="VDQ41" s="543"/>
      <c r="VDR41" s="543"/>
      <c r="VDS41" s="543"/>
      <c r="VDT41" s="543"/>
      <c r="VDU41" s="543"/>
      <c r="VDV41" s="543"/>
      <c r="VDW41" s="543"/>
      <c r="VDX41" s="543"/>
      <c r="VDY41" s="543"/>
      <c r="VDZ41" s="543"/>
      <c r="VEA41" s="543"/>
      <c r="VEB41" s="543"/>
      <c r="VEC41" s="543"/>
      <c r="VED41" s="543"/>
      <c r="VEE41" s="543"/>
      <c r="VEF41" s="543"/>
      <c r="VEG41" s="543"/>
      <c r="VEH41" s="543"/>
      <c r="VEI41" s="543"/>
      <c r="VEJ41" s="543"/>
      <c r="VEK41" s="543"/>
      <c r="VEL41" s="543"/>
      <c r="VEM41" s="543"/>
      <c r="VEN41" s="543"/>
      <c r="VEO41" s="543"/>
      <c r="VEP41" s="543"/>
      <c r="VEQ41" s="543"/>
      <c r="VER41" s="543"/>
      <c r="VES41" s="543"/>
      <c r="VET41" s="543"/>
      <c r="VEU41" s="543"/>
      <c r="VEV41" s="543"/>
      <c r="VEW41" s="543"/>
      <c r="VEX41" s="543"/>
      <c r="VEY41" s="543"/>
      <c r="VEZ41" s="543"/>
      <c r="VFA41" s="543"/>
      <c r="VFB41" s="543"/>
      <c r="VFC41" s="543"/>
      <c r="VFD41" s="543"/>
      <c r="VFE41" s="543"/>
      <c r="VFF41" s="543"/>
      <c r="VFG41" s="543"/>
      <c r="VFH41" s="543"/>
      <c r="VFI41" s="543"/>
      <c r="VFJ41" s="543"/>
      <c r="VFK41" s="543"/>
      <c r="VFL41" s="543"/>
      <c r="VFM41" s="543"/>
      <c r="VFN41" s="543"/>
      <c r="VFO41" s="543"/>
      <c r="VFP41" s="543"/>
      <c r="VFQ41" s="543"/>
      <c r="VFR41" s="543"/>
      <c r="VFS41" s="543"/>
      <c r="VFT41" s="543"/>
      <c r="VFU41" s="543"/>
      <c r="VFV41" s="543"/>
      <c r="VFW41" s="543"/>
      <c r="VFX41" s="543"/>
      <c r="VFY41" s="543"/>
      <c r="VFZ41" s="543"/>
      <c r="VGA41" s="543"/>
      <c r="VGB41" s="543"/>
      <c r="VGC41" s="543"/>
      <c r="VGD41" s="543"/>
      <c r="VGE41" s="543"/>
      <c r="VGF41" s="543"/>
      <c r="VGG41" s="543"/>
      <c r="VGH41" s="543"/>
      <c r="VGI41" s="543"/>
      <c r="VGJ41" s="543"/>
      <c r="VGK41" s="543"/>
      <c r="VGL41" s="543"/>
      <c r="VGM41" s="543"/>
      <c r="VGN41" s="543"/>
      <c r="VGO41" s="543"/>
      <c r="VGP41" s="543"/>
      <c r="VGQ41" s="543"/>
      <c r="VGR41" s="543"/>
      <c r="VGS41" s="543"/>
      <c r="VGT41" s="543"/>
      <c r="VGU41" s="543"/>
      <c r="VGV41" s="543"/>
      <c r="VGW41" s="543"/>
      <c r="VGX41" s="543"/>
      <c r="VGY41" s="543"/>
      <c r="VGZ41" s="543"/>
      <c r="VHA41" s="543"/>
      <c r="VHB41" s="543"/>
      <c r="VHC41" s="543"/>
      <c r="VHD41" s="543"/>
      <c r="VHE41" s="543"/>
      <c r="VHF41" s="543"/>
      <c r="VHG41" s="543"/>
      <c r="VHH41" s="543"/>
      <c r="VHI41" s="543"/>
      <c r="VHJ41" s="543"/>
      <c r="VHK41" s="543"/>
      <c r="VHL41" s="543"/>
      <c r="VHM41" s="543"/>
      <c r="VHN41" s="543"/>
      <c r="VHO41" s="543"/>
      <c r="VHP41" s="543"/>
      <c r="VHQ41" s="543"/>
      <c r="VHR41" s="543"/>
      <c r="VHS41" s="543"/>
      <c r="VHT41" s="543"/>
      <c r="VHU41" s="543"/>
      <c r="VHV41" s="543"/>
      <c r="VHW41" s="543"/>
      <c r="VHX41" s="543"/>
      <c r="VHY41" s="543"/>
      <c r="VHZ41" s="543"/>
      <c r="VIA41" s="543"/>
      <c r="VIB41" s="543"/>
      <c r="VIC41" s="543"/>
      <c r="VID41" s="543"/>
      <c r="VIE41" s="543"/>
      <c r="VIF41" s="543"/>
      <c r="VIG41" s="543"/>
      <c r="VIH41" s="543"/>
      <c r="VII41" s="543"/>
      <c r="VIJ41" s="543"/>
      <c r="VIK41" s="543"/>
      <c r="VIL41" s="543"/>
      <c r="VIM41" s="543"/>
      <c r="VIN41" s="543"/>
      <c r="VIO41" s="543"/>
      <c r="VIP41" s="543"/>
      <c r="VIQ41" s="543"/>
      <c r="VIR41" s="543"/>
      <c r="VIS41" s="543"/>
      <c r="VIT41" s="543"/>
      <c r="VIU41" s="543"/>
      <c r="VIV41" s="543"/>
      <c r="VIW41" s="543"/>
      <c r="VIX41" s="543"/>
      <c r="VIY41" s="543"/>
      <c r="VIZ41" s="543"/>
      <c r="VJA41" s="543"/>
      <c r="VJB41" s="543"/>
      <c r="VJC41" s="543"/>
      <c r="VJD41" s="543"/>
      <c r="VJE41" s="543"/>
      <c r="VJF41" s="543"/>
      <c r="VJG41" s="543"/>
      <c r="VJH41" s="543"/>
      <c r="VJI41" s="543"/>
      <c r="VJJ41" s="543"/>
      <c r="VJK41" s="543"/>
      <c r="VJL41" s="543"/>
      <c r="VJM41" s="543"/>
      <c r="VJN41" s="543"/>
      <c r="VJO41" s="543"/>
      <c r="VJP41" s="543"/>
      <c r="VJQ41" s="543"/>
      <c r="VJR41" s="543"/>
      <c r="VJS41" s="543"/>
      <c r="VJT41" s="543"/>
      <c r="VJU41" s="543"/>
      <c r="VJV41" s="543"/>
      <c r="VJW41" s="543"/>
      <c r="VJX41" s="543"/>
      <c r="VJY41" s="543"/>
      <c r="VJZ41" s="543"/>
      <c r="VKA41" s="543"/>
      <c r="VKB41" s="543"/>
      <c r="VKC41" s="543"/>
      <c r="VKD41" s="543"/>
      <c r="VKE41" s="543"/>
      <c r="VKF41" s="543"/>
      <c r="VKG41" s="543"/>
      <c r="VKH41" s="543"/>
      <c r="VKI41" s="543"/>
      <c r="VKJ41" s="543"/>
      <c r="VKK41" s="543"/>
      <c r="VKL41" s="543"/>
      <c r="VKM41" s="543"/>
      <c r="VKN41" s="543"/>
      <c r="VKO41" s="543"/>
      <c r="VKP41" s="543"/>
      <c r="VKQ41" s="543"/>
      <c r="VKR41" s="543"/>
      <c r="VKS41" s="543"/>
      <c r="VKT41" s="543"/>
      <c r="VKU41" s="543"/>
      <c r="VKV41" s="543"/>
      <c r="VKW41" s="543"/>
      <c r="VKX41" s="543"/>
      <c r="VKY41" s="543"/>
      <c r="VKZ41" s="543"/>
      <c r="VLA41" s="543"/>
      <c r="VLB41" s="543"/>
      <c r="VLC41" s="543"/>
      <c r="VLD41" s="543"/>
      <c r="VLE41" s="543"/>
      <c r="VLF41" s="543"/>
      <c r="VLG41" s="543"/>
      <c r="VLH41" s="543"/>
      <c r="VLI41" s="543"/>
      <c r="VLJ41" s="543"/>
      <c r="VLK41" s="543"/>
      <c r="VLL41" s="543"/>
      <c r="VLM41" s="543"/>
      <c r="VLN41" s="543"/>
      <c r="VLO41" s="543"/>
      <c r="VLP41" s="543"/>
      <c r="VLQ41" s="543"/>
      <c r="VLR41" s="543"/>
      <c r="VLS41" s="543"/>
      <c r="VLT41" s="543"/>
      <c r="VLU41" s="543"/>
      <c r="VLV41" s="543"/>
      <c r="VLW41" s="543"/>
      <c r="VLX41" s="543"/>
      <c r="VLY41" s="543"/>
      <c r="VLZ41" s="543"/>
      <c r="VMA41" s="543"/>
      <c r="VMB41" s="543"/>
      <c r="VMC41" s="543"/>
      <c r="VMD41" s="543"/>
      <c r="VME41" s="543"/>
      <c r="VMF41" s="543"/>
      <c r="VMG41" s="543"/>
      <c r="VMH41" s="543"/>
      <c r="VMI41" s="543"/>
      <c r="VMJ41" s="543"/>
      <c r="VMK41" s="543"/>
      <c r="VML41" s="543"/>
      <c r="VMM41" s="543"/>
      <c r="VMN41" s="543"/>
      <c r="VMO41" s="543"/>
      <c r="VMP41" s="543"/>
      <c r="VMQ41" s="543"/>
      <c r="VMR41" s="543"/>
      <c r="VMS41" s="543"/>
      <c r="VMT41" s="543"/>
      <c r="VMU41" s="543"/>
      <c r="VMV41" s="543"/>
      <c r="VMW41" s="543"/>
      <c r="VMX41" s="543"/>
      <c r="VMY41" s="543"/>
      <c r="VMZ41" s="543"/>
      <c r="VNA41" s="543"/>
      <c r="VNB41" s="543"/>
      <c r="VNC41" s="543"/>
      <c r="VND41" s="543"/>
      <c r="VNE41" s="543"/>
      <c r="VNF41" s="543"/>
      <c r="VNG41" s="543"/>
      <c r="VNH41" s="543"/>
      <c r="VNI41" s="543"/>
      <c r="VNJ41" s="543"/>
      <c r="VNK41" s="543"/>
      <c r="VNL41" s="543"/>
      <c r="VNM41" s="543"/>
      <c r="VNN41" s="543"/>
      <c r="VNO41" s="543"/>
      <c r="VNP41" s="543"/>
      <c r="VNQ41" s="543"/>
      <c r="VNR41" s="543"/>
      <c r="VNS41" s="543"/>
      <c r="VNT41" s="543"/>
      <c r="VNU41" s="543"/>
      <c r="VNV41" s="543"/>
      <c r="VNW41" s="543"/>
      <c r="VNX41" s="543"/>
      <c r="VNY41" s="543"/>
      <c r="VNZ41" s="543"/>
      <c r="VOA41" s="543"/>
      <c r="VOB41" s="543"/>
      <c r="VOC41" s="543"/>
      <c r="VOD41" s="543"/>
      <c r="VOE41" s="543"/>
      <c r="VOF41" s="543"/>
      <c r="VOG41" s="543"/>
      <c r="VOH41" s="543"/>
      <c r="VOI41" s="543"/>
      <c r="VOJ41" s="543"/>
      <c r="VOK41" s="543"/>
      <c r="VOL41" s="543"/>
      <c r="VOM41" s="543"/>
      <c r="VON41" s="543"/>
      <c r="VOO41" s="543"/>
      <c r="VOP41" s="543"/>
      <c r="VOQ41" s="543"/>
      <c r="VOR41" s="543"/>
      <c r="VOS41" s="543"/>
      <c r="VOT41" s="543"/>
      <c r="VOU41" s="543"/>
      <c r="VOV41" s="543"/>
      <c r="VOW41" s="543"/>
      <c r="VOX41" s="543"/>
      <c r="VOY41" s="543"/>
      <c r="VOZ41" s="543"/>
      <c r="VPA41" s="543"/>
      <c r="VPB41" s="543"/>
      <c r="VPC41" s="543"/>
      <c r="VPD41" s="543"/>
      <c r="VPE41" s="543"/>
      <c r="VPF41" s="543"/>
      <c r="VPG41" s="543"/>
      <c r="VPH41" s="543"/>
      <c r="VPI41" s="543"/>
      <c r="VPJ41" s="543"/>
      <c r="VPK41" s="543"/>
      <c r="VPL41" s="543"/>
      <c r="VPM41" s="543"/>
      <c r="VPN41" s="543"/>
      <c r="VPO41" s="543"/>
      <c r="VPP41" s="543"/>
      <c r="VPQ41" s="543"/>
      <c r="VPR41" s="543"/>
      <c r="VPS41" s="543"/>
      <c r="VPT41" s="543"/>
      <c r="VPU41" s="543"/>
      <c r="VPV41" s="543"/>
      <c r="VPW41" s="543"/>
      <c r="VPX41" s="543"/>
      <c r="VPY41" s="543"/>
      <c r="VPZ41" s="543"/>
      <c r="VQA41" s="543"/>
      <c r="VQB41" s="543"/>
      <c r="VQC41" s="543"/>
      <c r="VQD41" s="543"/>
      <c r="VQE41" s="543"/>
      <c r="VQF41" s="543"/>
      <c r="VQG41" s="543"/>
      <c r="VQH41" s="543"/>
      <c r="VQI41" s="543"/>
      <c r="VQJ41" s="543"/>
      <c r="VQK41" s="543"/>
      <c r="VQL41" s="543"/>
      <c r="VQM41" s="543"/>
      <c r="VQN41" s="543"/>
      <c r="VQO41" s="543"/>
      <c r="VQP41" s="543"/>
      <c r="VQQ41" s="543"/>
      <c r="VQR41" s="543"/>
      <c r="VQS41" s="543"/>
      <c r="VQT41" s="543"/>
      <c r="VQU41" s="543"/>
      <c r="VQV41" s="543"/>
      <c r="VQW41" s="543"/>
      <c r="VQX41" s="543"/>
      <c r="VQY41" s="543"/>
      <c r="VQZ41" s="543"/>
      <c r="VRA41" s="543"/>
      <c r="VRB41" s="543"/>
      <c r="VRC41" s="543"/>
      <c r="VRD41" s="543"/>
      <c r="VRE41" s="543"/>
      <c r="VRF41" s="543"/>
      <c r="VRG41" s="543"/>
      <c r="VRH41" s="543"/>
      <c r="VRI41" s="543"/>
      <c r="VRJ41" s="543"/>
      <c r="VRK41" s="543"/>
      <c r="VRL41" s="543"/>
      <c r="VRM41" s="543"/>
      <c r="VRN41" s="543"/>
      <c r="VRO41" s="543"/>
      <c r="VRP41" s="543"/>
      <c r="VRQ41" s="543"/>
      <c r="VRR41" s="543"/>
      <c r="VRS41" s="543"/>
      <c r="VRT41" s="543"/>
      <c r="VRU41" s="543"/>
      <c r="VRV41" s="543"/>
      <c r="VRW41" s="543"/>
      <c r="VRX41" s="543"/>
      <c r="VRY41" s="543"/>
      <c r="VRZ41" s="543"/>
      <c r="VSA41" s="543"/>
      <c r="VSB41" s="543"/>
      <c r="VSC41" s="543"/>
      <c r="VSD41" s="543"/>
      <c r="VSE41" s="543"/>
      <c r="VSF41" s="543"/>
      <c r="VSG41" s="543"/>
      <c r="VSH41" s="543"/>
      <c r="VSI41" s="543"/>
      <c r="VSJ41" s="543"/>
      <c r="VSK41" s="543"/>
      <c r="VSL41" s="543"/>
      <c r="VSM41" s="543"/>
      <c r="VSN41" s="543"/>
      <c r="VSO41" s="543"/>
      <c r="VSP41" s="543"/>
      <c r="VSQ41" s="543"/>
      <c r="VSR41" s="543"/>
      <c r="VSS41" s="543"/>
      <c r="VST41" s="543"/>
      <c r="VSU41" s="543"/>
      <c r="VSV41" s="543"/>
      <c r="VSW41" s="543"/>
      <c r="VSX41" s="543"/>
      <c r="VSY41" s="543"/>
      <c r="VSZ41" s="543"/>
      <c r="VTA41" s="543"/>
      <c r="VTB41" s="543"/>
      <c r="VTC41" s="543"/>
      <c r="VTD41" s="543"/>
      <c r="VTE41" s="543"/>
      <c r="VTF41" s="543"/>
      <c r="VTG41" s="543"/>
      <c r="VTH41" s="543"/>
      <c r="VTI41" s="543"/>
      <c r="VTJ41" s="543"/>
      <c r="VTK41" s="543"/>
      <c r="VTL41" s="543"/>
      <c r="VTM41" s="543"/>
      <c r="VTN41" s="543"/>
      <c r="VTO41" s="543"/>
      <c r="VTP41" s="543"/>
      <c r="VTQ41" s="543"/>
      <c r="VTR41" s="543"/>
      <c r="VTS41" s="543"/>
      <c r="VTT41" s="543"/>
      <c r="VTU41" s="543"/>
      <c r="VTV41" s="543"/>
      <c r="VTW41" s="543"/>
      <c r="VTX41" s="543"/>
      <c r="VTY41" s="543"/>
      <c r="VTZ41" s="543"/>
      <c r="VUA41" s="543"/>
      <c r="VUB41" s="543"/>
      <c r="VUC41" s="543"/>
      <c r="VUD41" s="543"/>
      <c r="VUE41" s="543"/>
      <c r="VUF41" s="543"/>
      <c r="VUG41" s="543"/>
      <c r="VUH41" s="543"/>
      <c r="VUI41" s="543"/>
      <c r="VUJ41" s="543"/>
      <c r="VUK41" s="543"/>
      <c r="VUL41" s="543"/>
      <c r="VUM41" s="543"/>
      <c r="VUN41" s="543"/>
      <c r="VUO41" s="543"/>
      <c r="VUP41" s="543"/>
      <c r="VUQ41" s="543"/>
      <c r="VUR41" s="543"/>
      <c r="VUS41" s="543"/>
      <c r="VUT41" s="543"/>
      <c r="VUU41" s="543"/>
      <c r="VUV41" s="543"/>
      <c r="VUW41" s="543"/>
      <c r="VUX41" s="543"/>
      <c r="VUY41" s="543"/>
      <c r="VUZ41" s="543"/>
      <c r="VVA41" s="543"/>
      <c r="VVB41" s="543"/>
      <c r="VVC41" s="543"/>
      <c r="VVD41" s="543"/>
      <c r="VVE41" s="543"/>
      <c r="VVF41" s="543"/>
      <c r="VVG41" s="543"/>
      <c r="VVH41" s="543"/>
      <c r="VVI41" s="543"/>
      <c r="VVJ41" s="543"/>
      <c r="VVK41" s="543"/>
      <c r="VVL41" s="543"/>
      <c r="VVM41" s="543"/>
      <c r="VVN41" s="543"/>
      <c r="VVO41" s="543"/>
      <c r="VVP41" s="543"/>
      <c r="VVQ41" s="543"/>
      <c r="VVR41" s="543"/>
      <c r="VVS41" s="543"/>
      <c r="VVT41" s="543"/>
      <c r="VVU41" s="543"/>
      <c r="VVV41" s="543"/>
      <c r="VVW41" s="543"/>
      <c r="VVX41" s="543"/>
      <c r="VVY41" s="543"/>
      <c r="VVZ41" s="543"/>
      <c r="VWA41" s="543"/>
      <c r="VWB41" s="543"/>
      <c r="VWC41" s="543"/>
      <c r="VWD41" s="543"/>
      <c r="VWE41" s="543"/>
      <c r="VWF41" s="543"/>
      <c r="VWG41" s="543"/>
      <c r="VWH41" s="543"/>
      <c r="VWI41" s="543"/>
      <c r="VWJ41" s="543"/>
      <c r="VWK41" s="543"/>
      <c r="VWL41" s="543"/>
      <c r="VWM41" s="543"/>
      <c r="VWN41" s="543"/>
      <c r="VWO41" s="543"/>
      <c r="VWP41" s="543"/>
      <c r="VWQ41" s="543"/>
      <c r="VWR41" s="543"/>
      <c r="VWS41" s="543"/>
      <c r="VWT41" s="543"/>
      <c r="VWU41" s="543"/>
      <c r="VWV41" s="543"/>
      <c r="VWW41" s="543"/>
      <c r="VWX41" s="543"/>
      <c r="VWY41" s="543"/>
      <c r="VWZ41" s="543"/>
      <c r="VXA41" s="543"/>
      <c r="VXB41" s="543"/>
      <c r="VXC41" s="543"/>
      <c r="VXD41" s="543"/>
      <c r="VXE41" s="543"/>
      <c r="VXF41" s="543"/>
      <c r="VXG41" s="543"/>
      <c r="VXH41" s="543"/>
      <c r="VXI41" s="543"/>
      <c r="VXJ41" s="543"/>
      <c r="VXK41" s="543"/>
      <c r="VXL41" s="543"/>
      <c r="VXM41" s="543"/>
      <c r="VXN41" s="543"/>
      <c r="VXO41" s="543"/>
      <c r="VXP41" s="543"/>
      <c r="VXQ41" s="543"/>
      <c r="VXR41" s="543"/>
      <c r="VXS41" s="543"/>
      <c r="VXT41" s="543"/>
      <c r="VXU41" s="543"/>
      <c r="VXV41" s="543"/>
      <c r="VXW41" s="543"/>
      <c r="VXX41" s="543"/>
      <c r="VXY41" s="543"/>
      <c r="VXZ41" s="543"/>
      <c r="VYA41" s="543"/>
      <c r="VYB41" s="543"/>
      <c r="VYC41" s="543"/>
      <c r="VYD41" s="543"/>
      <c r="VYE41" s="543"/>
      <c r="VYF41" s="543"/>
      <c r="VYG41" s="543"/>
      <c r="VYH41" s="543"/>
      <c r="VYI41" s="543"/>
      <c r="VYJ41" s="543"/>
      <c r="VYK41" s="543"/>
      <c r="VYL41" s="543"/>
      <c r="VYM41" s="543"/>
      <c r="VYN41" s="543"/>
      <c r="VYO41" s="543"/>
      <c r="VYP41" s="543"/>
      <c r="VYQ41" s="543"/>
      <c r="VYR41" s="543"/>
      <c r="VYS41" s="543"/>
      <c r="VYT41" s="543"/>
      <c r="VYU41" s="543"/>
      <c r="VYV41" s="543"/>
      <c r="VYW41" s="543"/>
      <c r="VYX41" s="543"/>
      <c r="VYY41" s="543"/>
      <c r="VYZ41" s="543"/>
      <c r="VZA41" s="543"/>
      <c r="VZB41" s="543"/>
      <c r="VZC41" s="543"/>
      <c r="VZD41" s="543"/>
      <c r="VZE41" s="543"/>
      <c r="VZF41" s="543"/>
      <c r="VZG41" s="543"/>
      <c r="VZH41" s="543"/>
      <c r="VZI41" s="543"/>
      <c r="VZJ41" s="543"/>
      <c r="VZK41" s="543"/>
      <c r="VZL41" s="543"/>
      <c r="VZM41" s="543"/>
      <c r="VZN41" s="543"/>
      <c r="VZO41" s="543"/>
      <c r="VZP41" s="543"/>
      <c r="VZQ41" s="543"/>
      <c r="VZR41" s="543"/>
      <c r="VZS41" s="543"/>
      <c r="VZT41" s="543"/>
      <c r="VZU41" s="543"/>
      <c r="VZV41" s="543"/>
      <c r="VZW41" s="543"/>
      <c r="VZX41" s="543"/>
      <c r="VZY41" s="543"/>
      <c r="VZZ41" s="543"/>
      <c r="WAA41" s="543"/>
      <c r="WAB41" s="543"/>
      <c r="WAC41" s="543"/>
      <c r="WAD41" s="543"/>
      <c r="WAE41" s="543"/>
      <c r="WAF41" s="543"/>
      <c r="WAG41" s="543"/>
      <c r="WAH41" s="543"/>
      <c r="WAI41" s="543"/>
      <c r="WAJ41" s="543"/>
      <c r="WAK41" s="543"/>
      <c r="WAL41" s="543"/>
      <c r="WAM41" s="543"/>
      <c r="WAN41" s="543"/>
      <c r="WAO41" s="543"/>
      <c r="WAP41" s="543"/>
      <c r="WAQ41" s="543"/>
      <c r="WAR41" s="543"/>
      <c r="WAS41" s="543"/>
      <c r="WAT41" s="543"/>
      <c r="WAU41" s="543"/>
      <c r="WAV41" s="543"/>
      <c r="WAW41" s="543"/>
      <c r="WAX41" s="543"/>
      <c r="WAY41" s="543"/>
      <c r="WAZ41" s="543"/>
      <c r="WBA41" s="543"/>
      <c r="WBB41" s="543"/>
      <c r="WBC41" s="543"/>
      <c r="WBD41" s="543"/>
      <c r="WBE41" s="543"/>
      <c r="WBF41" s="543"/>
      <c r="WBG41" s="543"/>
      <c r="WBH41" s="543"/>
      <c r="WBI41" s="543"/>
      <c r="WBJ41" s="543"/>
      <c r="WBK41" s="543"/>
      <c r="WBL41" s="543"/>
      <c r="WBM41" s="543"/>
      <c r="WBN41" s="543"/>
      <c r="WBO41" s="543"/>
      <c r="WBP41" s="543"/>
      <c r="WBQ41" s="543"/>
      <c r="WBR41" s="543"/>
      <c r="WBS41" s="543"/>
      <c r="WBT41" s="543"/>
      <c r="WBU41" s="543"/>
      <c r="WBV41" s="543"/>
      <c r="WBW41" s="543"/>
      <c r="WBX41" s="543"/>
      <c r="WBY41" s="543"/>
      <c r="WBZ41" s="543"/>
      <c r="WCA41" s="543"/>
      <c r="WCB41" s="543"/>
      <c r="WCC41" s="543"/>
      <c r="WCD41" s="543"/>
      <c r="WCE41" s="543"/>
      <c r="WCF41" s="543"/>
      <c r="WCG41" s="543"/>
      <c r="WCH41" s="543"/>
      <c r="WCI41" s="543"/>
      <c r="WCJ41" s="543"/>
      <c r="WCK41" s="543"/>
      <c r="WCL41" s="543"/>
      <c r="WCM41" s="543"/>
      <c r="WCN41" s="543"/>
      <c r="WCO41" s="543"/>
      <c r="WCP41" s="543"/>
      <c r="WCQ41" s="543"/>
      <c r="WCR41" s="543"/>
      <c r="WCS41" s="543"/>
      <c r="WCT41" s="543"/>
      <c r="WCU41" s="543"/>
      <c r="WCV41" s="543"/>
      <c r="WCW41" s="543"/>
      <c r="WCX41" s="543"/>
      <c r="WCY41" s="543"/>
      <c r="WCZ41" s="543"/>
      <c r="WDA41" s="543"/>
      <c r="WDB41" s="543"/>
      <c r="WDC41" s="543"/>
      <c r="WDD41" s="543"/>
      <c r="WDE41" s="543"/>
      <c r="WDF41" s="543"/>
      <c r="WDG41" s="543"/>
      <c r="WDH41" s="543"/>
      <c r="WDI41" s="543"/>
      <c r="WDJ41" s="543"/>
      <c r="WDK41" s="543"/>
      <c r="WDL41" s="543"/>
      <c r="WDM41" s="543"/>
      <c r="WDN41" s="543"/>
      <c r="WDO41" s="543"/>
      <c r="WDP41" s="543"/>
      <c r="WDQ41" s="543"/>
      <c r="WDR41" s="543"/>
      <c r="WDS41" s="543"/>
      <c r="WDT41" s="543"/>
      <c r="WDU41" s="543"/>
      <c r="WDV41" s="543"/>
      <c r="WDW41" s="543"/>
      <c r="WDX41" s="543"/>
      <c r="WDY41" s="543"/>
      <c r="WDZ41" s="543"/>
      <c r="WEA41" s="543"/>
      <c r="WEB41" s="543"/>
      <c r="WEC41" s="543"/>
      <c r="WED41" s="543"/>
      <c r="WEE41" s="543"/>
      <c r="WEF41" s="543"/>
      <c r="WEG41" s="543"/>
      <c r="WEH41" s="543"/>
      <c r="WEI41" s="543"/>
      <c r="WEJ41" s="543"/>
      <c r="WEK41" s="543"/>
      <c r="WEL41" s="543"/>
      <c r="WEM41" s="543"/>
      <c r="WEN41" s="543"/>
      <c r="WEO41" s="543"/>
      <c r="WEP41" s="543"/>
      <c r="WEQ41" s="543"/>
      <c r="WER41" s="543"/>
      <c r="WES41" s="543"/>
      <c r="WET41" s="543"/>
      <c r="WEU41" s="543"/>
      <c r="WEV41" s="543"/>
      <c r="WEW41" s="543"/>
      <c r="WEX41" s="543"/>
      <c r="WEY41" s="543"/>
      <c r="WEZ41" s="543"/>
      <c r="WFA41" s="543"/>
      <c r="WFB41" s="543"/>
      <c r="WFC41" s="543"/>
      <c r="WFD41" s="543"/>
      <c r="WFE41" s="543"/>
      <c r="WFF41" s="543"/>
      <c r="WFG41" s="543"/>
      <c r="WFH41" s="543"/>
      <c r="WFI41" s="543"/>
      <c r="WFJ41" s="543"/>
      <c r="WFK41" s="543"/>
      <c r="WFL41" s="543"/>
      <c r="WFM41" s="543"/>
      <c r="WFN41" s="543"/>
      <c r="WFO41" s="543"/>
      <c r="WFP41" s="543"/>
      <c r="WFQ41" s="543"/>
      <c r="WFR41" s="543"/>
      <c r="WFS41" s="543"/>
      <c r="WFT41" s="543"/>
      <c r="WFU41" s="543"/>
      <c r="WFV41" s="543"/>
      <c r="WFW41" s="543"/>
      <c r="WFX41" s="543"/>
      <c r="WFY41" s="543"/>
      <c r="WFZ41" s="543"/>
      <c r="WGA41" s="543"/>
      <c r="WGB41" s="543"/>
      <c r="WGC41" s="543"/>
      <c r="WGD41" s="543"/>
      <c r="WGE41" s="543"/>
      <c r="WGF41" s="543"/>
      <c r="WGG41" s="543"/>
      <c r="WGH41" s="543"/>
      <c r="WGI41" s="543"/>
      <c r="WGJ41" s="543"/>
      <c r="WGK41" s="543"/>
      <c r="WGL41" s="543"/>
      <c r="WGM41" s="543"/>
      <c r="WGN41" s="543"/>
      <c r="WGO41" s="543"/>
      <c r="WGP41" s="543"/>
      <c r="WGQ41" s="543"/>
      <c r="WGR41" s="543"/>
      <c r="WGS41" s="543"/>
      <c r="WGT41" s="543"/>
      <c r="WGU41" s="543"/>
      <c r="WGV41" s="543"/>
      <c r="WGW41" s="543"/>
      <c r="WGX41" s="543"/>
      <c r="WGY41" s="543"/>
      <c r="WGZ41" s="543"/>
      <c r="WHA41" s="543"/>
      <c r="WHB41" s="543"/>
      <c r="WHC41" s="543"/>
      <c r="WHD41" s="543"/>
      <c r="WHE41" s="543"/>
      <c r="WHF41" s="543"/>
      <c r="WHG41" s="543"/>
      <c r="WHH41" s="543"/>
      <c r="WHI41" s="543"/>
      <c r="WHJ41" s="543"/>
      <c r="WHK41" s="543"/>
      <c r="WHL41" s="543"/>
      <c r="WHM41" s="543"/>
      <c r="WHN41" s="543"/>
      <c r="WHO41" s="543"/>
      <c r="WHP41" s="543"/>
      <c r="WHQ41" s="543"/>
      <c r="WHR41" s="543"/>
      <c r="WHS41" s="543"/>
      <c r="WHT41" s="543"/>
      <c r="WHU41" s="543"/>
      <c r="WHV41" s="543"/>
      <c r="WHW41" s="543"/>
      <c r="WHX41" s="543"/>
      <c r="WHY41" s="543"/>
      <c r="WHZ41" s="543"/>
      <c r="WIA41" s="543"/>
      <c r="WIB41" s="543"/>
      <c r="WIC41" s="543"/>
      <c r="WID41" s="543"/>
      <c r="WIE41" s="543"/>
      <c r="WIF41" s="543"/>
      <c r="WIG41" s="543"/>
      <c r="WIH41" s="543"/>
      <c r="WII41" s="543"/>
      <c r="WIJ41" s="543"/>
      <c r="WIK41" s="543"/>
      <c r="WIL41" s="543"/>
      <c r="WIM41" s="543"/>
      <c r="WIN41" s="543"/>
      <c r="WIO41" s="543"/>
      <c r="WIP41" s="543"/>
      <c r="WIQ41" s="543"/>
      <c r="WIR41" s="543"/>
      <c r="WIS41" s="543"/>
      <c r="WIT41" s="543"/>
      <c r="WIU41" s="543"/>
      <c r="WIV41" s="543"/>
      <c r="WIW41" s="543"/>
      <c r="WIX41" s="543"/>
      <c r="WIY41" s="543"/>
      <c r="WIZ41" s="543"/>
      <c r="WJA41" s="543"/>
      <c r="WJB41" s="543"/>
      <c r="WJC41" s="543"/>
      <c r="WJD41" s="543"/>
      <c r="WJE41" s="543"/>
      <c r="WJF41" s="543"/>
      <c r="WJG41" s="543"/>
      <c r="WJH41" s="543"/>
      <c r="WJI41" s="543"/>
      <c r="WJJ41" s="543"/>
      <c r="WJK41" s="543"/>
      <c r="WJL41" s="543"/>
      <c r="WJM41" s="543"/>
      <c r="WJN41" s="543"/>
      <c r="WJO41" s="543"/>
      <c r="WJP41" s="543"/>
      <c r="WJQ41" s="543"/>
      <c r="WJR41" s="543"/>
      <c r="WJS41" s="543"/>
      <c r="WJT41" s="543"/>
      <c r="WJU41" s="543"/>
      <c r="WJV41" s="543"/>
      <c r="WJW41" s="543"/>
      <c r="WJX41" s="543"/>
      <c r="WJY41" s="543"/>
      <c r="WJZ41" s="543"/>
      <c r="WKA41" s="543"/>
      <c r="WKB41" s="543"/>
      <c r="WKC41" s="543"/>
      <c r="WKD41" s="543"/>
      <c r="WKE41" s="543"/>
      <c r="WKF41" s="543"/>
      <c r="WKG41" s="543"/>
      <c r="WKH41" s="543"/>
      <c r="WKI41" s="543"/>
      <c r="WKJ41" s="543"/>
      <c r="WKK41" s="543"/>
      <c r="WKL41" s="543"/>
      <c r="WKM41" s="543"/>
      <c r="WKN41" s="543"/>
      <c r="WKO41" s="543"/>
      <c r="WKP41" s="543"/>
      <c r="WKQ41" s="543"/>
      <c r="WKR41" s="543"/>
      <c r="WKS41" s="543"/>
      <c r="WKT41" s="543"/>
      <c r="WKU41" s="543"/>
      <c r="WKV41" s="543"/>
      <c r="WKW41" s="543"/>
      <c r="WKX41" s="543"/>
      <c r="WKY41" s="543"/>
      <c r="WKZ41" s="543"/>
      <c r="WLA41" s="543"/>
      <c r="WLB41" s="543"/>
      <c r="WLC41" s="543"/>
      <c r="WLD41" s="543"/>
      <c r="WLE41" s="543"/>
      <c r="WLF41" s="543"/>
      <c r="WLG41" s="543"/>
      <c r="WLH41" s="543"/>
      <c r="WLI41" s="543"/>
      <c r="WLJ41" s="543"/>
      <c r="WLK41" s="543"/>
      <c r="WLL41" s="543"/>
      <c r="WLM41" s="543"/>
      <c r="WLN41" s="543"/>
      <c r="WLO41" s="543"/>
      <c r="WLP41" s="543"/>
      <c r="WLQ41" s="543"/>
      <c r="WLR41" s="543"/>
      <c r="WLS41" s="543"/>
      <c r="WLT41" s="543"/>
      <c r="WLU41" s="543"/>
      <c r="WLV41" s="543"/>
      <c r="WLW41" s="543"/>
      <c r="WLX41" s="543"/>
      <c r="WLY41" s="543"/>
      <c r="WLZ41" s="543"/>
      <c r="WMA41" s="543"/>
      <c r="WMB41" s="543"/>
      <c r="WMC41" s="543"/>
      <c r="WMD41" s="543"/>
      <c r="WME41" s="543"/>
      <c r="WMF41" s="543"/>
      <c r="WMG41" s="543"/>
      <c r="WMH41" s="543"/>
      <c r="WMI41" s="543"/>
      <c r="WMJ41" s="543"/>
      <c r="WMK41" s="543"/>
      <c r="WML41" s="543"/>
      <c r="WMM41" s="543"/>
      <c r="WMN41" s="543"/>
      <c r="WMO41" s="543"/>
      <c r="WMP41" s="543"/>
      <c r="WMQ41" s="543"/>
      <c r="WMR41" s="543"/>
      <c r="WMS41" s="543"/>
      <c r="WMT41" s="543"/>
      <c r="WMU41" s="543"/>
      <c r="WMV41" s="543"/>
      <c r="WMW41" s="543"/>
      <c r="WMX41" s="543"/>
      <c r="WMY41" s="543"/>
      <c r="WMZ41" s="543"/>
      <c r="WNA41" s="543"/>
      <c r="WNB41" s="543"/>
      <c r="WNC41" s="543"/>
      <c r="WND41" s="543"/>
      <c r="WNE41" s="543"/>
      <c r="WNF41" s="543"/>
      <c r="WNG41" s="543"/>
      <c r="WNH41" s="543"/>
      <c r="WNI41" s="543"/>
      <c r="WNJ41" s="543"/>
      <c r="WNK41" s="543"/>
      <c r="WNL41" s="543"/>
      <c r="WNM41" s="543"/>
      <c r="WNN41" s="543"/>
      <c r="WNO41" s="543"/>
      <c r="WNP41" s="543"/>
      <c r="WNQ41" s="543"/>
      <c r="WNR41" s="543"/>
      <c r="WNS41" s="543"/>
      <c r="WNT41" s="543"/>
      <c r="WNU41" s="543"/>
      <c r="WNV41" s="543"/>
      <c r="WNW41" s="543"/>
      <c r="WNX41" s="543"/>
      <c r="WNY41" s="543"/>
      <c r="WNZ41" s="543"/>
      <c r="WOA41" s="543"/>
      <c r="WOB41" s="543"/>
      <c r="WOC41" s="543"/>
      <c r="WOD41" s="543"/>
      <c r="WOE41" s="543"/>
      <c r="WOF41" s="543"/>
      <c r="WOG41" s="543"/>
      <c r="WOH41" s="543"/>
      <c r="WOI41" s="543"/>
      <c r="WOJ41" s="543"/>
      <c r="WOK41" s="543"/>
      <c r="WOL41" s="543"/>
      <c r="WOM41" s="543"/>
      <c r="WON41" s="543"/>
      <c r="WOO41" s="543"/>
      <c r="WOP41" s="543"/>
      <c r="WOQ41" s="543"/>
      <c r="WOR41" s="543"/>
      <c r="WOS41" s="543"/>
      <c r="WOT41" s="543"/>
      <c r="WOU41" s="543"/>
      <c r="WOV41" s="543"/>
      <c r="WOW41" s="543"/>
      <c r="WOX41" s="543"/>
      <c r="WOY41" s="543"/>
      <c r="WOZ41" s="543"/>
      <c r="WPA41" s="543"/>
      <c r="WPB41" s="543"/>
      <c r="WPC41" s="543"/>
      <c r="WPD41" s="543"/>
      <c r="WPE41" s="543"/>
      <c r="WPF41" s="543"/>
      <c r="WPG41" s="543"/>
      <c r="WPH41" s="543"/>
      <c r="WPI41" s="543"/>
      <c r="WPJ41" s="543"/>
      <c r="WPK41" s="543"/>
      <c r="WPL41" s="543"/>
      <c r="WPM41" s="543"/>
      <c r="WPN41" s="543"/>
      <c r="WPO41" s="543"/>
      <c r="WPP41" s="543"/>
      <c r="WPQ41" s="543"/>
      <c r="WPR41" s="543"/>
      <c r="WPS41" s="543"/>
      <c r="WPT41" s="543"/>
      <c r="WPU41" s="543"/>
      <c r="WPV41" s="543"/>
      <c r="WPW41" s="543"/>
      <c r="WPX41" s="543"/>
      <c r="WPY41" s="543"/>
      <c r="WPZ41" s="543"/>
      <c r="WQA41" s="543"/>
      <c r="WQB41" s="543"/>
      <c r="WQC41" s="543"/>
      <c r="WQD41" s="543"/>
      <c r="WQE41" s="543"/>
      <c r="WQF41" s="543"/>
      <c r="WQG41" s="543"/>
      <c r="WQH41" s="543"/>
      <c r="WQI41" s="543"/>
      <c r="WQJ41" s="543"/>
      <c r="WQK41" s="543"/>
      <c r="WQL41" s="543"/>
      <c r="WQM41" s="543"/>
      <c r="WQN41" s="543"/>
      <c r="WQO41" s="543"/>
      <c r="WQP41" s="543"/>
      <c r="WQQ41" s="543"/>
      <c r="WQR41" s="543"/>
      <c r="WQS41" s="543"/>
      <c r="WQT41" s="543"/>
      <c r="WQU41" s="543"/>
      <c r="WQV41" s="543"/>
      <c r="WQW41" s="543"/>
      <c r="WQX41" s="543"/>
      <c r="WQY41" s="543"/>
      <c r="WQZ41" s="543"/>
      <c r="WRA41" s="543"/>
      <c r="WRB41" s="543"/>
      <c r="WRC41" s="543"/>
      <c r="WRD41" s="543"/>
      <c r="WRE41" s="543"/>
      <c r="WRF41" s="543"/>
      <c r="WRG41" s="543"/>
      <c r="WRH41" s="543"/>
      <c r="WRI41" s="543"/>
      <c r="WRJ41" s="543"/>
      <c r="WRK41" s="543"/>
      <c r="WRL41" s="543"/>
      <c r="WRM41" s="543"/>
      <c r="WRN41" s="543"/>
      <c r="WRO41" s="543"/>
      <c r="WRP41" s="543"/>
      <c r="WRQ41" s="543"/>
      <c r="WRR41" s="543"/>
      <c r="WRS41" s="543"/>
      <c r="WRT41" s="543"/>
      <c r="WRU41" s="543"/>
      <c r="WRV41" s="543"/>
      <c r="WRW41" s="543"/>
      <c r="WRX41" s="543"/>
      <c r="WRY41" s="543"/>
      <c r="WRZ41" s="543"/>
      <c r="WSA41" s="543"/>
      <c r="WSB41" s="543"/>
      <c r="WSC41" s="543"/>
      <c r="WSD41" s="543"/>
      <c r="WSE41" s="543"/>
      <c r="WSF41" s="543"/>
      <c r="WSG41" s="543"/>
      <c r="WSH41" s="543"/>
      <c r="WSI41" s="543"/>
      <c r="WSJ41" s="543"/>
      <c r="WSK41" s="543"/>
      <c r="WSL41" s="543"/>
      <c r="WSM41" s="543"/>
      <c r="WSN41" s="543"/>
      <c r="WSO41" s="543"/>
      <c r="WSP41" s="543"/>
      <c r="WSQ41" s="543"/>
      <c r="WSR41" s="543"/>
      <c r="WSS41" s="543"/>
      <c r="WST41" s="543"/>
      <c r="WSU41" s="543"/>
      <c r="WSV41" s="543"/>
      <c r="WSW41" s="543"/>
      <c r="WSX41" s="543"/>
      <c r="WSY41" s="543"/>
      <c r="WSZ41" s="543"/>
      <c r="WTA41" s="543"/>
      <c r="WTB41" s="543"/>
      <c r="WTC41" s="543"/>
      <c r="WTD41" s="543"/>
      <c r="WTE41" s="543"/>
      <c r="WTF41" s="543"/>
      <c r="WTG41" s="543"/>
      <c r="WTH41" s="543"/>
      <c r="WTI41" s="543"/>
      <c r="WTJ41" s="543"/>
      <c r="WTK41" s="543"/>
      <c r="WTL41" s="543"/>
      <c r="WTM41" s="543"/>
      <c r="WTN41" s="543"/>
      <c r="WTO41" s="543"/>
      <c r="WTP41" s="543"/>
      <c r="WTQ41" s="543"/>
      <c r="WTR41" s="543"/>
      <c r="WTS41" s="543"/>
      <c r="WTT41" s="543"/>
      <c r="WTU41" s="543"/>
      <c r="WTV41" s="543"/>
      <c r="WTW41" s="543"/>
      <c r="WTX41" s="543"/>
      <c r="WTY41" s="543"/>
      <c r="WTZ41" s="543"/>
      <c r="WUA41" s="543"/>
      <c r="WUB41" s="543"/>
      <c r="WUC41" s="543"/>
      <c r="WUD41" s="543"/>
      <c r="WUE41" s="543"/>
      <c r="WUF41" s="543"/>
      <c r="WUG41" s="543"/>
      <c r="WUH41" s="543"/>
      <c r="WUI41" s="543"/>
      <c r="WUJ41" s="543"/>
      <c r="WUK41" s="543"/>
      <c r="WUL41" s="543"/>
      <c r="WUM41" s="543"/>
      <c r="WUN41" s="543"/>
      <c r="WUO41" s="543"/>
      <c r="WUP41" s="543"/>
      <c r="WUQ41" s="543"/>
      <c r="WUR41" s="543"/>
      <c r="WUS41" s="543"/>
      <c r="WUT41" s="543"/>
      <c r="WUU41" s="543"/>
      <c r="WUV41" s="543"/>
      <c r="WUW41" s="543"/>
      <c r="WUX41" s="543"/>
      <c r="WUY41" s="543"/>
      <c r="WUZ41" s="543"/>
      <c r="WVA41" s="543"/>
      <c r="WVB41" s="543"/>
      <c r="WVC41" s="543"/>
      <c r="WVD41" s="543"/>
      <c r="WVE41" s="543"/>
      <c r="WVF41" s="543"/>
      <c r="WVG41" s="543"/>
      <c r="WVH41" s="543"/>
      <c r="WVI41" s="543"/>
      <c r="WVJ41" s="543"/>
      <c r="WVK41" s="543"/>
      <c r="WVL41" s="543"/>
      <c r="WVM41" s="543"/>
      <c r="WVN41" s="543"/>
      <c r="WVO41" s="543"/>
      <c r="WVP41" s="543"/>
      <c r="WVQ41" s="543"/>
      <c r="WVR41" s="543"/>
      <c r="WVS41" s="543"/>
      <c r="WVT41" s="543"/>
      <c r="WVU41" s="543"/>
      <c r="WVV41" s="543"/>
      <c r="WVW41" s="543"/>
      <c r="WVX41" s="543"/>
      <c r="WVY41" s="543"/>
      <c r="WVZ41" s="543"/>
      <c r="WWA41" s="543"/>
      <c r="WWB41" s="543"/>
      <c r="WWC41" s="543"/>
      <c r="WWD41" s="543"/>
      <c r="WWE41" s="543"/>
      <c r="WWF41" s="543"/>
      <c r="WWG41" s="543"/>
      <c r="WWH41" s="543"/>
      <c r="WWI41" s="543"/>
      <c r="WWJ41" s="543"/>
      <c r="WWK41" s="543"/>
      <c r="WWL41" s="543"/>
      <c r="WWM41" s="543"/>
      <c r="WWN41" s="543"/>
      <c r="WWO41" s="543"/>
      <c r="WWP41" s="543"/>
      <c r="WWQ41" s="543"/>
      <c r="WWR41" s="543"/>
      <c r="WWS41" s="543"/>
      <c r="WWT41" s="543"/>
      <c r="WWU41" s="543"/>
      <c r="WWV41" s="543"/>
      <c r="WWW41" s="543"/>
      <c r="WWX41" s="543"/>
      <c r="WWY41" s="543"/>
      <c r="WWZ41" s="543"/>
      <c r="WXA41" s="543"/>
      <c r="WXB41" s="543"/>
      <c r="WXC41" s="543"/>
      <c r="WXD41" s="543"/>
      <c r="WXE41" s="543"/>
      <c r="WXF41" s="543"/>
      <c r="WXG41" s="543"/>
      <c r="WXH41" s="543"/>
      <c r="WXI41" s="543"/>
      <c r="WXJ41" s="543"/>
      <c r="WXK41" s="543"/>
      <c r="WXL41" s="543"/>
      <c r="WXM41" s="543"/>
      <c r="WXN41" s="543"/>
      <c r="WXO41" s="543"/>
      <c r="WXP41" s="543"/>
      <c r="WXQ41" s="543"/>
      <c r="WXR41" s="543"/>
      <c r="WXS41" s="543"/>
      <c r="WXT41" s="543"/>
      <c r="WXU41" s="543"/>
      <c r="WXV41" s="543"/>
      <c r="WXW41" s="543"/>
      <c r="WXX41" s="543"/>
      <c r="WXY41" s="543"/>
      <c r="WXZ41" s="543"/>
      <c r="WYA41" s="543"/>
      <c r="WYB41" s="543"/>
      <c r="WYC41" s="543"/>
      <c r="WYD41" s="543"/>
      <c r="WYE41" s="543"/>
      <c r="WYF41" s="543"/>
      <c r="WYG41" s="543"/>
      <c r="WYH41" s="543"/>
      <c r="WYI41" s="543"/>
      <c r="WYJ41" s="543"/>
      <c r="WYK41" s="543"/>
      <c r="WYL41" s="543"/>
      <c r="WYM41" s="543"/>
      <c r="WYN41" s="543"/>
      <c r="WYO41" s="543"/>
      <c r="WYP41" s="543"/>
      <c r="WYQ41" s="543"/>
      <c r="WYR41" s="543"/>
      <c r="WYS41" s="543"/>
      <c r="WYT41" s="543"/>
      <c r="WYU41" s="543"/>
      <c r="WYV41" s="543"/>
      <c r="WYW41" s="543"/>
      <c r="WYX41" s="543"/>
      <c r="WYY41" s="543"/>
      <c r="WYZ41" s="543"/>
      <c r="WZA41" s="543"/>
      <c r="WZB41" s="543"/>
      <c r="WZC41" s="543"/>
      <c r="WZD41" s="543"/>
      <c r="WZE41" s="543"/>
      <c r="WZF41" s="543"/>
      <c r="WZG41" s="543"/>
      <c r="WZH41" s="543"/>
      <c r="WZI41" s="543"/>
      <c r="WZJ41" s="543"/>
      <c r="WZK41" s="543"/>
      <c r="WZL41" s="543"/>
      <c r="WZM41" s="543"/>
      <c r="WZN41" s="543"/>
      <c r="WZO41" s="543"/>
      <c r="WZP41" s="543"/>
      <c r="WZQ41" s="543"/>
      <c r="WZR41" s="543"/>
      <c r="WZS41" s="543"/>
      <c r="WZT41" s="543"/>
      <c r="WZU41" s="543"/>
      <c r="WZV41" s="543"/>
      <c r="WZW41" s="543"/>
      <c r="WZX41" s="543"/>
      <c r="WZY41" s="543"/>
      <c r="WZZ41" s="543"/>
      <c r="XAA41" s="543"/>
      <c r="XAB41" s="543"/>
      <c r="XAC41" s="543"/>
      <c r="XAD41" s="543"/>
      <c r="XAE41" s="543"/>
      <c r="XAF41" s="543"/>
      <c r="XAG41" s="543"/>
      <c r="XAH41" s="543"/>
      <c r="XAI41" s="543"/>
      <c r="XAJ41" s="543"/>
      <c r="XAK41" s="543"/>
      <c r="XAL41" s="543"/>
      <c r="XAM41" s="543"/>
      <c r="XAN41" s="543"/>
      <c r="XAO41" s="543"/>
      <c r="XAP41" s="543"/>
      <c r="XAQ41" s="543"/>
      <c r="XAR41" s="543"/>
      <c r="XAS41" s="543"/>
      <c r="XAT41" s="543"/>
      <c r="XAU41" s="543"/>
      <c r="XAV41" s="543"/>
      <c r="XAW41" s="543"/>
      <c r="XAX41" s="543"/>
      <c r="XAY41" s="543"/>
      <c r="XAZ41" s="543"/>
      <c r="XBA41" s="543"/>
      <c r="XBB41" s="543"/>
      <c r="XBC41" s="543"/>
      <c r="XBD41" s="543"/>
      <c r="XBE41" s="543"/>
      <c r="XBF41" s="543"/>
      <c r="XBG41" s="543"/>
      <c r="XBH41" s="543"/>
      <c r="XBI41" s="543"/>
      <c r="XBJ41" s="543"/>
      <c r="XBK41" s="543"/>
      <c r="XBL41" s="543"/>
      <c r="XBM41" s="543"/>
      <c r="XBN41" s="543"/>
      <c r="XBO41" s="543"/>
      <c r="XBP41" s="543"/>
      <c r="XBQ41" s="543"/>
      <c r="XBR41" s="543"/>
      <c r="XBS41" s="543"/>
      <c r="XBT41" s="543"/>
      <c r="XBU41" s="543"/>
      <c r="XBV41" s="543"/>
      <c r="XBW41" s="543"/>
      <c r="XBX41" s="543"/>
      <c r="XBY41" s="543"/>
      <c r="XBZ41" s="543"/>
      <c r="XCA41" s="543"/>
      <c r="XCB41" s="543"/>
      <c r="XCC41" s="543"/>
      <c r="XCD41" s="543"/>
      <c r="XCE41" s="543"/>
      <c r="XCF41" s="543"/>
      <c r="XCG41" s="543"/>
      <c r="XCH41" s="543"/>
      <c r="XCI41" s="543"/>
      <c r="XCJ41" s="543"/>
      <c r="XCK41" s="543"/>
      <c r="XCL41" s="543"/>
      <c r="XCM41" s="543"/>
      <c r="XCN41" s="543"/>
      <c r="XCO41" s="543"/>
      <c r="XCP41" s="543"/>
      <c r="XCQ41" s="543"/>
      <c r="XCR41" s="543"/>
      <c r="XCS41" s="543"/>
      <c r="XCT41" s="543"/>
      <c r="XCU41" s="543"/>
      <c r="XCV41" s="543"/>
      <c r="XCW41" s="543"/>
      <c r="XCX41" s="543"/>
      <c r="XCY41" s="543"/>
      <c r="XCZ41" s="543"/>
      <c r="XDA41" s="543"/>
      <c r="XDB41" s="543"/>
      <c r="XDC41" s="543"/>
      <c r="XDD41" s="543"/>
      <c r="XDE41" s="543"/>
      <c r="XDF41" s="543"/>
      <c r="XDG41" s="543"/>
      <c r="XDH41" s="543"/>
      <c r="XDI41" s="543"/>
      <c r="XDJ41" s="543"/>
      <c r="XDK41" s="543"/>
      <c r="XDL41" s="543"/>
      <c r="XDM41" s="543"/>
      <c r="XDN41" s="543"/>
      <c r="XDO41" s="543"/>
      <c r="XDP41" s="543"/>
      <c r="XDQ41" s="543"/>
      <c r="XDR41" s="543"/>
      <c r="XDS41" s="543"/>
      <c r="XDT41" s="543"/>
      <c r="XDU41" s="543"/>
      <c r="XDV41" s="543"/>
      <c r="XDW41" s="543"/>
      <c r="XDX41" s="543"/>
      <c r="XDY41" s="543"/>
      <c r="XDZ41" s="543"/>
      <c r="XEA41" s="543"/>
      <c r="XEB41" s="543"/>
      <c r="XEC41" s="543"/>
      <c r="XED41" s="543"/>
      <c r="XEE41" s="543"/>
      <c r="XEF41" s="543"/>
      <c r="XEG41" s="543"/>
      <c r="XEH41" s="543"/>
      <c r="XEI41" s="543"/>
      <c r="XEJ41" s="543"/>
      <c r="XEK41" s="543"/>
      <c r="XEL41" s="543"/>
      <c r="XEM41" s="543"/>
      <c r="XEN41" s="543"/>
      <c r="XEO41" s="543"/>
      <c r="XEP41" s="543"/>
      <c r="XEQ41" s="543"/>
      <c r="XER41" s="543"/>
      <c r="XES41" s="543"/>
      <c r="XET41" s="543"/>
      <c r="XEU41" s="543"/>
      <c r="XEV41" s="543"/>
      <c r="XEW41" s="543"/>
      <c r="XEX41" s="543"/>
      <c r="XEY41" s="543"/>
      <c r="XEZ41" s="543"/>
      <c r="XFA41" s="543"/>
    </row>
    <row r="43" spans="1:16381" ht="15" customHeight="1">
      <c r="A43" s="279" t="s">
        <v>138</v>
      </c>
      <c r="B43" s="280" t="s">
        <v>139</v>
      </c>
      <c r="C43" s="281" t="s">
        <v>147</v>
      </c>
      <c r="D43" s="265"/>
      <c r="E43" s="265"/>
    </row>
    <row r="44" spans="1:16381" ht="15" customHeight="1">
      <c r="A44" s="282"/>
      <c r="B44" s="280" t="s">
        <v>140</v>
      </c>
      <c r="C44" s="281" t="s">
        <v>146</v>
      </c>
      <c r="D44" s="265"/>
      <c r="E44" s="265"/>
    </row>
    <row r="45" spans="1:16381" ht="15" customHeight="1">
      <c r="A45" s="282"/>
      <c r="B45" s="283" t="s">
        <v>141</v>
      </c>
      <c r="C45" s="281" t="s">
        <v>142</v>
      </c>
      <c r="D45" s="265"/>
      <c r="E45" s="265"/>
    </row>
  </sheetData>
  <mergeCells count="208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M48"/>
  <sheetViews>
    <sheetView zoomScale="85" workbookViewId="0">
      <pane xSplit="5" ySplit="9" topLeftCell="F25" activePane="bottomRight" state="frozen"/>
      <selection activeCell="P221" sqref="P221"/>
      <selection pane="topRight" activeCell="P221" sqref="P221"/>
      <selection pane="bottomLeft" activeCell="P221" sqref="P221"/>
      <selection pane="bottomRight" activeCell="D46" sqref="D46"/>
    </sheetView>
  </sheetViews>
  <sheetFormatPr defaultColWidth="9.140625" defaultRowHeight="12.75"/>
  <cols>
    <col min="1" max="1" width="8" customWidth="1"/>
    <col min="4" max="4" width="12.5703125" customWidth="1"/>
    <col min="5" max="5" width="10" customWidth="1"/>
    <col min="6" max="6" width="10.5703125" bestFit="1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customWidth="1"/>
    <col min="28" max="28" width="8.28515625" customWidth="1"/>
    <col min="29" max="29" width="14.425781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0.5703125" hidden="1" customWidth="1"/>
    <col min="36" max="36" width="7" hidden="1" customWidth="1"/>
    <col min="37" max="37" width="10.5703125" hidden="1" customWidth="1"/>
    <col min="38" max="38" width="7" hidden="1" customWidth="1"/>
    <col min="39" max="39" width="11.5703125" customWidth="1"/>
    <col min="40" max="40" width="7" customWidth="1"/>
    <col min="41" max="41" width="11.5703125" customWidth="1"/>
    <col min="42" max="42" width="7" customWidth="1"/>
    <col min="43" max="55" width="13.42578125" hidden="1" customWidth="1"/>
    <col min="56" max="56" width="7.28515625" hidden="1" customWidth="1"/>
    <col min="57" max="57" width="13.42578125" hidden="1" customWidth="1"/>
    <col min="58" max="58" width="6" hidden="1" customWidth="1"/>
    <col min="59" max="70" width="13.42578125" hidden="1" customWidth="1"/>
    <col min="71" max="74" width="13.140625" hidden="1" customWidth="1"/>
    <col min="75" max="75" width="12.85546875" hidden="1" customWidth="1"/>
    <col min="76" max="76" width="7.7109375" hidden="1" customWidth="1"/>
    <col min="77" max="77" width="12.42578125" hidden="1" customWidth="1"/>
    <col min="78" max="78" width="7.7109375" hidden="1" customWidth="1"/>
    <col min="79" max="79" width="13.140625" hidden="1" customWidth="1"/>
    <col min="80" max="80" width="7.7109375" hidden="1" customWidth="1"/>
    <col min="81" max="81" width="13.140625" hidden="1" customWidth="1"/>
    <col min="82" max="82" width="8.85546875" hidden="1" customWidth="1"/>
    <col min="83" max="83" width="17.7109375" hidden="1" customWidth="1"/>
    <col min="84" max="84" width="9.28515625" hidden="1" customWidth="1"/>
    <col min="85" max="85" width="14.42578125" hidden="1" customWidth="1"/>
    <col min="86" max="86" width="8.140625" hidden="1" customWidth="1"/>
    <col min="87" max="87" width="17.7109375" hidden="1" customWidth="1"/>
    <col min="88" max="88" width="9.28515625" hidden="1" customWidth="1"/>
    <col min="89" max="89" width="14.42578125" hidden="1" customWidth="1"/>
    <col min="90" max="90" width="8.14062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3.140625" hidden="1" customWidth="1"/>
    <col min="96" max="96" width="7.7109375" hidden="1" customWidth="1"/>
    <col min="97" max="97" width="13.140625" hidden="1" customWidth="1"/>
    <col min="98" max="98" width="8.85546875" hidden="1" customWidth="1"/>
    <col min="99" max="99" width="13.140625" bestFit="1" customWidth="1"/>
    <col min="100" max="100" width="7.7109375" customWidth="1"/>
    <col min="101" max="101" width="13.140625" bestFit="1" customWidth="1"/>
    <col min="102" max="102" width="7.7109375" customWidth="1"/>
    <col min="103" max="103" width="13.28515625" hidden="1" customWidth="1"/>
    <col min="104" max="104" width="8.140625" hidden="1" customWidth="1"/>
    <col min="105" max="105" width="11.42578125" hidden="1" customWidth="1"/>
    <col min="106" max="106" width="7.7109375" hidden="1" customWidth="1"/>
    <col min="107" max="110" width="10.85546875" hidden="1" customWidth="1"/>
    <col min="111" max="111" width="17.7109375" bestFit="1" customWidth="1"/>
    <col min="112" max="112" width="14.42578125" bestFit="1" customWidth="1"/>
    <col min="113" max="113" width="8.85546875" bestFit="1" customWidth="1"/>
    <col min="114" max="114" width="10.28515625" bestFit="1" customWidth="1"/>
    <col min="115" max="115" width="13.28515625" bestFit="1" customWidth="1"/>
    <col min="116" max="116" width="10.42578125" bestFit="1" customWidth="1"/>
    <col min="117" max="117" width="12.28515625" customWidth="1"/>
  </cols>
  <sheetData>
    <row r="1" spans="1:117" ht="15.75">
      <c r="A1" s="153"/>
      <c r="AQ1">
        <v>1</v>
      </c>
      <c r="AU1">
        <v>1</v>
      </c>
      <c r="BZ1" s="4"/>
      <c r="CE1" s="257"/>
      <c r="CI1" s="257"/>
      <c r="CX1" t="s">
        <v>1</v>
      </c>
    </row>
    <row r="2" spans="1:117" ht="15.75">
      <c r="A2" s="153"/>
      <c r="CE2" s="257"/>
      <c r="CI2" s="257"/>
    </row>
    <row r="3" spans="1:117" ht="15">
      <c r="A3" s="155"/>
      <c r="CE3" s="257"/>
      <c r="CI3" s="257"/>
    </row>
    <row r="4" spans="1:117" ht="15.75">
      <c r="A4" s="156" t="s">
        <v>285</v>
      </c>
      <c r="G4" s="15"/>
      <c r="AQ4" s="15"/>
      <c r="AU4" s="15"/>
      <c r="AY4" s="15"/>
      <c r="BC4" s="15"/>
      <c r="BG4" s="15"/>
      <c r="BK4" s="15"/>
      <c r="CE4" s="257"/>
      <c r="CI4" s="257"/>
    </row>
    <row r="5" spans="1:117" ht="15.75">
      <c r="A5" s="156"/>
      <c r="G5" s="15"/>
      <c r="AQ5" s="15"/>
      <c r="AU5" s="15"/>
      <c r="AY5" s="15"/>
      <c r="BC5" s="15"/>
      <c r="BG5" s="15"/>
      <c r="BK5" s="15"/>
      <c r="CE5" s="15"/>
      <c r="CI5" s="15"/>
    </row>
    <row r="6" spans="1:117" ht="18">
      <c r="A6" s="258"/>
      <c r="AQ6" s="15"/>
      <c r="AU6" s="15"/>
      <c r="AY6" s="15"/>
      <c r="BC6" s="15"/>
      <c r="BG6" s="15"/>
      <c r="BK6" s="15"/>
      <c r="CE6" s="15"/>
      <c r="CI6" s="15"/>
      <c r="DD6" s="15"/>
      <c r="DE6" s="15"/>
      <c r="DF6" s="15"/>
      <c r="DH6" s="15"/>
    </row>
    <row r="7" spans="1:117" ht="16.5" thickBot="1">
      <c r="A7" s="259"/>
      <c r="B7" s="259"/>
      <c r="C7" s="259"/>
      <c r="D7" s="259"/>
      <c r="E7" s="259"/>
      <c r="F7" s="259"/>
      <c r="G7" s="497">
        <v>250</v>
      </c>
      <c r="K7" s="259">
        <v>250.01900000000001</v>
      </c>
      <c r="O7" s="470">
        <v>244.851</v>
      </c>
      <c r="S7">
        <v>248.91800000000001</v>
      </c>
      <c r="W7" s="260">
        <v>250</v>
      </c>
      <c r="X7" s="260"/>
      <c r="Y7" s="260"/>
      <c r="Z7" s="260"/>
      <c r="AA7" s="259"/>
      <c r="AB7" s="259"/>
      <c r="AC7" s="260"/>
      <c r="AD7" s="260"/>
      <c r="AE7" s="260">
        <v>248.881</v>
      </c>
      <c r="AF7" s="260"/>
      <c r="AG7" s="260"/>
      <c r="AH7" s="260"/>
      <c r="AI7" s="260">
        <v>250</v>
      </c>
      <c r="AJ7" s="260"/>
      <c r="AK7" s="260"/>
      <c r="AL7" s="260"/>
      <c r="AM7" s="260"/>
      <c r="AN7" s="260"/>
      <c r="AO7" s="260"/>
      <c r="AP7" s="260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CE7" s="259"/>
      <c r="CF7" s="259"/>
      <c r="CG7" s="259"/>
      <c r="CH7" s="259"/>
      <c r="CI7" s="259"/>
      <c r="CJ7" s="259"/>
      <c r="CK7" s="259"/>
      <c r="CL7" s="259"/>
      <c r="CX7" s="259"/>
      <c r="CY7" s="259"/>
      <c r="CZ7" s="259"/>
      <c r="DA7" s="259"/>
      <c r="DB7" s="259"/>
      <c r="DC7" s="260">
        <v>193.95</v>
      </c>
      <c r="DD7" s="260"/>
      <c r="DE7" s="259"/>
      <c r="DF7" s="259"/>
      <c r="DG7" s="259"/>
      <c r="DH7" s="259"/>
      <c r="DI7" s="259"/>
      <c r="DJ7" s="259"/>
    </row>
    <row r="8" spans="1:117" ht="38.25" customHeight="1" thickTop="1">
      <c r="A8" s="746" t="s">
        <v>31</v>
      </c>
      <c r="B8" s="746" t="s">
        <v>5</v>
      </c>
      <c r="C8" s="746" t="s">
        <v>6</v>
      </c>
      <c r="D8" s="748" t="s">
        <v>46</v>
      </c>
      <c r="E8" s="750" t="s">
        <v>44</v>
      </c>
      <c r="F8" s="751"/>
      <c r="G8" s="738" t="s">
        <v>494</v>
      </c>
      <c r="H8" s="744"/>
      <c r="I8" s="744"/>
      <c r="J8" s="739"/>
      <c r="K8" s="738" t="s">
        <v>385</v>
      </c>
      <c r="L8" s="744"/>
      <c r="M8" s="744"/>
      <c r="N8" s="739"/>
      <c r="O8" s="738" t="s">
        <v>713</v>
      </c>
      <c r="P8" s="744"/>
      <c r="Q8" s="744"/>
      <c r="R8" s="739"/>
      <c r="S8" s="738" t="s">
        <v>396</v>
      </c>
      <c r="T8" s="744"/>
      <c r="U8" s="744"/>
      <c r="V8" s="739"/>
      <c r="W8" s="738" t="s">
        <v>386</v>
      </c>
      <c r="X8" s="744"/>
      <c r="Y8" s="744"/>
      <c r="Z8" s="744"/>
      <c r="AA8" s="738" t="s">
        <v>47</v>
      </c>
      <c r="AB8" s="744"/>
      <c r="AC8" s="744"/>
      <c r="AD8" s="744"/>
      <c r="AE8" s="738" t="s">
        <v>387</v>
      </c>
      <c r="AF8" s="744"/>
      <c r="AG8" s="744"/>
      <c r="AH8" s="744"/>
      <c r="AI8" s="738" t="s">
        <v>380</v>
      </c>
      <c r="AJ8" s="744"/>
      <c r="AK8" s="744"/>
      <c r="AL8" s="744"/>
      <c r="AM8" s="738" t="s">
        <v>374</v>
      </c>
      <c r="AN8" s="744"/>
      <c r="AO8" s="744"/>
      <c r="AP8" s="744"/>
      <c r="AQ8" s="745" t="s">
        <v>397</v>
      </c>
      <c r="AR8" s="744"/>
      <c r="AS8" s="744"/>
      <c r="AT8" s="739"/>
      <c r="AU8" s="745" t="s">
        <v>398</v>
      </c>
      <c r="AV8" s="744"/>
      <c r="AW8" s="744"/>
      <c r="AX8" s="739"/>
      <c r="AY8" s="745" t="s">
        <v>399</v>
      </c>
      <c r="AZ8" s="744"/>
      <c r="BA8" s="744"/>
      <c r="BB8" s="739"/>
      <c r="BC8" s="745" t="s">
        <v>400</v>
      </c>
      <c r="BD8" s="744"/>
      <c r="BE8" s="744"/>
      <c r="BF8" s="739"/>
      <c r="BG8" s="745" t="s">
        <v>401</v>
      </c>
      <c r="BH8" s="744"/>
      <c r="BI8" s="744"/>
      <c r="BJ8" s="739"/>
      <c r="BK8" s="745" t="s">
        <v>402</v>
      </c>
      <c r="BL8" s="744"/>
      <c r="BM8" s="744"/>
      <c r="BN8" s="739"/>
      <c r="BO8" s="745" t="s">
        <v>403</v>
      </c>
      <c r="BP8" s="744"/>
      <c r="BQ8" s="744"/>
      <c r="BR8" s="744"/>
      <c r="BS8" s="745" t="s">
        <v>640</v>
      </c>
      <c r="BT8" s="744"/>
      <c r="BU8" s="744"/>
      <c r="BV8" s="739"/>
      <c r="BW8" s="741" t="s">
        <v>399</v>
      </c>
      <c r="BX8" s="742"/>
      <c r="BY8" s="742"/>
      <c r="BZ8" s="743"/>
      <c r="CA8" s="741" t="s">
        <v>405</v>
      </c>
      <c r="CB8" s="742"/>
      <c r="CC8" s="742"/>
      <c r="CD8" s="743"/>
      <c r="CE8" s="741" t="s">
        <v>404</v>
      </c>
      <c r="CF8" s="742"/>
      <c r="CG8" s="742"/>
      <c r="CH8" s="743"/>
      <c r="CI8" s="741" t="s">
        <v>561</v>
      </c>
      <c r="CJ8" s="742"/>
      <c r="CK8" s="742"/>
      <c r="CL8" s="743"/>
      <c r="CM8" s="741" t="s">
        <v>406</v>
      </c>
      <c r="CN8" s="742"/>
      <c r="CO8" s="742"/>
      <c r="CP8" s="743"/>
      <c r="CQ8" s="741" t="s">
        <v>541</v>
      </c>
      <c r="CR8" s="742"/>
      <c r="CS8" s="742"/>
      <c r="CT8" s="743"/>
      <c r="CU8" s="738" t="s">
        <v>407</v>
      </c>
      <c r="CV8" s="744"/>
      <c r="CW8" s="744"/>
      <c r="CX8" s="739"/>
      <c r="CY8" s="738" t="s">
        <v>408</v>
      </c>
      <c r="CZ8" s="744"/>
      <c r="DA8" s="744"/>
      <c r="DB8" s="739"/>
      <c r="DC8" s="738" t="s">
        <v>409</v>
      </c>
      <c r="DD8" s="744"/>
      <c r="DE8" s="744"/>
      <c r="DF8" s="744"/>
      <c r="DG8" s="738" t="s">
        <v>48</v>
      </c>
      <c r="DH8" s="739"/>
      <c r="DI8" s="738" t="s">
        <v>49</v>
      </c>
      <c r="DJ8" s="739"/>
      <c r="DK8" s="740" t="s">
        <v>286</v>
      </c>
      <c r="DL8" s="740"/>
      <c r="DM8" s="589" t="s">
        <v>287</v>
      </c>
    </row>
    <row r="9" spans="1:117">
      <c r="A9" s="747"/>
      <c r="B9" s="747"/>
      <c r="C9" s="747"/>
      <c r="D9" s="749"/>
      <c r="E9" s="2" t="s">
        <v>42</v>
      </c>
      <c r="F9" s="2" t="s">
        <v>42</v>
      </c>
      <c r="G9" s="10" t="s">
        <v>42</v>
      </c>
      <c r="H9" s="10" t="s">
        <v>12</v>
      </c>
      <c r="I9" s="588" t="s">
        <v>43</v>
      </c>
      <c r="J9" s="588" t="s">
        <v>12</v>
      </c>
      <c r="K9" s="10" t="s">
        <v>42</v>
      </c>
      <c r="L9" s="10" t="s">
        <v>12</v>
      </c>
      <c r="M9" s="588" t="s">
        <v>43</v>
      </c>
      <c r="N9" s="588" t="s">
        <v>12</v>
      </c>
      <c r="O9" s="10" t="s">
        <v>42</v>
      </c>
      <c r="P9" s="10" t="s">
        <v>12</v>
      </c>
      <c r="Q9" s="588" t="s">
        <v>43</v>
      </c>
      <c r="R9" s="588" t="s">
        <v>12</v>
      </c>
      <c r="S9" s="10" t="s">
        <v>42</v>
      </c>
      <c r="T9" s="10" t="s">
        <v>12</v>
      </c>
      <c r="U9" s="588" t="s">
        <v>43</v>
      </c>
      <c r="V9" s="588" t="s">
        <v>12</v>
      </c>
      <c r="W9" s="10" t="s">
        <v>42</v>
      </c>
      <c r="X9" s="10" t="s">
        <v>12</v>
      </c>
      <c r="Y9" s="588" t="s">
        <v>43</v>
      </c>
      <c r="Z9" s="588" t="s">
        <v>12</v>
      </c>
      <c r="AA9" s="588" t="s">
        <v>42</v>
      </c>
      <c r="AB9" s="588" t="s">
        <v>12</v>
      </c>
      <c r="AC9" s="588" t="s">
        <v>43</v>
      </c>
      <c r="AD9" s="588" t="s">
        <v>12</v>
      </c>
      <c r="AE9" s="588" t="s">
        <v>42</v>
      </c>
      <c r="AF9" s="588" t="s">
        <v>12</v>
      </c>
      <c r="AG9" s="588" t="s">
        <v>43</v>
      </c>
      <c r="AH9" s="588" t="s">
        <v>12</v>
      </c>
      <c r="AI9" s="588" t="s">
        <v>42</v>
      </c>
      <c r="AJ9" s="588" t="s">
        <v>12</v>
      </c>
      <c r="AK9" s="588" t="s">
        <v>43</v>
      </c>
      <c r="AL9" s="588" t="s">
        <v>12</v>
      </c>
      <c r="AM9" s="588" t="s">
        <v>42</v>
      </c>
      <c r="AN9" s="588" t="s">
        <v>12</v>
      </c>
      <c r="AO9" s="588" t="s">
        <v>43</v>
      </c>
      <c r="AP9" s="588" t="s">
        <v>12</v>
      </c>
      <c r="AQ9" s="588" t="s">
        <v>42</v>
      </c>
      <c r="AR9" s="588" t="s">
        <v>12</v>
      </c>
      <c r="AS9" s="588" t="s">
        <v>43</v>
      </c>
      <c r="AT9" s="588" t="s">
        <v>12</v>
      </c>
      <c r="AU9" s="588" t="s">
        <v>42</v>
      </c>
      <c r="AV9" s="588" t="s">
        <v>12</v>
      </c>
      <c r="AW9" s="588" t="s">
        <v>43</v>
      </c>
      <c r="AX9" s="588" t="s">
        <v>12</v>
      </c>
      <c r="AY9" s="588" t="s">
        <v>42</v>
      </c>
      <c r="AZ9" s="588" t="s">
        <v>12</v>
      </c>
      <c r="BA9" s="588" t="s">
        <v>43</v>
      </c>
      <c r="BB9" s="588" t="s">
        <v>12</v>
      </c>
      <c r="BC9" s="588" t="s">
        <v>42</v>
      </c>
      <c r="BD9" s="588" t="s">
        <v>12</v>
      </c>
      <c r="BE9" s="588" t="s">
        <v>43</v>
      </c>
      <c r="BF9" s="588" t="s">
        <v>12</v>
      </c>
      <c r="BG9" s="588" t="s">
        <v>42</v>
      </c>
      <c r="BH9" s="588" t="s">
        <v>12</v>
      </c>
      <c r="BI9" s="588" t="s">
        <v>43</v>
      </c>
      <c r="BJ9" s="588" t="s">
        <v>12</v>
      </c>
      <c r="BK9" s="588" t="s">
        <v>42</v>
      </c>
      <c r="BL9" s="588" t="s">
        <v>12</v>
      </c>
      <c r="BM9" s="588" t="s">
        <v>43</v>
      </c>
      <c r="BN9" s="588" t="s">
        <v>12</v>
      </c>
      <c r="BO9" s="588" t="s">
        <v>42</v>
      </c>
      <c r="BP9" s="588" t="s">
        <v>12</v>
      </c>
      <c r="BQ9" s="588" t="s">
        <v>43</v>
      </c>
      <c r="BR9" s="588" t="s">
        <v>12</v>
      </c>
      <c r="BS9" s="588" t="s">
        <v>42</v>
      </c>
      <c r="BT9" s="588" t="s">
        <v>12</v>
      </c>
      <c r="BU9" s="588" t="s">
        <v>43</v>
      </c>
      <c r="BV9" s="588" t="s">
        <v>12</v>
      </c>
      <c r="BW9" s="588" t="s">
        <v>42</v>
      </c>
      <c r="BX9" s="588" t="s">
        <v>12</v>
      </c>
      <c r="BY9" s="588" t="s">
        <v>43</v>
      </c>
      <c r="BZ9" s="588" t="s">
        <v>12</v>
      </c>
      <c r="CA9" s="588" t="s">
        <v>42</v>
      </c>
      <c r="CB9" s="588" t="s">
        <v>12</v>
      </c>
      <c r="CC9" s="588" t="s">
        <v>43</v>
      </c>
      <c r="CD9" s="588" t="s">
        <v>12</v>
      </c>
      <c r="CE9" s="588" t="s">
        <v>42</v>
      </c>
      <c r="CF9" s="588" t="s">
        <v>12</v>
      </c>
      <c r="CG9" s="588" t="s">
        <v>43</v>
      </c>
      <c r="CH9" s="588" t="s">
        <v>12</v>
      </c>
      <c r="CI9" s="588" t="s">
        <v>42</v>
      </c>
      <c r="CJ9" s="588" t="s">
        <v>12</v>
      </c>
      <c r="CK9" s="588" t="s">
        <v>43</v>
      </c>
      <c r="CL9" s="588" t="s">
        <v>12</v>
      </c>
      <c r="CM9" s="588" t="s">
        <v>42</v>
      </c>
      <c r="CN9" s="588" t="s">
        <v>12</v>
      </c>
      <c r="CO9" s="588" t="s">
        <v>43</v>
      </c>
      <c r="CP9" s="588" t="s">
        <v>12</v>
      </c>
      <c r="CQ9" s="588" t="s">
        <v>42</v>
      </c>
      <c r="CR9" s="588" t="s">
        <v>12</v>
      </c>
      <c r="CS9" s="588" t="s">
        <v>43</v>
      </c>
      <c r="CT9" s="588" t="s">
        <v>12</v>
      </c>
      <c r="CU9" s="588" t="s">
        <v>42</v>
      </c>
      <c r="CV9" s="588" t="s">
        <v>12</v>
      </c>
      <c r="CW9" s="588" t="s">
        <v>43</v>
      </c>
      <c r="CX9" s="588" t="s">
        <v>12</v>
      </c>
      <c r="CY9" s="588" t="s">
        <v>42</v>
      </c>
      <c r="CZ9" s="588" t="s">
        <v>12</v>
      </c>
      <c r="DA9" s="588" t="s">
        <v>43</v>
      </c>
      <c r="DB9" s="588" t="s">
        <v>12</v>
      </c>
      <c r="DC9" s="588" t="s">
        <v>42</v>
      </c>
      <c r="DD9" s="588" t="s">
        <v>12</v>
      </c>
      <c r="DE9" s="588" t="s">
        <v>43</v>
      </c>
      <c r="DF9" s="588" t="s">
        <v>12</v>
      </c>
      <c r="DG9" s="588" t="s">
        <v>42</v>
      </c>
      <c r="DH9" s="588" t="s">
        <v>43</v>
      </c>
      <c r="DI9" s="588" t="s">
        <v>42</v>
      </c>
      <c r="DJ9" s="588" t="s">
        <v>43</v>
      </c>
      <c r="DK9" s="588" t="s">
        <v>42</v>
      </c>
      <c r="DL9" s="588" t="s">
        <v>43</v>
      </c>
      <c r="DM9" s="6" t="s">
        <v>410</v>
      </c>
    </row>
    <row r="10" spans="1:117">
      <c r="A10" s="18">
        <f>+Chem!A9</f>
        <v>45931</v>
      </c>
      <c r="B10" s="6" t="str">
        <f>+Chem!B9</f>
        <v>Towel</v>
      </c>
      <c r="C10" s="6" t="str">
        <f>+Chem!C9</f>
        <v>34</v>
      </c>
      <c r="D10" s="9">
        <f>+Chem!D9</f>
        <v>0</v>
      </c>
      <c r="E10" s="7">
        <f>+Chem!E9</f>
        <v>0</v>
      </c>
      <c r="F10" s="7">
        <f>+E10</f>
        <v>0</v>
      </c>
      <c r="G10" s="101">
        <v>0</v>
      </c>
      <c r="H10" s="11" t="e">
        <f t="shared" ref="H10:H37" si="0">G10/DG10*100</f>
        <v>#DIV/0!</v>
      </c>
      <c r="I10" s="9">
        <f>G10</f>
        <v>0</v>
      </c>
      <c r="J10" s="11" t="e">
        <f t="shared" ref="J10:J37" si="1">I10/DH10*100</f>
        <v>#DIV/0!</v>
      </c>
      <c r="K10" s="101">
        <v>0</v>
      </c>
      <c r="L10" s="11" t="e">
        <f t="shared" ref="L10:L37" si="2">+K10/DG10*100</f>
        <v>#DIV/0!</v>
      </c>
      <c r="M10" s="11">
        <f>+K10</f>
        <v>0</v>
      </c>
      <c r="N10" s="11" t="e">
        <f t="shared" ref="N10:N37" si="3">+M10/DH10*100</f>
        <v>#DIV/0!</v>
      </c>
      <c r="O10" s="101">
        <v>0</v>
      </c>
      <c r="P10" s="11" t="e">
        <f t="shared" ref="P10:P37" si="4">+O10/DG10*100</f>
        <v>#DIV/0!</v>
      </c>
      <c r="Q10" s="11">
        <f>+O10</f>
        <v>0</v>
      </c>
      <c r="R10" s="11" t="e">
        <f t="shared" ref="R10:R37" si="5">+Q10/DH10*100</f>
        <v>#DIV/0!</v>
      </c>
      <c r="S10" s="101"/>
      <c r="T10" s="11" t="e">
        <f t="shared" ref="T10:T37" si="6">+S10/DG10*100</f>
        <v>#DIV/0!</v>
      </c>
      <c r="U10" s="11">
        <f>+S10</f>
        <v>0</v>
      </c>
      <c r="V10" s="11" t="e">
        <f t="shared" ref="V10:V37" si="7">+U10/DH10*100</f>
        <v>#DIV/0!</v>
      </c>
      <c r="W10" s="11">
        <v>0</v>
      </c>
      <c r="X10" s="11" t="e">
        <f t="shared" ref="X10:X37" si="8">+W10/DG10*100</f>
        <v>#DIV/0!</v>
      </c>
      <c r="Y10" s="11">
        <f>+W10</f>
        <v>0</v>
      </c>
      <c r="Z10" s="11" t="e">
        <f t="shared" ref="Z10:Z37" si="9">+Y10/DH10*100</f>
        <v>#DIV/0!</v>
      </c>
      <c r="AA10" s="11">
        <f>G10+K10+W10+S10+O10</f>
        <v>0</v>
      </c>
      <c r="AB10" s="11" t="e">
        <f t="shared" ref="AB10:AB37" si="10">AA10/DG10*100</f>
        <v>#DIV/0!</v>
      </c>
      <c r="AC10" s="11">
        <f>AA10</f>
        <v>0</v>
      </c>
      <c r="AD10" s="11" t="e">
        <f t="shared" ref="AD10:AD37" si="11">AC10/DH10*100</f>
        <v>#DIV/0!</v>
      </c>
      <c r="AE10" s="11"/>
      <c r="AF10" s="11" t="e">
        <f t="shared" ref="AF10:AF37" si="12">AE10/DG10*100</f>
        <v>#DIV/0!</v>
      </c>
      <c r="AG10" s="11">
        <f>AE10</f>
        <v>0</v>
      </c>
      <c r="AH10" s="11" t="e">
        <f t="shared" ref="AH10:AH37" si="13">AG10/DH10*100</f>
        <v>#DIV/0!</v>
      </c>
      <c r="AI10" s="11"/>
      <c r="AJ10" s="11" t="e">
        <f t="shared" ref="AJ10:AJ37" si="14">AI10/DG10*100</f>
        <v>#DIV/0!</v>
      </c>
      <c r="AK10" s="11">
        <f>AI10</f>
        <v>0</v>
      </c>
      <c r="AL10" s="11" t="e">
        <f t="shared" ref="AL10:AL37" si="15">AK10/DH10*100</f>
        <v>#DIV/0!</v>
      </c>
      <c r="AM10" s="11">
        <f>+AE10+AI10</f>
        <v>0</v>
      </c>
      <c r="AN10" s="11" t="e">
        <f t="shared" ref="AN10:AN37" si="16">AM10/DG10*100</f>
        <v>#DIV/0!</v>
      </c>
      <c r="AO10" s="11">
        <f>AM10</f>
        <v>0</v>
      </c>
      <c r="AP10" s="11" t="e">
        <f t="shared" ref="AP10:AP37" si="17">AO10/DH10*100</f>
        <v>#DIV/0!</v>
      </c>
      <c r="AQ10" s="101">
        <v>0</v>
      </c>
      <c r="AR10" s="11" t="e">
        <f t="shared" ref="AR10:AR37" si="18">AQ10/DG10*100</f>
        <v>#DIV/0!</v>
      </c>
      <c r="AS10" s="11">
        <f>AQ10</f>
        <v>0</v>
      </c>
      <c r="AT10" s="11" t="e">
        <f t="shared" ref="AT10:AT37" si="19">AS10/DH10*100</f>
        <v>#DIV/0!</v>
      </c>
      <c r="AU10" s="101">
        <v>0</v>
      </c>
      <c r="AV10" s="11" t="e">
        <f t="shared" ref="AV10:AV37" si="20">AU10/EF10*100</f>
        <v>#DIV/0!</v>
      </c>
      <c r="AW10" s="11">
        <f>AU10</f>
        <v>0</v>
      </c>
      <c r="AX10" s="11" t="e">
        <f t="shared" ref="AX10:AX37" si="21">AW10/EG10*100</f>
        <v>#DIV/0!</v>
      </c>
      <c r="AY10" s="101"/>
      <c r="AZ10" s="11" t="e">
        <f t="shared" ref="AZ10:AZ37" si="22">AY10/DG10*100</f>
        <v>#DIV/0!</v>
      </c>
      <c r="BA10" s="11">
        <f>AY10</f>
        <v>0</v>
      </c>
      <c r="BB10" s="11" t="e">
        <f t="shared" ref="BB10:BB37" si="23">BA10/DH10*100</f>
        <v>#DIV/0!</v>
      </c>
      <c r="BC10" s="101"/>
      <c r="BD10" s="11" t="e">
        <f>BC10/DG10*100</f>
        <v>#DIV/0!</v>
      </c>
      <c r="BE10" s="11">
        <f>BC10</f>
        <v>0</v>
      </c>
      <c r="BF10" s="11" t="e">
        <f>BE10/DH10*100</f>
        <v>#DIV/0!</v>
      </c>
      <c r="BG10" s="101">
        <v>0</v>
      </c>
      <c r="BH10" s="11" t="e">
        <f>BG10/DG10*100</f>
        <v>#DIV/0!</v>
      </c>
      <c r="BI10" s="11">
        <f>BG10</f>
        <v>0</v>
      </c>
      <c r="BJ10" s="11" t="e">
        <f>BI10/DH10*100</f>
        <v>#DIV/0!</v>
      </c>
      <c r="BK10" s="101"/>
      <c r="BL10" s="11" t="e">
        <f>BK10/DG10*100</f>
        <v>#DIV/0!</v>
      </c>
      <c r="BM10" s="11">
        <f>BK10</f>
        <v>0</v>
      </c>
      <c r="BN10" s="11" t="e">
        <f>BM10/DH10*100</f>
        <v>#DIV/0!</v>
      </c>
      <c r="BO10" s="101"/>
      <c r="BP10" s="11" t="e">
        <f t="shared" ref="BP10:BP37" si="24">BO10/DG10*100</f>
        <v>#DIV/0!</v>
      </c>
      <c r="BQ10" s="11">
        <f>BO10</f>
        <v>0</v>
      </c>
      <c r="BR10" s="11" t="e">
        <f t="shared" ref="BR10:BR37" si="25">BQ10/DH10*100</f>
        <v>#DIV/0!</v>
      </c>
      <c r="BS10" s="101">
        <v>0</v>
      </c>
      <c r="BT10" s="11" t="e">
        <f t="shared" ref="BT10:BT37" si="26">BS10/DG10*100</f>
        <v>#DIV/0!</v>
      </c>
      <c r="BU10" s="11">
        <f>BS10</f>
        <v>0</v>
      </c>
      <c r="BV10" s="11" t="e">
        <f t="shared" ref="BV10:BV37" si="27">BU10/DH10*100</f>
        <v>#DIV/0!</v>
      </c>
      <c r="BW10" s="101">
        <v>0</v>
      </c>
      <c r="BX10" s="11" t="e">
        <f t="shared" ref="BX10:BX37" si="28">BW10/DG10*100</f>
        <v>#DIV/0!</v>
      </c>
      <c r="BY10" s="11">
        <f>BW10</f>
        <v>0</v>
      </c>
      <c r="BZ10" s="11" t="e">
        <f t="shared" ref="BZ10:BZ37" si="29">BY10/DH10*100</f>
        <v>#DIV/0!</v>
      </c>
      <c r="CA10" s="101">
        <v>0</v>
      </c>
      <c r="CB10" s="11" t="e">
        <f t="shared" ref="CB10:CB37" si="30">CA10/DG10*100</f>
        <v>#DIV/0!</v>
      </c>
      <c r="CC10" s="11">
        <f>CA10</f>
        <v>0</v>
      </c>
      <c r="CD10" s="11" t="e">
        <f t="shared" ref="CD10:CD37" si="31">CC10/DH10*100</f>
        <v>#DIV/0!</v>
      </c>
      <c r="CE10" s="101">
        <v>0</v>
      </c>
      <c r="CF10" s="11" t="e">
        <f t="shared" ref="CF10:CF37" si="32">CE10/DG10*100</f>
        <v>#DIV/0!</v>
      </c>
      <c r="CG10" s="11">
        <f>CE10</f>
        <v>0</v>
      </c>
      <c r="CH10" s="11" t="e">
        <f t="shared" ref="CH10:CH37" si="33">CG10/DH10*100</f>
        <v>#DIV/0!</v>
      </c>
      <c r="CI10" s="102">
        <v>0</v>
      </c>
      <c r="CJ10" s="11" t="e">
        <f t="shared" ref="CJ10:CJ37" si="34">CI10/DG10*100</f>
        <v>#DIV/0!</v>
      </c>
      <c r="CK10" s="11">
        <f>CI10</f>
        <v>0</v>
      </c>
      <c r="CL10" s="11" t="e">
        <f t="shared" ref="CL10:CL37" si="35">CK10/DH10*100</f>
        <v>#DIV/0!</v>
      </c>
      <c r="CM10" s="101"/>
      <c r="CN10" s="11" t="e">
        <f t="shared" ref="CN10:CN37" si="36">CM10/DG10*100</f>
        <v>#DIV/0!</v>
      </c>
      <c r="CO10" s="11">
        <f>CM10</f>
        <v>0</v>
      </c>
      <c r="CP10" s="11" t="e">
        <f t="shared" ref="CP10:CP37" si="37">CO10/DH10*100</f>
        <v>#DIV/0!</v>
      </c>
      <c r="CQ10" s="102">
        <v>0</v>
      </c>
      <c r="CR10" s="11" t="e">
        <f t="shared" ref="CR10:CR37" si="38">CQ10/DG10*100</f>
        <v>#DIV/0!</v>
      </c>
      <c r="CS10" s="11">
        <f>CQ10</f>
        <v>0</v>
      </c>
      <c r="CT10" s="11" t="e">
        <f t="shared" ref="CT10:CT37" si="39">CS10/DH10*100</f>
        <v>#DIV/0!</v>
      </c>
      <c r="CU10" s="101">
        <f t="shared" ref="CU10:CU37" si="40">+AQ10+AY10+BO10+BS10+BW10+CA10+CE10+CI10+CM10+CQ10+AU10+BG10+BC10+BK10</f>
        <v>0</v>
      </c>
      <c r="CV10" s="11" t="e">
        <f t="shared" ref="CV10:CV37" si="41">CU10/DG10*100</f>
        <v>#DIV/0!</v>
      </c>
      <c r="CW10" s="11">
        <f>CU10</f>
        <v>0</v>
      </c>
      <c r="CX10" s="11" t="e">
        <f t="shared" ref="CX10:CX37" si="42">CW10/DH10*100</f>
        <v>#DIV/0!</v>
      </c>
      <c r="CY10" s="101"/>
      <c r="CZ10" s="17" t="e">
        <f t="shared" ref="CZ10:CZ37" si="43">CY10/DG10*100</f>
        <v>#DIV/0!</v>
      </c>
      <c r="DA10" s="11">
        <f>CY10</f>
        <v>0</v>
      </c>
      <c r="DB10" s="11" t="e">
        <f t="shared" ref="DB10:DB37" si="44">DA10/DH10*100</f>
        <v>#DIV/0!</v>
      </c>
      <c r="DC10" s="11">
        <v>0</v>
      </c>
      <c r="DD10" s="11" t="e">
        <f t="shared" ref="DD10:DD37" si="45">DC10/DG10*100</f>
        <v>#DIV/0!</v>
      </c>
      <c r="DE10" s="11">
        <f>DC10</f>
        <v>0</v>
      </c>
      <c r="DF10" s="11" t="e">
        <f t="shared" ref="DF10:DF37" si="46">DE10/DH10*100</f>
        <v>#DIV/0!</v>
      </c>
      <c r="DG10" s="11">
        <f>+AA10+CU10+CY10+DC10</f>
        <v>0</v>
      </c>
      <c r="DH10" s="11">
        <f>DG10</f>
        <v>0</v>
      </c>
      <c r="DI10" s="11" t="e">
        <f t="shared" ref="DI10:DI37" si="47">DG10/1000/E10</f>
        <v>#DIV/0!</v>
      </c>
      <c r="DJ10" s="11" t="e">
        <f t="shared" ref="DJ10:DJ37" si="48">(DH10/1000)/F10</f>
        <v>#DIV/0!</v>
      </c>
      <c r="DK10" s="498" t="e">
        <f>+(E10*1000)/CU10</f>
        <v>#DIV/0!</v>
      </c>
      <c r="DL10" s="499" t="e">
        <f>+(F10*1000)/CW10</f>
        <v>#DIV/0!</v>
      </c>
      <c r="DM10" s="6" t="s">
        <v>436</v>
      </c>
    </row>
    <row r="11" spans="1:117">
      <c r="A11" s="18">
        <f>+Chem!A10</f>
        <v>45932</v>
      </c>
      <c r="B11" s="6" t="str">
        <f>+Chem!B10</f>
        <v>Towel</v>
      </c>
      <c r="C11" s="6" t="str">
        <f>+Chem!C10</f>
        <v>17</v>
      </c>
      <c r="D11" s="9">
        <f>+Chem!D10</f>
        <v>42.451000000000001</v>
      </c>
      <c r="E11" s="7">
        <f>+Chem!E10</f>
        <v>35.399000000000001</v>
      </c>
      <c r="F11" s="7">
        <f>+E11+F10</f>
        <v>35.399000000000001</v>
      </c>
      <c r="G11" s="101">
        <v>0</v>
      </c>
      <c r="H11" s="11">
        <f t="shared" si="0"/>
        <v>0</v>
      </c>
      <c r="I11" s="9">
        <f t="shared" ref="I11:I37" si="49">G11+I10</f>
        <v>0</v>
      </c>
      <c r="J11" s="11">
        <f t="shared" si="1"/>
        <v>0</v>
      </c>
      <c r="K11" s="101"/>
      <c r="L11" s="11">
        <f t="shared" si="2"/>
        <v>0</v>
      </c>
      <c r="M11" s="11">
        <f t="shared" ref="M11:M37" si="50">+K11+M10</f>
        <v>0</v>
      </c>
      <c r="N11" s="11">
        <f t="shared" si="3"/>
        <v>0</v>
      </c>
      <c r="O11" s="101">
        <v>0</v>
      </c>
      <c r="P11" s="11">
        <f t="shared" si="4"/>
        <v>0</v>
      </c>
      <c r="Q11" s="11">
        <f t="shared" ref="Q11:Q37" si="51">+O11+Q10</f>
        <v>0</v>
      </c>
      <c r="R11" s="11">
        <f t="shared" si="5"/>
        <v>0</v>
      </c>
      <c r="S11" s="101"/>
      <c r="T11" s="11">
        <f t="shared" si="6"/>
        <v>0</v>
      </c>
      <c r="U11" s="11">
        <f t="shared" ref="U11:U37" si="52">+S11+U10</f>
        <v>0</v>
      </c>
      <c r="V11" s="11">
        <f t="shared" si="7"/>
        <v>0</v>
      </c>
      <c r="W11" s="11"/>
      <c r="X11" s="11">
        <f t="shared" si="8"/>
        <v>0</v>
      </c>
      <c r="Y11" s="11">
        <f t="shared" ref="Y11:Y37" si="53">+W11+Y10</f>
        <v>0</v>
      </c>
      <c r="Z11" s="11">
        <f t="shared" si="9"/>
        <v>0</v>
      </c>
      <c r="AA11" s="11">
        <f t="shared" ref="AA11:AA37" si="54">G11+K11+W11+S11+O11</f>
        <v>0</v>
      </c>
      <c r="AB11" s="11">
        <f t="shared" si="10"/>
        <v>0</v>
      </c>
      <c r="AC11" s="11">
        <f t="shared" ref="AC11:AC37" si="55">AA11+AC10</f>
        <v>0</v>
      </c>
      <c r="AD11" s="11">
        <f t="shared" si="11"/>
        <v>0</v>
      </c>
      <c r="AE11" s="11"/>
      <c r="AF11" s="11">
        <f t="shared" si="12"/>
        <v>0</v>
      </c>
      <c r="AG11" s="11">
        <f>+AE11+AG10</f>
        <v>0</v>
      </c>
      <c r="AH11" s="11">
        <f t="shared" si="13"/>
        <v>0</v>
      </c>
      <c r="AI11" s="11"/>
      <c r="AJ11" s="11">
        <f t="shared" si="14"/>
        <v>0</v>
      </c>
      <c r="AK11" s="11">
        <f>+AI11+AK10</f>
        <v>0</v>
      </c>
      <c r="AL11" s="11">
        <f t="shared" si="15"/>
        <v>0</v>
      </c>
      <c r="AM11" s="11">
        <f t="shared" ref="AM11:AM37" si="56">+AE11+AI11</f>
        <v>0</v>
      </c>
      <c r="AN11" s="11">
        <f t="shared" si="16"/>
        <v>0</v>
      </c>
      <c r="AO11" s="11">
        <f>+AM11+AO10</f>
        <v>0</v>
      </c>
      <c r="AP11" s="11">
        <f t="shared" si="17"/>
        <v>0</v>
      </c>
      <c r="AQ11" s="101">
        <v>48235</v>
      </c>
      <c r="AR11" s="11">
        <f t="shared" si="18"/>
        <v>54.89671655380414</v>
      </c>
      <c r="AS11" s="11">
        <f t="shared" ref="AS11:AS37" si="57">AQ11+AS10</f>
        <v>48235</v>
      </c>
      <c r="AT11" s="11">
        <f t="shared" si="19"/>
        <v>54.89671655380414</v>
      </c>
      <c r="AU11" s="101">
        <v>13370</v>
      </c>
      <c r="AV11" s="11" t="e">
        <f t="shared" si="20"/>
        <v>#DIV/0!</v>
      </c>
      <c r="AW11" s="11">
        <f t="shared" ref="AW11:AW37" si="58">AU11+AW10</f>
        <v>13370</v>
      </c>
      <c r="AX11" s="11" t="e">
        <f t="shared" si="21"/>
        <v>#DIV/0!</v>
      </c>
      <c r="AY11" s="101"/>
      <c r="AZ11" s="11">
        <f t="shared" si="22"/>
        <v>0</v>
      </c>
      <c r="BA11" s="11">
        <f t="shared" ref="BA11:BA37" si="59">AY11+BA10</f>
        <v>0</v>
      </c>
      <c r="BB11" s="11">
        <f t="shared" si="23"/>
        <v>0</v>
      </c>
      <c r="BC11" s="101"/>
      <c r="BD11" s="11">
        <f t="shared" ref="BD11:BD37" si="60">BC11/DG11*100</f>
        <v>0</v>
      </c>
      <c r="BE11" s="11">
        <f t="shared" ref="BE11:BE32" si="61">BC11+BE10</f>
        <v>0</v>
      </c>
      <c r="BF11" s="11">
        <f t="shared" ref="BF11:BF37" si="62">BE11/DH11*100</f>
        <v>0</v>
      </c>
      <c r="BG11" s="101">
        <v>13130</v>
      </c>
      <c r="BH11" s="11">
        <f t="shared" ref="BH11:BH37" si="63">BG11/DG11*100</f>
        <v>14.943379047402264</v>
      </c>
      <c r="BI11" s="11">
        <f t="shared" ref="BI11:BI37" si="64">BG11+BI10</f>
        <v>13130</v>
      </c>
      <c r="BJ11" s="11">
        <f t="shared" ref="BJ11:BJ37" si="65">BI11/DH11*100</f>
        <v>14.943379047402264</v>
      </c>
      <c r="BK11" s="101"/>
      <c r="BL11" s="11">
        <f t="shared" ref="BL11:BL37" si="66">BK11/DG11*100</f>
        <v>0</v>
      </c>
      <c r="BM11" s="11">
        <f t="shared" ref="BM11:BM37" si="67">BK11+BM10</f>
        <v>0</v>
      </c>
      <c r="BN11" s="11">
        <f t="shared" ref="BN11:BN37" si="68">BM11/DH11*100</f>
        <v>0</v>
      </c>
      <c r="BO11" s="101"/>
      <c r="BP11" s="11">
        <f t="shared" si="24"/>
        <v>0</v>
      </c>
      <c r="BQ11" s="11">
        <f t="shared" ref="BQ11:BQ37" si="69">BO11+BQ10</f>
        <v>0</v>
      </c>
      <c r="BR11" s="11">
        <f t="shared" si="25"/>
        <v>0</v>
      </c>
      <c r="BS11" s="101">
        <v>0</v>
      </c>
      <c r="BT11" s="11">
        <f t="shared" si="26"/>
        <v>0</v>
      </c>
      <c r="BU11" s="11">
        <f t="shared" ref="BU11:BU37" si="70">BS11+BU10</f>
        <v>0</v>
      </c>
      <c r="BV11" s="11">
        <f t="shared" si="27"/>
        <v>0</v>
      </c>
      <c r="BW11" s="101">
        <v>0</v>
      </c>
      <c r="BX11" s="11">
        <f t="shared" si="28"/>
        <v>0</v>
      </c>
      <c r="BY11" s="11">
        <f t="shared" ref="BY11:BY37" si="71">BW11+BY10</f>
        <v>0</v>
      </c>
      <c r="BZ11" s="11">
        <f t="shared" si="29"/>
        <v>0</v>
      </c>
      <c r="CA11" s="101">
        <v>13130</v>
      </c>
      <c r="CB11" s="11">
        <f t="shared" si="30"/>
        <v>14.943379047402264</v>
      </c>
      <c r="CC11" s="11">
        <f t="shared" ref="CC11:CC37" si="72">CA11+CC10</f>
        <v>13130</v>
      </c>
      <c r="CD11" s="11">
        <f t="shared" si="31"/>
        <v>14.943379047402264</v>
      </c>
      <c r="CE11" s="101">
        <v>0</v>
      </c>
      <c r="CF11" s="11">
        <f t="shared" si="32"/>
        <v>0</v>
      </c>
      <c r="CG11" s="11">
        <f t="shared" ref="CG11:CG37" si="73">CE11+CG10</f>
        <v>0</v>
      </c>
      <c r="CH11" s="11">
        <f t="shared" si="33"/>
        <v>0</v>
      </c>
      <c r="CI11" s="102">
        <v>0</v>
      </c>
      <c r="CJ11" s="11">
        <f t="shared" si="34"/>
        <v>0</v>
      </c>
      <c r="CK11" s="11">
        <f t="shared" ref="CK11:CK37" si="74">CI11+CK10</f>
        <v>0</v>
      </c>
      <c r="CL11" s="11">
        <f t="shared" si="35"/>
        <v>0</v>
      </c>
      <c r="CM11" s="101"/>
      <c r="CN11" s="11">
        <f t="shared" si="36"/>
        <v>0</v>
      </c>
      <c r="CO11" s="11">
        <f t="shared" ref="CO11:CO37" si="75">CM11+CO10</f>
        <v>0</v>
      </c>
      <c r="CP11" s="11">
        <f t="shared" si="37"/>
        <v>0</v>
      </c>
      <c r="CQ11" s="102">
        <v>0</v>
      </c>
      <c r="CR11" s="11">
        <f t="shared" si="38"/>
        <v>0</v>
      </c>
      <c r="CS11" s="11">
        <f t="shared" ref="CS11:CS37" si="76">CQ11+CS10</f>
        <v>0</v>
      </c>
      <c r="CT11" s="11">
        <f t="shared" si="39"/>
        <v>0</v>
      </c>
      <c r="CU11" s="101">
        <f t="shared" si="40"/>
        <v>87865</v>
      </c>
      <c r="CV11" s="11">
        <f t="shared" si="41"/>
        <v>100</v>
      </c>
      <c r="CW11" s="11">
        <f t="shared" ref="CW11:CW37" si="77">CU11+CW10</f>
        <v>87865</v>
      </c>
      <c r="CX11" s="11">
        <f t="shared" si="42"/>
        <v>100</v>
      </c>
      <c r="CY11" s="101"/>
      <c r="CZ11" s="17">
        <f t="shared" si="43"/>
        <v>0</v>
      </c>
      <c r="DA11" s="11">
        <f t="shared" ref="DA11:DA37" si="78">CY11+DA10</f>
        <v>0</v>
      </c>
      <c r="DB11" s="11">
        <f t="shared" si="44"/>
        <v>0</v>
      </c>
      <c r="DC11" s="11"/>
      <c r="DD11" s="11">
        <f t="shared" si="45"/>
        <v>0</v>
      </c>
      <c r="DE11" s="11">
        <f t="shared" ref="DE11:DE37" si="79">DC11+DE10</f>
        <v>0</v>
      </c>
      <c r="DF11" s="11">
        <f t="shared" si="46"/>
        <v>0</v>
      </c>
      <c r="DG11" s="11">
        <f t="shared" ref="DG11:DG37" si="80">+AA11+CU11+CY11+DC11</f>
        <v>87865</v>
      </c>
      <c r="DH11" s="11">
        <f t="shared" ref="DH11:DH37" si="81">DG11+DH10</f>
        <v>87865</v>
      </c>
      <c r="DI11" s="11">
        <f t="shared" si="47"/>
        <v>2.4821322636232659</v>
      </c>
      <c r="DJ11" s="11">
        <f t="shared" si="48"/>
        <v>2.4821322636232659</v>
      </c>
      <c r="DK11" s="498">
        <f t="shared" ref="DK11:DK37" si="82">+(E11*1000)/CU11</f>
        <v>0.40287941728788484</v>
      </c>
      <c r="DL11" s="499">
        <f t="shared" ref="DL11:DL37" si="83">+(F11*1000)/CW11</f>
        <v>0.40287941728788484</v>
      </c>
      <c r="DM11" s="6" t="str">
        <f>+Efficiency1!D11</f>
        <v>RC HW</v>
      </c>
    </row>
    <row r="12" spans="1:117">
      <c r="A12" s="18">
        <f>+Chem!A11</f>
        <v>45933</v>
      </c>
      <c r="B12" s="6" t="str">
        <f>+Chem!B11</f>
        <v>Towel</v>
      </c>
      <c r="C12" s="6" t="str">
        <f>+Chem!C11</f>
        <v>17/18</v>
      </c>
      <c r="D12" s="9">
        <f>+Chem!D11</f>
        <v>56.043999999999997</v>
      </c>
      <c r="E12" s="7">
        <f>+Chem!E11</f>
        <v>53.036000000000001</v>
      </c>
      <c r="F12" s="7">
        <f t="shared" ref="F12:F37" si="84">+E12+F11</f>
        <v>88.435000000000002</v>
      </c>
      <c r="G12" s="101">
        <v>0</v>
      </c>
      <c r="H12" s="11">
        <f t="shared" si="0"/>
        <v>0</v>
      </c>
      <c r="I12" s="9">
        <f t="shared" si="49"/>
        <v>0</v>
      </c>
      <c r="J12" s="11">
        <f t="shared" si="1"/>
        <v>0</v>
      </c>
      <c r="K12" s="101"/>
      <c r="L12" s="11">
        <f t="shared" si="2"/>
        <v>0</v>
      </c>
      <c r="M12" s="11">
        <f t="shared" si="50"/>
        <v>0</v>
      </c>
      <c r="N12" s="11">
        <f t="shared" si="3"/>
        <v>0</v>
      </c>
      <c r="O12" s="101">
        <v>0</v>
      </c>
      <c r="P12" s="11">
        <f t="shared" si="4"/>
        <v>0</v>
      </c>
      <c r="Q12" s="11">
        <f t="shared" si="51"/>
        <v>0</v>
      </c>
      <c r="R12" s="11">
        <f t="shared" si="5"/>
        <v>0</v>
      </c>
      <c r="S12" s="101"/>
      <c r="T12" s="11">
        <f t="shared" si="6"/>
        <v>0</v>
      </c>
      <c r="U12" s="11">
        <f t="shared" si="52"/>
        <v>0</v>
      </c>
      <c r="V12" s="11">
        <f t="shared" si="7"/>
        <v>0</v>
      </c>
      <c r="W12" s="11"/>
      <c r="X12" s="11">
        <f t="shared" si="8"/>
        <v>0</v>
      </c>
      <c r="Y12" s="11">
        <f t="shared" si="53"/>
        <v>0</v>
      </c>
      <c r="Z12" s="11">
        <f t="shared" si="9"/>
        <v>0</v>
      </c>
      <c r="AA12" s="11">
        <f t="shared" si="54"/>
        <v>0</v>
      </c>
      <c r="AB12" s="11">
        <f t="shared" si="10"/>
        <v>0</v>
      </c>
      <c r="AC12" s="11">
        <f t="shared" si="55"/>
        <v>0</v>
      </c>
      <c r="AD12" s="11">
        <f t="shared" si="11"/>
        <v>0</v>
      </c>
      <c r="AE12" s="11"/>
      <c r="AF12" s="11">
        <f t="shared" si="12"/>
        <v>0</v>
      </c>
      <c r="AG12" s="11">
        <f t="shared" ref="AG12:AG37" si="85">+AE12+AG11</f>
        <v>0</v>
      </c>
      <c r="AH12" s="11">
        <f t="shared" si="13"/>
        <v>0</v>
      </c>
      <c r="AI12" s="11"/>
      <c r="AJ12" s="11">
        <f t="shared" si="14"/>
        <v>0</v>
      </c>
      <c r="AK12" s="11">
        <f t="shared" ref="AK12:AK37" si="86">+AI12+AK11</f>
        <v>0</v>
      </c>
      <c r="AL12" s="11">
        <f t="shared" si="15"/>
        <v>0</v>
      </c>
      <c r="AM12" s="11">
        <f t="shared" si="56"/>
        <v>0</v>
      </c>
      <c r="AN12" s="11">
        <f t="shared" si="16"/>
        <v>0</v>
      </c>
      <c r="AO12" s="11">
        <f t="shared" ref="AO12:AO37" si="87">+AM12+AO11</f>
        <v>0</v>
      </c>
      <c r="AP12" s="11">
        <f t="shared" si="17"/>
        <v>0</v>
      </c>
      <c r="AQ12" s="101">
        <v>31558.207469828983</v>
      </c>
      <c r="AR12" s="11">
        <f t="shared" si="18"/>
        <v>54.750208545741032</v>
      </c>
      <c r="AS12" s="11">
        <f t="shared" si="57"/>
        <v>79793.20746982898</v>
      </c>
      <c r="AT12" s="11">
        <f t="shared" si="19"/>
        <v>54.838679016643042</v>
      </c>
      <c r="AU12" s="101">
        <v>8475.8923566757549</v>
      </c>
      <c r="AV12" s="11" t="e">
        <f t="shared" si="20"/>
        <v>#DIV/0!</v>
      </c>
      <c r="AW12" s="11">
        <f t="shared" si="58"/>
        <v>21845.892356675755</v>
      </c>
      <c r="AX12" s="11" t="e">
        <f t="shared" si="21"/>
        <v>#DIV/0!</v>
      </c>
      <c r="AY12" s="101"/>
      <c r="AZ12" s="11">
        <f t="shared" si="22"/>
        <v>0</v>
      </c>
      <c r="BA12" s="11">
        <f t="shared" si="59"/>
        <v>0</v>
      </c>
      <c r="BB12" s="11">
        <f t="shared" si="23"/>
        <v>0</v>
      </c>
      <c r="BC12" s="101"/>
      <c r="BD12" s="11">
        <f t="shared" si="60"/>
        <v>0</v>
      </c>
      <c r="BE12" s="11">
        <f t="shared" si="61"/>
        <v>0</v>
      </c>
      <c r="BF12" s="11">
        <f t="shared" si="62"/>
        <v>0</v>
      </c>
      <c r="BG12" s="101">
        <v>8441.1660406855917</v>
      </c>
      <c r="BH12" s="11">
        <f t="shared" si="63"/>
        <v>14.644545370284549</v>
      </c>
      <c r="BI12" s="11">
        <f t="shared" si="64"/>
        <v>21571.166040685592</v>
      </c>
      <c r="BJ12" s="11">
        <f t="shared" si="65"/>
        <v>14.824999370618777</v>
      </c>
      <c r="BK12" s="101"/>
      <c r="BL12" s="11">
        <f t="shared" si="66"/>
        <v>0</v>
      </c>
      <c r="BM12" s="11">
        <f t="shared" si="67"/>
        <v>0</v>
      </c>
      <c r="BN12" s="11">
        <f t="shared" si="68"/>
        <v>0</v>
      </c>
      <c r="BO12" s="101"/>
      <c r="BP12" s="11">
        <f t="shared" si="24"/>
        <v>0</v>
      </c>
      <c r="BQ12" s="11">
        <f t="shared" si="69"/>
        <v>0</v>
      </c>
      <c r="BR12" s="11">
        <f t="shared" si="25"/>
        <v>0</v>
      </c>
      <c r="BS12" s="101">
        <v>0</v>
      </c>
      <c r="BT12" s="11">
        <f t="shared" si="26"/>
        <v>0</v>
      </c>
      <c r="BU12" s="11">
        <f t="shared" si="70"/>
        <v>0</v>
      </c>
      <c r="BV12" s="11">
        <f t="shared" si="27"/>
        <v>0</v>
      </c>
      <c r="BW12" s="101">
        <v>0</v>
      </c>
      <c r="BX12" s="11">
        <f t="shared" si="28"/>
        <v>0</v>
      </c>
      <c r="BY12" s="11">
        <f t="shared" si="71"/>
        <v>0</v>
      </c>
      <c r="BZ12" s="11">
        <f t="shared" si="29"/>
        <v>0</v>
      </c>
      <c r="CA12" s="101">
        <v>6384.2996320375205</v>
      </c>
      <c r="CB12" s="11">
        <f t="shared" si="30"/>
        <v>11.076096023727871</v>
      </c>
      <c r="CC12" s="11">
        <f t="shared" si="72"/>
        <v>19514.29963203752</v>
      </c>
      <c r="CD12" s="11">
        <f t="shared" si="31"/>
        <v>13.411397381920468</v>
      </c>
      <c r="CE12" s="101">
        <v>0</v>
      </c>
      <c r="CF12" s="11">
        <f t="shared" si="32"/>
        <v>0</v>
      </c>
      <c r="CG12" s="11">
        <f t="shared" si="73"/>
        <v>0</v>
      </c>
      <c r="CH12" s="11">
        <f t="shared" si="33"/>
        <v>0</v>
      </c>
      <c r="CI12" s="102">
        <v>0</v>
      </c>
      <c r="CJ12" s="11">
        <f t="shared" si="34"/>
        <v>0</v>
      </c>
      <c r="CK12" s="11">
        <f t="shared" si="74"/>
        <v>0</v>
      </c>
      <c r="CL12" s="11">
        <f t="shared" si="35"/>
        <v>0</v>
      </c>
      <c r="CM12" s="101">
        <v>2780.7765342891462</v>
      </c>
      <c r="CN12" s="11">
        <f t="shared" si="36"/>
        <v>4.8243581425526001</v>
      </c>
      <c r="CO12" s="11">
        <f t="shared" si="75"/>
        <v>2780.7765342891462</v>
      </c>
      <c r="CP12" s="11">
        <f t="shared" si="37"/>
        <v>1.9111164548505699</v>
      </c>
      <c r="CQ12" s="102">
        <v>0</v>
      </c>
      <c r="CR12" s="11">
        <f t="shared" si="38"/>
        <v>0</v>
      </c>
      <c r="CS12" s="11">
        <f t="shared" si="76"/>
        <v>0</v>
      </c>
      <c r="CT12" s="11">
        <f t="shared" si="39"/>
        <v>0</v>
      </c>
      <c r="CU12" s="101">
        <f t="shared" si="40"/>
        <v>57640.342033516994</v>
      </c>
      <c r="CV12" s="11">
        <f t="shared" si="41"/>
        <v>100</v>
      </c>
      <c r="CW12" s="11">
        <f t="shared" si="77"/>
        <v>145505.34203351699</v>
      </c>
      <c r="CX12" s="11">
        <f t="shared" si="42"/>
        <v>100</v>
      </c>
      <c r="CY12" s="101"/>
      <c r="CZ12" s="17">
        <f t="shared" si="43"/>
        <v>0</v>
      </c>
      <c r="DA12" s="11">
        <f t="shared" si="78"/>
        <v>0</v>
      </c>
      <c r="DB12" s="11">
        <f t="shared" si="44"/>
        <v>0</v>
      </c>
      <c r="DC12" s="11">
        <v>0</v>
      </c>
      <c r="DD12" s="11">
        <f t="shared" si="45"/>
        <v>0</v>
      </c>
      <c r="DE12" s="11">
        <f t="shared" si="79"/>
        <v>0</v>
      </c>
      <c r="DF12" s="11">
        <f t="shared" si="46"/>
        <v>0</v>
      </c>
      <c r="DG12" s="11">
        <f t="shared" si="80"/>
        <v>57640.342033516994</v>
      </c>
      <c r="DH12" s="11">
        <f t="shared" si="81"/>
        <v>145505.34203351699</v>
      </c>
      <c r="DI12" s="11">
        <f t="shared" si="47"/>
        <v>1.0868154090338071</v>
      </c>
      <c r="DJ12" s="11">
        <f t="shared" si="48"/>
        <v>1.6453365978799908</v>
      </c>
      <c r="DK12" s="498">
        <f t="shared" si="82"/>
        <v>0.9201194533016539</v>
      </c>
      <c r="DL12" s="499">
        <f t="shared" si="83"/>
        <v>0.6077783726980216</v>
      </c>
      <c r="DM12" s="6" t="str">
        <f>+Efficiency1!D16</f>
        <v>RC HW</v>
      </c>
    </row>
    <row r="13" spans="1:117">
      <c r="A13" s="18">
        <f>+Chem!A12</f>
        <v>45934</v>
      </c>
      <c r="B13" s="6" t="str">
        <f>+Chem!B12</f>
        <v>Towel</v>
      </c>
      <c r="C13" s="6" t="str">
        <f>+Chem!C12</f>
        <v>18</v>
      </c>
      <c r="D13" s="9">
        <f>+Chem!D12</f>
        <v>41.531999999999996</v>
      </c>
      <c r="E13" s="7">
        <f>+Chem!E12</f>
        <v>32.670999999999999</v>
      </c>
      <c r="F13" s="7">
        <f t="shared" si="84"/>
        <v>121.10599999999999</v>
      </c>
      <c r="G13" s="101">
        <v>0</v>
      </c>
      <c r="H13" s="11">
        <f t="shared" si="0"/>
        <v>0</v>
      </c>
      <c r="I13" s="9">
        <f t="shared" si="49"/>
        <v>0</v>
      </c>
      <c r="J13" s="11">
        <f t="shared" si="1"/>
        <v>0</v>
      </c>
      <c r="K13" s="101"/>
      <c r="L13" s="11">
        <f t="shared" si="2"/>
        <v>0</v>
      </c>
      <c r="M13" s="11">
        <f t="shared" si="50"/>
        <v>0</v>
      </c>
      <c r="N13" s="11">
        <f t="shared" si="3"/>
        <v>0</v>
      </c>
      <c r="O13" s="101">
        <v>0</v>
      </c>
      <c r="P13" s="11">
        <f t="shared" si="4"/>
        <v>0</v>
      </c>
      <c r="Q13" s="11">
        <f t="shared" si="51"/>
        <v>0</v>
      </c>
      <c r="R13" s="11">
        <f t="shared" si="5"/>
        <v>0</v>
      </c>
      <c r="S13" s="101"/>
      <c r="T13" s="11">
        <f t="shared" si="6"/>
        <v>0</v>
      </c>
      <c r="U13" s="11">
        <f t="shared" si="52"/>
        <v>0</v>
      </c>
      <c r="V13" s="11">
        <f t="shared" si="7"/>
        <v>0</v>
      </c>
      <c r="W13" s="11"/>
      <c r="X13" s="11">
        <f t="shared" si="8"/>
        <v>0</v>
      </c>
      <c r="Y13" s="11">
        <f t="shared" si="53"/>
        <v>0</v>
      </c>
      <c r="Z13" s="11">
        <f t="shared" si="9"/>
        <v>0</v>
      </c>
      <c r="AA13" s="11">
        <f t="shared" si="54"/>
        <v>0</v>
      </c>
      <c r="AB13" s="11">
        <f t="shared" si="10"/>
        <v>0</v>
      </c>
      <c r="AC13" s="11">
        <f t="shared" si="55"/>
        <v>0</v>
      </c>
      <c r="AD13" s="11">
        <f t="shared" si="11"/>
        <v>0</v>
      </c>
      <c r="AE13" s="11"/>
      <c r="AF13" s="11">
        <f t="shared" si="12"/>
        <v>0</v>
      </c>
      <c r="AG13" s="11">
        <f t="shared" si="85"/>
        <v>0</v>
      </c>
      <c r="AH13" s="11">
        <f t="shared" si="13"/>
        <v>0</v>
      </c>
      <c r="AI13" s="11"/>
      <c r="AJ13" s="11">
        <f t="shared" si="14"/>
        <v>0</v>
      </c>
      <c r="AK13" s="11">
        <f t="shared" si="86"/>
        <v>0</v>
      </c>
      <c r="AL13" s="11">
        <f t="shared" si="15"/>
        <v>0</v>
      </c>
      <c r="AM13" s="11">
        <f t="shared" si="56"/>
        <v>0</v>
      </c>
      <c r="AN13" s="11">
        <f t="shared" si="16"/>
        <v>0</v>
      </c>
      <c r="AO13" s="11">
        <f t="shared" si="87"/>
        <v>0</v>
      </c>
      <c r="AP13" s="11">
        <f t="shared" si="17"/>
        <v>0</v>
      </c>
      <c r="AQ13" s="101">
        <v>21732.576341535725</v>
      </c>
      <c r="AR13" s="11">
        <f t="shared" si="18"/>
        <v>54.875015545330186</v>
      </c>
      <c r="AS13" s="11">
        <f t="shared" si="57"/>
        <v>101525.7838113647</v>
      </c>
      <c r="AT13" s="11">
        <f t="shared" si="19"/>
        <v>54.846453153646102</v>
      </c>
      <c r="AU13" s="101">
        <v>5915.2009487103478</v>
      </c>
      <c r="AV13" s="11" t="e">
        <f t="shared" si="20"/>
        <v>#DIV/0!</v>
      </c>
      <c r="AW13" s="11">
        <f t="shared" si="58"/>
        <v>27761.093305386101</v>
      </c>
      <c r="AX13" s="11" t="e">
        <f t="shared" si="21"/>
        <v>#DIV/0!</v>
      </c>
      <c r="AY13" s="101"/>
      <c r="AZ13" s="11">
        <f t="shared" si="22"/>
        <v>0</v>
      </c>
      <c r="BA13" s="11">
        <f t="shared" si="59"/>
        <v>0</v>
      </c>
      <c r="BB13" s="11">
        <f t="shared" si="23"/>
        <v>0</v>
      </c>
      <c r="BC13" s="101"/>
      <c r="BD13" s="11">
        <f t="shared" si="60"/>
        <v>0</v>
      </c>
      <c r="BE13" s="11">
        <f t="shared" si="61"/>
        <v>0</v>
      </c>
      <c r="BF13" s="11">
        <f t="shared" si="62"/>
        <v>0</v>
      </c>
      <c r="BG13" s="101">
        <v>5954.6027868366446</v>
      </c>
      <c r="BH13" s="11">
        <f t="shared" si="63"/>
        <v>15.035443352816817</v>
      </c>
      <c r="BI13" s="11">
        <f t="shared" si="64"/>
        <v>27525.768827522235</v>
      </c>
      <c r="BJ13" s="11">
        <f t="shared" si="65"/>
        <v>14.87002349395107</v>
      </c>
      <c r="BK13" s="101"/>
      <c r="BL13" s="11">
        <f t="shared" si="66"/>
        <v>0</v>
      </c>
      <c r="BM13" s="11">
        <f t="shared" si="67"/>
        <v>0</v>
      </c>
      <c r="BN13" s="11">
        <f t="shared" si="68"/>
        <v>0</v>
      </c>
      <c r="BO13" s="101"/>
      <c r="BP13" s="11">
        <f t="shared" si="24"/>
        <v>0</v>
      </c>
      <c r="BQ13" s="11">
        <f t="shared" si="69"/>
        <v>0</v>
      </c>
      <c r="BR13" s="11">
        <f t="shared" si="25"/>
        <v>0</v>
      </c>
      <c r="BS13" s="101">
        <v>0</v>
      </c>
      <c r="BT13" s="11">
        <f t="shared" si="26"/>
        <v>0</v>
      </c>
      <c r="BU13" s="11">
        <f t="shared" si="70"/>
        <v>0</v>
      </c>
      <c r="BV13" s="11">
        <f t="shared" si="27"/>
        <v>0</v>
      </c>
      <c r="BW13" s="101">
        <v>0</v>
      </c>
      <c r="BX13" s="11">
        <f t="shared" si="28"/>
        <v>0</v>
      </c>
      <c r="BY13" s="11">
        <f t="shared" si="71"/>
        <v>0</v>
      </c>
      <c r="BZ13" s="11">
        <f t="shared" si="29"/>
        <v>0</v>
      </c>
      <c r="CA13" s="101">
        <v>4119.9546990809376</v>
      </c>
      <c r="CB13" s="11">
        <f t="shared" si="30"/>
        <v>10.402934958338516</v>
      </c>
      <c r="CC13" s="11">
        <f t="shared" si="72"/>
        <v>23634.254331118456</v>
      </c>
      <c r="CD13" s="11">
        <f t="shared" si="31"/>
        <v>12.767742088073831</v>
      </c>
      <c r="CE13" s="101">
        <v>0</v>
      </c>
      <c r="CF13" s="11">
        <f t="shared" si="32"/>
        <v>0</v>
      </c>
      <c r="CG13" s="11">
        <f t="shared" si="73"/>
        <v>0</v>
      </c>
      <c r="CH13" s="11">
        <f t="shared" si="33"/>
        <v>0</v>
      </c>
      <c r="CI13" s="102">
        <v>0</v>
      </c>
      <c r="CJ13" s="11">
        <f t="shared" si="34"/>
        <v>0</v>
      </c>
      <c r="CK13" s="11">
        <f t="shared" si="74"/>
        <v>0</v>
      </c>
      <c r="CL13" s="11">
        <f t="shared" si="35"/>
        <v>0</v>
      </c>
      <c r="CM13" s="101">
        <v>1881.4377705306849</v>
      </c>
      <c r="CN13" s="11">
        <f t="shared" si="36"/>
        <v>4.7506529038676781</v>
      </c>
      <c r="CO13" s="11">
        <f t="shared" si="75"/>
        <v>4662.2143048198313</v>
      </c>
      <c r="CP13" s="11">
        <f t="shared" si="37"/>
        <v>2.5186303307607276</v>
      </c>
      <c r="CQ13" s="102">
        <v>0</v>
      </c>
      <c r="CR13" s="11">
        <f t="shared" si="38"/>
        <v>0</v>
      </c>
      <c r="CS13" s="11">
        <f t="shared" si="76"/>
        <v>0</v>
      </c>
      <c r="CT13" s="11">
        <f t="shared" si="39"/>
        <v>0</v>
      </c>
      <c r="CU13" s="101">
        <f t="shared" si="40"/>
        <v>39603.772546694338</v>
      </c>
      <c r="CV13" s="11">
        <f t="shared" si="41"/>
        <v>100</v>
      </c>
      <c r="CW13" s="11">
        <f t="shared" si="77"/>
        <v>185109.11458021135</v>
      </c>
      <c r="CX13" s="11">
        <f t="shared" si="42"/>
        <v>100</v>
      </c>
      <c r="CY13" s="101"/>
      <c r="CZ13" s="17">
        <f t="shared" si="43"/>
        <v>0</v>
      </c>
      <c r="DA13" s="11">
        <f t="shared" si="78"/>
        <v>0</v>
      </c>
      <c r="DB13" s="11">
        <f t="shared" si="44"/>
        <v>0</v>
      </c>
      <c r="DC13" s="11">
        <v>0</v>
      </c>
      <c r="DD13" s="11">
        <f t="shared" si="45"/>
        <v>0</v>
      </c>
      <c r="DE13" s="11">
        <f t="shared" si="79"/>
        <v>0</v>
      </c>
      <c r="DF13" s="11">
        <f t="shared" si="46"/>
        <v>0</v>
      </c>
      <c r="DG13" s="11">
        <f t="shared" si="80"/>
        <v>39603.772546694338</v>
      </c>
      <c r="DH13" s="11">
        <f t="shared" si="81"/>
        <v>185109.11458021135</v>
      </c>
      <c r="DI13" s="11">
        <f t="shared" si="47"/>
        <v>1.2121995820970994</v>
      </c>
      <c r="DJ13" s="11">
        <f t="shared" si="48"/>
        <v>1.5284883868694479</v>
      </c>
      <c r="DK13" s="498">
        <f t="shared" si="82"/>
        <v>0.82494666288368523</v>
      </c>
      <c r="DL13" s="499">
        <f t="shared" si="83"/>
        <v>0.65424115000843153</v>
      </c>
      <c r="DM13" s="6" t="str">
        <f>+Efficiency1!D21</f>
        <v>RC HW</v>
      </c>
    </row>
    <row r="14" spans="1:117">
      <c r="A14" s="18">
        <f>+Chem!A13</f>
        <v>45935</v>
      </c>
      <c r="B14" s="6" t="str">
        <f>+Chem!B13</f>
        <v>Towel</v>
      </c>
      <c r="C14" s="6" t="str">
        <f>+Chem!C13</f>
        <v>18/20</v>
      </c>
      <c r="D14" s="9">
        <f>+Chem!D13</f>
        <v>49.480000000000004</v>
      </c>
      <c r="E14" s="7">
        <f>+Chem!E13</f>
        <v>44.783000000000001</v>
      </c>
      <c r="F14" s="7">
        <f t="shared" si="84"/>
        <v>165.88900000000001</v>
      </c>
      <c r="G14" s="101">
        <v>0</v>
      </c>
      <c r="H14" s="92">
        <f t="shared" si="0"/>
        <v>0</v>
      </c>
      <c r="I14" s="9">
        <f t="shared" si="49"/>
        <v>0</v>
      </c>
      <c r="J14" s="92">
        <f t="shared" si="1"/>
        <v>0</v>
      </c>
      <c r="K14" s="101"/>
      <c r="L14" s="92">
        <f t="shared" si="2"/>
        <v>0</v>
      </c>
      <c r="M14" s="92">
        <f t="shared" si="50"/>
        <v>0</v>
      </c>
      <c r="N14" s="92">
        <f t="shared" si="3"/>
        <v>0</v>
      </c>
      <c r="O14" s="101">
        <v>0</v>
      </c>
      <c r="P14" s="92">
        <f t="shared" si="4"/>
        <v>0</v>
      </c>
      <c r="Q14" s="92">
        <f t="shared" si="51"/>
        <v>0</v>
      </c>
      <c r="R14" s="92">
        <f t="shared" si="5"/>
        <v>0</v>
      </c>
      <c r="S14" s="101"/>
      <c r="T14" s="92">
        <f t="shared" si="6"/>
        <v>0</v>
      </c>
      <c r="U14" s="92">
        <f t="shared" si="52"/>
        <v>0</v>
      </c>
      <c r="V14" s="92">
        <f t="shared" si="7"/>
        <v>0</v>
      </c>
      <c r="W14" s="11"/>
      <c r="X14" s="92">
        <f t="shared" si="8"/>
        <v>0</v>
      </c>
      <c r="Y14" s="92">
        <f t="shared" si="53"/>
        <v>0</v>
      </c>
      <c r="Z14" s="92">
        <f t="shared" si="9"/>
        <v>0</v>
      </c>
      <c r="AA14" s="11">
        <f t="shared" si="54"/>
        <v>0</v>
      </c>
      <c r="AB14" s="92">
        <f t="shared" si="10"/>
        <v>0</v>
      </c>
      <c r="AC14" s="92">
        <f t="shared" si="55"/>
        <v>0</v>
      </c>
      <c r="AD14" s="92">
        <f t="shared" si="11"/>
        <v>0</v>
      </c>
      <c r="AE14" s="92"/>
      <c r="AF14" s="11">
        <f t="shared" si="12"/>
        <v>0</v>
      </c>
      <c r="AG14" s="11">
        <f t="shared" si="85"/>
        <v>0</v>
      </c>
      <c r="AH14" s="11">
        <f t="shared" si="13"/>
        <v>0</v>
      </c>
      <c r="AI14" s="11"/>
      <c r="AJ14" s="11">
        <f t="shared" si="14"/>
        <v>0</v>
      </c>
      <c r="AK14" s="11">
        <f t="shared" si="86"/>
        <v>0</v>
      </c>
      <c r="AL14" s="11">
        <f t="shared" si="15"/>
        <v>0</v>
      </c>
      <c r="AM14" s="11">
        <f t="shared" si="56"/>
        <v>0</v>
      </c>
      <c r="AN14" s="11">
        <f t="shared" si="16"/>
        <v>0</v>
      </c>
      <c r="AO14" s="11">
        <f t="shared" si="87"/>
        <v>0</v>
      </c>
      <c r="AP14" s="11">
        <f t="shared" si="17"/>
        <v>0</v>
      </c>
      <c r="AQ14" s="101">
        <v>38394.591846668038</v>
      </c>
      <c r="AR14" s="11">
        <f t="shared" si="18"/>
        <v>65.992089044246157</v>
      </c>
      <c r="AS14" s="92">
        <f t="shared" si="57"/>
        <v>139920.37565803275</v>
      </c>
      <c r="AT14" s="11">
        <f t="shared" si="19"/>
        <v>57.511834076913573</v>
      </c>
      <c r="AU14" s="101">
        <v>3315.5073388640717</v>
      </c>
      <c r="AV14" s="11" t="e">
        <f t="shared" si="20"/>
        <v>#DIV/0!</v>
      </c>
      <c r="AW14" s="92">
        <f t="shared" si="58"/>
        <v>31076.600644250171</v>
      </c>
      <c r="AX14" s="11" t="e">
        <f t="shared" si="21"/>
        <v>#DIV/0!</v>
      </c>
      <c r="AY14" s="102"/>
      <c r="AZ14" s="92">
        <f t="shared" si="22"/>
        <v>0</v>
      </c>
      <c r="BA14" s="92">
        <f t="shared" si="59"/>
        <v>0</v>
      </c>
      <c r="BB14" s="92">
        <f t="shared" si="23"/>
        <v>0</v>
      </c>
      <c r="BC14" s="101"/>
      <c r="BD14" s="11">
        <f t="shared" si="60"/>
        <v>0</v>
      </c>
      <c r="BE14" s="92">
        <f t="shared" si="61"/>
        <v>0</v>
      </c>
      <c r="BF14" s="11">
        <f t="shared" si="62"/>
        <v>0</v>
      </c>
      <c r="BG14" s="102">
        <v>8758.3983213092051</v>
      </c>
      <c r="BH14" s="11">
        <f t="shared" si="63"/>
        <v>15.053812896697632</v>
      </c>
      <c r="BI14" s="92">
        <f t="shared" si="64"/>
        <v>36284.167148831439</v>
      </c>
      <c r="BJ14" s="11">
        <f t="shared" si="65"/>
        <v>14.913975115266151</v>
      </c>
      <c r="BK14" s="101"/>
      <c r="BL14" s="11">
        <f t="shared" si="66"/>
        <v>0</v>
      </c>
      <c r="BM14" s="92">
        <f t="shared" si="67"/>
        <v>0</v>
      </c>
      <c r="BN14" s="11">
        <f t="shared" si="68"/>
        <v>0</v>
      </c>
      <c r="BO14" s="102"/>
      <c r="BP14" s="92">
        <f t="shared" si="24"/>
        <v>0</v>
      </c>
      <c r="BQ14" s="92">
        <f t="shared" si="69"/>
        <v>0</v>
      </c>
      <c r="BR14" s="92">
        <f t="shared" si="25"/>
        <v>0</v>
      </c>
      <c r="BS14" s="101">
        <v>0</v>
      </c>
      <c r="BT14" s="92">
        <f t="shared" si="26"/>
        <v>0</v>
      </c>
      <c r="BU14" s="92">
        <f t="shared" si="70"/>
        <v>0</v>
      </c>
      <c r="BV14" s="92">
        <f t="shared" si="27"/>
        <v>0</v>
      </c>
      <c r="BW14" s="101">
        <v>0</v>
      </c>
      <c r="BX14" s="92">
        <f t="shared" si="28"/>
        <v>0</v>
      </c>
      <c r="BY14" s="92">
        <f t="shared" si="71"/>
        <v>0</v>
      </c>
      <c r="BZ14" s="92">
        <f t="shared" si="29"/>
        <v>0</v>
      </c>
      <c r="CA14" s="102">
        <v>4174.4886591024633</v>
      </c>
      <c r="CB14" s="92">
        <f t="shared" si="30"/>
        <v>7.1750528930181217</v>
      </c>
      <c r="CC14" s="92">
        <f t="shared" si="72"/>
        <v>27808.742990220919</v>
      </c>
      <c r="CD14" s="92">
        <f t="shared" si="31"/>
        <v>11.430299591604207</v>
      </c>
      <c r="CE14" s="101">
        <v>0</v>
      </c>
      <c r="CF14" s="11">
        <f t="shared" si="32"/>
        <v>0</v>
      </c>
      <c r="CG14" s="92">
        <f t="shared" si="73"/>
        <v>0</v>
      </c>
      <c r="CH14" s="11">
        <f t="shared" si="33"/>
        <v>0</v>
      </c>
      <c r="CI14" s="102">
        <v>0</v>
      </c>
      <c r="CJ14" s="92">
        <f t="shared" si="34"/>
        <v>0</v>
      </c>
      <c r="CK14" s="92">
        <f t="shared" si="74"/>
        <v>0</v>
      </c>
      <c r="CL14" s="92">
        <f t="shared" si="35"/>
        <v>0</v>
      </c>
      <c r="CM14" s="102">
        <v>3537.6115431624717</v>
      </c>
      <c r="CN14" s="11">
        <f t="shared" si="36"/>
        <v>6.0803973875448429</v>
      </c>
      <c r="CO14" s="92">
        <f t="shared" si="75"/>
        <v>8199.8258479823035</v>
      </c>
      <c r="CP14" s="11">
        <f t="shared" si="37"/>
        <v>3.370395636882153</v>
      </c>
      <c r="CQ14" s="102">
        <v>0</v>
      </c>
      <c r="CR14" s="11">
        <f t="shared" si="38"/>
        <v>0</v>
      </c>
      <c r="CS14" s="92">
        <f t="shared" si="76"/>
        <v>0</v>
      </c>
      <c r="CT14" s="11">
        <f t="shared" si="39"/>
        <v>0</v>
      </c>
      <c r="CU14" s="101">
        <f t="shared" si="40"/>
        <v>58180.597709106252</v>
      </c>
      <c r="CV14" s="11">
        <f t="shared" si="41"/>
        <v>100</v>
      </c>
      <c r="CW14" s="11">
        <f t="shared" si="77"/>
        <v>243289.7122893176</v>
      </c>
      <c r="CX14" s="11">
        <f t="shared" si="42"/>
        <v>100</v>
      </c>
      <c r="CY14" s="102"/>
      <c r="CZ14" s="93">
        <f t="shared" si="43"/>
        <v>0</v>
      </c>
      <c r="DA14" s="92">
        <f t="shared" si="78"/>
        <v>0</v>
      </c>
      <c r="DB14" s="92">
        <f t="shared" si="44"/>
        <v>0</v>
      </c>
      <c r="DC14" s="11">
        <v>0</v>
      </c>
      <c r="DD14" s="92">
        <f t="shared" si="45"/>
        <v>0</v>
      </c>
      <c r="DE14" s="92">
        <f t="shared" si="79"/>
        <v>0</v>
      </c>
      <c r="DF14" s="92">
        <f t="shared" si="46"/>
        <v>0</v>
      </c>
      <c r="DG14" s="11">
        <f t="shared" si="80"/>
        <v>58180.597709106252</v>
      </c>
      <c r="DH14" s="92">
        <f t="shared" si="81"/>
        <v>243289.7122893176</v>
      </c>
      <c r="DI14" s="92">
        <f t="shared" si="47"/>
        <v>1.2991670435010216</v>
      </c>
      <c r="DJ14" s="92">
        <f t="shared" si="48"/>
        <v>1.4665813422789793</v>
      </c>
      <c r="DK14" s="498">
        <f t="shared" si="82"/>
        <v>0.76972395890306744</v>
      </c>
      <c r="DL14" s="499">
        <f t="shared" si="83"/>
        <v>0.68185784938874239</v>
      </c>
      <c r="DM14" s="6" t="str">
        <f>+Efficiency1!D26</f>
        <v>RC HW</v>
      </c>
    </row>
    <row r="15" spans="1:117">
      <c r="A15" s="18">
        <f>+Chem!A14</f>
        <v>45936</v>
      </c>
      <c r="B15" s="6" t="str">
        <f>+Chem!B14</f>
        <v>Towel</v>
      </c>
      <c r="C15" s="6" t="str">
        <f>+Chem!C14</f>
        <v>20/17/18/18,5</v>
      </c>
      <c r="D15" s="9">
        <f>+Chem!D14</f>
        <v>62.212000000000003</v>
      </c>
      <c r="E15" s="7">
        <f>+Chem!E14</f>
        <v>60.667000000000002</v>
      </c>
      <c r="F15" s="7">
        <f t="shared" si="84"/>
        <v>226.55600000000001</v>
      </c>
      <c r="G15" s="101">
        <f>12*G7</f>
        <v>3000</v>
      </c>
      <c r="H15" s="92">
        <f t="shared" si="0"/>
        <v>6.1985395205018508</v>
      </c>
      <c r="I15" s="9">
        <f t="shared" si="49"/>
        <v>3000</v>
      </c>
      <c r="J15" s="92">
        <f t="shared" si="1"/>
        <v>1.0284954614089812</v>
      </c>
      <c r="K15" s="101"/>
      <c r="L15" s="92">
        <f t="shared" si="2"/>
        <v>0</v>
      </c>
      <c r="M15" s="92">
        <f t="shared" si="50"/>
        <v>0</v>
      </c>
      <c r="N15" s="92">
        <f t="shared" si="3"/>
        <v>0</v>
      </c>
      <c r="O15" s="101">
        <v>0</v>
      </c>
      <c r="P15" s="92">
        <f t="shared" si="4"/>
        <v>0</v>
      </c>
      <c r="Q15" s="92">
        <f t="shared" si="51"/>
        <v>0</v>
      </c>
      <c r="R15" s="92">
        <f t="shared" si="5"/>
        <v>0</v>
      </c>
      <c r="S15" s="101"/>
      <c r="T15" s="92">
        <f t="shared" si="6"/>
        <v>0</v>
      </c>
      <c r="U15" s="92">
        <f t="shared" si="52"/>
        <v>0</v>
      </c>
      <c r="V15" s="92">
        <f t="shared" si="7"/>
        <v>0</v>
      </c>
      <c r="W15" s="11"/>
      <c r="X15" s="92">
        <f t="shared" si="8"/>
        <v>0</v>
      </c>
      <c r="Y15" s="92">
        <f t="shared" si="53"/>
        <v>0</v>
      </c>
      <c r="Z15" s="92">
        <f t="shared" si="9"/>
        <v>0</v>
      </c>
      <c r="AA15" s="11">
        <f t="shared" si="54"/>
        <v>3000</v>
      </c>
      <c r="AB15" s="92">
        <f t="shared" si="10"/>
        <v>6.1985395205018508</v>
      </c>
      <c r="AC15" s="92">
        <f t="shared" si="55"/>
        <v>3000</v>
      </c>
      <c r="AD15" s="92">
        <f t="shared" si="11"/>
        <v>1.0284954614089812</v>
      </c>
      <c r="AE15" s="92"/>
      <c r="AF15" s="11">
        <f t="shared" si="12"/>
        <v>0</v>
      </c>
      <c r="AG15" s="11">
        <f t="shared" si="85"/>
        <v>0</v>
      </c>
      <c r="AH15" s="11">
        <f t="shared" si="13"/>
        <v>0</v>
      </c>
      <c r="AI15" s="11"/>
      <c r="AJ15" s="11">
        <f t="shared" si="14"/>
        <v>0</v>
      </c>
      <c r="AK15" s="11">
        <f t="shared" si="86"/>
        <v>0</v>
      </c>
      <c r="AL15" s="11">
        <f t="shared" si="15"/>
        <v>0</v>
      </c>
      <c r="AM15" s="11">
        <f t="shared" si="56"/>
        <v>0</v>
      </c>
      <c r="AN15" s="11">
        <f t="shared" si="16"/>
        <v>0</v>
      </c>
      <c r="AO15" s="11">
        <f t="shared" si="87"/>
        <v>0</v>
      </c>
      <c r="AP15" s="11">
        <f t="shared" si="17"/>
        <v>0</v>
      </c>
      <c r="AQ15" s="101">
        <v>31144.119730201768</v>
      </c>
      <c r="AR15" s="11">
        <f t="shared" si="18"/>
        <v>64.349352326299041</v>
      </c>
      <c r="AS15" s="92">
        <f t="shared" si="57"/>
        <v>171064.4953882345</v>
      </c>
      <c r="AT15" s="11">
        <f t="shared" si="19"/>
        <v>58.646352371672251</v>
      </c>
      <c r="AU15" s="101">
        <v>2788.4432564916578</v>
      </c>
      <c r="AV15" s="11" t="e">
        <f t="shared" si="20"/>
        <v>#DIV/0!</v>
      </c>
      <c r="AW15" s="92">
        <f t="shared" si="58"/>
        <v>33865.043900741832</v>
      </c>
      <c r="AX15" s="11" t="e">
        <f t="shared" si="21"/>
        <v>#DIV/0!</v>
      </c>
      <c r="AY15" s="102"/>
      <c r="AZ15" s="92">
        <f t="shared" si="22"/>
        <v>0</v>
      </c>
      <c r="BA15" s="92">
        <f t="shared" si="59"/>
        <v>0</v>
      </c>
      <c r="BB15" s="92">
        <f t="shared" si="23"/>
        <v>0</v>
      </c>
      <c r="BC15" s="101"/>
      <c r="BD15" s="11">
        <f t="shared" si="60"/>
        <v>0</v>
      </c>
      <c r="BE15" s="92">
        <f t="shared" si="61"/>
        <v>0</v>
      </c>
      <c r="BF15" s="11">
        <f t="shared" si="62"/>
        <v>0</v>
      </c>
      <c r="BG15" s="102">
        <v>6351.2873312554875</v>
      </c>
      <c r="BH15" s="11">
        <f t="shared" si="63"/>
        <v>13.122901842949956</v>
      </c>
      <c r="BI15" s="92">
        <f t="shared" si="64"/>
        <v>42635.454480086926</v>
      </c>
      <c r="BJ15" s="11">
        <f t="shared" si="65"/>
        <v>14.616790475959537</v>
      </c>
      <c r="BK15" s="101"/>
      <c r="BL15" s="11">
        <f t="shared" si="66"/>
        <v>0</v>
      </c>
      <c r="BM15" s="92">
        <f t="shared" si="67"/>
        <v>0</v>
      </c>
      <c r="BN15" s="11">
        <f t="shared" si="68"/>
        <v>0</v>
      </c>
      <c r="BO15" s="102"/>
      <c r="BP15" s="92">
        <f t="shared" si="24"/>
        <v>0</v>
      </c>
      <c r="BQ15" s="92">
        <f t="shared" si="69"/>
        <v>0</v>
      </c>
      <c r="BR15" s="92">
        <f t="shared" si="25"/>
        <v>0</v>
      </c>
      <c r="BS15" s="101">
        <v>0</v>
      </c>
      <c r="BT15" s="92">
        <f t="shared" si="26"/>
        <v>0</v>
      </c>
      <c r="BU15" s="92">
        <f t="shared" si="70"/>
        <v>0</v>
      </c>
      <c r="BV15" s="92">
        <f t="shared" si="27"/>
        <v>0</v>
      </c>
      <c r="BW15" s="101">
        <v>0</v>
      </c>
      <c r="BX15" s="92">
        <f t="shared" si="28"/>
        <v>0</v>
      </c>
      <c r="BY15" s="92">
        <f t="shared" si="71"/>
        <v>0</v>
      </c>
      <c r="BZ15" s="92">
        <f t="shared" si="29"/>
        <v>0</v>
      </c>
      <c r="CA15" s="102">
        <v>4718.4421950536989</v>
      </c>
      <c r="CB15" s="92">
        <f t="shared" si="30"/>
        <v>9.7491501404146188</v>
      </c>
      <c r="CC15" s="92">
        <f t="shared" si="72"/>
        <v>32527.185185274619</v>
      </c>
      <c r="CD15" s="92">
        <f t="shared" si="31"/>
        <v>11.151354111821464</v>
      </c>
      <c r="CE15" s="101">
        <v>0</v>
      </c>
      <c r="CF15" s="11">
        <f t="shared" si="32"/>
        <v>0</v>
      </c>
      <c r="CG15" s="92">
        <f t="shared" si="73"/>
        <v>0</v>
      </c>
      <c r="CH15" s="11">
        <f t="shared" si="33"/>
        <v>0</v>
      </c>
      <c r="CI15" s="102">
        <v>0</v>
      </c>
      <c r="CJ15" s="92">
        <f t="shared" si="34"/>
        <v>0</v>
      </c>
      <c r="CK15" s="92">
        <f t="shared" si="74"/>
        <v>0</v>
      </c>
      <c r="CL15" s="92">
        <f t="shared" si="35"/>
        <v>0</v>
      </c>
      <c r="CM15" s="102">
        <v>396.20506981366935</v>
      </c>
      <c r="CN15" s="11">
        <f t="shared" si="36"/>
        <v>0.81863092782107472</v>
      </c>
      <c r="CO15" s="92">
        <f t="shared" si="75"/>
        <v>8596.0309177959734</v>
      </c>
      <c r="CP15" s="11">
        <f t="shared" si="37"/>
        <v>2.9469929283614786</v>
      </c>
      <c r="CQ15" s="102">
        <v>0</v>
      </c>
      <c r="CR15" s="11">
        <f t="shared" si="38"/>
        <v>0</v>
      </c>
      <c r="CS15" s="92">
        <f t="shared" si="76"/>
        <v>0</v>
      </c>
      <c r="CT15" s="11">
        <f t="shared" si="39"/>
        <v>0</v>
      </c>
      <c r="CU15" s="101">
        <f t="shared" si="40"/>
        <v>45398.497582816279</v>
      </c>
      <c r="CV15" s="11">
        <f t="shared" si="41"/>
        <v>93.801460479498147</v>
      </c>
      <c r="CW15" s="11">
        <f t="shared" si="77"/>
        <v>288688.20987213386</v>
      </c>
      <c r="CX15" s="11">
        <f t="shared" si="42"/>
        <v>98.97150453859102</v>
      </c>
      <c r="CY15" s="102"/>
      <c r="CZ15" s="93">
        <f t="shared" si="43"/>
        <v>0</v>
      </c>
      <c r="DA15" s="92">
        <f t="shared" si="78"/>
        <v>0</v>
      </c>
      <c r="DB15" s="92">
        <f t="shared" si="44"/>
        <v>0</v>
      </c>
      <c r="DC15" s="11">
        <v>0</v>
      </c>
      <c r="DD15" s="92">
        <f t="shared" si="45"/>
        <v>0</v>
      </c>
      <c r="DE15" s="92">
        <f t="shared" si="79"/>
        <v>0</v>
      </c>
      <c r="DF15" s="92">
        <f t="shared" si="46"/>
        <v>0</v>
      </c>
      <c r="DG15" s="11">
        <f t="shared" si="80"/>
        <v>48398.497582816279</v>
      </c>
      <c r="DH15" s="92">
        <f t="shared" si="81"/>
        <v>291688.20987213386</v>
      </c>
      <c r="DI15" s="92">
        <f t="shared" si="47"/>
        <v>0.79777304931538195</v>
      </c>
      <c r="DJ15" s="92">
        <f t="shared" si="48"/>
        <v>1.2874883466875027</v>
      </c>
      <c r="DK15" s="498">
        <f t="shared" si="82"/>
        <v>1.3363217557878606</v>
      </c>
      <c r="DL15" s="499">
        <f t="shared" si="83"/>
        <v>0.78477745973881807</v>
      </c>
      <c r="DM15" s="6" t="str">
        <f>+Efficiency1!D32</f>
        <v>RC HW</v>
      </c>
    </row>
    <row r="16" spans="1:117">
      <c r="A16" s="18">
        <f>+Chem!A15</f>
        <v>45937</v>
      </c>
      <c r="B16" s="6" t="str">
        <f>+Chem!B15</f>
        <v>Towel</v>
      </c>
      <c r="C16" s="6" t="str">
        <f>+Chem!C15</f>
        <v>18,5/32</v>
      </c>
      <c r="D16" s="9">
        <f>+Chem!D15</f>
        <v>68.798999999999992</v>
      </c>
      <c r="E16" s="7">
        <f>+Chem!E15</f>
        <v>69.388000000000005</v>
      </c>
      <c r="F16" s="7">
        <f t="shared" si="84"/>
        <v>295.94400000000002</v>
      </c>
      <c r="G16" s="101">
        <f>40*G7</f>
        <v>10000</v>
      </c>
      <c r="H16" s="92">
        <f t="shared" si="0"/>
        <v>16.618123021106495</v>
      </c>
      <c r="I16" s="9">
        <f t="shared" si="49"/>
        <v>13000</v>
      </c>
      <c r="J16" s="92">
        <f t="shared" si="1"/>
        <v>3.6946147673412844</v>
      </c>
      <c r="K16" s="101"/>
      <c r="L16" s="92">
        <f t="shared" si="2"/>
        <v>0</v>
      </c>
      <c r="M16" s="92">
        <f t="shared" si="50"/>
        <v>0</v>
      </c>
      <c r="N16" s="92">
        <f t="shared" si="3"/>
        <v>0</v>
      </c>
      <c r="O16" s="101">
        <v>0</v>
      </c>
      <c r="P16" s="92">
        <f t="shared" si="4"/>
        <v>0</v>
      </c>
      <c r="Q16" s="92">
        <f t="shared" si="51"/>
        <v>0</v>
      </c>
      <c r="R16" s="92">
        <f t="shared" si="5"/>
        <v>0</v>
      </c>
      <c r="S16" s="101"/>
      <c r="T16" s="92">
        <f t="shared" si="6"/>
        <v>0</v>
      </c>
      <c r="U16" s="92">
        <f t="shared" si="52"/>
        <v>0</v>
      </c>
      <c r="V16" s="92">
        <f t="shared" si="7"/>
        <v>0</v>
      </c>
      <c r="W16" s="11"/>
      <c r="X16" s="92">
        <f t="shared" si="8"/>
        <v>0</v>
      </c>
      <c r="Y16" s="92">
        <f t="shared" si="53"/>
        <v>0</v>
      </c>
      <c r="Z16" s="92">
        <f t="shared" si="9"/>
        <v>0</v>
      </c>
      <c r="AA16" s="11">
        <f t="shared" si="54"/>
        <v>10000</v>
      </c>
      <c r="AB16" s="92">
        <f t="shared" si="10"/>
        <v>16.618123021106495</v>
      </c>
      <c r="AC16" s="92">
        <f t="shared" si="55"/>
        <v>13000</v>
      </c>
      <c r="AD16" s="92">
        <f t="shared" si="11"/>
        <v>3.6946147673412844</v>
      </c>
      <c r="AE16" s="92"/>
      <c r="AF16" s="11">
        <f t="shared" si="12"/>
        <v>0</v>
      </c>
      <c r="AG16" s="11">
        <f t="shared" si="85"/>
        <v>0</v>
      </c>
      <c r="AH16" s="11">
        <f t="shared" si="13"/>
        <v>0</v>
      </c>
      <c r="AI16" s="11"/>
      <c r="AJ16" s="11">
        <f t="shared" si="14"/>
        <v>0</v>
      </c>
      <c r="AK16" s="11">
        <f t="shared" si="86"/>
        <v>0</v>
      </c>
      <c r="AL16" s="11">
        <f t="shared" si="15"/>
        <v>0</v>
      </c>
      <c r="AM16" s="11">
        <f t="shared" si="56"/>
        <v>0</v>
      </c>
      <c r="AN16" s="11">
        <f t="shared" si="16"/>
        <v>0</v>
      </c>
      <c r="AO16" s="11">
        <f t="shared" si="87"/>
        <v>0</v>
      </c>
      <c r="AP16" s="11">
        <f t="shared" si="17"/>
        <v>0</v>
      </c>
      <c r="AQ16" s="101">
        <v>34421.062924924059</v>
      </c>
      <c r="AR16" s="11">
        <f t="shared" si="18"/>
        <v>57.201345820363578</v>
      </c>
      <c r="AS16" s="92">
        <f t="shared" si="57"/>
        <v>205485.55831315857</v>
      </c>
      <c r="AT16" s="11">
        <f t="shared" si="19"/>
        <v>58.399229093781869</v>
      </c>
      <c r="AU16" s="101">
        <v>3081.8395776074062</v>
      </c>
      <c r="AV16" s="11" t="e">
        <f t="shared" si="20"/>
        <v>#DIV/0!</v>
      </c>
      <c r="AW16" s="92">
        <f t="shared" si="58"/>
        <v>36946.883478349235</v>
      </c>
      <c r="AX16" s="11" t="e">
        <f t="shared" si="21"/>
        <v>#DIV/0!</v>
      </c>
      <c r="AY16" s="102"/>
      <c r="AZ16" s="92">
        <f t="shared" si="22"/>
        <v>0</v>
      </c>
      <c r="BA16" s="92">
        <f t="shared" si="59"/>
        <v>0</v>
      </c>
      <c r="BB16" s="92">
        <f t="shared" si="23"/>
        <v>0</v>
      </c>
      <c r="BC16" s="101"/>
      <c r="BD16" s="11">
        <f t="shared" si="60"/>
        <v>0</v>
      </c>
      <c r="BE16" s="92">
        <f t="shared" si="61"/>
        <v>0</v>
      </c>
      <c r="BF16" s="11">
        <f t="shared" si="62"/>
        <v>0</v>
      </c>
      <c r="BG16" s="102">
        <v>7019.5614060465787</v>
      </c>
      <c r="BH16" s="11">
        <f t="shared" si="63"/>
        <v>11.665193499989332</v>
      </c>
      <c r="BI16" s="92">
        <f t="shared" si="64"/>
        <v>49655.015886133508</v>
      </c>
      <c r="BJ16" s="11">
        <f t="shared" si="65"/>
        <v>14.11201192042115</v>
      </c>
      <c r="BK16" s="101"/>
      <c r="BL16" s="11">
        <f t="shared" si="66"/>
        <v>0</v>
      </c>
      <c r="BM16" s="92">
        <f t="shared" si="67"/>
        <v>0</v>
      </c>
      <c r="BN16" s="11">
        <f t="shared" si="68"/>
        <v>0</v>
      </c>
      <c r="BO16" s="102"/>
      <c r="BP16" s="92">
        <f t="shared" si="24"/>
        <v>0</v>
      </c>
      <c r="BQ16" s="92">
        <f t="shared" si="69"/>
        <v>0</v>
      </c>
      <c r="BR16" s="92">
        <f t="shared" si="25"/>
        <v>0</v>
      </c>
      <c r="BS16" s="101">
        <v>0</v>
      </c>
      <c r="BT16" s="92">
        <f t="shared" si="26"/>
        <v>0</v>
      </c>
      <c r="BU16" s="92">
        <f t="shared" si="70"/>
        <v>0</v>
      </c>
      <c r="BV16" s="92">
        <f t="shared" si="27"/>
        <v>0</v>
      </c>
      <c r="BW16" s="101">
        <v>0</v>
      </c>
      <c r="BX16" s="92">
        <f t="shared" si="28"/>
        <v>0</v>
      </c>
      <c r="BY16" s="92">
        <f t="shared" si="71"/>
        <v>0</v>
      </c>
      <c r="BZ16" s="92">
        <f t="shared" si="29"/>
        <v>0</v>
      </c>
      <c r="CA16" s="102">
        <v>5214.9104585563427</v>
      </c>
      <c r="CB16" s="92">
        <f t="shared" si="30"/>
        <v>8.666202354434418</v>
      </c>
      <c r="CC16" s="92">
        <f t="shared" si="72"/>
        <v>37742.095643830959</v>
      </c>
      <c r="CD16" s="92">
        <f t="shared" si="31"/>
        <v>10.726346455085002</v>
      </c>
      <c r="CE16" s="101">
        <v>0</v>
      </c>
      <c r="CF16" s="11">
        <f t="shared" si="32"/>
        <v>0</v>
      </c>
      <c r="CG16" s="92">
        <f t="shared" si="73"/>
        <v>0</v>
      </c>
      <c r="CH16" s="11">
        <f t="shared" si="33"/>
        <v>0</v>
      </c>
      <c r="CI16" s="102">
        <v>437.89324461160135</v>
      </c>
      <c r="CJ16" s="92">
        <f t="shared" si="34"/>
        <v>0.72769638090670707</v>
      </c>
      <c r="CK16" s="92">
        <f t="shared" si="74"/>
        <v>437.89324461160135</v>
      </c>
      <c r="CL16" s="92">
        <f t="shared" si="35"/>
        <v>0.12444975754315475</v>
      </c>
      <c r="CM16" s="102">
        <v>0</v>
      </c>
      <c r="CN16" s="11">
        <f t="shared" si="36"/>
        <v>0</v>
      </c>
      <c r="CO16" s="92">
        <f t="shared" si="75"/>
        <v>8596.0309177959734</v>
      </c>
      <c r="CP16" s="11">
        <f t="shared" si="37"/>
        <v>2.4430017514931737</v>
      </c>
      <c r="CQ16" s="102">
        <v>0</v>
      </c>
      <c r="CR16" s="11">
        <f t="shared" si="38"/>
        <v>0</v>
      </c>
      <c r="CS16" s="92">
        <f t="shared" si="76"/>
        <v>0</v>
      </c>
      <c r="CT16" s="11">
        <f t="shared" si="39"/>
        <v>0</v>
      </c>
      <c r="CU16" s="101">
        <f t="shared" si="40"/>
        <v>50175.267611745985</v>
      </c>
      <c r="CV16" s="11">
        <f t="shared" si="41"/>
        <v>83.381876978893516</v>
      </c>
      <c r="CW16" s="11">
        <f t="shared" si="77"/>
        <v>338863.47748387983</v>
      </c>
      <c r="CX16" s="11">
        <f t="shared" si="42"/>
        <v>96.305385232658708</v>
      </c>
      <c r="CY16" s="102"/>
      <c r="CZ16" s="93">
        <f t="shared" si="43"/>
        <v>0</v>
      </c>
      <c r="DA16" s="92">
        <f t="shared" si="78"/>
        <v>0</v>
      </c>
      <c r="DB16" s="92">
        <f t="shared" si="44"/>
        <v>0</v>
      </c>
      <c r="DC16" s="11">
        <v>0</v>
      </c>
      <c r="DD16" s="92">
        <f t="shared" si="45"/>
        <v>0</v>
      </c>
      <c r="DE16" s="92">
        <f t="shared" si="79"/>
        <v>0</v>
      </c>
      <c r="DF16" s="92">
        <f t="shared" si="46"/>
        <v>0</v>
      </c>
      <c r="DG16" s="11">
        <f t="shared" si="80"/>
        <v>60175.267611745985</v>
      </c>
      <c r="DH16" s="92">
        <f t="shared" si="81"/>
        <v>351863.47748387983</v>
      </c>
      <c r="DI16" s="92">
        <f t="shared" si="47"/>
        <v>0.86722873712667869</v>
      </c>
      <c r="DJ16" s="92">
        <f t="shared" si="48"/>
        <v>1.1889529015079874</v>
      </c>
      <c r="DK16" s="498">
        <f t="shared" si="82"/>
        <v>1.382912404910748</v>
      </c>
      <c r="DL16" s="499">
        <f t="shared" si="83"/>
        <v>0.87334286420429719</v>
      </c>
      <c r="DM16" s="6" t="str">
        <f>+Efficiency1!D37</f>
        <v>RC HW</v>
      </c>
    </row>
    <row r="17" spans="1:117">
      <c r="A17" s="18">
        <f>+Chem!A16</f>
        <v>45938</v>
      </c>
      <c r="B17" s="6" t="str">
        <f>+Chem!B16</f>
        <v>Towel</v>
      </c>
      <c r="C17" s="6" t="str">
        <f>+Chem!C16</f>
        <v>32/34/36/38</v>
      </c>
      <c r="D17" s="9">
        <f>+Chem!D16</f>
        <v>64.573000000000008</v>
      </c>
      <c r="E17" s="7">
        <f>+Chem!E16</f>
        <v>63.63</v>
      </c>
      <c r="F17" s="7">
        <f t="shared" si="84"/>
        <v>359.57400000000001</v>
      </c>
      <c r="G17" s="101">
        <f>24*G7</f>
        <v>6000</v>
      </c>
      <c r="H17" s="92">
        <f t="shared" si="0"/>
        <v>10.460865476755414</v>
      </c>
      <c r="I17" s="9">
        <f t="shared" si="49"/>
        <v>19000</v>
      </c>
      <c r="J17" s="92">
        <f t="shared" si="1"/>
        <v>4.6429780968572159</v>
      </c>
      <c r="K17" s="101"/>
      <c r="L17" s="92">
        <f t="shared" si="2"/>
        <v>0</v>
      </c>
      <c r="M17" s="92">
        <f t="shared" si="50"/>
        <v>0</v>
      </c>
      <c r="N17" s="92">
        <f t="shared" si="3"/>
        <v>0</v>
      </c>
      <c r="O17" s="101">
        <v>0</v>
      </c>
      <c r="P17" s="92">
        <f t="shared" si="4"/>
        <v>0</v>
      </c>
      <c r="Q17" s="92">
        <f t="shared" si="51"/>
        <v>0</v>
      </c>
      <c r="R17" s="92">
        <f t="shared" si="5"/>
        <v>0</v>
      </c>
      <c r="S17" s="101"/>
      <c r="T17" s="92">
        <f t="shared" si="6"/>
        <v>0</v>
      </c>
      <c r="U17" s="92">
        <f t="shared" si="52"/>
        <v>0</v>
      </c>
      <c r="V17" s="92">
        <f t="shared" si="7"/>
        <v>0</v>
      </c>
      <c r="W17" s="11"/>
      <c r="X17" s="92">
        <f t="shared" si="8"/>
        <v>0</v>
      </c>
      <c r="Y17" s="92">
        <f t="shared" si="53"/>
        <v>0</v>
      </c>
      <c r="Z17" s="92">
        <f t="shared" si="9"/>
        <v>0</v>
      </c>
      <c r="AA17" s="11">
        <f t="shared" si="54"/>
        <v>6000</v>
      </c>
      <c r="AB17" s="92">
        <f t="shared" si="10"/>
        <v>10.460865476755414</v>
      </c>
      <c r="AC17" s="92">
        <f t="shared" si="55"/>
        <v>19000</v>
      </c>
      <c r="AD17" s="92">
        <f t="shared" si="11"/>
        <v>4.6429780968572159</v>
      </c>
      <c r="AE17" s="92"/>
      <c r="AF17" s="11">
        <f t="shared" si="12"/>
        <v>0</v>
      </c>
      <c r="AG17" s="11">
        <f t="shared" si="85"/>
        <v>0</v>
      </c>
      <c r="AH17" s="11">
        <f t="shared" si="13"/>
        <v>0</v>
      </c>
      <c r="AI17" s="11"/>
      <c r="AJ17" s="11">
        <f t="shared" si="14"/>
        <v>0</v>
      </c>
      <c r="AK17" s="11">
        <f t="shared" si="86"/>
        <v>0</v>
      </c>
      <c r="AL17" s="11">
        <f t="shared" si="15"/>
        <v>0</v>
      </c>
      <c r="AM17" s="11">
        <f t="shared" si="56"/>
        <v>0</v>
      </c>
      <c r="AN17" s="11">
        <f t="shared" si="16"/>
        <v>0</v>
      </c>
      <c r="AO17" s="11">
        <f t="shared" si="87"/>
        <v>0</v>
      </c>
      <c r="AP17" s="11">
        <f t="shared" si="17"/>
        <v>0</v>
      </c>
      <c r="AQ17" s="101">
        <v>33258.86711380355</v>
      </c>
      <c r="AR17" s="11">
        <f t="shared" si="18"/>
        <v>57.986089131130591</v>
      </c>
      <c r="AS17" s="92">
        <f t="shared" si="57"/>
        <v>238744.42542696212</v>
      </c>
      <c r="AT17" s="11">
        <f t="shared" si="19"/>
        <v>58.341323052849795</v>
      </c>
      <c r="AU17" s="101">
        <v>2950.6312418866291</v>
      </c>
      <c r="AV17" s="11" t="e">
        <f t="shared" si="20"/>
        <v>#DIV/0!</v>
      </c>
      <c r="AW17" s="92">
        <f t="shared" si="58"/>
        <v>39897.514720235864</v>
      </c>
      <c r="AX17" s="11" t="e">
        <f t="shared" si="21"/>
        <v>#DIV/0!</v>
      </c>
      <c r="AY17" s="102"/>
      <c r="AZ17" s="92">
        <f t="shared" si="22"/>
        <v>0</v>
      </c>
      <c r="BA17" s="92">
        <f t="shared" si="59"/>
        <v>0</v>
      </c>
      <c r="BB17" s="92">
        <f t="shared" si="23"/>
        <v>0</v>
      </c>
      <c r="BC17" s="101"/>
      <c r="BD17" s="11">
        <f t="shared" si="60"/>
        <v>0</v>
      </c>
      <c r="BE17" s="92">
        <f t="shared" si="61"/>
        <v>0</v>
      </c>
      <c r="BF17" s="11">
        <f t="shared" si="62"/>
        <v>0</v>
      </c>
      <c r="BG17" s="102">
        <v>7572.169190826482</v>
      </c>
      <c r="BH17" s="11">
        <f t="shared" si="63"/>
        <v>13.201907212077954</v>
      </c>
      <c r="BI17" s="92">
        <f t="shared" si="64"/>
        <v>57227.185076959991</v>
      </c>
      <c r="BJ17" s="11">
        <f t="shared" si="65"/>
        <v>13.984450887216807</v>
      </c>
      <c r="BK17" s="101"/>
      <c r="BL17" s="11">
        <f t="shared" si="66"/>
        <v>0</v>
      </c>
      <c r="BM17" s="92">
        <f t="shared" si="67"/>
        <v>0</v>
      </c>
      <c r="BN17" s="11">
        <f t="shared" si="68"/>
        <v>0</v>
      </c>
      <c r="BO17" s="102"/>
      <c r="BP17" s="92">
        <f t="shared" si="24"/>
        <v>0</v>
      </c>
      <c r="BQ17" s="92">
        <f t="shared" si="69"/>
        <v>0</v>
      </c>
      <c r="BR17" s="92">
        <f t="shared" si="25"/>
        <v>0</v>
      </c>
      <c r="BS17" s="101">
        <v>0</v>
      </c>
      <c r="BT17" s="92">
        <f t="shared" si="26"/>
        <v>0</v>
      </c>
      <c r="BU17" s="92">
        <f t="shared" si="70"/>
        <v>0</v>
      </c>
      <c r="BV17" s="92">
        <f t="shared" si="27"/>
        <v>0</v>
      </c>
      <c r="BW17" s="101">
        <v>0</v>
      </c>
      <c r="BX17" s="92">
        <f t="shared" si="28"/>
        <v>0</v>
      </c>
      <c r="BY17" s="92">
        <f t="shared" si="71"/>
        <v>0</v>
      </c>
      <c r="BZ17" s="92">
        <f t="shared" si="29"/>
        <v>0</v>
      </c>
      <c r="CA17" s="102">
        <v>7574.9633491994809</v>
      </c>
      <c r="CB17" s="92">
        <f t="shared" si="30"/>
        <v>13.206778764554736</v>
      </c>
      <c r="CC17" s="92">
        <f t="shared" si="72"/>
        <v>45317.058993030441</v>
      </c>
      <c r="CD17" s="92">
        <f t="shared" si="31"/>
        <v>11.074005911506665</v>
      </c>
      <c r="CE17" s="101">
        <v>0</v>
      </c>
      <c r="CF17" s="11">
        <f t="shared" si="32"/>
        <v>0</v>
      </c>
      <c r="CG17" s="92">
        <f t="shared" si="73"/>
        <v>0</v>
      </c>
      <c r="CH17" s="11">
        <f t="shared" si="33"/>
        <v>0</v>
      </c>
      <c r="CI17" s="102">
        <v>0</v>
      </c>
      <c r="CJ17" s="92">
        <f t="shared" si="34"/>
        <v>0</v>
      </c>
      <c r="CK17" s="92">
        <f t="shared" si="74"/>
        <v>437.89324461160135</v>
      </c>
      <c r="CL17" s="92">
        <f t="shared" si="35"/>
        <v>0.10700677597333705</v>
      </c>
      <c r="CM17" s="102">
        <v>0</v>
      </c>
      <c r="CN17" s="11">
        <f t="shared" si="36"/>
        <v>0</v>
      </c>
      <c r="CO17" s="92">
        <f t="shared" si="75"/>
        <v>8596.0309177959734</v>
      </c>
      <c r="CP17" s="11">
        <f t="shared" si="37"/>
        <v>2.1005885932228492</v>
      </c>
      <c r="CQ17" s="102">
        <v>0</v>
      </c>
      <c r="CR17" s="11">
        <f t="shared" si="38"/>
        <v>0</v>
      </c>
      <c r="CS17" s="92">
        <f t="shared" si="76"/>
        <v>0</v>
      </c>
      <c r="CT17" s="11">
        <f t="shared" si="39"/>
        <v>0</v>
      </c>
      <c r="CU17" s="101">
        <f t="shared" si="40"/>
        <v>51356.630895716145</v>
      </c>
      <c r="CV17" s="11">
        <f t="shared" si="41"/>
        <v>89.539134523244584</v>
      </c>
      <c r="CW17" s="11">
        <f t="shared" si="77"/>
        <v>390220.10837959597</v>
      </c>
      <c r="CX17" s="11">
        <f t="shared" si="42"/>
        <v>95.35702190314278</v>
      </c>
      <c r="CY17" s="102"/>
      <c r="CZ17" s="93">
        <f t="shared" si="43"/>
        <v>0</v>
      </c>
      <c r="DA17" s="92">
        <f t="shared" si="78"/>
        <v>0</v>
      </c>
      <c r="DB17" s="92">
        <f t="shared" si="44"/>
        <v>0</v>
      </c>
      <c r="DC17" s="11">
        <v>0</v>
      </c>
      <c r="DD17" s="92">
        <f t="shared" si="45"/>
        <v>0</v>
      </c>
      <c r="DE17" s="92">
        <f t="shared" si="79"/>
        <v>0</v>
      </c>
      <c r="DF17" s="92">
        <f t="shared" si="46"/>
        <v>0</v>
      </c>
      <c r="DG17" s="11">
        <f t="shared" si="80"/>
        <v>57356.630895716145</v>
      </c>
      <c r="DH17" s="92">
        <f t="shared" si="81"/>
        <v>409220.10837959597</v>
      </c>
      <c r="DI17" s="92">
        <f t="shared" si="47"/>
        <v>0.90140862636674746</v>
      </c>
      <c r="DJ17" s="92">
        <f t="shared" si="48"/>
        <v>1.1380692385422637</v>
      </c>
      <c r="DK17" s="498">
        <f t="shared" si="82"/>
        <v>1.2389831437581242</v>
      </c>
      <c r="DL17" s="499">
        <f t="shared" si="83"/>
        <v>0.92146455879258726</v>
      </c>
      <c r="DM17" s="6" t="str">
        <f>+Efficiency1!D42</f>
        <v>RC HW</v>
      </c>
    </row>
    <row r="18" spans="1:117">
      <c r="A18" s="18">
        <f>+Chem!A17</f>
        <v>45939</v>
      </c>
      <c r="B18" s="6" t="str">
        <f>+Chem!B17</f>
        <v>Towel</v>
      </c>
      <c r="C18" s="6" t="str">
        <f>+Chem!C17</f>
        <v>38/36/30</v>
      </c>
      <c r="D18" s="9">
        <f>+Chem!D17</f>
        <v>67.663000000000011</v>
      </c>
      <c r="E18" s="7">
        <f>+Chem!E17</f>
        <v>66.897000000000006</v>
      </c>
      <c r="F18" s="7">
        <f t="shared" si="84"/>
        <v>426.471</v>
      </c>
      <c r="G18" s="101">
        <v>0</v>
      </c>
      <c r="H18" s="11">
        <f t="shared" si="0"/>
        <v>0</v>
      </c>
      <c r="I18" s="9">
        <f t="shared" si="49"/>
        <v>19000</v>
      </c>
      <c r="J18" s="11">
        <f t="shared" si="1"/>
        <v>3.9182969242128234</v>
      </c>
      <c r="K18" s="101"/>
      <c r="L18" s="11">
        <f t="shared" si="2"/>
        <v>0</v>
      </c>
      <c r="M18" s="11">
        <f t="shared" si="50"/>
        <v>0</v>
      </c>
      <c r="N18" s="11">
        <f t="shared" si="3"/>
        <v>0</v>
      </c>
      <c r="O18" s="101">
        <v>0</v>
      </c>
      <c r="P18" s="11">
        <f t="shared" si="4"/>
        <v>0</v>
      </c>
      <c r="Q18" s="11">
        <f t="shared" si="51"/>
        <v>0</v>
      </c>
      <c r="R18" s="11">
        <f t="shared" si="5"/>
        <v>0</v>
      </c>
      <c r="S18" s="101"/>
      <c r="T18" s="11">
        <f t="shared" si="6"/>
        <v>0</v>
      </c>
      <c r="U18" s="11">
        <f t="shared" si="52"/>
        <v>0</v>
      </c>
      <c r="V18" s="11">
        <f t="shared" si="7"/>
        <v>0</v>
      </c>
      <c r="W18" s="11"/>
      <c r="X18" s="11">
        <f t="shared" si="8"/>
        <v>0</v>
      </c>
      <c r="Y18" s="11">
        <f t="shared" si="53"/>
        <v>0</v>
      </c>
      <c r="Z18" s="11">
        <f t="shared" si="9"/>
        <v>0</v>
      </c>
      <c r="AA18" s="11">
        <f t="shared" si="54"/>
        <v>0</v>
      </c>
      <c r="AB18" s="11">
        <f t="shared" si="10"/>
        <v>0</v>
      </c>
      <c r="AC18" s="11">
        <f t="shared" si="55"/>
        <v>19000</v>
      </c>
      <c r="AD18" s="11">
        <f t="shared" si="11"/>
        <v>3.9182969242128234</v>
      </c>
      <c r="AE18" s="11"/>
      <c r="AF18" s="11">
        <f t="shared" si="12"/>
        <v>0</v>
      </c>
      <c r="AG18" s="11">
        <f t="shared" si="85"/>
        <v>0</v>
      </c>
      <c r="AH18" s="11">
        <f t="shared" si="13"/>
        <v>0</v>
      </c>
      <c r="AI18" s="11"/>
      <c r="AJ18" s="11">
        <f t="shared" si="14"/>
        <v>0</v>
      </c>
      <c r="AK18" s="11">
        <f t="shared" si="86"/>
        <v>0</v>
      </c>
      <c r="AL18" s="11">
        <f t="shared" si="15"/>
        <v>0</v>
      </c>
      <c r="AM18" s="11">
        <f t="shared" si="56"/>
        <v>0</v>
      </c>
      <c r="AN18" s="11">
        <f t="shared" si="16"/>
        <v>0</v>
      </c>
      <c r="AO18" s="11">
        <f t="shared" si="87"/>
        <v>0</v>
      </c>
      <c r="AP18" s="11">
        <f t="shared" si="17"/>
        <v>0</v>
      </c>
      <c r="AQ18" s="101">
        <v>49484.950505330191</v>
      </c>
      <c r="AR18" s="11">
        <f t="shared" si="18"/>
        <v>65.383255238263644</v>
      </c>
      <c r="AS18" s="11">
        <f t="shared" si="57"/>
        <v>288229.37593229231</v>
      </c>
      <c r="AT18" s="11">
        <f t="shared" si="19"/>
        <v>59.440435641225399</v>
      </c>
      <c r="AU18" s="101">
        <v>4419.5537568481632</v>
      </c>
      <c r="AV18" s="11" t="e">
        <f t="shared" si="20"/>
        <v>#DIV/0!</v>
      </c>
      <c r="AW18" s="11">
        <f t="shared" si="58"/>
        <v>44317.068477084031</v>
      </c>
      <c r="AX18" s="11" t="e">
        <f t="shared" si="21"/>
        <v>#DIV/0!</v>
      </c>
      <c r="AY18" s="101"/>
      <c r="AZ18" s="11">
        <f t="shared" si="22"/>
        <v>0</v>
      </c>
      <c r="BA18" s="11">
        <f t="shared" si="59"/>
        <v>0</v>
      </c>
      <c r="BB18" s="11">
        <f t="shared" si="23"/>
        <v>0</v>
      </c>
      <c r="BC18" s="101"/>
      <c r="BD18" s="11">
        <f t="shared" si="60"/>
        <v>0</v>
      </c>
      <c r="BE18" s="11">
        <f t="shared" si="61"/>
        <v>0</v>
      </c>
      <c r="BF18" s="11">
        <f t="shared" si="62"/>
        <v>0</v>
      </c>
      <c r="BG18" s="101">
        <v>10702.613526235635</v>
      </c>
      <c r="BH18" s="11">
        <f t="shared" si="63"/>
        <v>14.141101582530279</v>
      </c>
      <c r="BI18" s="11">
        <f t="shared" si="64"/>
        <v>67929.798603195624</v>
      </c>
      <c r="BJ18" s="11">
        <f t="shared" si="65"/>
        <v>14.008901101541998</v>
      </c>
      <c r="BK18" s="101"/>
      <c r="BL18" s="11">
        <f t="shared" si="66"/>
        <v>0</v>
      </c>
      <c r="BM18" s="11">
        <f t="shared" si="67"/>
        <v>0</v>
      </c>
      <c r="BN18" s="11">
        <f t="shared" si="68"/>
        <v>0</v>
      </c>
      <c r="BO18" s="101"/>
      <c r="BP18" s="11">
        <f t="shared" si="24"/>
        <v>0</v>
      </c>
      <c r="BQ18" s="11">
        <f t="shared" si="69"/>
        <v>0</v>
      </c>
      <c r="BR18" s="11">
        <f t="shared" si="25"/>
        <v>0</v>
      </c>
      <c r="BS18" s="101">
        <v>0</v>
      </c>
      <c r="BT18" s="11">
        <f t="shared" si="26"/>
        <v>0</v>
      </c>
      <c r="BU18" s="11">
        <f t="shared" si="70"/>
        <v>0</v>
      </c>
      <c r="BV18" s="11">
        <f t="shared" si="27"/>
        <v>0</v>
      </c>
      <c r="BW18" s="101">
        <v>0</v>
      </c>
      <c r="BX18" s="11">
        <f t="shared" si="28"/>
        <v>0</v>
      </c>
      <c r="BY18" s="11">
        <f t="shared" si="71"/>
        <v>0</v>
      </c>
      <c r="BZ18" s="11">
        <f t="shared" si="29"/>
        <v>0</v>
      </c>
      <c r="CA18" s="101">
        <v>10394.817201004726</v>
      </c>
      <c r="CB18" s="11">
        <f t="shared" si="30"/>
        <v>13.734417823357791</v>
      </c>
      <c r="CC18" s="11">
        <f t="shared" si="72"/>
        <v>55711.876194035169</v>
      </c>
      <c r="CD18" s="11">
        <f t="shared" si="31"/>
        <v>11.489245954379664</v>
      </c>
      <c r="CE18" s="101">
        <v>0</v>
      </c>
      <c r="CF18" s="11">
        <f t="shared" si="32"/>
        <v>0</v>
      </c>
      <c r="CG18" s="11">
        <f t="shared" si="73"/>
        <v>0</v>
      </c>
      <c r="CH18" s="11">
        <f t="shared" si="33"/>
        <v>0</v>
      </c>
      <c r="CI18" s="101">
        <v>0</v>
      </c>
      <c r="CJ18" s="11">
        <f t="shared" si="34"/>
        <v>0</v>
      </c>
      <c r="CK18" s="11">
        <f t="shared" si="74"/>
        <v>437.89324461160135</v>
      </c>
      <c r="CL18" s="11">
        <f t="shared" si="35"/>
        <v>9.030503965764268E-2</v>
      </c>
      <c r="CM18" s="101">
        <v>0</v>
      </c>
      <c r="CN18" s="11">
        <f t="shared" si="36"/>
        <v>0</v>
      </c>
      <c r="CO18" s="11">
        <f t="shared" si="75"/>
        <v>8596.0309177959734</v>
      </c>
      <c r="CP18" s="11">
        <f t="shared" si="37"/>
        <v>1.7727263950335945</v>
      </c>
      <c r="CQ18" s="101">
        <v>682.50489507723341</v>
      </c>
      <c r="CR18" s="11">
        <f t="shared" si="38"/>
        <v>0.90177703120855812</v>
      </c>
      <c r="CS18" s="11">
        <f t="shared" si="76"/>
        <v>682.50489507723341</v>
      </c>
      <c r="CT18" s="11">
        <f t="shared" si="39"/>
        <v>0.14075035953375364</v>
      </c>
      <c r="CU18" s="101">
        <f t="shared" si="40"/>
        <v>75684.439884495951</v>
      </c>
      <c r="CV18" s="11">
        <f t="shared" si="41"/>
        <v>100</v>
      </c>
      <c r="CW18" s="11">
        <f t="shared" si="77"/>
        <v>465904.54826409195</v>
      </c>
      <c r="CX18" s="11">
        <f>CW18/DH18*100</f>
        <v>96.081703075787175</v>
      </c>
      <c r="CY18" s="101"/>
      <c r="CZ18" s="17">
        <f t="shared" si="43"/>
        <v>0</v>
      </c>
      <c r="DA18" s="11">
        <f t="shared" si="78"/>
        <v>0</v>
      </c>
      <c r="DB18" s="11">
        <f t="shared" si="44"/>
        <v>0</v>
      </c>
      <c r="DC18" s="11">
        <v>0</v>
      </c>
      <c r="DD18" s="11">
        <f t="shared" si="45"/>
        <v>0</v>
      </c>
      <c r="DE18" s="11">
        <f t="shared" si="79"/>
        <v>0</v>
      </c>
      <c r="DF18" s="11">
        <f t="shared" si="46"/>
        <v>0</v>
      </c>
      <c r="DG18" s="11">
        <f t="shared" si="80"/>
        <v>75684.439884495951</v>
      </c>
      <c r="DH18" s="11">
        <f t="shared" si="81"/>
        <v>484904.54826409195</v>
      </c>
      <c r="DI18" s="11">
        <f t="shared" si="47"/>
        <v>1.131357757216257</v>
      </c>
      <c r="DJ18" s="11">
        <f t="shared" si="48"/>
        <v>1.1370164636378368</v>
      </c>
      <c r="DK18" s="498">
        <f t="shared" si="82"/>
        <v>0.88389370525953947</v>
      </c>
      <c r="DL18" s="499">
        <f t="shared" si="83"/>
        <v>0.91536131507834184</v>
      </c>
      <c r="DM18" s="6" t="str">
        <f>+Efficiency1!D47</f>
        <v>RC HW</v>
      </c>
    </row>
    <row r="19" spans="1:117">
      <c r="A19" s="18">
        <f>+Chem!A18</f>
        <v>45940</v>
      </c>
      <c r="B19" s="6" t="str">
        <f>+Chem!B18</f>
        <v>Towel</v>
      </c>
      <c r="C19" s="6" t="str">
        <f>+Chem!C18</f>
        <v>30/28</v>
      </c>
      <c r="D19" s="9">
        <f>+Chem!D18</f>
        <v>68.293999999999997</v>
      </c>
      <c r="E19" s="7">
        <f>+Chem!E18</f>
        <v>66.941000000000003</v>
      </c>
      <c r="F19" s="7">
        <f t="shared" si="84"/>
        <v>493.41200000000003</v>
      </c>
      <c r="G19" s="101">
        <v>0</v>
      </c>
      <c r="H19" s="11">
        <f t="shared" si="0"/>
        <v>0</v>
      </c>
      <c r="I19" s="9">
        <f t="shared" si="49"/>
        <v>19000</v>
      </c>
      <c r="J19" s="11">
        <f t="shared" si="1"/>
        <v>3.4567295424142461</v>
      </c>
      <c r="K19" s="101"/>
      <c r="L19" s="11">
        <f t="shared" si="2"/>
        <v>0</v>
      </c>
      <c r="M19" s="11">
        <f t="shared" si="50"/>
        <v>0</v>
      </c>
      <c r="N19" s="11">
        <f t="shared" si="3"/>
        <v>0</v>
      </c>
      <c r="O19" s="101">
        <v>0</v>
      </c>
      <c r="P19" s="11">
        <f t="shared" si="4"/>
        <v>0</v>
      </c>
      <c r="Q19" s="11">
        <f t="shared" si="51"/>
        <v>0</v>
      </c>
      <c r="R19" s="11">
        <f t="shared" si="5"/>
        <v>0</v>
      </c>
      <c r="S19" s="101"/>
      <c r="T19" s="11">
        <f t="shared" si="6"/>
        <v>0</v>
      </c>
      <c r="U19" s="11">
        <f t="shared" si="52"/>
        <v>0</v>
      </c>
      <c r="V19" s="11">
        <f t="shared" si="7"/>
        <v>0</v>
      </c>
      <c r="W19" s="11"/>
      <c r="X19" s="11">
        <f t="shared" si="8"/>
        <v>0</v>
      </c>
      <c r="Y19" s="11">
        <f t="shared" si="53"/>
        <v>0</v>
      </c>
      <c r="Z19" s="11">
        <f t="shared" si="9"/>
        <v>0</v>
      </c>
      <c r="AA19" s="11">
        <f t="shared" si="54"/>
        <v>0</v>
      </c>
      <c r="AB19" s="11">
        <f t="shared" si="10"/>
        <v>0</v>
      </c>
      <c r="AC19" s="11">
        <f t="shared" si="55"/>
        <v>19000</v>
      </c>
      <c r="AD19" s="11">
        <f t="shared" si="11"/>
        <v>3.4567295424142461</v>
      </c>
      <c r="AE19" s="11"/>
      <c r="AF19" s="11">
        <f t="shared" si="12"/>
        <v>0</v>
      </c>
      <c r="AG19" s="11">
        <f t="shared" si="85"/>
        <v>0</v>
      </c>
      <c r="AH19" s="11">
        <f t="shared" si="13"/>
        <v>0</v>
      </c>
      <c r="AI19" s="11"/>
      <c r="AJ19" s="11">
        <f t="shared" si="14"/>
        <v>0</v>
      </c>
      <c r="AK19" s="11">
        <f t="shared" si="86"/>
        <v>0</v>
      </c>
      <c r="AL19" s="11">
        <f t="shared" si="15"/>
        <v>0</v>
      </c>
      <c r="AM19" s="11">
        <f t="shared" si="56"/>
        <v>0</v>
      </c>
      <c r="AN19" s="11">
        <f t="shared" si="16"/>
        <v>0</v>
      </c>
      <c r="AO19" s="11">
        <f t="shared" si="87"/>
        <v>0</v>
      </c>
      <c r="AP19" s="11">
        <f t="shared" si="17"/>
        <v>0</v>
      </c>
      <c r="AQ19" s="101">
        <v>44273.309192703629</v>
      </c>
      <c r="AR19" s="11">
        <f t="shared" si="18"/>
        <v>68.377940756262518</v>
      </c>
      <c r="AS19" s="11">
        <f t="shared" si="57"/>
        <v>332502.68512499594</v>
      </c>
      <c r="AT19" s="11">
        <f t="shared" si="19"/>
        <v>60.493255505454499</v>
      </c>
      <c r="AU19" s="101">
        <v>3900.6641683221965</v>
      </c>
      <c r="AV19" s="11" t="e">
        <f t="shared" si="20"/>
        <v>#DIV/0!</v>
      </c>
      <c r="AW19" s="11">
        <f t="shared" si="58"/>
        <v>48217.732645406228</v>
      </c>
      <c r="AX19" s="11" t="e">
        <f t="shared" si="21"/>
        <v>#DIV/0!</v>
      </c>
      <c r="AY19" s="101"/>
      <c r="AZ19" s="11">
        <f t="shared" si="22"/>
        <v>0</v>
      </c>
      <c r="BA19" s="11">
        <f t="shared" si="59"/>
        <v>0</v>
      </c>
      <c r="BB19" s="11">
        <f t="shared" si="23"/>
        <v>0</v>
      </c>
      <c r="BC19" s="101"/>
      <c r="BD19" s="11">
        <f t="shared" si="60"/>
        <v>0</v>
      </c>
      <c r="BE19" s="11">
        <f t="shared" si="61"/>
        <v>0</v>
      </c>
      <c r="BF19" s="11">
        <f t="shared" si="62"/>
        <v>0</v>
      </c>
      <c r="BG19" s="101">
        <v>10172.562127505869</v>
      </c>
      <c r="BH19" s="11">
        <f t="shared" si="63"/>
        <v>15.711020097152112</v>
      </c>
      <c r="BI19" s="11">
        <f t="shared" si="64"/>
        <v>78102.36073070149</v>
      </c>
      <c r="BJ19" s="11">
        <f t="shared" si="65"/>
        <v>14.209407245795273</v>
      </c>
      <c r="BK19" s="101"/>
      <c r="BL19" s="11">
        <f t="shared" si="66"/>
        <v>0</v>
      </c>
      <c r="BM19" s="11">
        <f t="shared" si="67"/>
        <v>0</v>
      </c>
      <c r="BN19" s="11">
        <f t="shared" si="68"/>
        <v>0</v>
      </c>
      <c r="BO19" s="101"/>
      <c r="BP19" s="11">
        <f t="shared" si="24"/>
        <v>0</v>
      </c>
      <c r="BQ19" s="11">
        <f t="shared" si="69"/>
        <v>0</v>
      </c>
      <c r="BR19" s="11">
        <f t="shared" si="25"/>
        <v>0</v>
      </c>
      <c r="BS19" s="101">
        <v>0</v>
      </c>
      <c r="BT19" s="11">
        <f t="shared" si="26"/>
        <v>0</v>
      </c>
      <c r="BU19" s="11">
        <f t="shared" si="70"/>
        <v>0</v>
      </c>
      <c r="BV19" s="11">
        <f t="shared" si="27"/>
        <v>0</v>
      </c>
      <c r="BW19" s="101">
        <v>0</v>
      </c>
      <c r="BX19" s="11">
        <f t="shared" si="28"/>
        <v>0</v>
      </c>
      <c r="BY19" s="11">
        <f t="shared" si="71"/>
        <v>0</v>
      </c>
      <c r="BZ19" s="11">
        <f t="shared" si="29"/>
        <v>0</v>
      </c>
      <c r="CA19" s="101">
        <v>6401.4061766299446</v>
      </c>
      <c r="CB19" s="11">
        <f t="shared" si="30"/>
        <v>9.886655871987811</v>
      </c>
      <c r="CC19" s="11">
        <f t="shared" si="72"/>
        <v>62113.282370665111</v>
      </c>
      <c r="CD19" s="11">
        <f t="shared" si="31"/>
        <v>11.300464112999794</v>
      </c>
      <c r="CE19" s="101">
        <v>0</v>
      </c>
      <c r="CF19" s="11">
        <f t="shared" si="32"/>
        <v>0</v>
      </c>
      <c r="CG19" s="11">
        <f t="shared" si="73"/>
        <v>0</v>
      </c>
      <c r="CH19" s="11">
        <f t="shared" si="33"/>
        <v>0</v>
      </c>
      <c r="CI19" s="101">
        <v>0</v>
      </c>
      <c r="CJ19" s="11">
        <f t="shared" si="34"/>
        <v>0</v>
      </c>
      <c r="CK19" s="11">
        <f t="shared" si="74"/>
        <v>437.89324461160135</v>
      </c>
      <c r="CL19" s="11">
        <f t="shared" si="35"/>
        <v>7.9667290266976332E-2</v>
      </c>
      <c r="CM19" s="101">
        <v>0</v>
      </c>
      <c r="CN19" s="11">
        <f t="shared" si="36"/>
        <v>0</v>
      </c>
      <c r="CO19" s="11">
        <f t="shared" si="75"/>
        <v>8596.0309177959734</v>
      </c>
      <c r="CP19" s="11">
        <f t="shared" si="37"/>
        <v>1.5639028432132416</v>
      </c>
      <c r="CQ19" s="101"/>
      <c r="CR19" s="11">
        <f t="shared" si="38"/>
        <v>0</v>
      </c>
      <c r="CS19" s="11">
        <f t="shared" si="76"/>
        <v>682.50489507723341</v>
      </c>
      <c r="CT19" s="11">
        <f t="shared" si="39"/>
        <v>0.12417025440293729</v>
      </c>
      <c r="CU19" s="101">
        <f t="shared" si="40"/>
        <v>64747.941665161634</v>
      </c>
      <c r="CV19" s="11">
        <f t="shared" si="41"/>
        <v>100</v>
      </c>
      <c r="CW19" s="11">
        <f t="shared" si="77"/>
        <v>530652.48992925358</v>
      </c>
      <c r="CX19" s="11">
        <f t="shared" si="42"/>
        <v>96.543270457585749</v>
      </c>
      <c r="CY19" s="101"/>
      <c r="CZ19" s="17">
        <f t="shared" si="43"/>
        <v>0</v>
      </c>
      <c r="DA19" s="11">
        <f t="shared" si="78"/>
        <v>0</v>
      </c>
      <c r="DB19" s="11">
        <f t="shared" si="44"/>
        <v>0</v>
      </c>
      <c r="DC19" s="11">
        <v>0</v>
      </c>
      <c r="DD19" s="11">
        <f t="shared" si="45"/>
        <v>0</v>
      </c>
      <c r="DE19" s="11">
        <f t="shared" si="79"/>
        <v>0</v>
      </c>
      <c r="DF19" s="11">
        <f t="shared" si="46"/>
        <v>0</v>
      </c>
      <c r="DG19" s="11">
        <f t="shared" si="80"/>
        <v>64747.941665161634</v>
      </c>
      <c r="DH19" s="11">
        <f t="shared" si="81"/>
        <v>549652.48992925358</v>
      </c>
      <c r="DI19" s="11">
        <f t="shared" si="47"/>
        <v>0.96723893675268713</v>
      </c>
      <c r="DJ19" s="11">
        <f t="shared" si="48"/>
        <v>1.1139828174613782</v>
      </c>
      <c r="DK19" s="498">
        <f t="shared" si="82"/>
        <v>1.0338707035071413</v>
      </c>
      <c r="DL19" s="499">
        <f t="shared" si="83"/>
        <v>0.92982132254911609</v>
      </c>
      <c r="DM19" s="6" t="str">
        <f>+Efficiency1!D52</f>
        <v>RC HW</v>
      </c>
    </row>
    <row r="20" spans="1:117">
      <c r="A20" s="18">
        <f>+Chem!A19</f>
        <v>45941</v>
      </c>
      <c r="B20" s="6" t="str">
        <f>+Chem!B19</f>
        <v>Towel</v>
      </c>
      <c r="C20" s="6" t="str">
        <f>+Chem!C19</f>
        <v>28/20,5</v>
      </c>
      <c r="D20" s="9">
        <f>+Chem!D19</f>
        <v>63.989000000000004</v>
      </c>
      <c r="E20" s="7">
        <f>+Chem!E19</f>
        <v>60.802999999999997</v>
      </c>
      <c r="F20" s="7">
        <f t="shared" si="84"/>
        <v>554.21500000000003</v>
      </c>
      <c r="G20" s="101">
        <v>0</v>
      </c>
      <c r="H20" s="11">
        <f t="shared" si="0"/>
        <v>0</v>
      </c>
      <c r="I20" s="9">
        <f t="shared" si="49"/>
        <v>19000</v>
      </c>
      <c r="J20" s="11">
        <f t="shared" si="1"/>
        <v>3.1049847025766435</v>
      </c>
      <c r="K20" s="101"/>
      <c r="L20" s="11">
        <f t="shared" si="2"/>
        <v>0</v>
      </c>
      <c r="M20" s="11">
        <f t="shared" si="50"/>
        <v>0</v>
      </c>
      <c r="N20" s="11">
        <f t="shared" si="3"/>
        <v>0</v>
      </c>
      <c r="O20" s="101">
        <v>0</v>
      </c>
      <c r="P20" s="11">
        <f t="shared" si="4"/>
        <v>0</v>
      </c>
      <c r="Q20" s="11">
        <f t="shared" si="51"/>
        <v>0</v>
      </c>
      <c r="R20" s="11">
        <f t="shared" si="5"/>
        <v>0</v>
      </c>
      <c r="S20" s="101"/>
      <c r="T20" s="11">
        <f t="shared" si="6"/>
        <v>0</v>
      </c>
      <c r="U20" s="11">
        <f t="shared" si="52"/>
        <v>0</v>
      </c>
      <c r="V20" s="11">
        <f t="shared" si="7"/>
        <v>0</v>
      </c>
      <c r="W20" s="11"/>
      <c r="X20" s="11">
        <f t="shared" si="8"/>
        <v>0</v>
      </c>
      <c r="Y20" s="11">
        <f t="shared" si="53"/>
        <v>0</v>
      </c>
      <c r="Z20" s="11">
        <f t="shared" si="9"/>
        <v>0</v>
      </c>
      <c r="AA20" s="11">
        <f t="shared" si="54"/>
        <v>0</v>
      </c>
      <c r="AB20" s="11">
        <f t="shared" si="10"/>
        <v>0</v>
      </c>
      <c r="AC20" s="11">
        <f t="shared" si="55"/>
        <v>19000</v>
      </c>
      <c r="AD20" s="11">
        <f t="shared" si="11"/>
        <v>3.1049847025766435</v>
      </c>
      <c r="AE20" s="11"/>
      <c r="AF20" s="11">
        <f t="shared" si="12"/>
        <v>0</v>
      </c>
      <c r="AG20" s="11">
        <f t="shared" si="85"/>
        <v>0</v>
      </c>
      <c r="AH20" s="11">
        <f t="shared" si="13"/>
        <v>0</v>
      </c>
      <c r="AI20" s="11"/>
      <c r="AJ20" s="11">
        <f t="shared" si="14"/>
        <v>0</v>
      </c>
      <c r="AK20" s="11">
        <f t="shared" si="86"/>
        <v>0</v>
      </c>
      <c r="AL20" s="11">
        <f t="shared" si="15"/>
        <v>0</v>
      </c>
      <c r="AM20" s="11">
        <f t="shared" si="56"/>
        <v>0</v>
      </c>
      <c r="AN20" s="11">
        <f t="shared" si="16"/>
        <v>0</v>
      </c>
      <c r="AO20" s="11">
        <f t="shared" si="87"/>
        <v>0</v>
      </c>
      <c r="AP20" s="11">
        <f t="shared" si="17"/>
        <v>0</v>
      </c>
      <c r="AQ20" s="101">
        <v>40339.818000272317</v>
      </c>
      <c r="AR20" s="11">
        <f t="shared" si="18"/>
        <v>64.785447761194021</v>
      </c>
      <c r="AS20" s="11">
        <f t="shared" si="57"/>
        <v>372842.50312526827</v>
      </c>
      <c r="AT20" s="11">
        <f t="shared" si="19"/>
        <v>60.930014140754864</v>
      </c>
      <c r="AU20" s="101">
        <v>3543.1661598511323</v>
      </c>
      <c r="AV20" s="11" t="e">
        <f t="shared" si="20"/>
        <v>#DIV/0!</v>
      </c>
      <c r="AW20" s="11">
        <f t="shared" si="58"/>
        <v>51760.898805257362</v>
      </c>
      <c r="AX20" s="11" t="e">
        <f t="shared" si="21"/>
        <v>#DIV/0!</v>
      </c>
      <c r="AY20" s="101"/>
      <c r="AZ20" s="11">
        <f t="shared" si="22"/>
        <v>0</v>
      </c>
      <c r="BA20" s="11">
        <f t="shared" si="59"/>
        <v>0</v>
      </c>
      <c r="BB20" s="11">
        <f t="shared" si="23"/>
        <v>0</v>
      </c>
      <c r="BC20" s="101"/>
      <c r="BD20" s="11">
        <f t="shared" si="60"/>
        <v>0</v>
      </c>
      <c r="BE20" s="11">
        <f t="shared" si="61"/>
        <v>0</v>
      </c>
      <c r="BF20" s="11">
        <f t="shared" si="62"/>
        <v>0</v>
      </c>
      <c r="BG20" s="101">
        <v>9200.6150773839236</v>
      </c>
      <c r="BH20" s="11">
        <f t="shared" si="63"/>
        <v>14.776119402985072</v>
      </c>
      <c r="BI20" s="11">
        <f t="shared" si="64"/>
        <v>87302.975808085408</v>
      </c>
      <c r="BJ20" s="11">
        <f t="shared" si="65"/>
        <v>14.267073914395997</v>
      </c>
      <c r="BK20" s="101"/>
      <c r="BL20" s="11">
        <f t="shared" si="66"/>
        <v>0</v>
      </c>
      <c r="BM20" s="11">
        <f t="shared" si="67"/>
        <v>0</v>
      </c>
      <c r="BN20" s="11">
        <f t="shared" si="68"/>
        <v>0</v>
      </c>
      <c r="BO20" s="101"/>
      <c r="BP20" s="11">
        <f t="shared" si="24"/>
        <v>0</v>
      </c>
      <c r="BQ20" s="11">
        <f t="shared" si="69"/>
        <v>0</v>
      </c>
      <c r="BR20" s="11">
        <f t="shared" si="25"/>
        <v>0</v>
      </c>
      <c r="BS20" s="101">
        <v>0</v>
      </c>
      <c r="BT20" s="11">
        <f t="shared" si="26"/>
        <v>0</v>
      </c>
      <c r="BU20" s="11">
        <f t="shared" si="70"/>
        <v>0</v>
      </c>
      <c r="BV20" s="11">
        <f t="shared" si="27"/>
        <v>0</v>
      </c>
      <c r="BW20" s="101">
        <v>0</v>
      </c>
      <c r="BX20" s="11">
        <f t="shared" si="28"/>
        <v>0</v>
      </c>
      <c r="BY20" s="11">
        <f t="shared" si="71"/>
        <v>0</v>
      </c>
      <c r="BZ20" s="11">
        <f t="shared" si="29"/>
        <v>0</v>
      </c>
      <c r="CA20" s="101">
        <v>9183.189670040394</v>
      </c>
      <c r="CB20" s="11">
        <f t="shared" si="30"/>
        <v>14.748134328358208</v>
      </c>
      <c r="CC20" s="11">
        <f t="shared" si="72"/>
        <v>71296.472040705499</v>
      </c>
      <c r="CD20" s="11">
        <f t="shared" si="31"/>
        <v>11.651287107056524</v>
      </c>
      <c r="CE20" s="101">
        <v>0</v>
      </c>
      <c r="CF20" s="11">
        <f t="shared" si="32"/>
        <v>0</v>
      </c>
      <c r="CG20" s="11">
        <f t="shared" si="73"/>
        <v>0</v>
      </c>
      <c r="CH20" s="11">
        <f t="shared" si="33"/>
        <v>0</v>
      </c>
      <c r="CI20" s="101"/>
      <c r="CJ20" s="11">
        <f t="shared" si="34"/>
        <v>0</v>
      </c>
      <c r="CK20" s="11">
        <f t="shared" si="74"/>
        <v>437.89324461160135</v>
      </c>
      <c r="CL20" s="11">
        <f t="shared" si="35"/>
        <v>7.1560622414772332E-2</v>
      </c>
      <c r="CM20" s="101"/>
      <c r="CN20" s="11">
        <f t="shared" si="36"/>
        <v>0</v>
      </c>
      <c r="CO20" s="11">
        <f t="shared" si="75"/>
        <v>8596.0309177959734</v>
      </c>
      <c r="CP20" s="11">
        <f t="shared" si="37"/>
        <v>1.4047655001385453</v>
      </c>
      <c r="CQ20" s="101"/>
      <c r="CR20" s="11">
        <f t="shared" si="38"/>
        <v>0</v>
      </c>
      <c r="CS20" s="11">
        <f t="shared" si="76"/>
        <v>682.50489507723341</v>
      </c>
      <c r="CT20" s="11">
        <f t="shared" si="39"/>
        <v>0.11153511887623616</v>
      </c>
      <c r="CU20" s="101">
        <f t="shared" si="40"/>
        <v>62266.788907547772</v>
      </c>
      <c r="CV20" s="11">
        <f t="shared" si="41"/>
        <v>100</v>
      </c>
      <c r="CW20" s="11">
        <f t="shared" si="77"/>
        <v>592919.27883680142</v>
      </c>
      <c r="CX20" s="11">
        <f t="shared" si="42"/>
        <v>96.895015297423356</v>
      </c>
      <c r="CY20" s="101"/>
      <c r="CZ20" s="17">
        <f t="shared" si="43"/>
        <v>0</v>
      </c>
      <c r="DA20" s="11">
        <f t="shared" si="78"/>
        <v>0</v>
      </c>
      <c r="DB20" s="11">
        <f t="shared" si="44"/>
        <v>0</v>
      </c>
      <c r="DC20" s="11">
        <v>0</v>
      </c>
      <c r="DD20" s="11">
        <f t="shared" si="45"/>
        <v>0</v>
      </c>
      <c r="DE20" s="11">
        <f t="shared" si="79"/>
        <v>0</v>
      </c>
      <c r="DF20" s="11">
        <f t="shared" si="46"/>
        <v>0</v>
      </c>
      <c r="DG20" s="11">
        <f t="shared" si="80"/>
        <v>62266.788907547772</v>
      </c>
      <c r="DH20" s="11">
        <f t="shared" si="81"/>
        <v>611919.27883680142</v>
      </c>
      <c r="DI20" s="11">
        <f t="shared" si="47"/>
        <v>1.0240742875770565</v>
      </c>
      <c r="DJ20" s="11">
        <f t="shared" si="48"/>
        <v>1.1041189409106598</v>
      </c>
      <c r="DK20" s="498">
        <f t="shared" si="82"/>
        <v>0.97649165898499812</v>
      </c>
      <c r="DL20" s="499">
        <f t="shared" si="83"/>
        <v>0.93472251583262378</v>
      </c>
      <c r="DM20" s="6" t="str">
        <f>+Efficiency1!D57</f>
        <v>RC HW</v>
      </c>
    </row>
    <row r="21" spans="1:117">
      <c r="A21" s="18">
        <f>+Chem!A20</f>
        <v>45942</v>
      </c>
      <c r="B21" s="6" t="str">
        <f>+Chem!B20</f>
        <v>Napkin</v>
      </c>
      <c r="C21" s="6" t="str">
        <f>+Chem!C20</f>
        <v>20,5</v>
      </c>
      <c r="D21" s="9">
        <f>+Chem!D20</f>
        <v>51.963000000000001</v>
      </c>
      <c r="E21" s="7">
        <f>+Chem!E20</f>
        <v>51.13</v>
      </c>
      <c r="F21" s="7">
        <f t="shared" si="84"/>
        <v>605.34500000000003</v>
      </c>
      <c r="G21" s="101">
        <v>0</v>
      </c>
      <c r="H21" s="11">
        <f t="shared" si="0"/>
        <v>0</v>
      </c>
      <c r="I21" s="9">
        <f t="shared" si="49"/>
        <v>19000</v>
      </c>
      <c r="J21" s="11">
        <f t="shared" si="1"/>
        <v>2.8528084992372778</v>
      </c>
      <c r="K21" s="101"/>
      <c r="L21" s="11">
        <f t="shared" si="2"/>
        <v>0</v>
      </c>
      <c r="M21" s="11">
        <f t="shared" si="50"/>
        <v>0</v>
      </c>
      <c r="N21" s="11">
        <f t="shared" si="3"/>
        <v>0</v>
      </c>
      <c r="O21" s="101">
        <v>0</v>
      </c>
      <c r="P21" s="11">
        <f t="shared" si="4"/>
        <v>0</v>
      </c>
      <c r="Q21" s="11">
        <f t="shared" si="51"/>
        <v>0</v>
      </c>
      <c r="R21" s="11">
        <f t="shared" si="5"/>
        <v>0</v>
      </c>
      <c r="S21" s="101"/>
      <c r="T21" s="11">
        <f t="shared" si="6"/>
        <v>0</v>
      </c>
      <c r="U21" s="11">
        <f t="shared" si="52"/>
        <v>0</v>
      </c>
      <c r="V21" s="11">
        <f t="shared" si="7"/>
        <v>0</v>
      </c>
      <c r="W21" s="11"/>
      <c r="X21" s="11">
        <f t="shared" si="8"/>
        <v>0</v>
      </c>
      <c r="Y21" s="11">
        <f t="shared" si="53"/>
        <v>0</v>
      </c>
      <c r="Z21" s="11">
        <f t="shared" si="9"/>
        <v>0</v>
      </c>
      <c r="AA21" s="11">
        <f t="shared" si="54"/>
        <v>0</v>
      </c>
      <c r="AB21" s="11">
        <f t="shared" si="10"/>
        <v>0</v>
      </c>
      <c r="AC21" s="11">
        <f t="shared" si="55"/>
        <v>19000</v>
      </c>
      <c r="AD21" s="11">
        <f t="shared" si="11"/>
        <v>2.8528084992372778</v>
      </c>
      <c r="AE21" s="11"/>
      <c r="AF21" s="11">
        <f t="shared" si="12"/>
        <v>0</v>
      </c>
      <c r="AG21" s="11">
        <f t="shared" si="85"/>
        <v>0</v>
      </c>
      <c r="AH21" s="11">
        <f t="shared" si="13"/>
        <v>0</v>
      </c>
      <c r="AI21" s="11"/>
      <c r="AJ21" s="11">
        <f t="shared" si="14"/>
        <v>0</v>
      </c>
      <c r="AK21" s="11">
        <f t="shared" si="86"/>
        <v>0</v>
      </c>
      <c r="AL21" s="11">
        <f t="shared" si="15"/>
        <v>0</v>
      </c>
      <c r="AM21" s="11">
        <f t="shared" si="56"/>
        <v>0</v>
      </c>
      <c r="AN21" s="11">
        <f t="shared" si="16"/>
        <v>0</v>
      </c>
      <c r="AO21" s="11">
        <f t="shared" si="87"/>
        <v>0</v>
      </c>
      <c r="AP21" s="11">
        <f t="shared" si="17"/>
        <v>0</v>
      </c>
      <c r="AQ21" s="101">
        <v>35049.542310100172</v>
      </c>
      <c r="AR21" s="11">
        <f t="shared" si="18"/>
        <v>64.797273592943412</v>
      </c>
      <c r="AS21" s="11">
        <f t="shared" si="57"/>
        <v>407892.04543536843</v>
      </c>
      <c r="AT21" s="11">
        <f t="shared" si="19"/>
        <v>61.2440996836472</v>
      </c>
      <c r="AU21" s="101">
        <v>3041.6572412353926</v>
      </c>
      <c r="AV21" s="11" t="e">
        <f t="shared" si="20"/>
        <v>#DIV/0!</v>
      </c>
      <c r="AW21" s="11">
        <f t="shared" si="58"/>
        <v>54802.556046492755</v>
      </c>
      <c r="AX21" s="11" t="e">
        <f t="shared" si="21"/>
        <v>#DIV/0!</v>
      </c>
      <c r="AY21" s="101"/>
      <c r="AZ21" s="11">
        <f t="shared" si="22"/>
        <v>0</v>
      </c>
      <c r="BA21" s="11">
        <f t="shared" si="59"/>
        <v>0</v>
      </c>
      <c r="BB21" s="11">
        <f t="shared" si="23"/>
        <v>0</v>
      </c>
      <c r="BC21" s="101"/>
      <c r="BD21" s="11">
        <f t="shared" si="60"/>
        <v>0</v>
      </c>
      <c r="BE21" s="11">
        <f t="shared" si="61"/>
        <v>0</v>
      </c>
      <c r="BF21" s="11">
        <f t="shared" si="62"/>
        <v>0</v>
      </c>
      <c r="BG21" s="101">
        <v>7989.0943760434066</v>
      </c>
      <c r="BH21" s="11">
        <f t="shared" si="63"/>
        <v>14.769708815716934</v>
      </c>
      <c r="BI21" s="11">
        <f t="shared" si="64"/>
        <v>95292.07018412881</v>
      </c>
      <c r="BJ21" s="11">
        <f t="shared" si="65"/>
        <v>14.307896196378833</v>
      </c>
      <c r="BK21" s="101"/>
      <c r="BL21" s="11">
        <f t="shared" si="66"/>
        <v>0</v>
      </c>
      <c r="BM21" s="11">
        <f t="shared" si="67"/>
        <v>0</v>
      </c>
      <c r="BN21" s="11">
        <f t="shared" si="68"/>
        <v>0</v>
      </c>
      <c r="BO21" s="101"/>
      <c r="BP21" s="11">
        <f t="shared" si="24"/>
        <v>0</v>
      </c>
      <c r="BQ21" s="11">
        <f t="shared" si="69"/>
        <v>0</v>
      </c>
      <c r="BR21" s="11">
        <f t="shared" si="25"/>
        <v>0</v>
      </c>
      <c r="BS21" s="101">
        <v>0</v>
      </c>
      <c r="BT21" s="11">
        <f t="shared" si="26"/>
        <v>0</v>
      </c>
      <c r="BU21" s="11">
        <f t="shared" si="70"/>
        <v>0</v>
      </c>
      <c r="BV21" s="11">
        <f t="shared" si="27"/>
        <v>0</v>
      </c>
      <c r="BW21" s="101">
        <v>0</v>
      </c>
      <c r="BX21" s="11">
        <f t="shared" si="28"/>
        <v>0</v>
      </c>
      <c r="BY21" s="11">
        <f t="shared" si="71"/>
        <v>0</v>
      </c>
      <c r="BZ21" s="11">
        <f t="shared" si="29"/>
        <v>0</v>
      </c>
      <c r="CA21" s="101">
        <v>8010.7817717028383</v>
      </c>
      <c r="CB21" s="11">
        <f t="shared" si="30"/>
        <v>14.80980303713727</v>
      </c>
      <c r="CC21" s="11">
        <f t="shared" si="72"/>
        <v>79307.253812408337</v>
      </c>
      <c r="CD21" s="11">
        <f t="shared" si="31"/>
        <v>11.907810933010868</v>
      </c>
      <c r="CE21" s="101">
        <v>0</v>
      </c>
      <c r="CF21" s="11">
        <f t="shared" si="32"/>
        <v>0</v>
      </c>
      <c r="CG21" s="11">
        <f t="shared" si="73"/>
        <v>0</v>
      </c>
      <c r="CH21" s="11">
        <f t="shared" si="33"/>
        <v>0</v>
      </c>
      <c r="CI21" s="101"/>
      <c r="CJ21" s="11">
        <f t="shared" si="34"/>
        <v>0</v>
      </c>
      <c r="CK21" s="11">
        <f t="shared" si="74"/>
        <v>437.89324461160135</v>
      </c>
      <c r="CL21" s="11">
        <f t="shared" si="35"/>
        <v>6.574871420981919E-2</v>
      </c>
      <c r="CM21" s="101"/>
      <c r="CN21" s="11">
        <f t="shared" si="36"/>
        <v>0</v>
      </c>
      <c r="CO21" s="11">
        <f t="shared" si="75"/>
        <v>8596.0309177959734</v>
      </c>
      <c r="CP21" s="11">
        <f t="shared" si="37"/>
        <v>1.2906752664207772</v>
      </c>
      <c r="CQ21" s="101"/>
      <c r="CR21" s="11">
        <f t="shared" si="38"/>
        <v>0</v>
      </c>
      <c r="CS21" s="11">
        <f t="shared" si="76"/>
        <v>682.50489507723341</v>
      </c>
      <c r="CT21" s="11">
        <f t="shared" si="39"/>
        <v>0.10247661923407253</v>
      </c>
      <c r="CU21" s="101">
        <f t="shared" si="40"/>
        <v>54091.075699081812</v>
      </c>
      <c r="CV21" s="11">
        <f t="shared" si="41"/>
        <v>100</v>
      </c>
      <c r="CW21" s="11">
        <f t="shared" si="77"/>
        <v>647010.35453588318</v>
      </c>
      <c r="CX21" s="11">
        <f t="shared" si="42"/>
        <v>97.147191500762716</v>
      </c>
      <c r="CY21" s="101"/>
      <c r="CZ21" s="17">
        <f t="shared" si="43"/>
        <v>0</v>
      </c>
      <c r="DA21" s="11">
        <f t="shared" si="78"/>
        <v>0</v>
      </c>
      <c r="DB21" s="11">
        <f t="shared" si="44"/>
        <v>0</v>
      </c>
      <c r="DC21" s="11">
        <v>0</v>
      </c>
      <c r="DD21" s="11">
        <f t="shared" si="45"/>
        <v>0</v>
      </c>
      <c r="DE21" s="11">
        <f t="shared" si="79"/>
        <v>0</v>
      </c>
      <c r="DF21" s="11">
        <f t="shared" si="46"/>
        <v>0</v>
      </c>
      <c r="DG21" s="11">
        <f t="shared" si="80"/>
        <v>54091.075699081812</v>
      </c>
      <c r="DH21" s="11">
        <f t="shared" si="81"/>
        <v>666010.35453588318</v>
      </c>
      <c r="DI21" s="11">
        <f t="shared" si="47"/>
        <v>1.057912687249791</v>
      </c>
      <c r="DJ21" s="11">
        <f t="shared" si="48"/>
        <v>1.1002161652212923</v>
      </c>
      <c r="DK21" s="498">
        <f t="shared" si="82"/>
        <v>0.94525759266547416</v>
      </c>
      <c r="DL21" s="499">
        <f t="shared" si="83"/>
        <v>0.93560326470235433</v>
      </c>
      <c r="DM21" s="6" t="str">
        <f>+Efficiency1!D62</f>
        <v>RC HW</v>
      </c>
    </row>
    <row r="22" spans="1:117">
      <c r="A22" s="18">
        <f>+Chem!A21</f>
        <v>45943</v>
      </c>
      <c r="B22" s="6" t="str">
        <f>+Chem!B21</f>
        <v>Napkin</v>
      </c>
      <c r="C22" s="6" t="str">
        <f>+Chem!C21</f>
        <v>20,5</v>
      </c>
      <c r="D22" s="9">
        <f>+Chem!D21</f>
        <v>58.326000000000008</v>
      </c>
      <c r="E22" s="7">
        <f>+Chem!E21</f>
        <v>54.646000000000001</v>
      </c>
      <c r="F22" s="7">
        <f t="shared" si="84"/>
        <v>659.99099999999999</v>
      </c>
      <c r="G22" s="101">
        <v>0</v>
      </c>
      <c r="H22" s="11">
        <f t="shared" si="0"/>
        <v>0</v>
      </c>
      <c r="I22" s="9">
        <f t="shared" si="49"/>
        <v>19000</v>
      </c>
      <c r="J22" s="11">
        <f t="shared" si="1"/>
        <v>2.652622709267618</v>
      </c>
      <c r="K22" s="101"/>
      <c r="L22" s="11">
        <f t="shared" si="2"/>
        <v>0</v>
      </c>
      <c r="M22" s="11">
        <f t="shared" si="50"/>
        <v>0</v>
      </c>
      <c r="N22" s="11">
        <f t="shared" si="3"/>
        <v>0</v>
      </c>
      <c r="O22" s="101">
        <v>0</v>
      </c>
      <c r="P22" s="11">
        <f t="shared" si="4"/>
        <v>0</v>
      </c>
      <c r="Q22" s="11">
        <f t="shared" si="51"/>
        <v>0</v>
      </c>
      <c r="R22" s="11">
        <f t="shared" si="5"/>
        <v>0</v>
      </c>
      <c r="S22" s="101"/>
      <c r="T22" s="11">
        <f t="shared" si="6"/>
        <v>0</v>
      </c>
      <c r="U22" s="11">
        <f t="shared" si="52"/>
        <v>0</v>
      </c>
      <c r="V22" s="11">
        <f t="shared" si="7"/>
        <v>0</v>
      </c>
      <c r="W22" s="11"/>
      <c r="X22" s="11">
        <f t="shared" si="8"/>
        <v>0</v>
      </c>
      <c r="Y22" s="11">
        <f t="shared" si="53"/>
        <v>0</v>
      </c>
      <c r="Z22" s="11">
        <f t="shared" si="9"/>
        <v>0</v>
      </c>
      <c r="AA22" s="11">
        <f t="shared" si="54"/>
        <v>0</v>
      </c>
      <c r="AB22" s="11">
        <f t="shared" si="10"/>
        <v>0</v>
      </c>
      <c r="AC22" s="11">
        <f t="shared" si="55"/>
        <v>19000</v>
      </c>
      <c r="AD22" s="11">
        <f t="shared" si="11"/>
        <v>2.652622709267618</v>
      </c>
      <c r="AE22" s="11"/>
      <c r="AF22" s="11">
        <f t="shared" si="12"/>
        <v>0</v>
      </c>
      <c r="AG22" s="11">
        <f t="shared" si="85"/>
        <v>0</v>
      </c>
      <c r="AH22" s="11">
        <f t="shared" si="13"/>
        <v>0</v>
      </c>
      <c r="AI22" s="11"/>
      <c r="AJ22" s="11">
        <f t="shared" si="14"/>
        <v>0</v>
      </c>
      <c r="AK22" s="11">
        <f t="shared" si="86"/>
        <v>0</v>
      </c>
      <c r="AL22" s="11">
        <f t="shared" si="15"/>
        <v>0</v>
      </c>
      <c r="AM22" s="11">
        <f t="shared" si="56"/>
        <v>0</v>
      </c>
      <c r="AN22" s="11">
        <f t="shared" si="16"/>
        <v>0</v>
      </c>
      <c r="AO22" s="11">
        <f t="shared" si="87"/>
        <v>0</v>
      </c>
      <c r="AP22" s="11">
        <f t="shared" si="17"/>
        <v>0</v>
      </c>
      <c r="AQ22" s="101">
        <v>32345.579263634976</v>
      </c>
      <c r="AR22" s="11">
        <f t="shared" si="18"/>
        <v>64.354095260607494</v>
      </c>
      <c r="AS22" s="11">
        <f t="shared" si="57"/>
        <v>440237.62469900341</v>
      </c>
      <c r="AT22" s="11">
        <f t="shared" si="19"/>
        <v>61.462332671084809</v>
      </c>
      <c r="AU22" s="101">
        <v>2818.7286245353162</v>
      </c>
      <c r="AV22" s="11" t="e">
        <f t="shared" si="20"/>
        <v>#DIV/0!</v>
      </c>
      <c r="AW22" s="11">
        <f t="shared" si="58"/>
        <v>57621.284671028072</v>
      </c>
      <c r="AX22" s="11" t="e">
        <f t="shared" si="21"/>
        <v>#DIV/0!</v>
      </c>
      <c r="AY22" s="101"/>
      <c r="AZ22" s="11">
        <f t="shared" si="22"/>
        <v>0</v>
      </c>
      <c r="BA22" s="11">
        <f t="shared" si="59"/>
        <v>0</v>
      </c>
      <c r="BB22" s="11">
        <f t="shared" si="23"/>
        <v>0</v>
      </c>
      <c r="BC22" s="101"/>
      <c r="BD22" s="11">
        <f t="shared" si="60"/>
        <v>0</v>
      </c>
      <c r="BE22" s="11">
        <f t="shared" si="61"/>
        <v>0</v>
      </c>
      <c r="BF22" s="11">
        <f t="shared" si="62"/>
        <v>0</v>
      </c>
      <c r="BG22" s="101">
        <v>8667.0707338188113</v>
      </c>
      <c r="BH22" s="11">
        <f t="shared" si="63"/>
        <v>17.243824607020443</v>
      </c>
      <c r="BI22" s="11">
        <f t="shared" si="64"/>
        <v>103959.14091794762</v>
      </c>
      <c r="BJ22" s="11">
        <f t="shared" si="65"/>
        <v>14.513914633415807</v>
      </c>
      <c r="BK22" s="101"/>
      <c r="BL22" s="11">
        <f t="shared" si="66"/>
        <v>0</v>
      </c>
      <c r="BM22" s="11">
        <f t="shared" si="67"/>
        <v>0</v>
      </c>
      <c r="BN22" s="11">
        <f t="shared" si="68"/>
        <v>0</v>
      </c>
      <c r="BO22" s="101"/>
      <c r="BP22" s="11">
        <f t="shared" si="24"/>
        <v>0</v>
      </c>
      <c r="BQ22" s="11">
        <f t="shared" si="69"/>
        <v>0</v>
      </c>
      <c r="BR22" s="11">
        <f t="shared" si="25"/>
        <v>0</v>
      </c>
      <c r="BS22" s="101">
        <v>0</v>
      </c>
      <c r="BT22" s="11">
        <f t="shared" si="26"/>
        <v>0</v>
      </c>
      <c r="BU22" s="11">
        <f t="shared" si="70"/>
        <v>0</v>
      </c>
      <c r="BV22" s="11">
        <f t="shared" si="27"/>
        <v>0</v>
      </c>
      <c r="BW22" s="101">
        <v>0</v>
      </c>
      <c r="BX22" s="11">
        <f t="shared" si="28"/>
        <v>0</v>
      </c>
      <c r="BY22" s="11">
        <f t="shared" si="71"/>
        <v>0</v>
      </c>
      <c r="BZ22" s="11">
        <f t="shared" si="29"/>
        <v>0</v>
      </c>
      <c r="CA22" s="101">
        <v>6430.5031318429501</v>
      </c>
      <c r="CB22" s="11">
        <f t="shared" si="30"/>
        <v>12.793995981562462</v>
      </c>
      <c r="CC22" s="11">
        <f t="shared" si="72"/>
        <v>85737.75694425129</v>
      </c>
      <c r="CD22" s="11">
        <f t="shared" si="31"/>
        <v>11.969995847999389</v>
      </c>
      <c r="CE22" s="101">
        <v>0</v>
      </c>
      <c r="CF22" s="11">
        <f t="shared" si="32"/>
        <v>0</v>
      </c>
      <c r="CG22" s="11">
        <f t="shared" si="73"/>
        <v>0</v>
      </c>
      <c r="CH22" s="11">
        <f t="shared" si="33"/>
        <v>0</v>
      </c>
      <c r="CI22" s="101"/>
      <c r="CJ22" s="11">
        <f t="shared" si="34"/>
        <v>0</v>
      </c>
      <c r="CK22" s="11">
        <f t="shared" si="74"/>
        <v>437.89324461160135</v>
      </c>
      <c r="CL22" s="11">
        <f t="shared" si="35"/>
        <v>6.1135029731137568E-2</v>
      </c>
      <c r="CM22" s="101"/>
      <c r="CN22" s="11">
        <f t="shared" si="36"/>
        <v>0</v>
      </c>
      <c r="CO22" s="11">
        <f t="shared" si="75"/>
        <v>8596.0309177959734</v>
      </c>
      <c r="CP22" s="11">
        <f t="shared" si="37"/>
        <v>1.2001066748480087</v>
      </c>
      <c r="CQ22" s="101"/>
      <c r="CR22" s="11">
        <f t="shared" si="38"/>
        <v>0</v>
      </c>
      <c r="CS22" s="11">
        <f t="shared" si="76"/>
        <v>682.50489507723341</v>
      </c>
      <c r="CT22" s="11">
        <f t="shared" si="39"/>
        <v>9.528568336148327E-2</v>
      </c>
      <c r="CU22" s="101">
        <f t="shared" si="40"/>
        <v>50261.881753832058</v>
      </c>
      <c r="CV22" s="11">
        <f t="shared" si="41"/>
        <v>100</v>
      </c>
      <c r="CW22" s="11">
        <f t="shared" si="77"/>
        <v>697272.23628971528</v>
      </c>
      <c r="CX22" s="11">
        <f t="shared" si="42"/>
        <v>97.347377290732382</v>
      </c>
      <c r="CY22" s="101"/>
      <c r="CZ22" s="17">
        <f t="shared" si="43"/>
        <v>0</v>
      </c>
      <c r="DA22" s="11">
        <f t="shared" si="78"/>
        <v>0</v>
      </c>
      <c r="DB22" s="11">
        <f t="shared" si="44"/>
        <v>0</v>
      </c>
      <c r="DC22" s="11">
        <v>0</v>
      </c>
      <c r="DD22" s="11">
        <f t="shared" si="45"/>
        <v>0</v>
      </c>
      <c r="DE22" s="11">
        <f t="shared" si="79"/>
        <v>0</v>
      </c>
      <c r="DF22" s="11">
        <f t="shared" si="46"/>
        <v>0</v>
      </c>
      <c r="DG22" s="11">
        <f t="shared" si="80"/>
        <v>50261.881753832058</v>
      </c>
      <c r="DH22" s="11">
        <f t="shared" si="81"/>
        <v>716272.23628971528</v>
      </c>
      <c r="DI22" s="11">
        <f t="shared" si="47"/>
        <v>0.91977238505713244</v>
      </c>
      <c r="DJ22" s="11">
        <f t="shared" si="48"/>
        <v>1.0852757632902801</v>
      </c>
      <c r="DK22" s="498">
        <f t="shared" si="82"/>
        <v>1.0872255095350403</v>
      </c>
      <c r="DL22" s="499">
        <f t="shared" si="83"/>
        <v>0.94653273951061923</v>
      </c>
      <c r="DM22" s="6" t="str">
        <f>+Efficiency1!D68</f>
        <v>RC HW</v>
      </c>
    </row>
    <row r="23" spans="1:117">
      <c r="A23" s="18">
        <f>+Chem!A22</f>
        <v>45944</v>
      </c>
      <c r="B23" s="6" t="str">
        <f>+Chem!B22</f>
        <v>Napkin/Towel</v>
      </c>
      <c r="C23" s="6" t="str">
        <f>+Chem!C22</f>
        <v>20,5/30</v>
      </c>
      <c r="D23" s="9">
        <f>+Chem!D22</f>
        <v>66.12</v>
      </c>
      <c r="E23" s="7">
        <f>+Chem!E22</f>
        <v>70.001999999999995</v>
      </c>
      <c r="F23" s="7">
        <f t="shared" si="84"/>
        <v>729.99299999999994</v>
      </c>
      <c r="G23" s="101">
        <v>0</v>
      </c>
      <c r="H23" s="11">
        <f t="shared" si="0"/>
        <v>0</v>
      </c>
      <c r="I23" s="9">
        <f t="shared" si="49"/>
        <v>19000</v>
      </c>
      <c r="J23" s="11">
        <f t="shared" si="1"/>
        <v>2.3685526616958552</v>
      </c>
      <c r="K23" s="101"/>
      <c r="L23" s="11">
        <f t="shared" si="2"/>
        <v>0</v>
      </c>
      <c r="M23" s="11">
        <f t="shared" si="50"/>
        <v>0</v>
      </c>
      <c r="N23" s="11">
        <f t="shared" si="3"/>
        <v>0</v>
      </c>
      <c r="O23" s="101">
        <v>0</v>
      </c>
      <c r="P23" s="11">
        <f t="shared" si="4"/>
        <v>0</v>
      </c>
      <c r="Q23" s="11">
        <f t="shared" si="51"/>
        <v>0</v>
      </c>
      <c r="R23" s="11">
        <f t="shared" si="5"/>
        <v>0</v>
      </c>
      <c r="S23" s="101"/>
      <c r="T23" s="11">
        <f t="shared" si="6"/>
        <v>0</v>
      </c>
      <c r="U23" s="11">
        <f t="shared" si="52"/>
        <v>0</v>
      </c>
      <c r="V23" s="11">
        <f t="shared" si="7"/>
        <v>0</v>
      </c>
      <c r="W23" s="11"/>
      <c r="X23" s="11">
        <f t="shared" si="8"/>
        <v>0</v>
      </c>
      <c r="Y23" s="11">
        <f t="shared" si="53"/>
        <v>0</v>
      </c>
      <c r="Z23" s="11">
        <f t="shared" si="9"/>
        <v>0</v>
      </c>
      <c r="AA23" s="11">
        <f t="shared" si="54"/>
        <v>0</v>
      </c>
      <c r="AB23" s="11">
        <f t="shared" si="10"/>
        <v>0</v>
      </c>
      <c r="AC23" s="11">
        <f t="shared" si="55"/>
        <v>19000</v>
      </c>
      <c r="AD23" s="11">
        <f t="shared" si="11"/>
        <v>2.3685526616958552</v>
      </c>
      <c r="AE23" s="11"/>
      <c r="AF23" s="11">
        <f t="shared" si="12"/>
        <v>0</v>
      </c>
      <c r="AG23" s="11">
        <f t="shared" si="85"/>
        <v>0</v>
      </c>
      <c r="AH23" s="11">
        <f t="shared" si="13"/>
        <v>0</v>
      </c>
      <c r="AI23" s="11"/>
      <c r="AJ23" s="11">
        <f t="shared" si="14"/>
        <v>0</v>
      </c>
      <c r="AK23" s="11">
        <f t="shared" si="86"/>
        <v>0</v>
      </c>
      <c r="AL23" s="11">
        <f t="shared" si="15"/>
        <v>0</v>
      </c>
      <c r="AM23" s="11">
        <f t="shared" si="56"/>
        <v>0</v>
      </c>
      <c r="AN23" s="11">
        <f t="shared" si="16"/>
        <v>0</v>
      </c>
      <c r="AO23" s="11">
        <f t="shared" si="87"/>
        <v>0</v>
      </c>
      <c r="AP23" s="11">
        <f t="shared" si="17"/>
        <v>0</v>
      </c>
      <c r="AQ23" s="101">
        <v>54590.373595948622</v>
      </c>
      <c r="AR23" s="11">
        <f t="shared" si="18"/>
        <v>63.547072763802603</v>
      </c>
      <c r="AS23" s="11">
        <f t="shared" si="57"/>
        <v>494827.99829495203</v>
      </c>
      <c r="AT23" s="11">
        <f t="shared" si="19"/>
        <v>61.685588023323191</v>
      </c>
      <c r="AU23" s="101">
        <v>254.90038025478825</v>
      </c>
      <c r="AV23" s="11" t="e">
        <f t="shared" si="20"/>
        <v>#DIV/0!</v>
      </c>
      <c r="AW23" s="11">
        <f t="shared" si="58"/>
        <v>57876.185051282861</v>
      </c>
      <c r="AX23" s="11" t="e">
        <f t="shared" si="21"/>
        <v>#DIV/0!</v>
      </c>
      <c r="AY23" s="101"/>
      <c r="AZ23" s="11">
        <f t="shared" si="22"/>
        <v>0</v>
      </c>
      <c r="BA23" s="11">
        <f t="shared" si="59"/>
        <v>0</v>
      </c>
      <c r="BB23" s="11">
        <f t="shared" si="23"/>
        <v>0</v>
      </c>
      <c r="BC23" s="101"/>
      <c r="BD23" s="11">
        <f t="shared" si="60"/>
        <v>0</v>
      </c>
      <c r="BE23" s="11">
        <f t="shared" si="61"/>
        <v>0</v>
      </c>
      <c r="BF23" s="11">
        <f t="shared" si="62"/>
        <v>0</v>
      </c>
      <c r="BG23" s="101">
        <v>9127.1715702595193</v>
      </c>
      <c r="BH23" s="11">
        <f t="shared" si="63"/>
        <v>10.624676068273633</v>
      </c>
      <c r="BI23" s="11">
        <f t="shared" si="64"/>
        <v>113086.31248820714</v>
      </c>
      <c r="BJ23" s="11">
        <f t="shared" si="65"/>
        <v>14.097415076069067</v>
      </c>
      <c r="BK23" s="101"/>
      <c r="BL23" s="11">
        <f t="shared" si="66"/>
        <v>0</v>
      </c>
      <c r="BM23" s="11">
        <f t="shared" si="67"/>
        <v>0</v>
      </c>
      <c r="BN23" s="11">
        <f t="shared" si="68"/>
        <v>0</v>
      </c>
      <c r="BO23" s="101"/>
      <c r="BP23" s="11">
        <f t="shared" si="24"/>
        <v>0</v>
      </c>
      <c r="BQ23" s="11">
        <f t="shared" si="69"/>
        <v>0</v>
      </c>
      <c r="BR23" s="11">
        <f t="shared" si="25"/>
        <v>0</v>
      </c>
      <c r="BS23" s="101">
        <v>0</v>
      </c>
      <c r="BT23" s="11">
        <f t="shared" si="26"/>
        <v>0</v>
      </c>
      <c r="BU23" s="11">
        <f t="shared" si="70"/>
        <v>0</v>
      </c>
      <c r="BV23" s="11">
        <f t="shared" si="27"/>
        <v>0</v>
      </c>
      <c r="BW23" s="101">
        <v>1240</v>
      </c>
      <c r="BX23" s="11">
        <f t="shared" si="28"/>
        <v>1.4434480850111489</v>
      </c>
      <c r="BY23" s="11">
        <f t="shared" si="71"/>
        <v>1240</v>
      </c>
      <c r="BZ23" s="11">
        <f t="shared" si="29"/>
        <v>0.15457922634225582</v>
      </c>
      <c r="CA23" s="101">
        <v>9132.9647607198549</v>
      </c>
      <c r="CB23" s="11">
        <f t="shared" si="30"/>
        <v>10.631419753496274</v>
      </c>
      <c r="CC23" s="11">
        <f t="shared" si="72"/>
        <v>94870.721704971147</v>
      </c>
      <c r="CD23" s="11">
        <f t="shared" si="31"/>
        <v>11.826647390069271</v>
      </c>
      <c r="CE23" s="101">
        <v>11560</v>
      </c>
      <c r="CF23" s="11">
        <f t="shared" si="32"/>
        <v>13.456661179620067</v>
      </c>
      <c r="CG23" s="11">
        <f t="shared" si="73"/>
        <v>11560</v>
      </c>
      <c r="CH23" s="11">
        <f t="shared" si="33"/>
        <v>1.4410773036423203</v>
      </c>
      <c r="CI23" s="101"/>
      <c r="CJ23" s="11">
        <f t="shared" si="34"/>
        <v>0</v>
      </c>
      <c r="CK23" s="11">
        <f t="shared" si="74"/>
        <v>437.89324461160135</v>
      </c>
      <c r="CL23" s="11">
        <f t="shared" si="35"/>
        <v>5.45880636875496E-2</v>
      </c>
      <c r="CM23" s="101"/>
      <c r="CN23" s="11">
        <f t="shared" si="36"/>
        <v>0</v>
      </c>
      <c r="CO23" s="11">
        <f t="shared" si="75"/>
        <v>8596.0309177959734</v>
      </c>
      <c r="CP23" s="11">
        <f t="shared" si="37"/>
        <v>1.0715869426508167</v>
      </c>
      <c r="CQ23" s="101"/>
      <c r="CR23" s="11">
        <f t="shared" si="38"/>
        <v>0</v>
      </c>
      <c r="CS23" s="11">
        <f t="shared" si="76"/>
        <v>682.50489507723341</v>
      </c>
      <c r="CT23" s="11">
        <f t="shared" si="39"/>
        <v>8.5081515045033237E-2</v>
      </c>
      <c r="CU23" s="101">
        <f t="shared" si="40"/>
        <v>85905.410307182785</v>
      </c>
      <c r="CV23" s="11">
        <f t="shared" si="41"/>
        <v>100</v>
      </c>
      <c r="CW23" s="11">
        <f t="shared" si="77"/>
        <v>783177.64659689809</v>
      </c>
      <c r="CX23" s="11">
        <f t="shared" si="42"/>
        <v>97.631447338304142</v>
      </c>
      <c r="CY23" s="101"/>
      <c r="CZ23" s="17">
        <f t="shared" si="43"/>
        <v>0</v>
      </c>
      <c r="DA23" s="11">
        <f t="shared" si="78"/>
        <v>0</v>
      </c>
      <c r="DB23" s="11">
        <f t="shared" si="44"/>
        <v>0</v>
      </c>
      <c r="DC23" s="11">
        <v>0</v>
      </c>
      <c r="DD23" s="11">
        <f t="shared" si="45"/>
        <v>0</v>
      </c>
      <c r="DE23" s="11">
        <f t="shared" si="79"/>
        <v>0</v>
      </c>
      <c r="DF23" s="11">
        <f t="shared" si="46"/>
        <v>0</v>
      </c>
      <c r="DG23" s="11">
        <f t="shared" si="80"/>
        <v>85905.410307182785</v>
      </c>
      <c r="DH23" s="11">
        <f t="shared" si="81"/>
        <v>802177.64659689809</v>
      </c>
      <c r="DI23" s="11">
        <f t="shared" si="47"/>
        <v>1.2271850848144739</v>
      </c>
      <c r="DJ23" s="11">
        <f t="shared" si="48"/>
        <v>1.0988840257329839</v>
      </c>
      <c r="DK23" s="498">
        <f t="shared" si="82"/>
        <v>0.81487300683024555</v>
      </c>
      <c r="DL23" s="499">
        <f t="shared" si="83"/>
        <v>0.93209120966616099</v>
      </c>
      <c r="DM23" s="6" t="str">
        <f>+Efficiency1!D74</f>
        <v>RC HW</v>
      </c>
    </row>
    <row r="24" spans="1:117">
      <c r="A24" s="18">
        <f>+Chem!A23</f>
        <v>45945</v>
      </c>
      <c r="B24" s="6" t="str">
        <f>+Chem!B23</f>
        <v>Towel/Napkin</v>
      </c>
      <c r="C24" s="6" t="str">
        <f>+Chem!C23</f>
        <v>30/17/16</v>
      </c>
      <c r="D24" s="9">
        <f>+Chem!D23</f>
        <v>53.935000000000002</v>
      </c>
      <c r="E24" s="7">
        <f>+Chem!E23</f>
        <v>49.869</v>
      </c>
      <c r="F24" s="7">
        <f t="shared" si="84"/>
        <v>779.86199999999997</v>
      </c>
      <c r="G24" s="101">
        <v>0</v>
      </c>
      <c r="H24" s="11">
        <f t="shared" si="0"/>
        <v>0</v>
      </c>
      <c r="I24" s="9">
        <f t="shared" si="49"/>
        <v>19000</v>
      </c>
      <c r="J24" s="11">
        <f t="shared" si="1"/>
        <v>2.1655564569622832</v>
      </c>
      <c r="K24" s="101"/>
      <c r="L24" s="11">
        <f t="shared" si="2"/>
        <v>0</v>
      </c>
      <c r="M24" s="11">
        <f t="shared" si="50"/>
        <v>0</v>
      </c>
      <c r="N24" s="11">
        <f t="shared" si="3"/>
        <v>0</v>
      </c>
      <c r="O24" s="101">
        <v>0</v>
      </c>
      <c r="P24" s="11">
        <f t="shared" si="4"/>
        <v>0</v>
      </c>
      <c r="Q24" s="11">
        <f t="shared" si="51"/>
        <v>0</v>
      </c>
      <c r="R24" s="11">
        <f t="shared" si="5"/>
        <v>0</v>
      </c>
      <c r="S24" s="101"/>
      <c r="T24" s="11">
        <f t="shared" si="6"/>
        <v>0</v>
      </c>
      <c r="U24" s="11">
        <f t="shared" si="52"/>
        <v>0</v>
      </c>
      <c r="V24" s="11">
        <f t="shared" si="7"/>
        <v>0</v>
      </c>
      <c r="W24" s="11"/>
      <c r="X24" s="11">
        <f t="shared" si="8"/>
        <v>0</v>
      </c>
      <c r="Y24" s="11">
        <f t="shared" si="53"/>
        <v>0</v>
      </c>
      <c r="Z24" s="11">
        <f t="shared" si="9"/>
        <v>0</v>
      </c>
      <c r="AA24" s="11">
        <f t="shared" si="54"/>
        <v>0</v>
      </c>
      <c r="AB24" s="11">
        <f t="shared" si="10"/>
        <v>0</v>
      </c>
      <c r="AC24" s="11">
        <f t="shared" si="55"/>
        <v>19000</v>
      </c>
      <c r="AD24" s="11">
        <f t="shared" si="11"/>
        <v>2.1655564569622832</v>
      </c>
      <c r="AE24" s="11"/>
      <c r="AF24" s="11">
        <f t="shared" si="12"/>
        <v>0</v>
      </c>
      <c r="AG24" s="11">
        <f t="shared" si="85"/>
        <v>0</v>
      </c>
      <c r="AH24" s="11">
        <f t="shared" si="13"/>
        <v>0</v>
      </c>
      <c r="AI24" s="11"/>
      <c r="AJ24" s="11">
        <f t="shared" si="14"/>
        <v>0</v>
      </c>
      <c r="AK24" s="11">
        <f t="shared" si="86"/>
        <v>0</v>
      </c>
      <c r="AL24" s="11">
        <f t="shared" si="15"/>
        <v>0</v>
      </c>
      <c r="AM24" s="11">
        <f t="shared" si="56"/>
        <v>0</v>
      </c>
      <c r="AN24" s="11">
        <f t="shared" si="16"/>
        <v>0</v>
      </c>
      <c r="AO24" s="11">
        <f t="shared" si="87"/>
        <v>0</v>
      </c>
      <c r="AP24" s="11">
        <f t="shared" si="17"/>
        <v>0</v>
      </c>
      <c r="AQ24" s="101">
        <v>36170</v>
      </c>
      <c r="AR24" s="11">
        <f t="shared" si="18"/>
        <v>48.101602500166237</v>
      </c>
      <c r="AS24" s="11">
        <f t="shared" si="57"/>
        <v>530997.99829495209</v>
      </c>
      <c r="AT24" s="11">
        <f t="shared" si="19"/>
        <v>60.521375991667412</v>
      </c>
      <c r="AU24" s="101"/>
      <c r="AV24" s="11" t="e">
        <f t="shared" si="20"/>
        <v>#DIV/0!</v>
      </c>
      <c r="AW24" s="11">
        <f t="shared" si="58"/>
        <v>57876.185051282861</v>
      </c>
      <c r="AX24" s="11" t="e">
        <f t="shared" si="21"/>
        <v>#DIV/0!</v>
      </c>
      <c r="AY24" s="101"/>
      <c r="AZ24" s="11">
        <f t="shared" si="22"/>
        <v>0</v>
      </c>
      <c r="BA24" s="11">
        <f t="shared" si="59"/>
        <v>0</v>
      </c>
      <c r="BB24" s="11">
        <f t="shared" si="23"/>
        <v>0</v>
      </c>
      <c r="BC24" s="101"/>
      <c r="BD24" s="11">
        <f t="shared" si="60"/>
        <v>0</v>
      </c>
      <c r="BE24" s="11">
        <f t="shared" si="61"/>
        <v>0</v>
      </c>
      <c r="BF24" s="11">
        <f t="shared" si="62"/>
        <v>0</v>
      </c>
      <c r="BG24" s="101"/>
      <c r="BH24" s="11">
        <f t="shared" si="63"/>
        <v>0</v>
      </c>
      <c r="BI24" s="11">
        <f t="shared" si="64"/>
        <v>113086.31248820714</v>
      </c>
      <c r="BJ24" s="11">
        <f t="shared" si="65"/>
        <v>12.889199694889022</v>
      </c>
      <c r="BK24" s="101"/>
      <c r="BL24" s="11">
        <f t="shared" si="66"/>
        <v>0</v>
      </c>
      <c r="BM24" s="11">
        <f t="shared" si="67"/>
        <v>0</v>
      </c>
      <c r="BN24" s="11">
        <f t="shared" si="68"/>
        <v>0</v>
      </c>
      <c r="BO24" s="101"/>
      <c r="BP24" s="11">
        <f t="shared" si="24"/>
        <v>0</v>
      </c>
      <c r="BQ24" s="11">
        <f t="shared" si="69"/>
        <v>0</v>
      </c>
      <c r="BR24" s="11">
        <f t="shared" si="25"/>
        <v>0</v>
      </c>
      <c r="BS24" s="101">
        <v>0</v>
      </c>
      <c r="BT24" s="11">
        <f t="shared" si="26"/>
        <v>0</v>
      </c>
      <c r="BU24" s="11">
        <f t="shared" si="70"/>
        <v>0</v>
      </c>
      <c r="BV24" s="11">
        <f t="shared" si="27"/>
        <v>0</v>
      </c>
      <c r="BW24" s="101">
        <v>3920</v>
      </c>
      <c r="BX24" s="11">
        <f t="shared" si="28"/>
        <v>5.2131125739743336</v>
      </c>
      <c r="BY24" s="11">
        <f t="shared" si="71"/>
        <v>5160</v>
      </c>
      <c r="BZ24" s="11">
        <f t="shared" si="29"/>
        <v>0.58811954304870429</v>
      </c>
      <c r="CA24" s="101"/>
      <c r="CB24" s="11">
        <f t="shared" si="30"/>
        <v>0</v>
      </c>
      <c r="CC24" s="11">
        <f t="shared" si="72"/>
        <v>94870.721704971147</v>
      </c>
      <c r="CD24" s="11">
        <f t="shared" si="31"/>
        <v>10.81304757709853</v>
      </c>
      <c r="CE24" s="101">
        <v>35105</v>
      </c>
      <c r="CF24" s="11">
        <f t="shared" si="32"/>
        <v>46.685284925859435</v>
      </c>
      <c r="CG24" s="11">
        <f t="shared" si="73"/>
        <v>46665</v>
      </c>
      <c r="CH24" s="11">
        <f t="shared" si="33"/>
        <v>5.3187206349549969</v>
      </c>
      <c r="CI24" s="101"/>
      <c r="CJ24" s="11">
        <f t="shared" si="34"/>
        <v>0</v>
      </c>
      <c r="CK24" s="11">
        <f t="shared" si="74"/>
        <v>437.89324461160135</v>
      </c>
      <c r="CL24" s="11">
        <f t="shared" si="35"/>
        <v>4.9909607543621989E-2</v>
      </c>
      <c r="CM24" s="101"/>
      <c r="CN24" s="11">
        <f t="shared" si="36"/>
        <v>0</v>
      </c>
      <c r="CO24" s="11">
        <f t="shared" si="75"/>
        <v>8596.0309177959734</v>
      </c>
      <c r="CP24" s="11">
        <f t="shared" si="37"/>
        <v>0.97974685569897324</v>
      </c>
      <c r="CQ24" s="101"/>
      <c r="CR24" s="11">
        <f t="shared" si="38"/>
        <v>0</v>
      </c>
      <c r="CS24" s="11">
        <f t="shared" si="76"/>
        <v>682.50489507723341</v>
      </c>
      <c r="CT24" s="11">
        <f t="shared" si="39"/>
        <v>7.7789625391729914E-2</v>
      </c>
      <c r="CU24" s="101">
        <f t="shared" si="40"/>
        <v>75195</v>
      </c>
      <c r="CV24" s="11">
        <f t="shared" si="41"/>
        <v>100</v>
      </c>
      <c r="CW24" s="11">
        <f t="shared" si="77"/>
        <v>858372.64659689809</v>
      </c>
      <c r="CX24" s="11">
        <f t="shared" si="42"/>
        <v>97.834443543037722</v>
      </c>
      <c r="CY24" s="101"/>
      <c r="CZ24" s="17">
        <f t="shared" si="43"/>
        <v>0</v>
      </c>
      <c r="DA24" s="11">
        <f t="shared" si="78"/>
        <v>0</v>
      </c>
      <c r="DB24" s="11">
        <f t="shared" si="44"/>
        <v>0</v>
      </c>
      <c r="DC24" s="11">
        <v>0</v>
      </c>
      <c r="DD24" s="11">
        <f t="shared" si="45"/>
        <v>0</v>
      </c>
      <c r="DE24" s="11">
        <f t="shared" si="79"/>
        <v>0</v>
      </c>
      <c r="DF24" s="11">
        <f t="shared" si="46"/>
        <v>0</v>
      </c>
      <c r="DG24" s="11">
        <f t="shared" si="80"/>
        <v>75195</v>
      </c>
      <c r="DH24" s="11">
        <f t="shared" si="81"/>
        <v>877372.64659689809</v>
      </c>
      <c r="DI24" s="11">
        <f t="shared" si="47"/>
        <v>1.5078505684894421</v>
      </c>
      <c r="DJ24" s="11">
        <f t="shared" si="48"/>
        <v>1.1250357711965684</v>
      </c>
      <c r="DK24" s="498">
        <f t="shared" si="82"/>
        <v>0.66319569120287258</v>
      </c>
      <c r="DL24" s="499">
        <f t="shared" si="83"/>
        <v>0.90853547476359919</v>
      </c>
      <c r="DM24" s="6" t="s">
        <v>625</v>
      </c>
    </row>
    <row r="25" spans="1:117">
      <c r="A25" s="18">
        <f>+Chem!A24</f>
        <v>45946</v>
      </c>
      <c r="B25" s="6" t="str">
        <f>+Chem!B24</f>
        <v>Napkin</v>
      </c>
      <c r="C25" s="6" t="str">
        <f>+Chem!C24</f>
        <v>16</v>
      </c>
      <c r="D25" s="9">
        <f>+Chem!D24</f>
        <v>51.15</v>
      </c>
      <c r="E25" s="7">
        <f>+Chem!E24</f>
        <v>24.524000000000001</v>
      </c>
      <c r="F25" s="7">
        <f t="shared" si="84"/>
        <v>804.38599999999997</v>
      </c>
      <c r="G25" s="101">
        <v>0</v>
      </c>
      <c r="H25" s="11">
        <f t="shared" si="0"/>
        <v>0</v>
      </c>
      <c r="I25" s="9">
        <f t="shared" si="49"/>
        <v>19000</v>
      </c>
      <c r="J25" s="11">
        <f t="shared" si="1"/>
        <v>2.0000260075026159</v>
      </c>
      <c r="K25" s="101"/>
      <c r="L25" s="11">
        <f t="shared" si="2"/>
        <v>0</v>
      </c>
      <c r="M25" s="11">
        <f t="shared" si="50"/>
        <v>0</v>
      </c>
      <c r="N25" s="11">
        <f t="shared" si="3"/>
        <v>0</v>
      </c>
      <c r="O25" s="101">
        <v>0</v>
      </c>
      <c r="P25" s="11">
        <f t="shared" si="4"/>
        <v>0</v>
      </c>
      <c r="Q25" s="11">
        <f t="shared" si="51"/>
        <v>0</v>
      </c>
      <c r="R25" s="11">
        <f t="shared" si="5"/>
        <v>0</v>
      </c>
      <c r="S25" s="101"/>
      <c r="T25" s="11">
        <f t="shared" si="6"/>
        <v>0</v>
      </c>
      <c r="U25" s="11">
        <f t="shared" si="52"/>
        <v>0</v>
      </c>
      <c r="V25" s="11">
        <f t="shared" si="7"/>
        <v>0</v>
      </c>
      <c r="W25" s="101"/>
      <c r="X25" s="11">
        <f t="shared" si="8"/>
        <v>0</v>
      </c>
      <c r="Y25" s="11">
        <f t="shared" si="53"/>
        <v>0</v>
      </c>
      <c r="Z25" s="11">
        <f t="shared" si="9"/>
        <v>0</v>
      </c>
      <c r="AA25" s="11">
        <f t="shared" si="54"/>
        <v>0</v>
      </c>
      <c r="AB25" s="11">
        <f>AA25/DG25*100</f>
        <v>0</v>
      </c>
      <c r="AC25" s="11">
        <f t="shared" si="55"/>
        <v>19000</v>
      </c>
      <c r="AD25" s="11">
        <f t="shared" si="11"/>
        <v>2.0000260075026159</v>
      </c>
      <c r="AE25" s="11"/>
      <c r="AF25" s="11">
        <f t="shared" si="12"/>
        <v>0</v>
      </c>
      <c r="AG25" s="11">
        <f t="shared" si="85"/>
        <v>0</v>
      </c>
      <c r="AH25" s="11">
        <f t="shared" si="13"/>
        <v>0</v>
      </c>
      <c r="AI25" s="11"/>
      <c r="AJ25" s="11">
        <f t="shared" si="14"/>
        <v>0</v>
      </c>
      <c r="AK25" s="11">
        <f t="shared" si="86"/>
        <v>0</v>
      </c>
      <c r="AL25" s="11">
        <f t="shared" si="15"/>
        <v>0</v>
      </c>
      <c r="AM25" s="11">
        <f t="shared" si="56"/>
        <v>0</v>
      </c>
      <c r="AN25" s="11">
        <f t="shared" si="16"/>
        <v>0</v>
      </c>
      <c r="AO25" s="11">
        <f t="shared" si="87"/>
        <v>0</v>
      </c>
      <c r="AP25" s="11">
        <f t="shared" si="17"/>
        <v>0</v>
      </c>
      <c r="AQ25" s="101">
        <v>34515</v>
      </c>
      <c r="AR25" s="11">
        <f t="shared" si="18"/>
        <v>47.531501755835571</v>
      </c>
      <c r="AS25" s="11">
        <f t="shared" si="57"/>
        <v>565512.99829495209</v>
      </c>
      <c r="AT25" s="11">
        <f t="shared" si="19"/>
        <v>59.528458114246661</v>
      </c>
      <c r="AU25" s="101"/>
      <c r="AV25" s="11" t="e">
        <f t="shared" si="20"/>
        <v>#DIV/0!</v>
      </c>
      <c r="AW25" s="11">
        <f t="shared" si="58"/>
        <v>57876.185051282861</v>
      </c>
      <c r="AX25" s="11" t="e">
        <f t="shared" si="21"/>
        <v>#DIV/0!</v>
      </c>
      <c r="AY25" s="101"/>
      <c r="AZ25" s="11">
        <f t="shared" si="22"/>
        <v>0</v>
      </c>
      <c r="BA25" s="11">
        <f t="shared" si="59"/>
        <v>0</v>
      </c>
      <c r="BB25" s="11">
        <f t="shared" si="23"/>
        <v>0</v>
      </c>
      <c r="BC25" s="101"/>
      <c r="BD25" s="11">
        <f t="shared" si="60"/>
        <v>0</v>
      </c>
      <c r="BE25" s="11">
        <f t="shared" si="61"/>
        <v>0</v>
      </c>
      <c r="BF25" s="11">
        <f t="shared" si="62"/>
        <v>0</v>
      </c>
      <c r="BG25" s="101"/>
      <c r="BH25" s="11">
        <f t="shared" si="63"/>
        <v>0</v>
      </c>
      <c r="BI25" s="11">
        <f t="shared" si="64"/>
        <v>113086.31248820714</v>
      </c>
      <c r="BJ25" s="11">
        <f t="shared" si="65"/>
        <v>11.903977161525376</v>
      </c>
      <c r="BK25" s="101"/>
      <c r="BL25" s="11">
        <f t="shared" si="66"/>
        <v>0</v>
      </c>
      <c r="BM25" s="11">
        <f t="shared" si="67"/>
        <v>0</v>
      </c>
      <c r="BN25" s="11">
        <f t="shared" si="68"/>
        <v>0</v>
      </c>
      <c r="BO25" s="101"/>
      <c r="BP25" s="11">
        <f t="shared" si="24"/>
        <v>0</v>
      </c>
      <c r="BQ25" s="11">
        <f t="shared" si="69"/>
        <v>0</v>
      </c>
      <c r="BR25" s="11">
        <f t="shared" si="25"/>
        <v>0</v>
      </c>
      <c r="BS25" s="101">
        <v>110</v>
      </c>
      <c r="BT25" s="11">
        <f t="shared" si="26"/>
        <v>0.15148385319837498</v>
      </c>
      <c r="BU25" s="11">
        <f t="shared" si="70"/>
        <v>110</v>
      </c>
      <c r="BV25" s="11">
        <f t="shared" si="27"/>
        <v>1.1579097938173039E-2</v>
      </c>
      <c r="BW25" s="101">
        <v>3890</v>
      </c>
      <c r="BX25" s="11">
        <f t="shared" si="28"/>
        <v>5.3570198994698064</v>
      </c>
      <c r="BY25" s="11">
        <f t="shared" si="71"/>
        <v>9050</v>
      </c>
      <c r="BZ25" s="11">
        <f t="shared" si="29"/>
        <v>0.9526439667315092</v>
      </c>
      <c r="CA25" s="101"/>
      <c r="CB25" s="11">
        <f t="shared" si="30"/>
        <v>0</v>
      </c>
      <c r="CC25" s="11">
        <f t="shared" si="72"/>
        <v>94870.721704971147</v>
      </c>
      <c r="CD25" s="11">
        <f t="shared" si="31"/>
        <v>9.9865216189729047</v>
      </c>
      <c r="CE25" s="101">
        <v>34100</v>
      </c>
      <c r="CF25" s="11">
        <f t="shared" si="32"/>
        <v>46.959994491496246</v>
      </c>
      <c r="CG25" s="11">
        <f t="shared" si="73"/>
        <v>80765</v>
      </c>
      <c r="CH25" s="11">
        <f t="shared" si="33"/>
        <v>8.5016894997867762</v>
      </c>
      <c r="CI25" s="101"/>
      <c r="CJ25" s="11">
        <f t="shared" si="34"/>
        <v>0</v>
      </c>
      <c r="CK25" s="11">
        <f t="shared" si="74"/>
        <v>437.89324461160135</v>
      </c>
      <c r="CL25" s="11">
        <f t="shared" si="35"/>
        <v>4.6094625143837227E-2</v>
      </c>
      <c r="CM25" s="101"/>
      <c r="CN25" s="11">
        <f t="shared" si="36"/>
        <v>0</v>
      </c>
      <c r="CO25" s="11">
        <f t="shared" si="75"/>
        <v>8596.0309177959734</v>
      </c>
      <c r="CP25" s="11">
        <f t="shared" si="37"/>
        <v>0.90485712615202774</v>
      </c>
      <c r="CQ25" s="101"/>
      <c r="CR25" s="11">
        <f t="shared" si="38"/>
        <v>0</v>
      </c>
      <c r="CS25" s="11">
        <f t="shared" si="76"/>
        <v>682.50489507723341</v>
      </c>
      <c r="CT25" s="11">
        <f t="shared" si="39"/>
        <v>7.1843554758016362E-2</v>
      </c>
      <c r="CU25" s="101">
        <f t="shared" si="40"/>
        <v>72615</v>
      </c>
      <c r="CV25" s="11">
        <f t="shared" si="41"/>
        <v>100</v>
      </c>
      <c r="CW25" s="11">
        <f t="shared" si="77"/>
        <v>930987.64659689809</v>
      </c>
      <c r="CX25" s="11">
        <f t="shared" si="42"/>
        <v>97.999973992497374</v>
      </c>
      <c r="CY25" s="101"/>
      <c r="CZ25" s="17">
        <f t="shared" si="43"/>
        <v>0</v>
      </c>
      <c r="DA25" s="11">
        <f t="shared" si="78"/>
        <v>0</v>
      </c>
      <c r="DB25" s="11">
        <f t="shared" si="44"/>
        <v>0</v>
      </c>
      <c r="DC25" s="11">
        <v>0</v>
      </c>
      <c r="DD25" s="11">
        <f t="shared" si="45"/>
        <v>0</v>
      </c>
      <c r="DE25" s="11">
        <f t="shared" si="79"/>
        <v>0</v>
      </c>
      <c r="DF25" s="11">
        <f t="shared" si="46"/>
        <v>0</v>
      </c>
      <c r="DG25" s="11">
        <f t="shared" si="80"/>
        <v>72615</v>
      </c>
      <c r="DH25" s="11">
        <f t="shared" si="81"/>
        <v>949987.64659689809</v>
      </c>
      <c r="DI25" s="11">
        <f t="shared" si="47"/>
        <v>2.9609770021203716</v>
      </c>
      <c r="DJ25" s="11">
        <f t="shared" si="48"/>
        <v>1.1810096727154602</v>
      </c>
      <c r="DK25" s="498">
        <f t="shared" si="82"/>
        <v>0.33772636507608622</v>
      </c>
      <c r="DL25" s="499">
        <f t="shared" si="83"/>
        <v>0.86401361279102507</v>
      </c>
      <c r="DM25" s="7" t="str">
        <f>+Efficiency1!D84</f>
        <v>RC BR</v>
      </c>
    </row>
    <row r="26" spans="1:117">
      <c r="A26" s="18">
        <f>+Chem!A25</f>
        <v>45947</v>
      </c>
      <c r="B26" s="6" t="str">
        <f>+Chem!B25</f>
        <v>Napkin</v>
      </c>
      <c r="C26" s="6" t="str">
        <f>+Chem!C25</f>
        <v>16/15,5</v>
      </c>
      <c r="D26" s="9">
        <f>+Chem!D25</f>
        <v>40.408000000000001</v>
      </c>
      <c r="E26" s="7">
        <f>+Chem!E25</f>
        <v>42.984999999999999</v>
      </c>
      <c r="F26" s="7">
        <f t="shared" si="84"/>
        <v>847.37099999999998</v>
      </c>
      <c r="G26" s="101">
        <f>20*G7</f>
        <v>5000</v>
      </c>
      <c r="H26" s="11">
        <f t="shared" si="0"/>
        <v>9.7962382445141056</v>
      </c>
      <c r="I26" s="9">
        <f t="shared" si="49"/>
        <v>24000</v>
      </c>
      <c r="J26" s="11">
        <f t="shared" si="1"/>
        <v>2.3975361801035766</v>
      </c>
      <c r="K26" s="101"/>
      <c r="L26" s="11">
        <f t="shared" si="2"/>
        <v>0</v>
      </c>
      <c r="M26" s="11">
        <f t="shared" si="50"/>
        <v>0</v>
      </c>
      <c r="N26" s="11">
        <f t="shared" si="3"/>
        <v>0</v>
      </c>
      <c r="O26" s="101">
        <v>0</v>
      </c>
      <c r="P26" s="11">
        <f t="shared" si="4"/>
        <v>0</v>
      </c>
      <c r="Q26" s="11">
        <f t="shared" si="51"/>
        <v>0</v>
      </c>
      <c r="R26" s="11">
        <f t="shared" si="5"/>
        <v>0</v>
      </c>
      <c r="S26" s="101"/>
      <c r="T26" s="11">
        <f t="shared" si="6"/>
        <v>0</v>
      </c>
      <c r="U26" s="11">
        <f t="shared" si="52"/>
        <v>0</v>
      </c>
      <c r="V26" s="11">
        <f t="shared" si="7"/>
        <v>0</v>
      </c>
      <c r="W26" s="101"/>
      <c r="X26" s="11">
        <f t="shared" si="8"/>
        <v>0</v>
      </c>
      <c r="Y26" s="11">
        <f t="shared" si="53"/>
        <v>0</v>
      </c>
      <c r="Z26" s="11">
        <f t="shared" si="9"/>
        <v>0</v>
      </c>
      <c r="AA26" s="11">
        <f t="shared" si="54"/>
        <v>5000</v>
      </c>
      <c r="AB26" s="11">
        <f t="shared" si="10"/>
        <v>9.7962382445141056</v>
      </c>
      <c r="AC26" s="11">
        <f t="shared" si="55"/>
        <v>24000</v>
      </c>
      <c r="AD26" s="11">
        <f t="shared" si="11"/>
        <v>2.3975361801035766</v>
      </c>
      <c r="AE26" s="11"/>
      <c r="AF26" s="11">
        <f t="shared" si="12"/>
        <v>0</v>
      </c>
      <c r="AG26" s="11">
        <f t="shared" si="85"/>
        <v>0</v>
      </c>
      <c r="AH26" s="11">
        <f t="shared" si="13"/>
        <v>0</v>
      </c>
      <c r="AI26" s="11"/>
      <c r="AJ26" s="11">
        <f t="shared" si="14"/>
        <v>0</v>
      </c>
      <c r="AK26" s="11">
        <f t="shared" si="86"/>
        <v>0</v>
      </c>
      <c r="AL26" s="11">
        <f t="shared" si="15"/>
        <v>0</v>
      </c>
      <c r="AM26" s="11">
        <f t="shared" si="56"/>
        <v>0</v>
      </c>
      <c r="AN26" s="11">
        <f t="shared" si="16"/>
        <v>0</v>
      </c>
      <c r="AO26" s="11">
        <f t="shared" si="87"/>
        <v>0</v>
      </c>
      <c r="AP26" s="11">
        <f t="shared" si="17"/>
        <v>0</v>
      </c>
      <c r="AQ26" s="101">
        <v>21530</v>
      </c>
      <c r="AR26" s="11">
        <f t="shared" si="18"/>
        <v>42.182601880877741</v>
      </c>
      <c r="AS26" s="11">
        <f t="shared" si="57"/>
        <v>587042.99829495209</v>
      </c>
      <c r="AT26" s="11">
        <f t="shared" si="19"/>
        <v>58.644034487026239</v>
      </c>
      <c r="AU26" s="101"/>
      <c r="AV26" s="11" t="e">
        <f t="shared" si="20"/>
        <v>#DIV/0!</v>
      </c>
      <c r="AW26" s="11">
        <f t="shared" si="58"/>
        <v>57876.185051282861</v>
      </c>
      <c r="AX26" s="11" t="e">
        <f t="shared" si="21"/>
        <v>#DIV/0!</v>
      </c>
      <c r="AY26" s="101"/>
      <c r="AZ26" s="11">
        <f t="shared" si="22"/>
        <v>0</v>
      </c>
      <c r="BA26" s="11">
        <f t="shared" si="59"/>
        <v>0</v>
      </c>
      <c r="BB26" s="11">
        <f t="shared" si="23"/>
        <v>0</v>
      </c>
      <c r="BC26" s="101"/>
      <c r="BD26" s="11">
        <f t="shared" si="60"/>
        <v>0</v>
      </c>
      <c r="BE26" s="11">
        <f t="shared" si="61"/>
        <v>0</v>
      </c>
      <c r="BF26" s="11">
        <f t="shared" si="62"/>
        <v>0</v>
      </c>
      <c r="BG26" s="101"/>
      <c r="BH26" s="11">
        <f t="shared" si="63"/>
        <v>0</v>
      </c>
      <c r="BI26" s="11">
        <f t="shared" si="64"/>
        <v>113086.31248820714</v>
      </c>
      <c r="BJ26" s="11">
        <f t="shared" si="65"/>
        <v>11.297021902707312</v>
      </c>
      <c r="BK26" s="101"/>
      <c r="BL26" s="11">
        <f t="shared" si="66"/>
        <v>0</v>
      </c>
      <c r="BM26" s="11">
        <f t="shared" si="67"/>
        <v>0</v>
      </c>
      <c r="BN26" s="11">
        <f t="shared" si="68"/>
        <v>0</v>
      </c>
      <c r="BO26" s="101"/>
      <c r="BP26" s="11">
        <f t="shared" si="24"/>
        <v>0</v>
      </c>
      <c r="BQ26" s="11">
        <f t="shared" si="69"/>
        <v>0</v>
      </c>
      <c r="BR26" s="11">
        <f t="shared" si="25"/>
        <v>0</v>
      </c>
      <c r="BS26" s="101"/>
      <c r="BT26" s="11">
        <f t="shared" si="26"/>
        <v>0</v>
      </c>
      <c r="BU26" s="11">
        <f t="shared" si="70"/>
        <v>110</v>
      </c>
      <c r="BV26" s="11">
        <f t="shared" si="27"/>
        <v>1.0988707492141392E-2</v>
      </c>
      <c r="BW26" s="101">
        <v>2360</v>
      </c>
      <c r="BX26" s="11">
        <f t="shared" si="28"/>
        <v>4.6238244514106581</v>
      </c>
      <c r="BY26" s="11">
        <f t="shared" si="71"/>
        <v>11410</v>
      </c>
      <c r="BZ26" s="11">
        <f t="shared" si="29"/>
        <v>1.1398286589575752</v>
      </c>
      <c r="CA26" s="101"/>
      <c r="CB26" s="11">
        <f t="shared" si="30"/>
        <v>0</v>
      </c>
      <c r="CC26" s="11">
        <f t="shared" si="72"/>
        <v>94870.721704971147</v>
      </c>
      <c r="CD26" s="11">
        <f t="shared" si="31"/>
        <v>9.4773328216752493</v>
      </c>
      <c r="CE26" s="101">
        <v>22150</v>
      </c>
      <c r="CF26" s="11">
        <f t="shared" si="32"/>
        <v>43.397335423197489</v>
      </c>
      <c r="CG26" s="11">
        <f t="shared" si="73"/>
        <v>102915</v>
      </c>
      <c r="CH26" s="11">
        <f t="shared" si="33"/>
        <v>10.280934832306649</v>
      </c>
      <c r="CI26" s="101"/>
      <c r="CJ26" s="11">
        <f t="shared" si="34"/>
        <v>0</v>
      </c>
      <c r="CK26" s="11">
        <f t="shared" si="74"/>
        <v>437.89324461160135</v>
      </c>
      <c r="CL26" s="11">
        <f t="shared" si="35"/>
        <v>4.374437070746915E-2</v>
      </c>
      <c r="CM26" s="101"/>
      <c r="CN26" s="11">
        <f t="shared" si="36"/>
        <v>0</v>
      </c>
      <c r="CO26" s="11">
        <f t="shared" si="75"/>
        <v>8596.0309177959734</v>
      </c>
      <c r="CP26" s="11">
        <f t="shared" si="37"/>
        <v>0.85872063044603342</v>
      </c>
      <c r="CQ26" s="101"/>
      <c r="CR26" s="11">
        <f t="shared" si="38"/>
        <v>0</v>
      </c>
      <c r="CS26" s="11">
        <f t="shared" si="76"/>
        <v>682.50489507723341</v>
      </c>
      <c r="CT26" s="11">
        <f t="shared" si="39"/>
        <v>6.8180424126894276E-2</v>
      </c>
      <c r="CU26" s="101">
        <f t="shared" si="40"/>
        <v>46040</v>
      </c>
      <c r="CV26" s="11">
        <f t="shared" si="41"/>
        <v>90.203761755485885</v>
      </c>
      <c r="CW26" s="11">
        <f t="shared" si="77"/>
        <v>977027.64659689809</v>
      </c>
      <c r="CX26" s="11">
        <f t="shared" si="42"/>
        <v>97.602463819896428</v>
      </c>
      <c r="CY26" s="101"/>
      <c r="CZ26" s="17">
        <f t="shared" si="43"/>
        <v>0</v>
      </c>
      <c r="DA26" s="11">
        <f t="shared" si="78"/>
        <v>0</v>
      </c>
      <c r="DB26" s="11">
        <f t="shared" si="44"/>
        <v>0</v>
      </c>
      <c r="DC26" s="11">
        <v>0</v>
      </c>
      <c r="DD26" s="11">
        <f t="shared" si="45"/>
        <v>0</v>
      </c>
      <c r="DE26" s="11">
        <f t="shared" si="79"/>
        <v>0</v>
      </c>
      <c r="DF26" s="11">
        <f t="shared" si="46"/>
        <v>0</v>
      </c>
      <c r="DG26" s="11">
        <f t="shared" si="80"/>
        <v>51040</v>
      </c>
      <c r="DH26" s="11">
        <f t="shared" si="81"/>
        <v>1001027.6465968981</v>
      </c>
      <c r="DI26" s="11">
        <f t="shared" si="47"/>
        <v>1.187390950331511</v>
      </c>
      <c r="DJ26" s="11">
        <f t="shared" si="48"/>
        <v>1.181333378882329</v>
      </c>
      <c r="DK26" s="498">
        <f t="shared" si="82"/>
        <v>0.9336446568201564</v>
      </c>
      <c r="DL26" s="499">
        <f t="shared" si="83"/>
        <v>0.86729480271258708</v>
      </c>
      <c r="DM26" s="7" t="str">
        <f>+Efficiency1!D89</f>
        <v>RC BR</v>
      </c>
    </row>
    <row r="27" spans="1:117">
      <c r="A27" s="18">
        <f>+Chem!A26</f>
        <v>45948</v>
      </c>
      <c r="B27" s="6" t="str">
        <f>+Chem!B26</f>
        <v>Napkin</v>
      </c>
      <c r="C27" s="6" t="str">
        <f>+Chem!C26</f>
        <v>15,5</v>
      </c>
      <c r="D27" s="9">
        <f>+Chem!D26</f>
        <v>25.956000000000003</v>
      </c>
      <c r="E27" s="7">
        <f>+Chem!E26</f>
        <v>24.611999999999998</v>
      </c>
      <c r="F27" s="7">
        <f t="shared" si="84"/>
        <v>871.98299999999995</v>
      </c>
      <c r="G27" s="101">
        <f>28*G7</f>
        <v>7000</v>
      </c>
      <c r="H27" s="11">
        <f t="shared" si="0"/>
        <v>12.066885019824168</v>
      </c>
      <c r="I27" s="9">
        <f t="shared" si="49"/>
        <v>31000</v>
      </c>
      <c r="J27" s="11">
        <f t="shared" si="1"/>
        <v>2.9271858370299788</v>
      </c>
      <c r="K27" s="101"/>
      <c r="L27" s="11">
        <f t="shared" si="2"/>
        <v>0</v>
      </c>
      <c r="M27" s="11">
        <f t="shared" si="50"/>
        <v>0</v>
      </c>
      <c r="N27" s="11">
        <f t="shared" si="3"/>
        <v>0</v>
      </c>
      <c r="O27" s="101">
        <v>0</v>
      </c>
      <c r="P27" s="11">
        <f t="shared" si="4"/>
        <v>0</v>
      </c>
      <c r="Q27" s="11">
        <f t="shared" si="51"/>
        <v>0</v>
      </c>
      <c r="R27" s="11">
        <f t="shared" si="5"/>
        <v>0</v>
      </c>
      <c r="S27" s="101"/>
      <c r="T27" s="11">
        <f t="shared" si="6"/>
        <v>0</v>
      </c>
      <c r="U27" s="11">
        <f t="shared" si="52"/>
        <v>0</v>
      </c>
      <c r="V27" s="11">
        <f t="shared" si="7"/>
        <v>0</v>
      </c>
      <c r="W27" s="101"/>
      <c r="X27" s="11">
        <f t="shared" si="8"/>
        <v>0</v>
      </c>
      <c r="Y27" s="11">
        <f t="shared" si="53"/>
        <v>0</v>
      </c>
      <c r="Z27" s="11">
        <f t="shared" si="9"/>
        <v>0</v>
      </c>
      <c r="AA27" s="11">
        <f t="shared" si="54"/>
        <v>7000</v>
      </c>
      <c r="AB27" s="11">
        <f t="shared" si="10"/>
        <v>12.066885019824168</v>
      </c>
      <c r="AC27" s="11">
        <f t="shared" si="55"/>
        <v>31000</v>
      </c>
      <c r="AD27" s="11">
        <f t="shared" si="11"/>
        <v>2.9271858370299788</v>
      </c>
      <c r="AE27" s="11"/>
      <c r="AF27" s="11">
        <f t="shared" si="12"/>
        <v>0</v>
      </c>
      <c r="AG27" s="11">
        <f t="shared" si="85"/>
        <v>0</v>
      </c>
      <c r="AH27" s="11">
        <f t="shared" si="13"/>
        <v>0</v>
      </c>
      <c r="AI27" s="11"/>
      <c r="AJ27" s="11">
        <f t="shared" si="14"/>
        <v>0</v>
      </c>
      <c r="AK27" s="11">
        <f t="shared" si="86"/>
        <v>0</v>
      </c>
      <c r="AL27" s="11">
        <f t="shared" si="15"/>
        <v>0</v>
      </c>
      <c r="AM27" s="11">
        <f t="shared" si="56"/>
        <v>0</v>
      </c>
      <c r="AN27" s="11">
        <f t="shared" si="16"/>
        <v>0</v>
      </c>
      <c r="AO27" s="11">
        <f t="shared" si="87"/>
        <v>0</v>
      </c>
      <c r="AP27" s="11">
        <f t="shared" si="17"/>
        <v>0</v>
      </c>
      <c r="AQ27" s="101">
        <v>23900</v>
      </c>
      <c r="AR27" s="11">
        <f t="shared" si="18"/>
        <v>41.199793139113943</v>
      </c>
      <c r="AS27" s="11">
        <f t="shared" si="57"/>
        <v>610942.99829495209</v>
      </c>
      <c r="AT27" s="11">
        <f t="shared" si="19"/>
        <v>57.68850618843917</v>
      </c>
      <c r="AU27" s="101"/>
      <c r="AV27" s="11" t="e">
        <f t="shared" si="20"/>
        <v>#DIV/0!</v>
      </c>
      <c r="AW27" s="11">
        <f t="shared" si="58"/>
        <v>57876.185051282861</v>
      </c>
      <c r="AX27" s="11" t="e">
        <f t="shared" si="21"/>
        <v>#DIV/0!</v>
      </c>
      <c r="AY27" s="101"/>
      <c r="AZ27" s="11">
        <f t="shared" si="22"/>
        <v>0</v>
      </c>
      <c r="BA27" s="11">
        <f t="shared" si="59"/>
        <v>0</v>
      </c>
      <c r="BB27" s="11">
        <f t="shared" si="23"/>
        <v>0</v>
      </c>
      <c r="BC27" s="101"/>
      <c r="BD27" s="11">
        <f t="shared" si="60"/>
        <v>0</v>
      </c>
      <c r="BE27" s="11">
        <f t="shared" si="61"/>
        <v>0</v>
      </c>
      <c r="BF27" s="11">
        <f t="shared" si="62"/>
        <v>0</v>
      </c>
      <c r="BG27" s="101"/>
      <c r="BH27" s="11">
        <f t="shared" si="63"/>
        <v>0</v>
      </c>
      <c r="BI27" s="11">
        <f t="shared" si="64"/>
        <v>113086.31248820714</v>
      </c>
      <c r="BJ27" s="11">
        <f t="shared" si="65"/>
        <v>10.678214589594399</v>
      </c>
      <c r="BK27" s="101"/>
      <c r="BL27" s="11">
        <f t="shared" si="66"/>
        <v>0</v>
      </c>
      <c r="BM27" s="11">
        <f t="shared" si="67"/>
        <v>0</v>
      </c>
      <c r="BN27" s="11">
        <f t="shared" si="68"/>
        <v>0</v>
      </c>
      <c r="BO27" s="101"/>
      <c r="BP27" s="11">
        <f t="shared" si="24"/>
        <v>0</v>
      </c>
      <c r="BQ27" s="11">
        <f t="shared" si="69"/>
        <v>0</v>
      </c>
      <c r="BR27" s="11">
        <f t="shared" si="25"/>
        <v>0</v>
      </c>
      <c r="BS27" s="101"/>
      <c r="BT27" s="11">
        <f t="shared" si="26"/>
        <v>0</v>
      </c>
      <c r="BU27" s="11">
        <f t="shared" si="70"/>
        <v>110</v>
      </c>
      <c r="BV27" s="11">
        <f t="shared" si="27"/>
        <v>1.0386788453977345E-2</v>
      </c>
      <c r="BW27" s="101">
        <v>2670</v>
      </c>
      <c r="BX27" s="11">
        <f t="shared" si="28"/>
        <v>4.6026547147043617</v>
      </c>
      <c r="BY27" s="11">
        <f t="shared" si="71"/>
        <v>14080</v>
      </c>
      <c r="BZ27" s="11">
        <f t="shared" si="29"/>
        <v>1.3295089221091001</v>
      </c>
      <c r="CA27" s="101"/>
      <c r="CB27" s="11">
        <f t="shared" si="30"/>
        <v>0</v>
      </c>
      <c r="CC27" s="11">
        <f t="shared" si="72"/>
        <v>94870.721704971147</v>
      </c>
      <c r="CD27" s="11">
        <f t="shared" si="31"/>
        <v>8.9582010620517458</v>
      </c>
      <c r="CE27" s="101">
        <v>24440</v>
      </c>
      <c r="CF27" s="11">
        <f t="shared" si="32"/>
        <v>42.130667126357523</v>
      </c>
      <c r="CG27" s="11">
        <f t="shared" si="73"/>
        <v>127355</v>
      </c>
      <c r="CH27" s="11">
        <f t="shared" si="33"/>
        <v>12.025540395966223</v>
      </c>
      <c r="CI27" s="101"/>
      <c r="CJ27" s="11">
        <f t="shared" si="34"/>
        <v>0</v>
      </c>
      <c r="CK27" s="11">
        <f t="shared" si="74"/>
        <v>437.89324461160135</v>
      </c>
      <c r="CL27" s="11">
        <f t="shared" si="35"/>
        <v>4.1348222701876887E-2</v>
      </c>
      <c r="CM27" s="101"/>
      <c r="CN27" s="11">
        <f t="shared" si="36"/>
        <v>0</v>
      </c>
      <c r="CO27" s="11">
        <f t="shared" si="75"/>
        <v>8596.0309177959734</v>
      </c>
      <c r="CP27" s="11">
        <f t="shared" si="37"/>
        <v>0.81168322442723173</v>
      </c>
      <c r="CQ27" s="101"/>
      <c r="CR27" s="11">
        <f t="shared" si="38"/>
        <v>0</v>
      </c>
      <c r="CS27" s="11">
        <f t="shared" si="76"/>
        <v>682.50489507723341</v>
      </c>
      <c r="CT27" s="11">
        <f t="shared" si="39"/>
        <v>6.444576330882934E-2</v>
      </c>
      <c r="CU27" s="101">
        <f t="shared" si="40"/>
        <v>51010</v>
      </c>
      <c r="CV27" s="11">
        <f t="shared" si="41"/>
        <v>87.93311498017583</v>
      </c>
      <c r="CW27" s="11">
        <f t="shared" si="77"/>
        <v>1028037.6465968981</v>
      </c>
      <c r="CX27" s="11">
        <f t="shared" si="42"/>
        <v>97.072814162970019</v>
      </c>
      <c r="CY27" s="101"/>
      <c r="CZ27" s="17">
        <f t="shared" si="43"/>
        <v>0</v>
      </c>
      <c r="DA27" s="11">
        <f t="shared" si="78"/>
        <v>0</v>
      </c>
      <c r="DB27" s="11">
        <f t="shared" si="44"/>
        <v>0</v>
      </c>
      <c r="DC27" s="11">
        <v>0</v>
      </c>
      <c r="DD27" s="11">
        <f t="shared" si="45"/>
        <v>0</v>
      </c>
      <c r="DE27" s="11">
        <f t="shared" si="79"/>
        <v>0</v>
      </c>
      <c r="DF27" s="11">
        <f t="shared" si="46"/>
        <v>0</v>
      </c>
      <c r="DG27" s="11">
        <f t="shared" si="80"/>
        <v>58010</v>
      </c>
      <c r="DH27" s="11">
        <f t="shared" si="81"/>
        <v>1059037.6465968981</v>
      </c>
      <c r="DI27" s="11">
        <f t="shared" si="47"/>
        <v>2.3569803347960345</v>
      </c>
      <c r="DJ27" s="11">
        <f t="shared" si="48"/>
        <v>1.2145163914857264</v>
      </c>
      <c r="DK27" s="498">
        <f t="shared" si="82"/>
        <v>0.48249362870025486</v>
      </c>
      <c r="DL27" s="499">
        <f t="shared" si="83"/>
        <v>0.84820142811551302</v>
      </c>
      <c r="DM27" s="7" t="str">
        <f>+Efficiency1!D95</f>
        <v>RC BR</v>
      </c>
    </row>
    <row r="28" spans="1:117">
      <c r="A28" s="18">
        <f>+Chem!A27</f>
        <v>45949</v>
      </c>
      <c r="B28" s="6" t="str">
        <f>+Chem!B27</f>
        <v>Napkin</v>
      </c>
      <c r="C28" s="6" t="str">
        <f>+Chem!C27</f>
        <v>15,5</v>
      </c>
      <c r="D28" s="9">
        <f>+Chem!D27</f>
        <v>50.688000000000002</v>
      </c>
      <c r="E28" s="7">
        <f>+Chem!E27</f>
        <v>49.045999999999999</v>
      </c>
      <c r="F28" s="7">
        <f t="shared" si="84"/>
        <v>921.029</v>
      </c>
      <c r="G28" s="101">
        <f>36*G7</f>
        <v>9000</v>
      </c>
      <c r="H28" s="11">
        <f t="shared" si="0"/>
        <v>15.945289938522048</v>
      </c>
      <c r="I28" s="9">
        <f t="shared" si="49"/>
        <v>40000</v>
      </c>
      <c r="J28" s="11">
        <f t="shared" si="1"/>
        <v>3.5858981616607846</v>
      </c>
      <c r="K28" s="101"/>
      <c r="L28" s="11">
        <f t="shared" si="2"/>
        <v>0</v>
      </c>
      <c r="M28" s="11">
        <f t="shared" si="50"/>
        <v>0</v>
      </c>
      <c r="N28" s="11">
        <f t="shared" si="3"/>
        <v>0</v>
      </c>
      <c r="O28" s="101">
        <v>0</v>
      </c>
      <c r="P28" s="11">
        <f t="shared" si="4"/>
        <v>0</v>
      </c>
      <c r="Q28" s="11">
        <f t="shared" si="51"/>
        <v>0</v>
      </c>
      <c r="R28" s="11">
        <f t="shared" si="5"/>
        <v>0</v>
      </c>
      <c r="S28" s="101"/>
      <c r="T28" s="11">
        <f t="shared" si="6"/>
        <v>0</v>
      </c>
      <c r="U28" s="11">
        <f t="shared" si="52"/>
        <v>0</v>
      </c>
      <c r="V28" s="11">
        <f t="shared" si="7"/>
        <v>0</v>
      </c>
      <c r="W28" s="101"/>
      <c r="X28" s="11">
        <f t="shared" si="8"/>
        <v>0</v>
      </c>
      <c r="Y28" s="11">
        <f t="shared" si="53"/>
        <v>0</v>
      </c>
      <c r="Z28" s="11">
        <f t="shared" si="9"/>
        <v>0</v>
      </c>
      <c r="AA28" s="11">
        <f t="shared" si="54"/>
        <v>9000</v>
      </c>
      <c r="AB28" s="11">
        <f t="shared" si="10"/>
        <v>15.945289938522048</v>
      </c>
      <c r="AC28" s="11">
        <f t="shared" si="55"/>
        <v>40000</v>
      </c>
      <c r="AD28" s="11">
        <f t="shared" si="11"/>
        <v>3.5858981616607846</v>
      </c>
      <c r="AE28" s="11"/>
      <c r="AF28" s="11">
        <f t="shared" si="12"/>
        <v>0</v>
      </c>
      <c r="AG28" s="11">
        <f t="shared" si="85"/>
        <v>0</v>
      </c>
      <c r="AH28" s="11">
        <f t="shared" si="13"/>
        <v>0</v>
      </c>
      <c r="AI28" s="11"/>
      <c r="AJ28" s="11">
        <f t="shared" si="14"/>
        <v>0</v>
      </c>
      <c r="AK28" s="11">
        <f t="shared" si="86"/>
        <v>0</v>
      </c>
      <c r="AL28" s="11">
        <f t="shared" si="15"/>
        <v>0</v>
      </c>
      <c r="AM28" s="11">
        <f t="shared" si="56"/>
        <v>0</v>
      </c>
      <c r="AN28" s="11">
        <f t="shared" si="16"/>
        <v>0</v>
      </c>
      <c r="AO28" s="11">
        <f t="shared" si="87"/>
        <v>0</v>
      </c>
      <c r="AP28" s="11">
        <f t="shared" si="17"/>
        <v>0</v>
      </c>
      <c r="AQ28" s="101">
        <v>21823</v>
      </c>
      <c r="AR28" s="11">
        <f t="shared" si="18"/>
        <v>38.663784703151855</v>
      </c>
      <c r="AS28" s="11">
        <f t="shared" si="57"/>
        <v>632765.99829495209</v>
      </c>
      <c r="AT28" s="11">
        <f t="shared" si="19"/>
        <v>56.725860751182999</v>
      </c>
      <c r="AU28" s="101"/>
      <c r="AV28" s="11" t="e">
        <f t="shared" si="20"/>
        <v>#DIV/0!</v>
      </c>
      <c r="AW28" s="11">
        <f t="shared" si="58"/>
        <v>57876.185051282861</v>
      </c>
      <c r="AX28" s="11" t="e">
        <f t="shared" si="21"/>
        <v>#DIV/0!</v>
      </c>
      <c r="AY28" s="101"/>
      <c r="AZ28" s="11">
        <f t="shared" si="22"/>
        <v>0</v>
      </c>
      <c r="BA28" s="11">
        <f t="shared" si="59"/>
        <v>0</v>
      </c>
      <c r="BB28" s="11">
        <f t="shared" si="23"/>
        <v>0</v>
      </c>
      <c r="BC28" s="101"/>
      <c r="BD28" s="11">
        <f t="shared" si="60"/>
        <v>0</v>
      </c>
      <c r="BE28" s="11">
        <f t="shared" si="61"/>
        <v>0</v>
      </c>
      <c r="BF28" s="11">
        <f t="shared" si="62"/>
        <v>0</v>
      </c>
      <c r="BG28" s="101"/>
      <c r="BH28" s="11">
        <f t="shared" si="63"/>
        <v>0</v>
      </c>
      <c r="BI28" s="11">
        <f t="shared" si="64"/>
        <v>113086.31248820714</v>
      </c>
      <c r="BJ28" s="11">
        <f t="shared" si="65"/>
        <v>10.137900001511476</v>
      </c>
      <c r="BK28" s="101"/>
      <c r="BL28" s="11">
        <f t="shared" si="66"/>
        <v>0</v>
      </c>
      <c r="BM28" s="11">
        <f t="shared" si="67"/>
        <v>0</v>
      </c>
      <c r="BN28" s="11">
        <f t="shared" si="68"/>
        <v>0</v>
      </c>
      <c r="BO28" s="101"/>
      <c r="BP28" s="11">
        <f t="shared" si="24"/>
        <v>0</v>
      </c>
      <c r="BQ28" s="11">
        <f t="shared" si="69"/>
        <v>0</v>
      </c>
      <c r="BR28" s="11">
        <f t="shared" si="25"/>
        <v>0</v>
      </c>
      <c r="BS28" s="101"/>
      <c r="BT28" s="11">
        <f t="shared" si="26"/>
        <v>0</v>
      </c>
      <c r="BU28" s="11">
        <f t="shared" si="70"/>
        <v>110</v>
      </c>
      <c r="BV28" s="11">
        <f t="shared" si="27"/>
        <v>9.8612199445671581E-3</v>
      </c>
      <c r="BW28" s="101">
        <v>2585</v>
      </c>
      <c r="BX28" s="11">
        <f t="shared" si="28"/>
        <v>4.579841610119944</v>
      </c>
      <c r="BY28" s="11">
        <f t="shared" si="71"/>
        <v>16665</v>
      </c>
      <c r="BZ28" s="11">
        <f t="shared" si="29"/>
        <v>1.4939748216019244</v>
      </c>
      <c r="CA28" s="101"/>
      <c r="CB28" s="11">
        <f t="shared" si="30"/>
        <v>0</v>
      </c>
      <c r="CC28" s="11">
        <f t="shared" si="72"/>
        <v>94870.721704971147</v>
      </c>
      <c r="CD28" s="11">
        <f t="shared" si="31"/>
        <v>8.5049186639321981</v>
      </c>
      <c r="CE28" s="101">
        <v>23035</v>
      </c>
      <c r="CF28" s="11">
        <f t="shared" si="32"/>
        <v>40.811083748206158</v>
      </c>
      <c r="CG28" s="11">
        <f t="shared" si="73"/>
        <v>150390</v>
      </c>
      <c r="CH28" s="11">
        <f t="shared" si="33"/>
        <v>13.482080613304134</v>
      </c>
      <c r="CI28" s="101"/>
      <c r="CJ28" s="11">
        <f t="shared" si="34"/>
        <v>0</v>
      </c>
      <c r="CK28" s="11">
        <f t="shared" si="74"/>
        <v>437.89324461160135</v>
      </c>
      <c r="CL28" s="11">
        <f t="shared" si="35"/>
        <v>3.9256014521410441E-2</v>
      </c>
      <c r="CM28" s="101"/>
      <c r="CN28" s="11">
        <f t="shared" si="36"/>
        <v>0</v>
      </c>
      <c r="CO28" s="11">
        <f t="shared" si="75"/>
        <v>8596.0309177959734</v>
      </c>
      <c r="CP28" s="11">
        <f t="shared" si="37"/>
        <v>0.77061228664259618</v>
      </c>
      <c r="CQ28" s="101"/>
      <c r="CR28" s="11">
        <f t="shared" si="38"/>
        <v>0</v>
      </c>
      <c r="CS28" s="11">
        <f t="shared" si="76"/>
        <v>682.50489507723341</v>
      </c>
      <c r="CT28" s="11">
        <f t="shared" si="39"/>
        <v>6.1184826214548446E-2</v>
      </c>
      <c r="CU28" s="101">
        <f t="shared" si="40"/>
        <v>47443</v>
      </c>
      <c r="CV28" s="11">
        <f t="shared" si="41"/>
        <v>84.054710061477948</v>
      </c>
      <c r="CW28" s="11">
        <f t="shared" si="77"/>
        <v>1075480.6465968981</v>
      </c>
      <c r="CX28" s="11">
        <f t="shared" si="42"/>
        <v>96.414101838339221</v>
      </c>
      <c r="CY28" s="101"/>
      <c r="CZ28" s="17">
        <f t="shared" si="43"/>
        <v>0</v>
      </c>
      <c r="DA28" s="11">
        <f t="shared" si="78"/>
        <v>0</v>
      </c>
      <c r="DB28" s="11">
        <f t="shared" si="44"/>
        <v>0</v>
      </c>
      <c r="DC28" s="11">
        <v>0</v>
      </c>
      <c r="DD28" s="11">
        <f t="shared" si="45"/>
        <v>0</v>
      </c>
      <c r="DE28" s="11">
        <f t="shared" si="79"/>
        <v>0</v>
      </c>
      <c r="DF28" s="11">
        <f t="shared" si="46"/>
        <v>0</v>
      </c>
      <c r="DG28" s="11">
        <f t="shared" si="80"/>
        <v>56443</v>
      </c>
      <c r="DH28" s="11">
        <f t="shared" si="81"/>
        <v>1115480.6465968981</v>
      </c>
      <c r="DI28" s="11">
        <f t="shared" si="47"/>
        <v>1.1508175998042653</v>
      </c>
      <c r="DJ28" s="11">
        <f t="shared" si="48"/>
        <v>1.2111243474384608</v>
      </c>
      <c r="DK28" s="498">
        <f t="shared" si="82"/>
        <v>1.0337879139177539</v>
      </c>
      <c r="DL28" s="499">
        <f t="shared" si="83"/>
        <v>0.85638826036933025</v>
      </c>
      <c r="DM28" s="7" t="str">
        <f>+Efficiency1!D100</f>
        <v>RC BR</v>
      </c>
    </row>
    <row r="29" spans="1:117">
      <c r="A29" s="18">
        <f>+Chem!A28</f>
        <v>45950</v>
      </c>
      <c r="B29" s="6" t="str">
        <f>+Chem!B28</f>
        <v>Napkin</v>
      </c>
      <c r="C29" s="6" t="str">
        <f>+Chem!C28</f>
        <v>15,5</v>
      </c>
      <c r="D29" s="9">
        <f>+Chem!D28</f>
        <v>49.361999999999995</v>
      </c>
      <c r="E29" s="7">
        <f>+Chem!E28</f>
        <v>49.627000000000002</v>
      </c>
      <c r="F29" s="7">
        <f t="shared" si="84"/>
        <v>970.65599999999995</v>
      </c>
      <c r="G29" s="101">
        <f>40*G7</f>
        <v>10000</v>
      </c>
      <c r="H29" s="11">
        <f t="shared" si="0"/>
        <v>14.096419509444601</v>
      </c>
      <c r="I29" s="9">
        <f t="shared" si="49"/>
        <v>50000</v>
      </c>
      <c r="J29" s="11">
        <f t="shared" si="1"/>
        <v>4.214356867728057</v>
      </c>
      <c r="K29" s="101"/>
      <c r="L29" s="11">
        <f t="shared" si="2"/>
        <v>0</v>
      </c>
      <c r="M29" s="11">
        <f t="shared" si="50"/>
        <v>0</v>
      </c>
      <c r="N29" s="11">
        <f t="shared" si="3"/>
        <v>0</v>
      </c>
      <c r="O29" s="101">
        <v>0</v>
      </c>
      <c r="P29" s="11">
        <f t="shared" si="4"/>
        <v>0</v>
      </c>
      <c r="Q29" s="11">
        <f t="shared" si="51"/>
        <v>0</v>
      </c>
      <c r="R29" s="11">
        <f t="shared" si="5"/>
        <v>0</v>
      </c>
      <c r="S29" s="101"/>
      <c r="T29" s="11">
        <f t="shared" si="6"/>
        <v>0</v>
      </c>
      <c r="U29" s="11">
        <f t="shared" si="52"/>
        <v>0</v>
      </c>
      <c r="V29" s="11">
        <f t="shared" si="7"/>
        <v>0</v>
      </c>
      <c r="W29" s="101"/>
      <c r="X29" s="11">
        <f t="shared" si="8"/>
        <v>0</v>
      </c>
      <c r="Y29" s="11">
        <f t="shared" si="53"/>
        <v>0</v>
      </c>
      <c r="Z29" s="11">
        <f t="shared" si="9"/>
        <v>0</v>
      </c>
      <c r="AA29" s="11">
        <f t="shared" si="54"/>
        <v>10000</v>
      </c>
      <c r="AB29" s="11">
        <f t="shared" si="10"/>
        <v>14.096419509444601</v>
      </c>
      <c r="AC29" s="11">
        <f t="shared" si="55"/>
        <v>50000</v>
      </c>
      <c r="AD29" s="11">
        <f t="shared" si="11"/>
        <v>4.214356867728057</v>
      </c>
      <c r="AE29" s="11"/>
      <c r="AF29" s="11">
        <f t="shared" si="12"/>
        <v>0</v>
      </c>
      <c r="AG29" s="11">
        <f t="shared" si="85"/>
        <v>0</v>
      </c>
      <c r="AH29" s="11">
        <f t="shared" si="13"/>
        <v>0</v>
      </c>
      <c r="AI29" s="11"/>
      <c r="AJ29" s="11">
        <f t="shared" si="14"/>
        <v>0</v>
      </c>
      <c r="AK29" s="11">
        <f t="shared" si="86"/>
        <v>0</v>
      </c>
      <c r="AL29" s="11">
        <f t="shared" si="15"/>
        <v>0</v>
      </c>
      <c r="AM29" s="11">
        <f t="shared" si="56"/>
        <v>0</v>
      </c>
      <c r="AN29" s="11">
        <f t="shared" si="16"/>
        <v>0</v>
      </c>
      <c r="AO29" s="11">
        <f t="shared" si="87"/>
        <v>0</v>
      </c>
      <c r="AP29" s="11">
        <f t="shared" si="17"/>
        <v>0</v>
      </c>
      <c r="AQ29" s="101">
        <v>28665</v>
      </c>
      <c r="AR29" s="11">
        <f t="shared" si="18"/>
        <v>40.40738652382295</v>
      </c>
      <c r="AS29" s="11">
        <f t="shared" si="57"/>
        <v>661430.99829495209</v>
      </c>
      <c r="AT29" s="11">
        <f t="shared" si="19"/>
        <v>55.750125403851122</v>
      </c>
      <c r="AU29" s="101"/>
      <c r="AV29" s="11" t="e">
        <f t="shared" si="20"/>
        <v>#DIV/0!</v>
      </c>
      <c r="AW29" s="11">
        <f t="shared" si="58"/>
        <v>57876.185051282861</v>
      </c>
      <c r="AX29" s="11" t="e">
        <f t="shared" si="21"/>
        <v>#DIV/0!</v>
      </c>
      <c r="AY29" s="101"/>
      <c r="AZ29" s="11">
        <f t="shared" si="22"/>
        <v>0</v>
      </c>
      <c r="BA29" s="11">
        <f t="shared" si="59"/>
        <v>0</v>
      </c>
      <c r="BB29" s="11">
        <f t="shared" si="23"/>
        <v>0</v>
      </c>
      <c r="BC29" s="101"/>
      <c r="BD29" s="11">
        <f t="shared" si="60"/>
        <v>0</v>
      </c>
      <c r="BE29" s="11">
        <f t="shared" si="61"/>
        <v>0</v>
      </c>
      <c r="BF29" s="11">
        <f t="shared" si="62"/>
        <v>0</v>
      </c>
      <c r="BG29" s="101"/>
      <c r="BH29" s="11">
        <f t="shared" si="63"/>
        <v>0</v>
      </c>
      <c r="BI29" s="11">
        <f t="shared" si="64"/>
        <v>113086.31248820714</v>
      </c>
      <c r="BJ29" s="11">
        <f t="shared" si="65"/>
        <v>9.5317215536143394</v>
      </c>
      <c r="BK29" s="101"/>
      <c r="BL29" s="11">
        <f t="shared" si="66"/>
        <v>0</v>
      </c>
      <c r="BM29" s="11">
        <f t="shared" si="67"/>
        <v>0</v>
      </c>
      <c r="BN29" s="11">
        <f t="shared" si="68"/>
        <v>0</v>
      </c>
      <c r="BO29" s="101"/>
      <c r="BP29" s="11">
        <f t="shared" si="24"/>
        <v>0</v>
      </c>
      <c r="BQ29" s="11">
        <f t="shared" si="69"/>
        <v>0</v>
      </c>
      <c r="BR29" s="11">
        <f t="shared" si="25"/>
        <v>0</v>
      </c>
      <c r="BS29" s="101"/>
      <c r="BT29" s="11">
        <f t="shared" si="26"/>
        <v>0</v>
      </c>
      <c r="BU29" s="11">
        <f t="shared" si="70"/>
        <v>110</v>
      </c>
      <c r="BV29" s="11">
        <f t="shared" si="27"/>
        <v>9.2715851090017266E-3</v>
      </c>
      <c r="BW29" s="101">
        <v>3425</v>
      </c>
      <c r="BX29" s="11">
        <f t="shared" si="28"/>
        <v>4.8280236819847753</v>
      </c>
      <c r="BY29" s="11">
        <f t="shared" si="71"/>
        <v>20090</v>
      </c>
      <c r="BZ29" s="11">
        <f t="shared" si="29"/>
        <v>1.6933285894531334</v>
      </c>
      <c r="CA29" s="101"/>
      <c r="CB29" s="11">
        <f t="shared" si="30"/>
        <v>0</v>
      </c>
      <c r="CC29" s="11">
        <f t="shared" si="72"/>
        <v>94870.721704971147</v>
      </c>
      <c r="CD29" s="11">
        <f t="shared" si="31"/>
        <v>7.9963815512732488</v>
      </c>
      <c r="CE29" s="101">
        <v>28850</v>
      </c>
      <c r="CF29" s="11">
        <f t="shared" si="32"/>
        <v>40.668170284747674</v>
      </c>
      <c r="CG29" s="11">
        <f t="shared" si="73"/>
        <v>179240</v>
      </c>
      <c r="CH29" s="11">
        <f t="shared" si="33"/>
        <v>15.107626499431539</v>
      </c>
      <c r="CI29" s="101"/>
      <c r="CJ29" s="11">
        <f t="shared" si="34"/>
        <v>0</v>
      </c>
      <c r="CK29" s="11">
        <f t="shared" si="74"/>
        <v>437.89324461160135</v>
      </c>
      <c r="CL29" s="11">
        <f t="shared" si="35"/>
        <v>3.6908768055212482E-2</v>
      </c>
      <c r="CM29" s="101"/>
      <c r="CN29" s="11">
        <f t="shared" si="36"/>
        <v>0</v>
      </c>
      <c r="CO29" s="11">
        <f t="shared" si="75"/>
        <v>8596.0309177959734</v>
      </c>
      <c r="CP29" s="11">
        <f t="shared" si="37"/>
        <v>0.7245348386723236</v>
      </c>
      <c r="CQ29" s="101"/>
      <c r="CR29" s="11">
        <f t="shared" si="38"/>
        <v>0</v>
      </c>
      <c r="CS29" s="11">
        <f t="shared" si="76"/>
        <v>682.50489507723341</v>
      </c>
      <c r="CT29" s="11">
        <f t="shared" si="39"/>
        <v>5.7526383836535119E-2</v>
      </c>
      <c r="CU29" s="101">
        <f t="shared" si="40"/>
        <v>60940</v>
      </c>
      <c r="CV29" s="11">
        <f t="shared" si="41"/>
        <v>85.903580490555399</v>
      </c>
      <c r="CW29" s="11">
        <f t="shared" si="77"/>
        <v>1136420.6465968981</v>
      </c>
      <c r="CX29" s="11">
        <f t="shared" si="42"/>
        <v>95.785643132271943</v>
      </c>
      <c r="CY29" s="101"/>
      <c r="CZ29" s="17">
        <f t="shared" si="43"/>
        <v>0</v>
      </c>
      <c r="DA29" s="11">
        <f t="shared" si="78"/>
        <v>0</v>
      </c>
      <c r="DB29" s="11">
        <f t="shared" si="44"/>
        <v>0</v>
      </c>
      <c r="DC29" s="11">
        <v>0</v>
      </c>
      <c r="DD29" s="11">
        <f t="shared" si="45"/>
        <v>0</v>
      </c>
      <c r="DE29" s="11">
        <f t="shared" si="79"/>
        <v>0</v>
      </c>
      <c r="DF29" s="11">
        <f t="shared" si="46"/>
        <v>0</v>
      </c>
      <c r="DG29" s="11">
        <f t="shared" si="80"/>
        <v>70940</v>
      </c>
      <c r="DH29" s="11">
        <f t="shared" si="81"/>
        <v>1186420.6465968981</v>
      </c>
      <c r="DI29" s="11">
        <f t="shared" si="47"/>
        <v>1.429463799947609</v>
      </c>
      <c r="DJ29" s="11">
        <f t="shared" si="48"/>
        <v>1.2222874495154803</v>
      </c>
      <c r="DK29" s="498">
        <f t="shared" si="82"/>
        <v>0.81435838529701343</v>
      </c>
      <c r="DL29" s="499">
        <f t="shared" si="83"/>
        <v>0.85413442892533364</v>
      </c>
      <c r="DM29" s="500" t="str">
        <f>+Efficiency1!D104</f>
        <v>RC BR</v>
      </c>
    </row>
    <row r="30" spans="1:117">
      <c r="A30" s="18">
        <f>+Chem!A29</f>
        <v>45951</v>
      </c>
      <c r="B30" s="6" t="str">
        <f>+Chem!B29</f>
        <v>Napkin</v>
      </c>
      <c r="C30" s="6" t="str">
        <f>+Chem!C29</f>
        <v>15,5/17/16</v>
      </c>
      <c r="D30" s="9">
        <f>+Chem!D29</f>
        <v>52.605000000000004</v>
      </c>
      <c r="E30" s="7">
        <f>+Chem!E29</f>
        <v>49.780999999999999</v>
      </c>
      <c r="F30" s="7">
        <f t="shared" si="84"/>
        <v>1020.4369999999999</v>
      </c>
      <c r="G30" s="101">
        <f>28*G7</f>
        <v>7000</v>
      </c>
      <c r="H30" s="11">
        <f t="shared" si="0"/>
        <v>11.482939632545932</v>
      </c>
      <c r="I30" s="9">
        <f t="shared" si="49"/>
        <v>57000</v>
      </c>
      <c r="J30" s="11">
        <f t="shared" si="1"/>
        <v>4.5695754664389989</v>
      </c>
      <c r="K30" s="101"/>
      <c r="L30" s="11">
        <f t="shared" si="2"/>
        <v>0</v>
      </c>
      <c r="M30" s="11">
        <f t="shared" si="50"/>
        <v>0</v>
      </c>
      <c r="N30" s="11">
        <f t="shared" si="3"/>
        <v>0</v>
      </c>
      <c r="O30" s="101">
        <v>0</v>
      </c>
      <c r="P30" s="11">
        <f t="shared" si="4"/>
        <v>0</v>
      </c>
      <c r="Q30" s="11">
        <f t="shared" si="51"/>
        <v>0</v>
      </c>
      <c r="R30" s="11">
        <f t="shared" si="5"/>
        <v>0</v>
      </c>
      <c r="S30" s="101"/>
      <c r="T30" s="11">
        <f t="shared" si="6"/>
        <v>0</v>
      </c>
      <c r="U30" s="11">
        <f t="shared" si="52"/>
        <v>0</v>
      </c>
      <c r="V30" s="11">
        <f t="shared" si="7"/>
        <v>0</v>
      </c>
      <c r="W30" s="101"/>
      <c r="X30" s="11">
        <f t="shared" si="8"/>
        <v>0</v>
      </c>
      <c r="Y30" s="11">
        <f t="shared" si="53"/>
        <v>0</v>
      </c>
      <c r="Z30" s="11">
        <f t="shared" si="9"/>
        <v>0</v>
      </c>
      <c r="AA30" s="11">
        <f t="shared" si="54"/>
        <v>7000</v>
      </c>
      <c r="AB30" s="11">
        <f t="shared" si="10"/>
        <v>11.482939632545932</v>
      </c>
      <c r="AC30" s="11">
        <f t="shared" si="55"/>
        <v>57000</v>
      </c>
      <c r="AD30" s="11">
        <f t="shared" si="11"/>
        <v>4.5695754664389989</v>
      </c>
      <c r="AE30" s="11"/>
      <c r="AF30" s="11">
        <f t="shared" si="12"/>
        <v>0</v>
      </c>
      <c r="AG30" s="11">
        <f t="shared" si="85"/>
        <v>0</v>
      </c>
      <c r="AH30" s="11">
        <f t="shared" si="13"/>
        <v>0</v>
      </c>
      <c r="AI30" s="11"/>
      <c r="AJ30" s="11">
        <f t="shared" si="14"/>
        <v>0</v>
      </c>
      <c r="AK30" s="11">
        <f t="shared" si="86"/>
        <v>0</v>
      </c>
      <c r="AL30" s="11">
        <f t="shared" si="15"/>
        <v>0</v>
      </c>
      <c r="AM30" s="11">
        <f t="shared" si="56"/>
        <v>0</v>
      </c>
      <c r="AN30" s="11">
        <f t="shared" si="16"/>
        <v>0</v>
      </c>
      <c r="AO30" s="11">
        <f t="shared" si="87"/>
        <v>0</v>
      </c>
      <c r="AP30" s="11">
        <f t="shared" si="17"/>
        <v>0</v>
      </c>
      <c r="AQ30" s="101">
        <v>25400</v>
      </c>
      <c r="AR30" s="11">
        <f t="shared" si="18"/>
        <v>41.666666666666671</v>
      </c>
      <c r="AS30" s="11">
        <f t="shared" si="57"/>
        <v>686830.99829495209</v>
      </c>
      <c r="AT30" s="11">
        <f t="shared" si="19"/>
        <v>55.061861042077517</v>
      </c>
      <c r="AU30" s="101"/>
      <c r="AV30" s="11" t="e">
        <f t="shared" si="20"/>
        <v>#DIV/0!</v>
      </c>
      <c r="AW30" s="11">
        <f t="shared" si="58"/>
        <v>57876.185051282861</v>
      </c>
      <c r="AX30" s="11" t="e">
        <f t="shared" si="21"/>
        <v>#DIV/0!</v>
      </c>
      <c r="AY30" s="101"/>
      <c r="AZ30" s="11">
        <f t="shared" si="22"/>
        <v>0</v>
      </c>
      <c r="BA30" s="11">
        <f t="shared" si="59"/>
        <v>0</v>
      </c>
      <c r="BB30" s="11">
        <f t="shared" si="23"/>
        <v>0</v>
      </c>
      <c r="BC30" s="101"/>
      <c r="BD30" s="11">
        <f t="shared" si="60"/>
        <v>0</v>
      </c>
      <c r="BE30" s="11">
        <f t="shared" si="61"/>
        <v>0</v>
      </c>
      <c r="BF30" s="11">
        <f t="shared" si="62"/>
        <v>0</v>
      </c>
      <c r="BG30" s="101"/>
      <c r="BH30" s="11">
        <f t="shared" si="63"/>
        <v>0</v>
      </c>
      <c r="BI30" s="11">
        <f t="shared" si="64"/>
        <v>113086.31248820714</v>
      </c>
      <c r="BJ30" s="11">
        <f t="shared" si="65"/>
        <v>9.0659024409853579</v>
      </c>
      <c r="BK30" s="101"/>
      <c r="BL30" s="11">
        <f t="shared" si="66"/>
        <v>0</v>
      </c>
      <c r="BM30" s="11">
        <f t="shared" si="67"/>
        <v>0</v>
      </c>
      <c r="BN30" s="11">
        <f t="shared" si="68"/>
        <v>0</v>
      </c>
      <c r="BO30" s="101"/>
      <c r="BP30" s="11">
        <f t="shared" si="24"/>
        <v>0</v>
      </c>
      <c r="BQ30" s="11">
        <f t="shared" si="69"/>
        <v>0</v>
      </c>
      <c r="BR30" s="11">
        <f t="shared" si="25"/>
        <v>0</v>
      </c>
      <c r="BS30" s="101"/>
      <c r="BT30" s="11">
        <f t="shared" si="26"/>
        <v>0</v>
      </c>
      <c r="BU30" s="11">
        <f t="shared" si="70"/>
        <v>110</v>
      </c>
      <c r="BV30" s="11">
        <f t="shared" si="27"/>
        <v>8.8184789703208751E-3</v>
      </c>
      <c r="BW30" s="101">
        <v>2925</v>
      </c>
      <c r="BX30" s="11">
        <f t="shared" si="28"/>
        <v>4.7982283464566926</v>
      </c>
      <c r="BY30" s="11">
        <f t="shared" si="71"/>
        <v>23015</v>
      </c>
      <c r="BZ30" s="11">
        <f t="shared" si="29"/>
        <v>1.8450663045630447</v>
      </c>
      <c r="CA30" s="101"/>
      <c r="CB30" s="11">
        <f t="shared" si="30"/>
        <v>0</v>
      </c>
      <c r="CC30" s="11">
        <f t="shared" si="72"/>
        <v>94870.721704971147</v>
      </c>
      <c r="CD30" s="11">
        <f t="shared" si="31"/>
        <v>7.6055951295859288</v>
      </c>
      <c r="CE30" s="101">
        <v>25635</v>
      </c>
      <c r="CF30" s="11">
        <f t="shared" si="32"/>
        <v>42.052165354330704</v>
      </c>
      <c r="CG30" s="11">
        <f t="shared" si="73"/>
        <v>204875</v>
      </c>
      <c r="CH30" s="11">
        <f t="shared" si="33"/>
        <v>16.424417082222629</v>
      </c>
      <c r="CI30" s="101"/>
      <c r="CJ30" s="11">
        <f t="shared" si="34"/>
        <v>0</v>
      </c>
      <c r="CK30" s="11">
        <f t="shared" si="74"/>
        <v>437.89324461160135</v>
      </c>
      <c r="CL30" s="11">
        <f t="shared" si="35"/>
        <v>3.5105021535027099E-2</v>
      </c>
      <c r="CM30" s="101"/>
      <c r="CN30" s="11">
        <f t="shared" si="36"/>
        <v>0</v>
      </c>
      <c r="CO30" s="11">
        <f t="shared" si="75"/>
        <v>8596.0309177959734</v>
      </c>
      <c r="CP30" s="11">
        <f t="shared" si="37"/>
        <v>0.68912652615283476</v>
      </c>
      <c r="CQ30" s="101"/>
      <c r="CR30" s="11">
        <f t="shared" si="38"/>
        <v>0</v>
      </c>
      <c r="CS30" s="11">
        <f t="shared" si="76"/>
        <v>682.50489507723341</v>
      </c>
      <c r="CT30" s="11">
        <f t="shared" si="39"/>
        <v>5.4715046039814891E-2</v>
      </c>
      <c r="CU30" s="101">
        <f t="shared" si="40"/>
        <v>53960</v>
      </c>
      <c r="CV30" s="11">
        <f t="shared" si="41"/>
        <v>88.517060367454064</v>
      </c>
      <c r="CW30" s="11">
        <f t="shared" si="77"/>
        <v>1190380.6465968981</v>
      </c>
      <c r="CX30" s="11">
        <f t="shared" si="42"/>
        <v>95.430424533560995</v>
      </c>
      <c r="CY30" s="101"/>
      <c r="CZ30" s="17">
        <f t="shared" si="43"/>
        <v>0</v>
      </c>
      <c r="DA30" s="11">
        <f t="shared" si="78"/>
        <v>0</v>
      </c>
      <c r="DB30" s="11">
        <f t="shared" si="44"/>
        <v>0</v>
      </c>
      <c r="DC30" s="11">
        <v>0</v>
      </c>
      <c r="DD30" s="11">
        <f t="shared" si="45"/>
        <v>0</v>
      </c>
      <c r="DE30" s="11">
        <f t="shared" si="79"/>
        <v>0</v>
      </c>
      <c r="DF30" s="11">
        <f t="shared" si="46"/>
        <v>0</v>
      </c>
      <c r="DG30" s="11">
        <f t="shared" si="80"/>
        <v>60960</v>
      </c>
      <c r="DH30" s="11">
        <f t="shared" si="81"/>
        <v>1247380.6465968981</v>
      </c>
      <c r="DI30" s="11">
        <f t="shared" si="47"/>
        <v>1.2245635885177075</v>
      </c>
      <c r="DJ30" s="11">
        <f t="shared" si="48"/>
        <v>1.2223984886836701</v>
      </c>
      <c r="DK30" s="498">
        <f t="shared" si="82"/>
        <v>0.92255374351371389</v>
      </c>
      <c r="DL30" s="499">
        <f t="shared" si="83"/>
        <v>0.85723587905873722</v>
      </c>
      <c r="DM30" s="7" t="str">
        <f>+Efficiency1!D108</f>
        <v>RC BR</v>
      </c>
    </row>
    <row r="31" spans="1:117">
      <c r="A31" s="18">
        <f>+Chem!A30</f>
        <v>45952</v>
      </c>
      <c r="B31" s="6" t="str">
        <f>+Chem!B30</f>
        <v>Napkin/Towel</v>
      </c>
      <c r="C31" s="6" t="str">
        <f>+Chem!C30</f>
        <v>16/19/30,5</v>
      </c>
      <c r="D31" s="9">
        <f>+Chem!D30</f>
        <v>59.950999999999993</v>
      </c>
      <c r="E31" s="7">
        <f>+Chem!E30</f>
        <v>51.372999999999998</v>
      </c>
      <c r="F31" s="7">
        <f t="shared" si="84"/>
        <v>1071.81</v>
      </c>
      <c r="G31" s="101">
        <f>44*G7</f>
        <v>11000</v>
      </c>
      <c r="H31" s="11">
        <f t="shared" si="0"/>
        <v>14.398848092152628</v>
      </c>
      <c r="I31" s="9">
        <f t="shared" si="49"/>
        <v>68000</v>
      </c>
      <c r="J31" s="11">
        <f t="shared" si="1"/>
        <v>5.136822102356339</v>
      </c>
      <c r="K31" s="101"/>
      <c r="L31" s="11">
        <f t="shared" si="2"/>
        <v>0</v>
      </c>
      <c r="M31" s="11">
        <f t="shared" si="50"/>
        <v>0</v>
      </c>
      <c r="N31" s="11">
        <f t="shared" si="3"/>
        <v>0</v>
      </c>
      <c r="O31" s="101">
        <v>0</v>
      </c>
      <c r="P31" s="11">
        <f t="shared" si="4"/>
        <v>0</v>
      </c>
      <c r="Q31" s="11">
        <f t="shared" si="51"/>
        <v>0</v>
      </c>
      <c r="R31" s="11">
        <f t="shared" si="5"/>
        <v>0</v>
      </c>
      <c r="S31" s="101"/>
      <c r="T31" s="11">
        <f t="shared" si="6"/>
        <v>0</v>
      </c>
      <c r="U31" s="11">
        <f t="shared" si="52"/>
        <v>0</v>
      </c>
      <c r="V31" s="11">
        <f t="shared" si="7"/>
        <v>0</v>
      </c>
      <c r="W31" s="101"/>
      <c r="X31" s="11">
        <f t="shared" si="8"/>
        <v>0</v>
      </c>
      <c r="Y31" s="11">
        <f t="shared" si="53"/>
        <v>0</v>
      </c>
      <c r="Z31" s="11">
        <f t="shared" si="9"/>
        <v>0</v>
      </c>
      <c r="AA31" s="11">
        <f t="shared" si="54"/>
        <v>11000</v>
      </c>
      <c r="AB31" s="11">
        <f t="shared" si="10"/>
        <v>14.398848092152628</v>
      </c>
      <c r="AC31" s="11">
        <f t="shared" si="55"/>
        <v>68000</v>
      </c>
      <c r="AD31" s="11">
        <f t="shared" si="11"/>
        <v>5.136822102356339</v>
      </c>
      <c r="AE31" s="11"/>
      <c r="AF31" s="11">
        <f t="shared" si="12"/>
        <v>0</v>
      </c>
      <c r="AG31" s="11">
        <f t="shared" si="85"/>
        <v>0</v>
      </c>
      <c r="AH31" s="11">
        <f t="shared" si="13"/>
        <v>0</v>
      </c>
      <c r="AI31" s="11"/>
      <c r="AJ31" s="11">
        <f t="shared" si="14"/>
        <v>0</v>
      </c>
      <c r="AK31" s="11">
        <f t="shared" si="86"/>
        <v>0</v>
      </c>
      <c r="AL31" s="11">
        <f t="shared" si="15"/>
        <v>0</v>
      </c>
      <c r="AM31" s="11">
        <f t="shared" si="56"/>
        <v>0</v>
      </c>
      <c r="AN31" s="11">
        <f t="shared" si="16"/>
        <v>0</v>
      </c>
      <c r="AO31" s="11">
        <f t="shared" si="87"/>
        <v>0</v>
      </c>
      <c r="AP31" s="11">
        <f t="shared" si="17"/>
        <v>0</v>
      </c>
      <c r="AQ31" s="101">
        <v>31560</v>
      </c>
      <c r="AR31" s="11">
        <f t="shared" si="18"/>
        <v>41.311604162576081</v>
      </c>
      <c r="AS31" s="11">
        <f t="shared" si="57"/>
        <v>718390.99829495209</v>
      </c>
      <c r="AT31" s="11">
        <f t="shared" si="19"/>
        <v>54.26833467904919</v>
      </c>
      <c r="AU31" s="101"/>
      <c r="AV31" s="11" t="e">
        <f t="shared" si="20"/>
        <v>#DIV/0!</v>
      </c>
      <c r="AW31" s="11">
        <f t="shared" si="58"/>
        <v>57876.185051282861</v>
      </c>
      <c r="AX31" s="11" t="e">
        <f t="shared" si="21"/>
        <v>#DIV/0!</v>
      </c>
      <c r="AY31" s="101"/>
      <c r="AZ31" s="11">
        <f t="shared" si="22"/>
        <v>0</v>
      </c>
      <c r="BA31" s="11">
        <f t="shared" si="59"/>
        <v>0</v>
      </c>
      <c r="BB31" s="11">
        <f t="shared" si="23"/>
        <v>0</v>
      </c>
      <c r="BC31" s="101"/>
      <c r="BD31" s="11">
        <f t="shared" si="60"/>
        <v>0</v>
      </c>
      <c r="BE31" s="11">
        <f t="shared" si="61"/>
        <v>0</v>
      </c>
      <c r="BF31" s="11">
        <f t="shared" si="62"/>
        <v>0</v>
      </c>
      <c r="BG31" s="101"/>
      <c r="BH31" s="11">
        <f t="shared" si="63"/>
        <v>0</v>
      </c>
      <c r="BI31" s="11">
        <f t="shared" si="64"/>
        <v>113086.31248820714</v>
      </c>
      <c r="BJ31" s="11">
        <f t="shared" si="65"/>
        <v>8.5427098450499734</v>
      </c>
      <c r="BK31" s="101"/>
      <c r="BL31" s="11">
        <f t="shared" si="66"/>
        <v>0</v>
      </c>
      <c r="BM31" s="11">
        <f t="shared" si="67"/>
        <v>0</v>
      </c>
      <c r="BN31" s="11">
        <f t="shared" si="68"/>
        <v>0</v>
      </c>
      <c r="BO31" s="101"/>
      <c r="BP31" s="11">
        <f t="shared" si="24"/>
        <v>0</v>
      </c>
      <c r="BQ31" s="11">
        <f t="shared" si="69"/>
        <v>0</v>
      </c>
      <c r="BR31" s="11">
        <f t="shared" si="25"/>
        <v>0</v>
      </c>
      <c r="BS31" s="101"/>
      <c r="BT31" s="11">
        <f t="shared" si="26"/>
        <v>0</v>
      </c>
      <c r="BU31" s="11">
        <f t="shared" si="70"/>
        <v>110</v>
      </c>
      <c r="BV31" s="11">
        <f t="shared" si="27"/>
        <v>8.3095651655764307E-3</v>
      </c>
      <c r="BW31" s="101">
        <v>6060</v>
      </c>
      <c r="BX31" s="11">
        <f t="shared" si="28"/>
        <v>7.9324563125859022</v>
      </c>
      <c r="BY31" s="11">
        <f t="shared" si="71"/>
        <v>29075</v>
      </c>
      <c r="BZ31" s="11">
        <f t="shared" si="29"/>
        <v>2.1963691562648613</v>
      </c>
      <c r="CA31" s="101"/>
      <c r="CB31" s="11">
        <f t="shared" si="30"/>
        <v>0</v>
      </c>
      <c r="CC31" s="11">
        <f t="shared" si="72"/>
        <v>94870.721704971147</v>
      </c>
      <c r="CD31" s="11">
        <f t="shared" si="31"/>
        <v>7.1666767664793092</v>
      </c>
      <c r="CE31" s="101">
        <v>27775</v>
      </c>
      <c r="CF31" s="11">
        <f t="shared" si="32"/>
        <v>36.357091432685387</v>
      </c>
      <c r="CG31" s="11">
        <f t="shared" si="73"/>
        <v>232650</v>
      </c>
      <c r="CH31" s="11">
        <f t="shared" si="33"/>
        <v>17.574730325194153</v>
      </c>
      <c r="CI31" s="101"/>
      <c r="CJ31" s="11">
        <f t="shared" si="34"/>
        <v>0</v>
      </c>
      <c r="CK31" s="11">
        <f t="shared" si="74"/>
        <v>437.89324461160135</v>
      </c>
      <c r="CL31" s="11">
        <f t="shared" si="35"/>
        <v>3.3079113196961829E-2</v>
      </c>
      <c r="CM31" s="101"/>
      <c r="CN31" s="11">
        <f t="shared" si="36"/>
        <v>0</v>
      </c>
      <c r="CO31" s="11">
        <f t="shared" si="75"/>
        <v>8596.0309177959734</v>
      </c>
      <c r="CP31" s="11">
        <f t="shared" si="37"/>
        <v>0.64935708251577651</v>
      </c>
      <c r="CQ31" s="101"/>
      <c r="CR31" s="11">
        <f t="shared" si="38"/>
        <v>0</v>
      </c>
      <c r="CS31" s="11">
        <f t="shared" si="76"/>
        <v>682.50489507723341</v>
      </c>
      <c r="CT31" s="11">
        <f t="shared" si="39"/>
        <v>5.1557444558810686E-2</v>
      </c>
      <c r="CU31" s="101">
        <f t="shared" si="40"/>
        <v>65395</v>
      </c>
      <c r="CV31" s="11">
        <f t="shared" si="41"/>
        <v>85.601151907847367</v>
      </c>
      <c r="CW31" s="11">
        <f t="shared" si="77"/>
        <v>1255775.6465968981</v>
      </c>
      <c r="CX31" s="11">
        <f t="shared" si="42"/>
        <v>94.863177897643652</v>
      </c>
      <c r="CY31" s="101">
        <v>0</v>
      </c>
      <c r="CZ31" s="17">
        <f t="shared" si="43"/>
        <v>0</v>
      </c>
      <c r="DA31" s="11">
        <f t="shared" si="78"/>
        <v>0</v>
      </c>
      <c r="DB31" s="11">
        <f t="shared" si="44"/>
        <v>0</v>
      </c>
      <c r="DC31" s="11">
        <v>0</v>
      </c>
      <c r="DD31" s="11">
        <f t="shared" si="45"/>
        <v>0</v>
      </c>
      <c r="DE31" s="11">
        <f t="shared" si="79"/>
        <v>0</v>
      </c>
      <c r="DF31" s="11">
        <f t="shared" si="46"/>
        <v>0</v>
      </c>
      <c r="DG31" s="11">
        <f t="shared" si="80"/>
        <v>76395</v>
      </c>
      <c r="DH31" s="11">
        <f t="shared" si="81"/>
        <v>1323775.6465968981</v>
      </c>
      <c r="DI31" s="11">
        <f t="shared" si="47"/>
        <v>1.4870651898857377</v>
      </c>
      <c r="DJ31" s="11">
        <f t="shared" si="48"/>
        <v>1.2350842468318994</v>
      </c>
      <c r="DK31" s="498">
        <f t="shared" si="82"/>
        <v>0.78557993730407527</v>
      </c>
      <c r="DL31" s="499">
        <f t="shared" si="83"/>
        <v>0.85350436831974119</v>
      </c>
      <c r="DM31" s="7" t="str">
        <f>+Efficiency1!D113</f>
        <v>RC BR</v>
      </c>
    </row>
    <row r="32" spans="1:117">
      <c r="A32" s="18">
        <f>+Chem!A31</f>
        <v>45953</v>
      </c>
      <c r="B32" s="6" t="str">
        <f>+Chem!B31</f>
        <v>Towel</v>
      </c>
      <c r="C32" s="6" t="str">
        <f>+Chem!C31</f>
        <v>30,5</v>
      </c>
      <c r="D32" s="9">
        <f>+Chem!D31</f>
        <v>68.073999999999998</v>
      </c>
      <c r="E32" s="7">
        <f>+Chem!E31</f>
        <v>70.382000000000005</v>
      </c>
      <c r="F32" s="7">
        <f t="shared" si="84"/>
        <v>1142.192</v>
      </c>
      <c r="G32" s="101">
        <f>72*G7</f>
        <v>18000</v>
      </c>
      <c r="H32" s="11">
        <f t="shared" si="0"/>
        <v>20.4348072884146</v>
      </c>
      <c r="I32" s="9">
        <f t="shared" si="49"/>
        <v>86000</v>
      </c>
      <c r="J32" s="11">
        <f t="shared" si="1"/>
        <v>6.0912527172771291</v>
      </c>
      <c r="K32" s="101"/>
      <c r="L32" s="11">
        <f t="shared" si="2"/>
        <v>0</v>
      </c>
      <c r="M32" s="11">
        <f t="shared" si="50"/>
        <v>0</v>
      </c>
      <c r="N32" s="11">
        <f t="shared" si="3"/>
        <v>0</v>
      </c>
      <c r="O32" s="101">
        <v>0</v>
      </c>
      <c r="P32" s="11">
        <f t="shared" si="4"/>
        <v>0</v>
      </c>
      <c r="Q32" s="11">
        <f t="shared" si="51"/>
        <v>0</v>
      </c>
      <c r="R32" s="11">
        <f t="shared" si="5"/>
        <v>0</v>
      </c>
      <c r="S32" s="101"/>
      <c r="T32" s="11">
        <f t="shared" si="6"/>
        <v>0</v>
      </c>
      <c r="U32" s="11">
        <f t="shared" si="52"/>
        <v>0</v>
      </c>
      <c r="V32" s="11">
        <f t="shared" si="7"/>
        <v>0</v>
      </c>
      <c r="W32" s="101"/>
      <c r="X32" s="11">
        <f t="shared" si="8"/>
        <v>0</v>
      </c>
      <c r="Y32" s="11">
        <f t="shared" si="53"/>
        <v>0</v>
      </c>
      <c r="Z32" s="11">
        <f t="shared" si="9"/>
        <v>0</v>
      </c>
      <c r="AA32" s="11">
        <f t="shared" si="54"/>
        <v>18000</v>
      </c>
      <c r="AB32" s="11">
        <f t="shared" si="10"/>
        <v>20.4348072884146</v>
      </c>
      <c r="AC32" s="11">
        <f t="shared" si="55"/>
        <v>86000</v>
      </c>
      <c r="AD32" s="11">
        <f t="shared" si="11"/>
        <v>6.0912527172771291</v>
      </c>
      <c r="AE32" s="11"/>
      <c r="AF32" s="11">
        <f t="shared" si="12"/>
        <v>0</v>
      </c>
      <c r="AG32" s="11">
        <f t="shared" si="85"/>
        <v>0</v>
      </c>
      <c r="AH32" s="11">
        <f t="shared" si="13"/>
        <v>0</v>
      </c>
      <c r="AI32" s="11"/>
      <c r="AJ32" s="11">
        <f t="shared" si="14"/>
        <v>0</v>
      </c>
      <c r="AK32" s="11">
        <f t="shared" si="86"/>
        <v>0</v>
      </c>
      <c r="AL32" s="11">
        <f t="shared" si="15"/>
        <v>0</v>
      </c>
      <c r="AM32" s="11">
        <f t="shared" si="56"/>
        <v>0</v>
      </c>
      <c r="AN32" s="11">
        <f t="shared" si="16"/>
        <v>0</v>
      </c>
      <c r="AO32" s="11">
        <f t="shared" si="87"/>
        <v>0</v>
      </c>
      <c r="AP32" s="11">
        <f t="shared" si="17"/>
        <v>0</v>
      </c>
      <c r="AQ32" s="101">
        <v>34180</v>
      </c>
      <c r="AR32" s="11">
        <f t="shared" si="18"/>
        <v>38.803428506556166</v>
      </c>
      <c r="AS32" s="11">
        <f t="shared" si="57"/>
        <v>752570.99829495209</v>
      </c>
      <c r="AT32" s="11">
        <f t="shared" si="19"/>
        <v>53.30348998032661</v>
      </c>
      <c r="AU32" s="101"/>
      <c r="AV32" s="11" t="e">
        <f t="shared" si="20"/>
        <v>#DIV/0!</v>
      </c>
      <c r="AW32" s="11">
        <f t="shared" si="58"/>
        <v>57876.185051282861</v>
      </c>
      <c r="AX32" s="11" t="e">
        <f t="shared" si="21"/>
        <v>#DIV/0!</v>
      </c>
      <c r="AY32" s="101"/>
      <c r="AZ32" s="11">
        <f t="shared" si="22"/>
        <v>0</v>
      </c>
      <c r="BA32" s="11">
        <f t="shared" si="59"/>
        <v>0</v>
      </c>
      <c r="BB32" s="11">
        <f t="shared" si="23"/>
        <v>0</v>
      </c>
      <c r="BC32" s="101"/>
      <c r="BD32" s="11">
        <f t="shared" si="60"/>
        <v>0</v>
      </c>
      <c r="BE32" s="11">
        <f t="shared" si="61"/>
        <v>0</v>
      </c>
      <c r="BF32" s="11">
        <f t="shared" si="62"/>
        <v>0</v>
      </c>
      <c r="BG32" s="101"/>
      <c r="BH32" s="11">
        <f t="shared" si="63"/>
        <v>0</v>
      </c>
      <c r="BI32" s="11">
        <f t="shared" si="64"/>
        <v>113086.31248820714</v>
      </c>
      <c r="BJ32" s="11">
        <f t="shared" si="65"/>
        <v>8.0097361422167701</v>
      </c>
      <c r="BK32" s="101"/>
      <c r="BL32" s="11">
        <f t="shared" si="66"/>
        <v>0</v>
      </c>
      <c r="BM32" s="11">
        <f t="shared" si="67"/>
        <v>0</v>
      </c>
      <c r="BN32" s="11">
        <f t="shared" si="68"/>
        <v>0</v>
      </c>
      <c r="BO32" s="101"/>
      <c r="BP32" s="11">
        <f t="shared" si="24"/>
        <v>0</v>
      </c>
      <c r="BQ32" s="11">
        <f t="shared" si="69"/>
        <v>0</v>
      </c>
      <c r="BR32" s="11">
        <f t="shared" si="25"/>
        <v>0</v>
      </c>
      <c r="BS32" s="101"/>
      <c r="BT32" s="11">
        <f t="shared" si="26"/>
        <v>0</v>
      </c>
      <c r="BU32" s="11">
        <f t="shared" si="70"/>
        <v>110</v>
      </c>
      <c r="BV32" s="11">
        <f t="shared" si="27"/>
        <v>7.7911371965172574E-3</v>
      </c>
      <c r="BW32" s="101">
        <v>10600</v>
      </c>
      <c r="BX32" s="11">
        <f t="shared" si="28"/>
        <v>12.033830958733043</v>
      </c>
      <c r="BY32" s="11">
        <f t="shared" si="71"/>
        <v>39675</v>
      </c>
      <c r="BZ32" s="11">
        <f t="shared" si="29"/>
        <v>2.8101215297438382</v>
      </c>
      <c r="CA32" s="101"/>
      <c r="CB32" s="11">
        <f t="shared" si="30"/>
        <v>0</v>
      </c>
      <c r="CC32" s="11">
        <f t="shared" si="72"/>
        <v>94870.721704971147</v>
      </c>
      <c r="CD32" s="11">
        <f t="shared" si="31"/>
        <v>6.7195528066912535</v>
      </c>
      <c r="CE32" s="101">
        <v>25305</v>
      </c>
      <c r="CF32" s="11">
        <f t="shared" si="32"/>
        <v>28.727933246296189</v>
      </c>
      <c r="CG32" s="11">
        <f t="shared" si="73"/>
        <v>257955</v>
      </c>
      <c r="CH32" s="11">
        <f t="shared" si="33"/>
        <v>18.270570868432813</v>
      </c>
      <c r="CI32" s="101"/>
      <c r="CJ32" s="11">
        <f t="shared" si="34"/>
        <v>0</v>
      </c>
      <c r="CK32" s="11">
        <f t="shared" si="74"/>
        <v>437.89324461160135</v>
      </c>
      <c r="CL32" s="11">
        <f t="shared" si="35"/>
        <v>3.1015330419973432E-2</v>
      </c>
      <c r="CM32" s="101"/>
      <c r="CN32" s="11">
        <f t="shared" si="36"/>
        <v>0</v>
      </c>
      <c r="CO32" s="11">
        <f t="shared" si="75"/>
        <v>8596.0309177959734</v>
      </c>
      <c r="CP32" s="11">
        <f t="shared" si="37"/>
        <v>0.60884414750956906</v>
      </c>
      <c r="CQ32" s="101"/>
      <c r="CR32" s="11">
        <f t="shared" si="38"/>
        <v>0</v>
      </c>
      <c r="CS32" s="11">
        <f t="shared" si="76"/>
        <v>682.50489507723341</v>
      </c>
      <c r="CT32" s="11">
        <f t="shared" si="39"/>
        <v>4.8340811589466744E-2</v>
      </c>
      <c r="CU32" s="101">
        <f t="shared" si="40"/>
        <v>70085</v>
      </c>
      <c r="CV32" s="11">
        <f t="shared" si="41"/>
        <v>79.565192711585397</v>
      </c>
      <c r="CW32" s="11">
        <f t="shared" si="77"/>
        <v>1325860.6465968981</v>
      </c>
      <c r="CX32" s="11">
        <f t="shared" si="42"/>
        <v>93.908747282722871</v>
      </c>
      <c r="CY32" s="101">
        <v>0</v>
      </c>
      <c r="CZ32" s="17">
        <f t="shared" si="43"/>
        <v>0</v>
      </c>
      <c r="DA32" s="11">
        <f t="shared" si="78"/>
        <v>0</v>
      </c>
      <c r="DB32" s="11">
        <f t="shared" si="44"/>
        <v>0</v>
      </c>
      <c r="DC32" s="11">
        <v>0</v>
      </c>
      <c r="DD32" s="11">
        <f t="shared" si="45"/>
        <v>0</v>
      </c>
      <c r="DE32" s="11">
        <f t="shared" si="79"/>
        <v>0</v>
      </c>
      <c r="DF32" s="11">
        <f t="shared" si="46"/>
        <v>0</v>
      </c>
      <c r="DG32" s="11">
        <f t="shared" si="80"/>
        <v>88085</v>
      </c>
      <c r="DH32" s="11">
        <f t="shared" si="81"/>
        <v>1411860.6465968981</v>
      </c>
      <c r="DI32" s="11">
        <f t="shared" si="47"/>
        <v>1.2515273791594439</v>
      </c>
      <c r="DJ32" s="11">
        <f t="shared" si="48"/>
        <v>1.2360974745024462</v>
      </c>
      <c r="DK32" s="498">
        <f t="shared" si="82"/>
        <v>1.004237711350503</v>
      </c>
      <c r="DL32" s="499">
        <f t="shared" si="83"/>
        <v>0.86147213353958241</v>
      </c>
      <c r="DM32" s="7" t="str">
        <f>+Efficiency1!D118</f>
        <v>RC BR</v>
      </c>
    </row>
    <row r="33" spans="1:117">
      <c r="A33" s="18">
        <f>+Chem!A32</f>
        <v>45954</v>
      </c>
      <c r="B33" s="6" t="str">
        <f>+Chem!B32</f>
        <v>Towel</v>
      </c>
      <c r="C33" s="6" t="str">
        <f>+Chem!C32</f>
        <v>30,5/34</v>
      </c>
      <c r="D33" s="9">
        <f>+Chem!D32</f>
        <v>70.288999999999987</v>
      </c>
      <c r="E33" s="7">
        <f>+Chem!E32</f>
        <v>69.483000000000004</v>
      </c>
      <c r="F33" s="7">
        <f t="shared" si="84"/>
        <v>1211.675</v>
      </c>
      <c r="G33" s="101">
        <v>0</v>
      </c>
      <c r="H33" s="11">
        <f t="shared" si="0"/>
        <v>0</v>
      </c>
      <c r="I33" s="9">
        <f t="shared" si="49"/>
        <v>86000</v>
      </c>
      <c r="J33" s="11">
        <f t="shared" si="1"/>
        <v>5.7834541092377352</v>
      </c>
      <c r="K33" s="101"/>
      <c r="L33" s="11">
        <f t="shared" si="2"/>
        <v>0</v>
      </c>
      <c r="M33" s="11">
        <f t="shared" si="50"/>
        <v>0</v>
      </c>
      <c r="N33" s="11">
        <f t="shared" si="3"/>
        <v>0</v>
      </c>
      <c r="O33" s="101">
        <v>0</v>
      </c>
      <c r="P33" s="11">
        <f t="shared" si="4"/>
        <v>0</v>
      </c>
      <c r="Q33" s="11">
        <f t="shared" si="51"/>
        <v>0</v>
      </c>
      <c r="R33" s="11">
        <f t="shared" si="5"/>
        <v>0</v>
      </c>
      <c r="S33" s="101"/>
      <c r="T33" s="11">
        <f t="shared" si="6"/>
        <v>0</v>
      </c>
      <c r="U33" s="11">
        <f t="shared" si="52"/>
        <v>0</v>
      </c>
      <c r="V33" s="11">
        <f t="shared" si="7"/>
        <v>0</v>
      </c>
      <c r="W33" s="101"/>
      <c r="X33" s="11">
        <f t="shared" si="8"/>
        <v>0</v>
      </c>
      <c r="Y33" s="11">
        <f t="shared" si="53"/>
        <v>0</v>
      </c>
      <c r="Z33" s="11">
        <f t="shared" si="9"/>
        <v>0</v>
      </c>
      <c r="AA33" s="11">
        <f t="shared" si="54"/>
        <v>0</v>
      </c>
      <c r="AB33" s="11">
        <f t="shared" si="10"/>
        <v>0</v>
      </c>
      <c r="AC33" s="11">
        <f t="shared" si="55"/>
        <v>86000</v>
      </c>
      <c r="AD33" s="11">
        <f t="shared" si="11"/>
        <v>5.7834541092377352</v>
      </c>
      <c r="AE33" s="11"/>
      <c r="AF33" s="11">
        <f t="shared" si="12"/>
        <v>0</v>
      </c>
      <c r="AG33" s="11">
        <f t="shared" si="85"/>
        <v>0</v>
      </c>
      <c r="AH33" s="11">
        <f t="shared" si="13"/>
        <v>0</v>
      </c>
      <c r="AI33" s="11"/>
      <c r="AJ33" s="11">
        <f t="shared" si="14"/>
        <v>0</v>
      </c>
      <c r="AK33" s="11">
        <f t="shared" si="86"/>
        <v>0</v>
      </c>
      <c r="AL33" s="11">
        <f t="shared" si="15"/>
        <v>0</v>
      </c>
      <c r="AM33" s="11">
        <f t="shared" si="56"/>
        <v>0</v>
      </c>
      <c r="AN33" s="11">
        <f t="shared" si="16"/>
        <v>0</v>
      </c>
      <c r="AO33" s="11">
        <f t="shared" si="87"/>
        <v>0</v>
      </c>
      <c r="AP33" s="11">
        <f t="shared" si="17"/>
        <v>0</v>
      </c>
      <c r="AQ33" s="101">
        <v>36180</v>
      </c>
      <c r="AR33" s="11">
        <f t="shared" si="18"/>
        <v>48.150119776417355</v>
      </c>
      <c r="AS33" s="11">
        <f t="shared" si="57"/>
        <v>788750.99829495209</v>
      </c>
      <c r="AT33" s="11">
        <f t="shared" si="19"/>
        <v>53.043083747143108</v>
      </c>
      <c r="AU33" s="101"/>
      <c r="AV33" s="11" t="e">
        <f t="shared" si="20"/>
        <v>#DIV/0!</v>
      </c>
      <c r="AW33" s="11">
        <f t="shared" si="58"/>
        <v>57876.185051282861</v>
      </c>
      <c r="AX33" s="11" t="e">
        <f t="shared" si="21"/>
        <v>#DIV/0!</v>
      </c>
      <c r="AY33" s="101"/>
      <c r="AZ33" s="11">
        <f t="shared" si="22"/>
        <v>0</v>
      </c>
      <c r="BA33" s="11">
        <f>AY33+BA32</f>
        <v>0</v>
      </c>
      <c r="BB33" s="11">
        <f t="shared" si="23"/>
        <v>0</v>
      </c>
      <c r="BC33" s="101"/>
      <c r="BD33" s="11">
        <f t="shared" si="60"/>
        <v>0</v>
      </c>
      <c r="BE33" s="11">
        <f t="shared" ref="BE33:BE40" si="88">BC33+BE32</f>
        <v>0</v>
      </c>
      <c r="BF33" s="11">
        <f t="shared" si="62"/>
        <v>0</v>
      </c>
      <c r="BG33" s="101"/>
      <c r="BH33" s="11">
        <f t="shared" si="63"/>
        <v>0</v>
      </c>
      <c r="BI33" s="11">
        <f t="shared" si="64"/>
        <v>113086.31248820714</v>
      </c>
      <c r="BJ33" s="11">
        <f t="shared" si="65"/>
        <v>7.6049941704472586</v>
      </c>
      <c r="BK33" s="101"/>
      <c r="BL33" s="11">
        <f t="shared" si="66"/>
        <v>0</v>
      </c>
      <c r="BM33" s="11">
        <f t="shared" si="67"/>
        <v>0</v>
      </c>
      <c r="BN33" s="11">
        <f t="shared" si="68"/>
        <v>0</v>
      </c>
      <c r="BO33" s="101"/>
      <c r="BP33" s="11">
        <f t="shared" si="24"/>
        <v>0</v>
      </c>
      <c r="BQ33" s="11">
        <f t="shared" si="69"/>
        <v>0</v>
      </c>
      <c r="BR33" s="11">
        <f t="shared" si="25"/>
        <v>0</v>
      </c>
      <c r="BS33" s="101"/>
      <c r="BT33" s="11">
        <f t="shared" si="26"/>
        <v>0</v>
      </c>
      <c r="BU33" s="11">
        <f t="shared" si="70"/>
        <v>110</v>
      </c>
      <c r="BV33" s="11">
        <f t="shared" si="27"/>
        <v>7.3974413025133818E-3</v>
      </c>
      <c r="BW33" s="101">
        <v>14140</v>
      </c>
      <c r="BX33" s="11">
        <f t="shared" si="28"/>
        <v>18.818206015437848</v>
      </c>
      <c r="BY33" s="11">
        <f t="shared" si="71"/>
        <v>53815</v>
      </c>
      <c r="BZ33" s="11">
        <f t="shared" si="29"/>
        <v>3.6190300335887065</v>
      </c>
      <c r="CA33" s="101"/>
      <c r="CB33" s="11">
        <f t="shared" si="30"/>
        <v>0</v>
      </c>
      <c r="CC33" s="11">
        <f t="shared" si="72"/>
        <v>94870.721704971147</v>
      </c>
      <c r="CD33" s="11">
        <f t="shared" si="31"/>
        <v>6.3800054103600585</v>
      </c>
      <c r="CE33" s="101">
        <v>24820</v>
      </c>
      <c r="CF33" s="11">
        <f t="shared" si="32"/>
        <v>33.031674208144793</v>
      </c>
      <c r="CG33" s="11">
        <f t="shared" si="73"/>
        <v>282775</v>
      </c>
      <c r="CH33" s="11">
        <f t="shared" si="33"/>
        <v>19.016467857438379</v>
      </c>
      <c r="CI33" s="101"/>
      <c r="CJ33" s="11">
        <f t="shared" si="34"/>
        <v>0</v>
      </c>
      <c r="CK33" s="11">
        <f t="shared" si="74"/>
        <v>437.89324461160135</v>
      </c>
      <c r="CL33" s="11">
        <f t="shared" si="35"/>
        <v>2.9448087034376871E-2</v>
      </c>
      <c r="CM33" s="101"/>
      <c r="CN33" s="11">
        <f t="shared" si="36"/>
        <v>0</v>
      </c>
      <c r="CO33" s="11">
        <f t="shared" si="75"/>
        <v>8596.0309177959734</v>
      </c>
      <c r="CP33" s="11">
        <f t="shared" si="37"/>
        <v>0.57807849226350871</v>
      </c>
      <c r="CQ33" s="101"/>
      <c r="CR33" s="11">
        <f t="shared" si="38"/>
        <v>0</v>
      </c>
      <c r="CS33" s="11">
        <f t="shared" si="76"/>
        <v>682.50489507723341</v>
      </c>
      <c r="CT33" s="11">
        <f t="shared" si="39"/>
        <v>4.5898090000108083E-2</v>
      </c>
      <c r="CU33" s="101">
        <f t="shared" si="40"/>
        <v>75140</v>
      </c>
      <c r="CV33" s="11">
        <f t="shared" si="41"/>
        <v>100</v>
      </c>
      <c r="CW33" s="11">
        <f t="shared" si="77"/>
        <v>1401000.6465968981</v>
      </c>
      <c r="CX33" s="11">
        <f t="shared" si="42"/>
        <v>94.216545890762262</v>
      </c>
      <c r="CY33" s="101">
        <v>0</v>
      </c>
      <c r="CZ33" s="17">
        <f t="shared" si="43"/>
        <v>0</v>
      </c>
      <c r="DA33" s="11">
        <f t="shared" si="78"/>
        <v>0</v>
      </c>
      <c r="DB33" s="11">
        <f t="shared" si="44"/>
        <v>0</v>
      </c>
      <c r="DC33" s="11">
        <v>0</v>
      </c>
      <c r="DD33" s="11">
        <f t="shared" si="45"/>
        <v>0</v>
      </c>
      <c r="DE33" s="11">
        <f t="shared" si="79"/>
        <v>0</v>
      </c>
      <c r="DF33" s="11">
        <f t="shared" si="46"/>
        <v>0</v>
      </c>
      <c r="DG33" s="11">
        <f t="shared" si="80"/>
        <v>75140</v>
      </c>
      <c r="DH33" s="11">
        <f t="shared" si="81"/>
        <v>1487000.6465968981</v>
      </c>
      <c r="DI33" s="11">
        <f t="shared" si="47"/>
        <v>1.0814155980599571</v>
      </c>
      <c r="DJ33" s="11">
        <f t="shared" si="48"/>
        <v>1.2272273064946444</v>
      </c>
      <c r="DK33" s="498">
        <f t="shared" si="82"/>
        <v>0.92471386744743145</v>
      </c>
      <c r="DL33" s="499">
        <f t="shared" si="83"/>
        <v>0.86486398342728843</v>
      </c>
      <c r="DM33" s="7" t="str">
        <f>+Efficiency1!D122</f>
        <v>RC BR</v>
      </c>
    </row>
    <row r="34" spans="1:117">
      <c r="A34" s="18">
        <f>+Chem!A33</f>
        <v>45955</v>
      </c>
      <c r="B34" s="6" t="str">
        <f>+Chem!B33</f>
        <v>Towel</v>
      </c>
      <c r="C34" s="6" t="str">
        <f>+Chem!C33</f>
        <v>34</v>
      </c>
      <c r="D34" s="9">
        <f>+Chem!D33</f>
        <v>65.78</v>
      </c>
      <c r="E34" s="7">
        <f>+Chem!E33</f>
        <v>65.763999999999996</v>
      </c>
      <c r="F34" s="7">
        <f t="shared" si="84"/>
        <v>1277.4389999999999</v>
      </c>
      <c r="G34" s="101">
        <f>16*G7</f>
        <v>4000</v>
      </c>
      <c r="H34" s="11">
        <f t="shared" si="0"/>
        <v>4.6253469010175765</v>
      </c>
      <c r="I34" s="9">
        <f t="shared" si="49"/>
        <v>90000</v>
      </c>
      <c r="J34" s="11">
        <f t="shared" si="1"/>
        <v>5.7198034303536396</v>
      </c>
      <c r="K34" s="101"/>
      <c r="L34" s="11">
        <f t="shared" si="2"/>
        <v>0</v>
      </c>
      <c r="M34" s="11">
        <f t="shared" si="50"/>
        <v>0</v>
      </c>
      <c r="N34" s="11">
        <f t="shared" si="3"/>
        <v>0</v>
      </c>
      <c r="O34" s="101">
        <v>0</v>
      </c>
      <c r="P34" s="11">
        <f t="shared" si="4"/>
        <v>0</v>
      </c>
      <c r="Q34" s="11">
        <f t="shared" si="51"/>
        <v>0</v>
      </c>
      <c r="R34" s="11">
        <f t="shared" si="5"/>
        <v>0</v>
      </c>
      <c r="S34" s="101"/>
      <c r="T34" s="11">
        <f t="shared" si="6"/>
        <v>0</v>
      </c>
      <c r="U34" s="11">
        <f t="shared" si="52"/>
        <v>0</v>
      </c>
      <c r="V34" s="11">
        <f t="shared" si="7"/>
        <v>0</v>
      </c>
      <c r="W34" s="101"/>
      <c r="X34" s="11">
        <f t="shared" si="8"/>
        <v>0</v>
      </c>
      <c r="Y34" s="11">
        <f t="shared" si="53"/>
        <v>0</v>
      </c>
      <c r="Z34" s="11">
        <f t="shared" si="9"/>
        <v>0</v>
      </c>
      <c r="AA34" s="11">
        <f t="shared" si="54"/>
        <v>4000</v>
      </c>
      <c r="AB34" s="11">
        <f t="shared" si="10"/>
        <v>4.6253469010175765</v>
      </c>
      <c r="AC34" s="11">
        <f t="shared" si="55"/>
        <v>90000</v>
      </c>
      <c r="AD34" s="11">
        <f t="shared" si="11"/>
        <v>5.7198034303536396</v>
      </c>
      <c r="AE34" s="11"/>
      <c r="AF34" s="11">
        <f t="shared" si="12"/>
        <v>0</v>
      </c>
      <c r="AG34" s="11">
        <f t="shared" si="85"/>
        <v>0</v>
      </c>
      <c r="AH34" s="11">
        <f t="shared" si="13"/>
        <v>0</v>
      </c>
      <c r="AI34" s="11"/>
      <c r="AJ34" s="11">
        <f t="shared" si="14"/>
        <v>0</v>
      </c>
      <c r="AK34" s="11">
        <f t="shared" si="86"/>
        <v>0</v>
      </c>
      <c r="AL34" s="11">
        <f t="shared" si="15"/>
        <v>0</v>
      </c>
      <c r="AM34" s="11">
        <f t="shared" si="56"/>
        <v>0</v>
      </c>
      <c r="AN34" s="11">
        <f t="shared" si="16"/>
        <v>0</v>
      </c>
      <c r="AO34" s="11">
        <f t="shared" si="87"/>
        <v>0</v>
      </c>
      <c r="AP34" s="11">
        <f t="shared" si="17"/>
        <v>0</v>
      </c>
      <c r="AQ34" s="101">
        <v>39635</v>
      </c>
      <c r="AR34" s="11">
        <f t="shared" si="18"/>
        <v>45.831406105457908</v>
      </c>
      <c r="AS34" s="11">
        <f t="shared" si="57"/>
        <v>828385.99829495209</v>
      </c>
      <c r="AT34" s="11">
        <f t="shared" si="19"/>
        <v>52.646723052271007</v>
      </c>
      <c r="AU34" s="101"/>
      <c r="AV34" s="11" t="e">
        <f t="shared" si="20"/>
        <v>#DIV/0!</v>
      </c>
      <c r="AW34" s="11">
        <f t="shared" si="58"/>
        <v>57876.185051282861</v>
      </c>
      <c r="AX34" s="11" t="e">
        <f t="shared" si="21"/>
        <v>#DIV/0!</v>
      </c>
      <c r="AY34" s="101"/>
      <c r="AZ34" s="11">
        <f t="shared" si="22"/>
        <v>0</v>
      </c>
      <c r="BA34" s="11">
        <f>AY34+BA33</f>
        <v>0</v>
      </c>
      <c r="BB34" s="11">
        <f t="shared" si="23"/>
        <v>0</v>
      </c>
      <c r="BC34" s="101"/>
      <c r="BD34" s="11">
        <f t="shared" si="60"/>
        <v>0</v>
      </c>
      <c r="BE34" s="11">
        <f t="shared" si="88"/>
        <v>0</v>
      </c>
      <c r="BF34" s="11">
        <f t="shared" si="62"/>
        <v>0</v>
      </c>
      <c r="BG34" s="101"/>
      <c r="BH34" s="11">
        <f t="shared" si="63"/>
        <v>0</v>
      </c>
      <c r="BI34" s="11">
        <f t="shared" si="64"/>
        <v>113086.31248820714</v>
      </c>
      <c r="BJ34" s="11">
        <f t="shared" si="65"/>
        <v>7.1870164232898981</v>
      </c>
      <c r="BK34" s="101"/>
      <c r="BL34" s="11">
        <f t="shared" si="66"/>
        <v>0</v>
      </c>
      <c r="BM34" s="11">
        <f t="shared" si="67"/>
        <v>0</v>
      </c>
      <c r="BN34" s="11">
        <f t="shared" si="68"/>
        <v>0</v>
      </c>
      <c r="BO34" s="101"/>
      <c r="BP34" s="11">
        <f t="shared" si="24"/>
        <v>0</v>
      </c>
      <c r="BQ34" s="11">
        <f t="shared" si="69"/>
        <v>0</v>
      </c>
      <c r="BR34" s="11">
        <f t="shared" si="25"/>
        <v>0</v>
      </c>
      <c r="BS34" s="101"/>
      <c r="BT34" s="11">
        <f t="shared" si="26"/>
        <v>0</v>
      </c>
      <c r="BU34" s="11">
        <f t="shared" si="70"/>
        <v>110</v>
      </c>
      <c r="BV34" s="11">
        <f t="shared" si="27"/>
        <v>6.9908708593211149E-3</v>
      </c>
      <c r="BW34" s="101">
        <v>15535</v>
      </c>
      <c r="BX34" s="11">
        <f t="shared" si="28"/>
        <v>17.963691026827011</v>
      </c>
      <c r="BY34" s="11">
        <f t="shared" si="71"/>
        <v>69350</v>
      </c>
      <c r="BZ34" s="11">
        <f t="shared" si="29"/>
        <v>4.4074263099447206</v>
      </c>
      <c r="CA34" s="101"/>
      <c r="CB34" s="11">
        <f t="shared" si="30"/>
        <v>0</v>
      </c>
      <c r="CC34" s="11">
        <f t="shared" si="72"/>
        <v>94870.721704971147</v>
      </c>
      <c r="CD34" s="11">
        <f t="shared" si="31"/>
        <v>6.0293542160913267</v>
      </c>
      <c r="CE34" s="101">
        <v>27310</v>
      </c>
      <c r="CF34" s="11">
        <f t="shared" si="32"/>
        <v>31.579555966697505</v>
      </c>
      <c r="CG34" s="11">
        <f t="shared" si="73"/>
        <v>310085</v>
      </c>
      <c r="CH34" s="11">
        <f t="shared" si="33"/>
        <v>19.706947185568978</v>
      </c>
      <c r="CI34" s="101"/>
      <c r="CJ34" s="11">
        <f t="shared" si="34"/>
        <v>0</v>
      </c>
      <c r="CK34" s="11">
        <f t="shared" si="74"/>
        <v>437.89324461160135</v>
      </c>
      <c r="CL34" s="11">
        <f t="shared" si="35"/>
        <v>2.7829592029534694E-2</v>
      </c>
      <c r="CM34" s="101"/>
      <c r="CN34" s="11">
        <f t="shared" si="36"/>
        <v>0</v>
      </c>
      <c r="CO34" s="11">
        <f t="shared" si="75"/>
        <v>8596.0309177959734</v>
      </c>
      <c r="CP34" s="11">
        <f t="shared" si="37"/>
        <v>0.54630674590039285</v>
      </c>
      <c r="CQ34" s="101"/>
      <c r="CR34" s="11">
        <f t="shared" si="38"/>
        <v>0</v>
      </c>
      <c r="CS34" s="11">
        <f t="shared" si="76"/>
        <v>682.50489507723341</v>
      </c>
      <c r="CT34" s="11">
        <f t="shared" si="39"/>
        <v>4.3375487112176786E-2</v>
      </c>
      <c r="CU34" s="101">
        <f t="shared" si="40"/>
        <v>82480</v>
      </c>
      <c r="CV34" s="11">
        <f t="shared" si="41"/>
        <v>95.374653098982421</v>
      </c>
      <c r="CW34" s="11">
        <f t="shared" si="77"/>
        <v>1483480.6465968981</v>
      </c>
      <c r="CX34" s="11">
        <f t="shared" si="42"/>
        <v>94.280196569646364</v>
      </c>
      <c r="CY34" s="101">
        <v>0</v>
      </c>
      <c r="CZ34" s="17">
        <f t="shared" si="43"/>
        <v>0</v>
      </c>
      <c r="DA34" s="11">
        <f t="shared" si="78"/>
        <v>0</v>
      </c>
      <c r="DB34" s="11">
        <f t="shared" si="44"/>
        <v>0</v>
      </c>
      <c r="DC34" s="11">
        <v>0</v>
      </c>
      <c r="DD34" s="11">
        <f t="shared" si="45"/>
        <v>0</v>
      </c>
      <c r="DE34" s="11">
        <f t="shared" si="79"/>
        <v>0</v>
      </c>
      <c r="DF34" s="11">
        <f t="shared" si="46"/>
        <v>0</v>
      </c>
      <c r="DG34" s="11">
        <f t="shared" si="80"/>
        <v>86480</v>
      </c>
      <c r="DH34" s="11">
        <f t="shared" si="81"/>
        <v>1573480.6465968981</v>
      </c>
      <c r="DI34" s="11">
        <f t="shared" si="47"/>
        <v>1.3150051700018248</v>
      </c>
      <c r="DJ34" s="11">
        <f t="shared" si="48"/>
        <v>1.2317462098753038</v>
      </c>
      <c r="DK34" s="498">
        <f t="shared" si="82"/>
        <v>0.79733268671193014</v>
      </c>
      <c r="DL34" s="499">
        <f t="shared" si="83"/>
        <v>0.86110931270350077</v>
      </c>
      <c r="DM34" s="7" t="str">
        <f>+Efficiency1!D127</f>
        <v>RC BR</v>
      </c>
    </row>
    <row r="35" spans="1:117">
      <c r="A35" s="18">
        <f>+Chem!A34</f>
        <v>45956</v>
      </c>
      <c r="B35" s="6" t="str">
        <f>+Chem!B34</f>
        <v>Towel</v>
      </c>
      <c r="C35" s="6" t="str">
        <f>+Chem!C34</f>
        <v>34/36</v>
      </c>
      <c r="D35" s="9">
        <f>+Chem!D34</f>
        <v>65.405000000000001</v>
      </c>
      <c r="E35" s="7">
        <f>+Chem!E34</f>
        <v>65.506</v>
      </c>
      <c r="F35" s="7">
        <f t="shared" si="84"/>
        <v>1342.9449999999999</v>
      </c>
      <c r="G35" s="101">
        <f>10*G7</f>
        <v>2500</v>
      </c>
      <c r="H35" s="11">
        <f t="shared" si="0"/>
        <v>4.6852882511149581</v>
      </c>
      <c r="I35" s="9">
        <f t="shared" si="49"/>
        <v>92500</v>
      </c>
      <c r="J35" s="11">
        <f t="shared" si="1"/>
        <v>5.6858724862202132</v>
      </c>
      <c r="K35" s="101"/>
      <c r="L35" s="11">
        <f t="shared" si="2"/>
        <v>0</v>
      </c>
      <c r="M35" s="11">
        <f t="shared" si="50"/>
        <v>0</v>
      </c>
      <c r="N35" s="11">
        <f t="shared" si="3"/>
        <v>0</v>
      </c>
      <c r="O35" s="101">
        <f>10*O7</f>
        <v>2448.5100000000002</v>
      </c>
      <c r="P35" s="11">
        <f t="shared" si="4"/>
        <v>4.5887900542949946</v>
      </c>
      <c r="Q35" s="11">
        <f t="shared" si="51"/>
        <v>2448.5100000000002</v>
      </c>
      <c r="R35" s="11">
        <f t="shared" si="5"/>
        <v>0.15050719612146007</v>
      </c>
      <c r="S35" s="101"/>
      <c r="T35" s="11">
        <f t="shared" si="6"/>
        <v>0</v>
      </c>
      <c r="U35" s="11">
        <f t="shared" si="52"/>
        <v>0</v>
      </c>
      <c r="V35" s="11">
        <f t="shared" si="7"/>
        <v>0</v>
      </c>
      <c r="W35" s="101"/>
      <c r="X35" s="11">
        <f t="shared" si="8"/>
        <v>0</v>
      </c>
      <c r="Y35" s="11">
        <f t="shared" si="53"/>
        <v>0</v>
      </c>
      <c r="Z35" s="11">
        <f t="shared" si="9"/>
        <v>0</v>
      </c>
      <c r="AA35" s="11">
        <f t="shared" si="54"/>
        <v>4948.51</v>
      </c>
      <c r="AB35" s="11">
        <f t="shared" si="10"/>
        <v>9.2740783054099527</v>
      </c>
      <c r="AC35" s="11">
        <f t="shared" si="55"/>
        <v>94948.51</v>
      </c>
      <c r="AD35" s="11">
        <f t="shared" si="11"/>
        <v>5.8363796823416729</v>
      </c>
      <c r="AE35" s="11"/>
      <c r="AF35" s="11">
        <f t="shared" si="12"/>
        <v>0</v>
      </c>
      <c r="AG35" s="11">
        <f t="shared" si="85"/>
        <v>0</v>
      </c>
      <c r="AH35" s="11">
        <f t="shared" si="13"/>
        <v>0</v>
      </c>
      <c r="AI35" s="11"/>
      <c r="AJ35" s="11">
        <f t="shared" si="14"/>
        <v>0</v>
      </c>
      <c r="AK35" s="11">
        <f t="shared" si="86"/>
        <v>0</v>
      </c>
      <c r="AL35" s="11">
        <f t="shared" si="15"/>
        <v>0</v>
      </c>
      <c r="AM35" s="11">
        <f t="shared" si="56"/>
        <v>0</v>
      </c>
      <c r="AN35" s="11">
        <f t="shared" si="16"/>
        <v>0</v>
      </c>
      <c r="AO35" s="11">
        <f t="shared" si="87"/>
        <v>0</v>
      </c>
      <c r="AP35" s="11">
        <f t="shared" si="17"/>
        <v>0</v>
      </c>
      <c r="AQ35" s="101">
        <v>23885</v>
      </c>
      <c r="AR35" s="11">
        <f t="shared" si="18"/>
        <v>44.763243951152312</v>
      </c>
      <c r="AS35" s="11">
        <f t="shared" si="57"/>
        <v>852270.99829495209</v>
      </c>
      <c r="AT35" s="11">
        <f t="shared" si="19"/>
        <v>52.388153729823806</v>
      </c>
      <c r="AU35" s="101"/>
      <c r="AV35" s="11" t="e">
        <f t="shared" si="20"/>
        <v>#DIV/0!</v>
      </c>
      <c r="AW35" s="11">
        <f t="shared" si="58"/>
        <v>57876.185051282861</v>
      </c>
      <c r="AX35" s="11" t="e">
        <f t="shared" si="21"/>
        <v>#DIV/0!</v>
      </c>
      <c r="AY35" s="101"/>
      <c r="AZ35" s="11">
        <f t="shared" si="22"/>
        <v>0</v>
      </c>
      <c r="BA35" s="11">
        <f>AY35+BA34</f>
        <v>0</v>
      </c>
      <c r="BB35" s="11">
        <f t="shared" si="23"/>
        <v>0</v>
      </c>
      <c r="BC35" s="101"/>
      <c r="BD35" s="11">
        <f t="shared" si="60"/>
        <v>0</v>
      </c>
      <c r="BE35" s="11">
        <f t="shared" si="88"/>
        <v>0</v>
      </c>
      <c r="BF35" s="11">
        <f t="shared" si="62"/>
        <v>0</v>
      </c>
      <c r="BG35" s="101"/>
      <c r="BH35" s="11">
        <f t="shared" si="63"/>
        <v>0</v>
      </c>
      <c r="BI35" s="11">
        <f t="shared" si="64"/>
        <v>113086.31248820714</v>
      </c>
      <c r="BJ35" s="11">
        <f t="shared" si="65"/>
        <v>6.951290299943766</v>
      </c>
      <c r="BK35" s="101"/>
      <c r="BL35" s="11">
        <f t="shared" si="66"/>
        <v>0</v>
      </c>
      <c r="BM35" s="11">
        <f t="shared" si="67"/>
        <v>0</v>
      </c>
      <c r="BN35" s="11">
        <f t="shared" si="68"/>
        <v>0</v>
      </c>
      <c r="BO35" s="101"/>
      <c r="BP35" s="11">
        <f t="shared" si="24"/>
        <v>0</v>
      </c>
      <c r="BQ35" s="11">
        <f t="shared" si="69"/>
        <v>0</v>
      </c>
      <c r="BR35" s="11">
        <f t="shared" si="25"/>
        <v>0</v>
      </c>
      <c r="BS35" s="101"/>
      <c r="BT35" s="11">
        <f t="shared" si="26"/>
        <v>0</v>
      </c>
      <c r="BU35" s="11">
        <f t="shared" si="70"/>
        <v>110</v>
      </c>
      <c r="BV35" s="11">
        <f t="shared" si="27"/>
        <v>6.7615780917213352E-3</v>
      </c>
      <c r="BW35" s="101">
        <v>9295</v>
      </c>
      <c r="BX35" s="11">
        <f t="shared" si="28"/>
        <v>17.419901717645413</v>
      </c>
      <c r="BY35" s="11">
        <f t="shared" si="71"/>
        <v>78645</v>
      </c>
      <c r="BZ35" s="11">
        <f t="shared" si="29"/>
        <v>4.8342209911220397</v>
      </c>
      <c r="CA35" s="101"/>
      <c r="CB35" s="11">
        <f t="shared" si="30"/>
        <v>0</v>
      </c>
      <c r="CC35" s="11">
        <f t="shared" si="72"/>
        <v>94870.721704971147</v>
      </c>
      <c r="CD35" s="11">
        <f t="shared" si="31"/>
        <v>5.8315981220556781</v>
      </c>
      <c r="CE35" s="101">
        <v>15230</v>
      </c>
      <c r="CF35" s="11">
        <f t="shared" si="32"/>
        <v>28.542776025792321</v>
      </c>
      <c r="CG35" s="11">
        <f t="shared" si="73"/>
        <v>325315</v>
      </c>
      <c r="CH35" s="11">
        <f t="shared" si="33"/>
        <v>19.996752517348419</v>
      </c>
      <c r="CI35" s="101"/>
      <c r="CJ35" s="11">
        <f t="shared" si="34"/>
        <v>0</v>
      </c>
      <c r="CK35" s="11">
        <f t="shared" si="74"/>
        <v>437.89324461160135</v>
      </c>
      <c r="CL35" s="11">
        <f t="shared" si="35"/>
        <v>2.6916812447987045E-2</v>
      </c>
      <c r="CM35" s="101"/>
      <c r="CN35" s="11">
        <f t="shared" si="36"/>
        <v>0</v>
      </c>
      <c r="CO35" s="11">
        <f t="shared" si="75"/>
        <v>8596.0309177959734</v>
      </c>
      <c r="CP35" s="11">
        <f t="shared" si="37"/>
        <v>0.52838849390480447</v>
      </c>
      <c r="CQ35" s="101"/>
      <c r="CR35" s="11">
        <f t="shared" si="38"/>
        <v>0</v>
      </c>
      <c r="CS35" s="11">
        <f t="shared" si="76"/>
        <v>682.50489507723341</v>
      </c>
      <c r="CT35" s="11">
        <f t="shared" si="39"/>
        <v>4.1952819509516272E-2</v>
      </c>
      <c r="CU35" s="101">
        <f t="shared" si="40"/>
        <v>48410</v>
      </c>
      <c r="CV35" s="11">
        <f t="shared" si="41"/>
        <v>90.725921694590042</v>
      </c>
      <c r="CW35" s="11">
        <f t="shared" si="77"/>
        <v>1531890.6465968981</v>
      </c>
      <c r="CX35" s="11">
        <f t="shared" si="42"/>
        <v>94.163620317658328</v>
      </c>
      <c r="CY35" s="101">
        <v>0</v>
      </c>
      <c r="CZ35" s="17">
        <f t="shared" si="43"/>
        <v>0</v>
      </c>
      <c r="DA35" s="11">
        <f t="shared" si="78"/>
        <v>0</v>
      </c>
      <c r="DB35" s="11">
        <f t="shared" si="44"/>
        <v>0</v>
      </c>
      <c r="DC35" s="11">
        <v>0</v>
      </c>
      <c r="DD35" s="11">
        <f t="shared" si="45"/>
        <v>0</v>
      </c>
      <c r="DE35" s="11">
        <f t="shared" si="79"/>
        <v>0</v>
      </c>
      <c r="DF35" s="11">
        <f t="shared" si="46"/>
        <v>0</v>
      </c>
      <c r="DG35" s="11">
        <f t="shared" si="80"/>
        <v>53358.51</v>
      </c>
      <c r="DH35" s="11">
        <f t="shared" si="81"/>
        <v>1626839.1565968981</v>
      </c>
      <c r="DI35" s="11">
        <f t="shared" si="47"/>
        <v>0.81455912435502098</v>
      </c>
      <c r="DJ35" s="11">
        <f t="shared" si="48"/>
        <v>1.2113967114043376</v>
      </c>
      <c r="DK35" s="498">
        <f t="shared" si="82"/>
        <v>1.3531501755835571</v>
      </c>
      <c r="DL35" s="499">
        <f t="shared" si="83"/>
        <v>0.87665852845525127</v>
      </c>
      <c r="DM35" s="7" t="str">
        <f>+Efficiency1!D131</f>
        <v>RC BR</v>
      </c>
    </row>
    <row r="36" spans="1:117">
      <c r="A36" s="18">
        <f>+Chem!A35</f>
        <v>45957</v>
      </c>
      <c r="B36" s="6" t="str">
        <f>+Chem!B35</f>
        <v>Towel</v>
      </c>
      <c r="C36" s="6" t="str">
        <f>+Chem!C35</f>
        <v>36</v>
      </c>
      <c r="D36" s="9">
        <f>+Chem!D35</f>
        <v>59.100999999999999</v>
      </c>
      <c r="E36" s="7">
        <f>+Chem!E35</f>
        <v>59.281999999999996</v>
      </c>
      <c r="F36" s="7">
        <f t="shared" si="84"/>
        <v>1402.2269999999999</v>
      </c>
      <c r="G36" s="101"/>
      <c r="H36" s="11">
        <f t="shared" si="0"/>
        <v>0</v>
      </c>
      <c r="I36" s="9">
        <f t="shared" si="49"/>
        <v>92500</v>
      </c>
      <c r="J36" s="11">
        <f t="shared" si="1"/>
        <v>5.3784054780179913</v>
      </c>
      <c r="K36" s="101"/>
      <c r="L36" s="11">
        <f t="shared" si="2"/>
        <v>0</v>
      </c>
      <c r="M36" s="11">
        <f t="shared" si="50"/>
        <v>0</v>
      </c>
      <c r="N36" s="11">
        <f t="shared" si="3"/>
        <v>0</v>
      </c>
      <c r="O36" s="101">
        <f>24*O7</f>
        <v>5876.424</v>
      </c>
      <c r="P36" s="11">
        <f t="shared" si="4"/>
        <v>6.3186387339617509</v>
      </c>
      <c r="Q36" s="11">
        <f t="shared" si="51"/>
        <v>8324.9340000000011</v>
      </c>
      <c r="R36" s="11">
        <f t="shared" si="5"/>
        <v>0.48405265545662951</v>
      </c>
      <c r="S36" s="101"/>
      <c r="T36" s="11">
        <f t="shared" si="6"/>
        <v>0</v>
      </c>
      <c r="U36" s="11">
        <f t="shared" si="52"/>
        <v>0</v>
      </c>
      <c r="V36" s="11">
        <f t="shared" si="7"/>
        <v>0</v>
      </c>
      <c r="W36" s="101"/>
      <c r="X36" s="11">
        <f t="shared" si="8"/>
        <v>0</v>
      </c>
      <c r="Y36" s="11">
        <f t="shared" si="53"/>
        <v>0</v>
      </c>
      <c r="Z36" s="11">
        <f t="shared" si="9"/>
        <v>0</v>
      </c>
      <c r="AA36" s="11">
        <f t="shared" si="54"/>
        <v>5876.424</v>
      </c>
      <c r="AB36" s="11">
        <f t="shared" si="10"/>
        <v>6.3186387339617509</v>
      </c>
      <c r="AC36" s="11">
        <f t="shared" si="55"/>
        <v>100824.93399999999</v>
      </c>
      <c r="AD36" s="11">
        <f t="shared" si="11"/>
        <v>5.8624581334746209</v>
      </c>
      <c r="AE36" s="11"/>
      <c r="AF36" s="11">
        <f t="shared" si="12"/>
        <v>0</v>
      </c>
      <c r="AG36" s="11">
        <f t="shared" si="85"/>
        <v>0</v>
      </c>
      <c r="AH36" s="11">
        <f t="shared" si="13"/>
        <v>0</v>
      </c>
      <c r="AI36" s="11"/>
      <c r="AJ36" s="11">
        <f t="shared" si="14"/>
        <v>0</v>
      </c>
      <c r="AK36" s="11">
        <f t="shared" si="86"/>
        <v>0</v>
      </c>
      <c r="AL36" s="11">
        <f t="shared" si="15"/>
        <v>0</v>
      </c>
      <c r="AM36" s="11">
        <f t="shared" si="56"/>
        <v>0</v>
      </c>
      <c r="AN36" s="11">
        <f t="shared" si="16"/>
        <v>0</v>
      </c>
      <c r="AO36" s="11">
        <f t="shared" si="87"/>
        <v>0</v>
      </c>
      <c r="AP36" s="11">
        <f t="shared" si="17"/>
        <v>0</v>
      </c>
      <c r="AQ36" s="101">
        <v>43630</v>
      </c>
      <c r="AR36" s="11">
        <f t="shared" si="18"/>
        <v>46.913260166855082</v>
      </c>
      <c r="AS36" s="11">
        <f t="shared" si="57"/>
        <v>895900.99829495209</v>
      </c>
      <c r="AT36" s="11">
        <f t="shared" si="19"/>
        <v>52.092095535041707</v>
      </c>
      <c r="AU36" s="101"/>
      <c r="AV36" s="11" t="e">
        <f t="shared" si="20"/>
        <v>#DIV/0!</v>
      </c>
      <c r="AW36" s="11">
        <f t="shared" si="58"/>
        <v>57876.185051282861</v>
      </c>
      <c r="AX36" s="11" t="e">
        <f t="shared" si="21"/>
        <v>#DIV/0!</v>
      </c>
      <c r="AY36" s="101"/>
      <c r="AZ36" s="11">
        <f t="shared" si="22"/>
        <v>0</v>
      </c>
      <c r="BA36" s="11">
        <f t="shared" si="59"/>
        <v>0</v>
      </c>
      <c r="BB36" s="11">
        <f t="shared" si="23"/>
        <v>0</v>
      </c>
      <c r="BC36" s="101"/>
      <c r="BD36" s="11">
        <f t="shared" si="60"/>
        <v>0</v>
      </c>
      <c r="BE36" s="11">
        <f t="shared" si="88"/>
        <v>0</v>
      </c>
      <c r="BF36" s="11">
        <f t="shared" si="62"/>
        <v>0</v>
      </c>
      <c r="BG36" s="101"/>
      <c r="BH36" s="11">
        <f t="shared" si="63"/>
        <v>0</v>
      </c>
      <c r="BI36" s="11">
        <f t="shared" si="64"/>
        <v>113086.31248820714</v>
      </c>
      <c r="BJ36" s="11">
        <f t="shared" si="65"/>
        <v>6.5753950548694888</v>
      </c>
      <c r="BK36" s="101"/>
      <c r="BL36" s="11">
        <f t="shared" si="66"/>
        <v>0</v>
      </c>
      <c r="BM36" s="11">
        <f t="shared" si="67"/>
        <v>0</v>
      </c>
      <c r="BN36" s="11">
        <f t="shared" si="68"/>
        <v>0</v>
      </c>
      <c r="BO36" s="101"/>
      <c r="BP36" s="11">
        <f t="shared" si="24"/>
        <v>0</v>
      </c>
      <c r="BQ36" s="11">
        <f t="shared" si="69"/>
        <v>0</v>
      </c>
      <c r="BR36" s="11">
        <f t="shared" si="25"/>
        <v>0</v>
      </c>
      <c r="BS36" s="101"/>
      <c r="BT36" s="11">
        <f t="shared" si="26"/>
        <v>0</v>
      </c>
      <c r="BU36" s="11">
        <f t="shared" si="70"/>
        <v>110</v>
      </c>
      <c r="BV36" s="11">
        <f t="shared" si="27"/>
        <v>6.395941649534909E-3</v>
      </c>
      <c r="BW36" s="101">
        <v>14585</v>
      </c>
      <c r="BX36" s="11">
        <f t="shared" si="28"/>
        <v>15.682555570331914</v>
      </c>
      <c r="BY36" s="11">
        <f t="shared" si="71"/>
        <v>93230</v>
      </c>
      <c r="BZ36" s="11">
        <f t="shared" si="29"/>
        <v>5.4208512726012685</v>
      </c>
      <c r="CA36" s="101"/>
      <c r="CB36" s="11">
        <f t="shared" si="30"/>
        <v>0</v>
      </c>
      <c r="CC36" s="11">
        <f t="shared" si="72"/>
        <v>94870.721704971147</v>
      </c>
      <c r="CD36" s="11">
        <f t="shared" si="31"/>
        <v>5.5162509115841853</v>
      </c>
      <c r="CE36" s="101">
        <v>28910</v>
      </c>
      <c r="CF36" s="11">
        <f t="shared" si="32"/>
        <v>31.085545528851256</v>
      </c>
      <c r="CG36" s="11">
        <f t="shared" si="73"/>
        <v>354225</v>
      </c>
      <c r="CH36" s="11">
        <f t="shared" si="33"/>
        <v>20.596385734604571</v>
      </c>
      <c r="CI36" s="101"/>
      <c r="CJ36" s="11">
        <f t="shared" si="34"/>
        <v>0</v>
      </c>
      <c r="CK36" s="11">
        <f t="shared" si="74"/>
        <v>437.89324461160135</v>
      </c>
      <c r="CL36" s="11">
        <f t="shared" si="35"/>
        <v>2.5461269466011988E-2</v>
      </c>
      <c r="CM36" s="101"/>
      <c r="CN36" s="11">
        <f t="shared" si="36"/>
        <v>0</v>
      </c>
      <c r="CO36" s="11">
        <f t="shared" si="75"/>
        <v>8596.0309177959734</v>
      </c>
      <c r="CP36" s="11">
        <f t="shared" si="37"/>
        <v>0.49981556516200953</v>
      </c>
      <c r="CQ36" s="101"/>
      <c r="CR36" s="11">
        <f t="shared" si="38"/>
        <v>0</v>
      </c>
      <c r="CS36" s="11">
        <f t="shared" si="76"/>
        <v>682.50489507723341</v>
      </c>
      <c r="CT36" s="11">
        <f t="shared" si="39"/>
        <v>3.9684195313053908E-2</v>
      </c>
      <c r="CU36" s="101">
        <f t="shared" si="40"/>
        <v>87125</v>
      </c>
      <c r="CV36" s="11">
        <f t="shared" si="41"/>
        <v>93.681361266038252</v>
      </c>
      <c r="CW36" s="11">
        <f t="shared" si="77"/>
        <v>1619015.6465968981</v>
      </c>
      <c r="CX36" s="11">
        <f t="shared" si="42"/>
        <v>94.137541866525382</v>
      </c>
      <c r="CY36" s="101">
        <v>0</v>
      </c>
      <c r="CZ36" s="17">
        <f t="shared" si="43"/>
        <v>0</v>
      </c>
      <c r="DA36" s="11">
        <f t="shared" si="78"/>
        <v>0</v>
      </c>
      <c r="DB36" s="11">
        <f t="shared" si="44"/>
        <v>0</v>
      </c>
      <c r="DC36" s="11">
        <v>0</v>
      </c>
      <c r="DD36" s="11">
        <f t="shared" si="45"/>
        <v>0</v>
      </c>
      <c r="DE36" s="11">
        <f t="shared" si="79"/>
        <v>0</v>
      </c>
      <c r="DF36" s="11">
        <f t="shared" si="46"/>
        <v>0</v>
      </c>
      <c r="DG36" s="11">
        <f t="shared" si="80"/>
        <v>93001.423999999999</v>
      </c>
      <c r="DH36" s="11">
        <f t="shared" si="81"/>
        <v>1719840.5805968982</v>
      </c>
      <c r="DI36" s="11">
        <f t="shared" si="47"/>
        <v>1.5687970041496577</v>
      </c>
      <c r="DJ36" s="11">
        <f t="shared" si="48"/>
        <v>1.2265065361007157</v>
      </c>
      <c r="DK36" s="498">
        <f t="shared" si="82"/>
        <v>0.6804246771879483</v>
      </c>
      <c r="DL36" s="499">
        <f t="shared" si="83"/>
        <v>0.86609848579747895</v>
      </c>
      <c r="DM36" s="6" t="str">
        <f>+Efficiency1!D136</f>
        <v>RC BR</v>
      </c>
    </row>
    <row r="37" spans="1:117">
      <c r="A37" s="18">
        <f>+Chem!A36</f>
        <v>45958</v>
      </c>
      <c r="B37" s="6" t="str">
        <f>+Chem!B36</f>
        <v>Towel</v>
      </c>
      <c r="C37" s="6" t="str">
        <f>+Chem!C36</f>
        <v>36/38/30</v>
      </c>
      <c r="D37" s="9">
        <f>+Chem!D36</f>
        <v>65.171999999999997</v>
      </c>
      <c r="E37" s="7">
        <f>+Chem!E36</f>
        <v>63.91</v>
      </c>
      <c r="F37" s="7">
        <f t="shared" si="84"/>
        <v>1466.1369999999999</v>
      </c>
      <c r="G37" s="101"/>
      <c r="H37" s="11">
        <f t="shared" si="0"/>
        <v>0</v>
      </c>
      <c r="I37" s="9">
        <f t="shared" si="49"/>
        <v>92500</v>
      </c>
      <c r="J37" s="11">
        <f t="shared" si="1"/>
        <v>5.1256317822930626</v>
      </c>
      <c r="K37" s="101"/>
      <c r="L37" s="11">
        <f t="shared" si="2"/>
        <v>0</v>
      </c>
      <c r="M37" s="11">
        <f t="shared" si="50"/>
        <v>0</v>
      </c>
      <c r="N37" s="11">
        <f t="shared" si="3"/>
        <v>0</v>
      </c>
      <c r="O37" s="101">
        <v>0</v>
      </c>
      <c r="P37" s="11">
        <f t="shared" si="4"/>
        <v>0</v>
      </c>
      <c r="Q37" s="11">
        <f t="shared" si="51"/>
        <v>8324.9340000000011</v>
      </c>
      <c r="R37" s="11">
        <f t="shared" si="5"/>
        <v>0.46130320319883367</v>
      </c>
      <c r="S37" s="101"/>
      <c r="T37" s="11">
        <f t="shared" si="6"/>
        <v>0</v>
      </c>
      <c r="U37" s="11">
        <f t="shared" si="52"/>
        <v>0</v>
      </c>
      <c r="V37" s="11">
        <f t="shared" si="7"/>
        <v>0</v>
      </c>
      <c r="W37" s="101"/>
      <c r="X37" s="11">
        <f t="shared" si="8"/>
        <v>0</v>
      </c>
      <c r="Y37" s="11">
        <f t="shared" si="53"/>
        <v>0</v>
      </c>
      <c r="Z37" s="11">
        <f t="shared" si="9"/>
        <v>0</v>
      </c>
      <c r="AA37" s="11">
        <f t="shared" si="54"/>
        <v>0</v>
      </c>
      <c r="AB37" s="11">
        <f t="shared" si="10"/>
        <v>0</v>
      </c>
      <c r="AC37" s="11">
        <f t="shared" si="55"/>
        <v>100824.93399999999</v>
      </c>
      <c r="AD37" s="11">
        <f t="shared" si="11"/>
        <v>5.5869349854918955</v>
      </c>
      <c r="AE37" s="11"/>
      <c r="AF37" s="11">
        <f t="shared" si="12"/>
        <v>0</v>
      </c>
      <c r="AG37" s="11">
        <f t="shared" si="85"/>
        <v>0</v>
      </c>
      <c r="AH37" s="11">
        <f t="shared" si="13"/>
        <v>0</v>
      </c>
      <c r="AI37" s="11"/>
      <c r="AJ37" s="11">
        <f t="shared" si="14"/>
        <v>0</v>
      </c>
      <c r="AK37" s="11">
        <f t="shared" si="86"/>
        <v>0</v>
      </c>
      <c r="AL37" s="11">
        <f t="shared" si="15"/>
        <v>0</v>
      </c>
      <c r="AM37" s="11">
        <f t="shared" si="56"/>
        <v>0</v>
      </c>
      <c r="AN37" s="11">
        <f t="shared" si="16"/>
        <v>0</v>
      </c>
      <c r="AO37" s="11">
        <f t="shared" si="87"/>
        <v>0</v>
      </c>
      <c r="AP37" s="11">
        <f t="shared" si="17"/>
        <v>0</v>
      </c>
      <c r="AQ37" s="101">
        <v>41710</v>
      </c>
      <c r="AR37" s="11">
        <f t="shared" si="18"/>
        <v>49.177621882921649</v>
      </c>
      <c r="AS37" s="11">
        <f t="shared" si="57"/>
        <v>937610.99829495209</v>
      </c>
      <c r="AT37" s="11">
        <f t="shared" si="19"/>
        <v>51.955121430141972</v>
      </c>
      <c r="AU37" s="101"/>
      <c r="AV37" s="11" t="e">
        <f t="shared" si="20"/>
        <v>#DIV/0!</v>
      </c>
      <c r="AW37" s="11">
        <f t="shared" si="58"/>
        <v>57876.185051282861</v>
      </c>
      <c r="AX37" s="11" t="e">
        <f t="shared" si="21"/>
        <v>#DIV/0!</v>
      </c>
      <c r="AY37" s="101"/>
      <c r="AZ37" s="11">
        <f t="shared" si="22"/>
        <v>0</v>
      </c>
      <c r="BA37" s="11">
        <f t="shared" si="59"/>
        <v>0</v>
      </c>
      <c r="BB37" s="11">
        <f t="shared" si="23"/>
        <v>0</v>
      </c>
      <c r="BC37" s="101"/>
      <c r="BD37" s="11">
        <f t="shared" si="60"/>
        <v>0</v>
      </c>
      <c r="BE37" s="11">
        <f t="shared" si="88"/>
        <v>0</v>
      </c>
      <c r="BF37" s="11">
        <f t="shared" si="62"/>
        <v>0</v>
      </c>
      <c r="BG37" s="101"/>
      <c r="BH37" s="11">
        <f t="shared" si="63"/>
        <v>0</v>
      </c>
      <c r="BI37" s="11">
        <f t="shared" si="64"/>
        <v>113086.31248820714</v>
      </c>
      <c r="BJ37" s="11">
        <f t="shared" si="65"/>
        <v>6.2663653776419386</v>
      </c>
      <c r="BK37" s="101"/>
      <c r="BL37" s="11">
        <f t="shared" si="66"/>
        <v>0</v>
      </c>
      <c r="BM37" s="11">
        <f t="shared" si="67"/>
        <v>0</v>
      </c>
      <c r="BN37" s="11">
        <f t="shared" si="68"/>
        <v>0</v>
      </c>
      <c r="BO37" s="101"/>
      <c r="BP37" s="11">
        <f t="shared" si="24"/>
        <v>0</v>
      </c>
      <c r="BQ37" s="11">
        <f t="shared" si="69"/>
        <v>0</v>
      </c>
      <c r="BR37" s="11">
        <f t="shared" si="25"/>
        <v>0</v>
      </c>
      <c r="BS37" s="101"/>
      <c r="BT37" s="11">
        <f t="shared" si="26"/>
        <v>0</v>
      </c>
      <c r="BU37" s="11">
        <f t="shared" si="70"/>
        <v>110</v>
      </c>
      <c r="BV37" s="11">
        <f t="shared" si="27"/>
        <v>6.0953459032674247E-3</v>
      </c>
      <c r="BW37" s="101">
        <v>15035</v>
      </c>
      <c r="BX37" s="11">
        <f t="shared" si="28"/>
        <v>17.726817190355479</v>
      </c>
      <c r="BY37" s="11">
        <f t="shared" si="71"/>
        <v>108265</v>
      </c>
      <c r="BZ37" s="11">
        <f t="shared" si="29"/>
        <v>5.9992056747022522</v>
      </c>
      <c r="CA37" s="101"/>
      <c r="CB37" s="11">
        <f t="shared" si="30"/>
        <v>0</v>
      </c>
      <c r="CC37" s="11">
        <f t="shared" si="72"/>
        <v>94870.721704971147</v>
      </c>
      <c r="CD37" s="11">
        <f t="shared" si="31"/>
        <v>5.2569987716765443</v>
      </c>
      <c r="CE37" s="101">
        <v>28070</v>
      </c>
      <c r="CF37" s="11">
        <f t="shared" si="32"/>
        <v>33.095560926722868</v>
      </c>
      <c r="CG37" s="11">
        <f t="shared" si="73"/>
        <v>382295</v>
      </c>
      <c r="CH37" s="11">
        <f t="shared" si="33"/>
        <v>21.183820564451096</v>
      </c>
      <c r="CI37" s="101"/>
      <c r="CJ37" s="11">
        <f t="shared" si="34"/>
        <v>0</v>
      </c>
      <c r="CK37" s="11">
        <f t="shared" si="74"/>
        <v>437.89324461160135</v>
      </c>
      <c r="CL37" s="11">
        <f t="shared" si="35"/>
        <v>2.4264643587380043E-2</v>
      </c>
      <c r="CM37" s="101"/>
      <c r="CN37" s="11">
        <f t="shared" si="36"/>
        <v>0</v>
      </c>
      <c r="CO37" s="11">
        <f t="shared" si="75"/>
        <v>8596.0309177959734</v>
      </c>
      <c r="CP37" s="11">
        <f t="shared" si="37"/>
        <v>0.47632528944679831</v>
      </c>
      <c r="CQ37" s="101"/>
      <c r="CR37" s="11">
        <f t="shared" si="38"/>
        <v>0</v>
      </c>
      <c r="CS37" s="11">
        <f t="shared" si="76"/>
        <v>682.50489507723341</v>
      </c>
      <c r="CT37" s="11">
        <f t="shared" si="39"/>
        <v>3.7819121965172529E-2</v>
      </c>
      <c r="CU37" s="101">
        <f t="shared" si="40"/>
        <v>84815</v>
      </c>
      <c r="CV37" s="11">
        <f t="shared" si="41"/>
        <v>100</v>
      </c>
      <c r="CW37" s="11">
        <f t="shared" si="77"/>
        <v>1703830.6465968981</v>
      </c>
      <c r="CX37" s="11">
        <f t="shared" si="42"/>
        <v>94.413065014508106</v>
      </c>
      <c r="CY37" s="101"/>
      <c r="CZ37" s="17">
        <f t="shared" si="43"/>
        <v>0</v>
      </c>
      <c r="DA37" s="11">
        <f t="shared" si="78"/>
        <v>0</v>
      </c>
      <c r="DB37" s="11">
        <f t="shared" si="44"/>
        <v>0</v>
      </c>
      <c r="DC37" s="11">
        <v>0</v>
      </c>
      <c r="DD37" s="11">
        <f t="shared" si="45"/>
        <v>0</v>
      </c>
      <c r="DE37" s="11">
        <f t="shared" si="79"/>
        <v>0</v>
      </c>
      <c r="DF37" s="11">
        <f t="shared" si="46"/>
        <v>0</v>
      </c>
      <c r="DG37" s="11">
        <f t="shared" si="80"/>
        <v>84815</v>
      </c>
      <c r="DH37" s="11">
        <f t="shared" si="81"/>
        <v>1804655.5805968982</v>
      </c>
      <c r="DI37" s="11">
        <f t="shared" si="47"/>
        <v>1.3271006102331404</v>
      </c>
      <c r="DJ37" s="11">
        <f t="shared" si="48"/>
        <v>1.2308915064532839</v>
      </c>
      <c r="DK37" s="498">
        <f t="shared" si="82"/>
        <v>0.75352237222189467</v>
      </c>
      <c r="DL37" s="499">
        <f t="shared" si="83"/>
        <v>0.86049455849872791</v>
      </c>
      <c r="DM37" s="6" t="str">
        <f>+Efficiency1!D141</f>
        <v>RC BR</v>
      </c>
    </row>
    <row r="38" spans="1:117">
      <c r="A38" s="18">
        <f>+Chem!A37</f>
        <v>45959</v>
      </c>
      <c r="B38" s="6" t="str">
        <f>+Chem!B37</f>
        <v>Towel</v>
      </c>
      <c r="C38" s="6" t="str">
        <f>+Chem!C37</f>
        <v>30/31,5</v>
      </c>
      <c r="D38" s="9">
        <f>+Chem!D37</f>
        <v>72.42</v>
      </c>
      <c r="E38" s="7">
        <f>+Chem!E37</f>
        <v>72.962999999999994</v>
      </c>
      <c r="F38" s="7">
        <f>+E38+F37</f>
        <v>1539.1</v>
      </c>
      <c r="G38" s="101"/>
      <c r="H38" s="11">
        <f>G38/DG38*100</f>
        <v>0</v>
      </c>
      <c r="I38" s="9">
        <f>G38+I37</f>
        <v>92500</v>
      </c>
      <c r="J38" s="11">
        <f>I38/DH38*100</f>
        <v>4.8942299225400765</v>
      </c>
      <c r="K38" s="101"/>
      <c r="L38" s="11">
        <f>+K38/DG38*100</f>
        <v>0</v>
      </c>
      <c r="M38" s="11">
        <f>+K38+M37</f>
        <v>0</v>
      </c>
      <c r="N38" s="11">
        <f>+M38/DH38*100</f>
        <v>0</v>
      </c>
      <c r="O38" s="101">
        <f>100*O7</f>
        <v>24485.1</v>
      </c>
      <c r="P38" s="11">
        <f>+O38/DG38*100</f>
        <v>28.696245301792789</v>
      </c>
      <c r="Q38" s="11">
        <f>+O38+Q37</f>
        <v>32810.034</v>
      </c>
      <c r="R38" s="11">
        <f>+Q38/DH38*100</f>
        <v>1.7359983801335923</v>
      </c>
      <c r="S38" s="101"/>
      <c r="T38" s="11">
        <f>+S38/DG38*100</f>
        <v>0</v>
      </c>
      <c r="U38" s="11">
        <f>+S38+U37</f>
        <v>0</v>
      </c>
      <c r="V38" s="11">
        <f>+U38/DH38*100</f>
        <v>0</v>
      </c>
      <c r="W38" s="101"/>
      <c r="X38" s="11">
        <f>+W38/DG38*100</f>
        <v>0</v>
      </c>
      <c r="Y38" s="11">
        <f>+W38+Y37</f>
        <v>0</v>
      </c>
      <c r="Z38" s="11">
        <f>+Y38/DH38*100</f>
        <v>0</v>
      </c>
      <c r="AA38" s="11">
        <f>G38+K38+W38+S38+O38</f>
        <v>24485.1</v>
      </c>
      <c r="AB38" s="11">
        <f>AA38/DG38*100</f>
        <v>28.696245301792789</v>
      </c>
      <c r="AC38" s="11">
        <f>AA38+AC37</f>
        <v>125310.03399999999</v>
      </c>
      <c r="AD38" s="11">
        <f>AC38/DH38*100</f>
        <v>6.6302283026736681</v>
      </c>
      <c r="AE38" s="11"/>
      <c r="AF38" s="11">
        <f>AE38/DG38*100</f>
        <v>0</v>
      </c>
      <c r="AG38" s="11">
        <f>+AE38+AG37</f>
        <v>0</v>
      </c>
      <c r="AH38" s="11">
        <f>AG38/DH38*100</f>
        <v>0</v>
      </c>
      <c r="AI38" s="11"/>
      <c r="AJ38" s="11">
        <f>AI38/DG38*100</f>
        <v>0</v>
      </c>
      <c r="AK38" s="11">
        <f>+AI38+AK37</f>
        <v>0</v>
      </c>
      <c r="AL38" s="11">
        <f>AK38/DH38*100</f>
        <v>0</v>
      </c>
      <c r="AM38" s="11">
        <f>+AE38+AI38</f>
        <v>0</v>
      </c>
      <c r="AN38" s="11">
        <f>AM38/DG38*100</f>
        <v>0</v>
      </c>
      <c r="AO38" s="11">
        <f>+AM38+AO37</f>
        <v>0</v>
      </c>
      <c r="AP38" s="11">
        <f>AO38/DH38*100</f>
        <v>0</v>
      </c>
      <c r="AQ38" s="101">
        <v>29635</v>
      </c>
      <c r="AR38" s="11">
        <f>AQ38/DG38*100</f>
        <v>34.73186670745185</v>
      </c>
      <c r="AS38" s="11">
        <f>AQ38+AS37</f>
        <v>967245.99829495209</v>
      </c>
      <c r="AT38" s="11">
        <f>AS38/DH38*100</f>
        <v>51.177560079051922</v>
      </c>
      <c r="AU38" s="101"/>
      <c r="AV38" s="11" t="e">
        <f>AU38/EF38*100</f>
        <v>#DIV/0!</v>
      </c>
      <c r="AW38" s="11">
        <f>AU38+AW37</f>
        <v>57876.185051282861</v>
      </c>
      <c r="AX38" s="11" t="e">
        <f>AW38/EG38*100</f>
        <v>#DIV/0!</v>
      </c>
      <c r="AY38" s="101"/>
      <c r="AZ38" s="11">
        <f>AY38/DG38*100</f>
        <v>0</v>
      </c>
      <c r="BA38" s="11">
        <f>AY38+BA37</f>
        <v>0</v>
      </c>
      <c r="BB38" s="11">
        <f>BA38/DH38*100</f>
        <v>0</v>
      </c>
      <c r="BC38" s="101"/>
      <c r="BD38" s="11">
        <f>BC38/DG38*100</f>
        <v>0</v>
      </c>
      <c r="BE38" s="11">
        <f t="shared" si="88"/>
        <v>0</v>
      </c>
      <c r="BF38" s="11">
        <f>BE38/DH38*100</f>
        <v>0</v>
      </c>
      <c r="BG38" s="101"/>
      <c r="BH38" s="11">
        <f>BG38/DG38*100</f>
        <v>0</v>
      </c>
      <c r="BI38" s="11">
        <f>BG38+BI37</f>
        <v>113086.31248820714</v>
      </c>
      <c r="BJ38" s="11">
        <f>BI38/DH38*100</f>
        <v>5.9834639395621734</v>
      </c>
      <c r="BK38" s="101"/>
      <c r="BL38" s="11">
        <f>BK38/DG38*100</f>
        <v>0</v>
      </c>
      <c r="BM38" s="11">
        <f>BK38+BM37</f>
        <v>0</v>
      </c>
      <c r="BN38" s="11">
        <f>BM38/DH38*100</f>
        <v>0</v>
      </c>
      <c r="BO38" s="101"/>
      <c r="BP38" s="11">
        <f>BO38/DG38*100</f>
        <v>0</v>
      </c>
      <c r="BQ38" s="11">
        <f>BO38+BQ37</f>
        <v>0</v>
      </c>
      <c r="BR38" s="11">
        <f>BQ38/DH38*100</f>
        <v>0</v>
      </c>
      <c r="BS38" s="101"/>
      <c r="BT38" s="11">
        <f>BS38/DG38*100</f>
        <v>0</v>
      </c>
      <c r="BU38" s="11">
        <f>BS38+BU37</f>
        <v>110</v>
      </c>
      <c r="BV38" s="11">
        <f>BU38/DH38*100</f>
        <v>5.8201653132909023E-3</v>
      </c>
      <c r="BW38" s="101">
        <v>11850</v>
      </c>
      <c r="BX38" s="11">
        <f>BW38/DG38*100</f>
        <v>13.888058730666591</v>
      </c>
      <c r="BY38" s="11">
        <f>BW38+BY37</f>
        <v>120115</v>
      </c>
      <c r="BZ38" s="11">
        <f>BY38/DH38*100</f>
        <v>6.3553559691448793</v>
      </c>
      <c r="CA38" s="101"/>
      <c r="CB38" s="11">
        <f>CA38/DG38*100</f>
        <v>0</v>
      </c>
      <c r="CC38" s="11">
        <f>CA38+CC37</f>
        <v>94870.721704971147</v>
      </c>
      <c r="CD38" s="11">
        <f>CC38/DH38*100</f>
        <v>5.0196662155831584</v>
      </c>
      <c r="CE38" s="101">
        <v>19355</v>
      </c>
      <c r="CF38" s="11">
        <f>CE38/DG38*100</f>
        <v>22.683829260088764</v>
      </c>
      <c r="CG38" s="11">
        <f>CE38+CG37</f>
        <v>401650</v>
      </c>
      <c r="CH38" s="11">
        <f>CG38/DH38*100</f>
        <v>21.251539982575373</v>
      </c>
      <c r="CI38" s="101"/>
      <c r="CJ38" s="11">
        <f>CI38/DG38*100</f>
        <v>0</v>
      </c>
      <c r="CK38" s="11">
        <f>CI38+CK37</f>
        <v>437.89324461160135</v>
      </c>
      <c r="CL38" s="11">
        <f>CK38/DH38*100</f>
        <v>2.3169191574662278E-2</v>
      </c>
      <c r="CM38" s="101"/>
      <c r="CN38" s="11">
        <f>CM38/DG38*100</f>
        <v>0</v>
      </c>
      <c r="CO38" s="11">
        <f>CM38+CO37</f>
        <v>8596.0309177959734</v>
      </c>
      <c r="CP38" s="11">
        <f>CO38/DH38*100</f>
        <v>0.45482109981574809</v>
      </c>
      <c r="CQ38" s="101"/>
      <c r="CR38" s="11">
        <f>CQ38/DG38*100</f>
        <v>0</v>
      </c>
      <c r="CS38" s="11">
        <f>CQ38+CS37</f>
        <v>682.50489507723341</v>
      </c>
      <c r="CT38" s="11">
        <f>CS38/DH38*100</f>
        <v>3.6111739240725096E-2</v>
      </c>
      <c r="CU38" s="101">
        <f>+AQ38+AY38+BO38+BS38+BW38+CA38+CE38+CI38+CM38+CQ38+AU38+BG38+BC38+BK38</f>
        <v>60840</v>
      </c>
      <c r="CV38" s="11">
        <f>CU38/DG38*100</f>
        <v>71.3037546982072</v>
      </c>
      <c r="CW38" s="11">
        <f>CU38+CW37</f>
        <v>1764670.6465968981</v>
      </c>
      <c r="CX38" s="11">
        <f>CW38/DH38*100</f>
        <v>93.369771697326314</v>
      </c>
      <c r="CY38" s="101"/>
      <c r="CZ38" s="17">
        <f>CY38/DG38*100</f>
        <v>0</v>
      </c>
      <c r="DA38" s="11">
        <f>CY38+DA37</f>
        <v>0</v>
      </c>
      <c r="DB38" s="11">
        <f>DA38/DH38*100</f>
        <v>0</v>
      </c>
      <c r="DC38" s="11">
        <v>0</v>
      </c>
      <c r="DD38" s="11">
        <f>DC38/DG38*100</f>
        <v>0</v>
      </c>
      <c r="DE38" s="11">
        <f>DC38+DE37</f>
        <v>0</v>
      </c>
      <c r="DF38" s="11">
        <f>DE38/DH38*100</f>
        <v>0</v>
      </c>
      <c r="DG38" s="11">
        <f>+AA38+CU38+CY38+DC38</f>
        <v>85325.1</v>
      </c>
      <c r="DH38" s="11">
        <f>DG38+DH37</f>
        <v>1889980.6805968983</v>
      </c>
      <c r="DI38" s="11">
        <f>DG38/1000/E38</f>
        <v>1.1694297109493854</v>
      </c>
      <c r="DJ38" s="11">
        <f>(DH38/1000)/F38</f>
        <v>1.2279778315878751</v>
      </c>
      <c r="DK38" s="498">
        <f>+(E38*1000)/CU38</f>
        <v>1.1992603550295857</v>
      </c>
      <c r="DL38" s="499">
        <f>+(F38*1000)/CW38</f>
        <v>0.87217408130412166</v>
      </c>
      <c r="DM38" s="6" t="str">
        <f>+Efficiency1!D146</f>
        <v>RC BR</v>
      </c>
    </row>
    <row r="39" spans="1:117">
      <c r="A39" s="18">
        <f>+Chem!A38</f>
        <v>45960</v>
      </c>
      <c r="B39" s="6" t="str">
        <f>+Chem!B38</f>
        <v>Towel/Napkin</v>
      </c>
      <c r="C39" s="6" t="str">
        <f>+Chem!C38</f>
        <v>31,5/25/19</v>
      </c>
      <c r="D39" s="9">
        <f>+Chem!D38</f>
        <v>68.887</v>
      </c>
      <c r="E39" s="7">
        <f>+Chem!E38</f>
        <v>68.492999999999995</v>
      </c>
      <c r="F39" s="7">
        <f>+E39+F38</f>
        <v>1607.5929999999998</v>
      </c>
      <c r="G39" s="101"/>
      <c r="H39" s="11">
        <f>G39/DG39*100</f>
        <v>0</v>
      </c>
      <c r="I39" s="9">
        <f>G39+I38</f>
        <v>92500</v>
      </c>
      <c r="J39" s="11">
        <f>I39/DH39*100</f>
        <v>4.7152371036565057</v>
      </c>
      <c r="K39" s="101"/>
      <c r="L39" s="11">
        <f>+K39/DG39*100</f>
        <v>0</v>
      </c>
      <c r="M39" s="11">
        <f>+K39+M38</f>
        <v>0</v>
      </c>
      <c r="N39" s="11">
        <f>+M39/DH39*100</f>
        <v>0</v>
      </c>
      <c r="O39" s="101">
        <f>36*O7</f>
        <v>8814.6360000000004</v>
      </c>
      <c r="P39" s="11">
        <f>+O39/DG39*100</f>
        <v>12.286125474244516</v>
      </c>
      <c r="Q39" s="11">
        <f>+O39+Q38</f>
        <v>41624.67</v>
      </c>
      <c r="R39" s="11">
        <f>+Q39/DH39*100</f>
        <v>2.121839874718463</v>
      </c>
      <c r="S39" s="101"/>
      <c r="T39" s="11">
        <f>+S39/DG39*100</f>
        <v>0</v>
      </c>
      <c r="U39" s="11">
        <f>+S39+U38</f>
        <v>0</v>
      </c>
      <c r="V39" s="11">
        <f>+U39/DH39*100</f>
        <v>0</v>
      </c>
      <c r="W39" s="101"/>
      <c r="X39" s="11">
        <f>+W39/DG39*100</f>
        <v>0</v>
      </c>
      <c r="Y39" s="11">
        <f>+W39+Y38</f>
        <v>0</v>
      </c>
      <c r="Z39" s="11">
        <f>+Y39/DH39*100</f>
        <v>0</v>
      </c>
      <c r="AA39" s="11">
        <f>G39+K39+W39+S39+O39</f>
        <v>8814.6360000000004</v>
      </c>
      <c r="AB39" s="11">
        <f>AA39/DG39*100</f>
        <v>12.286125474244516</v>
      </c>
      <c r="AC39" s="11">
        <f>AA39+AC38</f>
        <v>134124.66999999998</v>
      </c>
      <c r="AD39" s="11">
        <f>AC39/DH39*100</f>
        <v>6.8370769783749674</v>
      </c>
      <c r="AE39" s="11"/>
      <c r="AF39" s="11">
        <f>AE39/DG39*100</f>
        <v>0</v>
      </c>
      <c r="AG39" s="11">
        <f>+AE39+AG38</f>
        <v>0</v>
      </c>
      <c r="AH39" s="11">
        <f>AG39/DH39*100</f>
        <v>0</v>
      </c>
      <c r="AI39" s="11"/>
      <c r="AJ39" s="11">
        <f>AI39/DG39*100</f>
        <v>0</v>
      </c>
      <c r="AK39" s="11">
        <f>+AI39+AK38</f>
        <v>0</v>
      </c>
      <c r="AL39" s="11">
        <f>AK39/DH39*100</f>
        <v>0</v>
      </c>
      <c r="AM39" s="11">
        <f>+AE39+AI39</f>
        <v>0</v>
      </c>
      <c r="AN39" s="11">
        <f>AM39/DG39*100</f>
        <v>0</v>
      </c>
      <c r="AO39" s="11">
        <f>+AM39+AO38</f>
        <v>0</v>
      </c>
      <c r="AP39" s="11">
        <f>AO39/DH39*100</f>
        <v>0</v>
      </c>
      <c r="AQ39" s="101">
        <v>30855</v>
      </c>
      <c r="AR39" s="11">
        <f>AQ39/DG39*100</f>
        <v>43.006699483428982</v>
      </c>
      <c r="AS39" s="11">
        <f>AQ39+AS38</f>
        <v>998100.99829495209</v>
      </c>
      <c r="AT39" s="11">
        <f>AS39/DH39*100</f>
        <v>50.878733625480606</v>
      </c>
      <c r="AU39" s="101"/>
      <c r="AV39" s="11" t="e">
        <f>AU39/EF39*100</f>
        <v>#DIV/0!</v>
      </c>
      <c r="AW39" s="11">
        <f>AU39+AW38</f>
        <v>57876.185051282861</v>
      </c>
      <c r="AX39" s="11" t="e">
        <f>AW39/EG39*100</f>
        <v>#DIV/0!</v>
      </c>
      <c r="AY39" s="101"/>
      <c r="AZ39" s="11">
        <f>AY39/DG39*100</f>
        <v>0</v>
      </c>
      <c r="BA39" s="11">
        <f>AY39+BA38</f>
        <v>0</v>
      </c>
      <c r="BB39" s="11">
        <f>BA39/DH39*100</f>
        <v>0</v>
      </c>
      <c r="BC39" s="101"/>
      <c r="BD39" s="11">
        <f>BC39/DG39*100</f>
        <v>0</v>
      </c>
      <c r="BE39" s="11">
        <f t="shared" si="88"/>
        <v>0</v>
      </c>
      <c r="BF39" s="11">
        <f>BE39/DH39*100</f>
        <v>0</v>
      </c>
      <c r="BG39" s="101"/>
      <c r="BH39" s="11">
        <f>BG39/DG39*100</f>
        <v>0</v>
      </c>
      <c r="BI39" s="11">
        <f>BG39+BI38</f>
        <v>113086.31248820714</v>
      </c>
      <c r="BJ39" s="11">
        <f>BI39/DH39*100</f>
        <v>5.7646354222712253</v>
      </c>
      <c r="BK39" s="101"/>
      <c r="BL39" s="11">
        <f>BK39/DG39*100</f>
        <v>0</v>
      </c>
      <c r="BM39" s="11">
        <f>BK39+BM38</f>
        <v>0</v>
      </c>
      <c r="BN39" s="11">
        <f>BM39/DH39*100</f>
        <v>0</v>
      </c>
      <c r="BO39" s="101"/>
      <c r="BP39" s="11">
        <f>BO39/DG39*100</f>
        <v>0</v>
      </c>
      <c r="BQ39" s="11">
        <f>BO39+BQ38</f>
        <v>0</v>
      </c>
      <c r="BR39" s="11">
        <f>BQ39/DH39*100</f>
        <v>0</v>
      </c>
      <c r="BS39" s="101"/>
      <c r="BT39" s="11">
        <f>BS39/DG39*100</f>
        <v>0</v>
      </c>
      <c r="BU39" s="11">
        <f>BS39+BU38</f>
        <v>110</v>
      </c>
      <c r="BV39" s="11">
        <f>BU39/DH39*100</f>
        <v>5.6073089881320606E-3</v>
      </c>
      <c r="BW39" s="101">
        <v>12160</v>
      </c>
      <c r="BX39" s="11">
        <f>BW39/DG39*100</f>
        <v>16.949002291962287</v>
      </c>
      <c r="BY39" s="11">
        <f>BW39+BY38</f>
        <v>132275</v>
      </c>
      <c r="BZ39" s="11">
        <f>BY39/DH39*100</f>
        <v>6.7427890582288024</v>
      </c>
      <c r="CA39" s="101"/>
      <c r="CB39" s="11">
        <f>CA39/DG39*100</f>
        <v>0</v>
      </c>
      <c r="CC39" s="11">
        <f>CA39+CC38</f>
        <v>94870.721704971147</v>
      </c>
      <c r="CD39" s="11">
        <f>CC39/DH39*100</f>
        <v>4.836085913880547</v>
      </c>
      <c r="CE39" s="101">
        <v>19915</v>
      </c>
      <c r="CF39" s="11">
        <f>CE39/DG39*100</f>
        <v>27.758172750364224</v>
      </c>
      <c r="CG39" s="11">
        <f>CE39+CG38</f>
        <v>421565</v>
      </c>
      <c r="CH39" s="11">
        <f>CG39/DH39*100</f>
        <v>21.489501941653565</v>
      </c>
      <c r="CI39" s="101"/>
      <c r="CJ39" s="11">
        <f>CI39/DG39*100</f>
        <v>0</v>
      </c>
      <c r="CK39" s="11">
        <f>CI39+CK38</f>
        <v>437.89324461160135</v>
      </c>
      <c r="CL39" s="11">
        <f>CK39/DH39*100</f>
        <v>2.2321842966844939E-2</v>
      </c>
      <c r="CM39" s="101"/>
      <c r="CN39" s="11">
        <f>CM39/DG39*100</f>
        <v>0</v>
      </c>
      <c r="CO39" s="11">
        <f>CM39+CO38</f>
        <v>8596.0309177959734</v>
      </c>
      <c r="CP39" s="11">
        <f>CO39/DH39*100</f>
        <v>0.43818728570562232</v>
      </c>
      <c r="CQ39" s="101"/>
      <c r="CR39" s="11">
        <f>CQ39/DG39*100</f>
        <v>0</v>
      </c>
      <c r="CS39" s="11">
        <f>CQ39+CS38</f>
        <v>682.50489507723341</v>
      </c>
      <c r="CT39" s="11">
        <f>CS39/DH39*100</f>
        <v>3.4791053023733635E-2</v>
      </c>
      <c r="CU39" s="101">
        <f>+AQ39+AY39+BO39+BS39+BW39+CA39+CE39+CI39+CM39+CQ39+AU39+BG39+BC39+BK39</f>
        <v>62930</v>
      </c>
      <c r="CV39" s="11">
        <f>CU39/DG39*100</f>
        <v>87.713874525755486</v>
      </c>
      <c r="CW39" s="11">
        <f>CU39+CW38</f>
        <v>1827600.6465968981</v>
      </c>
      <c r="CX39" s="11">
        <f>CW39/DH39*100</f>
        <v>93.162923021625019</v>
      </c>
      <c r="CY39" s="101"/>
      <c r="CZ39" s="17">
        <f>CY39/DG39*100</f>
        <v>0</v>
      </c>
      <c r="DA39" s="11">
        <f>CY39+DA38</f>
        <v>0</v>
      </c>
      <c r="DB39" s="11">
        <f>DA39/DH39*100</f>
        <v>0</v>
      </c>
      <c r="DC39" s="11">
        <v>0</v>
      </c>
      <c r="DD39" s="11">
        <f>DC39/DG39*100</f>
        <v>0</v>
      </c>
      <c r="DE39" s="11">
        <f>DC39+DE38</f>
        <v>0</v>
      </c>
      <c r="DF39" s="11">
        <f>DE39/DH39*100</f>
        <v>0</v>
      </c>
      <c r="DG39" s="11">
        <f>+AA39+CU39+CY39+DC39</f>
        <v>71744.635999999999</v>
      </c>
      <c r="DH39" s="11">
        <f>DG39+DH38</f>
        <v>1961725.3165968983</v>
      </c>
      <c r="DI39" s="11">
        <f>DG39/1000/E39</f>
        <v>1.0474739900427781</v>
      </c>
      <c r="DJ39" s="11">
        <f>(DH39/1000)/F39</f>
        <v>1.2202872969693812</v>
      </c>
      <c r="DK39" s="498">
        <f>+(E39*1000)/CU39</f>
        <v>1.0883998093119338</v>
      </c>
      <c r="DL39" s="499">
        <f>+(F39*1000)/CW39</f>
        <v>0.87961940864566568</v>
      </c>
      <c r="DM39" s="6" t="str">
        <f>+Efficiency1!D146</f>
        <v>RC BR</v>
      </c>
    </row>
    <row r="40" spans="1:117">
      <c r="A40" s="18">
        <f>+Chem!A39</f>
        <v>45961</v>
      </c>
      <c r="B40" s="6" t="str">
        <f>+Chem!B39</f>
        <v>Napkin</v>
      </c>
      <c r="C40" s="6" t="str">
        <f>+Chem!C39</f>
        <v>19/16</v>
      </c>
      <c r="D40" s="9">
        <f>+Chem!D39</f>
        <v>45.510000000000005</v>
      </c>
      <c r="E40" s="7">
        <f>+Chem!E39</f>
        <v>41.704000000000001</v>
      </c>
      <c r="F40" s="7">
        <f>+E40+F39</f>
        <v>1649.2969999999998</v>
      </c>
      <c r="G40" s="101"/>
      <c r="H40" s="11">
        <f>G40/DG40*100</f>
        <v>0</v>
      </c>
      <c r="I40" s="9">
        <f>G40+I39</f>
        <v>92500</v>
      </c>
      <c r="J40" s="11">
        <f>I40/DH40*100</f>
        <v>4.5629837203141275</v>
      </c>
      <c r="K40" s="101"/>
      <c r="L40" s="11">
        <f>+K40/DG40*100</f>
        <v>0</v>
      </c>
      <c r="M40" s="11">
        <f>+K40+M39</f>
        <v>0</v>
      </c>
      <c r="N40" s="11">
        <f>+M40/DH40*100</f>
        <v>0</v>
      </c>
      <c r="O40" s="101">
        <f>20*O7</f>
        <v>4897.0200000000004</v>
      </c>
      <c r="P40" s="11">
        <f>+O40/DG40*100</f>
        <v>7.4812754995568085</v>
      </c>
      <c r="Q40" s="11">
        <f>+O40+Q39</f>
        <v>46521.69</v>
      </c>
      <c r="R40" s="11">
        <f>+Q40/DH40*100</f>
        <v>2.2948942066108167</v>
      </c>
      <c r="S40" s="101"/>
      <c r="T40" s="11">
        <f>+S40/DG40*100</f>
        <v>0</v>
      </c>
      <c r="U40" s="11">
        <f>+S40+U39</f>
        <v>0</v>
      </c>
      <c r="V40" s="11">
        <f>+U40/DH40*100</f>
        <v>0</v>
      </c>
      <c r="W40" s="101"/>
      <c r="X40" s="11">
        <f>+W40/DG40*100</f>
        <v>0</v>
      </c>
      <c r="Y40" s="11">
        <f>+W40+Y39</f>
        <v>0</v>
      </c>
      <c r="Z40" s="11">
        <f>+Y40/DH40*100</f>
        <v>0</v>
      </c>
      <c r="AA40" s="11">
        <f>G40+K40+W40+S40+O40</f>
        <v>4897.0200000000004</v>
      </c>
      <c r="AB40" s="11">
        <f>AA40/DG40*100</f>
        <v>7.4812754995568085</v>
      </c>
      <c r="AC40" s="11">
        <f>AA40+AC39</f>
        <v>139021.68999999997</v>
      </c>
      <c r="AD40" s="11">
        <f>AC40/DH40*100</f>
        <v>6.8578779269249424</v>
      </c>
      <c r="AE40" s="11"/>
      <c r="AF40" s="11">
        <f>AE40/DG40*100</f>
        <v>0</v>
      </c>
      <c r="AG40" s="11">
        <f>+AE40+AG39</f>
        <v>0</v>
      </c>
      <c r="AH40" s="11">
        <f>AG40/DH40*100</f>
        <v>0</v>
      </c>
      <c r="AI40" s="11"/>
      <c r="AJ40" s="11">
        <f>AI40/DG40*100</f>
        <v>0</v>
      </c>
      <c r="AK40" s="11">
        <f>+AI40+AK39</f>
        <v>0</v>
      </c>
      <c r="AL40" s="11">
        <f>AK40/DH40*100</f>
        <v>0</v>
      </c>
      <c r="AM40" s="11">
        <f>+AE40+AI40</f>
        <v>0</v>
      </c>
      <c r="AN40" s="11">
        <f>AM40/DG40*100</f>
        <v>0</v>
      </c>
      <c r="AO40" s="11">
        <f>+AM40+AO39</f>
        <v>0</v>
      </c>
      <c r="AP40" s="11">
        <f>AO40/DH40*100</f>
        <v>0</v>
      </c>
      <c r="AQ40" s="101">
        <v>29750</v>
      </c>
      <c r="AR40" s="11">
        <f>AQ40/DG40*100</f>
        <v>45.449670638840566</v>
      </c>
      <c r="AS40" s="11">
        <f>AQ40+AS39</f>
        <v>1027850.9982949521</v>
      </c>
      <c r="AT40" s="11">
        <f>AS40/DH40*100</f>
        <v>50.703431050037729</v>
      </c>
      <c r="AU40" s="101"/>
      <c r="AV40" s="11" t="e">
        <f>AU40/EF40*100</f>
        <v>#DIV/0!</v>
      </c>
      <c r="AW40" s="11">
        <f>AU40+AW39</f>
        <v>57876.185051282861</v>
      </c>
      <c r="AX40" s="11" t="e">
        <f>AW40/EG40*100</f>
        <v>#DIV/0!</v>
      </c>
      <c r="AY40" s="101"/>
      <c r="AZ40" s="11">
        <f>AY40/DG40*100</f>
        <v>0</v>
      </c>
      <c r="BA40" s="11">
        <f>AY40+BA39</f>
        <v>0</v>
      </c>
      <c r="BB40" s="11">
        <f>BA40/DH40*100</f>
        <v>0</v>
      </c>
      <c r="BC40" s="101"/>
      <c r="BD40" s="11">
        <f>BC40/DG40*100</f>
        <v>0</v>
      </c>
      <c r="BE40" s="11">
        <f t="shared" si="88"/>
        <v>0</v>
      </c>
      <c r="BF40" s="11">
        <f>BE40/DH40*100</f>
        <v>0</v>
      </c>
      <c r="BG40" s="101"/>
      <c r="BH40" s="11">
        <f>BG40/DG40*100</f>
        <v>0</v>
      </c>
      <c r="BI40" s="11">
        <f>BG40+BI39</f>
        <v>113086.31248820714</v>
      </c>
      <c r="BJ40" s="11">
        <f>BI40/DH40*100</f>
        <v>5.5784973283680577</v>
      </c>
      <c r="BK40" s="101"/>
      <c r="BL40" s="11">
        <f>BK40/DG40*100</f>
        <v>0</v>
      </c>
      <c r="BM40" s="11">
        <f>BK40+BM39</f>
        <v>0</v>
      </c>
      <c r="BN40" s="11">
        <f>BM40/DH40*100</f>
        <v>0</v>
      </c>
      <c r="BO40" s="101"/>
      <c r="BP40" s="11">
        <f>BO40/DG40*100</f>
        <v>0</v>
      </c>
      <c r="BQ40" s="11">
        <f>BO40+BQ39</f>
        <v>0</v>
      </c>
      <c r="BR40" s="11">
        <f>BQ40/DH40*100</f>
        <v>0</v>
      </c>
      <c r="BS40" s="101"/>
      <c r="BT40" s="11">
        <f>BS40/DG40*100</f>
        <v>0</v>
      </c>
      <c r="BU40" s="11">
        <f>BS40+BU39</f>
        <v>110</v>
      </c>
      <c r="BV40" s="11">
        <f>BU40/DH40*100</f>
        <v>5.4262509106438274E-3</v>
      </c>
      <c r="BW40" s="101">
        <v>11680</v>
      </c>
      <c r="BX40" s="11">
        <f>BW40/DG40*100</f>
        <v>17.843769850812027</v>
      </c>
      <c r="BY40" s="11">
        <f>BW40+BY39</f>
        <v>143955</v>
      </c>
      <c r="BZ40" s="11">
        <f>BY40/DH40*100</f>
        <v>7.1012359076521108</v>
      </c>
      <c r="CA40" s="101"/>
      <c r="CB40" s="11">
        <f>CA40/DG40*100</f>
        <v>0</v>
      </c>
      <c r="CC40" s="11">
        <f>CA40+CC39</f>
        <v>94870.721704971147</v>
      </c>
      <c r="CD40" s="11">
        <f>CC40/DH40*100</f>
        <v>4.6799303640457888</v>
      </c>
      <c r="CE40" s="101">
        <v>19130</v>
      </c>
      <c r="CF40" s="11">
        <f>CE40/DG40*100</f>
        <v>29.225284010790592</v>
      </c>
      <c r="CG40" s="11">
        <f>CE40+CG39</f>
        <v>440695</v>
      </c>
      <c r="CH40" s="11">
        <f>CG40/DH40*100</f>
        <v>21.739287682419832</v>
      </c>
      <c r="CI40" s="101"/>
      <c r="CJ40" s="11">
        <f>CI40/DG40*100</f>
        <v>0</v>
      </c>
      <c r="CK40" s="11">
        <f>CI40+CK39</f>
        <v>437.89324461160135</v>
      </c>
      <c r="CL40" s="11">
        <f>CK40/DH40*100</f>
        <v>2.1601078339440742E-2</v>
      </c>
      <c r="CM40" s="101"/>
      <c r="CN40" s="11">
        <f>CM40/DG40*100</f>
        <v>0</v>
      </c>
      <c r="CO40" s="11">
        <f>CM40+CO39</f>
        <v>8596.0309177959734</v>
      </c>
      <c r="CP40" s="11">
        <f>CO40/DH40*100</f>
        <v>0.42403836905102632</v>
      </c>
      <c r="CQ40" s="101"/>
      <c r="CR40" s="11">
        <f>CQ40/DG40*100</f>
        <v>0</v>
      </c>
      <c r="CS40" s="11">
        <f>CQ40+CS39</f>
        <v>682.50489507723341</v>
      </c>
      <c r="CT40" s="11">
        <f>CS40/DH40*100</f>
        <v>3.3667661894833702E-2</v>
      </c>
      <c r="CU40" s="101">
        <f>+AQ40+AY40+BO40+BS40+BW40+CA40+CE40+CI40+CM40+CQ40+AU40+BG40+BC40+BK40</f>
        <v>60560</v>
      </c>
      <c r="CV40" s="11">
        <f>CU40/DG40*100</f>
        <v>92.518724500443184</v>
      </c>
      <c r="CW40" s="11">
        <f>CU40+CW39</f>
        <v>1888160.6465968981</v>
      </c>
      <c r="CX40" s="11">
        <f>CW40/DH40*100</f>
        <v>93.142122073075058</v>
      </c>
      <c r="CY40" s="101"/>
      <c r="CZ40" s="17">
        <f>CY40/DG40*100</f>
        <v>0</v>
      </c>
      <c r="DA40" s="11">
        <f>CY40+DA39</f>
        <v>0</v>
      </c>
      <c r="DB40" s="11">
        <f>DA40/DH40*100</f>
        <v>0</v>
      </c>
      <c r="DC40" s="11">
        <v>0</v>
      </c>
      <c r="DD40" s="11">
        <f>DC40/DG40*100</f>
        <v>0</v>
      </c>
      <c r="DE40" s="11">
        <f>DC40+DE39</f>
        <v>0</v>
      </c>
      <c r="DF40" s="11">
        <f>DE40/DH40*100</f>
        <v>0</v>
      </c>
      <c r="DG40" s="11">
        <f>+AA40+CU40+CY40+DC40</f>
        <v>65457.020000000004</v>
      </c>
      <c r="DH40" s="11">
        <f>DG40+DH39</f>
        <v>2027182.3365968983</v>
      </c>
      <c r="DI40" s="11">
        <f>DG40/1000/E40</f>
        <v>1.5695621523115288</v>
      </c>
      <c r="DJ40" s="11">
        <f>(DH40/1000)/F40</f>
        <v>1.2291190347141228</v>
      </c>
      <c r="DK40" s="498">
        <f>+(E40*1000)/CU40</f>
        <v>0.68863936591809771</v>
      </c>
      <c r="DL40" s="499">
        <f>+(F40*1000)/CW40</f>
        <v>0.87349400220399087</v>
      </c>
      <c r="DM40" s="6" t="str">
        <f>+Efficiency1!D155</f>
        <v>RC BR</v>
      </c>
    </row>
    <row r="41" spans="1:117">
      <c r="A41" s="18"/>
      <c r="B41" s="18"/>
      <c r="C41" s="18"/>
      <c r="D41" s="9"/>
      <c r="E41" s="7"/>
      <c r="F41" s="7"/>
      <c r="G41" s="101"/>
      <c r="H41" s="11"/>
      <c r="I41" s="9"/>
      <c r="J41" s="11"/>
      <c r="K41" s="101"/>
      <c r="L41" s="11"/>
      <c r="M41" s="11"/>
      <c r="N41" s="11"/>
      <c r="O41" s="101"/>
      <c r="P41" s="11"/>
      <c r="Q41" s="11"/>
      <c r="R41" s="11"/>
      <c r="S41" s="101"/>
      <c r="T41" s="11"/>
      <c r="U41" s="11"/>
      <c r="V41" s="11"/>
      <c r="W41" s="10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01"/>
      <c r="AR41" s="11"/>
      <c r="AS41" s="11"/>
      <c r="AT41" s="11"/>
      <c r="AU41" s="101"/>
      <c r="AV41" s="11"/>
      <c r="AW41" s="11"/>
      <c r="AX41" s="11"/>
      <c r="AY41" s="101"/>
      <c r="AZ41" s="11"/>
      <c r="BA41" s="11"/>
      <c r="BB41" s="11"/>
      <c r="BC41" s="101"/>
      <c r="BD41" s="11"/>
      <c r="BE41" s="11"/>
      <c r="BF41" s="11"/>
      <c r="BG41" s="101"/>
      <c r="BH41" s="11"/>
      <c r="BI41" s="11"/>
      <c r="BJ41" s="11"/>
      <c r="BK41" s="101"/>
      <c r="BL41" s="11"/>
      <c r="BM41" s="11"/>
      <c r="BN41" s="11"/>
      <c r="BO41" s="101"/>
      <c r="BP41" s="11"/>
      <c r="BQ41" s="11"/>
      <c r="BR41" s="11"/>
      <c r="BS41" s="101"/>
      <c r="BT41" s="11"/>
      <c r="BU41" s="11"/>
      <c r="BV41" s="11"/>
      <c r="BW41" s="101"/>
      <c r="BX41" s="11"/>
      <c r="BY41" s="11"/>
      <c r="BZ41" s="11"/>
      <c r="CA41" s="101"/>
      <c r="CB41" s="11"/>
      <c r="CC41" s="11"/>
      <c r="CD41" s="11"/>
      <c r="CE41" s="101"/>
      <c r="CF41" s="11"/>
      <c r="CG41" s="11"/>
      <c r="CH41" s="11"/>
      <c r="CI41" s="101"/>
      <c r="CJ41" s="11"/>
      <c r="CK41" s="11"/>
      <c r="CL41" s="11"/>
      <c r="CM41" s="101"/>
      <c r="CN41" s="11"/>
      <c r="CO41" s="11"/>
      <c r="CP41" s="11"/>
      <c r="CQ41" s="101"/>
      <c r="CR41" s="11"/>
      <c r="CS41" s="11"/>
      <c r="CT41" s="11"/>
      <c r="CU41" s="101"/>
      <c r="CV41" s="11"/>
      <c r="CW41" s="11"/>
      <c r="CX41" s="11"/>
      <c r="CY41" s="101"/>
      <c r="CZ41" s="17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6"/>
      <c r="DL41" s="498"/>
      <c r="DM41" s="6"/>
    </row>
    <row r="42" spans="1:117" ht="13.5" thickBot="1">
      <c r="A42" s="12" t="s">
        <v>29</v>
      </c>
      <c r="B42" s="12"/>
      <c r="C42" s="13"/>
      <c r="D42" s="13">
        <f>SUM(D10:D41)</f>
        <v>1726.1390000000001</v>
      </c>
      <c r="E42" s="13">
        <f>SUM(E10:E41)</f>
        <v>1649.2969999999998</v>
      </c>
      <c r="F42" s="13">
        <f>SUM(F10:F41)</f>
        <v>24688.468999999994</v>
      </c>
      <c r="G42" s="13">
        <f>SUM(G10:G41)</f>
        <v>92500</v>
      </c>
      <c r="H42" s="21">
        <f>G42/$DG$42*100</f>
        <v>4.5629837203141275</v>
      </c>
      <c r="I42" s="13"/>
      <c r="J42" s="13"/>
      <c r="K42" s="13">
        <f>SUM(K10:K41)</f>
        <v>0</v>
      </c>
      <c r="L42" s="21">
        <f>K42/$DG$42*100</f>
        <v>0</v>
      </c>
      <c r="M42" s="13"/>
      <c r="N42" s="13"/>
      <c r="O42" s="13">
        <f>SUM(O10:O41)</f>
        <v>46521.69</v>
      </c>
      <c r="P42" s="21">
        <f>O42/$DG$42*100</f>
        <v>2.2948942066108167</v>
      </c>
      <c r="Q42" s="13"/>
      <c r="R42" s="13"/>
      <c r="S42" s="13">
        <f>SUM(S10:S41)</f>
        <v>0</v>
      </c>
      <c r="T42" s="21">
        <f>S42/$DG$42*100</f>
        <v>0</v>
      </c>
      <c r="U42" s="13"/>
      <c r="V42" s="13"/>
      <c r="W42" s="13">
        <f>SUM(W10:W41)</f>
        <v>0</v>
      </c>
      <c r="X42" s="21">
        <f>W42/$DG$42*100</f>
        <v>0</v>
      </c>
      <c r="Y42" s="13"/>
      <c r="Z42" s="13"/>
      <c r="AA42" s="13">
        <f>SUM(AA10:AA41)</f>
        <v>139021.68999999997</v>
      </c>
      <c r="AB42" s="21">
        <f>AA42/$DG$42*100</f>
        <v>6.8578779269249432</v>
      </c>
      <c r="AC42" s="13"/>
      <c r="AD42" s="13"/>
      <c r="AE42" s="13">
        <f>SUM(AE10:AE41)</f>
        <v>0</v>
      </c>
      <c r="AF42" s="21">
        <f>AE42/$DG$42*100</f>
        <v>0</v>
      </c>
      <c r="AG42" s="13"/>
      <c r="AH42" s="13"/>
      <c r="AI42" s="13">
        <f>SUM(AI10:AI41)</f>
        <v>0</v>
      </c>
      <c r="AJ42" s="21">
        <f>AI42/$DG$42*100</f>
        <v>0</v>
      </c>
      <c r="AK42" s="13"/>
      <c r="AL42" s="13"/>
      <c r="AM42" s="13">
        <f>SUM(AM10:AM41)</f>
        <v>0</v>
      </c>
      <c r="AN42" s="21">
        <f>AM42/$DG$42*100</f>
        <v>0</v>
      </c>
      <c r="AO42" s="13"/>
      <c r="AP42" s="13"/>
      <c r="AQ42" s="13">
        <f>SUM(AQ10:AQ41)</f>
        <v>1027850.9982949521</v>
      </c>
      <c r="AR42" s="13">
        <f>AQ42/$DG$42*100</f>
        <v>50.703431050037736</v>
      </c>
      <c r="AS42" s="13"/>
      <c r="AT42" s="13"/>
      <c r="AU42" s="13">
        <f>SUM(AU10:AU41)</f>
        <v>57876.185051282861</v>
      </c>
      <c r="AV42" s="13">
        <f>AU42/$DG$42*100</f>
        <v>2.8550063803555843</v>
      </c>
      <c r="AW42" s="13"/>
      <c r="AX42" s="13"/>
      <c r="AY42" s="13">
        <f>SUM(AY10:AY41)</f>
        <v>0</v>
      </c>
      <c r="AZ42" s="13">
        <f>AY42/$DG$42*100</f>
        <v>0</v>
      </c>
      <c r="BA42" s="13"/>
      <c r="BB42" s="13"/>
      <c r="BC42" s="13">
        <f>SUM(BC10:BC41)</f>
        <v>0</v>
      </c>
      <c r="BD42" s="13">
        <f>BC42/$DG$42*100</f>
        <v>0</v>
      </c>
      <c r="BE42" s="13"/>
      <c r="BF42" s="13"/>
      <c r="BG42" s="13">
        <f>SUM(BG10:BG41)</f>
        <v>113086.31248820714</v>
      </c>
      <c r="BH42" s="13">
        <f>BG42/$DG$42*100</f>
        <v>5.5784973283680586</v>
      </c>
      <c r="BI42" s="13"/>
      <c r="BJ42" s="13"/>
      <c r="BK42" s="13">
        <f>SUM(BK10:BK41)</f>
        <v>0</v>
      </c>
      <c r="BL42" s="13">
        <f>BK42/$DG$42*100</f>
        <v>0</v>
      </c>
      <c r="BM42" s="13"/>
      <c r="BN42" s="13"/>
      <c r="BO42" s="13">
        <f>SUM(BO10:BO41)</f>
        <v>0</v>
      </c>
      <c r="BP42" s="13">
        <f>BO42/$DG$42*100</f>
        <v>0</v>
      </c>
      <c r="BQ42" s="13"/>
      <c r="BR42" s="13"/>
      <c r="BS42" s="13">
        <f>SUM(BS10:BS41)</f>
        <v>110</v>
      </c>
      <c r="BT42" s="13">
        <f>BS42/$DG$42*100</f>
        <v>5.4262509106438274E-3</v>
      </c>
      <c r="BU42" s="13"/>
      <c r="BV42" s="13"/>
      <c r="BW42" s="13">
        <f>SUM(BW10:BW41)</f>
        <v>143955</v>
      </c>
      <c r="BX42" s="13">
        <f>BW42/$DG$42*100</f>
        <v>7.1012359076521108</v>
      </c>
      <c r="BY42" s="13"/>
      <c r="BZ42" s="13"/>
      <c r="CA42" s="13">
        <f>SUM(CA10:CA41)</f>
        <v>94870.721704971147</v>
      </c>
      <c r="CB42" s="13">
        <f>CA42/$DG$42*100</f>
        <v>4.6799303640457897</v>
      </c>
      <c r="CC42" s="13"/>
      <c r="CD42" s="13"/>
      <c r="CE42" s="13">
        <f>SUM(CE10:CE41)</f>
        <v>440695</v>
      </c>
      <c r="CF42" s="13">
        <f>CE42/$DG$42*100</f>
        <v>21.739287682419832</v>
      </c>
      <c r="CG42" s="13"/>
      <c r="CH42" s="13"/>
      <c r="CI42" s="13">
        <f>SUM(CI10:CI41)</f>
        <v>437.89324461160135</v>
      </c>
      <c r="CJ42" s="13">
        <f>CI42/$DG$42*100</f>
        <v>2.1601078339440746E-2</v>
      </c>
      <c r="CK42" s="13"/>
      <c r="CL42" s="13"/>
      <c r="CM42" s="13">
        <f>SUM(CM10:CM41)</f>
        <v>8596.0309177959734</v>
      </c>
      <c r="CN42" s="13">
        <f>CM42/$DG$42*100</f>
        <v>0.42403836905102632</v>
      </c>
      <c r="CO42" s="13"/>
      <c r="CP42" s="13"/>
      <c r="CQ42" s="13">
        <f>SUM(CQ10:CQ41)</f>
        <v>682.50489507723341</v>
      </c>
      <c r="CR42" s="13">
        <f>CQ42/$DG$42*100</f>
        <v>3.3667661894833709E-2</v>
      </c>
      <c r="CS42" s="13"/>
      <c r="CT42" s="13"/>
      <c r="CU42" s="13">
        <f>SUM(CU10:CU41)</f>
        <v>1888160.6465968981</v>
      </c>
      <c r="CV42" s="13">
        <f>CU42/$DG$42*100</f>
        <v>93.142122073075058</v>
      </c>
      <c r="CW42" s="13"/>
      <c r="CX42" s="13"/>
      <c r="CY42" s="13">
        <f>SUM(CY10:CY41)</f>
        <v>0</v>
      </c>
      <c r="CZ42" s="13">
        <f>CY42/$DG$42*100</f>
        <v>0</v>
      </c>
      <c r="DA42" s="13"/>
      <c r="DB42" s="13"/>
      <c r="DC42" s="13">
        <f>SUM(DC10:DC41)</f>
        <v>0</v>
      </c>
      <c r="DD42" s="592">
        <f>DC42/$DG$42*100</f>
        <v>0</v>
      </c>
      <c r="DE42" s="13"/>
      <c r="DF42" s="13"/>
      <c r="DG42" s="561">
        <f>+AA42+CU42+CY42+DC42</f>
        <v>2027182.336596898</v>
      </c>
      <c r="DH42" s="13">
        <f>DG42/$DG$42*100</f>
        <v>100</v>
      </c>
      <c r="DI42" s="13">
        <f>DG42/1000/E42</f>
        <v>1.2291190347141225</v>
      </c>
      <c r="DJ42" s="13"/>
      <c r="DK42" s="6"/>
      <c r="DL42" s="498"/>
      <c r="DM42" s="6"/>
    </row>
    <row r="43" spans="1:117" ht="13.5" thickTop="1"/>
    <row r="44" spans="1:117">
      <c r="G44" s="15">
        <f>+G42+K42</f>
        <v>92500</v>
      </c>
      <c r="AQ44" s="15"/>
      <c r="AU44" s="15"/>
      <c r="AY44" s="15"/>
      <c r="BC44" s="15"/>
      <c r="BG44" s="15"/>
      <c r="BK44" s="15"/>
      <c r="CE44" s="15"/>
      <c r="CI44" s="15"/>
      <c r="DD44" s="15"/>
    </row>
    <row r="45" spans="1:117">
      <c r="E45" s="15"/>
      <c r="F45" s="15"/>
      <c r="G45" s="15">
        <f>+DG42</f>
        <v>2027182.336596898</v>
      </c>
      <c r="I45" s="15"/>
      <c r="AQ45" s="15"/>
      <c r="AU45" s="15"/>
      <c r="AY45" s="15"/>
      <c r="BC45" s="15"/>
      <c r="BG45" s="15"/>
      <c r="BK45" s="15"/>
      <c r="CE45" s="15"/>
      <c r="CI45" s="15"/>
    </row>
    <row r="46" spans="1:117">
      <c r="G46" s="501">
        <f>+G44/G45</f>
        <v>4.5629837203141274E-2</v>
      </c>
    </row>
    <row r="48" spans="1:117">
      <c r="G48">
        <f>+G42/G7</f>
        <v>370</v>
      </c>
      <c r="K48">
        <f>+K42/K7</f>
        <v>0</v>
      </c>
    </row>
  </sheetData>
  <mergeCells count="34">
    <mergeCell ref="A8:A9"/>
    <mergeCell ref="B8:B9"/>
    <mergeCell ref="C8:C9"/>
    <mergeCell ref="D8:D9"/>
    <mergeCell ref="E8:F8"/>
    <mergeCell ref="G8:J8"/>
    <mergeCell ref="K8:N8"/>
    <mergeCell ref="O8:R8"/>
    <mergeCell ref="S8:V8"/>
    <mergeCell ref="W8:Z8"/>
    <mergeCell ref="BO8:BR8"/>
    <mergeCell ref="BS8:BV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DG8:DH8"/>
    <mergeCell ref="DI8:DJ8"/>
    <mergeCell ref="DK8:DL8"/>
    <mergeCell ref="BW8:BZ8"/>
    <mergeCell ref="CA8:CD8"/>
    <mergeCell ref="CE8:CH8"/>
    <mergeCell ref="CY8:DB8"/>
    <mergeCell ref="DC8:DF8"/>
    <mergeCell ref="CM8:CP8"/>
    <mergeCell ref="CI8:CL8"/>
    <mergeCell ref="CQ8:CT8"/>
    <mergeCell ref="CU8:CX8"/>
  </mergeCells>
  <phoneticPr fontId="30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P1" activePane="topRight" state="frozen"/>
      <selection activeCell="DM11" sqref="A4:DM11"/>
      <selection pane="topRight" activeCell="AF4" sqref="AF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2" width="9.140625" hidden="1" customWidth="1"/>
    <col min="23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0</v>
      </c>
      <c r="C1">
        <v>4200</v>
      </c>
      <c r="D1">
        <v>3800</v>
      </c>
      <c r="E1">
        <v>3500</v>
      </c>
      <c r="F1">
        <v>3500</v>
      </c>
      <c r="G1">
        <v>5750</v>
      </c>
      <c r="H1">
        <v>5000</v>
      </c>
      <c r="I1">
        <v>3200</v>
      </c>
      <c r="J1">
        <v>4100</v>
      </c>
      <c r="K1">
        <v>3400</v>
      </c>
      <c r="L1">
        <v>3800</v>
      </c>
      <c r="M1">
        <v>3700</v>
      </c>
      <c r="N1">
        <v>3400</v>
      </c>
      <c r="O1">
        <v>3200</v>
      </c>
      <c r="P1">
        <v>3700</v>
      </c>
      <c r="Q1">
        <v>4840</v>
      </c>
      <c r="R1">
        <v>6200</v>
      </c>
      <c r="S1">
        <v>5500</v>
      </c>
      <c r="T1">
        <v>5970</v>
      </c>
      <c r="U1">
        <v>5970</v>
      </c>
      <c r="V1">
        <v>6000</v>
      </c>
      <c r="W1">
        <v>6800</v>
      </c>
      <c r="X1">
        <v>6800</v>
      </c>
      <c r="Y1">
        <v>3000</v>
      </c>
      <c r="Z1">
        <v>6600</v>
      </c>
      <c r="AA1">
        <v>4500</v>
      </c>
      <c r="AB1">
        <v>5200</v>
      </c>
      <c r="AC1">
        <v>4500</v>
      </c>
      <c r="AD1">
        <v>6700</v>
      </c>
      <c r="AE1">
        <v>4690</v>
      </c>
      <c r="AF1">
        <v>4500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75" t="s">
        <v>259</v>
      </c>
      <c r="AH2" s="477" t="s">
        <v>260</v>
      </c>
      <c r="AI2" s="487" t="s">
        <v>274</v>
      </c>
    </row>
    <row r="3" spans="1:35">
      <c r="A3" s="465" t="s">
        <v>204</v>
      </c>
      <c r="B3" s="6">
        <v>0</v>
      </c>
      <c r="C3" s="6">
        <v>2.2000000000000002</v>
      </c>
      <c r="D3" s="6">
        <v>2.7</v>
      </c>
      <c r="E3" s="6">
        <v>3.7</v>
      </c>
      <c r="F3" s="6">
        <v>3.9</v>
      </c>
      <c r="G3" s="6">
        <v>5.2</v>
      </c>
      <c r="H3" s="6">
        <v>3.6</v>
      </c>
      <c r="I3" s="6">
        <v>1.6</v>
      </c>
      <c r="J3" s="6">
        <v>1.6</v>
      </c>
      <c r="K3" s="6">
        <v>2.6</v>
      </c>
      <c r="L3" s="6">
        <v>2.4</v>
      </c>
      <c r="M3" s="6">
        <v>2.2000000000000002</v>
      </c>
      <c r="N3" s="6">
        <v>4.2</v>
      </c>
      <c r="O3" s="6">
        <v>0</v>
      </c>
      <c r="P3" s="6">
        <v>3.6</v>
      </c>
      <c r="Q3" s="6">
        <v>4</v>
      </c>
      <c r="R3" s="6">
        <v>0.7</v>
      </c>
      <c r="S3" s="6">
        <v>1</v>
      </c>
      <c r="T3" s="6">
        <v>2.5</v>
      </c>
      <c r="U3" s="6">
        <v>2.5</v>
      </c>
      <c r="V3" s="6">
        <v>4</v>
      </c>
      <c r="W3" s="6">
        <f>2.9+4.9+2.9</f>
        <v>10.700000000000001</v>
      </c>
      <c r="X3" s="6">
        <v>3</v>
      </c>
      <c r="Y3" s="6">
        <v>2.7</v>
      </c>
      <c r="Z3" s="6">
        <v>2.6</v>
      </c>
      <c r="AA3" s="6">
        <v>2.2999999999999998</v>
      </c>
      <c r="AB3" s="6">
        <v>1.4</v>
      </c>
      <c r="AC3" s="6">
        <v>2.5</v>
      </c>
      <c r="AD3" s="6">
        <v>1.4</v>
      </c>
      <c r="AE3" s="6">
        <v>1.4</v>
      </c>
      <c r="AF3" s="6">
        <f>1.9+0.9</f>
        <v>2.8</v>
      </c>
      <c r="AG3" s="6">
        <f>+AF3</f>
        <v>2.8</v>
      </c>
      <c r="AH3" s="476">
        <f>+AG3/Efficiency1!$K$163</f>
        <v>1.4290419935698768E-3</v>
      </c>
      <c r="AI3" s="752">
        <f>SUM(AH3:AH4)</f>
        <v>1.7863024919623459E-3</v>
      </c>
    </row>
    <row r="4" spans="1:35">
      <c r="A4" s="465" t="s">
        <v>275</v>
      </c>
      <c r="B4" s="6">
        <v>0</v>
      </c>
      <c r="C4" s="6">
        <v>1.7</v>
      </c>
      <c r="D4" s="6">
        <v>2.1</v>
      </c>
      <c r="E4" s="6">
        <v>1.2</v>
      </c>
      <c r="F4" s="6">
        <v>1.2</v>
      </c>
      <c r="G4" s="6">
        <v>1.5</v>
      </c>
      <c r="H4" s="6">
        <v>0.1</v>
      </c>
      <c r="I4" s="6">
        <v>0.1</v>
      </c>
      <c r="J4" s="6">
        <v>0.1</v>
      </c>
      <c r="K4" s="6">
        <v>0.5</v>
      </c>
      <c r="L4" s="6">
        <v>1.1000000000000001</v>
      </c>
      <c r="M4" s="6">
        <v>1.8</v>
      </c>
      <c r="N4" s="466">
        <v>2</v>
      </c>
      <c r="O4" s="466">
        <v>0.1</v>
      </c>
      <c r="P4" s="6">
        <v>0.4</v>
      </c>
      <c r="Q4" s="6">
        <v>0.2</v>
      </c>
      <c r="R4" s="6">
        <v>0</v>
      </c>
      <c r="S4" s="6">
        <v>0.8</v>
      </c>
      <c r="T4" s="6">
        <v>0.8</v>
      </c>
      <c r="U4" s="6">
        <v>0.8</v>
      </c>
      <c r="V4" s="6">
        <v>0.2</v>
      </c>
      <c r="W4" s="466">
        <v>1.1000000000000001</v>
      </c>
      <c r="X4" s="6">
        <v>0.2</v>
      </c>
      <c r="Y4" s="6">
        <v>0.2</v>
      </c>
      <c r="Z4" s="6">
        <v>0.5</v>
      </c>
      <c r="AA4" s="6">
        <v>0.1</v>
      </c>
      <c r="AB4" s="6">
        <v>0.5</v>
      </c>
      <c r="AC4" s="6">
        <v>0.2</v>
      </c>
      <c r="AD4" s="6">
        <v>0.2</v>
      </c>
      <c r="AE4" s="6">
        <v>0.3</v>
      </c>
      <c r="AF4" s="6">
        <v>0.7</v>
      </c>
      <c r="AG4" s="6">
        <f>+AF4</f>
        <v>0.7</v>
      </c>
      <c r="AH4" s="476">
        <f>+AG4/Efficiency1!$K$163</f>
        <v>3.572604983924692E-4</v>
      </c>
      <c r="AI4" s="753"/>
    </row>
    <row r="5" spans="1:35">
      <c r="A5" s="488"/>
      <c r="B5" s="489"/>
      <c r="C5" s="489"/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90"/>
      <c r="O5" s="490"/>
      <c r="P5" s="489"/>
      <c r="Q5" s="489"/>
      <c r="R5" s="489"/>
      <c r="S5" s="489"/>
      <c r="T5" s="489"/>
      <c r="U5" s="489"/>
      <c r="V5" s="489"/>
      <c r="W5" s="490"/>
      <c r="X5" s="489"/>
      <c r="Y5" s="489"/>
      <c r="Z5" s="489"/>
      <c r="AA5" s="489"/>
      <c r="AB5" s="489"/>
      <c r="AC5" s="489"/>
      <c r="AD5" s="489"/>
      <c r="AE5" s="489"/>
      <c r="AF5" s="489"/>
      <c r="AG5" s="489"/>
      <c r="AH5" s="491"/>
    </row>
    <row r="6" spans="1:35">
      <c r="A6" s="465" t="s">
        <v>205</v>
      </c>
      <c r="B6" s="466">
        <v>0.3</v>
      </c>
      <c r="C6" s="6">
        <v>0.3</v>
      </c>
      <c r="D6" s="6">
        <v>0.32</v>
      </c>
      <c r="E6" s="6">
        <v>0.3</v>
      </c>
      <c r="F6" s="6">
        <v>0.3</v>
      </c>
      <c r="G6" s="6">
        <v>0.3</v>
      </c>
      <c r="H6" s="6">
        <v>0.3</v>
      </c>
      <c r="I6" s="6">
        <v>0.3</v>
      </c>
      <c r="J6" s="6">
        <v>0.3</v>
      </c>
      <c r="K6" s="6">
        <v>0.3</v>
      </c>
      <c r="L6" s="6">
        <v>0.3</v>
      </c>
      <c r="M6" s="6">
        <v>0.3</v>
      </c>
      <c r="N6" s="6">
        <v>0.3</v>
      </c>
      <c r="O6" s="6">
        <v>0.3</v>
      </c>
      <c r="P6" s="6">
        <v>0.3</v>
      </c>
      <c r="Q6" s="6">
        <v>0.32500000000000001</v>
      </c>
      <c r="R6" s="6">
        <v>0.3</v>
      </c>
      <c r="S6" s="6">
        <v>0.2</v>
      </c>
      <c r="T6" s="6">
        <v>0.3</v>
      </c>
      <c r="U6" s="6">
        <v>0.3</v>
      </c>
      <c r="V6" s="6">
        <v>0.3</v>
      </c>
      <c r="W6" s="466">
        <v>0.3</v>
      </c>
      <c r="X6" s="6">
        <v>0.3</v>
      </c>
      <c r="Y6" s="6">
        <v>0.3</v>
      </c>
      <c r="Z6" s="466">
        <v>0.3</v>
      </c>
      <c r="AA6" s="6">
        <v>0.3</v>
      </c>
      <c r="AB6" s="6">
        <v>0.3</v>
      </c>
      <c r="AC6" s="6">
        <v>0.26</v>
      </c>
      <c r="AD6" s="6">
        <v>0.3</v>
      </c>
      <c r="AE6" s="6">
        <v>0.3</v>
      </c>
      <c r="AF6" s="6">
        <v>0.3</v>
      </c>
      <c r="AG6" s="6">
        <f t="shared" ref="AG6:AG37" si="0">+SUM(B6:AF6)</f>
        <v>9.2050000000000001</v>
      </c>
      <c r="AH6" s="492">
        <f t="shared" ref="AH6:AH36" si="1">+AG6/$AG$39</f>
        <v>0.17608125944488015</v>
      </c>
    </row>
    <row r="7" spans="1:35">
      <c r="A7" s="465" t="s">
        <v>276</v>
      </c>
      <c r="B7" s="6"/>
      <c r="C7" s="6"/>
      <c r="D7" s="6">
        <v>0.3</v>
      </c>
      <c r="E7" s="6"/>
      <c r="F7" s="6"/>
      <c r="G7" s="6"/>
      <c r="H7" s="6"/>
      <c r="I7" s="6"/>
      <c r="J7" s="6"/>
      <c r="K7" s="6"/>
      <c r="L7" s="6"/>
      <c r="M7" s="6"/>
      <c r="N7" s="6">
        <v>0.3</v>
      </c>
      <c r="O7" s="6"/>
      <c r="P7" s="6"/>
      <c r="Q7" s="6"/>
      <c r="S7" s="6"/>
      <c r="T7" s="6"/>
      <c r="U7" s="6"/>
      <c r="V7" s="6">
        <v>0.2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f t="shared" si="0"/>
        <v>0.8</v>
      </c>
      <c r="AH7" s="476">
        <f t="shared" si="1"/>
        <v>1.530309696424814E-2</v>
      </c>
    </row>
    <row r="8" spans="1:35">
      <c r="A8" s="493" t="s">
        <v>277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76">
        <f t="shared" si="1"/>
        <v>0</v>
      </c>
    </row>
    <row r="9" spans="1:35">
      <c r="A9" s="465" t="s">
        <v>207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76">
        <f t="shared" si="1"/>
        <v>0</v>
      </c>
    </row>
    <row r="10" spans="1:35">
      <c r="A10" s="465" t="s">
        <v>208</v>
      </c>
      <c r="B10" s="6"/>
      <c r="C10" s="6"/>
      <c r="D10" s="6"/>
      <c r="E10" s="6"/>
      <c r="F10" s="6">
        <v>0.72</v>
      </c>
      <c r="G10" s="6"/>
      <c r="H10" s="6"/>
      <c r="I10" s="6">
        <f>1.4+0.65</f>
        <v>2.0499999999999998</v>
      </c>
      <c r="J10" s="6">
        <v>0.6</v>
      </c>
      <c r="K10" s="6"/>
      <c r="L10" s="6"/>
      <c r="M10" s="6"/>
      <c r="N10" s="6">
        <v>0.2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0.4</v>
      </c>
      <c r="AB10" s="6"/>
      <c r="AC10" s="6"/>
      <c r="AD10" s="6">
        <v>0.2</v>
      </c>
      <c r="AE10" s="6"/>
      <c r="AF10" s="6"/>
      <c r="AG10" s="6">
        <f t="shared" si="0"/>
        <v>4.17</v>
      </c>
      <c r="AH10" s="476">
        <f t="shared" si="1"/>
        <v>7.9767392926143432E-2</v>
      </c>
    </row>
    <row r="11" spans="1:35">
      <c r="A11" s="465" t="s">
        <v>209</v>
      </c>
      <c r="B11" s="6">
        <v>0.5</v>
      </c>
      <c r="C11" s="6">
        <v>0.3</v>
      </c>
      <c r="D11" s="6"/>
      <c r="E11" s="6">
        <f>0.4+0.7</f>
        <v>1.1000000000000001</v>
      </c>
      <c r="F11" s="6">
        <f>0.6+0.32</f>
        <v>0.91999999999999993</v>
      </c>
      <c r="G11" s="6"/>
      <c r="H11" s="6">
        <v>0.2</v>
      </c>
      <c r="I11" s="6"/>
      <c r="J11" s="6"/>
      <c r="K11" s="6"/>
      <c r="L11" s="6"/>
      <c r="M11" s="6">
        <v>0.3</v>
      </c>
      <c r="N11" s="6">
        <v>0.5</v>
      </c>
      <c r="O11" s="6">
        <v>0.2</v>
      </c>
      <c r="P11" s="6"/>
      <c r="Q11" s="6"/>
      <c r="R11" s="6"/>
      <c r="S11" s="6">
        <v>0.3</v>
      </c>
      <c r="T11" s="6"/>
      <c r="U11" s="6"/>
      <c r="V11" s="6"/>
      <c r="W11" s="6">
        <v>0.2</v>
      </c>
      <c r="X11" s="6"/>
      <c r="Y11" s="6"/>
      <c r="Z11" s="6"/>
      <c r="AA11" s="6"/>
      <c r="AB11" s="6">
        <v>0.4</v>
      </c>
      <c r="AC11" s="6"/>
      <c r="AD11" s="6"/>
      <c r="AE11" s="6"/>
      <c r="AF11" s="6">
        <v>0.8</v>
      </c>
      <c r="AG11" s="6">
        <f t="shared" si="0"/>
        <v>5.7200000000000006</v>
      </c>
      <c r="AH11" s="476">
        <f t="shared" si="1"/>
        <v>0.10941714329437421</v>
      </c>
    </row>
    <row r="12" spans="1:35">
      <c r="A12" s="465" t="s">
        <v>210</v>
      </c>
      <c r="B12" s="6"/>
      <c r="C12" s="6"/>
      <c r="D12" s="6"/>
      <c r="E12" s="6">
        <f>0.56+0.3</f>
        <v>0.8600000000000001</v>
      </c>
      <c r="F12" s="6">
        <v>0.98</v>
      </c>
      <c r="G12" s="6"/>
      <c r="H12" s="6">
        <v>0.4</v>
      </c>
      <c r="I12" s="6"/>
      <c r="J12" s="6"/>
      <c r="K12" s="6"/>
      <c r="L12" s="6">
        <v>0.2</v>
      </c>
      <c r="M12" s="6"/>
      <c r="N12" s="6"/>
      <c r="O12" s="6">
        <v>0.2</v>
      </c>
      <c r="P12" s="6">
        <f>0.16+0.15</f>
        <v>0.31</v>
      </c>
      <c r="Q12" s="6">
        <v>0.27200000000000002</v>
      </c>
      <c r="R12" s="6"/>
      <c r="S12" s="6">
        <v>0.5</v>
      </c>
      <c r="T12" s="6"/>
      <c r="U12" s="6">
        <v>0.25</v>
      </c>
      <c r="V12" s="6">
        <v>0.2</v>
      </c>
      <c r="W12" s="6">
        <v>0.3</v>
      </c>
      <c r="X12" s="6"/>
      <c r="Y12" s="6">
        <v>0.7</v>
      </c>
      <c r="Z12" s="6"/>
      <c r="AA12" s="6">
        <f>0.4+0.36+0.36</f>
        <v>1.1200000000000001</v>
      </c>
      <c r="AB12" s="6">
        <v>0.35</v>
      </c>
      <c r="AC12" s="6"/>
      <c r="AD12" s="6"/>
      <c r="AE12" s="6"/>
      <c r="AF12" s="6">
        <f>0.42+0.2</f>
        <v>0.62</v>
      </c>
      <c r="AG12" s="6">
        <f t="shared" si="0"/>
        <v>7.2620000000000005</v>
      </c>
      <c r="AH12" s="476">
        <f t="shared" si="1"/>
        <v>0.13891386269296249</v>
      </c>
    </row>
    <row r="13" spans="1:35">
      <c r="A13" s="465" t="s">
        <v>211</v>
      </c>
      <c r="B13" s="6">
        <v>6.2</v>
      </c>
      <c r="C13" s="6"/>
      <c r="D13" s="6"/>
      <c r="E13" s="6"/>
      <c r="F13" s="6">
        <v>0.72</v>
      </c>
      <c r="G13" s="6"/>
      <c r="H13" s="6"/>
      <c r="I13" s="6"/>
      <c r="J13" s="6"/>
      <c r="K13" s="6"/>
      <c r="L13" s="6">
        <v>1.2</v>
      </c>
      <c r="M13" s="6">
        <v>0.4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0.6</v>
      </c>
      <c r="AG13" s="6">
        <f t="shared" si="0"/>
        <v>9.1199999999999992</v>
      </c>
      <c r="AH13" s="476">
        <f t="shared" si="1"/>
        <v>0.17445530539242876</v>
      </c>
    </row>
    <row r="14" spans="1:35">
      <c r="A14" s="465" t="s">
        <v>278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76">
        <f t="shared" si="1"/>
        <v>0</v>
      </c>
    </row>
    <row r="15" spans="1:35">
      <c r="A15" s="465" t="s">
        <v>206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76">
        <f t="shared" si="1"/>
        <v>0</v>
      </c>
    </row>
    <row r="16" spans="1:35">
      <c r="A16" s="465" t="s">
        <v>395</v>
      </c>
      <c r="B16" s="6">
        <v>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1</v>
      </c>
      <c r="AH16" s="476">
        <f t="shared" si="1"/>
        <v>1.9128871205310174E-2</v>
      </c>
    </row>
    <row r="17" spans="1:34">
      <c r="A17" s="465" t="s">
        <v>279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76">
        <f t="shared" si="1"/>
        <v>0</v>
      </c>
    </row>
    <row r="18" spans="1:34">
      <c r="A18" s="465" t="s">
        <v>280</v>
      </c>
      <c r="B18" s="6">
        <v>0.5</v>
      </c>
      <c r="C18" s="6"/>
      <c r="D18" s="6">
        <v>0.3</v>
      </c>
      <c r="E18" s="6">
        <v>0.5</v>
      </c>
      <c r="F18" s="6">
        <f>0.4+0.4</f>
        <v>0.8</v>
      </c>
      <c r="G18" s="6"/>
      <c r="H18" s="6"/>
      <c r="I18" s="6"/>
      <c r="J18" s="6"/>
      <c r="K18" s="6"/>
      <c r="L18" s="6"/>
      <c r="M18" s="6"/>
      <c r="N18" s="6">
        <v>0.4</v>
      </c>
      <c r="O18" s="466"/>
      <c r="P18" s="6"/>
      <c r="Q18" s="6"/>
      <c r="R18" s="6">
        <v>0.5</v>
      </c>
      <c r="S18" s="6"/>
      <c r="T18" s="6"/>
      <c r="U18" s="6"/>
      <c r="V18" s="6">
        <v>0.3</v>
      </c>
      <c r="W18" s="6">
        <v>0.6</v>
      </c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3.9</v>
      </c>
      <c r="AH18" s="476">
        <f t="shared" si="1"/>
        <v>7.4602597700709677E-2</v>
      </c>
    </row>
    <row r="19" spans="1:34">
      <c r="A19" s="465" t="s">
        <v>212</v>
      </c>
      <c r="B19" s="6"/>
      <c r="C19" s="6"/>
      <c r="D19" s="6">
        <v>2.6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1.4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4</v>
      </c>
      <c r="AH19" s="476">
        <f t="shared" si="1"/>
        <v>7.6515484821240695E-2</v>
      </c>
    </row>
    <row r="20" spans="1:34">
      <c r="A20" s="465" t="s">
        <v>213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76">
        <f t="shared" si="1"/>
        <v>0</v>
      </c>
    </row>
    <row r="21" spans="1:34">
      <c r="A21" s="465" t="s">
        <v>214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76">
        <f t="shared" si="1"/>
        <v>0</v>
      </c>
    </row>
    <row r="22" spans="1:34">
      <c r="A22" s="465" t="s">
        <v>450</v>
      </c>
      <c r="B22" s="6"/>
      <c r="C22" s="6"/>
      <c r="D22" s="6">
        <v>0.6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0.6</v>
      </c>
      <c r="AH22" s="476">
        <f t="shared" si="1"/>
        <v>1.1477322723186105E-2</v>
      </c>
    </row>
    <row r="23" spans="1:34">
      <c r="A23" s="465" t="s">
        <v>215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76">
        <f t="shared" si="1"/>
        <v>0</v>
      </c>
    </row>
    <row r="24" spans="1:34">
      <c r="A24" s="465" t="s">
        <v>281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76">
        <f t="shared" si="1"/>
        <v>0</v>
      </c>
    </row>
    <row r="25" spans="1:34">
      <c r="A25" s="465" t="s">
        <v>216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76">
        <f t="shared" si="1"/>
        <v>0</v>
      </c>
    </row>
    <row r="26" spans="1:34">
      <c r="A26" s="465" t="s">
        <v>217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76">
        <f t="shared" si="1"/>
        <v>0</v>
      </c>
    </row>
    <row r="27" spans="1:34">
      <c r="A27" s="465" t="s">
        <v>282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76">
        <f t="shared" si="1"/>
        <v>0</v>
      </c>
    </row>
    <row r="28" spans="1:34">
      <c r="A28" s="465" t="s">
        <v>218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2.2000000000000002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2.2000000000000002</v>
      </c>
      <c r="AH28" s="476">
        <f t="shared" si="1"/>
        <v>4.208351665168239E-2</v>
      </c>
    </row>
    <row r="29" spans="1:34">
      <c r="A29" s="465" t="s">
        <v>219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76">
        <f t="shared" si="1"/>
        <v>0</v>
      </c>
    </row>
    <row r="30" spans="1:34">
      <c r="A30" s="465" t="s">
        <v>220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76">
        <f t="shared" si="1"/>
        <v>0</v>
      </c>
    </row>
    <row r="31" spans="1:34">
      <c r="A31" s="465" t="s">
        <v>283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76">
        <f t="shared" si="1"/>
        <v>0</v>
      </c>
    </row>
    <row r="32" spans="1:34">
      <c r="A32" s="465" t="s">
        <v>221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76">
        <f t="shared" si="1"/>
        <v>0</v>
      </c>
    </row>
    <row r="33" spans="1:34">
      <c r="A33" s="465" t="s">
        <v>222</v>
      </c>
      <c r="B33" s="6"/>
      <c r="C33" s="6"/>
      <c r="D33" s="6"/>
      <c r="E33" s="6"/>
      <c r="F33" s="6"/>
      <c r="G33" s="6"/>
      <c r="H33" s="6"/>
      <c r="I33" s="6">
        <v>1.4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1.4</v>
      </c>
      <c r="AH33" s="476">
        <f t="shared" si="1"/>
        <v>2.6780419687434241E-2</v>
      </c>
    </row>
    <row r="34" spans="1:34">
      <c r="A34" s="467" t="s">
        <v>223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76">
        <f t="shared" si="1"/>
        <v>0</v>
      </c>
    </row>
    <row r="35" spans="1:34">
      <c r="A35" s="467" t="s">
        <v>224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76">
        <f t="shared" si="1"/>
        <v>0</v>
      </c>
    </row>
    <row r="36" spans="1:34">
      <c r="A36" s="467" t="s">
        <v>225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76">
        <f t="shared" si="1"/>
        <v>0</v>
      </c>
    </row>
    <row r="37" spans="1:34">
      <c r="A37" s="467" t="s">
        <v>379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1.5</v>
      </c>
      <c r="Q37" s="6"/>
      <c r="R37" s="6"/>
      <c r="S37" s="6"/>
      <c r="T37" s="6"/>
      <c r="U37" s="6"/>
      <c r="V37" s="6"/>
      <c r="W37" s="6"/>
      <c r="X37" s="6">
        <v>1.4</v>
      </c>
      <c r="Y37" s="6"/>
      <c r="Z37" s="6"/>
      <c r="AA37" s="6"/>
      <c r="AB37" s="6"/>
      <c r="AC37" s="6"/>
      <c r="AD37" s="6"/>
      <c r="AE37" s="6"/>
      <c r="AF37" s="6"/>
      <c r="AG37" s="6">
        <f t="shared" si="0"/>
        <v>2.9</v>
      </c>
      <c r="AH37" s="476">
        <f>+AG37/$AG$39</f>
        <v>5.5473726495399507E-2</v>
      </c>
    </row>
    <row r="38" spans="1:34">
      <c r="A38" s="494" t="s">
        <v>284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5">
        <f>+AG39/Efficiency1!$K$163</f>
        <v>2.6680724392090165E-2</v>
      </c>
    </row>
    <row r="39" spans="1:34">
      <c r="A39" s="467" t="s">
        <v>3</v>
      </c>
      <c r="B39" s="6">
        <f t="shared" ref="B39:AF39" si="2">SUM(B3:B37)</f>
        <v>8.5</v>
      </c>
      <c r="C39" s="6">
        <f t="shared" si="2"/>
        <v>4.5</v>
      </c>
      <c r="D39" s="6">
        <f t="shared" si="2"/>
        <v>8.92</v>
      </c>
      <c r="E39" s="6">
        <f t="shared" si="2"/>
        <v>7.660000000000001</v>
      </c>
      <c r="F39" s="6">
        <f t="shared" si="2"/>
        <v>9.5400000000000009</v>
      </c>
      <c r="G39" s="6">
        <f t="shared" si="2"/>
        <v>7</v>
      </c>
      <c r="H39" s="6">
        <f t="shared" si="2"/>
        <v>4.6000000000000005</v>
      </c>
      <c r="I39" s="6">
        <f t="shared" si="2"/>
        <v>5.4499999999999993</v>
      </c>
      <c r="J39" s="6">
        <f t="shared" si="2"/>
        <v>2.6</v>
      </c>
      <c r="K39" s="6">
        <f t="shared" si="2"/>
        <v>3.4</v>
      </c>
      <c r="L39" s="6">
        <f t="shared" si="2"/>
        <v>5.2</v>
      </c>
      <c r="M39" s="6">
        <f t="shared" si="2"/>
        <v>7.2</v>
      </c>
      <c r="N39" s="6">
        <f t="shared" si="2"/>
        <v>7.9</v>
      </c>
      <c r="O39" s="7">
        <f t="shared" si="2"/>
        <v>0.8</v>
      </c>
      <c r="P39" s="6">
        <f t="shared" si="2"/>
        <v>6.1099999999999994</v>
      </c>
      <c r="Q39" s="6">
        <f t="shared" si="2"/>
        <v>6.197000000000001</v>
      </c>
      <c r="R39" s="6">
        <f t="shared" si="2"/>
        <v>1.5</v>
      </c>
      <c r="S39" s="6">
        <f t="shared" si="2"/>
        <v>2.8</v>
      </c>
      <c r="T39" s="6">
        <f t="shared" si="2"/>
        <v>3.5999999999999996</v>
      </c>
      <c r="U39" s="6">
        <f t="shared" si="2"/>
        <v>3.8499999999999996</v>
      </c>
      <c r="V39" s="6">
        <f t="shared" si="2"/>
        <v>5.2</v>
      </c>
      <c r="W39" s="6">
        <f t="shared" si="2"/>
        <v>13.200000000000001</v>
      </c>
      <c r="X39" s="6">
        <f t="shared" si="2"/>
        <v>4.9000000000000004</v>
      </c>
      <c r="Y39" s="6">
        <f t="shared" si="2"/>
        <v>3.9000000000000004</v>
      </c>
      <c r="Z39" s="6">
        <f t="shared" si="2"/>
        <v>3.4</v>
      </c>
      <c r="AA39" s="6">
        <f t="shared" si="2"/>
        <v>4.22</v>
      </c>
      <c r="AB39" s="6">
        <f t="shared" si="2"/>
        <v>2.9499999999999997</v>
      </c>
      <c r="AC39" s="6">
        <f t="shared" si="2"/>
        <v>2.96</v>
      </c>
      <c r="AD39" s="6">
        <f t="shared" si="2"/>
        <v>2.1</v>
      </c>
      <c r="AE39" s="6">
        <f t="shared" si="2"/>
        <v>2</v>
      </c>
      <c r="AF39" s="6">
        <f t="shared" si="2"/>
        <v>5.8199999999999994</v>
      </c>
      <c r="AG39" s="19">
        <f>SUM(AG6:AG38)</f>
        <v>52.277000000000001</v>
      </c>
      <c r="AH39" s="478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0"/>
  <sheetViews>
    <sheetView topLeftCell="A138" workbookViewId="0">
      <selection activeCell="F155" sqref="C155:F155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68" t="s">
        <v>262</v>
      </c>
      <c r="B1" s="480" t="s">
        <v>9</v>
      </c>
      <c r="C1" s="481" t="s">
        <v>263</v>
      </c>
      <c r="D1" s="482" t="s">
        <v>129</v>
      </c>
      <c r="E1" s="482" t="s">
        <v>264</v>
      </c>
      <c r="F1" s="482" t="s">
        <v>265</v>
      </c>
      <c r="H1" s="479" t="s">
        <v>266</v>
      </c>
      <c r="I1" s="473" t="s">
        <v>267</v>
      </c>
      <c r="J1" s="473" t="s">
        <v>268</v>
      </c>
      <c r="L1" s="468" t="s">
        <v>368</v>
      </c>
      <c r="M1" s="480" t="s">
        <v>9</v>
      </c>
      <c r="N1" s="481" t="s">
        <v>263</v>
      </c>
      <c r="O1" s="482" t="s">
        <v>129</v>
      </c>
      <c r="P1" s="482" t="s">
        <v>264</v>
      </c>
      <c r="Q1" s="482" t="s">
        <v>265</v>
      </c>
      <c r="S1" s="546" t="s">
        <v>266</v>
      </c>
      <c r="T1" s="473" t="s">
        <v>267</v>
      </c>
      <c r="U1" s="473" t="s">
        <v>268</v>
      </c>
    </row>
    <row r="2" spans="1:21">
      <c r="B2" s="381">
        <v>45931</v>
      </c>
      <c r="C2" s="4">
        <v>0</v>
      </c>
      <c r="D2" s="496" t="s">
        <v>394</v>
      </c>
      <c r="E2" t="s">
        <v>252</v>
      </c>
      <c r="F2" t="s">
        <v>250</v>
      </c>
      <c r="H2" s="6" t="s">
        <v>148</v>
      </c>
      <c r="I2" s="356">
        <f>+Efficiency1!Z163</f>
        <v>28.959</v>
      </c>
      <c r="J2" s="483">
        <f>I2/$I$8</f>
        <v>1.4779866818496452E-2</v>
      </c>
      <c r="M2" s="381">
        <v>45931</v>
      </c>
      <c r="N2" s="4">
        <v>0</v>
      </c>
      <c r="O2" s="496" t="s">
        <v>394</v>
      </c>
      <c r="P2" t="s">
        <v>252</v>
      </c>
      <c r="Q2" t="s">
        <v>250</v>
      </c>
      <c r="S2" s="6" t="s">
        <v>148</v>
      </c>
      <c r="T2" s="356">
        <f>+Efficiency2!Z163</f>
        <v>28.959</v>
      </c>
      <c r="U2" s="483">
        <f>T2/$T$8</f>
        <v>1.5395067118530724E-2</v>
      </c>
    </row>
    <row r="3" spans="1:21">
      <c r="B3" s="381"/>
      <c r="C3" s="4">
        <v>0</v>
      </c>
      <c r="D3" s="496" t="s">
        <v>430</v>
      </c>
      <c r="E3" t="s">
        <v>251</v>
      </c>
      <c r="F3" t="s">
        <v>250</v>
      </c>
      <c r="H3" s="6" t="s">
        <v>244</v>
      </c>
      <c r="I3" s="356">
        <f>+Efficiency1!Y163+Efficiency1!AA163</f>
        <v>44.78022489938396</v>
      </c>
      <c r="J3" s="483">
        <f>I3/$I$8</f>
        <v>2.2854579236686819E-2</v>
      </c>
      <c r="M3" s="381"/>
      <c r="N3" s="4">
        <v>0</v>
      </c>
      <c r="O3" s="496" t="s">
        <v>430</v>
      </c>
      <c r="P3" t="s">
        <v>251</v>
      </c>
      <c r="Q3" t="s">
        <v>250</v>
      </c>
      <c r="S3" s="6" t="s">
        <v>244</v>
      </c>
      <c r="T3" s="356">
        <f>+Efficiency2!Y163+Efficiency2!AA163</f>
        <v>44.78022489938396</v>
      </c>
      <c r="U3" s="483">
        <f>T3/$T$8</f>
        <v>2.380588307292782E-2</v>
      </c>
    </row>
    <row r="4" spans="1:21">
      <c r="B4" s="45"/>
      <c r="C4" s="4">
        <v>0</v>
      </c>
      <c r="D4" t="s">
        <v>226</v>
      </c>
      <c r="E4" t="s">
        <v>14</v>
      </c>
      <c r="F4" t="s">
        <v>250</v>
      </c>
      <c r="H4" s="6" t="s">
        <v>269</v>
      </c>
      <c r="I4" s="356">
        <f>+Efficiency1!AB163</f>
        <v>-1.1150843167253719</v>
      </c>
      <c r="J4" s="483">
        <f>I4/$I$8</f>
        <v>-5.691079696327606E-4</v>
      </c>
      <c r="M4" s="45"/>
      <c r="N4" s="4">
        <v>0</v>
      </c>
      <c r="O4" t="s">
        <v>226</v>
      </c>
      <c r="P4" t="s">
        <v>14</v>
      </c>
      <c r="Q4" t="s">
        <v>250</v>
      </c>
      <c r="S4" s="6" t="s">
        <v>269</v>
      </c>
      <c r="T4" s="356">
        <f>+Efficiency2!AB163</f>
        <v>-0.92993729580227824</v>
      </c>
      <c r="U4" s="483">
        <f>T4/$T$8</f>
        <v>-4.9436952536002733E-4</v>
      </c>
    </row>
    <row r="5" spans="1:21">
      <c r="B5" s="381"/>
      <c r="C5" s="4">
        <v>1440</v>
      </c>
      <c r="D5" s="496" t="s">
        <v>432</v>
      </c>
      <c r="E5" s="496" t="s">
        <v>431</v>
      </c>
      <c r="F5" t="s">
        <v>243</v>
      </c>
      <c r="H5" s="6" t="s">
        <v>247</v>
      </c>
      <c r="I5" s="356">
        <f>+Efficiency1!AC163</f>
        <v>17.772829036771949</v>
      </c>
      <c r="J5" s="483">
        <f>I5/$I$8</f>
        <v>9.0707567993161368E-3</v>
      </c>
      <c r="M5" s="381"/>
      <c r="N5" s="4">
        <v>0</v>
      </c>
      <c r="O5" s="496" t="s">
        <v>432</v>
      </c>
      <c r="P5" s="496" t="s">
        <v>431</v>
      </c>
      <c r="Q5" t="s">
        <v>243</v>
      </c>
      <c r="S5" s="6" t="s">
        <v>247</v>
      </c>
      <c r="T5" s="356">
        <f>+Efficiency2!AC163</f>
        <v>18.232809575848869</v>
      </c>
      <c r="U5" s="483">
        <f>T5/$T$8</f>
        <v>9.6928529016741954E-3</v>
      </c>
    </row>
    <row r="6" spans="1:21">
      <c r="B6" s="381"/>
      <c r="C6" s="4"/>
      <c r="M6" s="381"/>
      <c r="N6" s="4"/>
    </row>
    <row r="7" spans="1:21">
      <c r="B7" s="381">
        <v>45932</v>
      </c>
      <c r="C7" s="4">
        <v>8</v>
      </c>
      <c r="D7" s="496" t="s">
        <v>452</v>
      </c>
      <c r="E7" t="s">
        <v>252</v>
      </c>
      <c r="F7" t="s">
        <v>250</v>
      </c>
      <c r="M7" s="381">
        <v>45932</v>
      </c>
      <c r="N7" s="4">
        <v>8</v>
      </c>
      <c r="O7" s="496" t="s">
        <v>452</v>
      </c>
      <c r="P7" t="s">
        <v>252</v>
      </c>
      <c r="Q7" t="s">
        <v>250</v>
      </c>
    </row>
    <row r="8" spans="1:21">
      <c r="B8" s="381"/>
      <c r="C8" s="4">
        <v>19</v>
      </c>
      <c r="D8" s="496" t="s">
        <v>453</v>
      </c>
      <c r="E8" t="s">
        <v>251</v>
      </c>
      <c r="F8" t="s">
        <v>250</v>
      </c>
      <c r="H8" s="484" t="s">
        <v>270</v>
      </c>
      <c r="I8" s="7">
        <f>+Efficiency1!K163</f>
        <v>1959.3545974148353</v>
      </c>
      <c r="M8" s="381"/>
      <c r="N8" s="4">
        <v>19</v>
      </c>
      <c r="O8" s="496" t="s">
        <v>453</v>
      </c>
      <c r="P8" t="s">
        <v>251</v>
      </c>
      <c r="Q8" t="s">
        <v>250</v>
      </c>
      <c r="S8" s="484" t="s">
        <v>270</v>
      </c>
      <c r="T8" s="7">
        <f>+Efficiency2!K163</f>
        <v>1881.057079974835</v>
      </c>
    </row>
    <row r="9" spans="1:21">
      <c r="B9" s="45"/>
      <c r="C9" s="4">
        <v>20</v>
      </c>
      <c r="D9" t="s">
        <v>226</v>
      </c>
      <c r="E9" t="s">
        <v>14</v>
      </c>
      <c r="F9" t="s">
        <v>250</v>
      </c>
      <c r="H9" s="484" t="s">
        <v>271</v>
      </c>
      <c r="I9" s="7">
        <f>+Efficiency1!AD163</f>
        <v>5182</v>
      </c>
      <c r="M9" s="45"/>
      <c r="N9" s="4">
        <v>20</v>
      </c>
      <c r="O9" t="s">
        <v>226</v>
      </c>
      <c r="P9" t="s">
        <v>14</v>
      </c>
      <c r="Q9" t="s">
        <v>250</v>
      </c>
      <c r="S9" s="484" t="s">
        <v>271</v>
      </c>
      <c r="T9" s="7">
        <f>+Efficiency2!AD163</f>
        <v>3502</v>
      </c>
    </row>
    <row r="10" spans="1:21">
      <c r="B10" s="381"/>
      <c r="C10" s="4">
        <v>240</v>
      </c>
      <c r="D10" s="496" t="s">
        <v>432</v>
      </c>
      <c r="E10" s="496" t="s">
        <v>431</v>
      </c>
      <c r="F10" t="s">
        <v>243</v>
      </c>
      <c r="H10" s="484" t="s">
        <v>272</v>
      </c>
      <c r="I10" s="7">
        <f>+Efficiency1!V163</f>
        <v>219.66062779540448</v>
      </c>
      <c r="M10" s="381"/>
      <c r="N10" s="4">
        <v>0</v>
      </c>
      <c r="O10" s="496" t="s">
        <v>432</v>
      </c>
      <c r="P10" s="496" t="s">
        <v>431</v>
      </c>
      <c r="Q10" t="s">
        <v>243</v>
      </c>
      <c r="S10" s="484" t="s">
        <v>272</v>
      </c>
      <c r="T10" s="7">
        <f>+Efficiency2!V163</f>
        <v>140.71798279540451</v>
      </c>
    </row>
    <row r="11" spans="1:21">
      <c r="B11" s="381"/>
      <c r="C11" s="4"/>
      <c r="E11" s="496"/>
      <c r="G11" s="523"/>
      <c r="H11" s="484" t="s">
        <v>273</v>
      </c>
      <c r="I11" s="476">
        <f>I10/I8</f>
        <v>0.11210866480484127</v>
      </c>
      <c r="M11" s="381"/>
      <c r="N11" s="4"/>
      <c r="P11" s="496"/>
      <c r="R11" s="523"/>
      <c r="S11" s="484" t="s">
        <v>273</v>
      </c>
      <c r="T11" s="476">
        <f>T10/T8</f>
        <v>7.4807928102472596E-2</v>
      </c>
    </row>
    <row r="12" spans="1:21">
      <c r="B12" s="381">
        <v>45933</v>
      </c>
      <c r="C12" s="4">
        <v>3</v>
      </c>
      <c r="D12" s="496" t="s">
        <v>391</v>
      </c>
      <c r="E12" t="s">
        <v>252</v>
      </c>
      <c r="F12" t="s">
        <v>250</v>
      </c>
      <c r="M12" s="381">
        <v>45933</v>
      </c>
      <c r="N12" s="4">
        <v>3</v>
      </c>
      <c r="O12" s="496" t="s">
        <v>391</v>
      </c>
      <c r="P12" t="s">
        <v>252</v>
      </c>
      <c r="Q12" t="s">
        <v>250</v>
      </c>
    </row>
    <row r="13" spans="1:21">
      <c r="B13" s="381"/>
      <c r="C13" s="4">
        <v>10</v>
      </c>
      <c r="D13" s="496" t="s">
        <v>393</v>
      </c>
      <c r="E13" t="s">
        <v>251</v>
      </c>
      <c r="F13" t="s">
        <v>250</v>
      </c>
      <c r="M13" s="381"/>
      <c r="N13" s="4">
        <v>10</v>
      </c>
      <c r="O13" s="496" t="s">
        <v>393</v>
      </c>
      <c r="P13" t="s">
        <v>251</v>
      </c>
      <c r="Q13" t="s">
        <v>250</v>
      </c>
    </row>
    <row r="14" spans="1:21">
      <c r="B14" s="45"/>
      <c r="C14" s="4">
        <v>20</v>
      </c>
      <c r="D14" t="s">
        <v>226</v>
      </c>
      <c r="E14" t="s">
        <v>14</v>
      </c>
      <c r="F14" t="s">
        <v>250</v>
      </c>
      <c r="M14" s="45"/>
      <c r="N14" s="4">
        <v>20</v>
      </c>
      <c r="O14" t="s">
        <v>226</v>
      </c>
      <c r="P14" t="s">
        <v>14</v>
      </c>
      <c r="Q14" t="s">
        <v>250</v>
      </c>
    </row>
    <row r="15" spans="1:21">
      <c r="B15" s="381"/>
      <c r="C15" s="4">
        <v>8</v>
      </c>
      <c r="D15" s="496" t="s">
        <v>463</v>
      </c>
      <c r="E15" s="496" t="s">
        <v>201</v>
      </c>
      <c r="F15" s="496" t="s">
        <v>249</v>
      </c>
      <c r="M15" s="381"/>
      <c r="N15" s="4">
        <v>8</v>
      </c>
      <c r="O15" s="496" t="s">
        <v>463</v>
      </c>
      <c r="P15" s="496" t="s">
        <v>201</v>
      </c>
      <c r="Q15" s="496" t="s">
        <v>249</v>
      </c>
    </row>
    <row r="16" spans="1:21">
      <c r="B16" s="45"/>
      <c r="C16" s="4"/>
      <c r="M16" s="45"/>
      <c r="N16" s="4"/>
    </row>
    <row r="17" spans="2:17">
      <c r="B17" s="381">
        <v>45934</v>
      </c>
      <c r="C17" s="4">
        <v>9</v>
      </c>
      <c r="D17" s="496" t="s">
        <v>479</v>
      </c>
      <c r="E17" t="s">
        <v>252</v>
      </c>
      <c r="F17" t="s">
        <v>250</v>
      </c>
      <c r="M17" s="381">
        <v>45934</v>
      </c>
      <c r="N17" s="4">
        <v>9</v>
      </c>
      <c r="O17" s="496" t="s">
        <v>479</v>
      </c>
      <c r="P17" t="s">
        <v>252</v>
      </c>
      <c r="Q17" t="s">
        <v>250</v>
      </c>
    </row>
    <row r="18" spans="2:17">
      <c r="B18" s="381"/>
      <c r="C18" s="4">
        <v>21</v>
      </c>
      <c r="D18" s="496" t="s">
        <v>481</v>
      </c>
      <c r="E18" t="s">
        <v>251</v>
      </c>
      <c r="F18" t="s">
        <v>250</v>
      </c>
      <c r="M18" s="381"/>
      <c r="N18" s="4">
        <v>21</v>
      </c>
      <c r="O18" s="496" t="s">
        <v>481</v>
      </c>
      <c r="P18" t="s">
        <v>251</v>
      </c>
      <c r="Q18" t="s">
        <v>250</v>
      </c>
    </row>
    <row r="19" spans="2:17">
      <c r="B19" s="45"/>
      <c r="C19" s="4">
        <v>20</v>
      </c>
      <c r="D19" t="s">
        <v>226</v>
      </c>
      <c r="E19" t="s">
        <v>14</v>
      </c>
      <c r="F19" t="s">
        <v>250</v>
      </c>
      <c r="M19" s="45"/>
      <c r="N19" s="4">
        <v>20</v>
      </c>
      <c r="O19" t="s">
        <v>226</v>
      </c>
      <c r="P19" t="s">
        <v>14</v>
      </c>
      <c r="Q19" t="s">
        <v>250</v>
      </c>
    </row>
    <row r="20" spans="2:17">
      <c r="B20" s="381"/>
      <c r="C20" s="4">
        <v>286</v>
      </c>
      <c r="D20" s="496" t="s">
        <v>482</v>
      </c>
      <c r="E20" s="585" t="s">
        <v>485</v>
      </c>
      <c r="F20" s="415" t="s">
        <v>248</v>
      </c>
      <c r="M20" s="381"/>
      <c r="N20" s="4">
        <v>286</v>
      </c>
      <c r="O20" s="496" t="s">
        <v>482</v>
      </c>
      <c r="P20" s="585" t="s">
        <v>485</v>
      </c>
      <c r="Q20" s="415" t="s">
        <v>248</v>
      </c>
    </row>
    <row r="21" spans="2:17">
      <c r="B21" s="381"/>
      <c r="C21" s="4"/>
      <c r="M21" s="381"/>
      <c r="N21" s="4"/>
    </row>
    <row r="22" spans="2:17">
      <c r="B22" s="381">
        <v>45935</v>
      </c>
      <c r="C22" s="4">
        <v>2</v>
      </c>
      <c r="D22" s="496" t="s">
        <v>391</v>
      </c>
      <c r="E22" t="s">
        <v>252</v>
      </c>
      <c r="F22" t="s">
        <v>250</v>
      </c>
      <c r="M22" s="381">
        <v>45935</v>
      </c>
      <c r="N22" s="4">
        <v>2</v>
      </c>
      <c r="O22" s="496" t="s">
        <v>391</v>
      </c>
      <c r="P22" t="s">
        <v>252</v>
      </c>
      <c r="Q22" t="s">
        <v>250</v>
      </c>
    </row>
    <row r="23" spans="2:17">
      <c r="B23" s="381"/>
      <c r="C23" s="4">
        <v>19</v>
      </c>
      <c r="D23" s="496" t="s">
        <v>480</v>
      </c>
      <c r="E23" t="s">
        <v>251</v>
      </c>
      <c r="F23" t="s">
        <v>250</v>
      </c>
      <c r="M23" s="381"/>
      <c r="N23" s="4">
        <v>19</v>
      </c>
      <c r="O23" s="496" t="s">
        <v>480</v>
      </c>
      <c r="P23" t="s">
        <v>251</v>
      </c>
      <c r="Q23" t="s">
        <v>250</v>
      </c>
    </row>
    <row r="24" spans="2:17">
      <c r="B24" s="45"/>
      <c r="C24" s="4">
        <v>19</v>
      </c>
      <c r="D24" t="s">
        <v>226</v>
      </c>
      <c r="E24" t="s">
        <v>14</v>
      </c>
      <c r="F24" t="s">
        <v>250</v>
      </c>
      <c r="M24" s="45"/>
      <c r="N24" s="4">
        <v>19</v>
      </c>
      <c r="O24" t="s">
        <v>226</v>
      </c>
      <c r="P24" t="s">
        <v>14</v>
      </c>
      <c r="Q24" t="s">
        <v>250</v>
      </c>
    </row>
    <row r="25" spans="2:17">
      <c r="B25" s="381"/>
      <c r="C25" s="4">
        <v>5</v>
      </c>
      <c r="D25" s="496" t="s">
        <v>463</v>
      </c>
      <c r="E25" s="496" t="s">
        <v>201</v>
      </c>
      <c r="F25" s="496" t="s">
        <v>249</v>
      </c>
      <c r="M25" s="381"/>
      <c r="N25" s="4">
        <v>5</v>
      </c>
      <c r="O25" s="496" t="s">
        <v>463</v>
      </c>
      <c r="P25" s="496" t="s">
        <v>201</v>
      </c>
      <c r="Q25" s="496" t="s">
        <v>249</v>
      </c>
    </row>
    <row r="26" spans="2:17">
      <c r="B26" s="45"/>
      <c r="C26" s="4">
        <v>200</v>
      </c>
      <c r="D26" t="s">
        <v>477</v>
      </c>
      <c r="E26" s="585" t="s">
        <v>485</v>
      </c>
      <c r="F26" s="415" t="s">
        <v>248</v>
      </c>
      <c r="M26" s="45"/>
      <c r="N26" s="4">
        <v>200</v>
      </c>
      <c r="O26" t="s">
        <v>477</v>
      </c>
      <c r="P26" s="585" t="s">
        <v>485</v>
      </c>
      <c r="Q26" s="415" t="s">
        <v>248</v>
      </c>
    </row>
    <row r="27" spans="2:17">
      <c r="B27" s="381"/>
      <c r="C27" s="4"/>
      <c r="M27" s="381"/>
      <c r="N27" s="4"/>
    </row>
    <row r="28" spans="2:17">
      <c r="B28" s="381">
        <v>45936</v>
      </c>
      <c r="C28" s="4">
        <v>0</v>
      </c>
      <c r="D28" t="s">
        <v>394</v>
      </c>
      <c r="E28" t="s">
        <v>252</v>
      </c>
      <c r="F28" t="s">
        <v>250</v>
      </c>
      <c r="M28" s="381">
        <v>45936</v>
      </c>
      <c r="N28" s="4">
        <v>0</v>
      </c>
      <c r="O28" t="s">
        <v>394</v>
      </c>
      <c r="P28" t="s">
        <v>252</v>
      </c>
      <c r="Q28" t="s">
        <v>250</v>
      </c>
    </row>
    <row r="29" spans="2:17">
      <c r="B29" s="381"/>
      <c r="C29" s="4">
        <v>7</v>
      </c>
      <c r="D29" t="s">
        <v>449</v>
      </c>
      <c r="E29" t="s">
        <v>251</v>
      </c>
      <c r="F29" t="s">
        <v>250</v>
      </c>
      <c r="M29" s="381"/>
      <c r="N29" s="4">
        <v>7</v>
      </c>
      <c r="O29" t="s">
        <v>449</v>
      </c>
      <c r="P29" t="s">
        <v>251</v>
      </c>
      <c r="Q29" t="s">
        <v>250</v>
      </c>
    </row>
    <row r="30" spans="2:17">
      <c r="B30" s="45"/>
      <c r="C30" s="4">
        <v>11</v>
      </c>
      <c r="D30" t="s">
        <v>226</v>
      </c>
      <c r="E30" t="s">
        <v>14</v>
      </c>
      <c r="F30" t="s">
        <v>250</v>
      </c>
      <c r="M30" s="45"/>
      <c r="N30" s="4">
        <v>11</v>
      </c>
      <c r="O30" t="s">
        <v>226</v>
      </c>
      <c r="P30" t="s">
        <v>14</v>
      </c>
      <c r="Q30" t="s">
        <v>250</v>
      </c>
    </row>
    <row r="31" spans="2:17">
      <c r="B31" s="381"/>
      <c r="C31" s="4">
        <v>15</v>
      </c>
      <c r="D31" t="s">
        <v>463</v>
      </c>
      <c r="E31" s="496" t="s">
        <v>201</v>
      </c>
      <c r="F31" s="496" t="s">
        <v>249</v>
      </c>
      <c r="M31" s="381"/>
      <c r="N31" s="4">
        <v>15</v>
      </c>
      <c r="O31" t="s">
        <v>463</v>
      </c>
      <c r="P31" s="496" t="s">
        <v>201</v>
      </c>
      <c r="Q31" s="496" t="s">
        <v>249</v>
      </c>
    </row>
    <row r="32" spans="2:17">
      <c r="B32" s="381"/>
      <c r="C32" s="4"/>
      <c r="M32" s="381"/>
      <c r="N32" s="4"/>
    </row>
    <row r="33" spans="2:17">
      <c r="B33" s="381">
        <v>45937</v>
      </c>
      <c r="C33" s="4">
        <v>0</v>
      </c>
      <c r="D33" t="s">
        <v>394</v>
      </c>
      <c r="E33" t="s">
        <v>252</v>
      </c>
      <c r="F33" t="s">
        <v>250</v>
      </c>
      <c r="M33" s="381">
        <v>45937</v>
      </c>
      <c r="N33" s="4">
        <v>0</v>
      </c>
      <c r="O33" t="s">
        <v>394</v>
      </c>
      <c r="P33" t="s">
        <v>252</v>
      </c>
      <c r="Q33" t="s">
        <v>250</v>
      </c>
    </row>
    <row r="34" spans="2:17">
      <c r="B34" s="381"/>
      <c r="C34" s="4">
        <v>5</v>
      </c>
      <c r="D34" t="s">
        <v>449</v>
      </c>
      <c r="E34" t="s">
        <v>251</v>
      </c>
      <c r="F34" t="s">
        <v>250</v>
      </c>
      <c r="M34" s="381"/>
      <c r="N34" s="4">
        <v>5</v>
      </c>
      <c r="O34" t="s">
        <v>449</v>
      </c>
      <c r="P34" t="s">
        <v>251</v>
      </c>
      <c r="Q34" t="s">
        <v>250</v>
      </c>
    </row>
    <row r="35" spans="2:17">
      <c r="B35" s="45"/>
      <c r="C35" s="4">
        <v>4</v>
      </c>
      <c r="D35" t="s">
        <v>226</v>
      </c>
      <c r="E35" t="s">
        <v>14</v>
      </c>
      <c r="F35" t="s">
        <v>250</v>
      </c>
      <c r="M35" s="45"/>
      <c r="N35" s="4">
        <v>4</v>
      </c>
      <c r="O35" t="s">
        <v>226</v>
      </c>
      <c r="P35" t="s">
        <v>14</v>
      </c>
      <c r="Q35" t="s">
        <v>250</v>
      </c>
    </row>
    <row r="36" spans="2:17">
      <c r="B36" s="381"/>
      <c r="C36" s="4">
        <v>4</v>
      </c>
      <c r="D36" t="s">
        <v>463</v>
      </c>
      <c r="E36" s="496" t="s">
        <v>201</v>
      </c>
      <c r="F36" s="496" t="s">
        <v>249</v>
      </c>
      <c r="M36" s="381"/>
      <c r="N36" s="4">
        <v>4</v>
      </c>
      <c r="O36" t="s">
        <v>463</v>
      </c>
      <c r="P36" s="496" t="s">
        <v>201</v>
      </c>
      <c r="Q36" s="496" t="s">
        <v>249</v>
      </c>
    </row>
    <row r="37" spans="2:17">
      <c r="B37" s="45"/>
      <c r="C37" s="4"/>
      <c r="M37" s="45"/>
      <c r="N37" s="4"/>
    </row>
    <row r="38" spans="2:17">
      <c r="B38" s="381">
        <v>45938</v>
      </c>
      <c r="C38" s="4">
        <v>0</v>
      </c>
      <c r="D38" t="s">
        <v>394</v>
      </c>
      <c r="E38" t="s">
        <v>252</v>
      </c>
      <c r="F38" t="s">
        <v>250</v>
      </c>
      <c r="M38" s="381">
        <v>45938</v>
      </c>
      <c r="N38" s="4">
        <v>0</v>
      </c>
      <c r="O38" t="s">
        <v>394</v>
      </c>
      <c r="P38" t="s">
        <v>252</v>
      </c>
      <c r="Q38" t="s">
        <v>250</v>
      </c>
    </row>
    <row r="39" spans="2:17">
      <c r="B39" s="381"/>
      <c r="C39" s="4">
        <v>5</v>
      </c>
      <c r="D39" t="s">
        <v>392</v>
      </c>
      <c r="E39" t="s">
        <v>251</v>
      </c>
      <c r="F39" t="s">
        <v>250</v>
      </c>
      <c r="M39" s="381"/>
      <c r="N39" s="4">
        <v>5</v>
      </c>
      <c r="O39" t="s">
        <v>392</v>
      </c>
      <c r="P39" t="s">
        <v>251</v>
      </c>
      <c r="Q39" t="s">
        <v>250</v>
      </c>
    </row>
    <row r="40" spans="2:17">
      <c r="B40" s="45"/>
      <c r="C40" s="4">
        <v>12</v>
      </c>
      <c r="D40" t="s">
        <v>226</v>
      </c>
      <c r="E40" t="s">
        <v>14</v>
      </c>
      <c r="F40" t="s">
        <v>250</v>
      </c>
      <c r="M40" s="45"/>
      <c r="N40" s="4">
        <v>12</v>
      </c>
      <c r="O40" t="s">
        <v>226</v>
      </c>
      <c r="P40" t="s">
        <v>14</v>
      </c>
      <c r="Q40" t="s">
        <v>250</v>
      </c>
    </row>
    <row r="41" spans="2:17">
      <c r="B41" s="381"/>
      <c r="C41" s="4">
        <v>10</v>
      </c>
      <c r="D41" t="s">
        <v>463</v>
      </c>
      <c r="E41" s="496" t="s">
        <v>201</v>
      </c>
      <c r="F41" s="496" t="s">
        <v>249</v>
      </c>
      <c r="M41" s="381"/>
      <c r="N41" s="4">
        <v>10</v>
      </c>
      <c r="O41" t="s">
        <v>463</v>
      </c>
      <c r="P41" s="496" t="s">
        <v>201</v>
      </c>
      <c r="Q41" s="496" t="s">
        <v>249</v>
      </c>
    </row>
    <row r="42" spans="2:17">
      <c r="B42" s="381"/>
      <c r="C42" s="4"/>
      <c r="M42" s="381"/>
      <c r="N42" s="4"/>
    </row>
    <row r="43" spans="2:17">
      <c r="B43" s="45">
        <v>45939</v>
      </c>
      <c r="C43" s="4">
        <v>0</v>
      </c>
      <c r="D43" t="s">
        <v>394</v>
      </c>
      <c r="E43" t="s">
        <v>252</v>
      </c>
      <c r="F43" t="s">
        <v>250</v>
      </c>
      <c r="M43" s="45">
        <v>45939</v>
      </c>
      <c r="N43" s="4">
        <v>0</v>
      </c>
      <c r="O43" t="s">
        <v>394</v>
      </c>
      <c r="P43" t="s">
        <v>252</v>
      </c>
      <c r="Q43" t="s">
        <v>250</v>
      </c>
    </row>
    <row r="44" spans="2:17">
      <c r="B44" s="381"/>
      <c r="C44" s="4">
        <v>3</v>
      </c>
      <c r="D44" t="s">
        <v>392</v>
      </c>
      <c r="E44" t="s">
        <v>251</v>
      </c>
      <c r="F44" t="s">
        <v>250</v>
      </c>
      <c r="M44" s="381"/>
      <c r="N44" s="4">
        <v>3</v>
      </c>
      <c r="O44" t="s">
        <v>392</v>
      </c>
      <c r="P44" t="s">
        <v>251</v>
      </c>
      <c r="Q44" t="s">
        <v>250</v>
      </c>
    </row>
    <row r="45" spans="2:17">
      <c r="B45" s="381"/>
      <c r="C45" s="4">
        <v>9</v>
      </c>
      <c r="D45" t="s">
        <v>226</v>
      </c>
      <c r="E45" t="s">
        <v>14</v>
      </c>
      <c r="F45" t="s">
        <v>250</v>
      </c>
      <c r="M45" s="381"/>
      <c r="N45" s="4">
        <v>9</v>
      </c>
      <c r="O45" t="s">
        <v>226</v>
      </c>
      <c r="P45" t="s">
        <v>14</v>
      </c>
      <c r="Q45" t="s">
        <v>250</v>
      </c>
    </row>
    <row r="46" spans="2:17">
      <c r="B46" s="381"/>
      <c r="C46" s="4">
        <v>6</v>
      </c>
      <c r="D46" t="s">
        <v>463</v>
      </c>
      <c r="E46" s="496" t="s">
        <v>201</v>
      </c>
      <c r="F46" s="496" t="s">
        <v>249</v>
      </c>
      <c r="M46" s="381"/>
      <c r="N46" s="4">
        <v>6</v>
      </c>
      <c r="O46" t="s">
        <v>463</v>
      </c>
      <c r="P46" s="496" t="s">
        <v>201</v>
      </c>
      <c r="Q46" s="496" t="s">
        <v>249</v>
      </c>
    </row>
    <row r="47" spans="2:17">
      <c r="B47" s="45"/>
      <c r="C47" s="4"/>
      <c r="M47" s="45"/>
      <c r="N47" s="4"/>
    </row>
    <row r="48" spans="2:17">
      <c r="B48" s="381">
        <v>45940</v>
      </c>
      <c r="C48" s="4">
        <v>0</v>
      </c>
      <c r="D48" t="s">
        <v>394</v>
      </c>
      <c r="E48" t="s">
        <v>252</v>
      </c>
      <c r="F48" t="s">
        <v>250</v>
      </c>
      <c r="M48" s="381">
        <v>45940</v>
      </c>
      <c r="N48" s="4">
        <v>0</v>
      </c>
      <c r="O48" t="s">
        <v>394</v>
      </c>
      <c r="P48" t="s">
        <v>252</v>
      </c>
      <c r="Q48" t="s">
        <v>250</v>
      </c>
    </row>
    <row r="49" spans="2:17">
      <c r="B49" s="381"/>
      <c r="C49" s="4">
        <v>4</v>
      </c>
      <c r="D49" t="s">
        <v>449</v>
      </c>
      <c r="E49" t="s">
        <v>251</v>
      </c>
      <c r="F49" t="s">
        <v>250</v>
      </c>
      <c r="M49" s="381"/>
      <c r="N49" s="4">
        <v>4</v>
      </c>
      <c r="O49" t="s">
        <v>449</v>
      </c>
      <c r="P49" t="s">
        <v>251</v>
      </c>
      <c r="Q49" t="s">
        <v>250</v>
      </c>
    </row>
    <row r="50" spans="2:17">
      <c r="B50" s="45"/>
      <c r="C50" s="4">
        <v>8</v>
      </c>
      <c r="D50" t="s">
        <v>226</v>
      </c>
      <c r="E50" t="s">
        <v>14</v>
      </c>
      <c r="F50" t="s">
        <v>250</v>
      </c>
      <c r="M50" s="45"/>
      <c r="N50" s="4">
        <v>8</v>
      </c>
      <c r="O50" t="s">
        <v>226</v>
      </c>
      <c r="P50" t="s">
        <v>14</v>
      </c>
      <c r="Q50" t="s">
        <v>250</v>
      </c>
    </row>
    <row r="51" spans="2:17">
      <c r="B51" s="381"/>
      <c r="C51" s="4">
        <v>2</v>
      </c>
      <c r="D51" t="s">
        <v>463</v>
      </c>
      <c r="E51" s="496" t="s">
        <v>201</v>
      </c>
      <c r="F51" s="496" t="s">
        <v>249</v>
      </c>
      <c r="M51" s="381"/>
      <c r="N51" s="4">
        <v>2</v>
      </c>
      <c r="O51" t="s">
        <v>463</v>
      </c>
      <c r="P51" s="496" t="s">
        <v>201</v>
      </c>
      <c r="Q51" s="496" t="s">
        <v>249</v>
      </c>
    </row>
    <row r="52" spans="2:17">
      <c r="B52" s="381"/>
      <c r="C52" s="4"/>
      <c r="M52" s="381"/>
      <c r="N52" s="4"/>
    </row>
    <row r="53" spans="2:17">
      <c r="B53" s="45">
        <v>45941</v>
      </c>
      <c r="C53" s="4">
        <v>8</v>
      </c>
      <c r="D53" t="s">
        <v>593</v>
      </c>
      <c r="E53" t="s">
        <v>252</v>
      </c>
      <c r="F53" t="s">
        <v>250</v>
      </c>
      <c r="M53" s="45">
        <v>45941</v>
      </c>
      <c r="N53" s="4">
        <v>8</v>
      </c>
      <c r="O53" t="s">
        <v>593</v>
      </c>
      <c r="P53" t="s">
        <v>252</v>
      </c>
      <c r="Q53" t="s">
        <v>250</v>
      </c>
    </row>
    <row r="54" spans="2:17">
      <c r="B54" s="381"/>
      <c r="C54" s="4">
        <v>13</v>
      </c>
      <c r="D54" t="s">
        <v>480</v>
      </c>
      <c r="E54" t="s">
        <v>251</v>
      </c>
      <c r="F54" t="s">
        <v>250</v>
      </c>
      <c r="M54" s="381"/>
      <c r="N54" s="4">
        <v>13</v>
      </c>
      <c r="O54" t="s">
        <v>480</v>
      </c>
      <c r="P54" t="s">
        <v>251</v>
      </c>
      <c r="Q54" t="s">
        <v>250</v>
      </c>
    </row>
    <row r="55" spans="2:17">
      <c r="B55" s="381"/>
      <c r="C55" s="4">
        <v>19</v>
      </c>
      <c r="D55" t="s">
        <v>226</v>
      </c>
      <c r="E55" t="s">
        <v>14</v>
      </c>
      <c r="F55" t="s">
        <v>250</v>
      </c>
      <c r="M55" s="381"/>
      <c r="N55" s="4">
        <v>19</v>
      </c>
      <c r="O55" t="s">
        <v>226</v>
      </c>
      <c r="P55" t="s">
        <v>14</v>
      </c>
      <c r="Q55" t="s">
        <v>250</v>
      </c>
    </row>
    <row r="56" spans="2:17">
      <c r="B56" s="381"/>
      <c r="C56" s="4">
        <v>5</v>
      </c>
      <c r="D56" t="s">
        <v>463</v>
      </c>
      <c r="E56" s="496" t="s">
        <v>201</v>
      </c>
      <c r="F56" s="496" t="s">
        <v>249</v>
      </c>
      <c r="M56" s="381"/>
      <c r="N56" s="4">
        <v>5</v>
      </c>
      <c r="O56" t="s">
        <v>463</v>
      </c>
      <c r="P56" s="496" t="s">
        <v>201</v>
      </c>
      <c r="Q56" s="496" t="s">
        <v>249</v>
      </c>
    </row>
    <row r="57" spans="2:17">
      <c r="B57" s="45"/>
      <c r="C57" s="4"/>
      <c r="M57" s="45"/>
      <c r="N57" s="4"/>
    </row>
    <row r="58" spans="2:17">
      <c r="B58" s="381">
        <v>45942</v>
      </c>
      <c r="C58" s="4">
        <v>0</v>
      </c>
      <c r="D58" t="s">
        <v>394</v>
      </c>
      <c r="E58" t="s">
        <v>252</v>
      </c>
      <c r="F58" t="s">
        <v>250</v>
      </c>
      <c r="M58" s="381">
        <v>45942</v>
      </c>
      <c r="N58" s="4">
        <v>0</v>
      </c>
      <c r="O58" t="s">
        <v>394</v>
      </c>
      <c r="P58" t="s">
        <v>252</v>
      </c>
      <c r="Q58" t="s">
        <v>250</v>
      </c>
    </row>
    <row r="59" spans="2:17">
      <c r="B59" s="381"/>
      <c r="C59" s="4">
        <v>12</v>
      </c>
      <c r="D59" t="s">
        <v>393</v>
      </c>
      <c r="E59" t="s">
        <v>251</v>
      </c>
      <c r="F59" t="s">
        <v>250</v>
      </c>
      <c r="M59" s="381"/>
      <c r="N59" s="4">
        <v>12</v>
      </c>
      <c r="O59" t="s">
        <v>393</v>
      </c>
      <c r="P59" t="s">
        <v>251</v>
      </c>
      <c r="Q59" t="s">
        <v>250</v>
      </c>
    </row>
    <row r="60" spans="2:17">
      <c r="B60" s="381"/>
      <c r="C60" s="4">
        <v>15</v>
      </c>
      <c r="D60" t="s">
        <v>226</v>
      </c>
      <c r="E60" t="s">
        <v>14</v>
      </c>
      <c r="F60" t="s">
        <v>250</v>
      </c>
      <c r="M60" s="381"/>
      <c r="N60" s="4">
        <v>15</v>
      </c>
      <c r="O60" t="s">
        <v>226</v>
      </c>
      <c r="P60" t="s">
        <v>14</v>
      </c>
      <c r="Q60" t="s">
        <v>250</v>
      </c>
    </row>
    <row r="61" spans="2:17">
      <c r="B61" s="45"/>
      <c r="C61" s="4">
        <v>15</v>
      </c>
      <c r="D61" t="s">
        <v>575</v>
      </c>
      <c r="E61" t="s">
        <v>594</v>
      </c>
      <c r="F61" t="s">
        <v>256</v>
      </c>
      <c r="M61" s="45"/>
      <c r="N61" s="4">
        <v>15</v>
      </c>
      <c r="O61" t="s">
        <v>575</v>
      </c>
      <c r="P61" t="s">
        <v>594</v>
      </c>
      <c r="Q61" t="s">
        <v>256</v>
      </c>
    </row>
    <row r="62" spans="2:17">
      <c r="B62" s="381"/>
      <c r="C62">
        <v>188</v>
      </c>
      <c r="D62" t="s">
        <v>576</v>
      </c>
      <c r="E62" s="585" t="s">
        <v>485</v>
      </c>
      <c r="F62" t="s">
        <v>248</v>
      </c>
      <c r="M62" s="381"/>
      <c r="N62">
        <v>188</v>
      </c>
      <c r="O62" t="s">
        <v>576</v>
      </c>
      <c r="P62" s="585" t="s">
        <v>485</v>
      </c>
      <c r="Q62" t="s">
        <v>248</v>
      </c>
    </row>
    <row r="63" spans="2:17">
      <c r="B63" s="381"/>
      <c r="E63" s="415"/>
      <c r="F63" s="415"/>
      <c r="M63" s="381"/>
      <c r="P63" s="415"/>
      <c r="Q63" s="415"/>
    </row>
    <row r="64" spans="2:17">
      <c r="B64" s="45">
        <v>45943</v>
      </c>
      <c r="C64">
        <v>4</v>
      </c>
      <c r="D64" t="s">
        <v>452</v>
      </c>
      <c r="E64" t="s">
        <v>252</v>
      </c>
      <c r="F64" t="s">
        <v>250</v>
      </c>
      <c r="M64" s="45">
        <v>45943</v>
      </c>
      <c r="N64">
        <v>4</v>
      </c>
      <c r="O64" t="s">
        <v>452</v>
      </c>
      <c r="P64" t="s">
        <v>252</v>
      </c>
      <c r="Q64" t="s">
        <v>250</v>
      </c>
    </row>
    <row r="65" spans="2:18">
      <c r="B65" s="45"/>
      <c r="C65">
        <v>21</v>
      </c>
      <c r="D65" t="s">
        <v>393</v>
      </c>
      <c r="E65" t="s">
        <v>251</v>
      </c>
      <c r="F65" t="s">
        <v>250</v>
      </c>
      <c r="M65" s="45"/>
      <c r="N65">
        <v>21</v>
      </c>
      <c r="O65" t="s">
        <v>393</v>
      </c>
      <c r="P65" t="s">
        <v>251</v>
      </c>
      <c r="Q65" t="s">
        <v>250</v>
      </c>
    </row>
    <row r="66" spans="2:18">
      <c r="B66" s="381"/>
      <c r="C66">
        <v>28</v>
      </c>
      <c r="D66" t="s">
        <v>226</v>
      </c>
      <c r="E66" t="s">
        <v>14</v>
      </c>
      <c r="F66" t="s">
        <v>250</v>
      </c>
      <c r="M66" s="381"/>
      <c r="N66">
        <v>28</v>
      </c>
      <c r="O66" t="s">
        <v>226</v>
      </c>
      <c r="P66" t="s">
        <v>14</v>
      </c>
      <c r="Q66" t="s">
        <v>250</v>
      </c>
      <c r="R66" s="523">
        <f>+summary!Q53</f>
        <v>0</v>
      </c>
    </row>
    <row r="67" spans="2:18">
      <c r="B67" s="381"/>
      <c r="C67">
        <v>45</v>
      </c>
      <c r="D67" t="s">
        <v>601</v>
      </c>
      <c r="E67" t="s">
        <v>605</v>
      </c>
      <c r="F67" t="s">
        <v>254</v>
      </c>
      <c r="M67" s="381"/>
      <c r="N67">
        <v>45</v>
      </c>
      <c r="O67" t="s">
        <v>601</v>
      </c>
      <c r="P67" t="s">
        <v>605</v>
      </c>
      <c r="Q67" t="s">
        <v>254</v>
      </c>
    </row>
    <row r="68" spans="2:18">
      <c r="B68" s="45"/>
      <c r="C68">
        <v>70</v>
      </c>
      <c r="D68" t="s">
        <v>602</v>
      </c>
      <c r="E68" s="585" t="s">
        <v>485</v>
      </c>
      <c r="F68" t="s">
        <v>248</v>
      </c>
      <c r="G68" s="523">
        <f>+summary!H53</f>
        <v>0</v>
      </c>
      <c r="M68" s="45"/>
      <c r="N68">
        <v>70</v>
      </c>
      <c r="O68" t="s">
        <v>602</v>
      </c>
      <c r="P68" s="585" t="s">
        <v>485</v>
      </c>
      <c r="Q68" t="s">
        <v>248</v>
      </c>
    </row>
    <row r="69" spans="2:18">
      <c r="B69" s="45"/>
      <c r="M69" s="45"/>
    </row>
    <row r="70" spans="2:18">
      <c r="B70" s="381">
        <v>45944</v>
      </c>
      <c r="C70">
        <v>0</v>
      </c>
      <c r="D70" t="s">
        <v>394</v>
      </c>
      <c r="E70" t="s">
        <v>252</v>
      </c>
      <c r="F70" t="s">
        <v>250</v>
      </c>
      <c r="M70" s="381">
        <v>45944</v>
      </c>
      <c r="N70">
        <v>0</v>
      </c>
      <c r="O70" t="s">
        <v>394</v>
      </c>
      <c r="P70" t="s">
        <v>252</v>
      </c>
      <c r="Q70" t="s">
        <v>250</v>
      </c>
    </row>
    <row r="71" spans="2:18">
      <c r="B71" s="381"/>
      <c r="C71">
        <v>2</v>
      </c>
      <c r="D71" t="s">
        <v>392</v>
      </c>
      <c r="E71" t="s">
        <v>251</v>
      </c>
      <c r="F71" t="s">
        <v>250</v>
      </c>
      <c r="M71" s="381"/>
      <c r="N71">
        <v>2</v>
      </c>
      <c r="O71" t="s">
        <v>392</v>
      </c>
      <c r="P71" t="s">
        <v>251</v>
      </c>
      <c r="Q71" t="s">
        <v>250</v>
      </c>
    </row>
    <row r="72" spans="2:18">
      <c r="B72" s="45"/>
      <c r="C72">
        <v>10</v>
      </c>
      <c r="D72" t="s">
        <v>226</v>
      </c>
      <c r="E72" t="s">
        <v>14</v>
      </c>
      <c r="F72" t="s">
        <v>250</v>
      </c>
      <c r="M72" s="45"/>
      <c r="N72">
        <v>10</v>
      </c>
      <c r="O72" t="s">
        <v>226</v>
      </c>
      <c r="P72" t="s">
        <v>14</v>
      </c>
      <c r="Q72" t="s">
        <v>250</v>
      </c>
    </row>
    <row r="73" spans="2:18">
      <c r="B73" s="45"/>
      <c r="C73">
        <v>3</v>
      </c>
      <c r="D73" t="s">
        <v>463</v>
      </c>
      <c r="E73" s="496" t="s">
        <v>201</v>
      </c>
      <c r="F73" s="496" t="s">
        <v>249</v>
      </c>
      <c r="M73" s="45"/>
      <c r="N73">
        <v>3</v>
      </c>
      <c r="O73" t="s">
        <v>463</v>
      </c>
      <c r="P73" s="496" t="s">
        <v>201</v>
      </c>
      <c r="Q73" s="496" t="s">
        <v>249</v>
      </c>
    </row>
    <row r="74" spans="2:18">
      <c r="B74" s="45"/>
      <c r="M74" s="45"/>
    </row>
    <row r="75" spans="2:18">
      <c r="B75" s="381">
        <v>45945</v>
      </c>
      <c r="C75">
        <v>2</v>
      </c>
      <c r="D75" t="s">
        <v>391</v>
      </c>
      <c r="E75" t="s">
        <v>252</v>
      </c>
      <c r="F75" t="s">
        <v>250</v>
      </c>
      <c r="M75" s="381">
        <v>45945</v>
      </c>
      <c r="N75">
        <v>2</v>
      </c>
      <c r="O75" t="s">
        <v>391</v>
      </c>
      <c r="P75" t="s">
        <v>252</v>
      </c>
      <c r="Q75" t="s">
        <v>250</v>
      </c>
    </row>
    <row r="76" spans="2:18">
      <c r="B76" s="381"/>
      <c r="C76">
        <v>17</v>
      </c>
      <c r="D76" t="s">
        <v>480</v>
      </c>
      <c r="E76" t="s">
        <v>251</v>
      </c>
      <c r="F76" t="s">
        <v>250</v>
      </c>
      <c r="M76" s="381"/>
      <c r="N76">
        <v>17</v>
      </c>
      <c r="O76" t="s">
        <v>480</v>
      </c>
      <c r="P76" t="s">
        <v>251</v>
      </c>
      <c r="Q76" t="s">
        <v>250</v>
      </c>
    </row>
    <row r="77" spans="2:18">
      <c r="B77" s="45"/>
      <c r="C77">
        <v>10</v>
      </c>
      <c r="D77" t="s">
        <v>226</v>
      </c>
      <c r="E77" t="s">
        <v>14</v>
      </c>
      <c r="F77" t="s">
        <v>250</v>
      </c>
      <c r="M77" s="45"/>
      <c r="N77">
        <v>10</v>
      </c>
      <c r="O77" t="s">
        <v>226</v>
      </c>
      <c r="P77" t="s">
        <v>14</v>
      </c>
      <c r="Q77" t="s">
        <v>250</v>
      </c>
    </row>
    <row r="78" spans="2:18">
      <c r="B78" s="45"/>
      <c r="C78">
        <v>31</v>
      </c>
      <c r="D78" t="s">
        <v>463</v>
      </c>
      <c r="E78" s="496" t="s">
        <v>201</v>
      </c>
      <c r="F78" s="496" t="s">
        <v>249</v>
      </c>
      <c r="M78" s="45"/>
      <c r="N78">
        <v>31</v>
      </c>
      <c r="O78" t="s">
        <v>463</v>
      </c>
      <c r="P78" s="496" t="s">
        <v>201</v>
      </c>
      <c r="Q78" s="496" t="s">
        <v>249</v>
      </c>
    </row>
    <row r="79" spans="2:18">
      <c r="B79" s="381"/>
      <c r="M79" s="381"/>
    </row>
    <row r="80" spans="2:18">
      <c r="B80" s="381">
        <v>45946</v>
      </c>
      <c r="C80">
        <v>3</v>
      </c>
      <c r="D80" t="s">
        <v>452</v>
      </c>
      <c r="E80" t="s">
        <v>252</v>
      </c>
      <c r="F80" t="s">
        <v>250</v>
      </c>
      <c r="M80" s="381">
        <v>45946</v>
      </c>
      <c r="N80">
        <v>3</v>
      </c>
      <c r="O80" t="s">
        <v>452</v>
      </c>
      <c r="P80" t="s">
        <v>252</v>
      </c>
      <c r="Q80" t="s">
        <v>250</v>
      </c>
    </row>
    <row r="81" spans="2:17">
      <c r="B81" s="45"/>
      <c r="C81">
        <v>17</v>
      </c>
      <c r="D81" t="s">
        <v>481</v>
      </c>
      <c r="E81" t="s">
        <v>251</v>
      </c>
      <c r="F81" t="s">
        <v>250</v>
      </c>
      <c r="M81" s="45"/>
      <c r="N81">
        <v>17</v>
      </c>
      <c r="O81" t="s">
        <v>481</v>
      </c>
      <c r="P81" t="s">
        <v>251</v>
      </c>
      <c r="Q81" t="s">
        <v>250</v>
      </c>
    </row>
    <row r="82" spans="2:17">
      <c r="B82" s="45"/>
      <c r="C82">
        <v>15</v>
      </c>
      <c r="D82" t="s">
        <v>226</v>
      </c>
      <c r="E82" t="s">
        <v>14</v>
      </c>
      <c r="F82" t="s">
        <v>250</v>
      </c>
      <c r="M82" s="45"/>
      <c r="N82">
        <v>15</v>
      </c>
      <c r="O82" t="s">
        <v>226</v>
      </c>
      <c r="P82" t="s">
        <v>14</v>
      </c>
      <c r="Q82" t="s">
        <v>250</v>
      </c>
    </row>
    <row r="83" spans="2:17">
      <c r="B83" s="381"/>
      <c r="C83">
        <v>610</v>
      </c>
      <c r="D83" t="s">
        <v>637</v>
      </c>
      <c r="E83" s="415" t="s">
        <v>638</v>
      </c>
      <c r="F83" t="s">
        <v>250</v>
      </c>
      <c r="M83" s="381"/>
      <c r="N83">
        <v>610</v>
      </c>
      <c r="O83" t="s">
        <v>637</v>
      </c>
      <c r="P83" s="415" t="s">
        <v>638</v>
      </c>
      <c r="Q83" t="s">
        <v>250</v>
      </c>
    </row>
    <row r="84" spans="2:17">
      <c r="B84" s="381"/>
      <c r="M84" s="381"/>
    </row>
    <row r="85" spans="2:17">
      <c r="B85" s="45">
        <v>45947</v>
      </c>
      <c r="C85">
        <v>13</v>
      </c>
      <c r="D85" t="s">
        <v>593</v>
      </c>
      <c r="E85" t="s">
        <v>252</v>
      </c>
      <c r="F85" t="s">
        <v>250</v>
      </c>
      <c r="M85" s="45">
        <v>45947</v>
      </c>
      <c r="N85">
        <v>13</v>
      </c>
      <c r="O85" t="s">
        <v>593</v>
      </c>
      <c r="P85" t="s">
        <v>252</v>
      </c>
      <c r="Q85" t="s">
        <v>250</v>
      </c>
    </row>
    <row r="86" spans="2:17">
      <c r="B86" s="45"/>
      <c r="C86">
        <v>28</v>
      </c>
      <c r="D86" t="s">
        <v>653</v>
      </c>
      <c r="E86" t="s">
        <v>251</v>
      </c>
      <c r="F86" t="s">
        <v>250</v>
      </c>
      <c r="M86" s="45"/>
      <c r="N86">
        <v>28</v>
      </c>
      <c r="O86" t="s">
        <v>653</v>
      </c>
      <c r="P86" t="s">
        <v>251</v>
      </c>
      <c r="Q86" t="s">
        <v>250</v>
      </c>
    </row>
    <row r="87" spans="2:17">
      <c r="B87" s="45"/>
      <c r="C87">
        <v>29</v>
      </c>
      <c r="D87" t="s">
        <v>226</v>
      </c>
      <c r="E87" t="s">
        <v>14</v>
      </c>
      <c r="F87" t="s">
        <v>250</v>
      </c>
      <c r="M87" s="45"/>
      <c r="N87">
        <v>29</v>
      </c>
      <c r="O87" t="s">
        <v>226</v>
      </c>
      <c r="P87" t="s">
        <v>14</v>
      </c>
      <c r="Q87" t="s">
        <v>250</v>
      </c>
    </row>
    <row r="88" spans="2:17">
      <c r="B88" s="381"/>
      <c r="C88">
        <v>4</v>
      </c>
      <c r="D88" t="s">
        <v>463</v>
      </c>
      <c r="E88" s="496" t="s">
        <v>201</v>
      </c>
      <c r="F88" s="496" t="s">
        <v>249</v>
      </c>
      <c r="M88" s="381"/>
      <c r="N88">
        <v>4</v>
      </c>
      <c r="O88" t="s">
        <v>463</v>
      </c>
      <c r="P88" s="496" t="s">
        <v>201</v>
      </c>
      <c r="Q88" s="496" t="s">
        <v>249</v>
      </c>
    </row>
    <row r="89" spans="2:17">
      <c r="B89" s="381"/>
      <c r="C89">
        <v>160</v>
      </c>
      <c r="D89" t="s">
        <v>673</v>
      </c>
      <c r="E89" t="s">
        <v>672</v>
      </c>
      <c r="F89" t="s">
        <v>255</v>
      </c>
      <c r="M89" s="381"/>
      <c r="N89">
        <v>160</v>
      </c>
      <c r="O89" t="s">
        <v>673</v>
      </c>
      <c r="P89" t="s">
        <v>672</v>
      </c>
      <c r="Q89" t="s">
        <v>255</v>
      </c>
    </row>
    <row r="90" spans="2:17">
      <c r="B90" s="381"/>
      <c r="M90" s="381"/>
    </row>
    <row r="91" spans="2:17">
      <c r="B91" s="381">
        <v>45948</v>
      </c>
      <c r="C91">
        <v>6</v>
      </c>
      <c r="D91" t="s">
        <v>651</v>
      </c>
      <c r="E91" t="s">
        <v>252</v>
      </c>
      <c r="F91" t="s">
        <v>250</v>
      </c>
      <c r="M91" s="381">
        <v>45948</v>
      </c>
      <c r="N91">
        <v>6</v>
      </c>
      <c r="O91" t="s">
        <v>651</v>
      </c>
      <c r="P91" t="s">
        <v>252</v>
      </c>
      <c r="Q91" t="s">
        <v>250</v>
      </c>
    </row>
    <row r="92" spans="2:17">
      <c r="B92" s="381"/>
      <c r="C92">
        <v>16</v>
      </c>
      <c r="D92" t="s">
        <v>670</v>
      </c>
      <c r="E92" t="s">
        <v>251</v>
      </c>
      <c r="F92" t="s">
        <v>250</v>
      </c>
      <c r="M92" s="381"/>
      <c r="N92">
        <v>16</v>
      </c>
      <c r="O92" t="s">
        <v>670</v>
      </c>
      <c r="P92" t="s">
        <v>251</v>
      </c>
      <c r="Q92" t="s">
        <v>250</v>
      </c>
    </row>
    <row r="93" spans="2:17">
      <c r="B93" s="381"/>
      <c r="C93">
        <v>13</v>
      </c>
      <c r="D93" t="s">
        <v>226</v>
      </c>
      <c r="E93" t="s">
        <v>14</v>
      </c>
      <c r="F93" t="s">
        <v>250</v>
      </c>
      <c r="M93" s="381"/>
      <c r="N93">
        <v>13</v>
      </c>
      <c r="O93" t="s">
        <v>226</v>
      </c>
      <c r="P93" t="s">
        <v>14</v>
      </c>
      <c r="Q93" t="s">
        <v>250</v>
      </c>
    </row>
    <row r="94" spans="2:17">
      <c r="B94" s="381"/>
      <c r="C94">
        <v>630</v>
      </c>
      <c r="D94" t="s">
        <v>671</v>
      </c>
      <c r="E94" t="s">
        <v>672</v>
      </c>
      <c r="F94" t="s">
        <v>255</v>
      </c>
      <c r="M94" s="381"/>
      <c r="N94">
        <v>630</v>
      </c>
      <c r="O94" t="s">
        <v>671</v>
      </c>
      <c r="P94" t="s">
        <v>672</v>
      </c>
      <c r="Q94" t="s">
        <v>255</v>
      </c>
    </row>
    <row r="95" spans="2:17">
      <c r="B95" s="381"/>
      <c r="M95" s="381"/>
    </row>
    <row r="96" spans="2:17">
      <c r="B96" s="381">
        <v>45949</v>
      </c>
      <c r="C96">
        <v>0</v>
      </c>
      <c r="D96" t="s">
        <v>394</v>
      </c>
      <c r="E96" t="s">
        <v>252</v>
      </c>
      <c r="F96" t="s">
        <v>250</v>
      </c>
      <c r="M96" s="381">
        <v>45949</v>
      </c>
      <c r="N96">
        <v>0</v>
      </c>
      <c r="O96" t="s">
        <v>394</v>
      </c>
      <c r="P96" t="s">
        <v>252</v>
      </c>
      <c r="Q96" t="s">
        <v>250</v>
      </c>
    </row>
    <row r="97" spans="2:17">
      <c r="B97" s="381"/>
      <c r="C97">
        <v>25</v>
      </c>
      <c r="D97" t="s">
        <v>653</v>
      </c>
      <c r="E97" t="s">
        <v>251</v>
      </c>
      <c r="F97" t="s">
        <v>250</v>
      </c>
      <c r="M97" s="381"/>
      <c r="N97">
        <v>25</v>
      </c>
      <c r="O97" t="s">
        <v>653</v>
      </c>
      <c r="P97" t="s">
        <v>251</v>
      </c>
      <c r="Q97" t="s">
        <v>250</v>
      </c>
    </row>
    <row r="98" spans="2:17">
      <c r="B98" s="381"/>
      <c r="C98">
        <v>25</v>
      </c>
      <c r="D98" t="s">
        <v>226</v>
      </c>
      <c r="E98" t="s">
        <v>14</v>
      </c>
      <c r="F98" t="s">
        <v>250</v>
      </c>
      <c r="M98" s="381"/>
      <c r="N98">
        <v>25</v>
      </c>
      <c r="O98" t="s">
        <v>226</v>
      </c>
      <c r="P98" t="s">
        <v>14</v>
      </c>
      <c r="Q98" t="s">
        <v>250</v>
      </c>
    </row>
    <row r="99" spans="2:17">
      <c r="B99" s="381"/>
      <c r="M99" s="381"/>
      <c r="P99" s="496"/>
      <c r="Q99" s="496"/>
    </row>
    <row r="100" spans="2:17">
      <c r="B100" s="381">
        <v>45950</v>
      </c>
      <c r="C100">
        <v>2</v>
      </c>
      <c r="D100" t="s">
        <v>452</v>
      </c>
      <c r="E100" t="s">
        <v>252</v>
      </c>
      <c r="F100" t="s">
        <v>250</v>
      </c>
      <c r="M100" s="381">
        <v>45950</v>
      </c>
      <c r="N100">
        <v>2</v>
      </c>
      <c r="O100" t="s">
        <v>452</v>
      </c>
      <c r="P100" t="s">
        <v>252</v>
      </c>
      <c r="Q100" t="s">
        <v>250</v>
      </c>
    </row>
    <row r="101" spans="2:17">
      <c r="B101" s="381"/>
      <c r="C101">
        <v>21</v>
      </c>
      <c r="D101" t="s">
        <v>675</v>
      </c>
      <c r="E101" t="s">
        <v>251</v>
      </c>
      <c r="F101" t="s">
        <v>250</v>
      </c>
      <c r="M101" s="381"/>
      <c r="N101">
        <v>21</v>
      </c>
      <c r="O101" t="s">
        <v>675</v>
      </c>
      <c r="P101" t="s">
        <v>251</v>
      </c>
      <c r="Q101" t="s">
        <v>250</v>
      </c>
    </row>
    <row r="102" spans="2:17">
      <c r="B102" s="381"/>
      <c r="C102">
        <v>17</v>
      </c>
      <c r="D102" t="s">
        <v>226</v>
      </c>
      <c r="E102" t="s">
        <v>14</v>
      </c>
      <c r="F102" t="s">
        <v>250</v>
      </c>
      <c r="M102" s="381"/>
      <c r="N102">
        <v>17</v>
      </c>
      <c r="O102" t="s">
        <v>226</v>
      </c>
      <c r="P102" t="s">
        <v>14</v>
      </c>
      <c r="Q102" t="s">
        <v>250</v>
      </c>
    </row>
    <row r="103" spans="2:17">
      <c r="B103" s="381"/>
      <c r="M103" s="381"/>
      <c r="P103" s="496"/>
      <c r="Q103" s="496"/>
    </row>
    <row r="104" spans="2:17">
      <c r="B104" s="381">
        <v>45951</v>
      </c>
      <c r="C104">
        <v>7</v>
      </c>
      <c r="D104" t="s">
        <v>651</v>
      </c>
      <c r="E104" t="s">
        <v>252</v>
      </c>
      <c r="F104" t="s">
        <v>250</v>
      </c>
      <c r="M104" s="381">
        <v>45951</v>
      </c>
      <c r="N104">
        <v>7</v>
      </c>
      <c r="O104" t="s">
        <v>651</v>
      </c>
      <c r="P104" t="s">
        <v>252</v>
      </c>
      <c r="Q104" t="s">
        <v>250</v>
      </c>
    </row>
    <row r="105" spans="2:17">
      <c r="B105" s="381"/>
      <c r="C105">
        <v>27</v>
      </c>
      <c r="D105" t="s">
        <v>653</v>
      </c>
      <c r="E105" t="s">
        <v>251</v>
      </c>
      <c r="F105" t="s">
        <v>250</v>
      </c>
      <c r="M105" s="381"/>
      <c r="N105">
        <v>27</v>
      </c>
      <c r="O105" t="s">
        <v>653</v>
      </c>
      <c r="P105" t="s">
        <v>251</v>
      </c>
      <c r="Q105" t="s">
        <v>250</v>
      </c>
    </row>
    <row r="106" spans="2:17">
      <c r="B106" s="381"/>
      <c r="C106">
        <v>16</v>
      </c>
      <c r="D106" t="s">
        <v>226</v>
      </c>
      <c r="E106" t="s">
        <v>14</v>
      </c>
      <c r="F106" t="s">
        <v>250</v>
      </c>
      <c r="M106" s="381"/>
      <c r="N106">
        <v>16</v>
      </c>
      <c r="O106" t="s">
        <v>226</v>
      </c>
      <c r="P106" t="s">
        <v>14</v>
      </c>
      <c r="Q106" t="s">
        <v>250</v>
      </c>
    </row>
    <row r="107" spans="2:17">
      <c r="B107" s="381"/>
      <c r="C107">
        <v>10</v>
      </c>
      <c r="D107" t="s">
        <v>463</v>
      </c>
      <c r="E107" s="496" t="s">
        <v>201</v>
      </c>
      <c r="F107" s="496" t="s">
        <v>249</v>
      </c>
      <c r="M107" s="381"/>
      <c r="N107">
        <v>10</v>
      </c>
      <c r="O107" t="s">
        <v>463</v>
      </c>
      <c r="P107" s="496" t="s">
        <v>201</v>
      </c>
      <c r="Q107" s="496" t="s">
        <v>249</v>
      </c>
    </row>
    <row r="108" spans="2:17">
      <c r="B108" s="381"/>
      <c r="M108" s="381"/>
    </row>
    <row r="109" spans="2:17">
      <c r="B109" s="381">
        <v>45952</v>
      </c>
      <c r="C109">
        <v>0</v>
      </c>
      <c r="D109" t="s">
        <v>394</v>
      </c>
      <c r="E109" t="s">
        <v>252</v>
      </c>
      <c r="F109" t="s">
        <v>250</v>
      </c>
      <c r="M109" s="381">
        <v>45952</v>
      </c>
      <c r="N109">
        <v>0</v>
      </c>
      <c r="O109" t="s">
        <v>394</v>
      </c>
      <c r="P109" t="s">
        <v>252</v>
      </c>
      <c r="Q109" t="s">
        <v>250</v>
      </c>
    </row>
    <row r="110" spans="2:17">
      <c r="B110" s="381"/>
      <c r="C110">
        <v>11</v>
      </c>
      <c r="D110" t="s">
        <v>481</v>
      </c>
      <c r="E110" t="s">
        <v>251</v>
      </c>
      <c r="F110" t="s">
        <v>250</v>
      </c>
      <c r="M110" s="381"/>
      <c r="N110">
        <v>11</v>
      </c>
      <c r="O110" t="s">
        <v>481</v>
      </c>
      <c r="P110" t="s">
        <v>251</v>
      </c>
      <c r="Q110" t="s">
        <v>250</v>
      </c>
    </row>
    <row r="111" spans="2:17">
      <c r="B111" s="381"/>
      <c r="C111">
        <v>14</v>
      </c>
      <c r="D111" t="s">
        <v>226</v>
      </c>
      <c r="E111" t="s">
        <v>14</v>
      </c>
      <c r="F111" t="s">
        <v>250</v>
      </c>
      <c r="M111" s="381"/>
      <c r="N111">
        <v>14</v>
      </c>
      <c r="O111" t="s">
        <v>226</v>
      </c>
      <c r="P111" t="s">
        <v>14</v>
      </c>
      <c r="Q111" t="s">
        <v>250</v>
      </c>
    </row>
    <row r="112" spans="2:17">
      <c r="B112" s="381"/>
      <c r="C112">
        <v>11</v>
      </c>
      <c r="D112" t="s">
        <v>463</v>
      </c>
      <c r="E112" s="496" t="s">
        <v>201</v>
      </c>
      <c r="F112" s="496" t="s">
        <v>249</v>
      </c>
      <c r="M112" s="381"/>
      <c r="N112">
        <v>11</v>
      </c>
      <c r="O112" t="s">
        <v>463</v>
      </c>
      <c r="P112" s="496" t="s">
        <v>201</v>
      </c>
      <c r="Q112" s="496" t="s">
        <v>249</v>
      </c>
    </row>
    <row r="113" spans="2:17">
      <c r="B113" s="381"/>
      <c r="M113" s="381"/>
    </row>
    <row r="114" spans="2:17">
      <c r="B114" s="381">
        <v>45953</v>
      </c>
      <c r="C114">
        <v>0</v>
      </c>
      <c r="D114" t="s">
        <v>394</v>
      </c>
      <c r="E114" t="s">
        <v>252</v>
      </c>
      <c r="F114" t="s">
        <v>250</v>
      </c>
      <c r="M114" s="381">
        <v>45953</v>
      </c>
      <c r="N114">
        <v>0</v>
      </c>
      <c r="O114" t="s">
        <v>394</v>
      </c>
      <c r="P114" t="s">
        <v>252</v>
      </c>
      <c r="Q114" t="s">
        <v>250</v>
      </c>
    </row>
    <row r="115" spans="2:17">
      <c r="B115" s="381"/>
      <c r="C115">
        <v>3</v>
      </c>
      <c r="D115" t="s">
        <v>449</v>
      </c>
      <c r="E115" t="s">
        <v>251</v>
      </c>
      <c r="F115" t="s">
        <v>250</v>
      </c>
      <c r="M115" s="381"/>
      <c r="N115">
        <v>3</v>
      </c>
      <c r="O115" t="s">
        <v>449</v>
      </c>
      <c r="P115" t="s">
        <v>251</v>
      </c>
      <c r="Q115" t="s">
        <v>250</v>
      </c>
    </row>
    <row r="116" spans="2:17">
      <c r="B116" s="381"/>
      <c r="C116">
        <v>10</v>
      </c>
      <c r="D116" t="s">
        <v>226</v>
      </c>
      <c r="E116" t="s">
        <v>14</v>
      </c>
      <c r="F116" t="s">
        <v>250</v>
      </c>
      <c r="M116" s="381"/>
      <c r="N116">
        <v>10</v>
      </c>
      <c r="O116" t="s">
        <v>226</v>
      </c>
      <c r="P116" t="s">
        <v>14</v>
      </c>
      <c r="Q116" t="s">
        <v>250</v>
      </c>
    </row>
    <row r="117" spans="2:17">
      <c r="B117" s="381"/>
      <c r="E117" s="415"/>
      <c r="F117" s="415"/>
      <c r="M117" s="381"/>
      <c r="P117" s="415"/>
      <c r="Q117" s="415"/>
    </row>
    <row r="118" spans="2:17">
      <c r="B118" s="381">
        <v>45954</v>
      </c>
      <c r="C118">
        <v>0</v>
      </c>
      <c r="D118" t="s">
        <v>394</v>
      </c>
      <c r="E118" t="s">
        <v>252</v>
      </c>
      <c r="F118" t="s">
        <v>250</v>
      </c>
      <c r="M118" s="381">
        <v>45954</v>
      </c>
      <c r="N118">
        <v>0</v>
      </c>
      <c r="O118" t="s">
        <v>394</v>
      </c>
      <c r="P118" t="s">
        <v>252</v>
      </c>
      <c r="Q118" t="s">
        <v>250</v>
      </c>
    </row>
    <row r="119" spans="2:17">
      <c r="B119" s="381"/>
      <c r="C119">
        <v>3</v>
      </c>
      <c r="D119" t="s">
        <v>392</v>
      </c>
      <c r="E119" t="s">
        <v>251</v>
      </c>
      <c r="F119" t="s">
        <v>250</v>
      </c>
      <c r="M119" s="381"/>
      <c r="N119">
        <v>3</v>
      </c>
      <c r="O119" t="s">
        <v>392</v>
      </c>
      <c r="P119" t="s">
        <v>251</v>
      </c>
      <c r="Q119" t="s">
        <v>250</v>
      </c>
    </row>
    <row r="120" spans="2:17">
      <c r="B120" s="381"/>
      <c r="C120">
        <v>8</v>
      </c>
      <c r="D120" t="s">
        <v>226</v>
      </c>
      <c r="E120" t="s">
        <v>14</v>
      </c>
      <c r="F120" t="s">
        <v>250</v>
      </c>
      <c r="M120" s="381"/>
      <c r="N120">
        <v>8</v>
      </c>
      <c r="O120" t="s">
        <v>226</v>
      </c>
      <c r="P120" t="s">
        <v>14</v>
      </c>
      <c r="Q120" t="s">
        <v>250</v>
      </c>
    </row>
    <row r="121" spans="2:17">
      <c r="B121" s="381"/>
      <c r="C121">
        <v>2</v>
      </c>
      <c r="D121" t="s">
        <v>463</v>
      </c>
      <c r="E121" s="496" t="s">
        <v>201</v>
      </c>
      <c r="F121" s="496" t="s">
        <v>249</v>
      </c>
      <c r="M121" s="381"/>
      <c r="N121">
        <v>2</v>
      </c>
      <c r="O121" t="s">
        <v>463</v>
      </c>
      <c r="P121" s="496" t="s">
        <v>201</v>
      </c>
      <c r="Q121" s="496" t="s">
        <v>249</v>
      </c>
    </row>
    <row r="122" spans="2:17">
      <c r="B122" s="381"/>
      <c r="M122" s="381"/>
    </row>
    <row r="123" spans="2:17">
      <c r="B123" s="381">
        <v>45955</v>
      </c>
      <c r="C123">
        <v>0</v>
      </c>
      <c r="D123" t="s">
        <v>394</v>
      </c>
      <c r="E123" t="s">
        <v>252</v>
      </c>
      <c r="F123" t="s">
        <v>250</v>
      </c>
      <c r="M123" s="381">
        <v>45955</v>
      </c>
      <c r="N123">
        <v>0</v>
      </c>
      <c r="O123" t="s">
        <v>394</v>
      </c>
      <c r="P123" t="s">
        <v>252</v>
      </c>
      <c r="Q123" t="s">
        <v>250</v>
      </c>
    </row>
    <row r="124" spans="2:17">
      <c r="B124" s="381"/>
      <c r="C124">
        <v>9</v>
      </c>
      <c r="D124" t="s">
        <v>393</v>
      </c>
      <c r="E124" t="s">
        <v>251</v>
      </c>
      <c r="F124" t="s">
        <v>250</v>
      </c>
      <c r="M124" s="381"/>
      <c r="N124">
        <v>9</v>
      </c>
      <c r="O124" t="s">
        <v>393</v>
      </c>
      <c r="P124" t="s">
        <v>251</v>
      </c>
      <c r="Q124" t="s">
        <v>250</v>
      </c>
    </row>
    <row r="125" spans="2:17">
      <c r="B125" s="381"/>
      <c r="C125">
        <v>9</v>
      </c>
      <c r="D125" t="s">
        <v>226</v>
      </c>
      <c r="E125" t="s">
        <v>14</v>
      </c>
      <c r="F125" t="s">
        <v>250</v>
      </c>
      <c r="M125" s="381"/>
      <c r="N125">
        <v>9</v>
      </c>
      <c r="O125" t="s">
        <v>226</v>
      </c>
      <c r="P125" t="s">
        <v>14</v>
      </c>
      <c r="Q125" t="s">
        <v>250</v>
      </c>
    </row>
    <row r="126" spans="2:17">
      <c r="B126" s="381"/>
      <c r="E126" s="415"/>
      <c r="F126" s="415"/>
      <c r="M126" s="381"/>
      <c r="P126" s="415"/>
      <c r="Q126" s="415"/>
    </row>
    <row r="127" spans="2:17">
      <c r="B127" s="381">
        <v>45956</v>
      </c>
      <c r="C127">
        <v>0</v>
      </c>
      <c r="D127" t="s">
        <v>394</v>
      </c>
      <c r="E127" t="s">
        <v>252</v>
      </c>
      <c r="F127" t="s">
        <v>250</v>
      </c>
      <c r="M127" s="381">
        <v>45956</v>
      </c>
      <c r="N127">
        <v>0</v>
      </c>
      <c r="O127" t="s">
        <v>394</v>
      </c>
      <c r="P127" t="s">
        <v>252</v>
      </c>
      <c r="Q127" t="s">
        <v>250</v>
      </c>
    </row>
    <row r="128" spans="2:17">
      <c r="B128" s="381"/>
      <c r="C128">
        <v>9</v>
      </c>
      <c r="D128" t="s">
        <v>393</v>
      </c>
      <c r="E128" t="s">
        <v>251</v>
      </c>
      <c r="F128" t="s">
        <v>250</v>
      </c>
      <c r="M128" s="381"/>
      <c r="N128">
        <v>9</v>
      </c>
      <c r="O128" t="s">
        <v>393</v>
      </c>
      <c r="P128" t="s">
        <v>251</v>
      </c>
      <c r="Q128" t="s">
        <v>250</v>
      </c>
    </row>
    <row r="129" spans="2:17">
      <c r="B129" s="381"/>
      <c r="C129">
        <v>11</v>
      </c>
      <c r="D129" t="s">
        <v>226</v>
      </c>
      <c r="E129" t="s">
        <v>14</v>
      </c>
      <c r="F129" t="s">
        <v>250</v>
      </c>
      <c r="M129" s="381"/>
      <c r="N129">
        <v>11</v>
      </c>
      <c r="O129" t="s">
        <v>226</v>
      </c>
      <c r="P129" t="s">
        <v>14</v>
      </c>
      <c r="Q129" t="s">
        <v>250</v>
      </c>
    </row>
    <row r="130" spans="2:17">
      <c r="B130" s="381"/>
      <c r="C130">
        <v>5</v>
      </c>
      <c r="D130" t="s">
        <v>463</v>
      </c>
      <c r="E130" s="496" t="s">
        <v>201</v>
      </c>
      <c r="F130" s="496" t="s">
        <v>249</v>
      </c>
      <c r="M130" s="381"/>
      <c r="N130">
        <v>5</v>
      </c>
      <c r="O130" t="s">
        <v>463</v>
      </c>
      <c r="P130" s="496" t="s">
        <v>201</v>
      </c>
      <c r="Q130" s="496" t="s">
        <v>249</v>
      </c>
    </row>
    <row r="131" spans="2:17">
      <c r="B131" s="381"/>
      <c r="M131" s="381"/>
    </row>
    <row r="132" spans="2:17">
      <c r="B132" s="381">
        <v>45957</v>
      </c>
      <c r="C132">
        <v>0</v>
      </c>
      <c r="D132" t="s">
        <v>394</v>
      </c>
      <c r="E132" t="s">
        <v>252</v>
      </c>
      <c r="F132" t="s">
        <v>250</v>
      </c>
      <c r="M132" s="381">
        <v>45957</v>
      </c>
      <c r="N132">
        <v>0</v>
      </c>
      <c r="O132" t="s">
        <v>394</v>
      </c>
      <c r="P132" t="s">
        <v>252</v>
      </c>
      <c r="Q132" t="s">
        <v>250</v>
      </c>
    </row>
    <row r="133" spans="2:17">
      <c r="B133" s="381"/>
      <c r="C133">
        <v>4</v>
      </c>
      <c r="D133" t="s">
        <v>449</v>
      </c>
      <c r="E133" t="s">
        <v>251</v>
      </c>
      <c r="F133" t="s">
        <v>250</v>
      </c>
      <c r="M133" s="381"/>
      <c r="N133">
        <v>4</v>
      </c>
      <c r="O133" t="s">
        <v>449</v>
      </c>
      <c r="P133" t="s">
        <v>251</v>
      </c>
      <c r="Q133" t="s">
        <v>250</v>
      </c>
    </row>
    <row r="134" spans="2:17">
      <c r="B134" s="381"/>
      <c r="C134">
        <v>11</v>
      </c>
      <c r="D134" t="s">
        <v>226</v>
      </c>
      <c r="E134" t="s">
        <v>14</v>
      </c>
      <c r="F134" t="s">
        <v>250</v>
      </c>
      <c r="M134" s="381"/>
      <c r="N134">
        <v>11</v>
      </c>
      <c r="O134" t="s">
        <v>226</v>
      </c>
      <c r="P134" t="s">
        <v>14</v>
      </c>
      <c r="Q134" t="s">
        <v>250</v>
      </c>
    </row>
    <row r="135" spans="2:17">
      <c r="B135" s="381"/>
      <c r="C135">
        <v>110</v>
      </c>
      <c r="D135" t="s">
        <v>719</v>
      </c>
      <c r="E135" t="s">
        <v>723</v>
      </c>
      <c r="F135" t="s">
        <v>254</v>
      </c>
      <c r="M135" s="381"/>
      <c r="N135">
        <v>110</v>
      </c>
      <c r="O135" t="s">
        <v>719</v>
      </c>
      <c r="P135" t="s">
        <v>723</v>
      </c>
      <c r="Q135" t="s">
        <v>254</v>
      </c>
    </row>
    <row r="136" spans="2:17">
      <c r="B136" s="381"/>
      <c r="M136" s="381"/>
    </row>
    <row r="137" spans="2:17">
      <c r="B137" s="381">
        <v>45958</v>
      </c>
      <c r="C137">
        <v>0</v>
      </c>
      <c r="D137" t="s">
        <v>394</v>
      </c>
      <c r="E137" t="s">
        <v>252</v>
      </c>
      <c r="F137" t="s">
        <v>250</v>
      </c>
      <c r="M137" s="381">
        <v>45958</v>
      </c>
      <c r="N137">
        <v>0</v>
      </c>
      <c r="O137" t="s">
        <v>394</v>
      </c>
      <c r="P137" t="s">
        <v>252</v>
      </c>
      <c r="Q137" t="s">
        <v>250</v>
      </c>
    </row>
    <row r="138" spans="2:17">
      <c r="B138" s="381"/>
      <c r="C138">
        <v>10</v>
      </c>
      <c r="D138" t="s">
        <v>393</v>
      </c>
      <c r="E138" t="s">
        <v>251</v>
      </c>
      <c r="F138" t="s">
        <v>250</v>
      </c>
      <c r="M138" s="381"/>
      <c r="N138">
        <v>10</v>
      </c>
      <c r="O138" t="s">
        <v>393</v>
      </c>
      <c r="P138" t="s">
        <v>251</v>
      </c>
      <c r="Q138" t="s">
        <v>250</v>
      </c>
    </row>
    <row r="139" spans="2:17">
      <c r="B139" s="381"/>
      <c r="C139">
        <v>10</v>
      </c>
      <c r="D139" t="s">
        <v>226</v>
      </c>
      <c r="E139" t="s">
        <v>14</v>
      </c>
      <c r="F139" t="s">
        <v>250</v>
      </c>
      <c r="M139" s="381"/>
      <c r="N139">
        <v>10</v>
      </c>
      <c r="O139" t="s">
        <v>226</v>
      </c>
      <c r="P139" t="s">
        <v>14</v>
      </c>
      <c r="Q139" t="s">
        <v>250</v>
      </c>
    </row>
    <row r="140" spans="2:17">
      <c r="B140" s="381"/>
      <c r="C140">
        <v>7</v>
      </c>
      <c r="D140" t="s">
        <v>463</v>
      </c>
      <c r="E140" s="496" t="s">
        <v>201</v>
      </c>
      <c r="F140" s="496" t="s">
        <v>249</v>
      </c>
      <c r="M140" s="381"/>
      <c r="N140">
        <v>7</v>
      </c>
      <c r="O140" t="s">
        <v>463</v>
      </c>
      <c r="P140" s="496" t="s">
        <v>201</v>
      </c>
      <c r="Q140" s="496" t="s">
        <v>249</v>
      </c>
    </row>
    <row r="141" spans="2:17">
      <c r="B141" s="381"/>
      <c r="M141" s="381"/>
    </row>
    <row r="142" spans="2:17">
      <c r="B142" s="381">
        <v>45959</v>
      </c>
      <c r="C142">
        <v>0</v>
      </c>
      <c r="D142" t="s">
        <v>394</v>
      </c>
      <c r="E142" t="s">
        <v>252</v>
      </c>
      <c r="F142" t="s">
        <v>250</v>
      </c>
      <c r="M142" s="381">
        <v>45959</v>
      </c>
      <c r="N142">
        <v>0</v>
      </c>
      <c r="O142" t="s">
        <v>394</v>
      </c>
      <c r="P142" t="s">
        <v>252</v>
      </c>
      <c r="Q142" t="s">
        <v>250</v>
      </c>
    </row>
    <row r="143" spans="2:17">
      <c r="B143" s="381"/>
      <c r="C143">
        <v>8</v>
      </c>
      <c r="D143" t="s">
        <v>393</v>
      </c>
      <c r="E143" t="s">
        <v>251</v>
      </c>
      <c r="F143" t="s">
        <v>250</v>
      </c>
      <c r="M143" s="381"/>
      <c r="N143">
        <v>8</v>
      </c>
      <c r="O143" t="s">
        <v>393</v>
      </c>
      <c r="P143" t="s">
        <v>251</v>
      </c>
      <c r="Q143" t="s">
        <v>250</v>
      </c>
    </row>
    <row r="144" spans="2:17">
      <c r="B144" s="381"/>
      <c r="C144">
        <v>16</v>
      </c>
      <c r="D144" t="s">
        <v>226</v>
      </c>
      <c r="E144" t="s">
        <v>14</v>
      </c>
      <c r="F144" t="s">
        <v>250</v>
      </c>
      <c r="M144" s="381"/>
      <c r="N144">
        <v>16</v>
      </c>
      <c r="O144" t="s">
        <v>226</v>
      </c>
      <c r="P144" t="s">
        <v>14</v>
      </c>
      <c r="Q144" t="s">
        <v>250</v>
      </c>
    </row>
    <row r="145" spans="2:17">
      <c r="B145" s="381"/>
      <c r="M145" s="381"/>
    </row>
    <row r="146" spans="2:17">
      <c r="B146" s="381">
        <v>45960</v>
      </c>
      <c r="C146">
        <v>0</v>
      </c>
      <c r="D146" t="s">
        <v>394</v>
      </c>
      <c r="E146" t="s">
        <v>252</v>
      </c>
      <c r="F146" t="s">
        <v>250</v>
      </c>
      <c r="M146" s="381">
        <v>45960</v>
      </c>
      <c r="N146">
        <v>0</v>
      </c>
      <c r="O146" t="s">
        <v>394</v>
      </c>
      <c r="P146" t="s">
        <v>252</v>
      </c>
      <c r="Q146" t="s">
        <v>250</v>
      </c>
    </row>
    <row r="147" spans="2:17">
      <c r="B147" s="381"/>
      <c r="C147">
        <v>9</v>
      </c>
      <c r="D147" t="s">
        <v>480</v>
      </c>
      <c r="E147" t="s">
        <v>251</v>
      </c>
      <c r="F147" t="s">
        <v>250</v>
      </c>
      <c r="M147" s="381"/>
      <c r="N147">
        <v>9</v>
      </c>
      <c r="O147" t="s">
        <v>480</v>
      </c>
      <c r="P147" t="s">
        <v>251</v>
      </c>
      <c r="Q147" t="s">
        <v>250</v>
      </c>
    </row>
    <row r="148" spans="2:17">
      <c r="B148" s="381"/>
      <c r="C148">
        <v>10</v>
      </c>
      <c r="D148" t="s">
        <v>226</v>
      </c>
      <c r="E148" t="s">
        <v>14</v>
      </c>
      <c r="F148" t="s">
        <v>250</v>
      </c>
      <c r="M148" s="381"/>
      <c r="N148">
        <v>10</v>
      </c>
      <c r="O148" t="s">
        <v>226</v>
      </c>
      <c r="P148" t="s">
        <v>14</v>
      </c>
      <c r="Q148" t="s">
        <v>250</v>
      </c>
    </row>
    <row r="149" spans="2:17">
      <c r="B149" s="381"/>
      <c r="C149">
        <v>7</v>
      </c>
      <c r="D149" t="s">
        <v>463</v>
      </c>
      <c r="E149" s="496" t="s">
        <v>201</v>
      </c>
      <c r="F149" s="496" t="s">
        <v>249</v>
      </c>
      <c r="M149" s="381"/>
      <c r="N149">
        <v>7</v>
      </c>
      <c r="O149" t="s">
        <v>463</v>
      </c>
      <c r="P149" s="496" t="s">
        <v>201</v>
      </c>
      <c r="Q149" s="496" t="s">
        <v>249</v>
      </c>
    </row>
    <row r="150" spans="2:17">
      <c r="B150" s="381"/>
      <c r="M150" s="381"/>
    </row>
    <row r="151" spans="2:17">
      <c r="B151" s="381">
        <v>45961</v>
      </c>
      <c r="C151">
        <v>10</v>
      </c>
      <c r="D151" t="s">
        <v>593</v>
      </c>
      <c r="E151" t="s">
        <v>252</v>
      </c>
      <c r="F151" t="s">
        <v>250</v>
      </c>
      <c r="M151" s="381">
        <v>45961</v>
      </c>
      <c r="N151">
        <v>10</v>
      </c>
      <c r="O151" t="s">
        <v>593</v>
      </c>
      <c r="P151" t="s">
        <v>252</v>
      </c>
      <c r="Q151" t="s">
        <v>250</v>
      </c>
    </row>
    <row r="152" spans="2:17">
      <c r="B152" s="381"/>
      <c r="C152">
        <v>20</v>
      </c>
      <c r="D152" t="s">
        <v>481</v>
      </c>
      <c r="E152" t="s">
        <v>251</v>
      </c>
      <c r="F152" t="s">
        <v>250</v>
      </c>
      <c r="M152" s="381"/>
      <c r="N152">
        <v>20</v>
      </c>
      <c r="O152" t="s">
        <v>481</v>
      </c>
      <c r="P152" t="s">
        <v>251</v>
      </c>
      <c r="Q152" t="s">
        <v>250</v>
      </c>
    </row>
    <row r="153" spans="2:17">
      <c r="B153" s="381"/>
      <c r="C153">
        <v>16</v>
      </c>
      <c r="D153" t="s">
        <v>226</v>
      </c>
      <c r="E153" t="s">
        <v>14</v>
      </c>
      <c r="F153" t="s">
        <v>250</v>
      </c>
      <c r="M153" s="381"/>
      <c r="N153">
        <v>16</v>
      </c>
      <c r="O153" t="s">
        <v>226</v>
      </c>
      <c r="P153" t="s">
        <v>14</v>
      </c>
      <c r="Q153" t="s">
        <v>250</v>
      </c>
    </row>
    <row r="154" spans="2:17">
      <c r="B154" s="381"/>
      <c r="C154">
        <v>8</v>
      </c>
      <c r="D154" t="s">
        <v>463</v>
      </c>
      <c r="E154" s="496" t="s">
        <v>201</v>
      </c>
      <c r="F154" s="496" t="s">
        <v>249</v>
      </c>
      <c r="M154" s="381"/>
      <c r="N154">
        <v>8</v>
      </c>
      <c r="O154" t="s">
        <v>463</v>
      </c>
      <c r="P154" s="496" t="s">
        <v>201</v>
      </c>
      <c r="Q154" s="496" t="s">
        <v>249</v>
      </c>
    </row>
    <row r="155" spans="2:17">
      <c r="B155" s="381"/>
      <c r="C155">
        <v>100</v>
      </c>
      <c r="D155" t="s">
        <v>765</v>
      </c>
      <c r="E155" t="s">
        <v>485</v>
      </c>
      <c r="F155" t="s">
        <v>248</v>
      </c>
      <c r="M155" s="381"/>
      <c r="N155">
        <v>100</v>
      </c>
      <c r="O155" t="s">
        <v>765</v>
      </c>
      <c r="P155" t="s">
        <v>485</v>
      </c>
      <c r="Q155" t="s">
        <v>248</v>
      </c>
    </row>
    <row r="156" spans="2:17">
      <c r="B156" s="381"/>
      <c r="C156">
        <v>55</v>
      </c>
      <c r="D156" t="s">
        <v>764</v>
      </c>
      <c r="E156" t="s">
        <v>766</v>
      </c>
      <c r="F156" t="s">
        <v>250</v>
      </c>
      <c r="M156" s="381"/>
      <c r="N156">
        <v>55</v>
      </c>
      <c r="O156" t="s">
        <v>764</v>
      </c>
      <c r="P156" t="s">
        <v>766</v>
      </c>
      <c r="Q156" t="s">
        <v>250</v>
      </c>
    </row>
    <row r="157" spans="2:17">
      <c r="B157" s="381"/>
      <c r="M157" s="381"/>
    </row>
    <row r="158" spans="2:17">
      <c r="B158" s="381"/>
      <c r="M158" s="381"/>
    </row>
    <row r="159" spans="2:17">
      <c r="B159" s="381"/>
      <c r="M159" s="381"/>
    </row>
    <row r="160" spans="2:17">
      <c r="B160" s="381"/>
      <c r="M160" s="381"/>
    </row>
    <row r="161" spans="2:13">
      <c r="B161" s="381"/>
      <c r="M161" s="381"/>
    </row>
    <row r="162" spans="2:13">
      <c r="B162" s="381"/>
      <c r="M162" s="381"/>
    </row>
    <row r="163" spans="2:13">
      <c r="B163" s="381"/>
      <c r="M163" s="381"/>
    </row>
    <row r="164" spans="2:13">
      <c r="B164" s="381"/>
      <c r="M164" s="381"/>
    </row>
    <row r="165" spans="2:13">
      <c r="B165" s="381"/>
      <c r="M165" s="381"/>
    </row>
    <row r="166" spans="2:13">
      <c r="B166" s="381"/>
      <c r="M166" s="381"/>
    </row>
    <row r="167" spans="2:13">
      <c r="B167" s="381"/>
      <c r="M167" s="381"/>
    </row>
    <row r="168" spans="2:13">
      <c r="B168" s="381"/>
      <c r="M168" s="381"/>
    </row>
    <row r="169" spans="2:13">
      <c r="B169" s="381"/>
      <c r="M169" s="381"/>
    </row>
    <row r="170" spans="2:13">
      <c r="B170" s="381"/>
      <c r="M170" s="381"/>
    </row>
    <row r="171" spans="2:13">
      <c r="B171" s="381"/>
      <c r="M171" s="381"/>
    </row>
    <row r="172" spans="2:13">
      <c r="B172" s="381"/>
      <c r="M172" s="381"/>
    </row>
    <row r="173" spans="2:13">
      <c r="B173" s="381"/>
      <c r="M173" s="381"/>
    </row>
    <row r="174" spans="2:13">
      <c r="B174" s="381"/>
      <c r="M174" s="381"/>
    </row>
    <row r="175" spans="2:13">
      <c r="B175" s="381"/>
      <c r="M175" s="381"/>
    </row>
    <row r="176" spans="2:13">
      <c r="B176" s="381"/>
      <c r="M176" s="381"/>
    </row>
    <row r="177" spans="2:13">
      <c r="B177" s="381"/>
      <c r="M177" s="381"/>
    </row>
    <row r="178" spans="2:13">
      <c r="B178" s="381"/>
      <c r="M178" s="381"/>
    </row>
    <row r="179" spans="2:13">
      <c r="B179" s="381"/>
      <c r="M179" s="381"/>
    </row>
    <row r="180" spans="2:13">
      <c r="B180" s="381"/>
      <c r="M180" s="381"/>
    </row>
    <row r="181" spans="2:13">
      <c r="B181" s="381"/>
      <c r="M181" s="381"/>
    </row>
    <row r="182" spans="2:13">
      <c r="B182" s="381"/>
      <c r="M182" s="381"/>
    </row>
    <row r="183" spans="2:13">
      <c r="B183" s="381"/>
      <c r="M183" s="381"/>
    </row>
    <row r="184" spans="2:13">
      <c r="B184" s="381"/>
      <c r="M184" s="381"/>
    </row>
    <row r="185" spans="2:13">
      <c r="B185" s="381"/>
    </row>
    <row r="186" spans="2:13">
      <c r="B186" s="381"/>
    </row>
    <row r="187" spans="2:13">
      <c r="B187" s="381"/>
    </row>
    <row r="188" spans="2:13">
      <c r="B188" s="381"/>
    </row>
    <row r="189" spans="2:13">
      <c r="B189" s="381"/>
    </row>
    <row r="190" spans="2:13">
      <c r="B190" s="381"/>
    </row>
    <row r="191" spans="2:13">
      <c r="B191" s="381"/>
    </row>
    <row r="192" spans="2:13">
      <c r="B192" s="381"/>
    </row>
    <row r="193" spans="2:2">
      <c r="B193" s="381"/>
    </row>
    <row r="194" spans="2:2">
      <c r="B194" s="381"/>
    </row>
    <row r="195" spans="2:2">
      <c r="B195" s="381"/>
    </row>
    <row r="196" spans="2:2">
      <c r="B196" s="381"/>
    </row>
    <row r="197" spans="2:2">
      <c r="B197" s="381"/>
    </row>
    <row r="198" spans="2:2">
      <c r="B198" s="381"/>
    </row>
    <row r="199" spans="2:2">
      <c r="B199" s="381"/>
    </row>
    <row r="200" spans="2:2">
      <c r="B200" s="381"/>
    </row>
    <row r="201" spans="2:2">
      <c r="B201" s="381"/>
    </row>
    <row r="202" spans="2:2">
      <c r="B202" s="381"/>
    </row>
    <row r="203" spans="2:2">
      <c r="B203" s="381"/>
    </row>
    <row r="204" spans="2:2">
      <c r="B204" s="381"/>
    </row>
    <row r="205" spans="2:2">
      <c r="B205" s="381"/>
    </row>
    <row r="206" spans="2:2">
      <c r="B206" s="381"/>
    </row>
    <row r="207" spans="2:2">
      <c r="B207" s="381"/>
    </row>
    <row r="208" spans="2:2">
      <c r="B208" s="381"/>
    </row>
    <row r="209" spans="2:2">
      <c r="B209" s="381"/>
    </row>
    <row r="210" spans="2:2">
      <c r="B210" s="381"/>
    </row>
    <row r="211" spans="2:2">
      <c r="B211" s="381"/>
    </row>
    <row r="212" spans="2:2">
      <c r="B212" s="381"/>
    </row>
    <row r="213" spans="2:2">
      <c r="B213" s="381"/>
    </row>
    <row r="214" spans="2:2">
      <c r="B214" s="381"/>
    </row>
    <row r="215" spans="2:2">
      <c r="B215" s="381"/>
    </row>
    <row r="216" spans="2:2">
      <c r="B216" s="381"/>
    </row>
    <row r="217" spans="2:2">
      <c r="B217" s="381"/>
    </row>
    <row r="218" spans="2:2">
      <c r="B218" s="381"/>
    </row>
    <row r="219" spans="2:2">
      <c r="B219" s="381"/>
    </row>
    <row r="220" spans="2:2">
      <c r="B220" s="381"/>
    </row>
    <row r="221" spans="2:2">
      <c r="B221" s="381"/>
    </row>
    <row r="222" spans="2:2">
      <c r="B222" s="381"/>
    </row>
    <row r="223" spans="2:2">
      <c r="B223" s="381"/>
    </row>
    <row r="224" spans="2:2">
      <c r="B224" s="381"/>
    </row>
    <row r="225" spans="2:2">
      <c r="B225" s="381"/>
    </row>
    <row r="226" spans="2:2">
      <c r="B226" s="381"/>
    </row>
    <row r="227" spans="2:2">
      <c r="B227" s="381"/>
    </row>
    <row r="228" spans="2:2">
      <c r="B228" s="381"/>
    </row>
    <row r="229" spans="2:2">
      <c r="B229" s="381"/>
    </row>
    <row r="230" spans="2:2">
      <c r="B230" s="381"/>
    </row>
    <row r="231" spans="2:2">
      <c r="B231" s="381"/>
    </row>
    <row r="232" spans="2:2">
      <c r="B232" s="381"/>
    </row>
    <row r="233" spans="2:2">
      <c r="B233" s="381"/>
    </row>
    <row r="234" spans="2:2">
      <c r="B234" s="381"/>
    </row>
    <row r="235" spans="2:2">
      <c r="B235" s="381"/>
    </row>
    <row r="236" spans="2:2">
      <c r="B236" s="381"/>
    </row>
    <row r="237" spans="2:2">
      <c r="B237" s="381"/>
    </row>
    <row r="238" spans="2:2">
      <c r="B238" s="381"/>
    </row>
    <row r="239" spans="2:2">
      <c r="B239" s="381"/>
    </row>
    <row r="240" spans="2:2">
      <c r="B240" s="381"/>
    </row>
    <row r="241" spans="2:2">
      <c r="B241" s="381"/>
    </row>
    <row r="242" spans="2:2">
      <c r="B242" s="381"/>
    </row>
    <row r="243" spans="2:2">
      <c r="B243" s="381"/>
    </row>
    <row r="244" spans="2:2">
      <c r="B244" s="381"/>
    </row>
    <row r="245" spans="2:2">
      <c r="B245" s="381"/>
    </row>
    <row r="246" spans="2:2">
      <c r="B246" s="381"/>
    </row>
    <row r="247" spans="2:2">
      <c r="B247" s="381"/>
    </row>
    <row r="248" spans="2:2">
      <c r="B248" s="381"/>
    </row>
    <row r="249" spans="2:2">
      <c r="B249" s="381"/>
    </row>
    <row r="250" spans="2:2">
      <c r="B250" s="381"/>
    </row>
    <row r="251" spans="2:2">
      <c r="B251" s="381"/>
    </row>
    <row r="252" spans="2:2">
      <c r="B252" s="381"/>
    </row>
    <row r="253" spans="2:2">
      <c r="B253" s="381"/>
    </row>
    <row r="254" spans="2:2">
      <c r="B254" s="381"/>
    </row>
    <row r="255" spans="2:2">
      <c r="B255" s="381"/>
    </row>
    <row r="256" spans="2:2">
      <c r="B256" s="381"/>
    </row>
    <row r="257" spans="2:2">
      <c r="B257" s="381"/>
    </row>
    <row r="258" spans="2:2">
      <c r="B258" s="381"/>
    </row>
    <row r="259" spans="2:2">
      <c r="B259" s="381"/>
    </row>
    <row r="260" spans="2:2">
      <c r="B260" s="381"/>
    </row>
  </sheetData>
  <autoFilter ref="B1:F106"/>
  <conditionalFormatting sqref="G2:G14">
    <cfRule type="cellIs" dxfId="7" priority="2" operator="greaterThan">
      <formula>0</formula>
    </cfRule>
  </conditionalFormatting>
  <conditionalFormatting sqref="R2:R1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abSelected="1" topLeftCell="G1" workbookViewId="0">
      <selection activeCell="J1" sqref="J1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4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4" customWidth="1"/>
    <col min="13" max="17" width="13.5703125" customWidth="1"/>
  </cols>
  <sheetData>
    <row r="1" spans="1:17" ht="15">
      <c r="A1" s="468" t="s">
        <v>261</v>
      </c>
      <c r="E1" s="471"/>
      <c r="F1" s="1"/>
      <c r="J1" s="468" t="s">
        <v>372</v>
      </c>
      <c r="N1" s="471"/>
      <c r="O1" s="1"/>
    </row>
    <row r="2" spans="1:17" ht="30">
      <c r="A2" s="755" t="s">
        <v>234</v>
      </c>
      <c r="B2" s="755" t="s">
        <v>235</v>
      </c>
      <c r="C2" s="756" t="s">
        <v>236</v>
      </c>
      <c r="D2" s="472" t="s">
        <v>237</v>
      </c>
      <c r="E2" s="571" t="s">
        <v>238</v>
      </c>
      <c r="F2" s="474" t="s">
        <v>239</v>
      </c>
      <c r="G2" s="571" t="s">
        <v>240</v>
      </c>
      <c r="H2" s="571" t="s">
        <v>241</v>
      </c>
      <c r="J2" s="755" t="s">
        <v>234</v>
      </c>
      <c r="K2" s="755" t="s">
        <v>235</v>
      </c>
      <c r="L2" s="754" t="s">
        <v>236</v>
      </c>
      <c r="M2" s="472" t="s">
        <v>237</v>
      </c>
      <c r="N2" s="571" t="s">
        <v>238</v>
      </c>
      <c r="O2" s="474" t="s">
        <v>239</v>
      </c>
      <c r="P2" s="571" t="s">
        <v>240</v>
      </c>
      <c r="Q2" s="571" t="s">
        <v>241</v>
      </c>
    </row>
    <row r="3" spans="1:17" ht="15">
      <c r="A3" s="755"/>
      <c r="B3" s="755"/>
      <c r="C3" s="757"/>
      <c r="D3" s="472" t="s">
        <v>416</v>
      </c>
      <c r="E3" s="472" t="str">
        <f>+D3</f>
        <v>OKTOBER</v>
      </c>
      <c r="F3" s="472" t="str">
        <f>+E3</f>
        <v>OKTOBER</v>
      </c>
      <c r="G3" s="472" t="str">
        <f>+F3</f>
        <v>OKTOBER</v>
      </c>
      <c r="H3" s="472" t="str">
        <f>+G3</f>
        <v>OKTOBER</v>
      </c>
      <c r="J3" s="755"/>
      <c r="K3" s="755"/>
      <c r="L3" s="754"/>
      <c r="M3" s="472" t="str">
        <f>+H3</f>
        <v>OKTOBER</v>
      </c>
      <c r="N3" s="472" t="str">
        <f>+M3</f>
        <v>OKTOBER</v>
      </c>
      <c r="O3" s="472" t="str">
        <f>+N3</f>
        <v>OKTOBER</v>
      </c>
      <c r="P3" s="472" t="str">
        <f>+O3</f>
        <v>OKTOBER</v>
      </c>
      <c r="Q3" s="472" t="str">
        <f>+P3</f>
        <v>OKTOBER</v>
      </c>
    </row>
    <row r="4" spans="1:17" ht="15">
      <c r="A4" s="758" t="s">
        <v>242</v>
      </c>
      <c r="B4" s="573" t="s">
        <v>298</v>
      </c>
      <c r="C4" s="583"/>
      <c r="D4" s="7">
        <f>SUMIFS(Sheet1!$C$2:$C$180,Sheet1!$F$2:$F$180,B4,Sheet1!$E$2:$E$180,C4)</f>
        <v>0</v>
      </c>
      <c r="E4" s="7">
        <f>D4/Sheet1!$I$9*Sheet1!$I$10</f>
        <v>0</v>
      </c>
      <c r="F4" s="485">
        <f>D4/Sheet1!$I$9*Sheet1!$I$11</f>
        <v>0</v>
      </c>
      <c r="G4" s="572">
        <f>F4</f>
        <v>0</v>
      </c>
      <c r="H4" s="759">
        <f>SUM(G4:G11)</f>
        <v>3.634553393904541E-2</v>
      </c>
      <c r="J4" s="758" t="s">
        <v>242</v>
      </c>
      <c r="K4" s="573" t="s">
        <v>298</v>
      </c>
      <c r="L4" s="583"/>
      <c r="M4" s="7">
        <f>SUMIFS(Sheet1!$N$2:$N$180,Sheet1!$Q$2:$Q$180,K4,Sheet1!$P$2:$P$180,L4)</f>
        <v>0</v>
      </c>
      <c r="N4" s="7">
        <f>M4/Sheet1!$T$9*Sheet1!$T$10</f>
        <v>0</v>
      </c>
      <c r="O4" s="485">
        <f>M4/Sheet1!$T$9*Sheet1!$T$11</f>
        <v>0</v>
      </c>
      <c r="P4" s="572">
        <f>O4</f>
        <v>0</v>
      </c>
      <c r="Q4" s="759">
        <f>SUM(P4:P11)</f>
        <v>0</v>
      </c>
    </row>
    <row r="5" spans="1:17" ht="15">
      <c r="A5" s="758"/>
      <c r="B5" s="573" t="s">
        <v>243</v>
      </c>
      <c r="C5" s="575" t="s">
        <v>431</v>
      </c>
      <c r="D5" s="7">
        <f>SUMIFS(Sheet1!$C$2:$C$180,Sheet1!$F$2:$F$180,B5,Sheet1!$E$2:$E$180,C5)</f>
        <v>1680</v>
      </c>
      <c r="E5" s="7">
        <f>D5/Sheet1!$I$9*Sheet1!$I$10</f>
        <v>71.213789018965556</v>
      </c>
      <c r="F5" s="485">
        <f>D5/Sheet1!$I$9*Sheet1!$I$11</f>
        <v>3.634553393904541E-2</v>
      </c>
      <c r="G5" s="576">
        <f t="shared" ref="G5:G14" si="0">F5</f>
        <v>3.634553393904541E-2</v>
      </c>
      <c r="H5" s="758"/>
      <c r="J5" s="758"/>
      <c r="K5" s="573" t="s">
        <v>243</v>
      </c>
      <c r="L5" s="575" t="s">
        <v>431</v>
      </c>
      <c r="M5" s="7">
        <f>SUMIFS(Sheet1!$N$2:$N$180,Sheet1!$Q$2:$Q$180,K5,Sheet1!$P$2:$P$180,L5)</f>
        <v>0</v>
      </c>
      <c r="N5" s="7">
        <f>M5/Sheet1!$T$9*Sheet1!$T$10</f>
        <v>0</v>
      </c>
      <c r="O5" s="485">
        <f>M5/Sheet1!$T$9*Sheet1!$T$11</f>
        <v>0</v>
      </c>
      <c r="P5" s="576">
        <f t="shared" ref="P5:P14" si="1">O5</f>
        <v>0</v>
      </c>
      <c r="Q5" s="758"/>
    </row>
    <row r="6" spans="1:17" ht="15">
      <c r="A6" s="758"/>
      <c r="B6" s="760" t="s">
        <v>307</v>
      </c>
      <c r="C6" s="575"/>
      <c r="D6" s="7">
        <f>SUMIFS(Sheet1!$C$2:$C$180,Sheet1!$F$2:$F$180,B6,Sheet1!$E$2:$E$180,C6)</f>
        <v>0</v>
      </c>
      <c r="E6" s="7">
        <f>D6/Sheet1!$I$9*Sheet1!$I$10</f>
        <v>0</v>
      </c>
      <c r="F6" s="485">
        <f>D6/Sheet1!$I$9*Sheet1!$I$11</f>
        <v>0</v>
      </c>
      <c r="G6" s="576">
        <f t="shared" si="0"/>
        <v>0</v>
      </c>
      <c r="H6" s="758"/>
      <c r="J6" s="758"/>
      <c r="K6" s="760" t="s">
        <v>307</v>
      </c>
      <c r="L6" s="575"/>
      <c r="M6" s="7">
        <f>SUMIFS(Sheet1!$N$2:$N$180,Sheet1!$Q$2:$Q$180,K6,Sheet1!$P$2:$P$180,L6)</f>
        <v>0</v>
      </c>
      <c r="N6" s="7">
        <f>M6/Sheet1!$T$9*Sheet1!$T$10</f>
        <v>0</v>
      </c>
      <c r="O6" s="485">
        <f>M6/Sheet1!$T$9*Sheet1!$T$11</f>
        <v>0</v>
      </c>
      <c r="P6" s="576">
        <f t="shared" si="1"/>
        <v>0</v>
      </c>
      <c r="Q6" s="758"/>
    </row>
    <row r="7" spans="1:17" ht="15">
      <c r="A7" s="758"/>
      <c r="B7" s="761"/>
      <c r="C7" s="575"/>
      <c r="D7" s="7">
        <f>SUMIFS(Sheet1!$C$2:$C$180,Sheet1!$F$2:$F$180,B6,Sheet1!$E$2:$E$180,C7)</f>
        <v>0</v>
      </c>
      <c r="E7" s="7">
        <f>D7/Sheet1!$I$9*Sheet1!$I$10</f>
        <v>0</v>
      </c>
      <c r="F7" s="485">
        <f>D7/Sheet1!$I$9*Sheet1!$I$11</f>
        <v>0</v>
      </c>
      <c r="G7" s="576">
        <f t="shared" si="0"/>
        <v>0</v>
      </c>
      <c r="H7" s="758"/>
      <c r="J7" s="758"/>
      <c r="K7" s="761"/>
      <c r="L7" s="575"/>
      <c r="M7" s="7">
        <f>SUMIFS(Sheet1!$N$2:$N$180,Sheet1!$Q$2:$Q$180,K6,Sheet1!$P$2:$P$180,L7)</f>
        <v>0</v>
      </c>
      <c r="N7" s="7">
        <f>M7/Sheet1!$T$9*Sheet1!$T$10</f>
        <v>0</v>
      </c>
      <c r="O7" s="485">
        <f>M7/Sheet1!$T$9*Sheet1!$T$11</f>
        <v>0</v>
      </c>
      <c r="P7" s="576">
        <f t="shared" si="1"/>
        <v>0</v>
      </c>
      <c r="Q7" s="758"/>
    </row>
    <row r="8" spans="1:17">
      <c r="A8" s="758"/>
      <c r="B8" s="760" t="s">
        <v>306</v>
      </c>
      <c r="C8" s="575"/>
      <c r="D8" s="7">
        <f>SUMIFS(Sheet1!$C$2:$C$180,Sheet1!$F$2:$F$180,B8,Sheet1!$E$2:$E$180,C8)</f>
        <v>0</v>
      </c>
      <c r="E8" s="7">
        <f>D8/Sheet1!$I$9*Sheet1!$I$10</f>
        <v>0</v>
      </c>
      <c r="F8" s="485">
        <f>D8/Sheet1!$I$9*Sheet1!$I$11</f>
        <v>0</v>
      </c>
      <c r="G8" s="577">
        <f t="shared" si="0"/>
        <v>0</v>
      </c>
      <c r="H8" s="758"/>
      <c r="J8" s="758"/>
      <c r="K8" s="760" t="s">
        <v>306</v>
      </c>
      <c r="L8" s="575"/>
      <c r="M8" s="7">
        <f>SUMIFS(Sheet1!$N$2:$N$180,Sheet1!$Q$2:$Q$180,K8,Sheet1!$P$2:$P$180,L8)</f>
        <v>0</v>
      </c>
      <c r="N8" s="7">
        <f>M8/Sheet1!$T$9*Sheet1!$T$10</f>
        <v>0</v>
      </c>
      <c r="O8" s="485">
        <f>M8/Sheet1!$T$9*Sheet1!$T$11</f>
        <v>0</v>
      </c>
      <c r="P8" s="577">
        <f t="shared" si="1"/>
        <v>0</v>
      </c>
      <c r="Q8" s="758"/>
    </row>
    <row r="9" spans="1:17">
      <c r="A9" s="758"/>
      <c r="B9" s="761"/>
      <c r="C9" s="575"/>
      <c r="D9" s="7">
        <f>SUMIFS(Sheet1!$C$2:$C$180,Sheet1!$F$2:$F$180,B8,Sheet1!$E$2:$E$180,C9)</f>
        <v>0</v>
      </c>
      <c r="E9" s="7">
        <f>D9/Sheet1!$I$9*Sheet1!$I$10</f>
        <v>0</v>
      </c>
      <c r="F9" s="485">
        <f>D9/Sheet1!$I$9*Sheet1!$I$11</f>
        <v>0</v>
      </c>
      <c r="G9" s="577">
        <f t="shared" si="0"/>
        <v>0</v>
      </c>
      <c r="H9" s="758"/>
      <c r="J9" s="758"/>
      <c r="K9" s="761"/>
      <c r="L9" s="575"/>
      <c r="M9" s="7">
        <f>SUMIFS(Sheet1!$N$2:$N$180,Sheet1!$Q$2:$Q$180,K8,Sheet1!$P$2:$P$180,L9)</f>
        <v>0</v>
      </c>
      <c r="N9" s="7">
        <f>M9/Sheet1!$T$9*Sheet1!$T$10</f>
        <v>0</v>
      </c>
      <c r="O9" s="485">
        <f>M9/Sheet1!$T$9*Sheet1!$T$11</f>
        <v>0</v>
      </c>
      <c r="P9" s="577">
        <f t="shared" si="1"/>
        <v>0</v>
      </c>
      <c r="Q9" s="758"/>
    </row>
    <row r="10" spans="1:17" ht="15" customHeight="1">
      <c r="A10" s="758"/>
      <c r="B10" s="760" t="s">
        <v>369</v>
      </c>
      <c r="C10" s="575"/>
      <c r="D10" s="7">
        <f>SUMIFS(Sheet1!$C$2:$C$180,Sheet1!$F$2:$F$180,B10,Sheet1!$E$2:$E$180,C10)</f>
        <v>0</v>
      </c>
      <c r="E10" s="7">
        <f>D10/Sheet1!$I$9*Sheet1!$I$10</f>
        <v>0</v>
      </c>
      <c r="F10" s="485">
        <f>D10/Sheet1!$I$9*Sheet1!$I$11</f>
        <v>0</v>
      </c>
      <c r="G10" s="577">
        <f t="shared" si="0"/>
        <v>0</v>
      </c>
      <c r="H10" s="758"/>
      <c r="J10" s="758"/>
      <c r="K10" s="760" t="s">
        <v>369</v>
      </c>
      <c r="L10" s="575"/>
      <c r="M10" s="7">
        <f>SUMIFS(Sheet1!$N$2:$N$180,Sheet1!$Q$2:$Q$180,K10,Sheet1!$P$2:$P$180,L10)</f>
        <v>0</v>
      </c>
      <c r="N10" s="7">
        <f>M10/Sheet1!$T$9*Sheet1!$T$10</f>
        <v>0</v>
      </c>
      <c r="O10" s="485">
        <f>M10/Sheet1!$T$9*Sheet1!$T$11</f>
        <v>0</v>
      </c>
      <c r="P10" s="577">
        <f t="shared" si="1"/>
        <v>0</v>
      </c>
      <c r="Q10" s="758"/>
    </row>
    <row r="11" spans="1:17" ht="15" customHeight="1">
      <c r="A11" s="758"/>
      <c r="B11" s="761"/>
      <c r="C11" s="575"/>
      <c r="D11" s="7">
        <f>SUMIFS(Sheet1!$C$2:$C$180,Sheet1!$F$2:$F$180,B10,Sheet1!$E$2:$E$180,C11)</f>
        <v>0</v>
      </c>
      <c r="E11" s="7">
        <f>D11/Sheet1!$I$9*Sheet1!$I$10</f>
        <v>0</v>
      </c>
      <c r="F11" s="485">
        <f>D11/Sheet1!$I$9*Sheet1!$I$11</f>
        <v>0</v>
      </c>
      <c r="G11" s="577">
        <f t="shared" si="0"/>
        <v>0</v>
      </c>
      <c r="H11" s="758"/>
      <c r="J11" s="758"/>
      <c r="K11" s="761"/>
      <c r="L11" s="575"/>
      <c r="M11" s="7">
        <f>SUMIFS(Sheet1!$N$2:$N$180,Sheet1!$Q$2:$Q$180,K10,Sheet1!$P$2:$P$180,L11)</f>
        <v>0</v>
      </c>
      <c r="N11" s="7">
        <f>M11/Sheet1!$T$9*Sheet1!$T$10</f>
        <v>0</v>
      </c>
      <c r="O11" s="485">
        <f>M11/Sheet1!$T$9*Sheet1!$T$11</f>
        <v>0</v>
      </c>
      <c r="P11" s="577">
        <f t="shared" si="1"/>
        <v>0</v>
      </c>
      <c r="Q11" s="758"/>
    </row>
    <row r="12" spans="1:17" ht="15">
      <c r="A12" s="758" t="s">
        <v>11</v>
      </c>
      <c r="B12" s="573" t="s">
        <v>148</v>
      </c>
      <c r="C12" s="575" t="s">
        <v>148</v>
      </c>
      <c r="D12" s="7"/>
      <c r="E12" s="7">
        <f>+Sheet1!I2</f>
        <v>28.959</v>
      </c>
      <c r="F12" s="485">
        <f>+Sheet1!J2</f>
        <v>1.4779866818496452E-2</v>
      </c>
      <c r="G12" s="576">
        <f t="shared" si="0"/>
        <v>1.4779866818496452E-2</v>
      </c>
      <c r="H12" s="762">
        <f>SUM(G12:G13)</f>
        <v>3.763444605518327E-2</v>
      </c>
      <c r="J12" s="758" t="s">
        <v>11</v>
      </c>
      <c r="K12" s="573" t="s">
        <v>148</v>
      </c>
      <c r="L12" s="575" t="s">
        <v>148</v>
      </c>
      <c r="M12" s="7"/>
      <c r="N12" s="7">
        <f>+Sheet1!T2</f>
        <v>28.959</v>
      </c>
      <c r="O12" s="485">
        <f>+Sheet1!U2</f>
        <v>1.5395067118530724E-2</v>
      </c>
      <c r="P12" s="576">
        <f t="shared" si="1"/>
        <v>1.5395067118530724E-2</v>
      </c>
      <c r="Q12" s="762">
        <f>SUM(P12:P13)</f>
        <v>3.9200950191458542E-2</v>
      </c>
    </row>
    <row r="13" spans="1:17" ht="15">
      <c r="A13" s="758"/>
      <c r="B13" s="573" t="s">
        <v>244</v>
      </c>
      <c r="C13" s="575" t="s">
        <v>245</v>
      </c>
      <c r="D13" s="7"/>
      <c r="E13" s="7">
        <f>+Sheet1!I3</f>
        <v>44.78022489938396</v>
      </c>
      <c r="F13" s="485">
        <f>+Sheet1!J3</f>
        <v>2.2854579236686819E-2</v>
      </c>
      <c r="G13" s="576">
        <f t="shared" si="0"/>
        <v>2.2854579236686819E-2</v>
      </c>
      <c r="H13" s="763"/>
      <c r="J13" s="758"/>
      <c r="K13" s="573" t="s">
        <v>244</v>
      </c>
      <c r="L13" s="575" t="s">
        <v>245</v>
      </c>
      <c r="M13" s="7"/>
      <c r="N13" s="7">
        <f>+Sheet1!T3</f>
        <v>44.78022489938396</v>
      </c>
      <c r="O13" s="485">
        <f>+Sheet1!U3</f>
        <v>2.380588307292782E-2</v>
      </c>
      <c r="P13" s="576">
        <f t="shared" si="1"/>
        <v>2.380588307292782E-2</v>
      </c>
      <c r="Q13" s="763"/>
    </row>
    <row r="14" spans="1:17" ht="15">
      <c r="A14" s="764" t="s">
        <v>13</v>
      </c>
      <c r="B14" s="573" t="s">
        <v>246</v>
      </c>
      <c r="C14" s="575" t="s">
        <v>246</v>
      </c>
      <c r="D14" s="7"/>
      <c r="E14" s="7">
        <f>+Sheet1!I4</f>
        <v>-1.1150843167253719</v>
      </c>
      <c r="F14" s="485">
        <f>+Sheet1!J4</f>
        <v>-5.691079696327606E-4</v>
      </c>
      <c r="G14" s="576">
        <f t="shared" si="0"/>
        <v>-5.691079696327606E-4</v>
      </c>
      <c r="H14" s="766">
        <f>SUM(G14:G23)</f>
        <v>6.3495903158881858E-2</v>
      </c>
      <c r="J14" s="764" t="s">
        <v>13</v>
      </c>
      <c r="K14" s="573" t="s">
        <v>246</v>
      </c>
      <c r="L14" s="575" t="s">
        <v>246</v>
      </c>
      <c r="M14" s="7"/>
      <c r="N14" s="7">
        <f>+Sheet1!T4</f>
        <v>-0.92993729580227824</v>
      </c>
      <c r="O14" s="485">
        <f>+Sheet1!U4</f>
        <v>-4.9436952536002733E-4</v>
      </c>
      <c r="P14" s="576">
        <f t="shared" si="1"/>
        <v>-4.9436952536002733E-4</v>
      </c>
      <c r="Q14" s="766">
        <f>SUM(P14:P23)</f>
        <v>6.349938378650416E-2</v>
      </c>
    </row>
    <row r="15" spans="1:17" ht="15">
      <c r="A15" s="765"/>
      <c r="B15" s="573" t="s">
        <v>247</v>
      </c>
      <c r="C15" s="575" t="s">
        <v>247</v>
      </c>
      <c r="D15" s="7"/>
      <c r="E15" s="7">
        <f>+Sheet1!I5</f>
        <v>17.772829036771949</v>
      </c>
      <c r="F15" s="485">
        <f>+Sheet1!J5</f>
        <v>9.0707567993161368E-3</v>
      </c>
      <c r="G15" s="576">
        <f>F15</f>
        <v>9.0707567993161368E-3</v>
      </c>
      <c r="H15" s="766"/>
      <c r="J15" s="765"/>
      <c r="K15" s="573" t="s">
        <v>247</v>
      </c>
      <c r="L15" s="575" t="s">
        <v>247</v>
      </c>
      <c r="M15" s="7"/>
      <c r="N15" s="7">
        <f>+Sheet1!T5</f>
        <v>18.232809575848869</v>
      </c>
      <c r="O15" s="485">
        <f>+Sheet1!U5</f>
        <v>9.6928529016741954E-3</v>
      </c>
      <c r="P15" s="576">
        <f>O15</f>
        <v>9.6928529016741954E-3</v>
      </c>
      <c r="Q15" s="766"/>
    </row>
    <row r="16" spans="1:17">
      <c r="A16" s="765"/>
      <c r="B16" s="767" t="s">
        <v>248</v>
      </c>
      <c r="C16" s="575" t="s">
        <v>485</v>
      </c>
      <c r="D16" s="7">
        <f>SUMIFS(Sheet1!$C$2:$C$180,Sheet1!$F$2:$F$180,B16,Sheet1!$E$2:$E$180,C16)</f>
        <v>844</v>
      </c>
      <c r="E16" s="7">
        <f>D16/Sheet1!$I$9*Sheet1!$I$10</f>
        <v>35.776451150004128</v>
      </c>
      <c r="F16" s="485">
        <f>D16/Sheet1!$I$9*Sheet1!$I$11</f>
        <v>1.8259303955091864E-2</v>
      </c>
      <c r="G16" s="768">
        <f>SUM(F16:F17)</f>
        <v>1.8259303955091864E-2</v>
      </c>
      <c r="H16" s="766"/>
      <c r="J16" s="765"/>
      <c r="K16" s="767" t="s">
        <v>248</v>
      </c>
      <c r="L16" s="605" t="s">
        <v>485</v>
      </c>
      <c r="M16" s="7">
        <f>SUMIFS(Sheet1!$N$2:$N$180,Sheet1!$Q$2:$Q$180,K16,Sheet1!$P$2:$P$180,L16)</f>
        <v>844</v>
      </c>
      <c r="N16" s="7">
        <f>M16/Sheet1!$T$9*Sheet1!$T$10</f>
        <v>33.913757132873044</v>
      </c>
      <c r="O16" s="485">
        <f>M16/Sheet1!$T$9*Sheet1!$T$11</f>
        <v>1.8029095179465125E-2</v>
      </c>
      <c r="P16" s="768">
        <f>SUM(O16:O17)</f>
        <v>1.8029095179465125E-2</v>
      </c>
      <c r="Q16" s="766"/>
    </row>
    <row r="17" spans="1:17">
      <c r="A17" s="765"/>
      <c r="B17" s="767"/>
      <c r="C17" s="575"/>
      <c r="D17" s="7">
        <f>SUMIFS(Sheet1!$C$2:$C$180,Sheet1!$F$2:$F$180,B16,Sheet1!$E$2:$E$180,C17)</f>
        <v>0</v>
      </c>
      <c r="E17" s="7">
        <f>D17/Sheet1!$I$9*Sheet1!$I$10</f>
        <v>0</v>
      </c>
      <c r="F17" s="485">
        <f>D17/Sheet1!$I$9*Sheet1!$I$11</f>
        <v>0</v>
      </c>
      <c r="G17" s="768"/>
      <c r="H17" s="766"/>
      <c r="J17" s="765"/>
      <c r="K17" s="767"/>
      <c r="L17" s="575"/>
      <c r="M17" s="7">
        <f>SUMIFS(Sheet1!$N$2:$N$180,Sheet1!$Q$2:$Q$180,K16,Sheet1!$P$2:$P$180,L17)</f>
        <v>0</v>
      </c>
      <c r="N17" s="7">
        <f>M17/Sheet1!$T$9*Sheet1!$T$10</f>
        <v>0</v>
      </c>
      <c r="O17" s="485">
        <f>M17/Sheet1!$T$9*Sheet1!$T$11</f>
        <v>0</v>
      </c>
      <c r="P17" s="768"/>
      <c r="Q17" s="766"/>
    </row>
    <row r="18" spans="1:17" ht="15">
      <c r="A18" s="765"/>
      <c r="B18" s="573" t="s">
        <v>249</v>
      </c>
      <c r="C18" s="575" t="s">
        <v>201</v>
      </c>
      <c r="D18" s="7">
        <f>SUMIFS(Sheet1!$C$2:$C$180,Sheet1!$F$2:$F$180,B18,Sheet1!$E$2:$E$180,C18)</f>
        <v>143</v>
      </c>
      <c r="E18" s="7">
        <f>D18/Sheet1!$I$9*Sheet1!$I$10</f>
        <v>6.0616498986381391</v>
      </c>
      <c r="F18" s="485">
        <f>D18/Sheet1!$I$9*Sheet1!$I$11</f>
        <v>3.0936972340973178E-3</v>
      </c>
      <c r="G18" s="576">
        <f>F18</f>
        <v>3.0936972340973178E-3</v>
      </c>
      <c r="H18" s="766"/>
      <c r="J18" s="765"/>
      <c r="K18" s="573" t="s">
        <v>249</v>
      </c>
      <c r="L18" s="575" t="s">
        <v>201</v>
      </c>
      <c r="M18" s="7">
        <f>SUMIFS(Sheet1!$N$2:$N$180,Sheet1!$Q$2:$Q$180,K18,Sheet1!$P$2:$P$180,L18)</f>
        <v>143</v>
      </c>
      <c r="N18" s="7">
        <f>M18/Sheet1!$T$9*Sheet1!$T$10</f>
        <v>5.746051267773514</v>
      </c>
      <c r="O18" s="485">
        <f>M18/Sheet1!$T$9*Sheet1!$T$11</f>
        <v>3.0546926666629301E-3</v>
      </c>
      <c r="P18" s="576">
        <f>O18</f>
        <v>3.0546926666629301E-3</v>
      </c>
      <c r="Q18" s="766"/>
    </row>
    <row r="19" spans="1:17">
      <c r="A19" s="765"/>
      <c r="B19" s="760" t="s">
        <v>250</v>
      </c>
      <c r="C19" s="575" t="s">
        <v>251</v>
      </c>
      <c r="D19" s="7">
        <f>SUMIFS(Sheet1!$C$2:$C$180,Sheet1!$F$2:$F$180,B19,Sheet1!$E$2:$E$180,C19)</f>
        <v>378</v>
      </c>
      <c r="E19" s="7">
        <f>D19/Sheet1!$I$9*Sheet1!$I$10</f>
        <v>16.023102529267252</v>
      </c>
      <c r="F19" s="485">
        <f>D19/Sheet1!$I$9*Sheet1!$I$11</f>
        <v>8.1777451362852194E-3</v>
      </c>
      <c r="G19" s="770">
        <f>SUM(F19:F23)</f>
        <v>3.3641253140009299E-2</v>
      </c>
      <c r="H19" s="766"/>
      <c r="J19" s="765"/>
      <c r="K19" s="760" t="s">
        <v>250</v>
      </c>
      <c r="L19" s="575" t="s">
        <v>251</v>
      </c>
      <c r="M19" s="7">
        <f>SUMIFS(Sheet1!$N$2:$N$180,Sheet1!$Q$2:$Q$180,$K$19,Sheet1!$P$2:$P$180,L19)</f>
        <v>378</v>
      </c>
      <c r="N19" s="7">
        <f>M19/Sheet1!$T$9*Sheet1!$T$10</f>
        <v>15.18886279173698</v>
      </c>
      <c r="O19" s="485">
        <f>M19/Sheet1!$T$9*Sheet1!$T$11</f>
        <v>8.074642153836277E-3</v>
      </c>
      <c r="P19" s="770">
        <f>SUM(O19:O23)</f>
        <v>3.3217112564061936E-2</v>
      </c>
      <c r="Q19" s="766"/>
    </row>
    <row r="20" spans="1:17">
      <c r="A20" s="765"/>
      <c r="B20" s="769"/>
      <c r="C20" s="575" t="s">
        <v>14</v>
      </c>
      <c r="D20" s="7">
        <f>SUMIFS(Sheet1!$C$2:$C$180,Sheet1!$F$2:$F$180,B19,Sheet1!$E$2:$E$180,C20)</f>
        <v>435</v>
      </c>
      <c r="E20" s="7">
        <f>D20/Sheet1!$I$9*Sheet1!$I$10</f>
        <v>18.43928465669644</v>
      </c>
      <c r="F20" s="485">
        <f>D20/Sheet1!$I$9*Sheet1!$I$11</f>
        <v>9.4108971806456873E-3</v>
      </c>
      <c r="G20" s="771"/>
      <c r="H20" s="766"/>
      <c r="J20" s="765"/>
      <c r="K20" s="769"/>
      <c r="L20" s="575" t="s">
        <v>14</v>
      </c>
      <c r="M20" s="7">
        <f>SUMIFS(Sheet1!$N$2:$N$180,Sheet1!$Q$2:$Q$180,$K$19,Sheet1!$P$2:$P$180,L20)</f>
        <v>435</v>
      </c>
      <c r="N20" s="7">
        <f>M20/Sheet1!$T$9*Sheet1!$T$10</f>
        <v>17.479246863506841</v>
      </c>
      <c r="O20" s="485">
        <f>M20/Sheet1!$T$9*Sheet1!$T$11</f>
        <v>9.2922469230655568E-3</v>
      </c>
      <c r="P20" s="771"/>
      <c r="Q20" s="766"/>
    </row>
    <row r="21" spans="1:17">
      <c r="A21" s="765"/>
      <c r="B21" s="769"/>
      <c r="C21" s="575" t="s">
        <v>252</v>
      </c>
      <c r="D21" s="7">
        <f>SUMIFS(Sheet1!$C$2:$C$180,Sheet1!$F$2:$F$180,B19,Sheet1!$E$2:$E$180,C21)</f>
        <v>77</v>
      </c>
      <c r="E21" s="7">
        <f>D21/Sheet1!$I$9*Sheet1!$I$10</f>
        <v>3.2639653300359215</v>
      </c>
      <c r="F21" s="485">
        <f>D21/Sheet1!$I$9*Sheet1!$I$11</f>
        <v>1.6658369722062482E-3</v>
      </c>
      <c r="G21" s="771"/>
      <c r="H21" s="766"/>
      <c r="J21" s="765"/>
      <c r="K21" s="769"/>
      <c r="L21" s="575" t="s">
        <v>252</v>
      </c>
      <c r="M21" s="7">
        <f>SUMIFS(Sheet1!$N$2:$N$180,Sheet1!$Q$2:$Q$180,$K$19,Sheet1!$P$2:$P$180,L21)</f>
        <v>77</v>
      </c>
      <c r="N21" s="7">
        <f>M21/Sheet1!$T$9*Sheet1!$T$10</f>
        <v>3.0940276057241998</v>
      </c>
      <c r="O21" s="485">
        <f>M21/Sheet1!$T$9*Sheet1!$T$11</f>
        <v>1.6448345128185007E-3</v>
      </c>
      <c r="P21" s="771"/>
      <c r="Q21" s="766"/>
    </row>
    <row r="22" spans="1:17">
      <c r="A22" s="765"/>
      <c r="B22" s="769"/>
      <c r="C22" s="575" t="s">
        <v>638</v>
      </c>
      <c r="D22" s="7">
        <f>SUMIFS(Sheet1!$C$2:$C$180,Sheet1!$F$2:$F$180,B19,Sheet1!$E$2:$E$180,C22)</f>
        <v>610</v>
      </c>
      <c r="E22" s="7">
        <f>D22/Sheet1!$I$9*Sheet1!$I$10</f>
        <v>25.857387679505351</v>
      </c>
      <c r="F22" s="485">
        <f>D22/Sheet1!$I$9*Sheet1!$I$11</f>
        <v>1.3196890299296252E-2</v>
      </c>
      <c r="G22" s="771"/>
      <c r="H22" s="766"/>
      <c r="J22" s="765"/>
      <c r="K22" s="769"/>
      <c r="L22" s="575" t="s">
        <v>638</v>
      </c>
      <c r="M22" s="7">
        <f>SUMIFS(Sheet1!$N$2:$N$180,Sheet1!$Q$2:$Q$180,$K$19,Sheet1!$P$2:$P$180,L22)</f>
        <v>610</v>
      </c>
      <c r="N22" s="7">
        <f>M22/Sheet1!$T$9*Sheet1!$T$10</f>
        <v>24.511127785607297</v>
      </c>
      <c r="O22" s="485">
        <f>M22/Sheet1!$T$9*Sheet1!$T$11</f>
        <v>1.303050717947124E-2</v>
      </c>
      <c r="P22" s="771"/>
      <c r="Q22" s="766"/>
    </row>
    <row r="23" spans="1:17" ht="25.5">
      <c r="A23" s="765"/>
      <c r="B23" s="761"/>
      <c r="C23" s="575" t="s">
        <v>766</v>
      </c>
      <c r="D23" s="7">
        <f>SUMIFS(Sheet1!$C$2:$C$180,Sheet1!$F$2:$F$180,B19,Sheet1!$E$2:$E$180,C23)</f>
        <v>55</v>
      </c>
      <c r="E23" s="7">
        <f>D23/Sheet1!$I$9*Sheet1!$I$10</f>
        <v>2.3314038071685155</v>
      </c>
      <c r="F23" s="485">
        <f>D23/Sheet1!$I$9*Sheet1!$I$11</f>
        <v>1.1898835515758916E-3</v>
      </c>
      <c r="G23" s="772"/>
      <c r="H23" s="766"/>
      <c r="J23" s="765"/>
      <c r="K23" s="761"/>
      <c r="L23" s="575" t="s">
        <v>766</v>
      </c>
      <c r="M23" s="7">
        <f>SUMIFS(Sheet1!$N$2:$N$180,Sheet1!$Q$2:$Q$180,$K$19,Sheet1!$P$2:$P$180,L23)</f>
        <v>55</v>
      </c>
      <c r="N23" s="7">
        <f>M23/Sheet1!$T$9*Sheet1!$T$10</f>
        <v>2.2100197183744283</v>
      </c>
      <c r="O23" s="485">
        <f>M23/Sheet1!$T$9*Sheet1!$T$11</f>
        <v>1.1748817948703577E-3</v>
      </c>
      <c r="P23" s="772"/>
      <c r="Q23" s="766"/>
    </row>
    <row r="24" spans="1:17" ht="12.75" customHeight="1">
      <c r="A24" s="758" t="s">
        <v>253</v>
      </c>
      <c r="B24" s="767" t="s">
        <v>254</v>
      </c>
      <c r="C24" s="578" t="s">
        <v>605</v>
      </c>
      <c r="D24" s="7">
        <f>SUMIFS(Sheet1!$C$2:$C$180,Sheet1!$F$2:$F$180,B24,Sheet1!$E$2:$E$180,C24)</f>
        <v>45</v>
      </c>
      <c r="E24" s="7">
        <f>D24/Sheet1!$I$9*Sheet1!$I$10</f>
        <v>1.907512205865149</v>
      </c>
      <c r="F24" s="485">
        <f>D24/Sheet1!$I$9*Sheet1!$I$11</f>
        <v>9.7354108765300223E-4</v>
      </c>
      <c r="G24" s="768">
        <f>SUM(F24:F30)</f>
        <v>3.3533081908047853E-3</v>
      </c>
      <c r="H24" s="766">
        <f>SUM(G24:G37)</f>
        <v>2.076887653659738E-2</v>
      </c>
      <c r="J24" s="758" t="s">
        <v>253</v>
      </c>
      <c r="K24" s="767" t="s">
        <v>254</v>
      </c>
      <c r="L24" s="578" t="s">
        <v>605</v>
      </c>
      <c r="M24" s="7">
        <f>SUMIFS(Sheet1!$N$2:$N$180,Sheet1!$Q$2:$Q$180,$K$24,Sheet1!$P$2:$P$180,L24)</f>
        <v>45</v>
      </c>
      <c r="N24" s="7">
        <f>M24/Sheet1!$T$9*Sheet1!$T$10</f>
        <v>1.8081979513972595</v>
      </c>
      <c r="O24" s="485">
        <f>M24/Sheet1!$T$9*Sheet1!$T$11</f>
        <v>9.6126692307574725E-4</v>
      </c>
      <c r="P24" s="768">
        <f>SUM(O24:O30)</f>
        <v>3.3110305128164624E-3</v>
      </c>
      <c r="Q24" s="766">
        <f>SUM(P24:P37)</f>
        <v>2.0507027692282607E-2</v>
      </c>
    </row>
    <row r="25" spans="1:17" ht="12.75" customHeight="1">
      <c r="A25" s="758"/>
      <c r="B25" s="767"/>
      <c r="C25" s="578" t="s">
        <v>723</v>
      </c>
      <c r="D25" s="7">
        <f>SUMIFS(Sheet1!$C$2:$C$180,Sheet1!$F$2:$F$180,B24,Sheet1!$E$2:$E$180,C25)</f>
        <v>110</v>
      </c>
      <c r="E25" s="7">
        <f>D25/Sheet1!$I$9*Sheet1!$I$10</f>
        <v>4.6628076143370309</v>
      </c>
      <c r="F25" s="485">
        <f>D25/Sheet1!$I$9*Sheet1!$I$11</f>
        <v>2.3797671031517832E-3</v>
      </c>
      <c r="G25" s="768"/>
      <c r="H25" s="766"/>
      <c r="J25" s="758"/>
      <c r="K25" s="767"/>
      <c r="L25" s="578" t="s">
        <v>723</v>
      </c>
      <c r="M25" s="7">
        <f>SUMIFS(Sheet1!$N$2:$N$180,Sheet1!$Q$2:$Q$180,$K$24,Sheet1!$P$2:$P$180,L25)</f>
        <v>110</v>
      </c>
      <c r="N25" s="7">
        <f>M25/Sheet1!$T$9*Sheet1!$T$10</f>
        <v>4.4200394367488567</v>
      </c>
      <c r="O25" s="485">
        <f>M25/Sheet1!$T$9*Sheet1!$T$11</f>
        <v>2.3497635897407154E-3</v>
      </c>
      <c r="P25" s="768"/>
      <c r="Q25" s="766"/>
    </row>
    <row r="26" spans="1:17" ht="12.75" customHeight="1">
      <c r="A26" s="758"/>
      <c r="B26" s="767"/>
      <c r="C26" s="547"/>
      <c r="D26" s="7">
        <f>SUMIFS(Sheet1!$C$2:$C$180,Sheet1!$F$2:$F$180,B24,Sheet1!$E$2:$E$180,C26)</f>
        <v>0</v>
      </c>
      <c r="E26" s="7">
        <f>D26/Sheet1!$I$9*Sheet1!$I$10</f>
        <v>0</v>
      </c>
      <c r="F26" s="485">
        <f>D26/Sheet1!$I$9*Sheet1!$I$11</f>
        <v>0</v>
      </c>
      <c r="G26" s="768"/>
      <c r="H26" s="766"/>
      <c r="J26" s="758"/>
      <c r="K26" s="767"/>
      <c r="L26" s="547"/>
      <c r="M26" s="7">
        <f>SUMIFS(Sheet1!$N$2:$N$180,Sheet1!$Q$2:$Q$180,$K$24,Sheet1!$P$2:$P$180,L26)</f>
        <v>0</v>
      </c>
      <c r="N26" s="7">
        <f>M26/Sheet1!$T$9*Sheet1!$T$10</f>
        <v>0</v>
      </c>
      <c r="O26" s="485">
        <f>M26/Sheet1!$T$9*Sheet1!$T$11</f>
        <v>0</v>
      </c>
      <c r="P26" s="768"/>
      <c r="Q26" s="766"/>
    </row>
    <row r="27" spans="1:17" ht="12.75" customHeight="1">
      <c r="A27" s="758"/>
      <c r="B27" s="767"/>
      <c r="D27" s="7">
        <f>SUMIFS(Sheet1!$C$2:$C$180,Sheet1!$F$2:$F$180,B24,Sheet1!$E$2:$E$180,C27)</f>
        <v>0</v>
      </c>
      <c r="E27" s="7">
        <f>D27/Sheet1!$I$9*Sheet1!$I$10</f>
        <v>0</v>
      </c>
      <c r="F27" s="485">
        <f>D27/Sheet1!$I$9*Sheet1!$I$11</f>
        <v>0</v>
      </c>
      <c r="G27" s="768"/>
      <c r="H27" s="766"/>
      <c r="J27" s="758"/>
      <c r="K27" s="767"/>
      <c r="M27" s="7">
        <f>SUMIFS(Sheet1!$N$2:$N$180,Sheet1!$Q$2:$Q$180,$K$24,Sheet1!$P$2:$P$180,L27)</f>
        <v>0</v>
      </c>
      <c r="N27" s="7">
        <f>M27/Sheet1!$T$9*Sheet1!$T$10</f>
        <v>0</v>
      </c>
      <c r="O27" s="485">
        <f>M27/Sheet1!$T$9*Sheet1!$T$11</f>
        <v>0</v>
      </c>
      <c r="P27" s="768"/>
      <c r="Q27" s="766"/>
    </row>
    <row r="28" spans="1:17" ht="12.75" customHeight="1">
      <c r="A28" s="758"/>
      <c r="B28" s="767"/>
      <c r="C28" s="575"/>
      <c r="D28" s="7">
        <f>SUMIFS(Sheet1!$C$2:$C$180,Sheet1!$F$2:$F$180,B24,Sheet1!$E$2:$E$180,C28)</f>
        <v>0</v>
      </c>
      <c r="E28" s="7">
        <f>D28/Sheet1!$I$9*Sheet1!$I$10</f>
        <v>0</v>
      </c>
      <c r="F28" s="485">
        <f>D28/Sheet1!$I$9*Sheet1!$I$11</f>
        <v>0</v>
      </c>
      <c r="G28" s="768"/>
      <c r="H28" s="766"/>
      <c r="J28" s="758"/>
      <c r="K28" s="767"/>
      <c r="L28" s="575"/>
      <c r="M28" s="7">
        <f>SUMIFS(Sheet1!$N$2:$N$180,Sheet1!$Q$2:$Q$180,$K$24,Sheet1!$P$2:$P$180,L28)</f>
        <v>0</v>
      </c>
      <c r="N28" s="7">
        <f>M28/Sheet1!$T$9*Sheet1!$T$10</f>
        <v>0</v>
      </c>
      <c r="O28" s="485">
        <f>M28/Sheet1!$T$9*Sheet1!$T$11</f>
        <v>0</v>
      </c>
      <c r="P28" s="768"/>
      <c r="Q28" s="766"/>
    </row>
    <row r="29" spans="1:17" ht="12.75" customHeight="1">
      <c r="A29" s="758"/>
      <c r="B29" s="767"/>
      <c r="C29" s="575"/>
      <c r="D29" s="7">
        <f>SUMIFS(Sheet1!$C$2:$C$180,Sheet1!$F$2:$F$180,B24,Sheet1!$E$2:$E$180,C29)</f>
        <v>0</v>
      </c>
      <c r="E29" s="7">
        <f>D29/Sheet1!$I$9*Sheet1!$I$10</f>
        <v>0</v>
      </c>
      <c r="F29" s="485">
        <f>D29/Sheet1!$I$9*Sheet1!$I$11</f>
        <v>0</v>
      </c>
      <c r="G29" s="768"/>
      <c r="H29" s="766"/>
      <c r="J29" s="758"/>
      <c r="K29" s="767"/>
      <c r="L29" s="575"/>
      <c r="M29" s="7">
        <f>SUMIFS(Sheet1!$N$2:$N$180,Sheet1!$Q$2:$Q$180,$K$24,Sheet1!$P$2:$P$180,L29)</f>
        <v>0</v>
      </c>
      <c r="N29" s="7">
        <f>M29/Sheet1!$T$9*Sheet1!$T$10</f>
        <v>0</v>
      </c>
      <c r="O29" s="485">
        <f>M29/Sheet1!$T$9*Sheet1!$T$11</f>
        <v>0</v>
      </c>
      <c r="P29" s="768"/>
      <c r="Q29" s="766"/>
    </row>
    <row r="30" spans="1:17" ht="12.75" customHeight="1">
      <c r="A30" s="758"/>
      <c r="B30" s="767"/>
      <c r="C30" s="575"/>
      <c r="D30" s="7">
        <f>SUMIFS(Sheet1!$C$2:$C$180,Sheet1!$F$2:$F$180,B24,Sheet1!$E$2:$E$180,C30)</f>
        <v>0</v>
      </c>
      <c r="E30" s="7">
        <f>D30/Sheet1!$I$9*Sheet1!$I$10</f>
        <v>0</v>
      </c>
      <c r="F30" s="485">
        <f>D30/Sheet1!$I$9*Sheet1!$I$11</f>
        <v>0</v>
      </c>
      <c r="G30" s="768"/>
      <c r="H30" s="766"/>
      <c r="J30" s="758"/>
      <c r="K30" s="767"/>
      <c r="L30" s="575"/>
      <c r="M30" s="7">
        <f>SUMIFS(Sheet1!$N$2:$N$180,Sheet1!$Q$2:$Q$180,$K$24,Sheet1!$P$2:$P$180,L30)</f>
        <v>0</v>
      </c>
      <c r="N30" s="7">
        <f>M30/Sheet1!$T$9*Sheet1!$T$10</f>
        <v>0</v>
      </c>
      <c r="O30" s="485">
        <f>M30/Sheet1!$T$9*Sheet1!$T$11</f>
        <v>0</v>
      </c>
      <c r="P30" s="768"/>
      <c r="Q30" s="766"/>
    </row>
    <row r="31" spans="1:17" ht="12.75" customHeight="1">
      <c r="A31" s="758"/>
      <c r="B31" s="760" t="s">
        <v>255</v>
      </c>
      <c r="C31" s="574" t="s">
        <v>672</v>
      </c>
      <c r="D31" s="7">
        <f>SUMIFS(Sheet1!$C$2:$C$180,Sheet1!$F$2:$F$180,B31,Sheet1!$E$2:$E$180,C31)</f>
        <v>790</v>
      </c>
      <c r="E31" s="7">
        <f>D31/Sheet1!$I$9*Sheet1!$I$10</f>
        <v>33.487436502965949</v>
      </c>
      <c r="F31" s="485">
        <f>D31/Sheet1!$I$9*Sheet1!$I$11</f>
        <v>1.7091054649908261E-2</v>
      </c>
      <c r="G31" s="770">
        <f>SUM(F31:F32)</f>
        <v>1.7091054649908261E-2</v>
      </c>
      <c r="H31" s="766"/>
      <c r="J31" s="758"/>
      <c r="K31" s="760" t="s">
        <v>255</v>
      </c>
      <c r="L31" s="574" t="s">
        <v>672</v>
      </c>
      <c r="M31" s="7">
        <f>SUMIFS(Sheet1!$N$2:$N$180,Sheet1!$Q$2:$Q$180,$K$31,Sheet1!$P$2:$P$180,L31)</f>
        <v>790</v>
      </c>
      <c r="N31" s="7">
        <f>M31/Sheet1!$T$9*Sheet1!$T$10</f>
        <v>31.743919591196335</v>
      </c>
      <c r="O31" s="485">
        <f>M31/Sheet1!$T$9*Sheet1!$T$11</f>
        <v>1.687557487177423E-2</v>
      </c>
      <c r="P31" s="770">
        <f>SUM(O31:O32)</f>
        <v>1.687557487177423E-2</v>
      </c>
      <c r="Q31" s="766"/>
    </row>
    <row r="32" spans="1:17" ht="12.75" customHeight="1">
      <c r="A32" s="758"/>
      <c r="B32" s="761"/>
      <c r="C32" s="575"/>
      <c r="D32" s="7">
        <f>SUMIFS(Sheet1!$C$2:$C$180,Sheet1!$F$2:$F$180,B31,Sheet1!$E$2:$E$180,C32)</f>
        <v>0</v>
      </c>
      <c r="E32" s="7">
        <f>D32/Sheet1!$I$9*Sheet1!$I$10</f>
        <v>0</v>
      </c>
      <c r="F32" s="485">
        <f>D32/Sheet1!$I$9*Sheet1!$I$11</f>
        <v>0</v>
      </c>
      <c r="G32" s="772"/>
      <c r="H32" s="766"/>
      <c r="J32" s="758"/>
      <c r="K32" s="761"/>
      <c r="L32" s="575"/>
      <c r="M32" s="7">
        <f>SUMIFS(Sheet1!$N$2:$N$180,Sheet1!$Q$2:$Q$180,$K$31,Sheet1!$P$2:$P$180,L32)</f>
        <v>0</v>
      </c>
      <c r="N32" s="7">
        <f>M32/Sheet1!$T$9*Sheet1!$T$10</f>
        <v>0</v>
      </c>
      <c r="O32" s="485">
        <f>M32/Sheet1!$T$9*Sheet1!$T$11</f>
        <v>0</v>
      </c>
      <c r="P32" s="772"/>
      <c r="Q32" s="766"/>
    </row>
    <row r="33" spans="1:17" ht="12.75" customHeight="1">
      <c r="A33" s="758"/>
      <c r="B33" s="767" t="s">
        <v>256</v>
      </c>
      <c r="C33" s="575" t="s">
        <v>594</v>
      </c>
      <c r="D33" s="7">
        <f>SUMIFS(Sheet1!$C$2:$C$180,Sheet1!$F$2:$F$180,B33,Sheet1!$E$2:$E$180,C33)</f>
        <v>15</v>
      </c>
      <c r="E33" s="7">
        <f>D33/Sheet1!$I$9*Sheet1!$I$10</f>
        <v>0.63583740195504967</v>
      </c>
      <c r="F33" s="485">
        <f>D33/Sheet1!$I$9*Sheet1!$I$11</f>
        <v>3.2451369588433406E-4</v>
      </c>
      <c r="G33" s="768">
        <f>SUM(F33:F35)</f>
        <v>3.2451369588433406E-4</v>
      </c>
      <c r="H33" s="766"/>
      <c r="J33" s="758"/>
      <c r="K33" s="767" t="s">
        <v>256</v>
      </c>
      <c r="L33" s="575" t="s">
        <v>594</v>
      </c>
      <c r="M33" s="7">
        <f>SUMIFS(Sheet1!$N$2:$N$180,Sheet1!$Q$2:$Q$180,$K$33,Sheet1!$P$2:$P$180,L33)</f>
        <v>15</v>
      </c>
      <c r="N33" s="7">
        <f>M33/Sheet1!$T$9*Sheet1!$T$10</f>
        <v>0.60273265046575308</v>
      </c>
      <c r="O33" s="485">
        <f>M33/Sheet1!$T$9*Sheet1!$T$11</f>
        <v>3.2042230769191573E-4</v>
      </c>
      <c r="P33" s="768">
        <f>SUM(O33:O35)</f>
        <v>3.2042230769191573E-4</v>
      </c>
      <c r="Q33" s="766"/>
    </row>
    <row r="34" spans="1:17" ht="12.75" customHeight="1">
      <c r="A34" s="758"/>
      <c r="B34" s="767"/>
      <c r="C34" s="575"/>
      <c r="D34" s="7">
        <f>SUMIFS(Sheet1!$C$2:$C$180,Sheet1!$F$2:$F$180,B33,Sheet1!$E$2:$E$180,C34)</f>
        <v>0</v>
      </c>
      <c r="E34" s="7">
        <f>D34/Sheet1!$I$9*Sheet1!$I$10</f>
        <v>0</v>
      </c>
      <c r="F34" s="485">
        <f>D34/Sheet1!$I$9*Sheet1!$I$11</f>
        <v>0</v>
      </c>
      <c r="G34" s="768"/>
      <c r="H34" s="766"/>
      <c r="J34" s="758"/>
      <c r="K34" s="767"/>
      <c r="L34" s="575"/>
      <c r="M34" s="7">
        <f>SUMIFS(Sheet1!$N$2:$N$180,Sheet1!$Q$2:$Q$180,$K$33,Sheet1!$P$2:$P$180,L34)</f>
        <v>0</v>
      </c>
      <c r="N34" s="7">
        <f>M34/Sheet1!$T$9*Sheet1!$T$10</f>
        <v>0</v>
      </c>
      <c r="O34" s="485">
        <f>M34/Sheet1!$T$9*Sheet1!$T$11</f>
        <v>0</v>
      </c>
      <c r="P34" s="768"/>
      <c r="Q34" s="766"/>
    </row>
    <row r="35" spans="1:17" ht="12.75" customHeight="1">
      <c r="A35" s="758"/>
      <c r="B35" s="767"/>
      <c r="C35" s="575"/>
      <c r="D35" s="7">
        <f>SUMIFS(Sheet1!$C$2:$C$180,Sheet1!$F$2:$F$180,B33,Sheet1!$E$2:$E$180,C35)</f>
        <v>0</v>
      </c>
      <c r="E35" s="7">
        <f>D35/Sheet1!$I$9*Sheet1!$I$10</f>
        <v>0</v>
      </c>
      <c r="F35" s="485">
        <f>D35/Sheet1!$I$9*Sheet1!$I$11</f>
        <v>0</v>
      </c>
      <c r="G35" s="768"/>
      <c r="H35" s="766"/>
      <c r="J35" s="758"/>
      <c r="K35" s="767"/>
      <c r="L35" s="575"/>
      <c r="M35" s="7">
        <f>SUMIFS(Sheet1!$N$2:$N$180,Sheet1!$Q$2:$Q$180,$K$33,Sheet1!$P$2:$P$180,L35)</f>
        <v>0</v>
      </c>
      <c r="N35" s="7">
        <f>M35/Sheet1!$T$9*Sheet1!$T$10</f>
        <v>0</v>
      </c>
      <c r="O35" s="485">
        <f>M35/Sheet1!$T$9*Sheet1!$T$11</f>
        <v>0</v>
      </c>
      <c r="P35" s="768"/>
      <c r="Q35" s="766"/>
    </row>
    <row r="36" spans="1:17" ht="12.75" customHeight="1">
      <c r="A36" s="758"/>
      <c r="B36" s="760" t="s">
        <v>257</v>
      </c>
      <c r="C36" s="575"/>
      <c r="D36" s="7">
        <f>SUMIFS(Sheet1!$C$2:$C$180,Sheet1!$F$2:$F$180,B36,Sheet1!$E$2:$E$180,C36)</f>
        <v>0</v>
      </c>
      <c r="E36" s="7">
        <f>D36/Sheet1!$I$9*Sheet1!$I$10</f>
        <v>0</v>
      </c>
      <c r="F36" s="485">
        <f>D36/Sheet1!$I$9*Sheet1!$I$11</f>
        <v>0</v>
      </c>
      <c r="G36" s="770">
        <f>SUM(F36:F37)</f>
        <v>0</v>
      </c>
      <c r="H36" s="766"/>
      <c r="J36" s="758"/>
      <c r="K36" s="760" t="s">
        <v>257</v>
      </c>
      <c r="L36" s="575"/>
      <c r="M36" s="7">
        <f>SUMIFS(Sheet1!$N$2:$N$180,Sheet1!$Q$2:$Q$180,$K$36,Sheet1!$P$2:$P$180,L36)</f>
        <v>0</v>
      </c>
      <c r="N36" s="7">
        <f>M36/Sheet1!$T$9*Sheet1!$T$10</f>
        <v>0</v>
      </c>
      <c r="O36" s="485">
        <f>M36/Sheet1!$T$9*Sheet1!$T$11</f>
        <v>0</v>
      </c>
      <c r="P36" s="770">
        <f>SUM(O36:O37)</f>
        <v>0</v>
      </c>
      <c r="Q36" s="766"/>
    </row>
    <row r="37" spans="1:17" ht="12.75" customHeight="1">
      <c r="A37" s="758"/>
      <c r="B37" s="761"/>
      <c r="C37" s="575"/>
      <c r="D37" s="7">
        <f>SUMIFS(Sheet1!$C$2:$C$180,Sheet1!$F$2:$F$180,B36,Sheet1!$E$2:$E$180,C37)</f>
        <v>0</v>
      </c>
      <c r="E37" s="7">
        <f>D37/Sheet1!$I$9*Sheet1!$I$10</f>
        <v>0</v>
      </c>
      <c r="F37" s="485">
        <f>D37/Sheet1!$I$9*Sheet1!$I$11</f>
        <v>0</v>
      </c>
      <c r="G37" s="772"/>
      <c r="H37" s="766"/>
      <c r="J37" s="758"/>
      <c r="K37" s="761"/>
      <c r="L37" s="575"/>
      <c r="M37" s="7">
        <f>SUMIFS(Sheet1!$N$2:$N$180,Sheet1!$Q$2:$Q$180,$K$36,Sheet1!$P$2:$P$180,L37)</f>
        <v>0</v>
      </c>
      <c r="N37" s="7">
        <f>M37/Sheet1!$T$9*Sheet1!$T$10</f>
        <v>0</v>
      </c>
      <c r="O37" s="485">
        <f>M37/Sheet1!$T$9*Sheet1!$T$11</f>
        <v>0</v>
      </c>
      <c r="P37" s="772"/>
      <c r="Q37" s="766"/>
    </row>
    <row r="38" spans="1:17" ht="12.75" customHeight="1">
      <c r="A38" s="758" t="s">
        <v>388</v>
      </c>
      <c r="B38" s="760" t="s">
        <v>258</v>
      </c>
      <c r="C38" s="575"/>
      <c r="D38" s="7">
        <f>SUMIFS(Sheet1!$C$2:$C$180,Sheet1!$F$2:$F$180,B38,Sheet1!$E$2:$E$180,C38)</f>
        <v>0</v>
      </c>
      <c r="E38" s="7">
        <f>D38/Sheet1!$I$9*Sheet1!$I$10</f>
        <v>0</v>
      </c>
      <c r="F38" s="485">
        <f>D38/Sheet1!$I$9*Sheet1!$I$11</f>
        <v>0</v>
      </c>
      <c r="G38" s="770">
        <f>SUM(F38:F39)</f>
        <v>0</v>
      </c>
      <c r="H38" s="774">
        <f>SUM(G38:G39)</f>
        <v>0</v>
      </c>
      <c r="J38" s="758" t="s">
        <v>388</v>
      </c>
      <c r="K38" s="760" t="s">
        <v>258</v>
      </c>
      <c r="L38" s="575"/>
      <c r="M38" s="7">
        <f>SUMIFS(Sheet1!$N$2:$N$180,Sheet1!$Q$2:$Q$180,K38,Sheet1!$P$2:$P$180,L38)</f>
        <v>0</v>
      </c>
      <c r="N38" s="7">
        <f>M38/Sheet1!$T$9*Sheet1!$T$10</f>
        <v>0</v>
      </c>
      <c r="O38" s="485">
        <f>M38/Sheet1!$T$9*Sheet1!$T$11</f>
        <v>0</v>
      </c>
      <c r="P38" s="770">
        <f>SUM(O38:O39)</f>
        <v>0</v>
      </c>
      <c r="Q38" s="774">
        <f>SUM(P38:P39)</f>
        <v>0</v>
      </c>
    </row>
    <row r="39" spans="1:17" ht="12.75" customHeight="1">
      <c r="A39" s="758"/>
      <c r="B39" s="761"/>
      <c r="C39" s="578"/>
      <c r="D39" s="7">
        <f>SUMIFS(Sheet1!$C$2:$C$180,Sheet1!$F$2:$F$180,B38,Sheet1!$E$2:$E$180,C39)</f>
        <v>0</v>
      </c>
      <c r="E39" s="7">
        <f>D39/Sheet1!$I$9*Sheet1!$I$10</f>
        <v>0</v>
      </c>
      <c r="F39" s="485">
        <f>D39/Sheet1!$I$9*Sheet1!$I$11</f>
        <v>0</v>
      </c>
      <c r="G39" s="772"/>
      <c r="H39" s="775"/>
      <c r="J39" s="758"/>
      <c r="K39" s="761"/>
      <c r="L39" s="578"/>
      <c r="M39" s="7">
        <f>SUMIFS(Sheet1!$N$2:$N$180,Sheet1!$Q$2:$Q$180,K38,Sheet1!$P$2:$P$180,L39)</f>
        <v>0</v>
      </c>
      <c r="N39" s="7">
        <f>M39/Sheet1!$T$9*Sheet1!$T$10</f>
        <v>0</v>
      </c>
      <c r="O39" s="485">
        <f>M39/Sheet1!$T$9*Sheet1!$T$11</f>
        <v>0</v>
      </c>
      <c r="P39" s="772"/>
      <c r="Q39" s="775"/>
    </row>
    <row r="40" spans="1:17" ht="15">
      <c r="A40" s="579"/>
      <c r="B40" s="773" t="s">
        <v>3</v>
      </c>
      <c r="C40" s="773"/>
      <c r="D40" s="356">
        <f>SUM(D4:D39)</f>
        <v>5182</v>
      </c>
      <c r="E40" s="356">
        <f>SUM(E4:E39)</f>
        <v>310.05759741483502</v>
      </c>
      <c r="F40" s="483">
        <f>SUM(F4:F39)</f>
        <v>0.15824475968970789</v>
      </c>
      <c r="G40" s="483">
        <f>SUM(G4:G39)</f>
        <v>0.15824475968970791</v>
      </c>
      <c r="H40" s="483">
        <f>SUM(H4:H39)</f>
        <v>0.15824475968970791</v>
      </c>
      <c r="J40" s="579"/>
      <c r="K40" s="773" t="s">
        <v>3</v>
      </c>
      <c r="L40" s="773"/>
      <c r="M40" s="356">
        <f>SUM(M4:M39)</f>
        <v>3502</v>
      </c>
      <c r="N40" s="356">
        <f>SUM(N4:N39)</f>
        <v>231.76007997483507</v>
      </c>
      <c r="O40" s="483">
        <f>SUM(O4:O39)</f>
        <v>0.12320736167024532</v>
      </c>
      <c r="P40" s="483">
        <f>SUM(P4:P39)</f>
        <v>0.12320736167024532</v>
      </c>
      <c r="Q40" s="483">
        <f>SUM(Q4:Q39)</f>
        <v>0.12320736167024531</v>
      </c>
    </row>
    <row r="41" spans="1:17" ht="15">
      <c r="A41" s="579"/>
      <c r="B41" s="773" t="s">
        <v>2</v>
      </c>
      <c r="C41" s="773"/>
      <c r="D41" s="773"/>
      <c r="E41" s="773"/>
      <c r="F41" s="580">
        <f>+Efficiency1!X163</f>
        <v>0.84175524031029181</v>
      </c>
      <c r="G41" s="580">
        <f>+F41</f>
        <v>0.84175524031029181</v>
      </c>
      <c r="H41" s="580">
        <f>+G41</f>
        <v>0.84175524031029181</v>
      </c>
      <c r="J41" s="579"/>
      <c r="K41" s="773" t="s">
        <v>2</v>
      </c>
      <c r="L41" s="773"/>
      <c r="M41" s="773"/>
      <c r="N41" s="773"/>
      <c r="O41" s="580">
        <f>+Efficiency2!X163</f>
        <v>0.87679263832975463</v>
      </c>
      <c r="P41" s="580">
        <f>+O41</f>
        <v>0.87679263832975463</v>
      </c>
      <c r="Q41" s="580">
        <f>+P41</f>
        <v>0.87679263832975463</v>
      </c>
    </row>
    <row r="42" spans="1:17" ht="15">
      <c r="A42" s="579"/>
      <c r="B42" s="773" t="s">
        <v>60</v>
      </c>
      <c r="C42" s="773"/>
      <c r="D42" s="773"/>
      <c r="E42" s="773"/>
      <c r="F42" s="486">
        <f>SUM(F40:F41)</f>
        <v>0.99999999999999967</v>
      </c>
      <c r="G42" s="486">
        <f>SUM(G40:G41)</f>
        <v>0.99999999999999978</v>
      </c>
      <c r="H42" s="572">
        <f>SUM(H40:H41)</f>
        <v>0.99999999999999978</v>
      </c>
      <c r="J42" s="579"/>
      <c r="K42" s="773" t="s">
        <v>60</v>
      </c>
      <c r="L42" s="773"/>
      <c r="M42" s="773"/>
      <c r="N42" s="773"/>
      <c r="O42" s="486">
        <f>SUM(O40:O41)</f>
        <v>1</v>
      </c>
      <c r="P42" s="486">
        <f>SUM(P40:P41)</f>
        <v>1</v>
      </c>
      <c r="Q42" s="572">
        <f>SUM(Q40:Q41)</f>
        <v>0.99999999999999989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R61"/>
  <sheetViews>
    <sheetView zoomScale="80" zoomScaleNormal="80" workbookViewId="0">
      <selection activeCell="H16" sqref="H1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31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/>
      <c r="G6" s="162"/>
      <c r="H6" s="164"/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415+519+426</f>
        <v>1360</v>
      </c>
    </row>
    <row r="7" spans="1:18" ht="13.5" customHeight="1" thickBot="1">
      <c r="A7" s="777" t="s">
        <v>547</v>
      </c>
      <c r="B7" s="220" t="s">
        <v>690</v>
      </c>
      <c r="C7" s="221">
        <v>16310</v>
      </c>
      <c r="D7" s="222">
        <v>780</v>
      </c>
      <c r="E7" s="223"/>
      <c r="F7" s="232"/>
      <c r="G7" s="233" t="s">
        <v>13</v>
      </c>
      <c r="H7" s="234" t="s">
        <v>394</v>
      </c>
      <c r="I7" s="780" t="s">
        <v>763</v>
      </c>
      <c r="J7" s="219" t="str">
        <f>+'30'!J7</f>
        <v>TW 17 RC HW</v>
      </c>
      <c r="K7" s="242"/>
      <c r="L7" s="246"/>
      <c r="M7" s="122">
        <f>+L7+'30'!M7+K7</f>
        <v>44630</v>
      </c>
    </row>
    <row r="8" spans="1:18" ht="13.5" thickBot="1">
      <c r="A8" s="778"/>
      <c r="B8" s="220"/>
      <c r="C8" s="221"/>
      <c r="D8" s="222"/>
      <c r="E8" s="224"/>
      <c r="F8" s="235">
        <v>2</v>
      </c>
      <c r="G8" s="581" t="s">
        <v>13</v>
      </c>
      <c r="H8" s="234" t="s">
        <v>392</v>
      </c>
      <c r="I8" s="781"/>
      <c r="J8" s="219" t="str">
        <f>+'30'!J8</f>
        <v>N 18 RC HW</v>
      </c>
      <c r="K8" s="243"/>
      <c r="L8" s="243"/>
      <c r="M8" s="122">
        <f>+L8+'30'!M8+K8</f>
        <v>105194</v>
      </c>
      <c r="N8" s="154">
        <v>830</v>
      </c>
      <c r="O8" s="154">
        <f>+N8-N8*0.14</f>
        <v>713.8</v>
      </c>
      <c r="P8" s="154">
        <f>120+30</f>
        <v>150</v>
      </c>
      <c r="Q8" s="154">
        <f>+N8*P8</f>
        <v>124500</v>
      </c>
      <c r="R8" s="154">
        <f>+O8*P8</f>
        <v>107070</v>
      </c>
    </row>
    <row r="9" spans="1:18" ht="13.5" thickBot="1">
      <c r="A9" s="778"/>
      <c r="B9" s="220"/>
      <c r="C9" s="221"/>
      <c r="D9" s="222"/>
      <c r="E9" s="225"/>
      <c r="F9" s="232">
        <v>8</v>
      </c>
      <c r="G9" s="581" t="s">
        <v>13</v>
      </c>
      <c r="H9" s="237" t="s">
        <v>226</v>
      </c>
      <c r="I9" s="781"/>
      <c r="J9" s="219" t="str">
        <f>+'30'!J9</f>
        <v>N 20 RC HW</v>
      </c>
      <c r="K9" s="243"/>
      <c r="L9" s="243"/>
      <c r="M9" s="122">
        <f>+L9+'30'!M9+K9</f>
        <v>71479</v>
      </c>
      <c r="N9" s="154">
        <v>800</v>
      </c>
      <c r="O9" s="154">
        <f>+N9-N9*0.14</f>
        <v>688</v>
      </c>
      <c r="P9" s="154">
        <f>30+120+40</f>
        <v>190</v>
      </c>
      <c r="Q9" s="154">
        <f>+N9*P9</f>
        <v>152000</v>
      </c>
      <c r="R9" s="154">
        <f>+O9*P9</f>
        <v>130720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755</v>
      </c>
      <c r="I10" s="781"/>
      <c r="J10" s="219" t="str">
        <f>+'30'!J10</f>
        <v>N 17 RC HW</v>
      </c>
      <c r="K10" s="243"/>
      <c r="L10" s="243"/>
      <c r="M10" s="122">
        <f>+L10+'30'!M10+K10</f>
        <v>5253</v>
      </c>
      <c r="N10" s="154">
        <v>800</v>
      </c>
      <c r="O10" s="154">
        <f>+N10-N10*0.14</f>
        <v>688</v>
      </c>
      <c r="Q10" s="154">
        <f>+N10*P10</f>
        <v>0</v>
      </c>
      <c r="R10" s="154">
        <f>+O10*P10</f>
        <v>0</v>
      </c>
    </row>
    <row r="11" spans="1:18" ht="26.25" thickBot="1">
      <c r="A11" s="778"/>
      <c r="B11" s="220"/>
      <c r="C11" s="221"/>
      <c r="D11" s="222"/>
      <c r="E11" s="224"/>
      <c r="F11" s="232">
        <v>8</v>
      </c>
      <c r="G11" s="236" t="s">
        <v>13</v>
      </c>
      <c r="H11" s="237" t="s">
        <v>762</v>
      </c>
      <c r="I11" s="781"/>
      <c r="J11" s="219" t="str">
        <f>+'30'!J11</f>
        <v>N 18,5 RC HW</v>
      </c>
      <c r="K11" s="243"/>
      <c r="L11" s="243"/>
      <c r="M11" s="122">
        <f>+L11+'30'!M11+K11</f>
        <v>10930</v>
      </c>
      <c r="P11" s="154">
        <f>SUM(P8:P10)</f>
        <v>340</v>
      </c>
      <c r="Q11" s="154">
        <f>SUM(Q8:Q10)</f>
        <v>276500</v>
      </c>
      <c r="R11" s="154">
        <f>SUM(R8:R10)</f>
        <v>237790</v>
      </c>
    </row>
    <row r="12" spans="1:18" ht="26.25" thickBot="1">
      <c r="A12" s="778"/>
      <c r="B12" s="220"/>
      <c r="C12" s="221"/>
      <c r="D12" s="222"/>
      <c r="E12" s="224" t="s">
        <v>447</v>
      </c>
      <c r="F12" s="232">
        <v>100</v>
      </c>
      <c r="G12" s="236" t="s">
        <v>13</v>
      </c>
      <c r="H12" s="237" t="s">
        <v>756</v>
      </c>
      <c r="I12" s="781"/>
      <c r="J12" s="219" t="str">
        <f>+'30'!J12</f>
        <v>TW 32 RC HW</v>
      </c>
      <c r="K12" s="243"/>
      <c r="L12" s="243"/>
      <c r="M12" s="122">
        <f>+L12+'30'!M12+K12</f>
        <v>75522</v>
      </c>
      <c r="Q12" s="154">
        <f>+Q11/P11</f>
        <v>813.23529411764707</v>
      </c>
      <c r="R12" s="154">
        <f>+R11/P11</f>
        <v>699.38235294117646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 t="s">
        <v>757</v>
      </c>
      <c r="I13" s="782"/>
      <c r="J13" s="219" t="str">
        <f>+'30'!J13</f>
        <v>TW 34 RC HW</v>
      </c>
      <c r="K13" s="243"/>
      <c r="L13" s="243"/>
      <c r="M13" s="122">
        <f>+L13+'30'!M13+K13</f>
        <v>22635</v>
      </c>
    </row>
    <row r="14" spans="1:18" ht="13.5" thickBot="1">
      <c r="A14" s="779"/>
      <c r="B14" s="170" t="s">
        <v>3</v>
      </c>
      <c r="C14" s="104">
        <f>SUM(C7:C13)</f>
        <v>16310</v>
      </c>
      <c r="D14" s="116">
        <f>SUM(D7:D13)</f>
        <v>780</v>
      </c>
      <c r="E14" s="117">
        <f>SUM(E5:E13)</f>
        <v>0</v>
      </c>
      <c r="F14" s="121">
        <f>SUM(F7:F13)</f>
        <v>118</v>
      </c>
      <c r="G14" s="164"/>
      <c r="H14" s="171"/>
      <c r="I14" s="172"/>
      <c r="J14" s="219" t="str">
        <f>+'30'!J14</f>
        <v>TW 36 RC HW</v>
      </c>
      <c r="K14" s="243"/>
      <c r="L14" s="243"/>
      <c r="M14" s="122">
        <f>+L14+'30'!M14+K14</f>
        <v>33555</v>
      </c>
    </row>
    <row r="15" spans="1:18" ht="13.5" customHeight="1" thickBot="1">
      <c r="A15" s="777" t="s">
        <v>413</v>
      </c>
      <c r="B15" s="170"/>
      <c r="C15" s="118">
        <f>C14/($C$23+$D$23+$E$23)</f>
        <v>1.5935515388373229</v>
      </c>
      <c r="D15" s="119">
        <f>D14/($C$23+$D$23+$E$23)</f>
        <v>7.6209086468001952E-2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650</v>
      </c>
      <c r="J15" s="219" t="str">
        <f>+'30'!J15</f>
        <v>TW 38 RC HW</v>
      </c>
      <c r="K15" s="243"/>
      <c r="L15" s="243"/>
      <c r="M15" s="122">
        <f>+L15+'30'!M15+K15</f>
        <v>50415</v>
      </c>
    </row>
    <row r="16" spans="1:18" ht="13.5" thickBot="1">
      <c r="A16" s="783"/>
      <c r="B16" s="220" t="s">
        <v>622</v>
      </c>
      <c r="C16" s="226">
        <v>9803</v>
      </c>
      <c r="D16" s="227">
        <v>432</v>
      </c>
      <c r="E16" s="228"/>
      <c r="F16" s="232">
        <v>3</v>
      </c>
      <c r="G16" s="581" t="s">
        <v>13</v>
      </c>
      <c r="H16" s="234" t="s">
        <v>392</v>
      </c>
      <c r="I16" s="781"/>
      <c r="J16" s="219" t="str">
        <f>+'30'!J16</f>
        <v>TW 30 RC HW</v>
      </c>
      <c r="K16" s="233"/>
      <c r="L16" s="233"/>
      <c r="M16" s="122">
        <f>+L16+'30'!M16+K16</f>
        <v>118057</v>
      </c>
      <c r="N16" s="154">
        <v>800</v>
      </c>
      <c r="O16" s="154">
        <f>+N16-N16*0.14</f>
        <v>688</v>
      </c>
      <c r="P16" s="154">
        <f>960+40</f>
        <v>1000</v>
      </c>
    </row>
    <row r="17" spans="1:14" ht="13.5" thickBot="1">
      <c r="A17" s="783"/>
      <c r="B17" s="220"/>
      <c r="C17" s="221"/>
      <c r="D17" s="222"/>
      <c r="E17" s="229"/>
      <c r="F17" s="232">
        <v>3</v>
      </c>
      <c r="G17" s="581" t="s">
        <v>13</v>
      </c>
      <c r="H17" s="237" t="s">
        <v>226</v>
      </c>
      <c r="I17" s="781"/>
      <c r="J17" s="219" t="str">
        <f>+'30'!J17</f>
        <v>TW 28 RC HW</v>
      </c>
      <c r="K17" s="233"/>
      <c r="L17" s="233"/>
      <c r="M17" s="122">
        <f>+L17+'30'!M17+K17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760</v>
      </c>
      <c r="I18" s="781"/>
      <c r="J18" s="219" t="str">
        <f>+'30'!J18</f>
        <v>N 20,5 RC HW</v>
      </c>
      <c r="K18" s="243"/>
      <c r="L18" s="243"/>
      <c r="M18" s="122">
        <f>+L18+'30'!M18+K18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 t="s">
        <v>759</v>
      </c>
      <c r="I19" s="781"/>
      <c r="J19" s="219" t="str">
        <f>+'30'!J19</f>
        <v>N 17 RC BR</v>
      </c>
      <c r="K19" s="243"/>
      <c r="L19" s="243"/>
      <c r="M19" s="122">
        <f>+L19+'30'!M19+K19</f>
        <v>57113</v>
      </c>
    </row>
    <row r="20" spans="1:14" ht="13.5" thickBot="1">
      <c r="A20" s="783"/>
      <c r="B20" s="220"/>
      <c r="C20" s="221"/>
      <c r="D20" s="222"/>
      <c r="E20" s="229"/>
      <c r="F20" s="232">
        <v>55</v>
      </c>
      <c r="G20" s="236" t="s">
        <v>13</v>
      </c>
      <c r="H20" s="237" t="s">
        <v>758</v>
      </c>
      <c r="I20" s="781"/>
      <c r="J20" s="219" t="str">
        <f>+'30'!J20</f>
        <v>N 16 RC BR</v>
      </c>
      <c r="K20" s="244">
        <f>+C16+C25</f>
        <v>25394</v>
      </c>
      <c r="L20" s="244"/>
      <c r="M20" s="122">
        <f>+L20+'30'!M20+K20</f>
        <v>103009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+'30'!J21</f>
        <v>N 15,5 RC BR</v>
      </c>
      <c r="K21" s="243"/>
      <c r="L21" s="243"/>
      <c r="M21" s="122">
        <f>+L21+'30'!M21+K21</f>
        <v>162173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+'30'!J22</f>
        <v>TW 19 RC BR</v>
      </c>
      <c r="K22" s="243">
        <f>+C7</f>
        <v>16310</v>
      </c>
      <c r="L22" s="243"/>
      <c r="M22" s="122">
        <f>+L22+'30'!M22+K22</f>
        <v>30113</v>
      </c>
    </row>
    <row r="23" spans="1:14" ht="13.5" thickBot="1">
      <c r="A23" s="784"/>
      <c r="B23" s="173" t="s">
        <v>3</v>
      </c>
      <c r="C23" s="105">
        <f>SUM(C16:C22)</f>
        <v>9803</v>
      </c>
      <c r="D23" s="116">
        <f>SUM(D16:D22)</f>
        <v>432</v>
      </c>
      <c r="E23" s="117">
        <f>SUM(E18:E22)</f>
        <v>0</v>
      </c>
      <c r="F23" s="121">
        <f>SUM(F15:F22)</f>
        <v>61</v>
      </c>
      <c r="G23" s="164"/>
      <c r="H23" s="171"/>
      <c r="I23" s="174"/>
      <c r="J23" s="219" t="str">
        <f>+'30'!J23</f>
        <v>TW 30,5 RC BR</v>
      </c>
      <c r="K23" s="243"/>
      <c r="L23" s="243"/>
      <c r="M23" s="122">
        <f>+L23+'30'!M23+K23</f>
        <v>99011</v>
      </c>
    </row>
    <row r="24" spans="1:14" ht="13.5" customHeight="1" thickBot="1">
      <c r="A24" s="777" t="s">
        <v>414</v>
      </c>
      <c r="B24" s="175"/>
      <c r="C24" s="118">
        <f>C23/($C$23+$D$23+$E$23)</f>
        <v>0.95779189057156811</v>
      </c>
      <c r="D24" s="119">
        <f>D23/($C$23+$D$23+$E$23)</f>
        <v>4.2208109428431853E-2</v>
      </c>
      <c r="E24" s="120">
        <f>E23/($C$23+$D$23+$E$23)</f>
        <v>0</v>
      </c>
      <c r="F24" s="240">
        <v>10</v>
      </c>
      <c r="G24" s="233" t="s">
        <v>13</v>
      </c>
      <c r="H24" s="234" t="s">
        <v>593</v>
      </c>
      <c r="I24" s="780" t="s">
        <v>650</v>
      </c>
      <c r="J24" s="219" t="str">
        <f>+'30'!J24</f>
        <v>TW 34 RC BR</v>
      </c>
      <c r="K24" s="243"/>
      <c r="L24" s="243"/>
      <c r="M24" s="122">
        <f>+L24+'30'!M24+K24</f>
        <v>180988</v>
      </c>
    </row>
    <row r="25" spans="1:14" ht="13.5" thickBot="1">
      <c r="A25" s="785"/>
      <c r="B25" s="220" t="s">
        <v>622</v>
      </c>
      <c r="C25" s="230">
        <v>15591</v>
      </c>
      <c r="D25" s="222">
        <v>200</v>
      </c>
      <c r="E25" s="229"/>
      <c r="F25" s="235">
        <v>15</v>
      </c>
      <c r="G25" s="581" t="s">
        <v>13</v>
      </c>
      <c r="H25" s="234" t="s">
        <v>480</v>
      </c>
      <c r="I25" s="781"/>
      <c r="J25" s="219" t="str">
        <f>+'30'!J25</f>
        <v>TW 36 RC BR</v>
      </c>
      <c r="K25" s="243"/>
      <c r="L25" s="243"/>
      <c r="M25" s="122">
        <f>+L25+'30'!M25+K25</f>
        <v>81799</v>
      </c>
    </row>
    <row r="26" spans="1:14" ht="13.5" thickBot="1">
      <c r="A26" s="785"/>
      <c r="B26" s="220"/>
      <c r="C26" s="230"/>
      <c r="D26" s="222"/>
      <c r="E26" s="231"/>
      <c r="F26" s="235">
        <v>5</v>
      </c>
      <c r="G26" s="581" t="s">
        <v>13</v>
      </c>
      <c r="H26" s="237" t="s">
        <v>226</v>
      </c>
      <c r="I26" s="781"/>
      <c r="J26" s="219" t="str">
        <f>+'30'!J26</f>
        <v>TW 38 RC BR</v>
      </c>
      <c r="K26" s="243"/>
      <c r="L26" s="243"/>
      <c r="M26" s="122">
        <f>+L26+'30'!M26+K26</f>
        <v>44905</v>
      </c>
    </row>
    <row r="27" spans="1:14" ht="13.5" thickBot="1">
      <c r="A27" s="785"/>
      <c r="B27" s="220"/>
      <c r="C27" s="221"/>
      <c r="D27" s="222"/>
      <c r="E27" s="229"/>
      <c r="F27" s="235"/>
      <c r="G27" s="581"/>
      <c r="H27" s="237" t="s">
        <v>760</v>
      </c>
      <c r="I27" s="781"/>
      <c r="J27" s="219" t="str">
        <f>+'30'!J27</f>
        <v>TW 30 RC BR</v>
      </c>
      <c r="K27" s="243"/>
      <c r="L27" s="243"/>
      <c r="M27" s="122">
        <f>+L27+'30'!M27+K27</f>
        <v>20202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 t="s">
        <v>761</v>
      </c>
      <c r="I28" s="781"/>
      <c r="J28" s="219" t="str">
        <f>+'30'!J28</f>
        <v>TW 31,5 RC BR</v>
      </c>
      <c r="K28" s="243"/>
      <c r="L28" s="243"/>
      <c r="M28" s="122">
        <f>+L28+'30'!M28+K28</f>
        <v>85872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 t="str">
        <f>+'30'!J29</f>
        <v>N 25 RC BR</v>
      </c>
      <c r="K29" s="243"/>
      <c r="L29" s="243"/>
      <c r="M29" s="122">
        <f>+L29+'30'!M29+K29</f>
        <v>43279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+'30'!J30</f>
        <v>0</v>
      </c>
      <c r="K30" s="243"/>
      <c r="L30" s="243"/>
      <c r="M30" s="122">
        <f>+L30+'30'!M30+K30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+'30'!J31</f>
        <v>0</v>
      </c>
      <c r="K31" s="243"/>
      <c r="L31" s="243"/>
      <c r="M31" s="122">
        <f>+L31+'30'!M31+K31</f>
        <v>0</v>
      </c>
    </row>
    <row r="32" spans="1:14" ht="13.5" thickBot="1">
      <c r="A32" s="786"/>
      <c r="B32" s="170" t="s">
        <v>3</v>
      </c>
      <c r="C32" s="104">
        <f>SUM(C25:C31)</f>
        <v>15591</v>
      </c>
      <c r="D32" s="105">
        <f>SUM(D25:D31)</f>
        <v>200</v>
      </c>
      <c r="E32" s="106">
        <f>SUM(E25:E31)</f>
        <v>0</v>
      </c>
      <c r="F32" s="107">
        <f>SUM(F24:F31)</f>
        <v>30</v>
      </c>
      <c r="G32" s="176"/>
      <c r="H32" s="177"/>
      <c r="I32" s="174"/>
      <c r="J32" s="219">
        <f>+'30'!J32</f>
        <v>0</v>
      </c>
      <c r="K32" s="243"/>
      <c r="L32" s="247"/>
      <c r="M32" s="122">
        <f>+L32+'30'!M32+K32</f>
        <v>0</v>
      </c>
    </row>
    <row r="33" spans="1:14" ht="13.5" thickBot="1">
      <c r="A33" s="178"/>
      <c r="B33" s="179"/>
      <c r="C33" s="108">
        <f>C32/($C$32+$D$32+$E$32)</f>
        <v>0.98733455765942624</v>
      </c>
      <c r="D33" s="109">
        <f>D32/($C$32+$D$32+$E$32)</f>
        <v>1.2665442340573745E-2</v>
      </c>
      <c r="E33" s="110">
        <f>E32/($C$32+$D$32+$E$32)</f>
        <v>0</v>
      </c>
      <c r="F33" s="111"/>
      <c r="G33" s="180"/>
      <c r="H33" s="181"/>
      <c r="I33" s="182"/>
      <c r="J33" s="126"/>
      <c r="K33" s="459"/>
      <c r="L33" s="218"/>
      <c r="M33" s="124"/>
    </row>
    <row r="34" spans="1:14" ht="13.5" thickBot="1">
      <c r="A34" s="787" t="s">
        <v>60</v>
      </c>
      <c r="B34" s="788"/>
      <c r="C34" s="112">
        <f>C14+C23+C32</f>
        <v>41704</v>
      </c>
      <c r="D34" s="112">
        <f>D14+D23+D32</f>
        <v>1412</v>
      </c>
      <c r="E34" s="112">
        <f>E14+E23+E32</f>
        <v>0</v>
      </c>
      <c r="F34" s="113">
        <f>F14+F23+F32</f>
        <v>209</v>
      </c>
      <c r="H34" s="183"/>
      <c r="I34" s="183"/>
      <c r="J34" s="128" t="s">
        <v>29</v>
      </c>
      <c r="K34" s="129">
        <f>SUM(K7:K33)</f>
        <v>41704</v>
      </c>
      <c r="L34" s="217">
        <f>SUM(L7:L32)</f>
        <v>0</v>
      </c>
      <c r="M34" s="129">
        <f>SUM(M7:M33)</f>
        <v>1649297</v>
      </c>
      <c r="N34" s="160"/>
    </row>
    <row r="35" spans="1:14" ht="13.5" thickBot="1">
      <c r="A35" s="184"/>
      <c r="B35" s="185"/>
      <c r="C35" s="109">
        <f>C34/($C$34+$D$34+$E$34)</f>
        <v>0.96725113646906025</v>
      </c>
      <c r="D35" s="109">
        <f>D34/($C$34+$D$34+$E$34)</f>
        <v>3.2748863530939788E-2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(19*340+16*1000)/1340*G42*3.4*1340/1000000</f>
        <v>52.754986626865666</v>
      </c>
      <c r="J37" s="130">
        <f>+I37+'30'!J37</f>
        <v>1898.248733450602</v>
      </c>
      <c r="K37" s="131" t="s">
        <v>66</v>
      </c>
      <c r="L37" s="435"/>
      <c r="M37" s="436"/>
      <c r="N37" s="154">
        <f>16.702-3.241-1.121</f>
        <v>12.340000000000002</v>
      </c>
    </row>
    <row r="38" spans="1:14" ht="17.45" customHeight="1">
      <c r="A38" s="793" t="s">
        <v>13</v>
      </c>
      <c r="B38" s="794"/>
      <c r="C38" s="169">
        <f>SUMIF($G$7:$G$31,"Process",$F$7:$F$31)</f>
        <v>209</v>
      </c>
      <c r="D38" s="123">
        <f>+C38+'30'!D38</f>
        <v>2585</v>
      </c>
      <c r="E38" s="148">
        <f t="shared" ref="E38:E51" si="0">D38/60</f>
        <v>43.083333333333336</v>
      </c>
      <c r="F38" s="375">
        <v>811</v>
      </c>
      <c r="G38" s="375">
        <v>698</v>
      </c>
      <c r="H38" s="192" t="s">
        <v>67</v>
      </c>
      <c r="I38" s="249">
        <f>16.702+15.954+12.854</f>
        <v>45.510000000000005</v>
      </c>
      <c r="J38" s="132">
        <f>+I38+'30'!J38</f>
        <v>1726.1390000000001</v>
      </c>
      <c r="K38" s="133" t="s">
        <v>66</v>
      </c>
      <c r="L38" s="437"/>
      <c r="M38" s="438"/>
      <c r="N38" s="160">
        <f>+I38-N37</f>
        <v>33.17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+C39+'30'!D39</f>
        <v>0</v>
      </c>
      <c r="E39" s="148">
        <f t="shared" si="0"/>
        <v>0</v>
      </c>
      <c r="F39" s="375">
        <v>800</v>
      </c>
      <c r="G39" s="375">
        <f>+F39-F39*0.14</f>
        <v>688</v>
      </c>
      <c r="H39" s="192" t="s">
        <v>68</v>
      </c>
      <c r="I39" s="147"/>
      <c r="J39" s="134">
        <f>J37/G4</f>
        <v>61.233830111309743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+C40+'30'!D40</f>
        <v>790</v>
      </c>
      <c r="E40" s="148">
        <f t="shared" si="0"/>
        <v>13.166666666666666</v>
      </c>
      <c r="F40" s="375">
        <v>800</v>
      </c>
      <c r="G40" s="375">
        <f>+F40-F40*0.14</f>
        <v>688</v>
      </c>
      <c r="H40" s="192" t="s">
        <v>70</v>
      </c>
      <c r="I40" s="123">
        <f>(K34+L34)/1000</f>
        <v>41.704000000000001</v>
      </c>
      <c r="J40" s="136">
        <f>+I40+'30'!J40</f>
        <v>1649.2969999999998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+C41+'30'!D41</f>
        <v>170</v>
      </c>
      <c r="E41" s="148">
        <f t="shared" si="0"/>
        <v>2.8333333333333335</v>
      </c>
      <c r="F41" s="375"/>
      <c r="G41" s="375"/>
      <c r="H41" s="192" t="s">
        <v>72</v>
      </c>
      <c r="I41" s="147"/>
      <c r="J41" s="134">
        <f>J40/G4</f>
        <v>53.203129032258055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+C42+'30'!D42</f>
        <v>0</v>
      </c>
      <c r="E42" s="148">
        <f t="shared" si="0"/>
        <v>0</v>
      </c>
      <c r="F42" s="375">
        <f>+(F38*380+F39*480+F40*480)/1340</f>
        <v>803.11940298507466</v>
      </c>
      <c r="G42" s="375">
        <f>+(G38*380+G39*480+G40*480)/1340</f>
        <v>690.83582089552237</v>
      </c>
      <c r="H42" s="192" t="s">
        <v>73</v>
      </c>
      <c r="I42" s="250" t="s">
        <v>592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+C43+'30'!D43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+Report1!AH39</f>
        <v>123.617</v>
      </c>
      <c r="J43" s="138">
        <f>+I43+'30'!J43</f>
        <v>3825.8540000000012</v>
      </c>
      <c r="K43" s="135" t="s">
        <v>66</v>
      </c>
      <c r="L43" s="439">
        <f>+Report1!AN39</f>
        <v>13.6</v>
      </c>
      <c r="M43" s="440">
        <f>+L43+'30'!M43</f>
        <v>406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+C44+'30'!D44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2.7162601626016256</v>
      </c>
      <c r="J44" s="139">
        <f>J43/J38</f>
        <v>2.2164228952593046</v>
      </c>
      <c r="K44" s="135" t="s">
        <v>66</v>
      </c>
      <c r="L44" s="441">
        <f>+L43/I38</f>
        <v>0.29883542078664027</v>
      </c>
      <c r="M44" s="442">
        <f>+M43/J38</f>
        <v>0.23520701403537025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+C45+'30'!D45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2.9641521197007483</v>
      </c>
      <c r="J45" s="139">
        <f>J43/J40</f>
        <v>2.3196877214958866</v>
      </c>
      <c r="K45" s="135" t="s">
        <v>66</v>
      </c>
      <c r="L45" s="441">
        <f>+L43/I40</f>
        <v>0.32610780740456552</v>
      </c>
      <c r="M45" s="442">
        <f>+M43/J40</f>
        <v>0.24616548747739192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+C46+'30'!D46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+SUMIF(Listrik!AC38,"&gt;0")</f>
        <v>37491.170000000522</v>
      </c>
      <c r="J46" s="140">
        <f>+I46+'30'!J46</f>
        <v>1016136.8000000005</v>
      </c>
      <c r="K46" s="135" t="s">
        <v>81</v>
      </c>
      <c r="L46" s="441">
        <f>+Listrik!AF38</f>
        <v>21919</v>
      </c>
      <c r="M46" s="443">
        <f>+L46+'30'!M46</f>
        <v>428961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+C47+'30'!D47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823.80070314217789</v>
      </c>
      <c r="J47" s="140">
        <f>J46/J38</f>
        <v>588.67611472772501</v>
      </c>
      <c r="K47" s="135" t="s">
        <v>25</v>
      </c>
      <c r="L47" s="441">
        <f>+L46/I38</f>
        <v>481.63041089870353</v>
      </c>
      <c r="M47" s="442">
        <f>+M46/J38</f>
        <v>248.50895553602575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+C48+'30'!D48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898.98259159794077</v>
      </c>
      <c r="J48" s="140">
        <f>J46/J40</f>
        <v>616.10298205841684</v>
      </c>
      <c r="K48" s="135" t="s">
        <v>25</v>
      </c>
      <c r="L48" s="441">
        <f>+L46/I38</f>
        <v>481.63041089870353</v>
      </c>
      <c r="M48" s="442">
        <f>+M46/J40</f>
        <v>260.08717653642736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+C49+'30'!D49</f>
        <v>1680</v>
      </c>
      <c r="E49" s="148">
        <f t="shared" si="0"/>
        <v>28</v>
      </c>
      <c r="F49" s="190"/>
      <c r="H49" s="193" t="s">
        <v>85</v>
      </c>
      <c r="I49" s="123">
        <f>+Report1!AB39</f>
        <v>0</v>
      </c>
      <c r="J49" s="140">
        <f>+I49+'30'!J49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+C50+'30'!D50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+C51+'30'!D51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209</v>
      </c>
      <c r="D52" s="149">
        <f>SUM(D38:D51)</f>
        <v>5225</v>
      </c>
      <c r="E52" s="150">
        <f>SUM(E38:E51)</f>
        <v>87.083333333333343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0.1451388888888889</v>
      </c>
      <c r="D53" s="151">
        <f>D52/(24*60*G4)</f>
        <v>0.11704749103942652</v>
      </c>
      <c r="E53" s="152">
        <f>E52/(G4*24)</f>
        <v>0.11704749103942653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+D34+'30'!J56</f>
        <v>28959</v>
      </c>
      <c r="K56" s="206">
        <f>J56/(J40+J56/1000)/1000</f>
        <v>1.7255412761819414E-2</v>
      </c>
    </row>
    <row r="57" spans="1:13">
      <c r="A57" s="181"/>
      <c r="I57" s="204" t="s">
        <v>92</v>
      </c>
      <c r="J57" s="205">
        <f>+E34+'30'!J57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R61"/>
  <sheetViews>
    <sheetView zoomScale="80" zoomScaleNormal="80" workbookViewId="0">
      <selection activeCell="J30" sqref="J30:K30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30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564+440+479</f>
        <v>1483</v>
      </c>
    </row>
    <row r="7" spans="1:18" ht="13.5" customHeight="1" thickBot="1">
      <c r="A7" s="777" t="s">
        <v>547</v>
      </c>
      <c r="B7" s="220" t="s">
        <v>741</v>
      </c>
      <c r="C7" s="221">
        <v>25214</v>
      </c>
      <c r="D7" s="222"/>
      <c r="E7" s="223"/>
      <c r="F7" s="232"/>
      <c r="G7" s="233" t="s">
        <v>13</v>
      </c>
      <c r="H7" s="234" t="s">
        <v>394</v>
      </c>
      <c r="I7" s="780" t="s">
        <v>747</v>
      </c>
      <c r="J7" s="219" t="str">
        <f>+'29'!J7</f>
        <v>TW 17 RC HW</v>
      </c>
      <c r="K7" s="242"/>
      <c r="L7" s="246"/>
      <c r="M7" s="122">
        <f>+K7+'29'!M7+L7</f>
        <v>44630</v>
      </c>
    </row>
    <row r="8" spans="1:18" ht="13.5" thickBot="1">
      <c r="A8" s="778"/>
      <c r="B8" s="220"/>
      <c r="C8" s="221"/>
      <c r="D8" s="222"/>
      <c r="E8" s="224"/>
      <c r="F8" s="235">
        <v>2</v>
      </c>
      <c r="G8" s="581" t="s">
        <v>13</v>
      </c>
      <c r="H8" s="234" t="s">
        <v>449</v>
      </c>
      <c r="I8" s="781"/>
      <c r="J8" s="219" t="str">
        <f>+'29'!J8</f>
        <v>N 18 RC HW</v>
      </c>
      <c r="K8" s="243"/>
      <c r="L8" s="243"/>
      <c r="M8" s="122">
        <f>+K8+'29'!M8+L8</f>
        <v>105194</v>
      </c>
      <c r="N8" s="154">
        <v>570</v>
      </c>
      <c r="O8" s="154">
        <f>+N8-N8*0.12</f>
        <v>501.6</v>
      </c>
      <c r="P8" s="154">
        <v>360</v>
      </c>
      <c r="Q8" s="154">
        <f>+N8*P8</f>
        <v>205200</v>
      </c>
      <c r="R8" s="154">
        <f>+O8*P8</f>
        <v>180576</v>
      </c>
    </row>
    <row r="9" spans="1:18" ht="13.5" thickBot="1">
      <c r="A9" s="778"/>
      <c r="B9" s="220"/>
      <c r="C9" s="221"/>
      <c r="D9" s="222"/>
      <c r="E9" s="225"/>
      <c r="F9" s="232">
        <v>3</v>
      </c>
      <c r="G9" s="581" t="s">
        <v>13</v>
      </c>
      <c r="H9" s="237" t="s">
        <v>226</v>
      </c>
      <c r="I9" s="781"/>
      <c r="J9" s="219" t="str">
        <f>+'29'!J9</f>
        <v>N 20 RC HW</v>
      </c>
      <c r="K9" s="243"/>
      <c r="L9" s="243"/>
      <c r="M9" s="122">
        <f>+K9+'29'!M9+L9</f>
        <v>71479</v>
      </c>
      <c r="N9" s="154">
        <v>670</v>
      </c>
      <c r="O9" s="154">
        <f>+N9-N9*0.14</f>
        <v>576.20000000000005</v>
      </c>
      <c r="P9" s="154">
        <v>120</v>
      </c>
      <c r="Q9" s="154">
        <f>+N9*P9</f>
        <v>80400</v>
      </c>
      <c r="R9" s="154">
        <f>+O9*P9</f>
        <v>69144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738</v>
      </c>
      <c r="I10" s="781"/>
      <c r="J10" s="219" t="str">
        <f>+'29'!J10</f>
        <v>N 17 RC HW</v>
      </c>
      <c r="K10" s="243"/>
      <c r="L10" s="243"/>
      <c r="M10" s="122">
        <f>+K10+'29'!M10+L10</f>
        <v>5253</v>
      </c>
      <c r="P10" s="154">
        <f>SUM(P8:P9)</f>
        <v>480</v>
      </c>
      <c r="Q10" s="154">
        <f>SUM(Q8:Q9)</f>
        <v>285600</v>
      </c>
      <c r="R10" s="154">
        <f>SUM(R8:R9)</f>
        <v>249720</v>
      </c>
    </row>
    <row r="11" spans="1:18" ht="13.5" thickBot="1">
      <c r="A11" s="778"/>
      <c r="B11" s="220"/>
      <c r="C11" s="221"/>
      <c r="D11" s="222"/>
      <c r="E11" s="224"/>
      <c r="F11" s="232">
        <v>2</v>
      </c>
      <c r="G11" s="236" t="s">
        <v>13</v>
      </c>
      <c r="H11" s="237" t="s">
        <v>744</v>
      </c>
      <c r="I11" s="781"/>
      <c r="J11" s="219" t="str">
        <f>+'29'!J11</f>
        <v>N 18,5 RC HW</v>
      </c>
      <c r="K11" s="243"/>
      <c r="L11" s="243"/>
      <c r="M11" s="122">
        <f>+K11+'29'!M11+L11</f>
        <v>10930</v>
      </c>
      <c r="Q11" s="154">
        <f>+Q10/P10</f>
        <v>595</v>
      </c>
      <c r="R11" s="154">
        <f>+R10/P10</f>
        <v>520.25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+'29'!J12</f>
        <v>TW 32 RC HW</v>
      </c>
      <c r="K12" s="243"/>
      <c r="L12" s="243"/>
      <c r="M12" s="122">
        <f>+K12+'29'!M12+L12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+'29'!J13</f>
        <v>TW 34 RC HW</v>
      </c>
      <c r="K13" s="243"/>
      <c r="L13" s="243"/>
      <c r="M13" s="122">
        <f>+K13+'29'!M13+L13</f>
        <v>22635</v>
      </c>
    </row>
    <row r="14" spans="1:18" ht="13.5" thickBot="1">
      <c r="A14" s="779"/>
      <c r="B14" s="170" t="s">
        <v>3</v>
      </c>
      <c r="C14" s="104">
        <f>SUM(C7:C13)</f>
        <v>25214</v>
      </c>
      <c r="D14" s="116">
        <f>SUM(D7:D13)</f>
        <v>0</v>
      </c>
      <c r="E14" s="117">
        <f>SUM(E5:E13)</f>
        <v>0</v>
      </c>
      <c r="F14" s="121">
        <f>SUM(F7:F13)</f>
        <v>7</v>
      </c>
      <c r="G14" s="164"/>
      <c r="H14" s="171"/>
      <c r="I14" s="172"/>
      <c r="J14" s="219" t="str">
        <f>+'29'!J14</f>
        <v>TW 36 RC HW</v>
      </c>
      <c r="K14" s="243"/>
      <c r="L14" s="243"/>
      <c r="M14" s="122">
        <f>+K14+'29'!M14+L14</f>
        <v>33555</v>
      </c>
    </row>
    <row r="15" spans="1:18" ht="13.5" customHeight="1" thickBot="1">
      <c r="A15" s="777" t="s">
        <v>413</v>
      </c>
      <c r="B15" s="170"/>
      <c r="C15" s="118">
        <f>C14/($C$23+$D$23+$E$23)</f>
        <v>1.1625247821476323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748</v>
      </c>
      <c r="J15" s="219" t="str">
        <f>+'29'!J15</f>
        <v>TW 38 RC HW</v>
      </c>
      <c r="K15" s="243"/>
      <c r="L15" s="243"/>
      <c r="M15" s="122">
        <f>+K15+'29'!M15+L15</f>
        <v>50415</v>
      </c>
    </row>
    <row r="16" spans="1:18" ht="13.5" thickBot="1">
      <c r="A16" s="783"/>
      <c r="B16" s="220" t="s">
        <v>752</v>
      </c>
      <c r="C16" s="226">
        <v>21689</v>
      </c>
      <c r="D16" s="227"/>
      <c r="E16" s="228"/>
      <c r="F16" s="232">
        <v>2</v>
      </c>
      <c r="G16" s="581" t="s">
        <v>13</v>
      </c>
      <c r="H16" s="234" t="s">
        <v>392</v>
      </c>
      <c r="I16" s="781"/>
      <c r="J16" s="219" t="str">
        <f>+'29'!J16</f>
        <v>TW 30 RC HW</v>
      </c>
      <c r="K16" s="233"/>
      <c r="L16" s="233"/>
      <c r="M16" s="122">
        <f>+K16+'29'!M16+L16</f>
        <v>118057</v>
      </c>
    </row>
    <row r="17" spans="1:18" ht="13.5" thickBot="1">
      <c r="A17" s="783"/>
      <c r="B17" s="220"/>
      <c r="C17" s="221"/>
      <c r="D17" s="222"/>
      <c r="E17" s="229"/>
      <c r="F17" s="232">
        <v>2</v>
      </c>
      <c r="G17" s="581" t="s">
        <v>13</v>
      </c>
      <c r="H17" s="237" t="s">
        <v>226</v>
      </c>
      <c r="I17" s="781"/>
      <c r="J17" s="219" t="str">
        <f>+'29'!J17</f>
        <v>TW 28 RC HW</v>
      </c>
      <c r="K17" s="233"/>
      <c r="L17" s="233"/>
      <c r="M17" s="122">
        <f>+K17+'29'!M17+L17</f>
        <v>22140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745</v>
      </c>
      <c r="I18" s="781"/>
      <c r="J18" s="219" t="str">
        <f>+'29'!J18</f>
        <v>N 20,5 RC HW</v>
      </c>
      <c r="K18" s="243"/>
      <c r="L18" s="243"/>
      <c r="M18" s="122">
        <f>+K18+'29'!M18+L18</f>
        <v>181023</v>
      </c>
    </row>
    <row r="19" spans="1:18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+'29'!J19</f>
        <v>N 17 RC BR</v>
      </c>
      <c r="K19" s="243"/>
      <c r="L19" s="243"/>
      <c r="M19" s="122">
        <f>+K19+'29'!M19+L19</f>
        <v>57113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+'29'!J20</f>
        <v>N 16 RC BR</v>
      </c>
      <c r="K20" s="244"/>
      <c r="L20" s="244"/>
      <c r="M20" s="122">
        <f>+K20+'29'!M20+L20</f>
        <v>77615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+'29'!J21</f>
        <v>N 15,5 RC BR</v>
      </c>
      <c r="K21" s="243"/>
      <c r="L21" s="243"/>
      <c r="M21" s="122">
        <f>+K21+'29'!M21+L21</f>
        <v>162173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+'29'!J22</f>
        <v>TW 19 RC BR</v>
      </c>
      <c r="K22" s="243"/>
      <c r="L22" s="243"/>
      <c r="M22" s="122">
        <f>+K22+'29'!M22+L22</f>
        <v>13803</v>
      </c>
    </row>
    <row r="23" spans="1:18" ht="13.5" thickBot="1">
      <c r="A23" s="784"/>
      <c r="B23" s="170" t="s">
        <v>3</v>
      </c>
      <c r="C23" s="105">
        <f>SUM(C16:C22)</f>
        <v>21689</v>
      </c>
      <c r="D23" s="116">
        <f>SUM(D16:D22)</f>
        <v>0</v>
      </c>
      <c r="E23" s="117">
        <f>SUM(E18:E22)</f>
        <v>0</v>
      </c>
      <c r="F23" s="121">
        <f>SUM(F15:F22)</f>
        <v>4</v>
      </c>
      <c r="G23" s="164"/>
      <c r="H23" s="171"/>
      <c r="I23" s="174"/>
      <c r="J23" s="219" t="str">
        <f>+'29'!J23</f>
        <v>TW 30,5 RC BR</v>
      </c>
      <c r="K23" s="243"/>
      <c r="L23" s="243"/>
      <c r="M23" s="122">
        <f>+K23+'29'!M23+L23</f>
        <v>99011</v>
      </c>
    </row>
    <row r="24" spans="1:18" ht="13.5" customHeight="1" thickBot="1">
      <c r="A24" s="777" t="s">
        <v>414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40"/>
      <c r="G24" s="233" t="s">
        <v>13</v>
      </c>
      <c r="H24" s="234" t="s">
        <v>394</v>
      </c>
      <c r="I24" s="780" t="s">
        <v>750</v>
      </c>
      <c r="J24" s="219" t="str">
        <f>+'29'!J24</f>
        <v>TW 34 RC BR</v>
      </c>
      <c r="K24" s="243"/>
      <c r="L24" s="243"/>
      <c r="M24" s="122">
        <f>+K24+'29'!M24+L24</f>
        <v>180988</v>
      </c>
    </row>
    <row r="25" spans="1:18" ht="13.5" thickBot="1">
      <c r="A25" s="785"/>
      <c r="B25" s="220" t="s">
        <v>752</v>
      </c>
      <c r="C25" s="230">
        <v>21590</v>
      </c>
      <c r="D25" s="222"/>
      <c r="E25" s="229"/>
      <c r="F25" s="235">
        <v>5</v>
      </c>
      <c r="G25" s="581" t="s">
        <v>13</v>
      </c>
      <c r="H25" s="234" t="s">
        <v>392</v>
      </c>
      <c r="I25" s="781"/>
      <c r="J25" s="219" t="str">
        <f>+'29'!J25</f>
        <v>TW 36 RC BR</v>
      </c>
      <c r="K25" s="243"/>
      <c r="L25" s="243"/>
      <c r="M25" s="122">
        <f>+K25+'29'!M25+L25</f>
        <v>81799</v>
      </c>
      <c r="N25" s="154">
        <v>670</v>
      </c>
      <c r="O25" s="154">
        <f>+N25-N25*0.14</f>
        <v>576.20000000000005</v>
      </c>
      <c r="P25" s="154">
        <v>315</v>
      </c>
      <c r="Q25" s="154">
        <f>+N25*P25</f>
        <v>211050</v>
      </c>
      <c r="R25" s="154">
        <f>+O25*P25</f>
        <v>181503</v>
      </c>
    </row>
    <row r="26" spans="1:18" ht="13.5" thickBot="1">
      <c r="A26" s="785"/>
      <c r="B26" s="220" t="s">
        <v>690</v>
      </c>
      <c r="C26" s="230"/>
      <c r="D26" s="222"/>
      <c r="E26" s="231"/>
      <c r="F26" s="235">
        <v>5</v>
      </c>
      <c r="G26" s="581" t="s">
        <v>13</v>
      </c>
      <c r="H26" s="237" t="s">
        <v>226</v>
      </c>
      <c r="I26" s="781"/>
      <c r="J26" s="219" t="str">
        <f>+'29'!J26</f>
        <v>TW 38 RC BR</v>
      </c>
      <c r="K26" s="243"/>
      <c r="L26" s="243"/>
      <c r="M26" s="122">
        <f>+K26+'29'!M26+L26</f>
        <v>44905</v>
      </c>
      <c r="N26" s="154">
        <v>830</v>
      </c>
      <c r="O26" s="154">
        <f>+N26-N26*0.14</f>
        <v>713.8</v>
      </c>
      <c r="P26" s="154">
        <f>45+120</f>
        <v>165</v>
      </c>
      <c r="Q26" s="154">
        <f>+N26*P26</f>
        <v>136950</v>
      </c>
      <c r="R26" s="154">
        <f>+O26*P26</f>
        <v>117776.99999999999</v>
      </c>
    </row>
    <row r="27" spans="1:18" ht="13.5" thickBot="1">
      <c r="A27" s="785"/>
      <c r="B27" s="220"/>
      <c r="C27" s="221"/>
      <c r="D27" s="222"/>
      <c r="E27" s="229"/>
      <c r="F27" s="235"/>
      <c r="G27" s="581"/>
      <c r="H27" s="237" t="s">
        <v>745</v>
      </c>
      <c r="I27" s="781"/>
      <c r="J27" s="219" t="str">
        <f>+'29'!J27</f>
        <v>TW 30 RC BR</v>
      </c>
      <c r="K27" s="243"/>
      <c r="L27" s="243"/>
      <c r="M27" s="122">
        <f>+K27+'29'!M27+L27</f>
        <v>20202</v>
      </c>
      <c r="P27" s="154">
        <f>SUM(P25:P26)</f>
        <v>480</v>
      </c>
      <c r="Q27" s="154">
        <f>SUM(Q25:Q26)</f>
        <v>348000</v>
      </c>
      <c r="R27" s="154">
        <f>SUM(R25:R26)</f>
        <v>299280</v>
      </c>
    </row>
    <row r="28" spans="1:18" ht="13.5" thickBot="1">
      <c r="A28" s="785"/>
      <c r="B28" s="220"/>
      <c r="C28" s="221"/>
      <c r="D28" s="222"/>
      <c r="E28" s="229"/>
      <c r="F28" s="235">
        <v>5</v>
      </c>
      <c r="G28" s="236" t="s">
        <v>13</v>
      </c>
      <c r="H28" s="237" t="s">
        <v>746</v>
      </c>
      <c r="I28" s="781"/>
      <c r="J28" s="219" t="str">
        <f>+'29'!J28</f>
        <v>TW 31,5 RC BR</v>
      </c>
      <c r="K28" s="243">
        <f>+C7</f>
        <v>25214</v>
      </c>
      <c r="L28" s="243"/>
      <c r="M28" s="122">
        <f>+K28+'29'!M28+L28</f>
        <v>85872</v>
      </c>
      <c r="Q28" s="154">
        <f>+Q27/P27</f>
        <v>725</v>
      </c>
      <c r="R28" s="154">
        <f>+R27/P27</f>
        <v>623.5</v>
      </c>
    </row>
    <row r="29" spans="1:18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 t="s">
        <v>752</v>
      </c>
      <c r="K29" s="243">
        <f>+C16+C25</f>
        <v>43279</v>
      </c>
      <c r="L29" s="243"/>
      <c r="M29" s="122">
        <f>+K29+'29'!M29+L29</f>
        <v>43279</v>
      </c>
    </row>
    <row r="30" spans="1:18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/>
      <c r="K30" s="243"/>
      <c r="L30" s="243"/>
      <c r="M30" s="122">
        <f>+K30+'29'!M30+L30</f>
        <v>0</v>
      </c>
      <c r="N30" s="160"/>
    </row>
    <row r="31" spans="1:18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+'29'!J31</f>
        <v>0</v>
      </c>
      <c r="K31" s="243"/>
      <c r="L31" s="243"/>
      <c r="M31" s="122">
        <f>+K31+'29'!M31+L31</f>
        <v>0</v>
      </c>
    </row>
    <row r="32" spans="1:18" ht="13.5" thickBot="1">
      <c r="A32" s="786"/>
      <c r="B32" s="170" t="s">
        <v>3</v>
      </c>
      <c r="C32" s="104">
        <f>SUM(C25:C31)</f>
        <v>21590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+'29'!J32</f>
        <v>0</v>
      </c>
      <c r="K32" s="243"/>
      <c r="L32" s="247"/>
      <c r="M32" s="122">
        <f>+K32+'29'!M32+L32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68493</v>
      </c>
      <c r="D34" s="112">
        <f>D14+D23+D32</f>
        <v>0</v>
      </c>
      <c r="E34" s="112">
        <f>E14+E23+E32</f>
        <v>0</v>
      </c>
      <c r="F34" s="113">
        <f>F14+F23+F32</f>
        <v>26</v>
      </c>
      <c r="H34" s="183"/>
      <c r="I34" s="183"/>
      <c r="J34" s="128" t="s">
        <v>29</v>
      </c>
      <c r="K34" s="129">
        <f>SUM(K7:K32)</f>
        <v>68493</v>
      </c>
      <c r="L34" s="217">
        <f>SUM(L7:L32)</f>
        <v>0</v>
      </c>
      <c r="M34" s="125">
        <f>SUM(M7:M32)</f>
        <v>1607593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(31.5*360+25*915+19*165)/1440*G42*3.4*1440/1000000</f>
        <v>73.372705499999981</v>
      </c>
      <c r="J37" s="130">
        <f>+I37+'29'!J37</f>
        <v>1845.4937468237363</v>
      </c>
      <c r="K37" s="131" t="s">
        <v>66</v>
      </c>
      <c r="L37" s="435"/>
      <c r="M37" s="436"/>
      <c r="N37" s="154">
        <v>19.283000000000001</v>
      </c>
    </row>
    <row r="38" spans="1:14" ht="17.45" customHeight="1">
      <c r="A38" s="793" t="s">
        <v>13</v>
      </c>
      <c r="B38" s="794"/>
      <c r="C38" s="169">
        <f>SUMIF($G$7:$G$31,"Process",$F$7:$F$31)</f>
        <v>26</v>
      </c>
      <c r="D38" s="123">
        <f>+C38+'29'!D38</f>
        <v>2376</v>
      </c>
      <c r="E38" s="148">
        <f t="shared" ref="E38:E51" si="0">D38/60</f>
        <v>39.6</v>
      </c>
      <c r="F38" s="375">
        <v>595</v>
      </c>
      <c r="G38" s="375">
        <v>520.25</v>
      </c>
      <c r="H38" s="192" t="s">
        <v>67</v>
      </c>
      <c r="I38" s="249">
        <f>25.214+21.905+21.768</f>
        <v>68.887</v>
      </c>
      <c r="J38" s="132">
        <f>+I38+'29'!J38</f>
        <v>1680.6290000000001</v>
      </c>
      <c r="K38" s="133" t="s">
        <v>66</v>
      </c>
      <c r="L38" s="437"/>
      <c r="M38" s="438"/>
      <c r="N38" s="557">
        <f>+I38-N37-N39</f>
        <v>45.491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+C39+'29'!D39</f>
        <v>0</v>
      </c>
      <c r="E39" s="148">
        <f t="shared" si="0"/>
        <v>0</v>
      </c>
      <c r="F39" s="375">
        <v>670</v>
      </c>
      <c r="G39" s="375">
        <f>+F39-F39*0.12</f>
        <v>589.6</v>
      </c>
      <c r="H39" s="192" t="s">
        <v>68</v>
      </c>
      <c r="I39" s="147"/>
      <c r="J39" s="134">
        <f>J37/G4</f>
        <v>61.516458227457875</v>
      </c>
      <c r="K39" s="135" t="s">
        <v>66</v>
      </c>
      <c r="L39" s="437"/>
      <c r="M39" s="438"/>
      <c r="N39" s="154">
        <f>1.371+1.371+1.371</f>
        <v>4.1129999999999995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+C40+'29'!D40</f>
        <v>790</v>
      </c>
      <c r="E40" s="148">
        <f t="shared" si="0"/>
        <v>13.166666666666666</v>
      </c>
      <c r="F40" s="375">
        <v>725</v>
      </c>
      <c r="G40" s="375">
        <v>623.5</v>
      </c>
      <c r="H40" s="192" t="s">
        <v>70</v>
      </c>
      <c r="I40" s="123">
        <f>(K34+L34)/1000</f>
        <v>68.492999999999995</v>
      </c>
      <c r="J40" s="136">
        <f>+I40+'29'!J40</f>
        <v>1607.5929999999998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+C41+'29'!D41</f>
        <v>170</v>
      </c>
      <c r="E41" s="148">
        <f t="shared" si="0"/>
        <v>2.8333333333333335</v>
      </c>
      <c r="F41" s="375"/>
      <c r="G41" s="375"/>
      <c r="H41" s="192" t="s">
        <v>72</v>
      </c>
      <c r="I41" s="147"/>
      <c r="J41" s="134">
        <f>J40/G4</f>
        <v>53.586433333333325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+C42+'29'!D42</f>
        <v>0</v>
      </c>
      <c r="E42" s="148">
        <f t="shared" si="0"/>
        <v>0</v>
      </c>
      <c r="F42" s="375">
        <f>+(F38*480+F39*480+F40*480)/1440</f>
        <v>663.33333333333337</v>
      </c>
      <c r="G42" s="375">
        <f>+(G38*480+G39*480+G40*480)/1440</f>
        <v>577.7833333333333</v>
      </c>
      <c r="H42" s="192" t="s">
        <v>73</v>
      </c>
      <c r="I42" s="250" t="s">
        <v>749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+C43+'29'!D43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+Report1!AH38</f>
        <v>142.52999999999997</v>
      </c>
      <c r="J43" s="138">
        <f>+I43+'29'!J43</f>
        <v>3702.237000000001</v>
      </c>
      <c r="K43" s="135" t="s">
        <v>66</v>
      </c>
      <c r="L43" s="439">
        <f>+Report1!AN38</f>
        <v>16</v>
      </c>
      <c r="M43" s="440">
        <f>+L43+'29'!M43</f>
        <v>392.4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+C44+'29'!D44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2.0690406027262034</v>
      </c>
      <c r="J44" s="139">
        <f>J43/J38</f>
        <v>2.2028877283445665</v>
      </c>
      <c r="K44" s="135" t="s">
        <v>66</v>
      </c>
      <c r="L44" s="441">
        <f>+L43/I38</f>
        <v>0.23226443305703542</v>
      </c>
      <c r="M44" s="442">
        <f>+M43/J38</f>
        <v>0.23348401104586433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+C45+'29'!D45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2.0809425780736714</v>
      </c>
      <c r="J45" s="139">
        <f>J43/J40</f>
        <v>2.3029690972777321</v>
      </c>
      <c r="K45" s="135" t="s">
        <v>66</v>
      </c>
      <c r="L45" s="441">
        <f>+L43/I40</f>
        <v>0.23360051392113065</v>
      </c>
      <c r="M45" s="442">
        <f>+M43/J40</f>
        <v>0.24409163264582517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+C46+'29'!D46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+SUMIF(Listrik!AC37,"&gt;0")</f>
        <v>37855.000000000051</v>
      </c>
      <c r="J46" s="140">
        <f>+I46+'29'!J46</f>
        <v>978645.63</v>
      </c>
      <c r="K46" s="135" t="s">
        <v>81</v>
      </c>
      <c r="L46" s="441">
        <f>+Listrik!AF37</f>
        <v>23842</v>
      </c>
      <c r="M46" s="443">
        <f>+L46+'29'!M46</f>
        <v>407042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+C47+'29'!D47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549.52313208588055</v>
      </c>
      <c r="J47" s="140">
        <f>J46/J38</f>
        <v>582.30914139884521</v>
      </c>
      <c r="K47" s="135" t="s">
        <v>25</v>
      </c>
      <c r="L47" s="441">
        <f>+L46/I38</f>
        <v>346.10303830911494</v>
      </c>
      <c r="M47" s="442">
        <f>+M46/J38</f>
        <v>242.19622534182142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+C48+'29'!D48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552.68421590527578</v>
      </c>
      <c r="J48" s="140">
        <f>J46/J40</f>
        <v>608.76455048012781</v>
      </c>
      <c r="K48" s="135" t="s">
        <v>25</v>
      </c>
      <c r="L48" s="441">
        <f>+L46/I38</f>
        <v>346.10303830911494</v>
      </c>
      <c r="M48" s="442">
        <f>+M46/J40</f>
        <v>253.1996593665188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+C49+'29'!D49</f>
        <v>1680</v>
      </c>
      <c r="E49" s="148">
        <f t="shared" si="0"/>
        <v>28</v>
      </c>
      <c r="F49" s="190"/>
      <c r="H49" s="193" t="s">
        <v>85</v>
      </c>
      <c r="I49" s="123">
        <f>+Report1!AB38</f>
        <v>0</v>
      </c>
      <c r="J49" s="140">
        <f>+I49+'29'!J49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+C50+'29'!D50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+C51+'29'!D51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26</v>
      </c>
      <c r="D52" s="149">
        <f>SUM(D38:D51)</f>
        <v>5016</v>
      </c>
      <c r="E52" s="150">
        <f>SUM(E38:E51)</f>
        <v>83.6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1.8055555555555554E-2</v>
      </c>
      <c r="D53" s="151">
        <f>D52/(24*60*G4)</f>
        <v>0.11611111111111111</v>
      </c>
      <c r="E53" s="152">
        <f>E52/(G4*24)</f>
        <v>0.11611111111111111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+D34+'29'!J56</f>
        <v>27547</v>
      </c>
      <c r="K56" s="206">
        <f>J56/(J40+J56/1000)/1000</f>
        <v>1.6846875496899352E-2</v>
      </c>
    </row>
    <row r="57" spans="1:13">
      <c r="A57" s="181"/>
      <c r="I57" s="204" t="s">
        <v>92</v>
      </c>
      <c r="J57" s="205">
        <f>+E34+'29'!J57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10.42578125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6.85546875" style="154" customWidth="1"/>
    <col min="11" max="11" width="12.5703125" style="154" bestFit="1" customWidth="1"/>
    <col min="12" max="12" width="8.28515625" style="154" customWidth="1"/>
    <col min="13" max="13" width="15.425781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29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456+472+536</f>
        <v>1464</v>
      </c>
    </row>
    <row r="7" spans="1:18" ht="13.5" customHeight="1" thickBot="1">
      <c r="A7" s="777" t="s">
        <v>547</v>
      </c>
      <c r="B7" s="220" t="s">
        <v>734</v>
      </c>
      <c r="C7" s="221">
        <f>2328+9977</f>
        <v>12305</v>
      </c>
      <c r="D7" s="222">
        <v>195</v>
      </c>
      <c r="E7" s="223"/>
      <c r="F7" s="232"/>
      <c r="G7" s="233" t="s">
        <v>13</v>
      </c>
      <c r="H7" s="234" t="s">
        <v>394</v>
      </c>
      <c r="I7" s="780" t="s">
        <v>739</v>
      </c>
      <c r="J7" s="219" t="str">
        <f>+'28'!J7</f>
        <v>TW 17 RC HW</v>
      </c>
      <c r="K7" s="242"/>
      <c r="L7" s="246"/>
      <c r="M7" s="122">
        <f>+K7+'28'!M7+L7</f>
        <v>44630</v>
      </c>
    </row>
    <row r="8" spans="1:18" ht="13.5" thickBot="1">
      <c r="A8" s="778"/>
      <c r="B8" s="220" t="s">
        <v>741</v>
      </c>
      <c r="C8" s="221">
        <f>8571+3482</f>
        <v>12053</v>
      </c>
      <c r="D8" s="222"/>
      <c r="E8" s="224"/>
      <c r="F8" s="235">
        <v>3</v>
      </c>
      <c r="G8" s="581" t="s">
        <v>13</v>
      </c>
      <c r="H8" s="234" t="s">
        <v>392</v>
      </c>
      <c r="I8" s="781"/>
      <c r="J8" s="219" t="str">
        <f>+'28'!J8</f>
        <v>N 18 RC HW</v>
      </c>
      <c r="K8" s="243"/>
      <c r="L8" s="243"/>
      <c r="M8" s="122">
        <f>+K8+'28'!M8+L8</f>
        <v>105194</v>
      </c>
      <c r="N8" s="154">
        <v>550</v>
      </c>
      <c r="O8" s="154">
        <f>+N8-N8*0.12</f>
        <v>484</v>
      </c>
      <c r="P8" s="154">
        <v>120</v>
      </c>
      <c r="Q8" s="154">
        <f>+N8*P8</f>
        <v>66000</v>
      </c>
      <c r="R8" s="154">
        <f>+O8*P8</f>
        <v>58080</v>
      </c>
    </row>
    <row r="9" spans="1:18" ht="13.5" thickBot="1">
      <c r="A9" s="778"/>
      <c r="B9" s="220"/>
      <c r="C9" s="221"/>
      <c r="D9" s="222"/>
      <c r="E9" s="225"/>
      <c r="F9" s="232">
        <v>6</v>
      </c>
      <c r="G9" s="581" t="s">
        <v>13</v>
      </c>
      <c r="H9" s="237" t="s">
        <v>226</v>
      </c>
      <c r="I9" s="781"/>
      <c r="J9" s="219" t="str">
        <f>+'28'!J9</f>
        <v>N 20 RC HW</v>
      </c>
      <c r="K9" s="243"/>
      <c r="L9" s="243"/>
      <c r="M9" s="122">
        <f>+K9+'28'!M9+L9</f>
        <v>71479</v>
      </c>
      <c r="N9" s="154">
        <v>570</v>
      </c>
      <c r="O9" s="154">
        <f>+N9-N9*0.12</f>
        <v>501.6</v>
      </c>
      <c r="P9" s="154">
        <v>360</v>
      </c>
      <c r="Q9" s="154">
        <f>+N9*P9</f>
        <v>205200</v>
      </c>
      <c r="R9" s="154">
        <f>+O9*P9</f>
        <v>180576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736</v>
      </c>
      <c r="I10" s="781"/>
      <c r="J10" s="219" t="str">
        <f>+'28'!J10</f>
        <v>N 17 RC HW</v>
      </c>
      <c r="K10" s="243"/>
      <c r="L10" s="243"/>
      <c r="M10" s="122">
        <f>+K10+'28'!M10+L10</f>
        <v>5253</v>
      </c>
      <c r="P10" s="154">
        <f>SUM(P8:P9)</f>
        <v>480</v>
      </c>
      <c r="Q10" s="154">
        <f>SUM(Q8:Q9)</f>
        <v>271200</v>
      </c>
      <c r="R10" s="154">
        <f>SUM(R8:R9)</f>
        <v>238656</v>
      </c>
    </row>
    <row r="11" spans="1:18" ht="13.5" thickBot="1">
      <c r="A11" s="778"/>
      <c r="B11" s="220"/>
      <c r="C11" s="221"/>
      <c r="D11" s="222"/>
      <c r="E11" s="224"/>
      <c r="F11" s="232">
        <v>3</v>
      </c>
      <c r="G11" s="236" t="s">
        <v>13</v>
      </c>
      <c r="H11" s="237" t="s">
        <v>737</v>
      </c>
      <c r="I11" s="781"/>
      <c r="J11" s="219" t="str">
        <f>+'28'!J11</f>
        <v>N 18,5 RC HW</v>
      </c>
      <c r="K11" s="243"/>
      <c r="L11" s="243"/>
      <c r="M11" s="122">
        <f>+K11+'28'!M11+L11</f>
        <v>10930</v>
      </c>
      <c r="Q11" s="154">
        <f>+Q10/P10</f>
        <v>565</v>
      </c>
      <c r="R11" s="154">
        <f>+R10/P10</f>
        <v>497.2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+'28'!J12</f>
        <v>TW 32 RC HW</v>
      </c>
      <c r="K12" s="243"/>
      <c r="L12" s="243"/>
      <c r="M12" s="122">
        <f>+K12+'28'!M12+L12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+'28'!J13</f>
        <v>TW 34 RC HW</v>
      </c>
      <c r="K13" s="243"/>
      <c r="L13" s="243"/>
      <c r="M13" s="122">
        <f>+K13+'28'!M13+L13</f>
        <v>22635</v>
      </c>
    </row>
    <row r="14" spans="1:18" ht="13.5" thickBot="1">
      <c r="A14" s="779"/>
      <c r="B14" s="170" t="s">
        <v>3</v>
      </c>
      <c r="C14" s="104">
        <f>SUM(C7:C13)</f>
        <v>24358</v>
      </c>
      <c r="D14" s="116">
        <f>SUM(D7:D13)</f>
        <v>195</v>
      </c>
      <c r="E14" s="117">
        <f>SUM(E5:E13)</f>
        <v>0</v>
      </c>
      <c r="F14" s="121"/>
      <c r="G14" s="164"/>
      <c r="H14" s="171"/>
      <c r="I14" s="172"/>
      <c r="J14" s="219" t="str">
        <f>+'28'!J14</f>
        <v>TW 36 RC HW</v>
      </c>
      <c r="K14" s="243"/>
      <c r="L14" s="243"/>
      <c r="M14" s="122">
        <f>+K14+'28'!M14+L14</f>
        <v>33555</v>
      </c>
    </row>
    <row r="15" spans="1:18" ht="13.5" customHeight="1" thickBot="1">
      <c r="A15" s="777" t="s">
        <v>412</v>
      </c>
      <c r="B15" s="170"/>
      <c r="C15" s="118">
        <f>C14/($C$23+$D$23+$E$23)</f>
        <v>1.0166534496431403</v>
      </c>
      <c r="D15" s="119">
        <f>D14/($C$23+$D$23+$E$23)</f>
        <v>8.1389039609332612E-3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552</v>
      </c>
      <c r="J15" s="219" t="str">
        <f>+'28'!J15</f>
        <v>TW 38 RC HW</v>
      </c>
      <c r="K15" s="243"/>
      <c r="L15" s="243"/>
      <c r="M15" s="122">
        <f>+K15+'28'!M15+L15</f>
        <v>50415</v>
      </c>
    </row>
    <row r="16" spans="1:18" ht="13.5" thickBot="1">
      <c r="A16" s="783"/>
      <c r="B16" s="220" t="s">
        <v>741</v>
      </c>
      <c r="C16" s="226">
        <v>23959</v>
      </c>
      <c r="D16" s="227"/>
      <c r="E16" s="228"/>
      <c r="F16" s="235"/>
      <c r="G16" s="581" t="s">
        <v>13</v>
      </c>
      <c r="H16" s="234" t="s">
        <v>430</v>
      </c>
      <c r="I16" s="781"/>
      <c r="J16" s="219" t="str">
        <f>+'28'!J16</f>
        <v>TW 30 RC HW</v>
      </c>
      <c r="K16" s="243"/>
      <c r="L16" s="243"/>
      <c r="M16" s="122">
        <f>+K16+'28'!M16+L16</f>
        <v>118057</v>
      </c>
    </row>
    <row r="17" spans="1:25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+'28'!J17</f>
        <v>TW 28 RC HW</v>
      </c>
      <c r="K17" s="243"/>
      <c r="L17" s="243"/>
      <c r="M17" s="122">
        <f>+K17+'28'!M17+L17</f>
        <v>22140</v>
      </c>
    </row>
    <row r="18" spans="1:25" ht="13.5" thickBot="1">
      <c r="A18" s="783"/>
      <c r="B18" s="220"/>
      <c r="C18" s="221"/>
      <c r="D18" s="222"/>
      <c r="E18" s="229"/>
      <c r="F18" s="232"/>
      <c r="G18" s="581"/>
      <c r="H18" s="237" t="s">
        <v>738</v>
      </c>
      <c r="I18" s="781"/>
      <c r="J18" s="219" t="str">
        <f>+'28'!J18</f>
        <v>N 20,5 RC HW</v>
      </c>
      <c r="K18" s="243"/>
      <c r="L18" s="243"/>
      <c r="M18" s="122">
        <f>+K18+'28'!M18+L18</f>
        <v>181023</v>
      </c>
    </row>
    <row r="19" spans="1:25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+'28'!J19</f>
        <v>N 17 RC BR</v>
      </c>
      <c r="K19" s="243"/>
      <c r="L19" s="243"/>
      <c r="M19" s="122">
        <f>+K19+'28'!M19+L19</f>
        <v>57113</v>
      </c>
    </row>
    <row r="20" spans="1:25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+'28'!J20</f>
        <v>N 16 RC BR</v>
      </c>
      <c r="K20" s="243"/>
      <c r="L20" s="243"/>
      <c r="M20" s="122">
        <f>+K20+'28'!M20+L20</f>
        <v>77615</v>
      </c>
      <c r="U20" s="154">
        <v>500</v>
      </c>
      <c r="V20" s="154">
        <f>+U20-U20*0.12</f>
        <v>440</v>
      </c>
      <c r="W20" s="154">
        <f>60+8</f>
        <v>68</v>
      </c>
      <c r="X20" s="154">
        <f>+U20*W20</f>
        <v>34000</v>
      </c>
      <c r="Y20" s="154">
        <f>+V20*W20</f>
        <v>29920</v>
      </c>
    </row>
    <row r="21" spans="1:25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+'28'!J21</f>
        <v>N 15,5 RC BR</v>
      </c>
      <c r="K21" s="243"/>
      <c r="L21" s="243"/>
      <c r="M21" s="122">
        <f>+K21+'28'!M21+L21</f>
        <v>162173</v>
      </c>
      <c r="U21" s="154">
        <v>400</v>
      </c>
      <c r="V21" s="154">
        <f>+U21-U21*0.12</f>
        <v>352</v>
      </c>
      <c r="W21" s="154">
        <f>52+120</f>
        <v>172</v>
      </c>
      <c r="X21" s="154">
        <f>+U21*W21</f>
        <v>68800</v>
      </c>
      <c r="Y21" s="154">
        <f>+V21*W21</f>
        <v>60544</v>
      </c>
    </row>
    <row r="22" spans="1:25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+'28'!J22</f>
        <v>TW 19 RC BR</v>
      </c>
      <c r="K22" s="243"/>
      <c r="L22" s="243"/>
      <c r="M22" s="122">
        <f>+K22+'28'!M22+L22</f>
        <v>13803</v>
      </c>
      <c r="U22" s="154">
        <v>420</v>
      </c>
      <c r="V22" s="154">
        <f>+U22-U22*0.12</f>
        <v>369.6</v>
      </c>
      <c r="W22" s="154">
        <v>300</v>
      </c>
      <c r="X22" s="154">
        <f>+U22*W22</f>
        <v>126000</v>
      </c>
      <c r="Y22" s="154">
        <f>+V22*W22</f>
        <v>110880</v>
      </c>
    </row>
    <row r="23" spans="1:25" ht="13.5" thickBot="1">
      <c r="A23" s="784"/>
      <c r="B23" s="170" t="s">
        <v>3</v>
      </c>
      <c r="C23" s="105">
        <f>SUM(C16:C22)</f>
        <v>23959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 t="str">
        <f>+'28'!J23</f>
        <v>TW 30,5 RC BR</v>
      </c>
      <c r="K23" s="243"/>
      <c r="L23" s="243"/>
      <c r="M23" s="122">
        <f>+K23+'28'!M23+L23</f>
        <v>99011</v>
      </c>
      <c r="W23" s="154">
        <f>SUM(W20:W22)</f>
        <v>540</v>
      </c>
      <c r="X23" s="154">
        <f>SUM(X20:X22)</f>
        <v>228800</v>
      </c>
      <c r="Y23" s="154">
        <f>SUM(Y20:Y22)</f>
        <v>201344</v>
      </c>
    </row>
    <row r="24" spans="1:25" ht="13.5" customHeight="1" thickBot="1">
      <c r="A24" s="777" t="s">
        <v>414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552</v>
      </c>
      <c r="J24" s="219" t="str">
        <f>+'28'!J24</f>
        <v>TW 34 RC BR</v>
      </c>
      <c r="K24" s="243"/>
      <c r="L24" s="243"/>
      <c r="M24" s="122">
        <f>+K24+'28'!M24+L24</f>
        <v>180988</v>
      </c>
      <c r="X24" s="154">
        <f>+X23/W23</f>
        <v>423.7037037037037</v>
      </c>
      <c r="Y24" s="154">
        <f>+Y23/W23</f>
        <v>372.85925925925926</v>
      </c>
    </row>
    <row r="25" spans="1:25" ht="13.5" thickBot="1">
      <c r="A25" s="785"/>
      <c r="B25" s="220" t="s">
        <v>741</v>
      </c>
      <c r="C25" s="230">
        <v>24646</v>
      </c>
      <c r="D25" s="222"/>
      <c r="E25" s="229"/>
      <c r="F25" s="235">
        <v>5</v>
      </c>
      <c r="G25" s="581" t="s">
        <v>13</v>
      </c>
      <c r="H25" s="234" t="s">
        <v>449</v>
      </c>
      <c r="I25" s="781"/>
      <c r="J25" s="219" t="str">
        <f>+'28'!J25</f>
        <v>TW 36 RC BR</v>
      </c>
      <c r="K25" s="243"/>
      <c r="L25" s="243"/>
      <c r="M25" s="122">
        <f>+K25+'28'!M25+L25</f>
        <v>81799</v>
      </c>
    </row>
    <row r="26" spans="1:25" ht="13.5" thickBot="1">
      <c r="A26" s="785"/>
      <c r="B26" s="220"/>
      <c r="C26" s="230"/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 t="str">
        <f>+'28'!J26</f>
        <v>TW 38 RC BR</v>
      </c>
      <c r="K26" s="243"/>
      <c r="L26" s="243"/>
      <c r="M26" s="122">
        <f>+K26+'28'!M26+L26</f>
        <v>44905</v>
      </c>
    </row>
    <row r="27" spans="1:25" ht="13.5" thickBot="1">
      <c r="A27" s="785"/>
      <c r="B27" s="220"/>
      <c r="C27" s="221"/>
      <c r="D27" s="222"/>
      <c r="E27" s="229"/>
      <c r="F27" s="232"/>
      <c r="G27" s="581"/>
      <c r="H27" s="237" t="s">
        <v>738</v>
      </c>
      <c r="I27" s="781"/>
      <c r="J27" s="219" t="str">
        <f>+'28'!J27</f>
        <v>TW 30 RC BR</v>
      </c>
      <c r="K27" s="243">
        <f>+C7</f>
        <v>12305</v>
      </c>
      <c r="L27" s="243"/>
      <c r="M27" s="122">
        <f>+K27+'28'!M27+L27</f>
        <v>20202</v>
      </c>
    </row>
    <row r="28" spans="1:25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 t="s">
        <v>741</v>
      </c>
      <c r="K28" s="243">
        <f>+C8+C16+C25</f>
        <v>60658</v>
      </c>
      <c r="L28" s="243"/>
      <c r="M28" s="122">
        <f>+K28+'28'!M28+L28</f>
        <v>60658</v>
      </c>
    </row>
    <row r="29" spans="1:25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+'28'!J29</f>
        <v>0</v>
      </c>
      <c r="K29" s="243"/>
      <c r="L29" s="243"/>
      <c r="M29" s="122">
        <f>+K29+'28'!M29+L29</f>
        <v>0</v>
      </c>
    </row>
    <row r="30" spans="1:25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+'28'!J30</f>
        <v>0</v>
      </c>
      <c r="K30" s="243"/>
      <c r="L30" s="243"/>
      <c r="M30" s="122">
        <f>+K30+'28'!M30+L30</f>
        <v>0</v>
      </c>
      <c r="N30" s="160"/>
    </row>
    <row r="31" spans="1:25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+'28'!J31</f>
        <v>0</v>
      </c>
      <c r="K31" s="243"/>
      <c r="L31" s="243"/>
      <c r="M31" s="122">
        <f>+K31+'28'!M31+L31</f>
        <v>0</v>
      </c>
    </row>
    <row r="32" spans="1:25" ht="13.5" thickBot="1">
      <c r="A32" s="786"/>
      <c r="B32" s="170" t="s">
        <v>3</v>
      </c>
      <c r="C32" s="104">
        <f>SUM(C25:C31)</f>
        <v>24646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+'28'!J32</f>
        <v>0</v>
      </c>
      <c r="K32" s="243"/>
      <c r="L32" s="247"/>
      <c r="M32" s="122">
        <f>+K32+'28'!M32+L32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72963</v>
      </c>
      <c r="D34" s="112">
        <f>D14+D23+D32</f>
        <v>195</v>
      </c>
      <c r="E34" s="112">
        <f>E14+E23+E32</f>
        <v>0</v>
      </c>
      <c r="F34" s="113">
        <f>F14+F23+F32</f>
        <v>10</v>
      </c>
      <c r="H34" s="183"/>
      <c r="I34" s="183"/>
      <c r="J34" s="128" t="s">
        <v>29</v>
      </c>
      <c r="K34" s="129">
        <f>SUM(K7:K32)</f>
        <v>72963</v>
      </c>
      <c r="L34" s="217">
        <f>SUM(L7:L32)</f>
        <v>0</v>
      </c>
      <c r="M34" s="125">
        <f>SUM(M7:M32)</f>
        <v>1539100</v>
      </c>
      <c r="N34" s="160"/>
    </row>
    <row r="35" spans="1:14" ht="13.5" thickBot="1">
      <c r="A35" s="184"/>
      <c r="B35" s="185"/>
      <c r="C35" s="109">
        <f>C34/($C$34+$D$34+$E$34)</f>
        <v>0.99733453620930046</v>
      </c>
      <c r="D35" s="109">
        <f>D34/($C$34+$D$34+$E$34)</f>
        <v>2.6654637906995816E-3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(30*120+31.5*1320)/1440*G42*3.4*1440/1000000</f>
        <v>76.375886399999985</v>
      </c>
      <c r="J37" s="130">
        <f>+I37+'28'!J37</f>
        <v>1772.1210413237363</v>
      </c>
      <c r="K37" s="131" t="s">
        <v>66</v>
      </c>
      <c r="L37" s="435"/>
      <c r="M37" s="436"/>
      <c r="N37" s="154">
        <f>2.552+2.552+2.552</f>
        <v>7.6560000000000006</v>
      </c>
    </row>
    <row r="38" spans="1:14" ht="17.45" customHeight="1">
      <c r="A38" s="793" t="s">
        <v>13</v>
      </c>
      <c r="B38" s="794"/>
      <c r="C38" s="169">
        <f>SUMIF($G$7:$G$31,"Process",$F$7:$F$31)</f>
        <v>27</v>
      </c>
      <c r="D38" s="123">
        <f>+C38+'28'!D38</f>
        <v>2350</v>
      </c>
      <c r="E38" s="148">
        <f t="shared" ref="E38:E51" si="0">D38/60</f>
        <v>39.166666666666664</v>
      </c>
      <c r="F38" s="375">
        <v>565</v>
      </c>
      <c r="G38" s="375">
        <v>497.2</v>
      </c>
      <c r="H38" s="192" t="s">
        <v>67</v>
      </c>
      <c r="I38" s="556">
        <f>23.566+24.114+24.74</f>
        <v>72.42</v>
      </c>
      <c r="J38" s="132">
        <f>+I38+'28'!J38</f>
        <v>1611.7420000000002</v>
      </c>
      <c r="K38" s="133" t="s">
        <v>66</v>
      </c>
      <c r="L38" s="437"/>
      <c r="M38" s="438"/>
      <c r="N38" s="557">
        <f>+I38-N37</f>
        <v>64.763999999999996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+C39+'28'!D39</f>
        <v>0</v>
      </c>
      <c r="E39" s="148">
        <f t="shared" si="0"/>
        <v>0</v>
      </c>
      <c r="F39" s="375">
        <v>565</v>
      </c>
      <c r="G39" s="375">
        <v>497.2</v>
      </c>
      <c r="H39" s="192" t="s">
        <v>68</v>
      </c>
      <c r="I39" s="147"/>
      <c r="J39" s="134">
        <f>J37/G4</f>
        <v>61.107622114611601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+C40+'28'!D40</f>
        <v>790</v>
      </c>
      <c r="E40" s="148">
        <f t="shared" si="0"/>
        <v>13.166666666666666</v>
      </c>
      <c r="F40" s="375">
        <v>565</v>
      </c>
      <c r="G40" s="375">
        <v>497.2</v>
      </c>
      <c r="H40" s="192" t="s">
        <v>70</v>
      </c>
      <c r="I40" s="123">
        <f>(K34+L34)/1000</f>
        <v>72.962999999999994</v>
      </c>
      <c r="J40" s="136">
        <f>+I40+'28'!J40</f>
        <v>1539.1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+C41+'28'!D41</f>
        <v>170</v>
      </c>
      <c r="E41" s="148">
        <f t="shared" si="0"/>
        <v>2.8333333333333335</v>
      </c>
      <c r="F41" s="375"/>
      <c r="G41" s="375"/>
      <c r="H41" s="192" t="s">
        <v>72</v>
      </c>
      <c r="I41" s="147"/>
      <c r="J41" s="134">
        <f>J40/G4</f>
        <v>53.072413793103443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+C42+'28'!D42</f>
        <v>0</v>
      </c>
      <c r="E42" s="148">
        <f t="shared" si="0"/>
        <v>0</v>
      </c>
      <c r="F42" s="375">
        <f>+(F38*480+F39*480+F40*480)/1440</f>
        <v>565</v>
      </c>
      <c r="G42" s="375">
        <f>+(G38*480+G39*480+G40*480)/1440</f>
        <v>497.2</v>
      </c>
      <c r="H42" s="192" t="s">
        <v>73</v>
      </c>
      <c r="I42" s="250" t="s">
        <v>739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+C43+'28'!D43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+Report1!AH37</f>
        <v>145.01399999999998</v>
      </c>
      <c r="J43" s="138">
        <f>+I43+'28'!J43</f>
        <v>3559.7070000000008</v>
      </c>
      <c r="K43" s="135" t="s">
        <v>66</v>
      </c>
      <c r="L43" s="439">
        <f>+Report1!AN37</f>
        <v>12.7</v>
      </c>
      <c r="M43" s="440">
        <f>+L43+'28'!M43</f>
        <v>376.4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+C44+'28'!D44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2.0024026512013253</v>
      </c>
      <c r="J44" s="139">
        <f>J43/J38</f>
        <v>2.2086084497394745</v>
      </c>
      <c r="K44" s="135" t="s">
        <v>66</v>
      </c>
      <c r="L44" s="441">
        <f>+L43/I38</f>
        <v>0.17536592101629384</v>
      </c>
      <c r="M44" s="442">
        <f>+M43/J38</f>
        <v>0.23353613667696191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+C45+'28'!D45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1.98750051395913</v>
      </c>
      <c r="J45" s="139">
        <f>J43/J40</f>
        <v>2.3128497173672931</v>
      </c>
      <c r="K45" s="135" t="s">
        <v>66</v>
      </c>
      <c r="L45" s="441">
        <f>+L43/I40</f>
        <v>0.17406082534983486</v>
      </c>
      <c r="M45" s="442">
        <f>+M43/J40</f>
        <v>0.24455850821908909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+C46+'28'!D46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+SUMIF(Listrik!AC36,"&gt;0")</f>
        <v>41435.340000000397</v>
      </c>
      <c r="J46" s="140">
        <f>+I46+'28'!J46</f>
        <v>940790.63</v>
      </c>
      <c r="K46" s="135" t="s">
        <v>81</v>
      </c>
      <c r="L46" s="441">
        <f>+Listrik!AF36</f>
        <v>22919</v>
      </c>
      <c r="M46" s="443">
        <f>+L46+'28'!M46</f>
        <v>383200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+C47+'28'!D47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572.15327257664171</v>
      </c>
      <c r="J47" s="140">
        <f>J46/J38</f>
        <v>583.71043876749502</v>
      </c>
      <c r="K47" s="135" t="s">
        <v>25</v>
      </c>
      <c r="L47" s="441">
        <f>+L46/I38</f>
        <v>316.47334990334161</v>
      </c>
      <c r="M47" s="442">
        <f>+M46/J38</f>
        <v>237.75517421522798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+C48+'28'!D48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567.89523457095243</v>
      </c>
      <c r="J48" s="140">
        <f>J46/J40</f>
        <v>611.26023650185175</v>
      </c>
      <c r="K48" s="135" t="s">
        <v>25</v>
      </c>
      <c r="L48" s="441">
        <f>+L46/I38</f>
        <v>316.47334990334161</v>
      </c>
      <c r="M48" s="442">
        <f>+M46/J40</f>
        <v>248.97667468000782</v>
      </c>
    </row>
    <row r="49" spans="1:13" ht="17.45" customHeight="1">
      <c r="A49" s="799" t="s">
        <v>21</v>
      </c>
      <c r="B49" s="790"/>
      <c r="C49" s="169">
        <f>SUMIF($G$7:$G$31,"Others",$F$7:$F$31)</f>
        <v>0</v>
      </c>
      <c r="D49" s="123">
        <f>+C49+'28'!D49</f>
        <v>1680</v>
      </c>
      <c r="E49" s="148">
        <f t="shared" si="0"/>
        <v>28</v>
      </c>
      <c r="F49" s="190"/>
      <c r="H49" s="193" t="s">
        <v>85</v>
      </c>
      <c r="I49" s="123">
        <f>+Report1!AB37</f>
        <v>0</v>
      </c>
      <c r="J49" s="140">
        <f>+I49+'28'!J49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+C50+'28'!D50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+C51+'28'!D51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27</v>
      </c>
      <c r="D52" s="149">
        <f>SUM(D38:D51)</f>
        <v>4990</v>
      </c>
      <c r="E52" s="150">
        <f>SUM(E38:E51)</f>
        <v>83.166666666666657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1.8749999999999999E-2</v>
      </c>
      <c r="D53" s="151">
        <f>D52/(24*60*G4)</f>
        <v>0.11949233716475095</v>
      </c>
      <c r="E53" s="152">
        <f>E52/(G4*24)</f>
        <v>0.11949233716475094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+D34+'28'!J56</f>
        <v>27547</v>
      </c>
      <c r="K56" s="206">
        <f>J56/(J40+J56/1000)/1000</f>
        <v>1.7583412217302304E-2</v>
      </c>
    </row>
    <row r="57" spans="1:13">
      <c r="A57" s="181"/>
      <c r="I57" s="204" t="s">
        <v>92</v>
      </c>
      <c r="J57" s="205">
        <f>+E34+'28'!J57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28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472+466+518</f>
        <v>1456</v>
      </c>
    </row>
    <row r="7" spans="1:18" ht="13.5" customHeight="1" thickBot="1">
      <c r="A7" s="777" t="s">
        <v>547</v>
      </c>
      <c r="B7" s="220" t="s">
        <v>716</v>
      </c>
      <c r="C7" s="221">
        <f>4275+6833</f>
        <v>11108</v>
      </c>
      <c r="D7" s="222"/>
      <c r="E7" s="223"/>
      <c r="F7" s="232"/>
      <c r="G7" s="233" t="s">
        <v>13</v>
      </c>
      <c r="H7" s="234" t="s">
        <v>394</v>
      </c>
      <c r="I7" s="780" t="s">
        <v>728</v>
      </c>
      <c r="J7" s="219" t="str">
        <f>+'27'!J7</f>
        <v>TW 17 RC HW</v>
      </c>
      <c r="K7" s="242"/>
      <c r="L7" s="246"/>
      <c r="M7" s="122">
        <f>+K7+'27'!M7+L7</f>
        <v>44630</v>
      </c>
    </row>
    <row r="8" spans="1:18" ht="13.5" thickBot="1">
      <c r="A8" s="778"/>
      <c r="B8" s="220" t="s">
        <v>733</v>
      </c>
      <c r="C8" s="221">
        <f>4998+5629</f>
        <v>10627</v>
      </c>
      <c r="D8" s="222"/>
      <c r="E8" s="224"/>
      <c r="F8" s="235">
        <v>2</v>
      </c>
      <c r="G8" s="581" t="s">
        <v>13</v>
      </c>
      <c r="H8" s="234" t="s">
        <v>392</v>
      </c>
      <c r="I8" s="781"/>
      <c r="J8" s="219" t="str">
        <f>+'27'!J8</f>
        <v>N 18 RC HW</v>
      </c>
      <c r="K8" s="243"/>
      <c r="L8" s="243"/>
      <c r="M8" s="122">
        <f>+K8+'27'!M8+L8</f>
        <v>105194</v>
      </c>
      <c r="N8" s="154">
        <v>460</v>
      </c>
      <c r="O8" s="154">
        <f>+N8-N8*0.12</f>
        <v>404.8</v>
      </c>
      <c r="P8" s="154">
        <v>120</v>
      </c>
      <c r="Q8" s="154">
        <f>+N8*P8</f>
        <v>55200</v>
      </c>
      <c r="R8" s="154">
        <f>+O8*P8</f>
        <v>48576</v>
      </c>
    </row>
    <row r="9" spans="1:18" ht="13.5" thickBot="1">
      <c r="A9" s="778"/>
      <c r="B9" s="220"/>
      <c r="C9" s="221"/>
      <c r="D9" s="222"/>
      <c r="E9" s="225"/>
      <c r="F9" s="232">
        <v>3</v>
      </c>
      <c r="G9" s="581" t="s">
        <v>13</v>
      </c>
      <c r="H9" s="237" t="s">
        <v>226</v>
      </c>
      <c r="I9" s="781"/>
      <c r="J9" s="219" t="str">
        <f>+'27'!J9</f>
        <v>N 20 RC HW</v>
      </c>
      <c r="K9" s="243"/>
      <c r="L9" s="243"/>
      <c r="M9" s="122">
        <f>+K9+'27'!M9+L9</f>
        <v>71479</v>
      </c>
      <c r="N9" s="154">
        <v>430</v>
      </c>
      <c r="O9" s="154">
        <f>+N9-N9*0.12</f>
        <v>378.4</v>
      </c>
      <c r="P9" s="154">
        <v>360</v>
      </c>
      <c r="Q9" s="154">
        <f>+N9*P9</f>
        <v>154800</v>
      </c>
      <c r="R9" s="154">
        <f>+O9*P9</f>
        <v>136224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717</v>
      </c>
      <c r="I10" s="781"/>
      <c r="J10" s="219" t="str">
        <f>+'27'!J10</f>
        <v>N 17 RC HW</v>
      </c>
      <c r="K10" s="243"/>
      <c r="L10" s="243"/>
      <c r="M10" s="122">
        <f>+K10+'27'!M10+L10</f>
        <v>5253</v>
      </c>
      <c r="P10" s="154">
        <f>SUM(P8:P9)</f>
        <v>480</v>
      </c>
      <c r="Q10" s="154">
        <f>SUM(Q8:Q9)</f>
        <v>210000</v>
      </c>
      <c r="R10" s="154">
        <f>SUM(R8:R9)</f>
        <v>184800</v>
      </c>
    </row>
    <row r="11" spans="1:18" ht="13.5" thickBot="1">
      <c r="A11" s="778"/>
      <c r="B11" s="220"/>
      <c r="C11" s="221"/>
      <c r="D11" s="222"/>
      <c r="E11" s="224"/>
      <c r="F11" s="232">
        <v>2</v>
      </c>
      <c r="G11" s="236" t="s">
        <v>13</v>
      </c>
      <c r="H11" s="237" t="s">
        <v>725</v>
      </c>
      <c r="I11" s="781"/>
      <c r="J11" s="219" t="str">
        <f>+'27'!J11</f>
        <v>N 18,5 RC HW</v>
      </c>
      <c r="K11" s="243"/>
      <c r="L11" s="243"/>
      <c r="M11" s="122">
        <f>+K11+'27'!M11+L11</f>
        <v>10930</v>
      </c>
      <c r="Q11" s="154">
        <f>+Q10/P10</f>
        <v>437.5</v>
      </c>
      <c r="R11" s="154">
        <f>+R10/P10</f>
        <v>385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+'27'!J12</f>
        <v>TW 32 RC HW</v>
      </c>
      <c r="K12" s="243"/>
      <c r="L12" s="243"/>
      <c r="M12" s="122">
        <f>+K12+'27'!M12+L12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+'27'!J13</f>
        <v>TW 34 RC HW</v>
      </c>
      <c r="K13" s="243"/>
      <c r="L13" s="243"/>
      <c r="M13" s="122">
        <f>+K13+'27'!M13+L13</f>
        <v>22635</v>
      </c>
    </row>
    <row r="14" spans="1:18" ht="13.5" thickBot="1">
      <c r="A14" s="779"/>
      <c r="B14" s="170" t="s">
        <v>3</v>
      </c>
      <c r="C14" s="104">
        <f>SUM(C7:C13)</f>
        <v>21735</v>
      </c>
      <c r="D14" s="116">
        <f>SUM(D7:D13)</f>
        <v>0</v>
      </c>
      <c r="E14" s="117">
        <f>SUM(E5:E13)</f>
        <v>0</v>
      </c>
      <c r="F14" s="107">
        <f>SUM(F6:F13)</f>
        <v>7</v>
      </c>
      <c r="G14" s="164"/>
      <c r="H14" s="171"/>
      <c r="I14" s="172"/>
      <c r="J14" s="219" t="str">
        <f>+'27'!J14</f>
        <v>TW 36 RC HW</v>
      </c>
      <c r="K14" s="243"/>
      <c r="L14" s="243"/>
      <c r="M14" s="122">
        <f>+K14+'27'!M14+L14</f>
        <v>33555</v>
      </c>
    </row>
    <row r="15" spans="1:18" ht="13.5" customHeight="1" thickBot="1">
      <c r="A15" s="777" t="s">
        <v>412</v>
      </c>
      <c r="B15" s="170"/>
      <c r="C15" s="118">
        <f>C14/($C$23+$D$23+$E$23)</f>
        <v>1.0508630276072137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729</v>
      </c>
      <c r="J15" s="219" t="str">
        <f>+'27'!J15</f>
        <v>TW 38 RC HW</v>
      </c>
      <c r="K15" s="243"/>
      <c r="L15" s="243"/>
      <c r="M15" s="122">
        <f>+K15+'27'!M15+L15</f>
        <v>50415</v>
      </c>
    </row>
    <row r="16" spans="1:18" ht="13.5" thickBot="1">
      <c r="A16" s="783"/>
      <c r="B16" s="220" t="s">
        <v>733</v>
      </c>
      <c r="C16" s="226">
        <v>20683</v>
      </c>
      <c r="D16" s="227"/>
      <c r="E16" s="228"/>
      <c r="F16" s="235">
        <v>5</v>
      </c>
      <c r="G16" s="581" t="s">
        <v>13</v>
      </c>
      <c r="H16" s="234" t="s">
        <v>392</v>
      </c>
      <c r="I16" s="781"/>
      <c r="J16" s="219" t="str">
        <f>+'27'!J16</f>
        <v>TW 30 RC HW</v>
      </c>
      <c r="K16" s="243"/>
      <c r="L16" s="233"/>
      <c r="M16" s="122">
        <f>+K16+'27'!M16+L16</f>
        <v>118057</v>
      </c>
    </row>
    <row r="17" spans="1:18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+'27'!J17</f>
        <v>TW 28 RC HW</v>
      </c>
      <c r="K17" s="243"/>
      <c r="L17" s="233"/>
      <c r="M17" s="122">
        <f>+K17+'27'!M17+L17</f>
        <v>22140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726</v>
      </c>
      <c r="I18" s="781"/>
      <c r="J18" s="219" t="str">
        <f>+'27'!J18</f>
        <v>N 20,5 RC HW</v>
      </c>
      <c r="K18" s="243"/>
      <c r="L18" s="243"/>
      <c r="M18" s="122">
        <f>+K18+'27'!M18+L18</f>
        <v>181023</v>
      </c>
    </row>
    <row r="19" spans="1:18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+'27'!J19</f>
        <v>N 17 RC BR</v>
      </c>
      <c r="K19" s="243"/>
      <c r="L19" s="243"/>
      <c r="M19" s="122">
        <f>+K19+'27'!M19+L19</f>
        <v>57113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+'27'!J20</f>
        <v>N 16 RC BR</v>
      </c>
      <c r="K20" s="243"/>
      <c r="L20" s="244"/>
      <c r="M20" s="122">
        <f>+K20+'27'!M20+L20</f>
        <v>77615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+'27'!J21</f>
        <v>N 15,5 RC BR</v>
      </c>
      <c r="K21" s="243"/>
      <c r="L21" s="243"/>
      <c r="M21" s="122">
        <f>+K21+'27'!M21+L21</f>
        <v>162173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+'27'!J22</f>
        <v>TW 19 RC BR</v>
      </c>
      <c r="K22" s="243"/>
      <c r="L22" s="243"/>
      <c r="M22" s="122">
        <f>+K22+'27'!M22+L22</f>
        <v>13803</v>
      </c>
    </row>
    <row r="23" spans="1:18" ht="13.5" thickBot="1">
      <c r="A23" s="784"/>
      <c r="B23" s="170" t="s">
        <v>3</v>
      </c>
      <c r="C23" s="105">
        <f>SUM(C16:C22)</f>
        <v>20683</v>
      </c>
      <c r="D23" s="116">
        <f>SUM(D16:D22)</f>
        <v>0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 t="str">
        <f>+'27'!J23</f>
        <v>TW 30,5 RC BR</v>
      </c>
      <c r="K23" s="243"/>
      <c r="L23" s="243"/>
      <c r="M23" s="122">
        <f>+K23+'27'!M23+L23</f>
        <v>99011</v>
      </c>
    </row>
    <row r="24" spans="1:18" ht="13.5" customHeight="1" thickBot="1">
      <c r="A24" s="777" t="s">
        <v>414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730</v>
      </c>
      <c r="J24" s="219" t="str">
        <f>+'27'!J24</f>
        <v>TW 34 RC BR</v>
      </c>
      <c r="K24" s="243"/>
      <c r="L24" s="243"/>
      <c r="M24" s="122">
        <f>+K24+'27'!M24+L24</f>
        <v>180988</v>
      </c>
    </row>
    <row r="25" spans="1:18" ht="13.5" customHeight="1" thickBot="1">
      <c r="A25" s="785"/>
      <c r="B25" s="220" t="s">
        <v>733</v>
      </c>
      <c r="C25" s="230">
        <f>6377+7218</f>
        <v>13595</v>
      </c>
      <c r="D25" s="222"/>
      <c r="E25" s="229"/>
      <c r="F25" s="235">
        <v>3</v>
      </c>
      <c r="G25" s="581" t="s">
        <v>13</v>
      </c>
      <c r="H25" s="234" t="s">
        <v>392</v>
      </c>
      <c r="I25" s="781"/>
      <c r="J25" s="219" t="str">
        <f>+'27'!J25</f>
        <v>TW 36 RC BR</v>
      </c>
      <c r="K25" s="243">
        <f>+C7</f>
        <v>11108</v>
      </c>
      <c r="L25" s="243"/>
      <c r="M25" s="122">
        <f>+K25+'27'!M25+L25</f>
        <v>81799</v>
      </c>
    </row>
    <row r="26" spans="1:18" ht="13.5" customHeight="1" thickBot="1">
      <c r="A26" s="785"/>
      <c r="B26" s="220" t="s">
        <v>734</v>
      </c>
      <c r="C26" s="230">
        <f>1603+6294</f>
        <v>7897</v>
      </c>
      <c r="D26" s="222"/>
      <c r="E26" s="231"/>
      <c r="F26" s="232">
        <v>2</v>
      </c>
      <c r="G26" s="581" t="s">
        <v>13</v>
      </c>
      <c r="H26" s="237" t="s">
        <v>226</v>
      </c>
      <c r="I26" s="781"/>
      <c r="J26" s="219" t="s">
        <v>733</v>
      </c>
      <c r="K26" s="243">
        <f>+C8+C16+C25</f>
        <v>44905</v>
      </c>
      <c r="L26" s="243"/>
      <c r="M26" s="122">
        <f>+K26+'27'!M26+L26</f>
        <v>44905</v>
      </c>
      <c r="N26" s="154">
        <v>430</v>
      </c>
      <c r="O26" s="154">
        <f>+N26-N26*0.12</f>
        <v>378.4</v>
      </c>
      <c r="P26" s="154">
        <f>120+15</f>
        <v>135</v>
      </c>
      <c r="Q26" s="154">
        <f>+N26*P26</f>
        <v>58050</v>
      </c>
      <c r="R26" s="154">
        <f>+O26*P26</f>
        <v>51084</v>
      </c>
    </row>
    <row r="27" spans="1:18" ht="13.5" customHeight="1" thickBot="1">
      <c r="A27" s="785"/>
      <c r="B27" s="220"/>
      <c r="C27" s="221"/>
      <c r="D27" s="222"/>
      <c r="E27" s="229"/>
      <c r="F27" s="232"/>
      <c r="G27" s="581"/>
      <c r="H27" s="237" t="s">
        <v>726</v>
      </c>
      <c r="I27" s="781"/>
      <c r="J27" s="219" t="s">
        <v>734</v>
      </c>
      <c r="K27" s="243">
        <f>+C26</f>
        <v>7897</v>
      </c>
      <c r="L27" s="243"/>
      <c r="M27" s="122">
        <f>+K27+'27'!M27+L27</f>
        <v>7897</v>
      </c>
      <c r="N27" s="154">
        <v>550</v>
      </c>
      <c r="O27" s="154">
        <f>+N27-N27*0.12</f>
        <v>484</v>
      </c>
      <c r="P27" s="154">
        <f>45+300</f>
        <v>345</v>
      </c>
      <c r="Q27" s="154">
        <f>+N27*P27</f>
        <v>189750</v>
      </c>
      <c r="R27" s="154">
        <f>+O27*P27</f>
        <v>166980</v>
      </c>
    </row>
    <row r="28" spans="1:18" ht="13.5" customHeight="1" thickBot="1">
      <c r="A28" s="785"/>
      <c r="B28" s="220"/>
      <c r="C28" s="221"/>
      <c r="D28" s="222"/>
      <c r="E28" s="229"/>
      <c r="F28" s="235">
        <v>5</v>
      </c>
      <c r="G28" s="236" t="s">
        <v>13</v>
      </c>
      <c r="H28" s="237" t="s">
        <v>727</v>
      </c>
      <c r="I28" s="781"/>
      <c r="J28" s="219">
        <f>+'27'!J28</f>
        <v>0</v>
      </c>
      <c r="K28" s="243"/>
      <c r="L28" s="243"/>
      <c r="M28" s="122">
        <f>+K28+'27'!M28+L28</f>
        <v>0</v>
      </c>
      <c r="P28" s="154">
        <f>SUM(P26:P27)</f>
        <v>480</v>
      </c>
      <c r="Q28" s="154">
        <f>SUM(Q26:Q27)</f>
        <v>247800</v>
      </c>
      <c r="R28" s="154">
        <f>SUM(R26:R27)</f>
        <v>218064</v>
      </c>
    </row>
    <row r="29" spans="1:18" ht="13.5" customHeight="1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+'27'!J29</f>
        <v>0</v>
      </c>
      <c r="K29" s="243"/>
      <c r="L29" s="243"/>
      <c r="M29" s="122">
        <f>+K29+'27'!M29+L29</f>
        <v>0</v>
      </c>
      <c r="Q29" s="154">
        <f>+Q28/P28</f>
        <v>516.25</v>
      </c>
      <c r="R29" s="154">
        <f>+R28/P28</f>
        <v>454.3</v>
      </c>
    </row>
    <row r="30" spans="1:18" ht="13.5" customHeight="1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+'27'!J30</f>
        <v>0</v>
      </c>
      <c r="K30" s="243"/>
      <c r="L30" s="243"/>
      <c r="M30" s="122">
        <f>+K30+'27'!M30+L30</f>
        <v>0</v>
      </c>
      <c r="N30" s="160"/>
    </row>
    <row r="31" spans="1:18" ht="13.5" customHeight="1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+'27'!J31</f>
        <v>0</v>
      </c>
      <c r="K31" s="243"/>
      <c r="L31" s="243"/>
      <c r="M31" s="122">
        <f>+K31+'27'!M31+L31</f>
        <v>0</v>
      </c>
    </row>
    <row r="32" spans="1:18" ht="13.5" customHeight="1" thickBot="1">
      <c r="A32" s="786"/>
      <c r="B32" s="170" t="s">
        <v>3</v>
      </c>
      <c r="C32" s="104">
        <f>SUM(C25:C31)</f>
        <v>21492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+'27'!J32</f>
        <v>0</v>
      </c>
      <c r="K32" s="243"/>
      <c r="L32" s="247"/>
      <c r="M32" s="122">
        <f>+K32+'27'!M32+L32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63910</v>
      </c>
      <c r="D34" s="112">
        <f>D14+D23+D32</f>
        <v>0</v>
      </c>
      <c r="E34" s="112">
        <f>E14+E23+E32</f>
        <v>0</v>
      </c>
      <c r="F34" s="113">
        <f>F14+F23+F32</f>
        <v>27</v>
      </c>
      <c r="H34" s="183"/>
      <c r="I34" s="183"/>
      <c r="J34" s="128" t="s">
        <v>29</v>
      </c>
      <c r="K34" s="129">
        <f>SUM(K7:K32)</f>
        <v>63910</v>
      </c>
      <c r="L34" s="217">
        <f>SUM(L7:L32)</f>
        <v>0</v>
      </c>
      <c r="M34" s="125">
        <f>SUM(M7:M32)</f>
        <v>1466137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(36*120+38*975+30*345)/1440*G42*3.4*1440/1000000</f>
        <v>71.376703199999994</v>
      </c>
      <c r="J37" s="130">
        <f>+I37+'27'!J37</f>
        <v>1695.7451549237364</v>
      </c>
      <c r="K37" s="131" t="s">
        <v>66</v>
      </c>
      <c r="L37" s="435"/>
      <c r="M37" s="436"/>
      <c r="N37" s="154">
        <f>3.114+3.114</f>
        <v>6.2279999999999998</v>
      </c>
    </row>
    <row r="38" spans="1:14" ht="17.45" customHeight="1">
      <c r="A38" s="793" t="s">
        <v>13</v>
      </c>
      <c r="B38" s="794"/>
      <c r="C38" s="169">
        <f>SUMIF($G$7:$G$31,"Process",$F$7:$F$31)</f>
        <v>27</v>
      </c>
      <c r="D38" s="123">
        <f>+C38+'27'!D38</f>
        <v>2323</v>
      </c>
      <c r="E38" s="148">
        <f t="shared" ref="E38:E51" si="0">D38/60</f>
        <v>38.716666666666669</v>
      </c>
      <c r="F38" s="375">
        <v>437.5</v>
      </c>
      <c r="G38" s="375">
        <v>385</v>
      </c>
      <c r="H38" s="192" t="s">
        <v>67</v>
      </c>
      <c r="I38" s="556">
        <f>21.815+21.751+21.606</f>
        <v>65.171999999999997</v>
      </c>
      <c r="J38" s="132">
        <f>+I38+'27'!J38</f>
        <v>1539.3220000000001</v>
      </c>
      <c r="K38" s="133" t="s">
        <v>66</v>
      </c>
      <c r="L38" s="437"/>
      <c r="M38" s="438"/>
      <c r="N38" s="557">
        <f>+I38-N37-N39</f>
        <v>45.9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+C39+'27'!D39</f>
        <v>0</v>
      </c>
      <c r="E39" s="148">
        <f t="shared" si="0"/>
        <v>0</v>
      </c>
      <c r="F39" s="375">
        <v>430</v>
      </c>
      <c r="G39" s="375">
        <v>378.4</v>
      </c>
      <c r="H39" s="192" t="s">
        <v>68</v>
      </c>
      <c r="I39" s="147"/>
      <c r="J39" s="134">
        <f>J37/G4</f>
        <v>60.562326961562015</v>
      </c>
      <c r="K39" s="135" t="s">
        <v>66</v>
      </c>
      <c r="L39" s="437"/>
      <c r="M39" s="438"/>
      <c r="N39" s="154">
        <f>1.229+2.363+2.363+2.363+2.363+2.363</f>
        <v>13.043999999999999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+C40+'27'!D40</f>
        <v>790</v>
      </c>
      <c r="E40" s="148">
        <f t="shared" si="0"/>
        <v>13.166666666666666</v>
      </c>
      <c r="F40" s="375">
        <v>516.25</v>
      </c>
      <c r="G40" s="375">
        <v>454.3</v>
      </c>
      <c r="H40" s="192" t="s">
        <v>70</v>
      </c>
      <c r="I40" s="123">
        <f>(K34+L34)/1000</f>
        <v>63.91</v>
      </c>
      <c r="J40" s="136">
        <f>+I40+'27'!J40</f>
        <v>1466.1369999999999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+C41+'27'!D41</f>
        <v>170</v>
      </c>
      <c r="E41" s="148">
        <f t="shared" si="0"/>
        <v>2.8333333333333335</v>
      </c>
      <c r="F41" s="375"/>
      <c r="G41" s="375"/>
      <c r="H41" s="192" t="s">
        <v>72</v>
      </c>
      <c r="I41" s="147"/>
      <c r="J41" s="134">
        <f>J40/G4</f>
        <v>52.36203571428571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+C42+'27'!D42</f>
        <v>0</v>
      </c>
      <c r="E42" s="148">
        <f t="shared" si="0"/>
        <v>0</v>
      </c>
      <c r="F42" s="375">
        <f>+(F38*480+F40*480+F39*480)/1440</f>
        <v>461.25</v>
      </c>
      <c r="G42" s="375">
        <f>+(G38*480+G40*480+G39*480)/1440</f>
        <v>405.9</v>
      </c>
      <c r="H42" s="192" t="s">
        <v>73</v>
      </c>
      <c r="I42" s="250" t="s">
        <v>731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+C43+'27'!D43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+Report1!AH36</f>
        <v>121.38</v>
      </c>
      <c r="J43" s="138">
        <f>+I43+'27'!J43</f>
        <v>3414.6930000000007</v>
      </c>
      <c r="K43" s="135" t="s">
        <v>66</v>
      </c>
      <c r="L43" s="439">
        <f>+Report1!AN36</f>
        <v>18.100000000000001</v>
      </c>
      <c r="M43" s="440">
        <f>+L43+'27'!M43</f>
        <v>363.7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+C44+'27'!D44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1.8624562695636162</v>
      </c>
      <c r="J44" s="139">
        <f>J43/J38</f>
        <v>2.2183097493571848</v>
      </c>
      <c r="K44" s="135" t="s">
        <v>66</v>
      </c>
      <c r="L44" s="441">
        <f>+L43/I38</f>
        <v>0.27772663106855711</v>
      </c>
      <c r="M44" s="442">
        <f>+M43/J38</f>
        <v>0.23627285259354441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+C45+'27'!D45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1.8992332968236583</v>
      </c>
      <c r="J45" s="139">
        <f>J43/J40</f>
        <v>2.3290408740792987</v>
      </c>
      <c r="K45" s="135" t="s">
        <v>66</v>
      </c>
      <c r="L45" s="441">
        <f>+L43/I40</f>
        <v>0.28321076513847604</v>
      </c>
      <c r="M45" s="442">
        <f>+M43/J40</f>
        <v>0.24806685869055894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+C46+'27'!D46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+SUMIF(Listrik!AC35,"&gt;0")</f>
        <v>26869.269999999618</v>
      </c>
      <c r="J46" s="140">
        <f>+I46+'27'!J46</f>
        <v>899355.28999999957</v>
      </c>
      <c r="K46" s="135" t="s">
        <v>81</v>
      </c>
      <c r="L46" s="441">
        <f>+Listrik!AF35</f>
        <v>29518</v>
      </c>
      <c r="M46" s="443">
        <f>+L46+'27'!M46</f>
        <v>360281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+C47+'27'!D47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412.28242189896918</v>
      </c>
      <c r="J47" s="140">
        <f>J46/J38</f>
        <v>584.25416514543383</v>
      </c>
      <c r="K47" s="135" t="s">
        <v>25</v>
      </c>
      <c r="L47" s="441">
        <f>+L46/I38</f>
        <v>452.92456883324127</v>
      </c>
      <c r="M47" s="442">
        <f>+M46/J38</f>
        <v>234.0517448591003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+C48+'27'!D48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420.42356438741388</v>
      </c>
      <c r="J48" s="140">
        <f>J46/J40</f>
        <v>613.41831629649857</v>
      </c>
      <c r="K48" s="135" t="s">
        <v>25</v>
      </c>
      <c r="L48" s="441">
        <f>+L46/I38</f>
        <v>452.92456883324127</v>
      </c>
      <c r="M48" s="442">
        <f>+M46/J40</f>
        <v>245.73488016467766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+C49+'27'!D49</f>
        <v>1680</v>
      </c>
      <c r="E49" s="148">
        <f t="shared" si="0"/>
        <v>28</v>
      </c>
      <c r="F49" s="190"/>
      <c r="H49" s="193" t="s">
        <v>85</v>
      </c>
      <c r="I49" s="123">
        <f>+Report1!AB36</f>
        <v>0</v>
      </c>
      <c r="J49" s="140">
        <f>+I49+'27'!J49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+C50+'27'!D50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+C51+'27'!D51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27</v>
      </c>
      <c r="D52" s="149">
        <f>SUM(D38:D51)</f>
        <v>4963</v>
      </c>
      <c r="E52" s="150">
        <f>SUM(E38:E51)</f>
        <v>82.716666666666669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1.8749999999999999E-2</v>
      </c>
      <c r="D53" s="151">
        <f>D52/(24*60*G4)</f>
        <v>0.12309027777777778</v>
      </c>
      <c r="E53" s="152">
        <f>E52/(G4*24)</f>
        <v>0.12309027777777778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+D34+'27'!J56</f>
        <v>27352</v>
      </c>
      <c r="K56" s="206">
        <f>J56/(J40+J56/1000)/1000</f>
        <v>1.8314162340666719E-2</v>
      </c>
    </row>
    <row r="57" spans="1:13">
      <c r="A57" s="181"/>
      <c r="I57" s="204" t="s">
        <v>92</v>
      </c>
      <c r="J57" s="205">
        <f>+E34+'27'!J57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27</v>
      </c>
      <c r="H4" s="159" t="str">
        <f>+'1'!H4</f>
        <v>.10.25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483+464+458</f>
        <v>1405</v>
      </c>
    </row>
    <row r="7" spans="1:15" ht="13.5" customHeight="1" thickBot="1">
      <c r="A7" s="777" t="s">
        <v>547</v>
      </c>
      <c r="B7" s="220" t="s">
        <v>716</v>
      </c>
      <c r="C7" s="221">
        <v>16409</v>
      </c>
      <c r="D7" s="222"/>
      <c r="E7" s="223"/>
      <c r="F7" s="232"/>
      <c r="G7" s="233" t="s">
        <v>13</v>
      </c>
      <c r="H7" s="234" t="s">
        <v>394</v>
      </c>
      <c r="I7" s="780" t="s">
        <v>722</v>
      </c>
      <c r="J7" s="219" t="str">
        <f>+'26'!J7</f>
        <v>TW 17 RC HW</v>
      </c>
      <c r="K7" s="242"/>
      <c r="L7" s="246"/>
      <c r="M7" s="122">
        <f>+K7+'26'!M7+L7</f>
        <v>44630</v>
      </c>
    </row>
    <row r="8" spans="1:15" ht="13.5" thickBot="1">
      <c r="A8" s="778"/>
      <c r="B8" s="220"/>
      <c r="C8" s="221"/>
      <c r="D8" s="222"/>
      <c r="E8" s="224"/>
      <c r="F8" s="235">
        <v>2</v>
      </c>
      <c r="G8" s="581" t="s">
        <v>13</v>
      </c>
      <c r="H8" s="234" t="s">
        <v>392</v>
      </c>
      <c r="I8" s="781"/>
      <c r="J8" s="219" t="str">
        <f>+'26'!J8</f>
        <v>N 18 RC HW</v>
      </c>
      <c r="K8" s="243"/>
      <c r="L8" s="243"/>
      <c r="M8" s="122">
        <f>+K8+'26'!M8+L8</f>
        <v>105194</v>
      </c>
      <c r="N8" s="154">
        <v>450</v>
      </c>
      <c r="O8" s="154">
        <f>+N8-N8*0.12</f>
        <v>396</v>
      </c>
    </row>
    <row r="9" spans="1:15" ht="13.5" thickBot="1">
      <c r="A9" s="778"/>
      <c r="B9" s="220"/>
      <c r="C9" s="221"/>
      <c r="D9" s="222"/>
      <c r="E9" s="225"/>
      <c r="F9" s="232">
        <v>3</v>
      </c>
      <c r="G9" s="581" t="s">
        <v>13</v>
      </c>
      <c r="H9" s="237" t="s">
        <v>226</v>
      </c>
      <c r="I9" s="781"/>
      <c r="J9" s="219" t="str">
        <f>+'26'!J9</f>
        <v>N 20 RC HW</v>
      </c>
      <c r="K9" s="243"/>
      <c r="L9" s="243"/>
      <c r="M9" s="122">
        <f>+K9+'26'!M9+L9</f>
        <v>71479</v>
      </c>
      <c r="N9" s="154">
        <v>450</v>
      </c>
      <c r="O9" s="154">
        <f>+N9-N9*0.12</f>
        <v>396</v>
      </c>
    </row>
    <row r="10" spans="1:15" ht="13.5" thickBot="1">
      <c r="A10" s="778"/>
      <c r="B10" s="220"/>
      <c r="C10" s="221"/>
      <c r="D10" s="222"/>
      <c r="E10" s="224"/>
      <c r="F10" s="232"/>
      <c r="G10" s="581"/>
      <c r="H10" s="237" t="s">
        <v>718</v>
      </c>
      <c r="I10" s="781"/>
      <c r="J10" s="219" t="str">
        <f>+'26'!J10</f>
        <v>N 17 RC HW</v>
      </c>
      <c r="K10" s="243"/>
      <c r="L10" s="243"/>
      <c r="M10" s="122">
        <f>+K10+'26'!M10+L10</f>
        <v>5253</v>
      </c>
      <c r="N10" s="154">
        <v>450</v>
      </c>
      <c r="O10" s="154">
        <f>+N10-N10*0.12</f>
        <v>396</v>
      </c>
    </row>
    <row r="11" spans="1:15" ht="13.5" thickBot="1">
      <c r="A11" s="778"/>
      <c r="B11" s="220"/>
      <c r="C11" s="221"/>
      <c r="D11" s="222"/>
      <c r="E11" s="224"/>
      <c r="F11" s="232">
        <v>110</v>
      </c>
      <c r="G11" s="236" t="s">
        <v>71</v>
      </c>
      <c r="H11" s="237" t="s">
        <v>719</v>
      </c>
      <c r="I11" s="781"/>
      <c r="J11" s="219" t="str">
        <f>+'26'!J11</f>
        <v>N 18,5 RC HW</v>
      </c>
      <c r="K11" s="243"/>
      <c r="L11" s="243"/>
      <c r="M11" s="122">
        <f>+K11+'26'!M11+L11</f>
        <v>10930</v>
      </c>
    </row>
    <row r="12" spans="1:15" ht="13.5" thickBot="1">
      <c r="A12" s="778"/>
      <c r="B12" s="220"/>
      <c r="C12" s="221"/>
      <c r="D12" s="222"/>
      <c r="E12" s="224"/>
      <c r="F12" s="232"/>
      <c r="G12" s="236"/>
      <c r="H12" s="237" t="s">
        <v>720</v>
      </c>
      <c r="I12" s="781"/>
      <c r="J12" s="219" t="str">
        <f>+'26'!J12</f>
        <v>TW 32 RC HW</v>
      </c>
      <c r="K12" s="243"/>
      <c r="L12" s="243"/>
      <c r="M12" s="122">
        <f>+K12+'26'!M12+L12</f>
        <v>75522</v>
      </c>
    </row>
    <row r="13" spans="1:15" ht="13.5" thickBot="1">
      <c r="A13" s="778"/>
      <c r="B13" s="220"/>
      <c r="C13" s="221"/>
      <c r="D13" s="221"/>
      <c r="E13" s="224"/>
      <c r="F13" s="232"/>
      <c r="G13" s="236"/>
      <c r="H13" s="237" t="s">
        <v>721</v>
      </c>
      <c r="I13" s="782"/>
      <c r="J13" s="219" t="str">
        <f>+'26'!J13</f>
        <v>TW 34 RC HW</v>
      </c>
      <c r="K13" s="243"/>
      <c r="L13" s="243"/>
      <c r="M13" s="122">
        <f>+K13+'26'!M13+L13</f>
        <v>22635</v>
      </c>
    </row>
    <row r="14" spans="1:15" ht="13.5" thickBot="1">
      <c r="A14" s="779"/>
      <c r="B14" s="170" t="s">
        <v>3</v>
      </c>
      <c r="C14" s="104">
        <f>SUM(C7:C13)</f>
        <v>16409</v>
      </c>
      <c r="D14" s="116">
        <f>SUM(D7:D13)</f>
        <v>0</v>
      </c>
      <c r="E14" s="117">
        <f>SUM(E5:E13)</f>
        <v>0</v>
      </c>
      <c r="F14" s="107">
        <f>SUM(F6:F13)</f>
        <v>115</v>
      </c>
      <c r="G14" s="164"/>
      <c r="H14" s="171"/>
      <c r="I14" s="172"/>
      <c r="J14" s="219" t="str">
        <f>+'26'!J14</f>
        <v>TW 36 RC HW</v>
      </c>
      <c r="K14" s="243"/>
      <c r="L14" s="243"/>
      <c r="M14" s="122">
        <f>+K14+'26'!M14+L14</f>
        <v>33555</v>
      </c>
    </row>
    <row r="15" spans="1:15" ht="13.5" customHeight="1" thickBot="1">
      <c r="A15" s="777" t="s">
        <v>412</v>
      </c>
      <c r="B15" s="170"/>
      <c r="C15" s="118">
        <f>C14/($C$23+$D$23+$E$23)</f>
        <v>0.78134374553592689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722</v>
      </c>
      <c r="J15" s="219" t="str">
        <f>+'26'!J15</f>
        <v>TW 38 RC HW</v>
      </c>
      <c r="K15" s="243"/>
      <c r="L15" s="243"/>
      <c r="M15" s="122">
        <f>+K15+'26'!M15+L15</f>
        <v>50415</v>
      </c>
    </row>
    <row r="16" spans="1:15" ht="13.5" thickBot="1">
      <c r="A16" s="783"/>
      <c r="B16" s="220" t="s">
        <v>716</v>
      </c>
      <c r="C16" s="226">
        <v>21001</v>
      </c>
      <c r="D16" s="227"/>
      <c r="E16" s="228"/>
      <c r="F16" s="235"/>
      <c r="G16" s="581" t="s">
        <v>13</v>
      </c>
      <c r="H16" s="234" t="s">
        <v>430</v>
      </c>
      <c r="I16" s="781"/>
      <c r="J16" s="219" t="str">
        <f>+'26'!J16</f>
        <v>TW 30 RC HW</v>
      </c>
      <c r="K16" s="243"/>
      <c r="L16" s="243"/>
      <c r="M16" s="122">
        <f>+K16+'26'!M16+L16</f>
        <v>118057</v>
      </c>
    </row>
    <row r="17" spans="1:14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+'26'!J17</f>
        <v>TW 28 RC HW</v>
      </c>
      <c r="K17" s="243"/>
      <c r="L17" s="243"/>
      <c r="M17" s="122">
        <f>+K17+'26'!M17+L17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718</v>
      </c>
      <c r="I18" s="781"/>
      <c r="J18" s="219" t="str">
        <f>+'26'!J18</f>
        <v>N 20,5 RC HW</v>
      </c>
      <c r="K18" s="243"/>
      <c r="L18" s="243"/>
      <c r="M18" s="122">
        <f>+K18+'26'!M18+L18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+'26'!J19</f>
        <v>N 17 RC BR</v>
      </c>
      <c r="K19" s="243"/>
      <c r="L19" s="243"/>
      <c r="M19" s="122">
        <f>+K19+'26'!M19+L19</f>
        <v>57113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+'26'!J20</f>
        <v>N 16 RC BR</v>
      </c>
      <c r="K20" s="243"/>
      <c r="L20" s="243"/>
      <c r="M20" s="122">
        <f>+K20+'26'!M20+L20</f>
        <v>77615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+'26'!J21</f>
        <v>N 15,5 RC BR</v>
      </c>
      <c r="K21" s="243"/>
      <c r="L21" s="243"/>
      <c r="M21" s="122">
        <f>+K21+'26'!M21+L21</f>
        <v>162173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+'26'!J22</f>
        <v>TW 19 RC BR</v>
      </c>
      <c r="K22" s="243"/>
      <c r="L22" s="243"/>
      <c r="M22" s="122">
        <f>+K22+'26'!M22+L22</f>
        <v>13803</v>
      </c>
    </row>
    <row r="23" spans="1:14" ht="13.5" thickBot="1">
      <c r="A23" s="784"/>
      <c r="B23" s="170" t="s">
        <v>3</v>
      </c>
      <c r="C23" s="105">
        <f>SUM(C16:C22)</f>
        <v>21001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+'26'!J23</f>
        <v>TW 30,5 RC BR</v>
      </c>
      <c r="K23" s="243"/>
      <c r="L23" s="243"/>
      <c r="M23" s="122">
        <f>+K23+'26'!M23+L23</f>
        <v>99011</v>
      </c>
    </row>
    <row r="24" spans="1:14" ht="13.5" customHeight="1" thickBot="1">
      <c r="A24" s="777" t="s">
        <v>413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722</v>
      </c>
      <c r="J24" s="219" t="str">
        <f>+'26'!J24</f>
        <v>TW 34 RC BR</v>
      </c>
      <c r="K24" s="243"/>
      <c r="L24" s="243"/>
      <c r="M24" s="122">
        <f>+K24+'26'!M24+L24</f>
        <v>180988</v>
      </c>
    </row>
    <row r="25" spans="1:14" ht="13.5" thickBot="1">
      <c r="A25" s="785"/>
      <c r="B25" s="220" t="s">
        <v>716</v>
      </c>
      <c r="C25" s="230">
        <v>21872</v>
      </c>
      <c r="D25" s="222">
        <v>430</v>
      </c>
      <c r="E25" s="229"/>
      <c r="F25" s="235">
        <v>2</v>
      </c>
      <c r="G25" s="581" t="s">
        <v>13</v>
      </c>
      <c r="H25" s="234" t="s">
        <v>392</v>
      </c>
      <c r="I25" s="781"/>
      <c r="J25" s="219" t="str">
        <f>+'26'!J25</f>
        <v>TW 36 RC BR</v>
      </c>
      <c r="K25" s="243">
        <f>+C34</f>
        <v>59282</v>
      </c>
      <c r="L25" s="243"/>
      <c r="M25" s="122">
        <f>+K25+'26'!M25+L25</f>
        <v>70691</v>
      </c>
    </row>
    <row r="26" spans="1:14" ht="13.5" thickBot="1">
      <c r="A26" s="785"/>
      <c r="B26" s="220"/>
      <c r="C26" s="230"/>
      <c r="D26" s="222"/>
      <c r="E26" s="231"/>
      <c r="F26" s="232">
        <v>3</v>
      </c>
      <c r="G26" s="581" t="s">
        <v>13</v>
      </c>
      <c r="H26" s="237" t="s">
        <v>226</v>
      </c>
      <c r="I26" s="781"/>
      <c r="J26" s="219">
        <f>+'26'!J26</f>
        <v>0</v>
      </c>
      <c r="K26" s="243"/>
      <c r="L26" s="243"/>
      <c r="M26" s="122">
        <f>+K26+'26'!M26+L26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717</v>
      </c>
      <c r="I27" s="781"/>
      <c r="J27" s="219">
        <f>+'26'!J27</f>
        <v>0</v>
      </c>
      <c r="K27" s="243"/>
      <c r="L27" s="243"/>
      <c r="M27" s="122">
        <f>+K27+'26'!M27+L27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+'26'!J28</f>
        <v>0</v>
      </c>
      <c r="K28" s="243"/>
      <c r="L28" s="243"/>
      <c r="M28" s="122">
        <f>+K28+'26'!M28+L28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+'26'!J29</f>
        <v>0</v>
      </c>
      <c r="K29" s="243"/>
      <c r="L29" s="243"/>
      <c r="M29" s="122">
        <f>+K29+'26'!M29+L29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+'26'!J30</f>
        <v>0</v>
      </c>
      <c r="K30" s="243"/>
      <c r="L30" s="243"/>
      <c r="M30" s="122">
        <f>+K30+'26'!M30+L30</f>
        <v>0</v>
      </c>
      <c r="N30" s="160"/>
    </row>
    <row r="31" spans="1:14" ht="13.5" customHeight="1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+'26'!J31</f>
        <v>0</v>
      </c>
      <c r="K31" s="243"/>
      <c r="L31" s="243"/>
      <c r="M31" s="122">
        <f>+K31+'26'!M31+L31</f>
        <v>0</v>
      </c>
    </row>
    <row r="32" spans="1:14" ht="13.5" thickBot="1">
      <c r="A32" s="786"/>
      <c r="B32" s="170" t="s">
        <v>3</v>
      </c>
      <c r="C32" s="104">
        <f>SUM(C25:C31)</f>
        <v>21872</v>
      </c>
      <c r="D32" s="105">
        <f>SUM(D25:D31)</f>
        <v>430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+'26'!J32</f>
        <v>0</v>
      </c>
      <c r="K32" s="245"/>
      <c r="L32" s="247"/>
      <c r="M32" s="122">
        <f>+K32+'26'!M32+L32</f>
        <v>0</v>
      </c>
    </row>
    <row r="33" spans="1:14" ht="13.5" thickBot="1">
      <c r="A33" s="178"/>
      <c r="B33" s="179"/>
      <c r="C33" s="108">
        <f>C32/($C$32+$D$32+$E$32)</f>
        <v>0.98071921800735362</v>
      </c>
      <c r="D33" s="109">
        <f>D32/($C$32+$D$32+$E$32)</f>
        <v>1.9280781992646399E-2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59282</v>
      </c>
      <c r="D34" s="112">
        <f>D14+D23+D32</f>
        <v>430</v>
      </c>
      <c r="E34" s="112">
        <f>E14+E23+E32</f>
        <v>0</v>
      </c>
      <c r="F34" s="113">
        <f>F14+F23+F32</f>
        <v>125</v>
      </c>
      <c r="H34" s="183"/>
      <c r="I34" s="183"/>
      <c r="J34" s="128" t="s">
        <v>29</v>
      </c>
      <c r="K34" s="129">
        <f>SUM(K7:K32)</f>
        <v>59282</v>
      </c>
      <c r="L34" s="217">
        <f>SUM(L7:L32)</f>
        <v>0</v>
      </c>
      <c r="M34" s="125">
        <f>SUM(M7:M32)</f>
        <v>1402227</v>
      </c>
      <c r="N34" s="160"/>
    </row>
    <row r="35" spans="1:14" ht="13.5" thickBot="1">
      <c r="A35" s="184"/>
      <c r="B35" s="185"/>
      <c r="C35" s="109">
        <f>C34/($C$34+$D$34+$E$34)</f>
        <v>0.99279876741693462</v>
      </c>
      <c r="D35" s="109">
        <f>D34/($C$34+$D$34+$E$34)</f>
        <v>7.2012325830653808E-3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82"/>
      <c r="G37" s="377"/>
      <c r="H37" s="191" t="s">
        <v>65</v>
      </c>
      <c r="I37" s="248">
        <f>(36*1330)/1330*G42*3.4*1330/1000000</f>
        <v>64.465631999999999</v>
      </c>
      <c r="J37" s="130">
        <f>+I37+'26'!J37</f>
        <v>1624.3684517237364</v>
      </c>
      <c r="K37" s="131" t="s">
        <v>66</v>
      </c>
      <c r="L37" s="435"/>
      <c r="M37" s="436"/>
    </row>
    <row r="38" spans="1:14" ht="17.45" customHeight="1">
      <c r="A38" s="793" t="s">
        <v>13</v>
      </c>
      <c r="B38" s="794"/>
      <c r="C38" s="169">
        <f>SUMIF($G$7:$G$31,"Process",$F$7:$F$31)</f>
        <v>15</v>
      </c>
      <c r="D38" s="123">
        <f>+C38+'26'!D38</f>
        <v>2296</v>
      </c>
      <c r="E38" s="148">
        <f t="shared" ref="E38:E51" si="0">D38/60</f>
        <v>38.266666666666666</v>
      </c>
      <c r="F38" s="375">
        <v>450</v>
      </c>
      <c r="G38" s="375">
        <f>+F38-F38*0.12</f>
        <v>396</v>
      </c>
      <c r="H38" s="192" t="s">
        <v>67</v>
      </c>
      <c r="I38" s="556">
        <f>16.87+21.285+20.946</f>
        <v>59.100999999999999</v>
      </c>
      <c r="J38" s="132">
        <f>+I38+'26'!J38</f>
        <v>1474.15</v>
      </c>
      <c r="K38" s="133" t="s">
        <v>66</v>
      </c>
      <c r="L38" s="437"/>
      <c r="M38" s="438"/>
      <c r="N38" s="557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+C39+'26'!D39</f>
        <v>0</v>
      </c>
      <c r="E39" s="148">
        <f t="shared" si="0"/>
        <v>0</v>
      </c>
      <c r="F39" s="375">
        <v>450</v>
      </c>
      <c r="G39" s="375">
        <f>+F39-F39*0.12</f>
        <v>396</v>
      </c>
      <c r="H39" s="192" t="s">
        <v>68</v>
      </c>
      <c r="I39" s="147"/>
      <c r="J39" s="134">
        <f>J37/G4</f>
        <v>60.161794508286533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+C40+'26'!D40</f>
        <v>790</v>
      </c>
      <c r="E40" s="148">
        <f t="shared" si="0"/>
        <v>13.166666666666666</v>
      </c>
      <c r="F40" s="375">
        <v>450</v>
      </c>
      <c r="G40" s="375">
        <f>+F40-F40*0.12</f>
        <v>396</v>
      </c>
      <c r="H40" s="192" t="s">
        <v>70</v>
      </c>
      <c r="I40" s="123">
        <f>(K34+L34)/1000</f>
        <v>59.281999999999996</v>
      </c>
      <c r="J40" s="136">
        <f>+I40+'26'!J40</f>
        <v>1402.2269999999999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110</v>
      </c>
      <c r="D41" s="123">
        <f>+C41+'26'!D41</f>
        <v>170</v>
      </c>
      <c r="E41" s="148">
        <f t="shared" si="0"/>
        <v>2.8333333333333335</v>
      </c>
      <c r="F41" s="375"/>
      <c r="G41" s="375"/>
      <c r="H41" s="192" t="s">
        <v>72</v>
      </c>
      <c r="I41" s="147"/>
      <c r="J41" s="134">
        <f>J40/G4</f>
        <v>51.934333333333328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+C42+'26'!D42</f>
        <v>0</v>
      </c>
      <c r="E42" s="148">
        <f t="shared" si="0"/>
        <v>0</v>
      </c>
      <c r="F42" s="375">
        <f>+(F38*370+F39*480+F40*480)/1330</f>
        <v>450</v>
      </c>
      <c r="G42" s="375">
        <f>+(G38*370+G39*480+G40*480)/1330</f>
        <v>396</v>
      </c>
      <c r="H42" s="192" t="s">
        <v>73</v>
      </c>
      <c r="I42" s="250" t="s">
        <v>722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+C43+'26'!D43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+Report1!AH35</f>
        <v>113.839</v>
      </c>
      <c r="J43" s="138">
        <f>+I43+'26'!J43</f>
        <v>3293.3130000000006</v>
      </c>
      <c r="K43" s="135" t="s">
        <v>66</v>
      </c>
      <c r="L43" s="439">
        <f>+Report1!AN35</f>
        <v>19.2</v>
      </c>
      <c r="M43" s="440">
        <f>+L43+'26'!M43</f>
        <v>345.59999999999997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+C44+'26'!D44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1.9261772220436202</v>
      </c>
      <c r="J44" s="139">
        <f>J43/J38</f>
        <v>2.2340419902994948</v>
      </c>
      <c r="K44" s="135" t="s">
        <v>66</v>
      </c>
      <c r="L44" s="441">
        <f>+L43/I38</f>
        <v>0.32486759953300282</v>
      </c>
      <c r="M44" s="442">
        <f>+M43/J38</f>
        <v>0.23444018586982324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+C45+'26'!D45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1.9202962113289026</v>
      </c>
      <c r="J45" s="139">
        <f>J43/J40</f>
        <v>2.3486304285967972</v>
      </c>
      <c r="K45" s="135" t="s">
        <v>66</v>
      </c>
      <c r="L45" s="441">
        <f>+L43/I40</f>
        <v>0.32387571269525323</v>
      </c>
      <c r="M45" s="442">
        <f>+M43/J40</f>
        <v>0.24646508732181024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+C46+'26'!D46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+SUMIF(Listrik!AC34,"&gt;0")</f>
        <v>29322.030000000163</v>
      </c>
      <c r="J46" s="140">
        <f>+I46+'26'!J46</f>
        <v>872486.0199999999</v>
      </c>
      <c r="K46" s="135" t="s">
        <v>81</v>
      </c>
      <c r="L46" s="441">
        <f>+Listrik!AF34</f>
        <v>28867</v>
      </c>
      <c r="M46" s="443">
        <f>+L46+'26'!M46</f>
        <v>330763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+C47+'26'!D47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496.13424476743478</v>
      </c>
      <c r="J47" s="140">
        <f>J46/J38</f>
        <v>591.85701590747203</v>
      </c>
      <c r="K47" s="135" t="s">
        <v>25</v>
      </c>
      <c r="L47" s="441">
        <f>+L46/I38</f>
        <v>488.43505186037464</v>
      </c>
      <c r="M47" s="442">
        <f>+M46/J38</f>
        <v>224.37540277448019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+C48+'26'!D48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494.61944603758587</v>
      </c>
      <c r="J48" s="140">
        <f>J46/J40</f>
        <v>622.21453445126929</v>
      </c>
      <c r="K48" s="135" t="s">
        <v>25</v>
      </c>
      <c r="L48" s="441">
        <f>+L46/I38</f>
        <v>488.43505186037464</v>
      </c>
      <c r="M48" s="442">
        <f>+M46/J40</f>
        <v>235.88406156777756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+C49+'26'!D49</f>
        <v>1680</v>
      </c>
      <c r="E49" s="148">
        <f t="shared" si="0"/>
        <v>28</v>
      </c>
      <c r="F49" s="190"/>
      <c r="H49" s="193" t="s">
        <v>85</v>
      </c>
      <c r="I49" s="123">
        <f>+Report1!AB35</f>
        <v>0</v>
      </c>
      <c r="J49" s="140">
        <f>+I49+'26'!J49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+C50+'26'!D50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+C51+'26'!D51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125</v>
      </c>
      <c r="D52" s="149">
        <f>SUM(D38:D51)</f>
        <v>4936</v>
      </c>
      <c r="E52" s="150">
        <f>SUM(E38:E51)</f>
        <v>82.266666666666666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8.6805555555555552E-2</v>
      </c>
      <c r="D53" s="151">
        <f>D52/(24*60*G4)</f>
        <v>0.12695473251028808</v>
      </c>
      <c r="E53" s="152">
        <f>E52/(G4*24)</f>
        <v>0.12695473251028808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+D34+'26'!J56</f>
        <v>27352</v>
      </c>
      <c r="K56" s="206">
        <f>J56/(J40+J56/1000)/1000</f>
        <v>1.9132905561707329E-2</v>
      </c>
    </row>
    <row r="57" spans="1:13">
      <c r="A57" s="181"/>
      <c r="I57" s="204" t="s">
        <v>92</v>
      </c>
      <c r="J57" s="205">
        <f>+E34+'26'!J57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26</v>
      </c>
      <c r="H4" s="159" t="str">
        <f>+'1'!H4</f>
        <v>.10.25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447+442+374</f>
        <v>1263</v>
      </c>
    </row>
    <row r="7" spans="1:16" ht="13.5" customHeight="1" thickBot="1">
      <c r="A7" s="777" t="s">
        <v>547</v>
      </c>
      <c r="B7" s="220" t="s">
        <v>702</v>
      </c>
      <c r="C7" s="221">
        <v>21490</v>
      </c>
      <c r="D7" s="222">
        <v>960</v>
      </c>
      <c r="E7" s="223"/>
      <c r="F7" s="232"/>
      <c r="G7" s="233" t="s">
        <v>13</v>
      </c>
      <c r="H7" s="234" t="s">
        <v>394</v>
      </c>
      <c r="I7" s="780" t="s">
        <v>710</v>
      </c>
      <c r="J7" s="219" t="str">
        <f>+'25'!J7</f>
        <v>TW 17 RC HW</v>
      </c>
      <c r="K7" s="242"/>
      <c r="L7" s="246"/>
      <c r="M7" s="122">
        <f>+K7+'25'!M7+L7</f>
        <v>44630</v>
      </c>
    </row>
    <row r="8" spans="1:16" ht="13.5" thickBot="1">
      <c r="A8" s="778"/>
      <c r="B8" s="220"/>
      <c r="C8" s="221"/>
      <c r="D8" s="222"/>
      <c r="E8" s="224"/>
      <c r="F8" s="235">
        <v>2</v>
      </c>
      <c r="G8" s="581" t="s">
        <v>13</v>
      </c>
      <c r="H8" s="234" t="s">
        <v>392</v>
      </c>
      <c r="I8" s="781"/>
      <c r="J8" s="219" t="str">
        <f>+'25'!J8</f>
        <v>N 18 RC HW</v>
      </c>
      <c r="K8" s="243"/>
      <c r="L8" s="243"/>
      <c r="M8" s="122">
        <f>+K8+'25'!M8+L8</f>
        <v>105194</v>
      </c>
      <c r="N8" s="154">
        <v>485</v>
      </c>
      <c r="O8" s="154">
        <f>+N8-N8*0.12</f>
        <v>426.8</v>
      </c>
      <c r="P8" s="154">
        <v>480</v>
      </c>
    </row>
    <row r="9" spans="1:16" ht="13.5" thickBot="1">
      <c r="A9" s="778"/>
      <c r="B9" s="220"/>
      <c r="C9" s="221"/>
      <c r="D9" s="222"/>
      <c r="E9" s="225"/>
      <c r="F9" s="232">
        <v>3</v>
      </c>
      <c r="G9" s="581" t="s">
        <v>13</v>
      </c>
      <c r="H9" s="237" t="s">
        <v>226</v>
      </c>
      <c r="I9" s="781"/>
      <c r="J9" s="219" t="str">
        <f>+'25'!J9</f>
        <v>N 20 RC HW</v>
      </c>
      <c r="K9" s="243"/>
      <c r="L9" s="243"/>
      <c r="M9" s="122">
        <f>+K9+'25'!M9+L9</f>
        <v>71479</v>
      </c>
    </row>
    <row r="10" spans="1:16" ht="13.5" thickBot="1">
      <c r="A10" s="778"/>
      <c r="B10" s="220"/>
      <c r="C10" s="221"/>
      <c r="D10" s="222"/>
      <c r="E10" s="224"/>
      <c r="F10" s="232"/>
      <c r="G10" s="581"/>
      <c r="H10" s="237" t="s">
        <v>706</v>
      </c>
      <c r="I10" s="781"/>
      <c r="J10" s="219" t="str">
        <f>+'25'!J10</f>
        <v>N 17 RC HW</v>
      </c>
      <c r="K10" s="243"/>
      <c r="L10" s="243"/>
      <c r="M10" s="122">
        <f>+K10+'25'!M10+L10</f>
        <v>5253</v>
      </c>
    </row>
    <row r="11" spans="1:16" ht="13.5" thickBot="1">
      <c r="A11" s="778"/>
      <c r="B11" s="220"/>
      <c r="C11" s="221"/>
      <c r="D11" s="222"/>
      <c r="E11" s="224"/>
      <c r="F11" s="232"/>
      <c r="G11" s="236"/>
      <c r="H11" s="237"/>
      <c r="I11" s="781"/>
      <c r="J11" s="219" t="str">
        <f>+'25'!J11</f>
        <v>N 18,5 RC HW</v>
      </c>
      <c r="K11" s="243"/>
      <c r="L11" s="243"/>
      <c r="M11" s="122">
        <f>+K11+'25'!M11+L11</f>
        <v>10930</v>
      </c>
    </row>
    <row r="12" spans="1:16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+'25'!J12</f>
        <v>TW 32 RC HW</v>
      </c>
      <c r="K12" s="243"/>
      <c r="L12" s="243"/>
      <c r="M12" s="122">
        <f>+K12+'25'!M12+L12</f>
        <v>75522</v>
      </c>
    </row>
    <row r="13" spans="1:16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+'25'!J13</f>
        <v>TW 34 RC HW</v>
      </c>
      <c r="K13" s="243"/>
      <c r="L13" s="243"/>
      <c r="M13" s="122">
        <f>+K13+'25'!M13+L13</f>
        <v>22635</v>
      </c>
    </row>
    <row r="14" spans="1:16" ht="13.5" thickBot="1">
      <c r="A14" s="779"/>
      <c r="B14" s="170" t="s">
        <v>3</v>
      </c>
      <c r="C14" s="104">
        <f>SUM(C7:C13)</f>
        <v>21490</v>
      </c>
      <c r="D14" s="116">
        <f>SUM(D7:D13)</f>
        <v>960</v>
      </c>
      <c r="E14" s="117">
        <f>SUM(E5:E13)</f>
        <v>0</v>
      </c>
      <c r="F14" s="121"/>
      <c r="G14" s="164"/>
      <c r="H14" s="171"/>
      <c r="I14" s="172"/>
      <c r="J14" s="219" t="str">
        <f>+'25'!J14</f>
        <v>TW 36 RC HW</v>
      </c>
      <c r="K14" s="243"/>
      <c r="L14" s="243"/>
      <c r="M14" s="122">
        <f>+K14+'25'!M14+L14</f>
        <v>33555</v>
      </c>
    </row>
    <row r="15" spans="1:16" ht="13.5" customHeight="1" thickBot="1">
      <c r="A15" s="777" t="s">
        <v>412</v>
      </c>
      <c r="B15" s="170"/>
      <c r="C15" s="118">
        <f>C14/($C$23+$D$23+$E$23)</f>
        <v>0.96536543731189073</v>
      </c>
      <c r="D15" s="119">
        <f>D14/($C$23+$D$23+$E$23)</f>
        <v>4.3124747315933694E-2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710</v>
      </c>
      <c r="J15" s="219" t="str">
        <f>+'25'!J15</f>
        <v>TW 38 RC HW</v>
      </c>
      <c r="K15" s="243"/>
      <c r="L15" s="243"/>
      <c r="M15" s="122">
        <f>+K15+'25'!M15+L15</f>
        <v>50415</v>
      </c>
    </row>
    <row r="16" spans="1:16" ht="13.5" thickBot="1">
      <c r="A16" s="783"/>
      <c r="B16" s="220" t="s">
        <v>702</v>
      </c>
      <c r="C16" s="226">
        <v>22261</v>
      </c>
      <c r="D16" s="227"/>
      <c r="E16" s="228"/>
      <c r="F16" s="235">
        <v>2</v>
      </c>
      <c r="G16" s="581" t="s">
        <v>13</v>
      </c>
      <c r="H16" s="234" t="s">
        <v>392</v>
      </c>
      <c r="I16" s="781"/>
      <c r="J16" s="219" t="str">
        <f>+'25'!J16</f>
        <v>TW 30 RC HW</v>
      </c>
      <c r="K16" s="243"/>
      <c r="L16" s="233"/>
      <c r="M16" s="122">
        <f>+K16+'25'!M16+L16</f>
        <v>118057</v>
      </c>
    </row>
    <row r="17" spans="1:18" ht="13.5" thickBot="1">
      <c r="A17" s="783"/>
      <c r="B17" s="220"/>
      <c r="C17" s="221"/>
      <c r="D17" s="222"/>
      <c r="E17" s="229"/>
      <c r="F17" s="232">
        <v>3</v>
      </c>
      <c r="G17" s="581" t="s">
        <v>13</v>
      </c>
      <c r="H17" s="237" t="s">
        <v>226</v>
      </c>
      <c r="I17" s="781"/>
      <c r="J17" s="219" t="str">
        <f>+'25'!J17</f>
        <v>TW 28 RC HW</v>
      </c>
      <c r="K17" s="243"/>
      <c r="L17" s="233"/>
      <c r="M17" s="122">
        <f>+K17+'25'!M17+L17</f>
        <v>22140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706</v>
      </c>
      <c r="I18" s="781"/>
      <c r="J18" s="219" t="str">
        <f>+'25'!J18</f>
        <v>N 20,5 RC HW</v>
      </c>
      <c r="K18" s="243"/>
      <c r="L18" s="243"/>
      <c r="M18" s="122">
        <f>+K18+'25'!M18+L18</f>
        <v>181023</v>
      </c>
    </row>
    <row r="19" spans="1:18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+'25'!J19</f>
        <v>N 17 RC BR</v>
      </c>
      <c r="K19" s="243"/>
      <c r="L19" s="243"/>
      <c r="M19" s="122">
        <f>+K19+'25'!M19+L19</f>
        <v>57113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+'25'!J20</f>
        <v>N 16 RC BR</v>
      </c>
      <c r="K20" s="243"/>
      <c r="L20" s="244"/>
      <c r="M20" s="122">
        <f>+K20+'25'!M20+L20</f>
        <v>77615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+'25'!J21</f>
        <v>N 15,5 RC BR</v>
      </c>
      <c r="K21" s="243"/>
      <c r="L21" s="243"/>
      <c r="M21" s="122">
        <f>+K21+'25'!M21+L21</f>
        <v>162173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+'25'!J22</f>
        <v>TW 19 RC BR</v>
      </c>
      <c r="K22" s="243"/>
      <c r="L22" s="243"/>
      <c r="M22" s="122">
        <f>+K22+'25'!M22+L22</f>
        <v>13803</v>
      </c>
    </row>
    <row r="23" spans="1:18" ht="13.5" thickBot="1">
      <c r="A23" s="784"/>
      <c r="B23" s="170" t="s">
        <v>3</v>
      </c>
      <c r="C23" s="105">
        <f>SUM(C16:C22)</f>
        <v>22261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 t="str">
        <f>+'25'!J23</f>
        <v>TW 30,5 RC BR</v>
      </c>
      <c r="K23" s="243"/>
      <c r="L23" s="243"/>
      <c r="M23" s="122">
        <f>+K23+'25'!M23+L23</f>
        <v>99011</v>
      </c>
    </row>
    <row r="24" spans="1:18" ht="13.5" customHeight="1" thickBot="1">
      <c r="A24" s="777" t="s">
        <v>413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518</v>
      </c>
      <c r="J24" s="219" t="str">
        <f>+'25'!J24</f>
        <v>TW 34 RC BR</v>
      </c>
      <c r="K24" s="243">
        <f>+C7+C16+C25</f>
        <v>54097</v>
      </c>
      <c r="L24" s="243"/>
      <c r="M24" s="122">
        <f>+K24+'25'!M24+L24</f>
        <v>180988</v>
      </c>
    </row>
    <row r="25" spans="1:18" ht="13.5" thickBot="1">
      <c r="A25" s="785"/>
      <c r="B25" s="220" t="s">
        <v>702</v>
      </c>
      <c r="C25" s="230">
        <v>10346</v>
      </c>
      <c r="D25" s="222"/>
      <c r="E25" s="229"/>
      <c r="F25" s="235">
        <v>5</v>
      </c>
      <c r="G25" s="581" t="s">
        <v>13</v>
      </c>
      <c r="H25" s="234" t="s">
        <v>392</v>
      </c>
      <c r="I25" s="781"/>
      <c r="J25" s="219" t="s">
        <v>716</v>
      </c>
      <c r="K25" s="243">
        <f>+C26</f>
        <v>11409</v>
      </c>
      <c r="L25" s="243"/>
      <c r="M25" s="122">
        <f>+K25+'25'!M25+L25</f>
        <v>11409</v>
      </c>
    </row>
    <row r="26" spans="1:18" ht="13.5" thickBot="1">
      <c r="A26" s="785"/>
      <c r="B26" s="220" t="s">
        <v>716</v>
      </c>
      <c r="C26" s="230">
        <f>4561+6848</f>
        <v>11409</v>
      </c>
      <c r="D26" s="222">
        <v>360</v>
      </c>
      <c r="E26" s="231"/>
      <c r="F26" s="232">
        <v>5</v>
      </c>
      <c r="G26" s="581" t="s">
        <v>13</v>
      </c>
      <c r="H26" s="237" t="s">
        <v>226</v>
      </c>
      <c r="I26" s="781"/>
      <c r="J26" s="219">
        <f>+'25'!J26</f>
        <v>0</v>
      </c>
      <c r="K26" s="243"/>
      <c r="L26" s="243"/>
      <c r="M26" s="122">
        <f>+K26+'25'!M26+L26</f>
        <v>0</v>
      </c>
    </row>
    <row r="27" spans="1:18" ht="13.5" thickBot="1">
      <c r="A27" s="785"/>
      <c r="B27" s="220"/>
      <c r="C27" s="221"/>
      <c r="D27" s="222"/>
      <c r="E27" s="229"/>
      <c r="F27" s="232"/>
      <c r="G27" s="581"/>
      <c r="H27" s="237" t="s">
        <v>706</v>
      </c>
      <c r="I27" s="781"/>
      <c r="J27" s="219">
        <f>+'25'!J27</f>
        <v>0</v>
      </c>
      <c r="K27" s="243"/>
      <c r="L27" s="243"/>
      <c r="M27" s="122">
        <f>+K27+'25'!M27+L27</f>
        <v>0</v>
      </c>
      <c r="N27" s="154">
        <v>485</v>
      </c>
      <c r="O27" s="154">
        <f>+N27-N27*0.12</f>
        <v>426.8</v>
      </c>
      <c r="P27" s="154">
        <v>150</v>
      </c>
      <c r="Q27" s="154">
        <f>+N27*P27</f>
        <v>72750</v>
      </c>
      <c r="R27" s="154">
        <f>+O27*P27</f>
        <v>64020</v>
      </c>
    </row>
    <row r="28" spans="1:18" ht="13.5" thickBot="1">
      <c r="A28" s="785"/>
      <c r="B28" s="220"/>
      <c r="C28" s="221"/>
      <c r="D28" s="222"/>
      <c r="E28" s="229"/>
      <c r="F28" s="235">
        <v>5</v>
      </c>
      <c r="G28" s="236" t="s">
        <v>13</v>
      </c>
      <c r="H28" s="237" t="s">
        <v>707</v>
      </c>
      <c r="I28" s="781"/>
      <c r="J28" s="219">
        <f>+'25'!J28</f>
        <v>0</v>
      </c>
      <c r="K28" s="243"/>
      <c r="L28" s="243"/>
      <c r="M28" s="122">
        <f>+K28+'25'!M28+L28</f>
        <v>0</v>
      </c>
      <c r="N28" s="154">
        <v>460</v>
      </c>
      <c r="O28" s="154">
        <f>+N28-N28*0.12</f>
        <v>404.8</v>
      </c>
      <c r="P28" s="154">
        <v>330</v>
      </c>
      <c r="Q28" s="154">
        <f>+N28*P28</f>
        <v>151800</v>
      </c>
      <c r="R28" s="154">
        <f>+O28*P28</f>
        <v>133584</v>
      </c>
    </row>
    <row r="29" spans="1:18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+'25'!J29</f>
        <v>0</v>
      </c>
      <c r="K29" s="243"/>
      <c r="L29" s="243"/>
      <c r="M29" s="122">
        <f>+K29+'25'!M29+L29</f>
        <v>0</v>
      </c>
      <c r="P29" s="154">
        <f>SUM(P27:P28)</f>
        <v>480</v>
      </c>
      <c r="Q29" s="154">
        <f>SUM(Q27:Q28)</f>
        <v>224550</v>
      </c>
      <c r="R29" s="154">
        <f>SUM(R27:R28)</f>
        <v>197604</v>
      </c>
    </row>
    <row r="30" spans="1:18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+'25'!J30</f>
        <v>0</v>
      </c>
      <c r="K30" s="243"/>
      <c r="L30" s="243"/>
      <c r="M30" s="122">
        <f>+K30+'25'!M30+L30</f>
        <v>0</v>
      </c>
      <c r="N30" s="160"/>
      <c r="Q30" s="154">
        <f>+Q29/P29</f>
        <v>467.8125</v>
      </c>
      <c r="R30" s="154">
        <f>+R29/P29</f>
        <v>411.67500000000001</v>
      </c>
    </row>
    <row r="31" spans="1:18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+'25'!J31</f>
        <v>0</v>
      </c>
      <c r="K31" s="243"/>
      <c r="L31" s="243"/>
      <c r="M31" s="122">
        <f>+K31+'25'!M31+L31</f>
        <v>0</v>
      </c>
    </row>
    <row r="32" spans="1:18" ht="13.5" thickBot="1">
      <c r="A32" s="786"/>
      <c r="B32" s="170" t="s">
        <v>3</v>
      </c>
      <c r="C32" s="104">
        <f>SUM(C25:C31)</f>
        <v>21755</v>
      </c>
      <c r="D32" s="105">
        <f>SUM(D25:D31)</f>
        <v>360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+'25'!J32</f>
        <v>0</v>
      </c>
      <c r="K32" s="245"/>
      <c r="L32" s="247"/>
      <c r="M32" s="122">
        <f>+K32+'25'!M32+L32</f>
        <v>0</v>
      </c>
    </row>
    <row r="33" spans="1:14" ht="13.5" thickBot="1">
      <c r="A33" s="178"/>
      <c r="B33" s="179"/>
      <c r="C33" s="108">
        <f>C32/($C$32+$D$32+$E$32)</f>
        <v>0.98372145602532213</v>
      </c>
      <c r="D33" s="109">
        <f>D32/($C$32+$D$32+$E$32)</f>
        <v>1.6278543974677821E-2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65506</v>
      </c>
      <c r="D34" s="112">
        <f>D14+D23+D32</f>
        <v>1320</v>
      </c>
      <c r="E34" s="112">
        <f>E14+E23+E32</f>
        <v>0</v>
      </c>
      <c r="F34" s="113">
        <f>F14+F23+F32</f>
        <v>15</v>
      </c>
      <c r="H34" s="183"/>
      <c r="I34" s="183"/>
      <c r="J34" s="128" t="s">
        <v>29</v>
      </c>
      <c r="K34" s="129">
        <f>SUM(K7:K32)</f>
        <v>65506</v>
      </c>
      <c r="L34" s="217">
        <f>SUM(L7:L32)</f>
        <v>0</v>
      </c>
      <c r="M34" s="125">
        <f>SUM(M7:M32)</f>
        <v>1342945</v>
      </c>
      <c r="N34" s="160"/>
    </row>
    <row r="35" spans="1:14" ht="13.5" thickBot="1">
      <c r="A35" s="184"/>
      <c r="B35" s="185"/>
      <c r="C35" s="109">
        <f>C34/($C$34+$D$34+$E$34)</f>
        <v>0.98024720917008346</v>
      </c>
      <c r="D35" s="109">
        <f>D34/($C$34+$D$34+$E$34)</f>
        <v>1.9752790829916499E-2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(34*1110+36*330)/1440*G42*3.4*1440/1000000</f>
        <v>71.15400489999999</v>
      </c>
      <c r="J37" s="130">
        <f>+I37+'25'!J37</f>
        <v>1559.9028197237365</v>
      </c>
      <c r="K37" s="131" t="s">
        <v>66</v>
      </c>
      <c r="L37" s="435"/>
      <c r="M37" s="436"/>
      <c r="N37" s="154">
        <f>21.15+22.343+2.549+2.549</f>
        <v>48.590999999999994</v>
      </c>
    </row>
    <row r="38" spans="1:14" ht="17.45" customHeight="1">
      <c r="A38" s="793" t="s">
        <v>13</v>
      </c>
      <c r="B38" s="794"/>
      <c r="C38" s="169">
        <f>SUMIF($G$7:$G$31,"Process",$F$7:$F$31)</f>
        <v>25</v>
      </c>
      <c r="D38" s="123">
        <f>+C38+'25'!D38</f>
        <v>2281</v>
      </c>
      <c r="E38" s="148">
        <f t="shared" ref="E38:E51" si="0">D38/60</f>
        <v>38.016666666666666</v>
      </c>
      <c r="F38" s="375">
        <v>485</v>
      </c>
      <c r="G38" s="375">
        <f>+F38-F38*0.12</f>
        <v>426.8</v>
      </c>
      <c r="H38" s="192" t="s">
        <v>67</v>
      </c>
      <c r="I38" s="556">
        <f>21.15+22.343+21.912</f>
        <v>65.405000000000001</v>
      </c>
      <c r="J38" s="132">
        <f>+I38+'25'!J38</f>
        <v>1415.0490000000002</v>
      </c>
      <c r="K38" s="133" t="s">
        <v>66</v>
      </c>
      <c r="L38" s="437"/>
      <c r="M38" s="438"/>
      <c r="N38" s="557">
        <f>+I38-N37</f>
        <v>16.814000000000007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+C39+'25'!D39</f>
        <v>0</v>
      </c>
      <c r="E39" s="148">
        <f t="shared" si="0"/>
        <v>0</v>
      </c>
      <c r="F39" s="375">
        <v>485</v>
      </c>
      <c r="G39" s="375">
        <f>+F39-F39*0.12</f>
        <v>426.8</v>
      </c>
      <c r="H39" s="192" t="s">
        <v>68</v>
      </c>
      <c r="I39" s="147"/>
      <c r="J39" s="134">
        <f>J37/G4</f>
        <v>59.996262297066785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+C40+'25'!D40</f>
        <v>790</v>
      </c>
      <c r="E40" s="148">
        <f t="shared" si="0"/>
        <v>13.166666666666666</v>
      </c>
      <c r="F40" s="375">
        <v>467.8125</v>
      </c>
      <c r="G40" s="375">
        <v>411.67500000000001</v>
      </c>
      <c r="H40" s="192" t="s">
        <v>70</v>
      </c>
      <c r="I40" s="123">
        <f>(K34+L34)/1000</f>
        <v>65.506</v>
      </c>
      <c r="J40" s="136">
        <f>+I40+'25'!J40</f>
        <v>1342.9449999999999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+C41+'25'!D41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51.651730769230767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+C42+'25'!D42</f>
        <v>0</v>
      </c>
      <c r="E42" s="148">
        <f t="shared" si="0"/>
        <v>0</v>
      </c>
      <c r="F42" s="375">
        <f>+(F38*480+F39*480+F40*480)/1440</f>
        <v>479.27083333333331</v>
      </c>
      <c r="G42" s="375">
        <f>+(G38*480+G39*480+G40*480)/1440</f>
        <v>421.75833333333333</v>
      </c>
      <c r="H42" s="192" t="s">
        <v>73</v>
      </c>
      <c r="I42" s="250" t="s">
        <v>711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+C43+'25'!D43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+Report1!AH34</f>
        <v>124.25</v>
      </c>
      <c r="J43" s="138">
        <f>+I43+'25'!J43</f>
        <v>3179.4740000000006</v>
      </c>
      <c r="K43" s="135" t="s">
        <v>66</v>
      </c>
      <c r="L43" s="439">
        <f>+Report1!AN34</f>
        <v>12.8</v>
      </c>
      <c r="M43" s="440">
        <f>+L43+'25'!M43</f>
        <v>326.39999999999998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+C44+'25'!D44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1.8997018576561424</v>
      </c>
      <c r="J44" s="139">
        <f>J43/J38</f>
        <v>2.2469002840184333</v>
      </c>
      <c r="K44" s="135" t="s">
        <v>66</v>
      </c>
      <c r="L44" s="441">
        <f>+L43/I38</f>
        <v>0.19570369237825855</v>
      </c>
      <c r="M44" s="442">
        <f>+M43/J38</f>
        <v>0.23066339045503012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+C45+'25'!D45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1.8967728147039966</v>
      </c>
      <c r="J45" s="139">
        <f>J43/J40</f>
        <v>2.3675385067891841</v>
      </c>
      <c r="K45" s="135" t="s">
        <v>66</v>
      </c>
      <c r="L45" s="441">
        <f>+L43/I40</f>
        <v>0.19540194791316826</v>
      </c>
      <c r="M45" s="442">
        <f>+M43/J40</f>
        <v>0.24304792824724764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+C46+'25'!D46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+SUMIF(Listrik!AC33,"&gt;0")</f>
        <v>32689.730000000185</v>
      </c>
      <c r="J46" s="140">
        <f>+I46+'25'!J46</f>
        <v>843163.98999999976</v>
      </c>
      <c r="K46" s="135" t="s">
        <v>81</v>
      </c>
      <c r="L46" s="441">
        <f>+Listrik!AF33</f>
        <v>20119</v>
      </c>
      <c r="M46" s="443">
        <f>+L46+'25'!M46</f>
        <v>301896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+C47+'25'!D47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499.80475498815355</v>
      </c>
      <c r="J47" s="140">
        <f>J46/J38</f>
        <v>595.85497746014426</v>
      </c>
      <c r="K47" s="135" t="s">
        <v>25</v>
      </c>
      <c r="L47" s="441">
        <f>+L46/I38</f>
        <v>307.60645210610807</v>
      </c>
      <c r="M47" s="442">
        <f>+M46/J38</f>
        <v>213.34667562748709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+C48+'25'!D48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499.03413427777889</v>
      </c>
      <c r="J48" s="140">
        <f>J46/J40</f>
        <v>627.84700043560963</v>
      </c>
      <c r="K48" s="135" t="s">
        <v>25</v>
      </c>
      <c r="L48" s="441">
        <f>+L46/I38</f>
        <v>307.60645210610807</v>
      </c>
      <c r="M48" s="442">
        <f>+M46/J40</f>
        <v>224.80146245750944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+C49+'25'!D49</f>
        <v>1680</v>
      </c>
      <c r="E49" s="148">
        <f t="shared" si="0"/>
        <v>28</v>
      </c>
      <c r="F49" s="190"/>
      <c r="H49" s="193" t="s">
        <v>85</v>
      </c>
      <c r="I49" s="123">
        <f>+Report1!AB34</f>
        <v>0</v>
      </c>
      <c r="J49" s="140">
        <f>+I49+'25'!J49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+C50+'25'!D50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+C51+'25'!D51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25</v>
      </c>
      <c r="D52" s="149">
        <f>SUM(D38:D51)</f>
        <v>4811</v>
      </c>
      <c r="E52" s="150">
        <f>SUM(E38:E51)</f>
        <v>80.183333333333337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1.7361111111111112E-2</v>
      </c>
      <c r="D53" s="151">
        <f>D52/(24*60*G4)</f>
        <v>0.12849893162393161</v>
      </c>
      <c r="E53" s="152">
        <f>E52/(G4*24)</f>
        <v>0.12849893162393164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+D34+'25'!J56</f>
        <v>26922</v>
      </c>
      <c r="K56" s="206">
        <f>J56/(J40+J56/1000)/1000</f>
        <v>1.9653002809761823E-2</v>
      </c>
    </row>
    <row r="57" spans="1:13">
      <c r="A57" s="181"/>
      <c r="I57" s="204" t="s">
        <v>92</v>
      </c>
      <c r="J57" s="205">
        <f>+E34+'25'!J57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O61"/>
  <sheetViews>
    <sheetView topLeftCell="A10" zoomScale="80" zoomScaleNormal="80" workbookViewId="0">
      <selection activeCell="C26" sqref="C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25</v>
      </c>
      <c r="H4" s="159" t="str">
        <f>+'1'!H4</f>
        <v>.10.25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452+449+457</f>
        <v>1358</v>
      </c>
    </row>
    <row r="7" spans="1:15" ht="13.5" customHeight="1" thickBot="1">
      <c r="A7" s="777" t="s">
        <v>414</v>
      </c>
      <c r="B7" s="220" t="s">
        <v>702</v>
      </c>
      <c r="C7" s="221">
        <v>21912</v>
      </c>
      <c r="D7" s="222"/>
      <c r="E7" s="223"/>
      <c r="F7" s="232"/>
      <c r="G7" s="233" t="s">
        <v>13</v>
      </c>
      <c r="H7" s="234" t="s">
        <v>394</v>
      </c>
      <c r="I7" s="780" t="s">
        <v>709</v>
      </c>
      <c r="J7" s="219" t="str">
        <f>+'24'!J7</f>
        <v>TW 17 RC HW</v>
      </c>
      <c r="K7" s="242"/>
      <c r="L7" s="246"/>
      <c r="M7" s="122">
        <f>+K7+'24'!M7+L7</f>
        <v>44630</v>
      </c>
    </row>
    <row r="8" spans="1:15" ht="13.5" thickBot="1">
      <c r="A8" s="778"/>
      <c r="B8" s="220"/>
      <c r="C8" s="221"/>
      <c r="D8" s="222"/>
      <c r="E8" s="224"/>
      <c r="F8" s="235">
        <v>2</v>
      </c>
      <c r="G8" s="581" t="s">
        <v>13</v>
      </c>
      <c r="H8" s="234" t="s">
        <v>392</v>
      </c>
      <c r="I8" s="781"/>
      <c r="J8" s="219" t="str">
        <f>+'24'!J8</f>
        <v>N 18 RC HW</v>
      </c>
      <c r="K8" s="243"/>
      <c r="L8" s="243"/>
      <c r="M8" s="122">
        <f>+K8+'24'!M8+L8</f>
        <v>105194</v>
      </c>
      <c r="N8" s="154">
        <v>500</v>
      </c>
      <c r="O8" s="154">
        <f>+N8-N8*0.12</f>
        <v>440</v>
      </c>
    </row>
    <row r="9" spans="1:15" ht="13.5" thickBot="1">
      <c r="A9" s="778"/>
      <c r="B9" s="220"/>
      <c r="C9" s="221"/>
      <c r="D9" s="222"/>
      <c r="E9" s="225"/>
      <c r="F9" s="232">
        <v>1</v>
      </c>
      <c r="G9" s="581" t="s">
        <v>13</v>
      </c>
      <c r="H9" s="237" t="s">
        <v>226</v>
      </c>
      <c r="I9" s="781"/>
      <c r="J9" s="219" t="str">
        <f>+'24'!J9</f>
        <v>N 20 RC HW</v>
      </c>
      <c r="K9" s="243"/>
      <c r="L9" s="243"/>
      <c r="M9" s="122">
        <f>+K9+'24'!M9+L9</f>
        <v>71479</v>
      </c>
      <c r="N9" s="154">
        <v>485</v>
      </c>
      <c r="O9" s="154">
        <f>+N9-N9*0.12</f>
        <v>426.8</v>
      </c>
    </row>
    <row r="10" spans="1:15" ht="13.5" thickBot="1">
      <c r="A10" s="778"/>
      <c r="B10" s="220"/>
      <c r="C10" s="221"/>
      <c r="D10" s="222"/>
      <c r="E10" s="224"/>
      <c r="F10" s="232"/>
      <c r="G10" s="581"/>
      <c r="H10" s="237" t="s">
        <v>699</v>
      </c>
      <c r="I10" s="781"/>
      <c r="J10" s="219" t="str">
        <f>+'24'!J10</f>
        <v>N 17 RC HW</v>
      </c>
      <c r="K10" s="243"/>
      <c r="L10" s="243"/>
      <c r="M10" s="122">
        <f>+K10+'24'!M10+L10</f>
        <v>5253</v>
      </c>
      <c r="N10" s="154">
        <v>485</v>
      </c>
      <c r="O10" s="154">
        <f>+N10-N10*0.12</f>
        <v>426.8</v>
      </c>
    </row>
    <row r="11" spans="1:15" ht="13.5" thickBot="1">
      <c r="A11" s="778"/>
      <c r="B11" s="220"/>
      <c r="C11" s="221"/>
      <c r="D11" s="222"/>
      <c r="E11" s="224"/>
      <c r="F11" s="232"/>
      <c r="G11" s="236"/>
      <c r="H11" s="237"/>
      <c r="I11" s="781"/>
      <c r="J11" s="219" t="str">
        <f>+'24'!J11</f>
        <v>N 18,5 RC HW</v>
      </c>
      <c r="K11" s="243"/>
      <c r="L11" s="243"/>
      <c r="M11" s="122">
        <f>+K11+'24'!M11+L11</f>
        <v>10930</v>
      </c>
    </row>
    <row r="12" spans="1:15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+'24'!J12</f>
        <v>TW 32 RC HW</v>
      </c>
      <c r="K12" s="243"/>
      <c r="L12" s="243"/>
      <c r="M12" s="122">
        <f>+K12+'24'!M12+L12</f>
        <v>75522</v>
      </c>
    </row>
    <row r="13" spans="1:15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+'24'!J13</f>
        <v>TW 34 RC HW</v>
      </c>
      <c r="K13" s="243"/>
      <c r="L13" s="243"/>
      <c r="M13" s="122">
        <f>+K13+'24'!M13+L13</f>
        <v>22635</v>
      </c>
    </row>
    <row r="14" spans="1:15" ht="13.5" thickBot="1">
      <c r="A14" s="779"/>
      <c r="B14" s="170" t="s">
        <v>3</v>
      </c>
      <c r="C14" s="104">
        <f>SUM(C7:C13)</f>
        <v>21912</v>
      </c>
      <c r="D14" s="116">
        <f>SUM(D7:D13)</f>
        <v>0</v>
      </c>
      <c r="E14" s="117">
        <f>SUM(E5:E13)</f>
        <v>0</v>
      </c>
      <c r="F14" s="107">
        <f>SUM(F6:F13)</f>
        <v>3</v>
      </c>
      <c r="G14" s="164"/>
      <c r="H14" s="171"/>
      <c r="I14" s="172"/>
      <c r="J14" s="219" t="str">
        <f>+'24'!J14</f>
        <v>TW 36 RC HW</v>
      </c>
      <c r="K14" s="243"/>
      <c r="L14" s="243"/>
      <c r="M14" s="122">
        <f>+K14+'24'!M14+L14</f>
        <v>33555</v>
      </c>
    </row>
    <row r="15" spans="1:15" ht="13.5" customHeight="1" thickBot="1">
      <c r="A15" s="777" t="s">
        <v>412</v>
      </c>
      <c r="B15" s="170"/>
      <c r="C15" s="118">
        <f>C14/($C$23+$D$23+$E$23)</f>
        <v>1.014162732574285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710</v>
      </c>
      <c r="J15" s="219" t="str">
        <f>+'24'!J15</f>
        <v>TW 38 RC HW</v>
      </c>
      <c r="K15" s="243"/>
      <c r="L15" s="243"/>
      <c r="M15" s="122">
        <f>+K15+'24'!M15+L15</f>
        <v>50415</v>
      </c>
    </row>
    <row r="16" spans="1:15" ht="13.5" thickBot="1">
      <c r="A16" s="783"/>
      <c r="B16" s="220" t="s">
        <v>702</v>
      </c>
      <c r="C16" s="226">
        <v>21606</v>
      </c>
      <c r="D16" s="227"/>
      <c r="E16" s="228"/>
      <c r="F16" s="235">
        <v>2</v>
      </c>
      <c r="G16" s="581" t="s">
        <v>13</v>
      </c>
      <c r="H16" s="234" t="s">
        <v>392</v>
      </c>
      <c r="I16" s="781"/>
      <c r="J16" s="219" t="str">
        <f>+'24'!J16</f>
        <v>TW 30 RC HW</v>
      </c>
      <c r="K16" s="243"/>
      <c r="L16" s="233"/>
      <c r="M16" s="122">
        <f>+K16+'24'!M16+L16</f>
        <v>118057</v>
      </c>
    </row>
    <row r="17" spans="1:14" ht="13.5" thickBot="1">
      <c r="A17" s="783"/>
      <c r="B17" s="220"/>
      <c r="C17" s="221"/>
      <c r="D17" s="222"/>
      <c r="E17" s="229"/>
      <c r="F17" s="232">
        <v>3</v>
      </c>
      <c r="G17" s="581" t="s">
        <v>13</v>
      </c>
      <c r="H17" s="237" t="s">
        <v>226</v>
      </c>
      <c r="I17" s="781"/>
      <c r="J17" s="219" t="str">
        <f>+'24'!J17</f>
        <v>TW 28 RC HW</v>
      </c>
      <c r="K17" s="243"/>
      <c r="L17" s="233"/>
      <c r="M17" s="122">
        <f>+K17+'24'!M17+L17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706</v>
      </c>
      <c r="I18" s="781"/>
      <c r="J18" s="219" t="str">
        <f>+'24'!J18</f>
        <v>N 20,5 RC HW</v>
      </c>
      <c r="K18" s="243"/>
      <c r="L18" s="243"/>
      <c r="M18" s="122">
        <f>+K18+'24'!M18+L18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+'24'!J19</f>
        <v>N 17 RC BR</v>
      </c>
      <c r="K19" s="243"/>
      <c r="L19" s="243"/>
      <c r="M19" s="122">
        <f>+K19+'24'!M19+L19</f>
        <v>57113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+'24'!J20</f>
        <v>N 16 RC BR</v>
      </c>
      <c r="K20" s="243"/>
      <c r="L20" s="244"/>
      <c r="M20" s="122">
        <f>+K20+'24'!M20+L20</f>
        <v>77615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+'24'!J21</f>
        <v>N 15,5 RC BR</v>
      </c>
      <c r="K21" s="243"/>
      <c r="L21" s="243"/>
      <c r="M21" s="122">
        <f>+K21+'24'!M21+L21</f>
        <v>162173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+'24'!J22</f>
        <v>TW 19 RC BR</v>
      </c>
      <c r="K22" s="243"/>
      <c r="L22" s="243"/>
      <c r="M22" s="122">
        <f>+K22+'24'!M22+L22</f>
        <v>13803</v>
      </c>
    </row>
    <row r="23" spans="1:14" ht="13.5" thickBot="1">
      <c r="A23" s="784"/>
      <c r="B23" s="170" t="s">
        <v>3</v>
      </c>
      <c r="C23" s="105">
        <f>SUM(C16:C22)</f>
        <v>21606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+'24'!J23</f>
        <v>TW 30,5 RC BR</v>
      </c>
      <c r="K23" s="243"/>
      <c r="L23" s="243"/>
      <c r="M23" s="122">
        <f>+K23+'24'!M23+L23</f>
        <v>99011</v>
      </c>
    </row>
    <row r="24" spans="1:14" ht="13.5" customHeight="1" thickBot="1">
      <c r="A24" s="777" t="s">
        <v>413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710</v>
      </c>
      <c r="J24" s="219" t="str">
        <f>+'24'!J24</f>
        <v>TW 34 RC BR</v>
      </c>
      <c r="K24" s="243">
        <f>+C34</f>
        <v>65764</v>
      </c>
      <c r="L24" s="243"/>
      <c r="M24" s="122">
        <f>+K24+'24'!M24+L24</f>
        <v>126891</v>
      </c>
    </row>
    <row r="25" spans="1:14" ht="13.5" thickBot="1">
      <c r="A25" s="785"/>
      <c r="B25" s="220" t="s">
        <v>702</v>
      </c>
      <c r="C25" s="230">
        <v>22246</v>
      </c>
      <c r="D25" s="222"/>
      <c r="E25" s="229"/>
      <c r="F25" s="235">
        <v>5</v>
      </c>
      <c r="G25" s="581" t="s">
        <v>13</v>
      </c>
      <c r="H25" s="234" t="s">
        <v>392</v>
      </c>
      <c r="I25" s="781"/>
      <c r="J25" s="219">
        <f>+'24'!J25</f>
        <v>0</v>
      </c>
      <c r="K25" s="243"/>
      <c r="L25" s="243"/>
      <c r="M25" s="122">
        <f>+K25+'24'!M25+L25</f>
        <v>0</v>
      </c>
    </row>
    <row r="26" spans="1:14" ht="13.5" thickBot="1">
      <c r="A26" s="785"/>
      <c r="B26" s="220"/>
      <c r="C26" s="230"/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+'24'!J26</f>
        <v>0</v>
      </c>
      <c r="K26" s="243"/>
      <c r="L26" s="243"/>
      <c r="M26" s="122">
        <f>+K26+'24'!M26+L26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706</v>
      </c>
      <c r="I27" s="781"/>
      <c r="J27" s="219">
        <f>+'24'!J27</f>
        <v>0</v>
      </c>
      <c r="K27" s="243"/>
      <c r="L27" s="243"/>
      <c r="M27" s="122">
        <f>+K27+'24'!M27+L27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+'24'!J28</f>
        <v>0</v>
      </c>
      <c r="K28" s="243"/>
      <c r="L28" s="243"/>
      <c r="M28" s="122">
        <f>+K28+'24'!M28+L28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+'24'!J29</f>
        <v>0</v>
      </c>
      <c r="K29" s="243"/>
      <c r="L29" s="243"/>
      <c r="M29" s="122">
        <f>+K29+'24'!M29+L29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+'24'!J30</f>
        <v>0</v>
      </c>
      <c r="K30" s="243"/>
      <c r="L30" s="243"/>
      <c r="M30" s="122">
        <f>+K30+'24'!M30+L30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+'24'!J31</f>
        <v>0</v>
      </c>
      <c r="K31" s="243"/>
      <c r="L31" s="243"/>
      <c r="M31" s="122">
        <f>+K31+'24'!M31+L31</f>
        <v>0</v>
      </c>
    </row>
    <row r="32" spans="1:14" ht="13.5" thickBot="1">
      <c r="A32" s="786"/>
      <c r="B32" s="170" t="s">
        <v>3</v>
      </c>
      <c r="C32" s="104">
        <f>SUM(C25:C31)</f>
        <v>22246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+'24'!J32</f>
        <v>0</v>
      </c>
      <c r="K32" s="243"/>
      <c r="L32" s="247"/>
      <c r="M32" s="122">
        <f>+K32+'24'!M32+L32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65764</v>
      </c>
      <c r="D34" s="112">
        <f>D14+D23+D32</f>
        <v>0</v>
      </c>
      <c r="E34" s="112">
        <f>E14+E23+E32</f>
        <v>0</v>
      </c>
      <c r="F34" s="113">
        <f>F14+F23+F32</f>
        <v>18</v>
      </c>
      <c r="H34" s="183"/>
      <c r="I34" s="183"/>
      <c r="J34" s="128" t="s">
        <v>29</v>
      </c>
      <c r="K34" s="129">
        <f>SUM(K7:K32)</f>
        <v>65764</v>
      </c>
      <c r="L34" s="217">
        <f>SUM(L7:L32)</f>
        <v>0</v>
      </c>
      <c r="M34" s="125">
        <f>SUM(M7:M32)</f>
        <v>1277439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(34*1440)/1440*G42*3.4*1440/1000000</f>
        <v>71.779276799999991</v>
      </c>
      <c r="J37" s="130">
        <f>+I37+'24'!J37</f>
        <v>1488.7488148237364</v>
      </c>
      <c r="K37" s="131" t="s">
        <v>66</v>
      </c>
      <c r="L37" s="435"/>
      <c r="M37" s="436"/>
    </row>
    <row r="38" spans="1:14" ht="17.45" customHeight="1">
      <c r="A38" s="793" t="s">
        <v>13</v>
      </c>
      <c r="B38" s="794"/>
      <c r="C38" s="169">
        <f>SUMIF($G$7:$G$31,"Process",$F$7:$F$31)</f>
        <v>18</v>
      </c>
      <c r="D38" s="123">
        <f>+C38+'24'!D38</f>
        <v>2256</v>
      </c>
      <c r="E38" s="148">
        <f t="shared" ref="E38:E51" si="0">D38/60</f>
        <v>37.6</v>
      </c>
      <c r="F38" s="375">
        <v>500</v>
      </c>
      <c r="G38" s="375">
        <f>+F38-F38*0.12</f>
        <v>440</v>
      </c>
      <c r="H38" s="192" t="s">
        <v>67</v>
      </c>
      <c r="I38" s="556">
        <f>22.017+21.746+22.017</f>
        <v>65.78</v>
      </c>
      <c r="J38" s="132">
        <f>+I38+'24'!J38</f>
        <v>1349.6440000000002</v>
      </c>
      <c r="K38" s="133" t="s">
        <v>66</v>
      </c>
      <c r="L38" s="437"/>
      <c r="M38" s="438"/>
      <c r="N38" s="557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+C39+'24'!D39</f>
        <v>0</v>
      </c>
      <c r="E39" s="148">
        <f t="shared" si="0"/>
        <v>0</v>
      </c>
      <c r="F39" s="375">
        <v>485</v>
      </c>
      <c r="G39" s="375">
        <f>+F39-F39*0.12</f>
        <v>426.8</v>
      </c>
      <c r="H39" s="192" t="s">
        <v>68</v>
      </c>
      <c r="I39" s="147"/>
      <c r="J39" s="134">
        <f>J37/G4</f>
        <v>59.54995259294946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+C40+'24'!D40</f>
        <v>790</v>
      </c>
      <c r="E40" s="148">
        <f t="shared" si="0"/>
        <v>13.166666666666666</v>
      </c>
      <c r="F40" s="375">
        <v>485</v>
      </c>
      <c r="G40" s="375">
        <f>+F40-F40*0.12</f>
        <v>426.8</v>
      </c>
      <c r="H40" s="192" t="s">
        <v>70</v>
      </c>
      <c r="I40" s="123">
        <f>(K34+L34)/1000</f>
        <v>65.763999999999996</v>
      </c>
      <c r="J40" s="136">
        <f>+I40+'24'!J40</f>
        <v>1277.4389999999999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+C41+'24'!D41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51.097559999999994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+C42+'24'!D42</f>
        <v>0</v>
      </c>
      <c r="E42" s="148">
        <f t="shared" si="0"/>
        <v>0</v>
      </c>
      <c r="F42" s="375">
        <f>+(F38*480+F39*480+F40*480)/1440</f>
        <v>490</v>
      </c>
      <c r="G42" s="375">
        <f>+(G38*480+G39*480+G40*480)/1440</f>
        <v>431.2</v>
      </c>
      <c r="H42" s="192" t="s">
        <v>73</v>
      </c>
      <c r="I42" s="250" t="s">
        <v>708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+C43+'24'!D43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+Report1!AH33</f>
        <v>124.761</v>
      </c>
      <c r="J43" s="138">
        <f>+I43+'24'!J43</f>
        <v>3055.2240000000006</v>
      </c>
      <c r="K43" s="135" t="s">
        <v>66</v>
      </c>
      <c r="L43" s="439">
        <f>+Report1!AN33</f>
        <v>19.2</v>
      </c>
      <c r="M43" s="440">
        <f>+L43+'24'!M43</f>
        <v>313.59999999999997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+C44+'24'!D44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1.8966403162055334</v>
      </c>
      <c r="J44" s="139">
        <f>J43/J38</f>
        <v>2.2637258417775357</v>
      </c>
      <c r="K44" s="135" t="s">
        <v>66</v>
      </c>
      <c r="L44" s="441">
        <f>+L43/I38</f>
        <v>0.29188203101246579</v>
      </c>
      <c r="M44" s="442">
        <f>+M43/J38</f>
        <v>0.23235756984804876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+C45+'24'!D45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1.8971017578006204</v>
      </c>
      <c r="J45" s="139">
        <f>J43/J40</f>
        <v>2.3916789764521051</v>
      </c>
      <c r="K45" s="135" t="s">
        <v>66</v>
      </c>
      <c r="L45" s="441">
        <f>+L43/I40</f>
        <v>0.29195304421872148</v>
      </c>
      <c r="M45" s="442">
        <f>+M43/J40</f>
        <v>0.2454911741382563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+C46+'24'!D46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+SUMIF(Listrik!AC32,"&gt;0")</f>
        <v>30996.1599999998</v>
      </c>
      <c r="J46" s="140">
        <f>+I46+'24'!J46</f>
        <v>810474.25999999954</v>
      </c>
      <c r="K46" s="135" t="s">
        <v>81</v>
      </c>
      <c r="L46" s="441">
        <f>+Listrik!AF32</f>
        <v>29470</v>
      </c>
      <c r="M46" s="443">
        <f>+L46+'24'!M46</f>
        <v>281777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+C47+'24'!D47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471.20948616600487</v>
      </c>
      <c r="J47" s="140">
        <f>J46/J38</f>
        <v>600.50966032524093</v>
      </c>
      <c r="K47" s="135" t="s">
        <v>25</v>
      </c>
      <c r="L47" s="441">
        <f>+L46/I38</f>
        <v>448.00851322590455</v>
      </c>
      <c r="M47" s="442">
        <f>+M46/J38</f>
        <v>208.77875943582157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+C48+'24'!D48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471.32412870263062</v>
      </c>
      <c r="J48" s="140">
        <f>J46/J40</f>
        <v>634.45241612319626</v>
      </c>
      <c r="K48" s="135" t="s">
        <v>25</v>
      </c>
      <c r="L48" s="441">
        <f>+L46/I38</f>
        <v>448.00851322590455</v>
      </c>
      <c r="M48" s="442">
        <f>+M46/J40</f>
        <v>220.5796128034294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+C49+'24'!D49</f>
        <v>1680</v>
      </c>
      <c r="E49" s="148">
        <f t="shared" si="0"/>
        <v>28</v>
      </c>
      <c r="F49" s="190"/>
      <c r="H49" s="193" t="s">
        <v>85</v>
      </c>
      <c r="I49" s="123">
        <f>+Report1!AB33</f>
        <v>0</v>
      </c>
      <c r="J49" s="140">
        <f>+I49+'24'!J49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+C50+'24'!D50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+C51+'24'!D51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18</v>
      </c>
      <c r="D52" s="149">
        <f>SUM(D38:D51)</f>
        <v>4786</v>
      </c>
      <c r="E52" s="150">
        <f>SUM(E38:E51)</f>
        <v>79.766666666666666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1.2500000000000001E-2</v>
      </c>
      <c r="D53" s="151">
        <f>D52/(24*60*G4)</f>
        <v>0.13294444444444445</v>
      </c>
      <c r="E53" s="152">
        <f>E52/(G4*24)</f>
        <v>0.13294444444444445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+D34+'24'!J56</f>
        <v>25602</v>
      </c>
      <c r="K56" s="206">
        <f>J56/(J40+J56/1000)/1000</f>
        <v>1.9647885216198108E-2</v>
      </c>
    </row>
    <row r="57" spans="1:13">
      <c r="A57" s="181"/>
      <c r="I57" s="204" t="s">
        <v>92</v>
      </c>
      <c r="J57" s="205">
        <f>+E34+'24'!J57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61"/>
  <sheetViews>
    <sheetView topLeftCell="A7"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8554687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24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548+526+467</f>
        <v>1541</v>
      </c>
    </row>
    <row r="7" spans="1:18" ht="13.5" customHeight="1" thickBot="1">
      <c r="A7" s="777" t="s">
        <v>414</v>
      </c>
      <c r="B7" s="220" t="s">
        <v>697</v>
      </c>
      <c r="C7" s="221">
        <v>8356</v>
      </c>
      <c r="D7" s="222"/>
      <c r="E7" s="223"/>
      <c r="F7" s="232"/>
      <c r="G7" s="233" t="s">
        <v>13</v>
      </c>
      <c r="H7" s="234" t="s">
        <v>394</v>
      </c>
      <c r="I7" s="780" t="s">
        <v>700</v>
      </c>
      <c r="J7" s="219" t="str">
        <f>+'23'!J7</f>
        <v>TW 17 RC HW</v>
      </c>
      <c r="K7" s="242"/>
      <c r="L7" s="246"/>
      <c r="M7" s="122">
        <f>+K7+'23'!M7+L7</f>
        <v>44630</v>
      </c>
    </row>
    <row r="8" spans="1:18" ht="13.5" thickBot="1">
      <c r="A8" s="778"/>
      <c r="B8" s="220" t="s">
        <v>702</v>
      </c>
      <c r="C8" s="221">
        <v>15209</v>
      </c>
      <c r="D8" s="222"/>
      <c r="E8" s="224"/>
      <c r="F8" s="235"/>
      <c r="G8" s="581" t="s">
        <v>13</v>
      </c>
      <c r="H8" s="234" t="s">
        <v>430</v>
      </c>
      <c r="I8" s="781"/>
      <c r="J8" s="219" t="str">
        <f>+'23'!J8</f>
        <v>N 18 RC HW</v>
      </c>
      <c r="K8" s="243"/>
      <c r="L8" s="243"/>
      <c r="M8" s="122">
        <f>+K8+'23'!M8+L8</f>
        <v>105194</v>
      </c>
    </row>
    <row r="9" spans="1:18" ht="13.5" thickBot="1">
      <c r="A9" s="778"/>
      <c r="B9" s="220"/>
      <c r="C9" s="221"/>
      <c r="D9" s="222"/>
      <c r="E9" s="225"/>
      <c r="F9" s="232">
        <v>1</v>
      </c>
      <c r="G9" s="581" t="s">
        <v>13</v>
      </c>
      <c r="H9" s="237" t="s">
        <v>226</v>
      </c>
      <c r="I9" s="781"/>
      <c r="J9" s="219" t="str">
        <f>+'23'!J9</f>
        <v>N 20 RC HW</v>
      </c>
      <c r="K9" s="243"/>
      <c r="L9" s="243"/>
      <c r="M9" s="122">
        <f>+K9+'23'!M9+L9</f>
        <v>71479</v>
      </c>
      <c r="N9" s="154">
        <v>540</v>
      </c>
      <c r="O9" s="154">
        <f>+N9-N9*0.12</f>
        <v>475.2</v>
      </c>
      <c r="P9" s="154">
        <v>55</v>
      </c>
      <c r="Q9" s="154">
        <f>+N9*P9</f>
        <v>29700</v>
      </c>
      <c r="R9" s="154">
        <f>+O9*P9</f>
        <v>26136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681</v>
      </c>
      <c r="I10" s="781"/>
      <c r="J10" s="219" t="str">
        <f>+'23'!J10</f>
        <v>N 17 RC HW</v>
      </c>
      <c r="K10" s="243"/>
      <c r="L10" s="243"/>
      <c r="M10" s="122">
        <f>+K10+'23'!M10+L10</f>
        <v>5253</v>
      </c>
      <c r="N10" s="154">
        <v>500</v>
      </c>
      <c r="O10" s="154">
        <f>+N10-N10*0.12</f>
        <v>440</v>
      </c>
      <c r="P10" s="154">
        <f>5+420</f>
        <v>425</v>
      </c>
      <c r="Q10" s="154">
        <f>+N10*P10</f>
        <v>212500</v>
      </c>
      <c r="R10" s="154">
        <f>+O10*P10</f>
        <v>187000</v>
      </c>
    </row>
    <row r="11" spans="1:18" ht="13.5" thickBot="1">
      <c r="A11" s="778"/>
      <c r="B11" s="220"/>
      <c r="C11" s="221"/>
      <c r="D11" s="222"/>
      <c r="E11" s="224"/>
      <c r="F11" s="232">
        <v>2</v>
      </c>
      <c r="G11" s="236" t="s">
        <v>13</v>
      </c>
      <c r="H11" s="237" t="s">
        <v>698</v>
      </c>
      <c r="I11" s="781"/>
      <c r="J11" s="219" t="str">
        <f>+'23'!J11</f>
        <v>N 18,5 RC HW</v>
      </c>
      <c r="K11" s="243"/>
      <c r="L11" s="243"/>
      <c r="M11" s="122">
        <f>+K11+'23'!M11+L11</f>
        <v>10930</v>
      </c>
      <c r="P11" s="154">
        <f>SUM(P9:P10)</f>
        <v>480</v>
      </c>
      <c r="Q11" s="154">
        <f>SUM(Q9:Q10)</f>
        <v>242200</v>
      </c>
      <c r="R11" s="154">
        <f>SUM(R9:R10)</f>
        <v>213136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+'23'!J12</f>
        <v>TW 32 RC HW</v>
      </c>
      <c r="K12" s="243"/>
      <c r="L12" s="243"/>
      <c r="M12" s="122">
        <f>+K12+'23'!M12+L12</f>
        <v>75522</v>
      </c>
      <c r="Q12" s="154">
        <f>+Q11/P11</f>
        <v>504.58333333333331</v>
      </c>
      <c r="R12" s="154">
        <f>+R11/P11</f>
        <v>444.03333333333336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+'23'!J13</f>
        <v>TW 34 RC HW</v>
      </c>
      <c r="K13" s="243"/>
      <c r="L13" s="243"/>
      <c r="M13" s="122">
        <f>+K13+'23'!M13+L13</f>
        <v>22635</v>
      </c>
    </row>
    <row r="14" spans="1:18" ht="13.5" thickBot="1">
      <c r="A14" s="779"/>
      <c r="B14" s="170" t="s">
        <v>3</v>
      </c>
      <c r="C14" s="104">
        <f>SUM(C7:C13)</f>
        <v>23565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+'23'!J14</f>
        <v>TW 36 RC HW</v>
      </c>
      <c r="K14" s="243"/>
      <c r="L14" s="243"/>
      <c r="M14" s="122">
        <f>+K14+'23'!M14+L14</f>
        <v>33555</v>
      </c>
    </row>
    <row r="15" spans="1:18" ht="13.5" customHeight="1" thickBot="1">
      <c r="A15" s="777" t="s">
        <v>412</v>
      </c>
      <c r="B15" s="170"/>
      <c r="C15" s="118">
        <f>C14/($C$23+$D$23+$E$23)</f>
        <v>1.0118945379594642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700</v>
      </c>
      <c r="J15" s="219" t="str">
        <f>+'23'!J15</f>
        <v>TW 38 RC HW</v>
      </c>
      <c r="K15" s="243"/>
      <c r="L15" s="243"/>
      <c r="M15" s="122">
        <f>+K15+'23'!M15+L15</f>
        <v>50415</v>
      </c>
    </row>
    <row r="16" spans="1:18" ht="13.5" thickBot="1">
      <c r="A16" s="783"/>
      <c r="B16" s="220" t="s">
        <v>702</v>
      </c>
      <c r="C16" s="226">
        <v>23288</v>
      </c>
      <c r="D16" s="227"/>
      <c r="E16" s="228"/>
      <c r="F16" s="235">
        <v>3</v>
      </c>
      <c r="G16" s="581" t="s">
        <v>13</v>
      </c>
      <c r="H16" s="234" t="s">
        <v>392</v>
      </c>
      <c r="I16" s="781"/>
      <c r="J16" s="219" t="str">
        <f>+'23'!J16</f>
        <v>TW 30 RC HW</v>
      </c>
      <c r="K16" s="243"/>
      <c r="L16" s="233"/>
      <c r="M16" s="122">
        <f>+K16+'23'!M16+L16</f>
        <v>118057</v>
      </c>
    </row>
    <row r="17" spans="1:14" ht="13.5" thickBot="1">
      <c r="A17" s="783"/>
      <c r="B17" s="220"/>
      <c r="C17" s="221"/>
      <c r="D17" s="222"/>
      <c r="E17" s="229"/>
      <c r="F17" s="232">
        <v>2</v>
      </c>
      <c r="G17" s="581" t="s">
        <v>13</v>
      </c>
      <c r="H17" s="237" t="s">
        <v>226</v>
      </c>
      <c r="I17" s="781"/>
      <c r="J17" s="219" t="str">
        <f>+'23'!J17</f>
        <v>TW 28 RC HW</v>
      </c>
      <c r="K17" s="243"/>
      <c r="L17" s="233"/>
      <c r="M17" s="122">
        <f>+K17+'23'!M17+L17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699</v>
      </c>
      <c r="I18" s="781"/>
      <c r="J18" s="219" t="str">
        <f>+'23'!J18</f>
        <v>N 20,5 RC HW</v>
      </c>
      <c r="K18" s="243"/>
      <c r="L18" s="243"/>
      <c r="M18" s="122">
        <f>+K18+'23'!M18+L18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+'23'!J19</f>
        <v>N 17 RC BR</v>
      </c>
      <c r="K19" s="243"/>
      <c r="L19" s="243"/>
      <c r="M19" s="122">
        <f>+K19+'23'!M19+L19</f>
        <v>57113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+'23'!J20</f>
        <v>N 16 RC BR</v>
      </c>
      <c r="K20" s="243"/>
      <c r="L20" s="244"/>
      <c r="M20" s="122">
        <f>+K20+'23'!M20+L20</f>
        <v>77615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+'23'!J21</f>
        <v>N 15,5 RC BR</v>
      </c>
      <c r="K21" s="243"/>
      <c r="L21" s="243"/>
      <c r="M21" s="122">
        <f>+K21+'23'!M21+L21</f>
        <v>162173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+'23'!J22</f>
        <v>TW 19 RC BR</v>
      </c>
      <c r="K22" s="243"/>
      <c r="L22" s="243"/>
      <c r="M22" s="122">
        <f>+K22+'23'!M22+L22</f>
        <v>13803</v>
      </c>
    </row>
    <row r="23" spans="1:14" ht="14.25" customHeight="1" thickBot="1">
      <c r="A23" s="784"/>
      <c r="B23" s="170" t="s">
        <v>3</v>
      </c>
      <c r="C23" s="105">
        <f>SUM(C16:C22)</f>
        <v>23288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 t="str">
        <f>+'23'!J23</f>
        <v>TW 30,5 RC BR</v>
      </c>
      <c r="K23" s="243">
        <f>+C7</f>
        <v>8356</v>
      </c>
      <c r="L23" s="243"/>
      <c r="M23" s="122">
        <f>+K23+'23'!M23+L23</f>
        <v>99011</v>
      </c>
    </row>
    <row r="24" spans="1:14" ht="13.5" customHeight="1" thickBot="1">
      <c r="A24" s="777" t="s">
        <v>413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700</v>
      </c>
      <c r="J24" s="219" t="s">
        <v>702</v>
      </c>
      <c r="K24" s="243">
        <f>+C8+C16+C25</f>
        <v>61127</v>
      </c>
      <c r="L24" s="243"/>
      <c r="M24" s="122">
        <f>+K24+'23'!M24+L24</f>
        <v>61127</v>
      </c>
    </row>
    <row r="25" spans="1:14" ht="13.5" thickBot="1">
      <c r="A25" s="785"/>
      <c r="B25" s="220" t="s">
        <v>702</v>
      </c>
      <c r="C25" s="230">
        <v>22630</v>
      </c>
      <c r="D25" s="222">
        <v>695</v>
      </c>
      <c r="E25" s="229"/>
      <c r="F25" s="235"/>
      <c r="G25" s="581" t="s">
        <v>13</v>
      </c>
      <c r="H25" s="234" t="s">
        <v>430</v>
      </c>
      <c r="I25" s="781"/>
      <c r="J25" s="219">
        <f>+'23'!J25</f>
        <v>0</v>
      </c>
      <c r="K25" s="243"/>
      <c r="L25" s="243"/>
      <c r="M25" s="122">
        <f>+K25+'23'!M25+L25</f>
        <v>0</v>
      </c>
    </row>
    <row r="26" spans="1:14" ht="13.5" thickBot="1">
      <c r="A26" s="785"/>
      <c r="B26" s="220"/>
      <c r="C26" s="230"/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+'23'!J26</f>
        <v>0</v>
      </c>
      <c r="K26" s="243"/>
      <c r="L26" s="243"/>
      <c r="M26" s="122">
        <f>+K26+'23'!M26+L26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699</v>
      </c>
      <c r="I27" s="781"/>
      <c r="J27" s="219">
        <f>+'23'!J27</f>
        <v>0</v>
      </c>
      <c r="K27" s="243"/>
      <c r="L27" s="243"/>
      <c r="M27" s="122">
        <f>+K27+'23'!M27+L27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+'23'!J28</f>
        <v>0</v>
      </c>
      <c r="K28" s="243"/>
      <c r="L28" s="243"/>
      <c r="M28" s="122">
        <f>+K28+'23'!M28+L28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+'23'!J29</f>
        <v>0</v>
      </c>
      <c r="K29" s="243"/>
      <c r="L29" s="243"/>
      <c r="M29" s="122">
        <f>+K29+'23'!M29+L29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+'23'!J30</f>
        <v>0</v>
      </c>
      <c r="K30" s="243"/>
      <c r="L30" s="243"/>
      <c r="M30" s="122">
        <f>+K30+'23'!M30+L30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+'23'!J31</f>
        <v>0</v>
      </c>
      <c r="K31" s="243"/>
      <c r="L31" s="243"/>
      <c r="M31" s="122">
        <f>+K31+'23'!M31+L31</f>
        <v>0</v>
      </c>
    </row>
    <row r="32" spans="1:14" ht="13.5" thickBot="1">
      <c r="A32" s="786"/>
      <c r="B32" s="170" t="s">
        <v>3</v>
      </c>
      <c r="C32" s="104">
        <f>SUM(C25:C31)</f>
        <v>22630</v>
      </c>
      <c r="D32" s="105">
        <f>SUM(D25:D31)</f>
        <v>695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+'23'!J32</f>
        <v>0</v>
      </c>
      <c r="K32" s="245"/>
      <c r="L32" s="247"/>
      <c r="M32" s="122">
        <f>+K32+'23'!M32+L32</f>
        <v>0</v>
      </c>
    </row>
    <row r="33" spans="1:14" ht="13.5" thickBot="1">
      <c r="A33" s="178"/>
      <c r="B33" s="179"/>
      <c r="C33" s="108">
        <f>C32/($C$32+$D$32+$E$32)</f>
        <v>0.97020364415862803</v>
      </c>
      <c r="D33" s="109">
        <f>D32/($C$32+$D$32+$E$32)</f>
        <v>2.979635584137192E-2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69483</v>
      </c>
      <c r="D34" s="112">
        <f>D14+D23+D32</f>
        <v>695</v>
      </c>
      <c r="E34" s="112">
        <f>E14+E23+E32</f>
        <v>0</v>
      </c>
      <c r="F34" s="113">
        <f>F14+F23+F32</f>
        <v>5</v>
      </c>
      <c r="H34" s="183"/>
      <c r="I34" s="183"/>
      <c r="J34" s="128" t="s">
        <v>29</v>
      </c>
      <c r="K34" s="129">
        <f>SUM(K7:K32)</f>
        <v>69483</v>
      </c>
      <c r="L34" s="217">
        <f>SUM(L7:L32)</f>
        <v>0</v>
      </c>
      <c r="M34" s="125">
        <f>SUM(M7:M32)</f>
        <v>1211675</v>
      </c>
      <c r="N34" s="160"/>
    </row>
    <row r="35" spans="1:14" ht="13.5" thickBot="1">
      <c r="A35" s="184"/>
      <c r="B35" s="185"/>
      <c r="C35" s="109">
        <f>C34/($C$34+$D$34+$E$34)</f>
        <v>0.99009661147368122</v>
      </c>
      <c r="D35" s="109">
        <f>D34/($C$34+$D$34+$E$34)</f>
        <v>9.9033885263187897E-3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(30.5*55+34*1385)/1440*G42*3.4*1440/1000000</f>
        <v>73.179101661111119</v>
      </c>
      <c r="J37" s="130">
        <f>+I37+'23'!J37</f>
        <v>1416.9695380237365</v>
      </c>
      <c r="K37" s="131" t="s">
        <v>66</v>
      </c>
      <c r="L37" s="435"/>
      <c r="M37" s="436"/>
      <c r="N37" s="154">
        <f>2.94+1.505</f>
        <v>4.4450000000000003</v>
      </c>
    </row>
    <row r="38" spans="1:14" ht="17.45" customHeight="1">
      <c r="A38" s="793" t="s">
        <v>13</v>
      </c>
      <c r="B38" s="794"/>
      <c r="C38" s="169">
        <f>SUMIF($G$7:$G$31,"Process",$F$7:$F$31)</f>
        <v>13</v>
      </c>
      <c r="D38" s="123">
        <f>+C38+'23'!D38</f>
        <v>2238</v>
      </c>
      <c r="E38" s="148">
        <f t="shared" ref="E38:E51" si="0">D38/60</f>
        <v>37.299999999999997</v>
      </c>
      <c r="F38" s="375">
        <v>504.58333333333331</v>
      </c>
      <c r="G38" s="375">
        <v>444.03333333333336</v>
      </c>
      <c r="H38" s="192" t="s">
        <v>67</v>
      </c>
      <c r="I38" s="556">
        <f>23.689+23.45+23.15</f>
        <v>70.288999999999987</v>
      </c>
      <c r="J38" s="132">
        <f>+I38+'23'!J38</f>
        <v>1283.8640000000003</v>
      </c>
      <c r="K38" s="133" t="s">
        <v>66</v>
      </c>
      <c r="L38" s="437"/>
      <c r="M38" s="438"/>
      <c r="N38" s="557">
        <f>+I38-N37</f>
        <v>65.843999999999994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+C39+'23'!D39</f>
        <v>0</v>
      </c>
      <c r="E39" s="148">
        <f t="shared" si="0"/>
        <v>0</v>
      </c>
      <c r="F39" s="375">
        <v>500</v>
      </c>
      <c r="G39" s="375">
        <v>440</v>
      </c>
      <c r="H39" s="192" t="s">
        <v>68</v>
      </c>
      <c r="I39" s="147"/>
      <c r="J39" s="134">
        <f>J37/G4</f>
        <v>59.04039741765569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+C40+'23'!D40</f>
        <v>790</v>
      </c>
      <c r="E40" s="148">
        <f t="shared" si="0"/>
        <v>13.166666666666666</v>
      </c>
      <c r="F40" s="375">
        <v>500</v>
      </c>
      <c r="G40" s="375">
        <v>440</v>
      </c>
      <c r="H40" s="192" t="s">
        <v>70</v>
      </c>
      <c r="I40" s="123">
        <f>(K34+L34)/1000</f>
        <v>69.483000000000004</v>
      </c>
      <c r="J40" s="136">
        <f>+I40+'23'!J40</f>
        <v>1211.675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+C41+'23'!D41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50.486458333333331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+C42+'23'!D42</f>
        <v>0</v>
      </c>
      <c r="E42" s="148">
        <f t="shared" si="0"/>
        <v>0</v>
      </c>
      <c r="F42" s="375">
        <f>+(F38*480+F39*480+F40*480)/1440</f>
        <v>501.52777777777777</v>
      </c>
      <c r="G42" s="375">
        <f>+(G38*480+G39*480+G40*480)/1440</f>
        <v>441.34444444444443</v>
      </c>
      <c r="H42" s="192" t="s">
        <v>73</v>
      </c>
      <c r="I42" s="250" t="s">
        <v>701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+C43+'23'!D43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+Report1!AH32</f>
        <v>128.81100000000001</v>
      </c>
      <c r="J43" s="138">
        <f>+I43+'23'!J43</f>
        <v>2930.4630000000006</v>
      </c>
      <c r="K43" s="135" t="s">
        <v>66</v>
      </c>
      <c r="L43" s="439">
        <f>+Report1!AN32</f>
        <v>18.399999999999999</v>
      </c>
      <c r="M43" s="440">
        <f>+L43+'23'!M43</f>
        <v>294.39999999999998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+C44+'23'!D44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1.832591159356372</v>
      </c>
      <c r="J44" s="139">
        <f>J43/J38</f>
        <v>2.2825338197815346</v>
      </c>
      <c r="K44" s="135" t="s">
        <v>66</v>
      </c>
      <c r="L44" s="441">
        <f>+L43/I38</f>
        <v>0.26177638037246231</v>
      </c>
      <c r="M44" s="442">
        <f>+M43/J38</f>
        <v>0.2293077771477352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+C45+'23'!D45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1.8538491429558308</v>
      </c>
      <c r="J45" s="139">
        <f>J43/J40</f>
        <v>2.4185222935193025</v>
      </c>
      <c r="K45" s="135" t="s">
        <v>66</v>
      </c>
      <c r="L45" s="441">
        <f>+L43/I40</f>
        <v>0.26481297583581592</v>
      </c>
      <c r="M45" s="442">
        <f>+M43/J40</f>
        <v>0.24296944312625085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+C46+'23'!D46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+SUMIF(Listrik!AC31,"&gt;0")</f>
        <v>32248.189999999991</v>
      </c>
      <c r="J46" s="140">
        <f>+I46+'23'!J46</f>
        <v>779478.09999999974</v>
      </c>
      <c r="K46" s="135" t="s">
        <v>81</v>
      </c>
      <c r="L46" s="441">
        <f>+Listrik!AF31</f>
        <v>28009</v>
      </c>
      <c r="M46" s="443">
        <f>+L46+'23'!M46</f>
        <v>252307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+C47+'23'!D47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458.7942636827953</v>
      </c>
      <c r="J47" s="140">
        <f>J46/J38</f>
        <v>607.13447841827451</v>
      </c>
      <c r="K47" s="135" t="s">
        <v>25</v>
      </c>
      <c r="L47" s="441">
        <f>+L46/I38</f>
        <v>398.48340423110307</v>
      </c>
      <c r="M47" s="442">
        <f>+M46/J38</f>
        <v>196.5215941875463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+C48+'23'!D48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464.11625865319559</v>
      </c>
      <c r="J48" s="140">
        <f>J46/J40</f>
        <v>643.30624961313868</v>
      </c>
      <c r="K48" s="135" t="s">
        <v>25</v>
      </c>
      <c r="L48" s="441">
        <f>+L46/I38</f>
        <v>398.48340423110307</v>
      </c>
      <c r="M48" s="442">
        <f>+M46/J40</f>
        <v>208.22992964284978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+C49+'23'!D49</f>
        <v>1680</v>
      </c>
      <c r="E49" s="148">
        <f t="shared" si="0"/>
        <v>28</v>
      </c>
      <c r="F49" s="190"/>
      <c r="H49" s="193" t="s">
        <v>85</v>
      </c>
      <c r="I49" s="123">
        <f>+Report1!AB32</f>
        <v>0</v>
      </c>
      <c r="J49" s="140">
        <f>+I49+'23'!J49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+C50+'23'!D50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+C51+'23'!D51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13</v>
      </c>
      <c r="D52" s="149">
        <f>SUM(D38:D51)</f>
        <v>4768</v>
      </c>
      <c r="E52" s="150">
        <f>SUM(E38:E51)</f>
        <v>79.466666666666669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9.0277777777777769E-3</v>
      </c>
      <c r="D53" s="151">
        <f>D52/(24*60*G4)</f>
        <v>0.13796296296296295</v>
      </c>
      <c r="E53" s="152">
        <f>E52/(G4*24)</f>
        <v>0.13796296296296295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+D34+'23'!J56</f>
        <v>25602</v>
      </c>
      <c r="K56" s="206">
        <f>J56/(J40+J56/1000)/1000</f>
        <v>2.0692213627182921E-2</v>
      </c>
    </row>
    <row r="57" spans="1:13">
      <c r="A57" s="181"/>
      <c r="I57" s="204" t="s">
        <v>92</v>
      </c>
      <c r="J57" s="205">
        <f>+E34+'23'!J57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6.28515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23</v>
      </c>
      <c r="H4" s="159" t="str">
        <f>+'1'!H4</f>
        <v>.10.25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481+512+553</f>
        <v>1546</v>
      </c>
    </row>
    <row r="7" spans="1:15" ht="13.5" customHeight="1" thickBot="1">
      <c r="A7" s="777" t="s">
        <v>414</v>
      </c>
      <c r="B7" s="220" t="s">
        <v>697</v>
      </c>
      <c r="C7" s="221">
        <v>25335</v>
      </c>
      <c r="D7" s="222">
        <v>1400</v>
      </c>
      <c r="E7" s="223"/>
      <c r="F7" s="232"/>
      <c r="G7" s="233" t="s">
        <v>13</v>
      </c>
      <c r="H7" s="234" t="s">
        <v>394</v>
      </c>
      <c r="I7" s="780" t="s">
        <v>687</v>
      </c>
      <c r="J7" s="219" t="str">
        <f>+'22'!J7</f>
        <v>TW 17 RC HW</v>
      </c>
      <c r="K7" s="242"/>
      <c r="L7" s="246"/>
      <c r="M7" s="122">
        <f>+K7+'22'!M7+L7</f>
        <v>44630</v>
      </c>
    </row>
    <row r="8" spans="1:15" ht="13.5" thickBot="1">
      <c r="A8" s="778"/>
      <c r="B8" s="220"/>
      <c r="C8" s="221"/>
      <c r="D8" s="222"/>
      <c r="E8" s="224"/>
      <c r="F8" s="235"/>
      <c r="G8" s="581" t="s">
        <v>13</v>
      </c>
      <c r="H8" s="234" t="s">
        <v>430</v>
      </c>
      <c r="I8" s="781"/>
      <c r="J8" s="219" t="str">
        <f>+'22'!J8</f>
        <v>N 18 RC HW</v>
      </c>
      <c r="K8" s="243"/>
      <c r="L8" s="243"/>
      <c r="M8" s="122">
        <f>+K8+'22'!M8+L8</f>
        <v>105194</v>
      </c>
      <c r="N8" s="154">
        <v>540</v>
      </c>
      <c r="O8" s="154">
        <f>+N8-N8*0.12</f>
        <v>475.2</v>
      </c>
    </row>
    <row r="9" spans="1:15" ht="13.5" thickBot="1">
      <c r="A9" s="778"/>
      <c r="B9" s="220"/>
      <c r="C9" s="221"/>
      <c r="D9" s="222"/>
      <c r="E9" s="225"/>
      <c r="F9" s="232">
        <v>3</v>
      </c>
      <c r="G9" s="581" t="s">
        <v>13</v>
      </c>
      <c r="H9" s="237" t="s">
        <v>226</v>
      </c>
      <c r="I9" s="781"/>
      <c r="J9" s="219" t="str">
        <f>+'22'!J9</f>
        <v>N 20 RC HW</v>
      </c>
      <c r="K9" s="243"/>
      <c r="L9" s="243"/>
      <c r="M9" s="122">
        <f>+K9+'22'!M9+L9</f>
        <v>71479</v>
      </c>
    </row>
    <row r="10" spans="1:15" ht="13.5" thickBot="1">
      <c r="A10" s="778"/>
      <c r="B10" s="220"/>
      <c r="C10" s="221"/>
      <c r="D10" s="222"/>
      <c r="E10" s="224"/>
      <c r="F10" s="232"/>
      <c r="G10" s="581"/>
      <c r="H10" s="237" t="s">
        <v>681</v>
      </c>
      <c r="I10" s="781"/>
      <c r="J10" s="219" t="str">
        <f>+'22'!J10</f>
        <v>N 17 RC HW</v>
      </c>
      <c r="K10" s="243"/>
      <c r="L10" s="243"/>
      <c r="M10" s="122">
        <f>+K10+'22'!M10+L10</f>
        <v>5253</v>
      </c>
    </row>
    <row r="11" spans="1:15" ht="13.5" thickBot="1">
      <c r="A11" s="778"/>
      <c r="B11" s="220"/>
      <c r="C11" s="221"/>
      <c r="D11" s="222"/>
      <c r="E11" s="224"/>
      <c r="F11" s="232"/>
      <c r="G11" s="236"/>
      <c r="H11" s="237"/>
      <c r="I11" s="781"/>
      <c r="J11" s="219" t="str">
        <f>+'22'!J11</f>
        <v>N 18,5 RC HW</v>
      </c>
      <c r="K11" s="243"/>
      <c r="L11" s="243"/>
      <c r="M11" s="122">
        <f>+K11+'22'!M11+L11</f>
        <v>10930</v>
      </c>
    </row>
    <row r="12" spans="1:15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+'22'!J12</f>
        <v>TW 32 RC HW</v>
      </c>
      <c r="K12" s="243"/>
      <c r="L12" s="243"/>
      <c r="M12" s="122">
        <f>+K12+'22'!M12+L12</f>
        <v>75522</v>
      </c>
    </row>
    <row r="13" spans="1:15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+'22'!J13</f>
        <v>TW 34 RC HW</v>
      </c>
      <c r="K13" s="243"/>
      <c r="L13" s="243"/>
      <c r="M13" s="122">
        <f>+K13+'22'!M13+L13</f>
        <v>22635</v>
      </c>
    </row>
    <row r="14" spans="1:15" ht="13.5" thickBot="1">
      <c r="A14" s="779"/>
      <c r="B14" s="170" t="s">
        <v>3</v>
      </c>
      <c r="C14" s="104">
        <f>SUM(C7:C13)</f>
        <v>25335</v>
      </c>
      <c r="D14" s="116">
        <f>SUM(D7:D13)</f>
        <v>1400</v>
      </c>
      <c r="E14" s="117">
        <f>SUM(E5:E13)</f>
        <v>0</v>
      </c>
      <c r="F14" s="107">
        <f>SUM(F6:F13)</f>
        <v>3</v>
      </c>
      <c r="G14" s="164"/>
      <c r="H14" s="171"/>
      <c r="I14" s="172"/>
      <c r="J14" s="219" t="str">
        <f>+'22'!J14</f>
        <v>TW 36 RC HW</v>
      </c>
      <c r="K14" s="243"/>
      <c r="L14" s="243"/>
      <c r="M14" s="122">
        <f>+K14+'22'!M14+L14</f>
        <v>33555</v>
      </c>
    </row>
    <row r="15" spans="1:15" ht="13.5" customHeight="1" thickBot="1">
      <c r="A15" s="777" t="s">
        <v>411</v>
      </c>
      <c r="B15" s="170"/>
      <c r="C15" s="118">
        <f>C14/($C$23+$D$23+$E$23)</f>
        <v>1.1198285007072135</v>
      </c>
      <c r="D15" s="119">
        <f>D14/($C$23+$D$23+$E$23)</f>
        <v>6.1881188118811881E-2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687</v>
      </c>
      <c r="J15" s="219" t="str">
        <f>+'22'!J15</f>
        <v>TW 38 RC HW</v>
      </c>
      <c r="K15" s="243"/>
      <c r="L15" s="243"/>
      <c r="M15" s="122">
        <f>+K15+'22'!M15+L15</f>
        <v>50415</v>
      </c>
    </row>
    <row r="16" spans="1:15" ht="13.5" thickBot="1">
      <c r="A16" s="783"/>
      <c r="B16" s="220" t="s">
        <v>697</v>
      </c>
      <c r="C16" s="226">
        <v>22624</v>
      </c>
      <c r="D16" s="227"/>
      <c r="E16" s="228"/>
      <c r="F16" s="235"/>
      <c r="G16" s="581" t="s">
        <v>13</v>
      </c>
      <c r="H16" s="234" t="s">
        <v>430</v>
      </c>
      <c r="I16" s="781"/>
      <c r="J16" s="219" t="str">
        <f>+'22'!J16</f>
        <v>TW 30 RC HW</v>
      </c>
      <c r="K16" s="243"/>
      <c r="L16" s="233"/>
      <c r="M16" s="122">
        <f>+K16+'22'!M16+L16</f>
        <v>118057</v>
      </c>
    </row>
    <row r="17" spans="1:14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+'22'!J17</f>
        <v>TW 28 RC HW</v>
      </c>
      <c r="K17" s="243"/>
      <c r="L17" s="233"/>
      <c r="M17" s="122">
        <f>+K17+'22'!M17+L17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681</v>
      </c>
      <c r="I18" s="781"/>
      <c r="J18" s="219" t="str">
        <f>+'22'!J18</f>
        <v>N 20,5 RC HW</v>
      </c>
      <c r="K18" s="243"/>
      <c r="L18" s="243"/>
      <c r="M18" s="122">
        <f>+K18+'22'!M18+L18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+'22'!J19</f>
        <v>N 17 RC BR</v>
      </c>
      <c r="K19" s="243"/>
      <c r="L19" s="243"/>
      <c r="M19" s="122">
        <f>+K19+'22'!M19+L19</f>
        <v>57113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+'22'!J20</f>
        <v>N 16 RC BR</v>
      </c>
      <c r="K20" s="243"/>
      <c r="L20" s="244"/>
      <c r="M20" s="122">
        <f>+K20+'22'!M20+L20</f>
        <v>77615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+'22'!J21</f>
        <v>N 15,5 RC BR</v>
      </c>
      <c r="K21" s="243"/>
      <c r="L21" s="243"/>
      <c r="M21" s="122">
        <f>+K21+'22'!M21+L21</f>
        <v>162173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tr">
        <f>+'22'!J22</f>
        <v>TW 19 RC BR</v>
      </c>
      <c r="K22" s="243"/>
      <c r="L22" s="243"/>
      <c r="M22" s="122">
        <f>+K22+'22'!M22+L22</f>
        <v>13803</v>
      </c>
    </row>
    <row r="23" spans="1:14" ht="13.5" thickBot="1">
      <c r="A23" s="784"/>
      <c r="B23" s="170" t="s">
        <v>3</v>
      </c>
      <c r="C23" s="105">
        <f>SUM(C16:C22)</f>
        <v>22624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+'22'!J23</f>
        <v>TW 30,5 RC BR</v>
      </c>
      <c r="K23" s="243">
        <f>+C34</f>
        <v>70382</v>
      </c>
      <c r="L23" s="243"/>
      <c r="M23" s="122">
        <f>+K23+'22'!M23+L23</f>
        <v>90655</v>
      </c>
    </row>
    <row r="24" spans="1:14" ht="13.5" customHeight="1" thickBot="1">
      <c r="A24" s="777" t="s">
        <v>413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687</v>
      </c>
      <c r="J24" s="219">
        <f>+'22'!J24</f>
        <v>0</v>
      </c>
      <c r="K24" s="243"/>
      <c r="L24" s="243"/>
      <c r="M24" s="122">
        <f>+K24+'22'!M24+L24</f>
        <v>0</v>
      </c>
    </row>
    <row r="25" spans="1:14" ht="13.5" thickBot="1">
      <c r="A25" s="785"/>
      <c r="B25" s="220" t="s">
        <v>697</v>
      </c>
      <c r="C25" s="230">
        <v>22423</v>
      </c>
      <c r="D25" s="222"/>
      <c r="E25" s="229"/>
      <c r="F25" s="235">
        <v>3</v>
      </c>
      <c r="G25" s="581" t="s">
        <v>13</v>
      </c>
      <c r="H25" s="234" t="s">
        <v>449</v>
      </c>
      <c r="I25" s="781"/>
      <c r="J25" s="219">
        <f>+'22'!J25</f>
        <v>0</v>
      </c>
      <c r="K25" s="243"/>
      <c r="L25" s="243"/>
      <c r="M25" s="122">
        <f>+K25+'22'!M25+L25</f>
        <v>0</v>
      </c>
    </row>
    <row r="26" spans="1:14" ht="13.5" thickBot="1">
      <c r="A26" s="785"/>
      <c r="B26" s="220"/>
      <c r="C26" s="230"/>
      <c r="D26" s="222"/>
      <c r="E26" s="231"/>
      <c r="F26" s="232">
        <v>2</v>
      </c>
      <c r="G26" s="581" t="s">
        <v>13</v>
      </c>
      <c r="H26" s="237" t="s">
        <v>226</v>
      </c>
      <c r="I26" s="781"/>
      <c r="J26" s="219">
        <f>+'22'!J26</f>
        <v>0</v>
      </c>
      <c r="K26" s="243"/>
      <c r="L26" s="243"/>
      <c r="M26" s="122">
        <f>+K26+'22'!M26+L26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681</v>
      </c>
      <c r="I27" s="781"/>
      <c r="J27" s="219">
        <f>+'22'!J27</f>
        <v>0</v>
      </c>
      <c r="K27" s="243"/>
      <c r="L27" s="243"/>
      <c r="M27" s="122">
        <f>+K27+'22'!M27+L27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+'22'!J28</f>
        <v>0</v>
      </c>
      <c r="K28" s="243"/>
      <c r="L28" s="243"/>
      <c r="M28" s="122">
        <f>+K28+'22'!M28+L28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+'22'!J29</f>
        <v>0</v>
      </c>
      <c r="K29" s="243"/>
      <c r="L29" s="243"/>
      <c r="M29" s="122">
        <f>+K29+'22'!M29+L29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+'22'!J30</f>
        <v>0</v>
      </c>
      <c r="K30" s="243"/>
      <c r="L30" s="243"/>
      <c r="M30" s="122">
        <f>+K30+'22'!M30+L30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+'22'!J31</f>
        <v>0</v>
      </c>
      <c r="K31" s="243"/>
      <c r="L31" s="243"/>
      <c r="M31" s="122">
        <f>+K31+'22'!M31+L31</f>
        <v>0</v>
      </c>
    </row>
    <row r="32" spans="1:14" ht="13.5" thickBot="1">
      <c r="A32" s="786"/>
      <c r="B32" s="170" t="s">
        <v>3</v>
      </c>
      <c r="C32" s="104">
        <f>SUM(C25:C31)</f>
        <v>22423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+'22'!J32</f>
        <v>0</v>
      </c>
      <c r="K32" s="243"/>
      <c r="L32" s="247"/>
      <c r="M32" s="122">
        <f>+K32+'22'!M32+L32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70382</v>
      </c>
      <c r="D34" s="112">
        <f>D14+D23+D32</f>
        <v>1400</v>
      </c>
      <c r="E34" s="112">
        <f>E14+E23+E32</f>
        <v>0</v>
      </c>
      <c r="F34" s="113">
        <f>F14+F23+F32</f>
        <v>13</v>
      </c>
      <c r="H34" s="183"/>
      <c r="I34" s="183"/>
      <c r="J34" s="128" t="s">
        <v>29</v>
      </c>
      <c r="K34" s="129">
        <f>SUM(K7:K32)</f>
        <v>70382</v>
      </c>
      <c r="L34" s="217">
        <f>SUM(L7:L32)</f>
        <v>0</v>
      </c>
      <c r="M34" s="125">
        <f>SUM(M7:M32)</f>
        <v>1142192</v>
      </c>
      <c r="N34" s="160"/>
    </row>
    <row r="35" spans="1:14" ht="13.5" thickBot="1">
      <c r="A35" s="184"/>
      <c r="B35" s="185"/>
      <c r="C35" s="109">
        <f>C34/($C$34+$D$34+$E$34)</f>
        <v>0.98049650330166338</v>
      </c>
      <c r="D35" s="109">
        <f>D34/($C$34+$D$34+$E$34)</f>
        <v>1.950349669833663E-2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(30.5*1440)/1440*G42*3.4*1440/1000000</f>
        <v>70.960665599999999</v>
      </c>
      <c r="J37" s="130">
        <f>+I37+'22'!J37</f>
        <v>1343.7904363626253</v>
      </c>
      <c r="K37" s="131" t="s">
        <v>66</v>
      </c>
      <c r="L37" s="435"/>
      <c r="M37" s="436"/>
    </row>
    <row r="38" spans="1:14" ht="17.45" customHeight="1">
      <c r="A38" s="793" t="s">
        <v>13</v>
      </c>
      <c r="B38" s="794"/>
      <c r="C38" s="169">
        <f>SUMIF($G$7:$G$31,"Process",$F$7:$F$31)</f>
        <v>13</v>
      </c>
      <c r="D38" s="123">
        <f>+C38+'22'!D38</f>
        <v>2225</v>
      </c>
      <c r="E38" s="148">
        <f t="shared" ref="E38:E51" si="0">D38/60</f>
        <v>37.083333333333336</v>
      </c>
      <c r="F38" s="375">
        <v>540</v>
      </c>
      <c r="G38" s="375">
        <f>+F38-F38*0.12</f>
        <v>475.2</v>
      </c>
      <c r="H38" s="192" t="s">
        <v>67</v>
      </c>
      <c r="I38" s="556">
        <f>22.718+22.728+22.628</f>
        <v>68.073999999999998</v>
      </c>
      <c r="J38" s="132">
        <f>+I38+'22'!J38</f>
        <v>1213.5750000000003</v>
      </c>
      <c r="K38" s="133" t="s">
        <v>66</v>
      </c>
      <c r="L38" s="437"/>
      <c r="M38" s="438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+C39+'22'!D39</f>
        <v>0</v>
      </c>
      <c r="E39" s="148">
        <f t="shared" si="0"/>
        <v>0</v>
      </c>
      <c r="F39" s="375">
        <v>540</v>
      </c>
      <c r="G39" s="375">
        <f>+F39-F39*0.12</f>
        <v>475.2</v>
      </c>
      <c r="H39" s="192" t="s">
        <v>68</v>
      </c>
      <c r="I39" s="147"/>
      <c r="J39" s="134">
        <f>J37/G4</f>
        <v>58.425671146201104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+C40+'22'!D40</f>
        <v>790</v>
      </c>
      <c r="E40" s="148">
        <f t="shared" si="0"/>
        <v>13.166666666666666</v>
      </c>
      <c r="F40" s="375">
        <v>540</v>
      </c>
      <c r="G40" s="375">
        <f>+F40-F40*0.12</f>
        <v>475.2</v>
      </c>
      <c r="H40" s="192" t="s">
        <v>70</v>
      </c>
      <c r="I40" s="123">
        <f>(K34+L34)/1000</f>
        <v>70.382000000000005</v>
      </c>
      <c r="J40" s="136">
        <f>+I40+'22'!J40</f>
        <v>1142.192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+C41+'22'!D41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49.660521739130438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+C42+'22'!D42</f>
        <v>0</v>
      </c>
      <c r="E42" s="148">
        <f t="shared" si="0"/>
        <v>0</v>
      </c>
      <c r="F42" s="375">
        <f>+(F38*480+F39*480+F40*480)/1440</f>
        <v>540</v>
      </c>
      <c r="G42" s="375">
        <f>+(G38*480+G39*480+G40*480)/1440</f>
        <v>475.2</v>
      </c>
      <c r="H42" s="192" t="s">
        <v>73</v>
      </c>
      <c r="I42" s="250" t="s">
        <v>687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+C43+'22'!D43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+Report1!AH31</f>
        <v>140.74700000000001</v>
      </c>
      <c r="J43" s="138">
        <f>+I43+'22'!J43</f>
        <v>2801.6520000000005</v>
      </c>
      <c r="K43" s="135" t="s">
        <v>66</v>
      </c>
      <c r="L43" s="439">
        <f>+Report1!AN31</f>
        <v>16.8</v>
      </c>
      <c r="M43" s="440">
        <f>+L43+'22'!M43</f>
        <v>276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+C44+'22'!D44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2.0675588330346391</v>
      </c>
      <c r="J44" s="139">
        <f>J43/J38</f>
        <v>2.3085940300352266</v>
      </c>
      <c r="K44" s="135" t="s">
        <v>66</v>
      </c>
      <c r="L44" s="441">
        <f>+L43/I38</f>
        <v>0.24679025766078094</v>
      </c>
      <c r="M44" s="442">
        <f>+M43/J38</f>
        <v>0.22742722946665839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+C45+'22'!D45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1.9997584609701344</v>
      </c>
      <c r="J45" s="139">
        <f>J43/J40</f>
        <v>2.452873072127979</v>
      </c>
      <c r="K45" s="135" t="s">
        <v>66</v>
      </c>
      <c r="L45" s="441">
        <f>+L43/I40</f>
        <v>0.2386973942201131</v>
      </c>
      <c r="M45" s="442">
        <f>+M43/J40</f>
        <v>0.24164063484948239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+C46+'22'!D46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+SUMIF(Listrik!AC30,"&gt;0")</f>
        <v>36655.410000000506</v>
      </c>
      <c r="J46" s="140">
        <f>+I46+'22'!J46</f>
        <v>747229.9099999998</v>
      </c>
      <c r="K46" s="135" t="s">
        <v>81</v>
      </c>
      <c r="L46" s="441">
        <f>+Listrik!AF30</f>
        <v>26268</v>
      </c>
      <c r="M46" s="443">
        <f>+L46+'22'!M46</f>
        <v>224298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+C47+'22'!D47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538.4641713429578</v>
      </c>
      <c r="J47" s="140">
        <f>J46/J38</f>
        <v>615.72618915188571</v>
      </c>
      <c r="K47" s="135" t="s">
        <v>25</v>
      </c>
      <c r="L47" s="441">
        <f>+L46/I38</f>
        <v>385.87419572817817</v>
      </c>
      <c r="M47" s="442">
        <f>+M46/J38</f>
        <v>184.82417650330632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+C48+'22'!D48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520.80659827797592</v>
      </c>
      <c r="J48" s="140">
        <f>J46/J40</f>
        <v>654.20691967725202</v>
      </c>
      <c r="K48" s="135" t="s">
        <v>25</v>
      </c>
      <c r="L48" s="441">
        <f>+L46/I38</f>
        <v>385.87419572817817</v>
      </c>
      <c r="M48" s="442">
        <f>+M46/J40</f>
        <v>196.37504027343914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+C49+'22'!D49</f>
        <v>1680</v>
      </c>
      <c r="E49" s="148">
        <f t="shared" si="0"/>
        <v>28</v>
      </c>
      <c r="F49" s="190"/>
      <c r="H49" s="193" t="s">
        <v>85</v>
      </c>
      <c r="I49" s="123">
        <f>+Report1!AB31</f>
        <v>0</v>
      </c>
      <c r="J49" s="140">
        <f>+I49+'22'!J49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+C50+'22'!D50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+C51+'22'!D51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13</v>
      </c>
      <c r="D52" s="149">
        <f>SUM(D38:D51)</f>
        <v>4755</v>
      </c>
      <c r="E52" s="150">
        <f>SUM(E38:E51)</f>
        <v>79.25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9.0277777777777769E-3</v>
      </c>
      <c r="D53" s="151">
        <f>D52/(24*60*G4)</f>
        <v>0.14356884057971014</v>
      </c>
      <c r="E53" s="152">
        <f>E52/(G4*24)</f>
        <v>0.14356884057971014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+D34+'22'!J56</f>
        <v>24907</v>
      </c>
      <c r="K56" s="206">
        <f>J56/(J40+J56/1000)/1000</f>
        <v>2.1340948796974381E-2</v>
      </c>
    </row>
    <row r="57" spans="1:13">
      <c r="A57" s="181"/>
      <c r="I57" s="204" t="s">
        <v>92</v>
      </c>
      <c r="J57" s="205">
        <f>+E34+'22'!J57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7109375" style="154" bestFit="1" customWidth="1"/>
    <col min="12" max="12" width="8.28515625" style="154" customWidth="1"/>
    <col min="13" max="13" width="14.425781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22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464+433+472</f>
        <v>1369</v>
      </c>
    </row>
    <row r="7" spans="1:18" ht="13.5" customHeight="1" thickBot="1">
      <c r="A7" s="777" t="s">
        <v>414</v>
      </c>
      <c r="B7" s="220" t="s">
        <v>622</v>
      </c>
      <c r="C7" s="221">
        <v>15321</v>
      </c>
      <c r="D7" s="222"/>
      <c r="E7" s="223"/>
      <c r="F7" s="232"/>
      <c r="G7" s="233" t="s">
        <v>13</v>
      </c>
      <c r="H7" s="234" t="s">
        <v>394</v>
      </c>
      <c r="I7" s="780" t="s">
        <v>685</v>
      </c>
      <c r="J7" s="219" t="str">
        <f>+'21'!J7</f>
        <v>TW 17 RC HW</v>
      </c>
      <c r="K7" s="242"/>
      <c r="L7" s="246"/>
      <c r="M7" s="122">
        <f>+K7+'21'!M7+L7</f>
        <v>44630</v>
      </c>
    </row>
    <row r="8" spans="1:18" ht="13.5" thickBot="1">
      <c r="A8" s="778"/>
      <c r="B8" s="220"/>
      <c r="C8" s="221"/>
      <c r="D8" s="222"/>
      <c r="E8" s="224"/>
      <c r="F8" s="235">
        <v>5</v>
      </c>
      <c r="G8" s="581" t="s">
        <v>13</v>
      </c>
      <c r="H8" s="234" t="s">
        <v>393</v>
      </c>
      <c r="I8" s="781"/>
      <c r="J8" s="219" t="str">
        <f>+'21'!J8</f>
        <v>N 18 RC HW</v>
      </c>
      <c r="K8" s="243"/>
      <c r="L8" s="243"/>
      <c r="M8" s="122">
        <f>+K8+'21'!M8+L8</f>
        <v>105194</v>
      </c>
      <c r="N8" s="154">
        <v>830</v>
      </c>
      <c r="O8" s="154">
        <f>+N8-N8*0.14</f>
        <v>713.8</v>
      </c>
      <c r="P8" s="154">
        <f>480-50</f>
        <v>430</v>
      </c>
      <c r="Q8" s="154">
        <f>+N8*P8</f>
        <v>356900</v>
      </c>
      <c r="R8" s="154">
        <f>+O8*P8</f>
        <v>306934</v>
      </c>
    </row>
    <row r="9" spans="1:18" ht="13.5" thickBot="1">
      <c r="A9" s="778"/>
      <c r="B9" s="220"/>
      <c r="C9" s="221"/>
      <c r="D9" s="222"/>
      <c r="E9" s="225"/>
      <c r="F9" s="232">
        <v>5</v>
      </c>
      <c r="G9" s="581" t="s">
        <v>13</v>
      </c>
      <c r="H9" s="237" t="s">
        <v>226</v>
      </c>
      <c r="I9" s="781"/>
      <c r="J9" s="219" t="str">
        <f>+'21'!J9</f>
        <v>N 20 RC HW</v>
      </c>
      <c r="K9" s="243"/>
      <c r="L9" s="243"/>
      <c r="M9" s="122">
        <f>+K9+'21'!M9+L9</f>
        <v>71479</v>
      </c>
      <c r="N9" s="154">
        <v>830</v>
      </c>
      <c r="O9" s="154">
        <f>+N9-N9*0.12</f>
        <v>730.4</v>
      </c>
      <c r="P9" s="154">
        <v>50</v>
      </c>
      <c r="Q9" s="154">
        <f>+N9*P9</f>
        <v>41500</v>
      </c>
      <c r="R9" s="154">
        <f>+O9*P9</f>
        <v>36520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618</v>
      </c>
      <c r="I10" s="781"/>
      <c r="J10" s="219" t="str">
        <f>+'21'!J10</f>
        <v>N 17 RC HW</v>
      </c>
      <c r="K10" s="243"/>
      <c r="L10" s="243"/>
      <c r="M10" s="122">
        <f>+K10+'21'!M10+L10</f>
        <v>5253</v>
      </c>
      <c r="P10" s="154">
        <f>SUM(P8:P9)</f>
        <v>480</v>
      </c>
      <c r="Q10" s="154">
        <f>SUM(Q8:Q9)</f>
        <v>398400</v>
      </c>
      <c r="R10" s="154">
        <f>SUM(R8:R9)</f>
        <v>343454</v>
      </c>
    </row>
    <row r="11" spans="1:18" ht="13.5" thickBot="1">
      <c r="A11" s="778"/>
      <c r="B11" s="220"/>
      <c r="C11" s="221"/>
      <c r="D11" s="222"/>
      <c r="E11" s="224"/>
      <c r="F11" s="232">
        <v>5</v>
      </c>
      <c r="G11" s="236" t="s">
        <v>13</v>
      </c>
      <c r="H11" s="237" t="s">
        <v>683</v>
      </c>
      <c r="I11" s="781"/>
      <c r="J11" s="219" t="str">
        <f>+'21'!J11</f>
        <v>N 18,5 RC HW</v>
      </c>
      <c r="K11" s="243"/>
      <c r="L11" s="243"/>
      <c r="M11" s="122">
        <f>+K11+'21'!M11+L11</f>
        <v>10930</v>
      </c>
      <c r="Q11" s="154">
        <f>+Q10/P10</f>
        <v>830</v>
      </c>
      <c r="R11" s="154">
        <f>+R10/P10</f>
        <v>715.5291666666667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+'21'!J12</f>
        <v>TW 32 RC HW</v>
      </c>
      <c r="K12" s="243"/>
      <c r="L12" s="243"/>
      <c r="M12" s="122">
        <f>+K12+'21'!M12+L12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+'21'!J13</f>
        <v>TW 34 RC HW</v>
      </c>
      <c r="K13" s="243"/>
      <c r="L13" s="243"/>
      <c r="M13" s="122">
        <f>+K13+'21'!M13+L13</f>
        <v>22635</v>
      </c>
    </row>
    <row r="14" spans="1:18" ht="13.5" thickBot="1">
      <c r="A14" s="779"/>
      <c r="B14" s="170" t="s">
        <v>3</v>
      </c>
      <c r="C14" s="104">
        <f>SUM(C7:C13)</f>
        <v>15321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+'21'!J14</f>
        <v>TW 36 RC HW</v>
      </c>
      <c r="K14" s="243"/>
      <c r="L14" s="243"/>
      <c r="M14" s="122">
        <f>+K14+'21'!M14+L14</f>
        <v>33555</v>
      </c>
    </row>
    <row r="15" spans="1:18" ht="13.5" customHeight="1" thickBot="1">
      <c r="A15" s="777" t="s">
        <v>411</v>
      </c>
      <c r="B15" s="170"/>
      <c r="C15" s="118">
        <f>C14/($C$23+$D$23+$E$23)</f>
        <v>0.67460701862533579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686</v>
      </c>
      <c r="J15" s="219" t="str">
        <f>+'21'!J15</f>
        <v>TW 38 RC HW</v>
      </c>
      <c r="K15" s="243"/>
      <c r="L15" s="243"/>
      <c r="M15" s="122">
        <f>+K15+'21'!M15+L15</f>
        <v>50415</v>
      </c>
    </row>
    <row r="16" spans="1:18" ht="13.5" thickBot="1">
      <c r="A16" s="783"/>
      <c r="B16" s="220" t="s">
        <v>622</v>
      </c>
      <c r="C16" s="226">
        <v>1976</v>
      </c>
      <c r="D16" s="227"/>
      <c r="E16" s="228"/>
      <c r="F16" s="235">
        <v>4</v>
      </c>
      <c r="G16" s="581" t="s">
        <v>13</v>
      </c>
      <c r="H16" s="234" t="s">
        <v>449</v>
      </c>
      <c r="I16" s="781"/>
      <c r="J16" s="219" t="str">
        <f>+'21'!J16</f>
        <v>TW 30 RC HW</v>
      </c>
      <c r="K16" s="243"/>
      <c r="L16" s="233"/>
      <c r="M16" s="122">
        <f>+K16+'21'!M16+L16</f>
        <v>118057</v>
      </c>
      <c r="N16" s="154">
        <v>830</v>
      </c>
      <c r="O16" s="154">
        <f>+N16-N16*0.12</f>
        <v>730.4</v>
      </c>
      <c r="P16" s="154">
        <v>300</v>
      </c>
      <c r="Q16" s="154">
        <f>+N16*P16</f>
        <v>249000</v>
      </c>
      <c r="R16" s="154">
        <f>+O16*P16</f>
        <v>219120</v>
      </c>
    </row>
    <row r="17" spans="1:18" ht="13.5" thickBot="1">
      <c r="A17" s="783"/>
      <c r="B17" s="220" t="s">
        <v>690</v>
      </c>
      <c r="C17" s="221">
        <v>13803</v>
      </c>
      <c r="D17" s="222">
        <v>1058</v>
      </c>
      <c r="E17" s="229"/>
      <c r="F17" s="232">
        <v>7</v>
      </c>
      <c r="G17" s="581" t="s">
        <v>13</v>
      </c>
      <c r="H17" s="237" t="s">
        <v>226</v>
      </c>
      <c r="I17" s="781"/>
      <c r="J17" s="219" t="str">
        <f>+'21'!J17</f>
        <v>TW 28 RC HW</v>
      </c>
      <c r="K17" s="243"/>
      <c r="L17" s="233"/>
      <c r="M17" s="122">
        <f>+K17+'21'!M17+L17</f>
        <v>22140</v>
      </c>
      <c r="N17" s="154">
        <v>540</v>
      </c>
      <c r="O17" s="154">
        <f>+N17-N17*0.12</f>
        <v>475.2</v>
      </c>
      <c r="P17" s="154">
        <v>180</v>
      </c>
      <c r="Q17" s="154">
        <f>+N17*P17</f>
        <v>97200</v>
      </c>
      <c r="R17" s="154">
        <f>+O17*P17</f>
        <v>85536</v>
      </c>
    </row>
    <row r="18" spans="1:18" ht="13.5" thickBot="1">
      <c r="A18" s="783"/>
      <c r="B18" s="220" t="s">
        <v>691</v>
      </c>
      <c r="C18" s="221">
        <v>5874</v>
      </c>
      <c r="D18" s="222"/>
      <c r="E18" s="229"/>
      <c r="F18" s="232"/>
      <c r="G18" s="581"/>
      <c r="H18" s="237" t="s">
        <v>684</v>
      </c>
      <c r="I18" s="781"/>
      <c r="J18" s="219" t="str">
        <f>+'21'!J18</f>
        <v>N 20,5 RC HW</v>
      </c>
      <c r="K18" s="243"/>
      <c r="L18" s="243"/>
      <c r="M18" s="122">
        <f>+K18+'21'!M18+L18</f>
        <v>181023</v>
      </c>
      <c r="P18" s="154">
        <f>SUM(P16:P17)</f>
        <v>480</v>
      </c>
      <c r="Q18" s="154">
        <f>SUM(Q16:Q17)</f>
        <v>346200</v>
      </c>
      <c r="R18" s="154">
        <f>SUM(R16:R17)</f>
        <v>304656</v>
      </c>
    </row>
    <row r="19" spans="1:18" ht="13.5" thickBot="1">
      <c r="A19" s="783"/>
      <c r="B19" s="220"/>
      <c r="C19" s="221"/>
      <c r="D19" s="222"/>
      <c r="E19" s="229"/>
      <c r="F19" s="239">
        <v>6</v>
      </c>
      <c r="G19" s="236" t="s">
        <v>13</v>
      </c>
      <c r="H19" s="237" t="s">
        <v>682</v>
      </c>
      <c r="I19" s="781"/>
      <c r="J19" s="219" t="str">
        <f>+'21'!J19</f>
        <v>N 17 RC BR</v>
      </c>
      <c r="K19" s="243"/>
      <c r="L19" s="243"/>
      <c r="M19" s="122">
        <f>+K19+'21'!M19+L19</f>
        <v>57113</v>
      </c>
      <c r="Q19" s="154">
        <f>+Q18/P18</f>
        <v>721.25</v>
      </c>
      <c r="R19" s="154">
        <f>+R18/P18</f>
        <v>634.70000000000005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+'21'!J20</f>
        <v>N 16 RC BR</v>
      </c>
      <c r="K20" s="243">
        <f>+C7+C16</f>
        <v>17297</v>
      </c>
      <c r="L20" s="244"/>
      <c r="M20" s="122">
        <f>+K20+'21'!M20+L20</f>
        <v>77615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+'21'!J21</f>
        <v>N 15,5 RC BR</v>
      </c>
      <c r="K21" s="243"/>
      <c r="L21" s="243"/>
      <c r="M21" s="122">
        <f>+K21+'21'!M21+L21</f>
        <v>162173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 t="s">
        <v>690</v>
      </c>
      <c r="K22" s="243">
        <f>+C17</f>
        <v>13803</v>
      </c>
      <c r="L22" s="243"/>
      <c r="M22" s="122">
        <f>+K22+'21'!M22+L22</f>
        <v>13803</v>
      </c>
    </row>
    <row r="23" spans="1:18" ht="13.5" thickBot="1">
      <c r="A23" s="784"/>
      <c r="B23" s="170" t="s">
        <v>3</v>
      </c>
      <c r="C23" s="105">
        <f>SUM(C16:C22)</f>
        <v>21653</v>
      </c>
      <c r="D23" s="116">
        <f>SUM(D16:D22)</f>
        <v>1058</v>
      </c>
      <c r="E23" s="117">
        <f>SUM(E18:E22)</f>
        <v>0</v>
      </c>
      <c r="F23" s="121"/>
      <c r="G23" s="164"/>
      <c r="H23" s="171"/>
      <c r="I23" s="174"/>
      <c r="J23" s="219" t="s">
        <v>691</v>
      </c>
      <c r="K23" s="243">
        <f>+C18+C25</f>
        <v>20273</v>
      </c>
      <c r="L23" s="243"/>
      <c r="M23" s="122">
        <f>+K23+'21'!M23+L23</f>
        <v>20273</v>
      </c>
    </row>
    <row r="24" spans="1:18" ht="13.5" customHeight="1" thickBot="1">
      <c r="A24" s="777" t="s">
        <v>413</v>
      </c>
      <c r="B24" s="175"/>
      <c r="C24" s="118">
        <f>C23/($C$23+$D$23+$E$23)</f>
        <v>0.95341464488573824</v>
      </c>
      <c r="D24" s="119">
        <f>D23/($C$23+$D$23+$E$23)</f>
        <v>4.658535511426181E-2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687</v>
      </c>
      <c r="J24" s="219">
        <f>+'21'!J24</f>
        <v>0</v>
      </c>
      <c r="K24" s="243"/>
      <c r="L24" s="243"/>
      <c r="M24" s="122">
        <f>+K24+'21'!M24+L24</f>
        <v>0</v>
      </c>
    </row>
    <row r="25" spans="1:18" ht="13.5" customHeight="1" thickBot="1">
      <c r="A25" s="785"/>
      <c r="B25" s="220" t="s">
        <v>691</v>
      </c>
      <c r="C25" s="230">
        <v>14399</v>
      </c>
      <c r="D25" s="222"/>
      <c r="E25" s="229"/>
      <c r="F25" s="235">
        <v>2</v>
      </c>
      <c r="G25" s="581" t="s">
        <v>13</v>
      </c>
      <c r="H25" s="234" t="s">
        <v>392</v>
      </c>
      <c r="I25" s="781"/>
      <c r="J25" s="219">
        <f>+'21'!J25</f>
        <v>0</v>
      </c>
      <c r="K25" s="243"/>
      <c r="L25" s="243"/>
      <c r="M25" s="122">
        <f>+K25+'21'!M25+L25</f>
        <v>0</v>
      </c>
    </row>
    <row r="26" spans="1:18" ht="13.5" customHeight="1" thickBot="1">
      <c r="A26" s="785"/>
      <c r="B26" s="220"/>
      <c r="C26" s="230"/>
      <c r="D26" s="222"/>
      <c r="E26" s="231"/>
      <c r="F26" s="232">
        <v>2</v>
      </c>
      <c r="G26" s="581" t="s">
        <v>13</v>
      </c>
      <c r="H26" s="237" t="s">
        <v>226</v>
      </c>
      <c r="I26" s="781"/>
      <c r="J26" s="219">
        <f>+'21'!J26</f>
        <v>0</v>
      </c>
      <c r="K26" s="243"/>
      <c r="L26" s="243"/>
      <c r="M26" s="122">
        <f>+K26+'21'!M26+L26</f>
        <v>0</v>
      </c>
    </row>
    <row r="27" spans="1:18" ht="13.5" customHeight="1" thickBot="1">
      <c r="A27" s="785"/>
      <c r="B27" s="220"/>
      <c r="C27" s="221"/>
      <c r="D27" s="222"/>
      <c r="E27" s="229"/>
      <c r="F27" s="232"/>
      <c r="G27" s="581"/>
      <c r="H27" s="237" t="s">
        <v>681</v>
      </c>
      <c r="I27" s="781"/>
      <c r="J27" s="219">
        <f>+'21'!J27</f>
        <v>0</v>
      </c>
      <c r="K27" s="243"/>
      <c r="L27" s="243"/>
      <c r="M27" s="122">
        <f>+K27+'21'!M27+L27</f>
        <v>0</v>
      </c>
    </row>
    <row r="28" spans="1:18" ht="13.5" customHeight="1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+'21'!J28</f>
        <v>0</v>
      </c>
      <c r="K28" s="243"/>
      <c r="L28" s="243"/>
      <c r="M28" s="122">
        <f>+K28+'21'!M28+L28</f>
        <v>0</v>
      </c>
    </row>
    <row r="29" spans="1:18" ht="13.5" customHeight="1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+'21'!J29</f>
        <v>0</v>
      </c>
      <c r="K29" s="243"/>
      <c r="L29" s="243"/>
      <c r="M29" s="122">
        <f>+K29+'21'!M29+L29</f>
        <v>0</v>
      </c>
    </row>
    <row r="30" spans="1:18" ht="13.5" customHeight="1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+'21'!J30</f>
        <v>0</v>
      </c>
      <c r="K30" s="243"/>
      <c r="L30" s="243"/>
      <c r="M30" s="122">
        <f>+K30+'21'!M30+L30</f>
        <v>0</v>
      </c>
    </row>
    <row r="31" spans="1:18" ht="13.5" customHeight="1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+'21'!J31</f>
        <v>0</v>
      </c>
      <c r="K31" s="243"/>
      <c r="L31" s="243"/>
      <c r="M31" s="122">
        <f>+K31+'21'!M31+L31</f>
        <v>0</v>
      </c>
    </row>
    <row r="32" spans="1:18" ht="13.5" customHeight="1" thickBot="1">
      <c r="A32" s="786"/>
      <c r="B32" s="170" t="s">
        <v>3</v>
      </c>
      <c r="C32" s="104">
        <f>SUM(C25:C31)</f>
        <v>14399</v>
      </c>
      <c r="D32" s="105">
        <f>SUM(D25:D31)</f>
        <v>0</v>
      </c>
      <c r="E32" s="106">
        <f>SUM(E25:E31)</f>
        <v>0</v>
      </c>
      <c r="F32" s="107">
        <f>SUM(F24:F31)</f>
        <v>4</v>
      </c>
      <c r="G32" s="176"/>
      <c r="H32" s="177"/>
      <c r="I32" s="174"/>
      <c r="J32" s="219">
        <f>+'21'!J32</f>
        <v>0</v>
      </c>
      <c r="K32" s="245"/>
      <c r="L32" s="247"/>
      <c r="M32" s="122">
        <f>+K32+'21'!M32+L32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51373</v>
      </c>
      <c r="D34" s="112">
        <f>D14+D23+D32</f>
        <v>1058</v>
      </c>
      <c r="E34" s="112">
        <f>E14+E23+E32</f>
        <v>0</v>
      </c>
      <c r="F34" s="113">
        <f>F14+F23+F32</f>
        <v>4</v>
      </c>
      <c r="H34" s="183"/>
      <c r="I34" s="183"/>
      <c r="J34" s="128" t="s">
        <v>29</v>
      </c>
      <c r="K34" s="129">
        <f>SUM(K7:K32)</f>
        <v>51373</v>
      </c>
      <c r="L34" s="217">
        <f>SUM(L7:L32)</f>
        <v>0</v>
      </c>
      <c r="M34" s="125">
        <f>SUM(M7:M32)</f>
        <v>1071810</v>
      </c>
    </row>
    <row r="35" spans="1:14" ht="13.5" thickBot="1">
      <c r="A35" s="184"/>
      <c r="B35" s="185"/>
      <c r="C35" s="109">
        <f>C34/($C$34+$D$34+$E$34)</f>
        <v>0.9798210982052602</v>
      </c>
      <c r="D35" s="109">
        <f>D34/($C$34+$D$34+$E$34)</f>
        <v>2.0178901794739752E-2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(16*430+19*350+30.5*660)/1440*G42*3.4*1440/1000000</f>
        <v>69.636471849999992</v>
      </c>
      <c r="J37" s="130">
        <f>+I37+'21'!J37</f>
        <v>1272.8297707626252</v>
      </c>
      <c r="K37" s="131" t="s">
        <v>66</v>
      </c>
      <c r="L37" s="435"/>
      <c r="M37" s="436"/>
      <c r="N37" s="154">
        <f>18.05-1.3</f>
        <v>16.75</v>
      </c>
    </row>
    <row r="38" spans="1:14" ht="17.45" customHeight="1">
      <c r="A38" s="793" t="s">
        <v>13</v>
      </c>
      <c r="B38" s="794"/>
      <c r="C38" s="169">
        <f>SUMIF($G$7:$G$31,"Process",$F$7:$F$31)</f>
        <v>36</v>
      </c>
      <c r="D38" s="123">
        <f>+C38+'21'!D38</f>
        <v>2212</v>
      </c>
      <c r="E38" s="148">
        <f t="shared" ref="E38:E51" si="0">D38/60</f>
        <v>36.866666666666667</v>
      </c>
      <c r="F38" s="375">
        <v>830</v>
      </c>
      <c r="G38" s="375">
        <v>715.5291666666667</v>
      </c>
      <c r="H38" s="192" t="s">
        <v>67</v>
      </c>
      <c r="I38" s="556">
        <f>18.05+19.875+22.026</f>
        <v>59.950999999999993</v>
      </c>
      <c r="J38" s="132">
        <f>+I38+'21'!J38</f>
        <v>1145.5010000000002</v>
      </c>
      <c r="K38" s="133" t="s">
        <v>66</v>
      </c>
      <c r="L38" s="437"/>
      <c r="M38" s="438"/>
      <c r="N38" s="154">
        <f>1.309+2.244+2.306+2.306+1.683+2.306</f>
        <v>12.154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+C39+'21'!D39</f>
        <v>0</v>
      </c>
      <c r="E39" s="148">
        <f t="shared" si="0"/>
        <v>0</v>
      </c>
      <c r="F39" s="375">
        <v>721.25</v>
      </c>
      <c r="G39" s="375">
        <v>634.70000000000005</v>
      </c>
      <c r="H39" s="192" t="s">
        <v>68</v>
      </c>
      <c r="I39" s="147"/>
      <c r="J39" s="134">
        <f>J37/G4</f>
        <v>57.85589867102842</v>
      </c>
      <c r="K39" s="135" t="s">
        <v>66</v>
      </c>
      <c r="L39" s="437"/>
      <c r="M39" s="438"/>
      <c r="N39" s="557">
        <f>+I38-N37-N38</f>
        <v>31.046999999999993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+C40+'21'!D40</f>
        <v>790</v>
      </c>
      <c r="E40" s="148">
        <f t="shared" si="0"/>
        <v>13.166666666666666</v>
      </c>
      <c r="F40" s="375">
        <v>540</v>
      </c>
      <c r="G40" s="375">
        <f>+F40-F40*0.12</f>
        <v>475.2</v>
      </c>
      <c r="H40" s="192" t="s">
        <v>70</v>
      </c>
      <c r="I40" s="123">
        <f>(K34+L34)/1000</f>
        <v>51.372999999999998</v>
      </c>
      <c r="J40" s="136">
        <f>+I40+'21'!J40</f>
        <v>1071.81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+C41+'21'!D41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48.718636363636364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+C42+'21'!D42</f>
        <v>0</v>
      </c>
      <c r="E42" s="148">
        <f t="shared" si="0"/>
        <v>0</v>
      </c>
      <c r="F42" s="375">
        <f>+(F38*480+F39*480+F40*480)/1440</f>
        <v>697.08333333333337</v>
      </c>
      <c r="G42" s="375">
        <f>+(G38*480+G39*480+G40*480)/1440</f>
        <v>608.47638888888889</v>
      </c>
      <c r="H42" s="192" t="s">
        <v>73</v>
      </c>
      <c r="I42" s="250" t="s">
        <v>688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+C43+'21'!D43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+Report1!AH30</f>
        <v>133.476</v>
      </c>
      <c r="J43" s="138">
        <f>+I43+'21'!J43</f>
        <v>2660.9050000000007</v>
      </c>
      <c r="K43" s="135" t="s">
        <v>66</v>
      </c>
      <c r="L43" s="439">
        <f>+Report1!AN30</f>
        <v>17.600000000000001</v>
      </c>
      <c r="M43" s="440">
        <f>+L43+'21'!M43</f>
        <v>259.2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+C44+'21'!D44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2.2264182415639442</v>
      </c>
      <c r="J44" s="139">
        <f>J43/J38</f>
        <v>2.3229180943534753</v>
      </c>
      <c r="K44" s="135" t="s">
        <v>66</v>
      </c>
      <c r="L44" s="441">
        <f>+L43/I38</f>
        <v>0.29357308468582682</v>
      </c>
      <c r="M44" s="442">
        <f>+M43/J38</f>
        <v>0.22627653751502613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+C45+'21'!D45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2.5981741381659629</v>
      </c>
      <c r="J45" s="139">
        <f>J43/J40</f>
        <v>2.4826275179369484</v>
      </c>
      <c r="K45" s="135" t="s">
        <v>66</v>
      </c>
      <c r="L45" s="441">
        <f>+L43/I40</f>
        <v>0.34259241235668547</v>
      </c>
      <c r="M45" s="442">
        <f>+M43/J40</f>
        <v>0.24183390712906205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+C46+'21'!D46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+SUMIF(Listrik!AC29,"&gt;0")</f>
        <v>36649.119999999821</v>
      </c>
      <c r="J46" s="140">
        <f>+I46+'21'!J46</f>
        <v>710574.4999999993</v>
      </c>
      <c r="K46" s="135" t="s">
        <v>81</v>
      </c>
      <c r="L46" s="441">
        <f>+Listrik!AF29</f>
        <v>27589</v>
      </c>
      <c r="M46" s="443">
        <f>+L46+'21'!M46</f>
        <v>198030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+C47+'21'!D47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611.31790962619175</v>
      </c>
      <c r="J47" s="140">
        <f>J46/J38</f>
        <v>620.31766013298909</v>
      </c>
      <c r="K47" s="135" t="s">
        <v>25</v>
      </c>
      <c r="L47" s="441">
        <f>+L46/I38</f>
        <v>460.19249053393611</v>
      </c>
      <c r="M47" s="442">
        <f>+M46/J38</f>
        <v>172.87632223804255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+C48+'21'!D48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713.39263815622644</v>
      </c>
      <c r="J48" s="140">
        <f>J46/J40</f>
        <v>662.96685046789946</v>
      </c>
      <c r="K48" s="135" t="s">
        <v>25</v>
      </c>
      <c r="L48" s="441">
        <f>+L46/I38</f>
        <v>460.19249053393611</v>
      </c>
      <c r="M48" s="442">
        <f>+M46/J40</f>
        <v>184.76222464802532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+C49+'21'!D49</f>
        <v>1680</v>
      </c>
      <c r="E49" s="148">
        <f t="shared" si="0"/>
        <v>28</v>
      </c>
      <c r="F49" s="190"/>
      <c r="H49" s="193" t="s">
        <v>85</v>
      </c>
      <c r="I49" s="123">
        <f>+Report1!AB30</f>
        <v>0</v>
      </c>
      <c r="J49" s="140">
        <f>+I49+'21'!J49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+C50+'21'!D50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+C51+'21'!D51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36</v>
      </c>
      <c r="D52" s="149">
        <f>SUM(D38:D51)</f>
        <v>4742</v>
      </c>
      <c r="E52" s="150">
        <f>SUM(E38:E51)</f>
        <v>79.033333333333331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2.5000000000000001E-2</v>
      </c>
      <c r="D53" s="151">
        <f>D52/(24*60*G4)</f>
        <v>0.14968434343434345</v>
      </c>
      <c r="E53" s="152">
        <f>E52/(G4*24)</f>
        <v>0.14968434343434342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+D34+'21'!J56</f>
        <v>23507</v>
      </c>
      <c r="K56" s="206">
        <f>J56/(J40+J56/1000)/1000</f>
        <v>2.1461366891959131E-2</v>
      </c>
    </row>
    <row r="57" spans="1:13">
      <c r="A57" s="181"/>
      <c r="I57" s="204" t="s">
        <v>92</v>
      </c>
      <c r="J57" s="205">
        <f>+E34+'21'!J57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P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7.7109375" style="154" customWidth="1"/>
    <col min="11" max="11" width="12.5703125" style="154" bestFit="1" customWidth="1"/>
    <col min="12" max="12" width="11" style="154" customWidth="1"/>
    <col min="13" max="13" width="14.7109375" style="154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21</v>
      </c>
      <c r="H4" s="159" t="str">
        <f>+'1'!H4</f>
        <v>.10.25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458+428+495</f>
        <v>1381</v>
      </c>
    </row>
    <row r="7" spans="1:16" ht="13.5" customHeight="1" thickBot="1">
      <c r="A7" s="777" t="s">
        <v>414</v>
      </c>
      <c r="B7" s="220" t="s">
        <v>652</v>
      </c>
      <c r="C7" s="221">
        <f>7837+3378</f>
        <v>11215</v>
      </c>
      <c r="D7" s="222"/>
      <c r="E7" s="223"/>
      <c r="F7" s="232">
        <v>5</v>
      </c>
      <c r="G7" s="233" t="s">
        <v>13</v>
      </c>
      <c r="H7" s="234" t="s">
        <v>391</v>
      </c>
      <c r="I7" s="780" t="s">
        <v>446</v>
      </c>
      <c r="J7" s="380" t="str">
        <f>+'20'!J7</f>
        <v>TW 17 RC HW</v>
      </c>
      <c r="K7" s="242"/>
      <c r="L7" s="246"/>
      <c r="M7" s="122">
        <f>+K7+'20'!M7+L7</f>
        <v>44630</v>
      </c>
    </row>
    <row r="8" spans="1:16" ht="13.5" thickBot="1">
      <c r="A8" s="778"/>
      <c r="B8" s="220" t="s">
        <v>621</v>
      </c>
      <c r="C8" s="221">
        <v>2896</v>
      </c>
      <c r="D8" s="222"/>
      <c r="E8" s="224"/>
      <c r="F8" s="235">
        <v>10</v>
      </c>
      <c r="G8" s="581" t="s">
        <v>13</v>
      </c>
      <c r="H8" s="234" t="s">
        <v>449</v>
      </c>
      <c r="I8" s="781"/>
      <c r="J8" s="219" t="str">
        <f>+'20'!J8</f>
        <v>N 18 RC HW</v>
      </c>
      <c r="K8" s="243"/>
      <c r="L8" s="243"/>
      <c r="M8" s="122">
        <f>+K8+'20'!M8+L8</f>
        <v>105194</v>
      </c>
    </row>
    <row r="9" spans="1:16" ht="13.5" thickBot="1">
      <c r="A9" s="778"/>
      <c r="B9" s="220"/>
      <c r="C9" s="221"/>
      <c r="D9" s="222"/>
      <c r="E9" s="225"/>
      <c r="F9" s="232">
        <v>5</v>
      </c>
      <c r="G9" s="581" t="s">
        <v>13</v>
      </c>
      <c r="H9" s="237" t="s">
        <v>226</v>
      </c>
      <c r="I9" s="781"/>
      <c r="J9" s="219" t="str">
        <f>+'20'!J9</f>
        <v>N 20 RC HW</v>
      </c>
      <c r="K9" s="243"/>
      <c r="L9" s="243"/>
      <c r="M9" s="122">
        <f>+K9+'20'!M9+L9</f>
        <v>71479</v>
      </c>
      <c r="N9" s="154">
        <v>830</v>
      </c>
      <c r="O9" s="154">
        <f>+N9-N9*0.14</f>
        <v>713.8</v>
      </c>
      <c r="P9" s="154">
        <f>240+25</f>
        <v>265</v>
      </c>
    </row>
    <row r="10" spans="1:16" ht="13.5" thickBot="1">
      <c r="A10" s="778"/>
      <c r="B10" s="220"/>
      <c r="C10" s="221"/>
      <c r="D10" s="222"/>
      <c r="E10" s="224"/>
      <c r="F10" s="232"/>
      <c r="G10" s="581"/>
      <c r="H10" s="237" t="s">
        <v>669</v>
      </c>
      <c r="I10" s="781"/>
      <c r="J10" s="219" t="str">
        <f>+'20'!J10</f>
        <v>N 17 RC HW</v>
      </c>
      <c r="K10" s="243"/>
      <c r="L10" s="243"/>
      <c r="M10" s="122">
        <f>+K10+'20'!M10+L10</f>
        <v>5253</v>
      </c>
      <c r="N10" s="154">
        <v>830</v>
      </c>
      <c r="O10" s="154">
        <f>+N10-N10*0.14</f>
        <v>713.8</v>
      </c>
      <c r="P10" s="154">
        <f>480-P9+480+360</f>
        <v>1055</v>
      </c>
    </row>
    <row r="11" spans="1:16" ht="13.5" thickBot="1">
      <c r="A11" s="778"/>
      <c r="B11" s="220"/>
      <c r="C11" s="221"/>
      <c r="D11" s="222"/>
      <c r="E11" s="224"/>
      <c r="F11" s="232">
        <v>5</v>
      </c>
      <c r="G11" s="236" t="s">
        <v>13</v>
      </c>
      <c r="H11" s="237" t="s">
        <v>676</v>
      </c>
      <c r="I11" s="781"/>
      <c r="J11" s="219" t="str">
        <f>+'20'!J11</f>
        <v>N 18,5 RC HW</v>
      </c>
      <c r="K11" s="243"/>
      <c r="L11" s="243"/>
      <c r="M11" s="122">
        <f>+K11+'20'!M11+L11</f>
        <v>10930</v>
      </c>
      <c r="N11" s="154">
        <v>830</v>
      </c>
      <c r="O11" s="154">
        <f>+N11-N11*0.14</f>
        <v>713.8</v>
      </c>
      <c r="P11" s="154">
        <v>120</v>
      </c>
    </row>
    <row r="12" spans="1:16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+'20'!J12</f>
        <v>TW 32 RC HW</v>
      </c>
      <c r="K12" s="243"/>
      <c r="L12" s="243"/>
      <c r="M12" s="122">
        <f>+K12+'20'!M12+L12</f>
        <v>75522</v>
      </c>
    </row>
    <row r="13" spans="1:16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+'20'!J13</f>
        <v>TW 34 RC HW</v>
      </c>
      <c r="K13" s="243"/>
      <c r="L13" s="243"/>
      <c r="M13" s="122">
        <f>+K13+'20'!M13+L13</f>
        <v>22635</v>
      </c>
    </row>
    <row r="14" spans="1:16" ht="13.5" thickBot="1">
      <c r="A14" s="779"/>
      <c r="B14" s="170" t="s">
        <v>3</v>
      </c>
      <c r="C14" s="104">
        <f>SUM(C7:C13)</f>
        <v>14111</v>
      </c>
      <c r="D14" s="116">
        <f>SUM(D7:D13)</f>
        <v>0</v>
      </c>
      <c r="E14" s="117">
        <f>SUM(E5:E13)</f>
        <v>0</v>
      </c>
      <c r="F14" s="107">
        <f>SUM(F6:F13)</f>
        <v>25</v>
      </c>
      <c r="G14" s="164"/>
      <c r="H14" s="171"/>
      <c r="I14" s="172"/>
      <c r="J14" s="219" t="str">
        <f>+'20'!J14</f>
        <v>TW 36 RC HW</v>
      </c>
      <c r="K14" s="243"/>
      <c r="L14" s="243"/>
      <c r="M14" s="122">
        <f>+K14+'20'!M14+L14</f>
        <v>33555</v>
      </c>
    </row>
    <row r="15" spans="1:16" ht="13.5" customHeight="1" thickBot="1">
      <c r="A15" s="777" t="s">
        <v>411</v>
      </c>
      <c r="B15" s="170"/>
      <c r="C15" s="118">
        <f>C14/($C$23+$D$23+$E$23)</f>
        <v>0.74077379389994225</v>
      </c>
      <c r="D15" s="119">
        <f>D14/($C$23+$D$23+$E$23)</f>
        <v>0</v>
      </c>
      <c r="E15" s="120">
        <f>E14/($C$23+$D$23+$E$23)</f>
        <v>0</v>
      </c>
      <c r="F15" s="232">
        <v>2</v>
      </c>
      <c r="G15" s="233" t="s">
        <v>13</v>
      </c>
      <c r="H15" s="234" t="s">
        <v>452</v>
      </c>
      <c r="I15" s="780" t="s">
        <v>446</v>
      </c>
      <c r="J15" s="219" t="str">
        <f>+'20'!J15</f>
        <v>TW 38 RC HW</v>
      </c>
      <c r="K15" s="243"/>
      <c r="L15" s="243"/>
      <c r="M15" s="122">
        <f>+K15+'20'!M15+L15</f>
        <v>50415</v>
      </c>
    </row>
    <row r="16" spans="1:16" ht="13.5" thickBot="1">
      <c r="A16" s="783"/>
      <c r="B16" s="220" t="s">
        <v>621</v>
      </c>
      <c r="C16" s="226">
        <v>19049</v>
      </c>
      <c r="D16" s="227"/>
      <c r="E16" s="228"/>
      <c r="F16" s="235">
        <v>7</v>
      </c>
      <c r="G16" s="581" t="s">
        <v>13</v>
      </c>
      <c r="H16" s="234" t="s">
        <v>480</v>
      </c>
      <c r="I16" s="781"/>
      <c r="J16" s="219" t="str">
        <f>+'20'!J16</f>
        <v>TW 30 RC HW</v>
      </c>
      <c r="K16" s="243"/>
      <c r="L16" s="233"/>
      <c r="M16" s="122">
        <f>+K16+'20'!M16+L16</f>
        <v>118057</v>
      </c>
    </row>
    <row r="17" spans="1:14" ht="13.5" thickBot="1">
      <c r="A17" s="783"/>
      <c r="B17" s="220"/>
      <c r="C17" s="221"/>
      <c r="D17" s="222"/>
      <c r="E17" s="229"/>
      <c r="F17" s="232">
        <v>6</v>
      </c>
      <c r="G17" s="581" t="s">
        <v>13</v>
      </c>
      <c r="H17" s="237" t="s">
        <v>226</v>
      </c>
      <c r="I17" s="781"/>
      <c r="J17" s="219" t="str">
        <f>+'20'!J17</f>
        <v>TW 28 RC HW</v>
      </c>
      <c r="K17" s="243"/>
      <c r="L17" s="233"/>
      <c r="M17" s="122">
        <f>+K17+'20'!M17+L17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677</v>
      </c>
      <c r="I18" s="781"/>
      <c r="J18" s="219" t="str">
        <f>+'20'!J18</f>
        <v>N 20,5 RC HW</v>
      </c>
      <c r="K18" s="243"/>
      <c r="L18" s="243"/>
      <c r="M18" s="122">
        <f>+K18+'20'!M18+L18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+'20'!J19</f>
        <v>N 17 RC BR</v>
      </c>
      <c r="K19" s="243">
        <f>+C8+C16+C25</f>
        <v>33846</v>
      </c>
      <c r="L19" s="243"/>
      <c r="M19" s="122">
        <f>+K19+'20'!M19+L19</f>
        <v>57113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+'20'!J20</f>
        <v>N 16 RC BR</v>
      </c>
      <c r="K20" s="243">
        <f>+C26</f>
        <v>4720</v>
      </c>
      <c r="L20" s="244"/>
      <c r="M20" s="122">
        <f>+K20+'20'!M20+L20</f>
        <v>60318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+'20'!J21</f>
        <v>N 15,5 RC BR</v>
      </c>
      <c r="K21" s="243">
        <f>+C7</f>
        <v>11215</v>
      </c>
      <c r="L21" s="243"/>
      <c r="M21" s="122">
        <f>+K21+'20'!M21+L21</f>
        <v>162173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+'20'!J22</f>
        <v>0</v>
      </c>
      <c r="K22" s="243"/>
      <c r="L22" s="243"/>
      <c r="M22" s="122">
        <f>+K22+'20'!M22+L22</f>
        <v>0</v>
      </c>
    </row>
    <row r="23" spans="1:14" ht="13.5" thickBot="1">
      <c r="A23" s="784"/>
      <c r="B23" s="170" t="s">
        <v>3</v>
      </c>
      <c r="C23" s="105">
        <f>SUM(C16:C22)</f>
        <v>19049</v>
      </c>
      <c r="D23" s="116">
        <f>SUM(D16:D22)</f>
        <v>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+'20'!J23</f>
        <v>0</v>
      </c>
      <c r="K23" s="243"/>
      <c r="L23" s="243"/>
      <c r="M23" s="122">
        <f>+K23+'20'!M23+L23</f>
        <v>0</v>
      </c>
    </row>
    <row r="24" spans="1:14" ht="13.5" customHeight="1" thickBot="1">
      <c r="A24" s="777" t="s">
        <v>412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+'20'!J24</f>
        <v>0</v>
      </c>
      <c r="K24" s="243"/>
      <c r="L24" s="243"/>
      <c r="M24" s="122">
        <f>+K24+'20'!M24+L24</f>
        <v>0</v>
      </c>
    </row>
    <row r="25" spans="1:14" ht="13.5" thickBot="1">
      <c r="A25" s="785"/>
      <c r="B25" s="220" t="s">
        <v>621</v>
      </c>
      <c r="C25" s="230">
        <v>11901</v>
      </c>
      <c r="D25" s="222"/>
      <c r="E25" s="229"/>
      <c r="F25" s="235">
        <v>10</v>
      </c>
      <c r="G25" s="581" t="s">
        <v>13</v>
      </c>
      <c r="H25" s="234" t="s">
        <v>480</v>
      </c>
      <c r="I25" s="781"/>
      <c r="J25" s="219">
        <f>+'20'!J25</f>
        <v>0</v>
      </c>
      <c r="K25" s="243"/>
      <c r="L25" s="243"/>
      <c r="M25" s="122">
        <f>+K25+'20'!M25+L25</f>
        <v>0</v>
      </c>
    </row>
    <row r="26" spans="1:14" ht="13.5" thickBot="1">
      <c r="A26" s="785"/>
      <c r="B26" s="220" t="s">
        <v>622</v>
      </c>
      <c r="C26" s="230">
        <v>4720</v>
      </c>
      <c r="D26" s="222">
        <v>234</v>
      </c>
      <c r="E26" s="231"/>
      <c r="F26" s="232">
        <v>5</v>
      </c>
      <c r="G26" s="581" t="s">
        <v>13</v>
      </c>
      <c r="H26" s="237" t="s">
        <v>226</v>
      </c>
      <c r="I26" s="781"/>
      <c r="J26" s="219">
        <f>+'20'!J26</f>
        <v>0</v>
      </c>
      <c r="K26" s="243"/>
      <c r="L26" s="243"/>
      <c r="M26" s="122">
        <f>+K26+'20'!M26+L26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677</v>
      </c>
      <c r="I27" s="781"/>
      <c r="J27" s="219">
        <f>+'20'!J27</f>
        <v>0</v>
      </c>
      <c r="K27" s="243"/>
      <c r="L27" s="243"/>
      <c r="M27" s="122">
        <f>+K27+'20'!M27+L27</f>
        <v>0</v>
      </c>
    </row>
    <row r="28" spans="1:14" ht="13.5" thickBot="1">
      <c r="A28" s="785"/>
      <c r="B28" s="220"/>
      <c r="C28" s="221"/>
      <c r="D28" s="222"/>
      <c r="E28" s="229"/>
      <c r="F28" s="235">
        <v>5</v>
      </c>
      <c r="G28" s="236" t="s">
        <v>13</v>
      </c>
      <c r="H28" s="237" t="s">
        <v>678</v>
      </c>
      <c r="I28" s="781"/>
      <c r="J28" s="219">
        <f>+'20'!J28</f>
        <v>0</v>
      </c>
      <c r="K28" s="243"/>
      <c r="L28" s="243"/>
      <c r="M28" s="122">
        <f>+K28+'20'!M28+L28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+'20'!J29</f>
        <v>0</v>
      </c>
      <c r="K29" s="243"/>
      <c r="L29" s="243"/>
      <c r="M29" s="122">
        <f>+K29+'20'!M29+L29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+'20'!J30</f>
        <v>0</v>
      </c>
      <c r="K30" s="243"/>
      <c r="L30" s="243"/>
      <c r="M30" s="122">
        <f>+K30+'20'!M30+L30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+'20'!J31</f>
        <v>0</v>
      </c>
      <c r="K31" s="243"/>
      <c r="L31" s="243"/>
      <c r="M31" s="122">
        <f>+K31+'20'!M31+L31</f>
        <v>0</v>
      </c>
    </row>
    <row r="32" spans="1:14" ht="13.5" thickBot="1">
      <c r="A32" s="786"/>
      <c r="B32" s="170" t="s">
        <v>3</v>
      </c>
      <c r="C32" s="104">
        <f>SUM(C25:C31)</f>
        <v>16621</v>
      </c>
      <c r="D32" s="105">
        <f>SUM(D25:D31)</f>
        <v>234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+'20'!J32</f>
        <v>0</v>
      </c>
      <c r="K32" s="245"/>
      <c r="L32" s="247"/>
      <c r="M32" s="122">
        <f>+K32+'20'!M32+L32</f>
        <v>0</v>
      </c>
    </row>
    <row r="33" spans="1:14" ht="13.5" thickBot="1">
      <c r="A33" s="178"/>
      <c r="B33" s="179"/>
      <c r="C33" s="108">
        <f>C32/($C$32+$D$32+$E$32)</f>
        <v>0.98611687926431324</v>
      </c>
      <c r="D33" s="109">
        <f>D32/($C$32+$D$32+$E$32)</f>
        <v>1.3883120735686739E-2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49781</v>
      </c>
      <c r="D34" s="112">
        <f>D14+D23+D32</f>
        <v>234</v>
      </c>
      <c r="E34" s="112">
        <f>E14+E23+E32</f>
        <v>0</v>
      </c>
      <c r="F34" s="113">
        <f>F14+F23+F32</f>
        <v>60</v>
      </c>
      <c r="H34" s="183"/>
      <c r="I34" s="183"/>
      <c r="J34" s="128" t="s">
        <v>29</v>
      </c>
      <c r="K34" s="129">
        <f>SUM(K7:K32)</f>
        <v>49781</v>
      </c>
      <c r="L34" s="217">
        <f>SUM(L7:L32)</f>
        <v>0</v>
      </c>
      <c r="M34" s="125">
        <f>SUM(M7:M32)</f>
        <v>1020437</v>
      </c>
      <c r="N34" s="160"/>
    </row>
    <row r="35" spans="1:14" ht="13.5" thickBot="1">
      <c r="A35" s="184"/>
      <c r="B35" s="185"/>
      <c r="C35" s="109">
        <f>C34/($C$34+$D$34+$E$34)</f>
        <v>0.99532140357892629</v>
      </c>
      <c r="D35" s="109">
        <f>D34/($C$34+$D$34+$E$34)</f>
        <v>4.6785964210736778E-3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(15.5*265+17*1055+16*120)/1440*G42*3.4*1440/1000000</f>
        <v>58.155070499999994</v>
      </c>
      <c r="J37" s="130">
        <f>+I37+'20'!J37</f>
        <v>1203.1932989126253</v>
      </c>
      <c r="K37" s="131" t="s">
        <v>66</v>
      </c>
      <c r="L37" s="435"/>
      <c r="M37" s="436"/>
      <c r="N37" s="557">
        <f>1.989+1.985+1.428+1.989+1.989</f>
        <v>9.3800000000000008</v>
      </c>
    </row>
    <row r="38" spans="1:14" ht="17.45" customHeight="1">
      <c r="A38" s="793" t="s">
        <v>13</v>
      </c>
      <c r="B38" s="794"/>
      <c r="C38" s="169">
        <f>SUMIF($G$7:$G$31,"Process",$F$7:$F$31)</f>
        <v>60</v>
      </c>
      <c r="D38" s="123">
        <f>+C38+'20'!D38</f>
        <v>2176</v>
      </c>
      <c r="E38" s="148">
        <f t="shared" ref="E38:E51" si="0">D38/60</f>
        <v>36.266666666666666</v>
      </c>
      <c r="F38" s="375">
        <v>830</v>
      </c>
      <c r="G38" s="375">
        <f>+F38-F38*0.14</f>
        <v>713.8</v>
      </c>
      <c r="H38" s="192" t="s">
        <v>67</v>
      </c>
      <c r="I38" s="556">
        <f>17.535+17.02+18.05</f>
        <v>52.605000000000004</v>
      </c>
      <c r="J38" s="132">
        <f>+I38+'20'!J38</f>
        <v>1085.5500000000002</v>
      </c>
      <c r="K38" s="133" t="s">
        <v>66</v>
      </c>
      <c r="L38" s="437"/>
      <c r="M38" s="438"/>
      <c r="N38" s="557">
        <f>+I38-N37-N39</f>
        <v>39.814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+C39+'20'!D39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57.294918995839303</v>
      </c>
      <c r="K39" s="135" t="s">
        <v>66</v>
      </c>
      <c r="L39" s="437"/>
      <c r="M39" s="438"/>
      <c r="N39" s="154">
        <f>0.061+1.843+1.507</f>
        <v>3.4109999999999996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+C40+'20'!D40</f>
        <v>790</v>
      </c>
      <c r="E40" s="148">
        <f t="shared" si="0"/>
        <v>13.166666666666666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49.780999999999999</v>
      </c>
      <c r="J40" s="136">
        <f>+I40+'20'!J40</f>
        <v>1020.4369999999999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+C41+'20'!D41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48.592238095238088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+C42+'20'!D42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+C43+'20'!D43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+Report1!AH29</f>
        <v>128.018</v>
      </c>
      <c r="J43" s="138">
        <f>+I43+'20'!J43</f>
        <v>2527.4290000000005</v>
      </c>
      <c r="K43" s="135" t="s">
        <v>66</v>
      </c>
      <c r="L43" s="439">
        <f>+Report1!AN29</f>
        <v>12.1</v>
      </c>
      <c r="M43" s="440">
        <f>+L43+'20'!M43</f>
        <v>241.59999999999997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+C44+'20'!D44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2.433570953331432</v>
      </c>
      <c r="J44" s="139">
        <f>J43/J38</f>
        <v>2.3282474321772373</v>
      </c>
      <c r="K44" s="135" t="s">
        <v>66</v>
      </c>
      <c r="L44" s="441">
        <f>+L43/I38</f>
        <v>0.2300161581598707</v>
      </c>
      <c r="M44" s="442">
        <f>+M43/J38</f>
        <v>0.22255999263046375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+C45+'20'!D45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2.5716237118579377</v>
      </c>
      <c r="J45" s="139">
        <f>J43/J40</f>
        <v>2.4768104253373808</v>
      </c>
      <c r="K45" s="135" t="s">
        <v>66</v>
      </c>
      <c r="L45" s="441">
        <f>+L43/I40</f>
        <v>0.24306462304895443</v>
      </c>
      <c r="M45" s="442">
        <f>+M43/J40</f>
        <v>0.23676130912540411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+C46+'20'!D46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+SUMIF(Listrik!AC28,"&gt;0")</f>
        <v>37000.890000000545</v>
      </c>
      <c r="J46" s="140">
        <f>+I46+'20'!J46</f>
        <v>673925.37999999942</v>
      </c>
      <c r="K46" s="135" t="s">
        <v>81</v>
      </c>
      <c r="L46" s="441">
        <f>+Listrik!AF28</f>
        <v>19372</v>
      </c>
      <c r="M46" s="443">
        <f>+L46+'20'!M46</f>
        <v>170441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+C47+'20'!D47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703.37211291703341</v>
      </c>
      <c r="J47" s="140">
        <f>J46/J38</f>
        <v>620.81468380083766</v>
      </c>
      <c r="K47" s="135" t="s">
        <v>25</v>
      </c>
      <c r="L47" s="441">
        <f>+L46/I38</f>
        <v>368.25396825396825</v>
      </c>
      <c r="M47" s="442">
        <f>+M46/J38</f>
        <v>157.00888950301689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+C48+'20'!D48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743.27333721702144</v>
      </c>
      <c r="J48" s="140">
        <f>J46/J40</f>
        <v>660.42820869882166</v>
      </c>
      <c r="K48" s="135" t="s">
        <v>25</v>
      </c>
      <c r="L48" s="441">
        <f>+L46/I38</f>
        <v>368.25396825396825</v>
      </c>
      <c r="M48" s="442">
        <f>+M46/J40</f>
        <v>167.02745980398595</v>
      </c>
    </row>
    <row r="49" spans="1:13" ht="17.45" customHeight="1">
      <c r="A49" s="799" t="s">
        <v>21</v>
      </c>
      <c r="B49" s="790"/>
      <c r="C49" s="169">
        <f>SUMIF($G$7:$G$31,"Others",$F$7:$F$31)</f>
        <v>0</v>
      </c>
      <c r="D49" s="123">
        <f>+C49+'20'!D49</f>
        <v>1680</v>
      </c>
      <c r="E49" s="148">
        <f t="shared" si="0"/>
        <v>28</v>
      </c>
      <c r="F49" s="190"/>
      <c r="H49" s="193" t="s">
        <v>85</v>
      </c>
      <c r="I49" s="123">
        <f>+Report1!AB29</f>
        <v>0</v>
      </c>
      <c r="J49" s="140">
        <f>+I49+'20'!J49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+C50+'20'!D50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+C51+'20'!D51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60</v>
      </c>
      <c r="D52" s="149">
        <f>SUM(D38:D51)</f>
        <v>4706</v>
      </c>
      <c r="E52" s="150">
        <f>SUM(E38:E51)</f>
        <v>78.433333333333337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4.1666666666666664E-2</v>
      </c>
      <c r="D53" s="151">
        <f>D52/(24*60*G4)</f>
        <v>0.15562169312169313</v>
      </c>
      <c r="E53" s="152">
        <f>E52/(G4*24)</f>
        <v>0.15562169312169313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+D34+'20'!J56</f>
        <v>22449</v>
      </c>
      <c r="K56" s="206">
        <f>J56/(J40+J56/1000)/1000</f>
        <v>2.1525842709557898E-2</v>
      </c>
    </row>
    <row r="57" spans="1:13">
      <c r="A57" s="181"/>
      <c r="I57" s="204" t="s">
        <v>92</v>
      </c>
      <c r="J57" s="205">
        <f>+E34+'20'!J57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O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customWidth="1"/>
    <col min="11" max="11" width="12.5703125" style="154" bestFit="1" customWidth="1"/>
    <col min="12" max="12" width="10" style="154" customWidth="1"/>
    <col min="13" max="13" width="14.140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20</v>
      </c>
      <c r="H4" s="159" t="str">
        <f>+'1'!H4</f>
        <v>.10.25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459+475+488</f>
        <v>1422</v>
      </c>
    </row>
    <row r="7" spans="1:15" ht="13.5" customHeight="1" thickBot="1">
      <c r="A7" s="777" t="s">
        <v>414</v>
      </c>
      <c r="B7" s="220" t="s">
        <v>652</v>
      </c>
      <c r="C7" s="221">
        <v>14499</v>
      </c>
      <c r="D7" s="222"/>
      <c r="E7" s="223"/>
      <c r="F7" s="232"/>
      <c r="G7" s="233" t="s">
        <v>13</v>
      </c>
      <c r="H7" s="234" t="s">
        <v>394</v>
      </c>
      <c r="I7" s="780" t="s">
        <v>446</v>
      </c>
      <c r="J7" s="219" t="str">
        <f>+'19'!J7</f>
        <v>TW 17 RC HW</v>
      </c>
      <c r="K7" s="242"/>
      <c r="L7" s="246"/>
      <c r="M7" s="122">
        <f>+K7+'19'!M7+L7</f>
        <v>44630</v>
      </c>
    </row>
    <row r="8" spans="1:15" ht="13.5" thickBot="1">
      <c r="A8" s="778"/>
      <c r="B8" s="220"/>
      <c r="C8" s="221"/>
      <c r="D8" s="222"/>
      <c r="E8" s="224"/>
      <c r="F8" s="235">
        <v>10</v>
      </c>
      <c r="G8" s="581" t="s">
        <v>13</v>
      </c>
      <c r="H8" s="234" t="s">
        <v>480</v>
      </c>
      <c r="I8" s="781"/>
      <c r="J8" s="219" t="str">
        <f>+'19'!J8</f>
        <v>N 18 RC HW</v>
      </c>
      <c r="K8" s="243"/>
      <c r="L8" s="243"/>
      <c r="M8" s="122">
        <f>+K8+'19'!M8+L8</f>
        <v>105194</v>
      </c>
      <c r="N8" s="154">
        <v>830</v>
      </c>
      <c r="O8" s="154">
        <f>+N8-N8*0.14</f>
        <v>713.8</v>
      </c>
    </row>
    <row r="9" spans="1:15" ht="13.5" thickBot="1">
      <c r="A9" s="778"/>
      <c r="B9" s="220"/>
      <c r="C9" s="221"/>
      <c r="D9" s="222"/>
      <c r="E9" s="225"/>
      <c r="F9" s="232">
        <v>5</v>
      </c>
      <c r="G9" s="581" t="s">
        <v>13</v>
      </c>
      <c r="H9" s="237" t="s">
        <v>226</v>
      </c>
      <c r="I9" s="781"/>
      <c r="J9" s="219" t="str">
        <f>+'19'!J9</f>
        <v>N 20 RC HW</v>
      </c>
      <c r="K9" s="243"/>
      <c r="L9" s="243"/>
      <c r="M9" s="122">
        <f>+K9+'19'!M9+L9</f>
        <v>71479</v>
      </c>
    </row>
    <row r="10" spans="1:15" ht="13.5" thickBot="1">
      <c r="A10" s="778"/>
      <c r="B10" s="220"/>
      <c r="C10" s="221"/>
      <c r="D10" s="222"/>
      <c r="E10" s="224"/>
      <c r="F10" s="232"/>
      <c r="G10" s="581"/>
      <c r="H10" s="237" t="s">
        <v>669</v>
      </c>
      <c r="I10" s="781"/>
      <c r="J10" s="219" t="str">
        <f>+'19'!J10</f>
        <v>N 17 RC HW</v>
      </c>
      <c r="K10" s="243"/>
      <c r="L10" s="243"/>
      <c r="M10" s="122">
        <f>+K10+'19'!M10+L10</f>
        <v>5253</v>
      </c>
    </row>
    <row r="11" spans="1:15" ht="13.5" thickBot="1">
      <c r="A11" s="778"/>
      <c r="B11" s="220"/>
      <c r="C11" s="221"/>
      <c r="D11" s="222"/>
      <c r="E11" s="224"/>
      <c r="F11" s="232"/>
      <c r="G11" s="236"/>
      <c r="H11" s="237"/>
      <c r="I11" s="781"/>
      <c r="J11" s="219" t="str">
        <f>+'19'!J11</f>
        <v>N 18,5 RC HW</v>
      </c>
      <c r="K11" s="243"/>
      <c r="L11" s="243"/>
      <c r="M11" s="122">
        <f>+K11+'19'!M11+L11</f>
        <v>10930</v>
      </c>
    </row>
    <row r="12" spans="1:15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+'19'!J12</f>
        <v>TW 32 RC HW</v>
      </c>
      <c r="K12" s="243"/>
      <c r="L12" s="243"/>
      <c r="M12" s="122">
        <f>+K12+'19'!M12+L12</f>
        <v>75522</v>
      </c>
    </row>
    <row r="13" spans="1:15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+'19'!J13</f>
        <v>TW 34 RC HW</v>
      </c>
      <c r="K13" s="243"/>
      <c r="L13" s="243"/>
      <c r="M13" s="122">
        <f>+K13+'19'!M13+L13</f>
        <v>22635</v>
      </c>
    </row>
    <row r="14" spans="1:15" ht="13.5" thickBot="1">
      <c r="A14" s="779"/>
      <c r="B14" s="170" t="s">
        <v>3</v>
      </c>
      <c r="C14" s="104">
        <f>SUM(C7:C13)</f>
        <v>14499</v>
      </c>
      <c r="D14" s="116">
        <f>SUM(D7:D13)</f>
        <v>0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+'19'!J14</f>
        <v>TW 36 RC HW</v>
      </c>
      <c r="K14" s="243"/>
      <c r="L14" s="243"/>
      <c r="M14" s="122">
        <f>+K14+'19'!M14+L14</f>
        <v>33555</v>
      </c>
    </row>
    <row r="15" spans="1:15" ht="13.5" customHeight="1" thickBot="1">
      <c r="A15" s="777" t="s">
        <v>411</v>
      </c>
      <c r="B15" s="170"/>
      <c r="C15" s="118">
        <f>C14/($C$23+$D$23+$E$23)</f>
        <v>0.80242404117549393</v>
      </c>
      <c r="D15" s="119">
        <f>D14/($C$23+$D$23+$E$23)</f>
        <v>0</v>
      </c>
      <c r="E15" s="120">
        <f>E14/($C$23+$D$23+$E$23)</f>
        <v>0</v>
      </c>
      <c r="F15" s="232">
        <v>2</v>
      </c>
      <c r="G15" s="233" t="s">
        <v>13</v>
      </c>
      <c r="H15" s="234" t="s">
        <v>452</v>
      </c>
      <c r="I15" s="780" t="s">
        <v>446</v>
      </c>
      <c r="J15" s="219" t="str">
        <f>+'19'!J15</f>
        <v>TW 38 RC HW</v>
      </c>
      <c r="K15" s="243"/>
      <c r="L15" s="243"/>
      <c r="M15" s="122">
        <f>+K15+'19'!M15+L15</f>
        <v>50415</v>
      </c>
    </row>
    <row r="16" spans="1:15" ht="13.5" thickBot="1">
      <c r="A16" s="783"/>
      <c r="B16" s="220" t="s">
        <v>652</v>
      </c>
      <c r="C16" s="226">
        <v>18069</v>
      </c>
      <c r="D16" s="227"/>
      <c r="E16" s="228"/>
      <c r="F16" s="235">
        <v>6</v>
      </c>
      <c r="G16" s="581" t="s">
        <v>13</v>
      </c>
      <c r="H16" s="234" t="s">
        <v>480</v>
      </c>
      <c r="I16" s="781"/>
      <c r="J16" s="219" t="str">
        <f>+'19'!J16</f>
        <v>TW 30 RC HW</v>
      </c>
      <c r="K16" s="233"/>
      <c r="L16" s="233"/>
      <c r="M16" s="122">
        <f>+K16+'19'!M16+L16</f>
        <v>118057</v>
      </c>
    </row>
    <row r="17" spans="1:14" ht="13.5" thickBot="1">
      <c r="A17" s="783"/>
      <c r="B17" s="220"/>
      <c r="C17" s="221"/>
      <c r="D17" s="222"/>
      <c r="E17" s="229"/>
      <c r="F17" s="232">
        <v>7</v>
      </c>
      <c r="G17" s="581" t="s">
        <v>13</v>
      </c>
      <c r="H17" s="237" t="s">
        <v>226</v>
      </c>
      <c r="I17" s="781"/>
      <c r="J17" s="219" t="str">
        <f>+'19'!J17</f>
        <v>TW 28 RC HW</v>
      </c>
      <c r="K17" s="233"/>
      <c r="L17" s="233"/>
      <c r="M17" s="122">
        <f>+K17+'19'!M17+L17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669</v>
      </c>
      <c r="I18" s="781"/>
      <c r="J18" s="219" t="str">
        <f>+'19'!J18</f>
        <v>N 20,5 RC HW</v>
      </c>
      <c r="K18" s="243"/>
      <c r="L18" s="243"/>
      <c r="M18" s="122">
        <f>+K18+'19'!M18+L18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+'19'!J19</f>
        <v>N 17 RC BR</v>
      </c>
      <c r="K19" s="243"/>
      <c r="L19" s="243"/>
      <c r="M19" s="122">
        <f>+K19+'19'!M19+L19</f>
        <v>23267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+'19'!J20</f>
        <v>N 16 RC BR</v>
      </c>
      <c r="K20" s="244"/>
      <c r="L20" s="244"/>
      <c r="M20" s="122">
        <f>+K20+'19'!M20+L20</f>
        <v>55598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+'19'!J21</f>
        <v>N 15,5 RC BR</v>
      </c>
      <c r="K21" s="244">
        <f>+C34</f>
        <v>49627</v>
      </c>
      <c r="L21" s="244"/>
      <c r="M21" s="122">
        <f>+K21+'19'!M21+L21</f>
        <v>150958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+'19'!J22</f>
        <v>0</v>
      </c>
      <c r="K22" s="244"/>
      <c r="L22" s="244"/>
      <c r="M22" s="122">
        <f>+K22+'19'!M22+L22</f>
        <v>0</v>
      </c>
    </row>
    <row r="23" spans="1:14" ht="13.5" thickBot="1">
      <c r="A23" s="784"/>
      <c r="B23" s="170" t="s">
        <v>3</v>
      </c>
      <c r="C23" s="105">
        <f>SUM(C16:C22)</f>
        <v>18069</v>
      </c>
      <c r="D23" s="116">
        <f>SUM(D16:D22)</f>
        <v>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+'19'!J23</f>
        <v>0</v>
      </c>
      <c r="K23" s="244"/>
      <c r="L23" s="244"/>
      <c r="M23" s="122">
        <f>+K23+'19'!M23+L23</f>
        <v>0</v>
      </c>
    </row>
    <row r="24" spans="1:14" ht="13.5" customHeight="1" thickBot="1">
      <c r="A24" s="777" t="s">
        <v>412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+'19'!J24</f>
        <v>0</v>
      </c>
      <c r="K24" s="244"/>
      <c r="L24" s="244"/>
      <c r="M24" s="122">
        <f>+K24+'19'!M24+L24</f>
        <v>0</v>
      </c>
    </row>
    <row r="25" spans="1:14" ht="13.5" thickBot="1">
      <c r="A25" s="785"/>
      <c r="B25" s="220" t="s">
        <v>652</v>
      </c>
      <c r="C25" s="230">
        <v>17059</v>
      </c>
      <c r="D25" s="222">
        <v>250</v>
      </c>
      <c r="E25" s="229"/>
      <c r="F25" s="235">
        <v>5</v>
      </c>
      <c r="G25" s="581" t="s">
        <v>13</v>
      </c>
      <c r="H25" s="234" t="s">
        <v>480</v>
      </c>
      <c r="I25" s="781"/>
      <c r="J25" s="219">
        <f>+'19'!J25</f>
        <v>0</v>
      </c>
      <c r="K25" s="244"/>
      <c r="L25" s="244"/>
      <c r="M25" s="122">
        <f>+K25+'19'!M25+L25</f>
        <v>0</v>
      </c>
    </row>
    <row r="26" spans="1:14" ht="13.5" thickBot="1">
      <c r="A26" s="785"/>
      <c r="B26" s="220"/>
      <c r="C26" s="230"/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+'19'!J26</f>
        <v>0</v>
      </c>
      <c r="K26" s="244"/>
      <c r="L26" s="244"/>
      <c r="M26" s="122">
        <f>+K26+'19'!M26+L26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669</v>
      </c>
      <c r="I27" s="781"/>
      <c r="J27" s="219">
        <f>+'19'!J27</f>
        <v>0</v>
      </c>
      <c r="K27" s="244"/>
      <c r="L27" s="244"/>
      <c r="M27" s="122">
        <f>+K27+'19'!M27+L27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+'19'!J28</f>
        <v>0</v>
      </c>
      <c r="K28" s="244"/>
      <c r="L28" s="244"/>
      <c r="M28" s="122">
        <f>+K28+'19'!M28+L28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+'19'!J29</f>
        <v>0</v>
      </c>
      <c r="K29" s="244"/>
      <c r="L29" s="244"/>
      <c r="M29" s="122">
        <f>+K29+'19'!M29+L29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+'19'!J30</f>
        <v>0</v>
      </c>
      <c r="K30" s="243"/>
      <c r="L30" s="243"/>
      <c r="M30" s="122">
        <f>+K30+'19'!M30+L30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+'19'!J31</f>
        <v>0</v>
      </c>
      <c r="K31" s="243"/>
      <c r="L31" s="243"/>
      <c r="M31" s="122">
        <f>+K31+'19'!M31+L31</f>
        <v>0</v>
      </c>
    </row>
    <row r="32" spans="1:14" ht="13.5" thickBot="1">
      <c r="A32" s="786"/>
      <c r="B32" s="170" t="s">
        <v>3</v>
      </c>
      <c r="C32" s="104">
        <f>SUM(C25:C31)</f>
        <v>17059</v>
      </c>
      <c r="D32" s="105">
        <f>SUM(D25:D31)</f>
        <v>250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+'19'!J32</f>
        <v>0</v>
      </c>
      <c r="K32" s="245"/>
      <c r="L32" s="247"/>
      <c r="M32" s="122">
        <f>+K32+'19'!M32+L32</f>
        <v>0</v>
      </c>
    </row>
    <row r="33" spans="1:13" ht="13.5" thickBot="1">
      <c r="A33" s="178"/>
      <c r="B33" s="179"/>
      <c r="C33" s="108">
        <f>C32/($C$32+$D$32+$E$32)</f>
        <v>0.98555664683112831</v>
      </c>
      <c r="D33" s="109">
        <f>D32/($C$32+$D$32+$E$32)</f>
        <v>1.4443353168871685E-2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87" t="s">
        <v>60</v>
      </c>
      <c r="B34" s="788"/>
      <c r="C34" s="112">
        <f>C14+C23+C32</f>
        <v>49627</v>
      </c>
      <c r="D34" s="112">
        <f>D14+D23+D32</f>
        <v>250</v>
      </c>
      <c r="E34" s="112">
        <f>E14+E23+E32</f>
        <v>0</v>
      </c>
      <c r="F34" s="113">
        <f>F14+F23+F32</f>
        <v>40</v>
      </c>
      <c r="H34" s="183"/>
      <c r="I34" s="183"/>
      <c r="J34" s="128" t="s">
        <v>29</v>
      </c>
      <c r="K34" s="129">
        <f>SUM(K7:K32)</f>
        <v>49627</v>
      </c>
      <c r="L34" s="217">
        <f>SUM(L7:L32)</f>
        <v>0</v>
      </c>
      <c r="M34" s="125">
        <f>SUM(M7:M32)</f>
        <v>970656</v>
      </c>
    </row>
    <row r="35" spans="1:13" ht="13.5" thickBot="1">
      <c r="A35" s="184"/>
      <c r="B35" s="185"/>
      <c r="C35" s="109">
        <f>C34/($C$34+$D$34+$E$34)</f>
        <v>0.99498766966738172</v>
      </c>
      <c r="D35" s="109">
        <f>D34/($C$34+$D$34+$E$34)</f>
        <v>5.0123303326182408E-3</v>
      </c>
      <c r="E35" s="114">
        <f>E34/($C$34+$D$34+$E$34)</f>
        <v>0</v>
      </c>
      <c r="K35" s="160"/>
      <c r="L35" s="776" t="s">
        <v>186</v>
      </c>
      <c r="M35" s="776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(15.5*1440)/1440*G42*3.4*1440/1000000</f>
        <v>54.168854399999994</v>
      </c>
      <c r="J37" s="130">
        <f>+I37+'19'!J37</f>
        <v>1145.0382284126254</v>
      </c>
      <c r="K37" s="131" t="s">
        <v>66</v>
      </c>
      <c r="L37" s="435"/>
      <c r="M37" s="436"/>
    </row>
    <row r="38" spans="1:13" ht="17.45" customHeight="1">
      <c r="A38" s="793" t="s">
        <v>13</v>
      </c>
      <c r="B38" s="794"/>
      <c r="C38" s="169">
        <f>SUMIF($G$7:$G$31,"Process",$F$7:$F$31)</f>
        <v>40</v>
      </c>
      <c r="D38" s="123">
        <f>+C38+'19'!D38</f>
        <v>2116</v>
      </c>
      <c r="E38" s="148">
        <f t="shared" ref="E38:E51" si="0">D38/60</f>
        <v>35.266666666666666</v>
      </c>
      <c r="F38" s="375">
        <v>830</v>
      </c>
      <c r="G38" s="375">
        <f>+F38-F38*0.14</f>
        <v>713.8</v>
      </c>
      <c r="H38" s="192" t="s">
        <v>67</v>
      </c>
      <c r="I38" s="556">
        <f>16.114+16.93+16.318</f>
        <v>49.361999999999995</v>
      </c>
      <c r="J38" s="132">
        <f>+I38+'19'!J38</f>
        <v>1032.9450000000002</v>
      </c>
      <c r="K38" s="133" t="s">
        <v>66</v>
      </c>
      <c r="L38" s="437"/>
      <c r="M38" s="438"/>
    </row>
    <row r="39" spans="1:13" ht="17.45" customHeight="1">
      <c r="A39" s="789" t="s">
        <v>14</v>
      </c>
      <c r="B39" s="790"/>
      <c r="C39" s="169">
        <f>SUMIF($G$7:$G$31,"Cleaning",$F$7:$F$31)</f>
        <v>0</v>
      </c>
      <c r="D39" s="123">
        <f>+C39+'19'!D39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57.251911420631266</v>
      </c>
      <c r="K39" s="135" t="s">
        <v>66</v>
      </c>
      <c r="L39" s="437"/>
      <c r="M39" s="438"/>
    </row>
    <row r="40" spans="1:13" ht="17.45" customHeight="1">
      <c r="A40" s="789" t="s">
        <v>69</v>
      </c>
      <c r="B40" s="790"/>
      <c r="C40" s="169">
        <f>SUMIF($G$7:$G$31,"Mechanical",$F$7:$F$31)</f>
        <v>0</v>
      </c>
      <c r="D40" s="123">
        <f>+C40+'19'!D40</f>
        <v>790</v>
      </c>
      <c r="E40" s="148">
        <f t="shared" si="0"/>
        <v>13.166666666666666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49.627000000000002</v>
      </c>
      <c r="J40" s="136">
        <f>+I40+'19'!J40</f>
        <v>970.65599999999995</v>
      </c>
      <c r="K40" s="135" t="s">
        <v>66</v>
      </c>
      <c r="L40" s="437"/>
      <c r="M40" s="438"/>
    </row>
    <row r="41" spans="1:13" ht="17.45" customHeight="1">
      <c r="A41" s="789" t="s">
        <v>71</v>
      </c>
      <c r="B41" s="790"/>
      <c r="C41" s="169">
        <f>SUMIF($G$7:$G$31,"Electrical",$F$7:$F$31)</f>
        <v>0</v>
      </c>
      <c r="D41" s="123">
        <f>+C41+'19'!D41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48.532799999999995</v>
      </c>
      <c r="K41" s="135" t="s">
        <v>66</v>
      </c>
      <c r="L41" s="437"/>
      <c r="M41" s="438"/>
    </row>
    <row r="42" spans="1:13" ht="17.45" customHeight="1">
      <c r="A42" s="789" t="s">
        <v>17</v>
      </c>
      <c r="B42" s="790"/>
      <c r="C42" s="169">
        <f>SUMIF($G$7:$G$31,"Instrument",$F$7:$F$31)</f>
        <v>0</v>
      </c>
      <c r="D42" s="123">
        <f>+C42+'19'!D42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3" ht="17.45" customHeight="1">
      <c r="A43" s="789" t="s">
        <v>75</v>
      </c>
      <c r="B43" s="790"/>
      <c r="C43" s="169">
        <f>SUMIF($G$7:$G$31,"Water",$F$7:$F$31)</f>
        <v>0</v>
      </c>
      <c r="D43" s="123">
        <f>+C43+'19'!D43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+Report1!AH28</f>
        <v>120.82299999999999</v>
      </c>
      <c r="J43" s="138">
        <f>+I43+'19'!J43</f>
        <v>2399.4110000000005</v>
      </c>
      <c r="K43" s="135" t="s">
        <v>66</v>
      </c>
      <c r="L43" s="439">
        <f>+Report1!AN28</f>
        <v>14.4</v>
      </c>
      <c r="M43" s="440">
        <f>+L43+'19'!M43</f>
        <v>229.49999999999997</v>
      </c>
    </row>
    <row r="44" spans="1:13" ht="17.45" customHeight="1">
      <c r="A44" s="789" t="s">
        <v>18</v>
      </c>
      <c r="B44" s="790"/>
      <c r="C44" s="169">
        <f>SUMIF($G$7:$G$31,"PLN",$F$7:$F$31)</f>
        <v>0</v>
      </c>
      <c r="D44" s="123">
        <f>+C44+'19'!D44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2.4476925570276733</v>
      </c>
      <c r="J44" s="139">
        <f>J43/J38</f>
        <v>2.3228835998044426</v>
      </c>
      <c r="K44" s="135" t="s">
        <v>66</v>
      </c>
      <c r="L44" s="441">
        <f>+L43/I38</f>
        <v>0.29172237753737695</v>
      </c>
      <c r="M44" s="442">
        <f>+M43/J38</f>
        <v>0.22218027097280102</v>
      </c>
    </row>
    <row r="45" spans="1:13" ht="17.45" customHeight="1">
      <c r="A45" s="789" t="s">
        <v>19</v>
      </c>
      <c r="B45" s="790"/>
      <c r="C45" s="169">
        <f>SUMIF($G$7:$G$31,"Boiler",$F$7:$F$31)</f>
        <v>0</v>
      </c>
      <c r="D45" s="123">
        <f>+C45+'19'!D45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2.4346222822254013</v>
      </c>
      <c r="J45" s="139">
        <f>J43/J40</f>
        <v>2.4719478373388726</v>
      </c>
      <c r="K45" s="135" t="s">
        <v>66</v>
      </c>
      <c r="L45" s="441">
        <f>+L43/I40</f>
        <v>0.29016462812581861</v>
      </c>
      <c r="M45" s="442">
        <f>+M43/J40</f>
        <v>0.23643803778063494</v>
      </c>
    </row>
    <row r="46" spans="1:13" ht="17.45" customHeight="1">
      <c r="A46" s="789" t="s">
        <v>79</v>
      </c>
      <c r="B46" s="790"/>
      <c r="C46" s="169">
        <f>SUMIF($G$7:$G$31,"Gas",$F$7:$F$31)</f>
        <v>0</v>
      </c>
      <c r="D46" s="123">
        <f>+C46+'19'!D46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+SUMIF(Listrik!AC27,"&gt;0")</f>
        <v>35243.729999999174</v>
      </c>
      <c r="J46" s="140">
        <f>+I46+'19'!J46</f>
        <v>636924.48999999883</v>
      </c>
      <c r="K46" s="135" t="s">
        <v>81</v>
      </c>
      <c r="L46" s="441">
        <f>+Listrik!AF27</f>
        <v>22897</v>
      </c>
      <c r="M46" s="443">
        <f>+L46+'19'!M46</f>
        <v>151069</v>
      </c>
    </row>
    <row r="47" spans="1:13" ht="17.45" customHeight="1">
      <c r="A47" s="789" t="s">
        <v>82</v>
      </c>
      <c r="B47" s="790"/>
      <c r="C47" s="169">
        <f>SUMIF($G$7:$G$31,"Gas",$F$7:$F$31)</f>
        <v>0</v>
      </c>
      <c r="D47" s="123">
        <f>+C47+'19'!D47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713.98504922813459</v>
      </c>
      <c r="J47" s="140">
        <f>J46/J38</f>
        <v>616.61026482532827</v>
      </c>
      <c r="K47" s="135" t="s">
        <v>25</v>
      </c>
      <c r="L47" s="441">
        <f>+L46/I38</f>
        <v>463.85883878286944</v>
      </c>
      <c r="M47" s="442">
        <f>+M46/J38</f>
        <v>146.2507684339437</v>
      </c>
    </row>
    <row r="48" spans="1:13" ht="17.45" customHeight="1">
      <c r="A48" s="789" t="s">
        <v>15</v>
      </c>
      <c r="B48" s="790"/>
      <c r="C48" s="169">
        <f>SUMIF($G$7:$G$31,"Start Up",$F$7:$F$31)</f>
        <v>0</v>
      </c>
      <c r="D48" s="123">
        <f>+C48+'19'!D48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710.17248675114695</v>
      </c>
      <c r="J48" s="140">
        <f>J46/J40</f>
        <v>656.17941886723918</v>
      </c>
      <c r="K48" s="135" t="s">
        <v>25</v>
      </c>
      <c r="L48" s="441">
        <f>+L46/I38</f>
        <v>463.85883878286944</v>
      </c>
      <c r="M48" s="442">
        <f>+M46/J40</f>
        <v>155.63598226354137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+C49+'19'!D49</f>
        <v>1680</v>
      </c>
      <c r="E49" s="148">
        <f t="shared" si="0"/>
        <v>28</v>
      </c>
      <c r="F49" s="190"/>
      <c r="H49" s="193" t="s">
        <v>85</v>
      </c>
      <c r="I49" s="123">
        <f>+Report1!AB28</f>
        <v>0</v>
      </c>
      <c r="J49" s="140">
        <f>+I49+'19'!J49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+C50+'19'!D50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+C51+'19'!D51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40</v>
      </c>
      <c r="D52" s="149">
        <f>SUM(D38:D51)</f>
        <v>4646</v>
      </c>
      <c r="E52" s="150">
        <f>SUM(E38:E51)</f>
        <v>77.433333333333337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2.7777777777777776E-2</v>
      </c>
      <c r="D53" s="151">
        <f>D52/(24*60*G4)</f>
        <v>0.16131944444444443</v>
      </c>
      <c r="E53" s="152">
        <f>E52/(G4*24)</f>
        <v>0.16131944444444446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+D34+'19'!J56</f>
        <v>22215</v>
      </c>
      <c r="K56" s="206">
        <f>J56/(J40+J56/1000)/1000</f>
        <v>2.2374507866580857E-2</v>
      </c>
    </row>
    <row r="57" spans="1:13">
      <c r="A57" s="181"/>
      <c r="I57" s="204" t="s">
        <v>92</v>
      </c>
      <c r="J57" s="205">
        <f>+E34+'19'!J57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7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O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19</v>
      </c>
      <c r="H4" s="159" t="str">
        <f>+'1'!H4</f>
        <v>.10.25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402+428+412</f>
        <v>1242</v>
      </c>
    </row>
    <row r="7" spans="1:15" ht="13.5" customHeight="1" thickBot="1">
      <c r="A7" s="777" t="s">
        <v>413</v>
      </c>
      <c r="B7" s="220" t="s">
        <v>652</v>
      </c>
      <c r="C7" s="221">
        <v>15538</v>
      </c>
      <c r="D7" s="222"/>
      <c r="E7" s="223"/>
      <c r="F7" s="232"/>
      <c r="G7" s="233" t="s">
        <v>13</v>
      </c>
      <c r="H7" s="234" t="s">
        <v>394</v>
      </c>
      <c r="I7" s="780" t="s">
        <v>446</v>
      </c>
      <c r="J7" s="219" t="str">
        <f>+'18'!J7</f>
        <v>TW 17 RC HW</v>
      </c>
      <c r="K7" s="242"/>
      <c r="L7" s="246"/>
      <c r="M7" s="122">
        <f>+K7+'18'!M7+L7</f>
        <v>44630</v>
      </c>
    </row>
    <row r="8" spans="1:15" ht="13.5" thickBot="1">
      <c r="A8" s="778"/>
      <c r="B8" s="220"/>
      <c r="C8" s="221"/>
      <c r="D8" s="222"/>
      <c r="E8" s="224"/>
      <c r="F8" s="235">
        <v>10</v>
      </c>
      <c r="G8" s="581" t="s">
        <v>13</v>
      </c>
      <c r="H8" s="234" t="s">
        <v>393</v>
      </c>
      <c r="I8" s="781"/>
      <c r="J8" s="219" t="str">
        <f>+'18'!J8</f>
        <v>N 18 RC HW</v>
      </c>
      <c r="K8" s="243"/>
      <c r="L8" s="243"/>
      <c r="M8" s="122">
        <f>+K8+'18'!M8+L8</f>
        <v>105194</v>
      </c>
      <c r="N8" s="154">
        <v>830</v>
      </c>
      <c r="O8" s="154">
        <f>+N8-N8*0.14</f>
        <v>713.8</v>
      </c>
    </row>
    <row r="9" spans="1:15" ht="13.5" thickBot="1">
      <c r="A9" s="778"/>
      <c r="B9" s="220"/>
      <c r="C9" s="221"/>
      <c r="D9" s="222"/>
      <c r="E9" s="225"/>
      <c r="F9" s="232">
        <v>10</v>
      </c>
      <c r="G9" s="581" t="s">
        <v>13</v>
      </c>
      <c r="H9" s="237" t="s">
        <v>226</v>
      </c>
      <c r="I9" s="781"/>
      <c r="J9" s="219" t="str">
        <f>+'18'!J9</f>
        <v>N 20 RC HW</v>
      </c>
      <c r="K9" s="243"/>
      <c r="L9" s="243"/>
      <c r="M9" s="122">
        <f>+K9+'18'!M9+L9</f>
        <v>71479</v>
      </c>
    </row>
    <row r="10" spans="1:15" ht="13.5" thickBot="1">
      <c r="A10" s="778"/>
      <c r="B10" s="220"/>
      <c r="C10" s="221"/>
      <c r="D10" s="222"/>
      <c r="E10" s="224"/>
      <c r="F10" s="232"/>
      <c r="G10" s="581"/>
      <c r="H10" s="237" t="s">
        <v>669</v>
      </c>
      <c r="I10" s="781"/>
      <c r="J10" s="219" t="str">
        <f>+'18'!J10</f>
        <v>N 17 RC HW</v>
      </c>
      <c r="K10" s="243"/>
      <c r="L10" s="243"/>
      <c r="M10" s="122">
        <f>+K10+'18'!M10+L10</f>
        <v>5253</v>
      </c>
    </row>
    <row r="11" spans="1:15" ht="13.5" thickBot="1">
      <c r="A11" s="778"/>
      <c r="B11" s="220"/>
      <c r="C11" s="221"/>
      <c r="D11" s="222"/>
      <c r="E11" s="224"/>
      <c r="F11" s="232"/>
      <c r="G11" s="236"/>
      <c r="H11" s="237"/>
      <c r="I11" s="781"/>
      <c r="J11" s="219" t="str">
        <f>+'18'!J11</f>
        <v>N 18,5 RC HW</v>
      </c>
      <c r="K11" s="243"/>
      <c r="L11" s="243"/>
      <c r="M11" s="122">
        <f>+K11+'18'!M11+L11</f>
        <v>10930</v>
      </c>
    </row>
    <row r="12" spans="1:15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+'18'!J12</f>
        <v>TW 32 RC HW</v>
      </c>
      <c r="K12" s="243"/>
      <c r="L12" s="243"/>
      <c r="M12" s="122">
        <f>+K12+'18'!M12+L12</f>
        <v>75522</v>
      </c>
    </row>
    <row r="13" spans="1:15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+'18'!J13</f>
        <v>TW 34 RC HW</v>
      </c>
      <c r="K13" s="243"/>
      <c r="L13" s="243"/>
      <c r="M13" s="122">
        <f>+K13+'18'!M13+L13</f>
        <v>22635</v>
      </c>
    </row>
    <row r="14" spans="1:15" ht="13.5" thickBot="1">
      <c r="A14" s="779"/>
      <c r="B14" s="170" t="s">
        <v>3</v>
      </c>
      <c r="C14" s="104">
        <f>SUM(C7:C13)</f>
        <v>15538</v>
      </c>
      <c r="D14" s="116">
        <f>SUM(D7:D13)</f>
        <v>0</v>
      </c>
      <c r="E14" s="117">
        <f>SUM(E5:E13)</f>
        <v>0</v>
      </c>
      <c r="F14" s="107">
        <f>SUM(F6:F13)</f>
        <v>20</v>
      </c>
      <c r="G14" s="164"/>
      <c r="H14" s="171"/>
      <c r="I14" s="172"/>
      <c r="J14" s="219" t="str">
        <f>+'18'!J14</f>
        <v>TW 36 RC HW</v>
      </c>
      <c r="K14" s="243"/>
      <c r="L14" s="243"/>
      <c r="M14" s="122">
        <f>+K14+'18'!M14+L14</f>
        <v>33555</v>
      </c>
    </row>
    <row r="15" spans="1:15" ht="13.5" customHeight="1" thickBot="1">
      <c r="A15" s="777" t="s">
        <v>411</v>
      </c>
      <c r="B15" s="170"/>
      <c r="C15" s="118">
        <f>C14/($C$23+$D$23+$E$23)</f>
        <v>0.8982541334258296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446</v>
      </c>
      <c r="J15" s="219" t="str">
        <f>+'18'!J15</f>
        <v>TW 38 RC HW</v>
      </c>
      <c r="K15" s="243"/>
      <c r="L15" s="243"/>
      <c r="M15" s="122">
        <f>+K15+'18'!M15+L15</f>
        <v>50415</v>
      </c>
    </row>
    <row r="16" spans="1:15" ht="13.5" thickBot="1">
      <c r="A16" s="783"/>
      <c r="B16" s="220" t="s">
        <v>652</v>
      </c>
      <c r="C16" s="226">
        <v>17298</v>
      </c>
      <c r="D16" s="227"/>
      <c r="E16" s="228"/>
      <c r="F16" s="235">
        <v>5</v>
      </c>
      <c r="G16" s="581" t="s">
        <v>13</v>
      </c>
      <c r="H16" s="234" t="s">
        <v>393</v>
      </c>
      <c r="I16" s="781"/>
      <c r="J16" s="219" t="str">
        <f>+'18'!J16</f>
        <v>TW 30 RC HW</v>
      </c>
      <c r="K16" s="243"/>
      <c r="L16" s="243"/>
      <c r="M16" s="122">
        <f>+K16+'18'!M16+L16</f>
        <v>118057</v>
      </c>
    </row>
    <row r="17" spans="1:14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+'18'!J17</f>
        <v>TW 28 RC HW</v>
      </c>
      <c r="K17" s="243"/>
      <c r="L17" s="243"/>
      <c r="M17" s="122">
        <f>+K17+'18'!M17+L17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669</v>
      </c>
      <c r="I18" s="781"/>
      <c r="J18" s="219" t="str">
        <f>+'18'!J18</f>
        <v>N 20,5 RC HW</v>
      </c>
      <c r="K18" s="243"/>
      <c r="L18" s="243"/>
      <c r="M18" s="122">
        <f>+K18+'18'!M18+L18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+'18'!J19</f>
        <v>N 17 RC BR</v>
      </c>
      <c r="K19" s="243"/>
      <c r="L19" s="243"/>
      <c r="M19" s="122">
        <f>+K19+'18'!M19+L19</f>
        <v>23267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+'18'!J20</f>
        <v>N 16 RC BR</v>
      </c>
      <c r="K20" s="243"/>
      <c r="L20" s="243"/>
      <c r="M20" s="122">
        <f>+K20+'18'!M20+L20</f>
        <v>55598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+'18'!J21</f>
        <v>N 15,5 RC BR</v>
      </c>
      <c r="K21" s="243">
        <f>+C34</f>
        <v>49046</v>
      </c>
      <c r="L21" s="243"/>
      <c r="M21" s="122">
        <f>+K21+'18'!M21+L21</f>
        <v>101331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+'18'!J22</f>
        <v>0</v>
      </c>
      <c r="K22" s="243"/>
      <c r="L22" s="243"/>
      <c r="M22" s="122">
        <f>+K22+'18'!M22+L22</f>
        <v>0</v>
      </c>
    </row>
    <row r="23" spans="1:14" ht="13.5" thickBot="1">
      <c r="A23" s="784"/>
      <c r="B23" s="170" t="s">
        <v>3</v>
      </c>
      <c r="C23" s="105">
        <f>SUM(C16:C22)</f>
        <v>17298</v>
      </c>
      <c r="D23" s="116">
        <f>SUM(D16:D22)</f>
        <v>0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>
        <f>+'18'!J23</f>
        <v>0</v>
      </c>
      <c r="K23" s="243"/>
      <c r="L23" s="243"/>
      <c r="M23" s="122">
        <f>+K23+'18'!M23+L23</f>
        <v>0</v>
      </c>
    </row>
    <row r="24" spans="1:14" ht="13.5" customHeight="1" thickBot="1">
      <c r="A24" s="777" t="s">
        <v>412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+'18'!J24</f>
        <v>0</v>
      </c>
      <c r="K24" s="243"/>
      <c r="L24" s="243"/>
      <c r="M24" s="122">
        <f>+K24+'18'!M24+L24</f>
        <v>0</v>
      </c>
    </row>
    <row r="25" spans="1:14" ht="13.5" thickBot="1">
      <c r="A25" s="785"/>
      <c r="B25" s="220" t="s">
        <v>652</v>
      </c>
      <c r="C25" s="230">
        <v>16210</v>
      </c>
      <c r="D25" s="222"/>
      <c r="E25" s="229"/>
      <c r="F25" s="235">
        <v>10</v>
      </c>
      <c r="G25" s="581" t="s">
        <v>13</v>
      </c>
      <c r="H25" s="234" t="s">
        <v>480</v>
      </c>
      <c r="I25" s="781"/>
      <c r="J25" s="219">
        <f>+'18'!J25</f>
        <v>0</v>
      </c>
      <c r="K25" s="243"/>
      <c r="L25" s="243"/>
      <c r="M25" s="122">
        <f>+K25+'18'!M25+L25</f>
        <v>0</v>
      </c>
    </row>
    <row r="26" spans="1:14" ht="13.5" thickBot="1">
      <c r="A26" s="785"/>
      <c r="B26" s="220"/>
      <c r="C26" s="230"/>
      <c r="D26" s="222"/>
      <c r="E26" s="231"/>
      <c r="F26" s="232">
        <v>10</v>
      </c>
      <c r="G26" s="581" t="s">
        <v>13</v>
      </c>
      <c r="H26" s="237" t="s">
        <v>226</v>
      </c>
      <c r="I26" s="781"/>
      <c r="J26" s="219">
        <f>+'18'!J26</f>
        <v>0</v>
      </c>
      <c r="K26" s="243"/>
      <c r="L26" s="243"/>
      <c r="M26" s="122">
        <f>+K26+'18'!M26+L26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669</v>
      </c>
      <c r="I27" s="781"/>
      <c r="J27" s="219">
        <f>+'18'!J27</f>
        <v>0</v>
      </c>
      <c r="K27" s="243"/>
      <c r="L27" s="243"/>
      <c r="M27" s="122">
        <f>+K27+'18'!M27+L27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+'18'!J28</f>
        <v>0</v>
      </c>
      <c r="K28" s="243"/>
      <c r="L28" s="243"/>
      <c r="M28" s="122">
        <f>+K28+'18'!M28+L28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+'18'!J29</f>
        <v>0</v>
      </c>
      <c r="K29" s="243"/>
      <c r="L29" s="243"/>
      <c r="M29" s="122">
        <f>+K29+'18'!M29+L29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+'18'!J30</f>
        <v>0</v>
      </c>
      <c r="K30" s="243"/>
      <c r="L30" s="243"/>
      <c r="M30" s="122">
        <f>+K30+'18'!M30+L30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+'18'!J31</f>
        <v>0</v>
      </c>
      <c r="K31" s="243"/>
      <c r="L31" s="243"/>
      <c r="M31" s="122">
        <f>+K31+'18'!M31+L31</f>
        <v>0</v>
      </c>
    </row>
    <row r="32" spans="1:14" ht="13.5" thickBot="1">
      <c r="A32" s="786"/>
      <c r="B32" s="170" t="s">
        <v>3</v>
      </c>
      <c r="C32" s="104">
        <f>SUM(C25:C31)</f>
        <v>16210</v>
      </c>
      <c r="D32" s="105">
        <f>SUM(D25:D31)</f>
        <v>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+'18'!J32</f>
        <v>0</v>
      </c>
      <c r="K32" s="245"/>
      <c r="L32" s="247"/>
      <c r="M32" s="122">
        <f>+K32+'18'!M32+L32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49046</v>
      </c>
      <c r="D34" s="112">
        <f>D14+D23+D32</f>
        <v>0</v>
      </c>
      <c r="E34" s="112">
        <f>E14+E23+E32</f>
        <v>0</v>
      </c>
      <c r="F34" s="113">
        <f>F14+F23+F32</f>
        <v>50</v>
      </c>
      <c r="H34" s="183"/>
      <c r="I34" s="183"/>
      <c r="J34" s="128" t="s">
        <v>29</v>
      </c>
      <c r="K34" s="129">
        <f>SUM(K7:K32)</f>
        <v>49046</v>
      </c>
      <c r="L34" s="217">
        <f>SUM(L7:L32)</f>
        <v>0</v>
      </c>
      <c r="M34" s="125">
        <f>SUM(M7:M32)</f>
        <v>921029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(15.5*1440)/1440*G42*3.4*1440/1000000</f>
        <v>54.168854399999994</v>
      </c>
      <c r="J37" s="130">
        <f>+I37+'18'!J37</f>
        <v>1090.8693740126253</v>
      </c>
      <c r="K37" s="131" t="s">
        <v>66</v>
      </c>
      <c r="L37" s="435"/>
      <c r="M37" s="436"/>
    </row>
    <row r="38" spans="1:14" ht="17.45" customHeight="1">
      <c r="A38" s="793" t="s">
        <v>13</v>
      </c>
      <c r="B38" s="794"/>
      <c r="C38" s="169">
        <f>SUMIF($G$7:$G$31,"Process",$F$7:$F$31)</f>
        <v>50</v>
      </c>
      <c r="D38" s="123">
        <f>+C38+'18'!D38</f>
        <v>2076</v>
      </c>
      <c r="E38" s="148">
        <f t="shared" ref="E38:E51" si="0">D38/60</f>
        <v>34.6</v>
      </c>
      <c r="F38" s="375">
        <v>830</v>
      </c>
      <c r="G38" s="375">
        <f>+F38-F38*0.14</f>
        <v>713.8</v>
      </c>
      <c r="H38" s="192" t="s">
        <v>67</v>
      </c>
      <c r="I38" s="556">
        <f>16.42+17.44+16.828</f>
        <v>50.688000000000002</v>
      </c>
      <c r="J38" s="132">
        <f>+I38+'18'!J38</f>
        <v>983.58300000000008</v>
      </c>
      <c r="K38" s="133" t="s">
        <v>66</v>
      </c>
      <c r="L38" s="437"/>
      <c r="M38" s="438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+C39+'18'!D39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57.414177579611852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+C40+'18'!D40</f>
        <v>790</v>
      </c>
      <c r="E40" s="148">
        <f t="shared" si="0"/>
        <v>13.166666666666666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49.045999999999999</v>
      </c>
      <c r="J40" s="136">
        <f>+I40+'18'!J40</f>
        <v>921.029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+C41+'18'!D41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48.475210526315792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+C42+'18'!D42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+C43+'18'!D43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+Report1!AH27</f>
        <v>121.2</v>
      </c>
      <c r="J43" s="138">
        <f>+I43+'18'!J43</f>
        <v>2278.5880000000006</v>
      </c>
      <c r="K43" s="135" t="s">
        <v>66</v>
      </c>
      <c r="L43" s="439">
        <f>+Report1!AN27</f>
        <v>12</v>
      </c>
      <c r="M43" s="440">
        <f>+L43+'18'!M43</f>
        <v>215.09999999999997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+C44+'18'!D44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2.3910984848484849</v>
      </c>
      <c r="J44" s="139">
        <f>J43/J38</f>
        <v>2.3166199497144628</v>
      </c>
      <c r="K44" s="135" t="s">
        <v>66</v>
      </c>
      <c r="L44" s="441">
        <f>+L43/I38</f>
        <v>0.23674242424242423</v>
      </c>
      <c r="M44" s="442">
        <f>+M43/J38</f>
        <v>0.21869023763119122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+C45+'18'!D45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2.4711495330913835</v>
      </c>
      <c r="J45" s="139">
        <f>J43/J40</f>
        <v>2.4739590175770805</v>
      </c>
      <c r="K45" s="135" t="s">
        <v>66</v>
      </c>
      <c r="L45" s="441">
        <f>+L43/I40</f>
        <v>0.24466827060310728</v>
      </c>
      <c r="M45" s="442">
        <f>+M43/J40</f>
        <v>0.23354313490671844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+C46+'18'!D46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+SUMIF(Listrik!AC26,"&gt;0")</f>
        <v>37504.569999999199</v>
      </c>
      <c r="J46" s="140">
        <f>+I46+'18'!J46</f>
        <v>601680.75999999966</v>
      </c>
      <c r="K46" s="135" t="s">
        <v>81</v>
      </c>
      <c r="L46" s="441">
        <f>+Listrik!AF26</f>
        <v>19293</v>
      </c>
      <c r="M46" s="443">
        <f>+L46+'18'!M46</f>
        <v>128172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+C47+'18'!D47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739.91023516412554</v>
      </c>
      <c r="J47" s="140">
        <f>J46/J38</f>
        <v>611.72342344265769</v>
      </c>
      <c r="K47" s="135" t="s">
        <v>25</v>
      </c>
      <c r="L47" s="441">
        <f>+L46/I38</f>
        <v>380.62263257575756</v>
      </c>
      <c r="M47" s="442">
        <f>+M46/J38</f>
        <v>130.31132095613688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+C48+'18'!D48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764.68152346774866</v>
      </c>
      <c r="J48" s="140">
        <f>J46/J40</f>
        <v>653.27015761718644</v>
      </c>
      <c r="K48" s="135" t="s">
        <v>25</v>
      </c>
      <c r="L48" s="441">
        <f>+L46/I38</f>
        <v>380.62263257575756</v>
      </c>
      <c r="M48" s="442">
        <f>+M46/J40</f>
        <v>139.16174192126414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+C49+'18'!D49</f>
        <v>1680</v>
      </c>
      <c r="E49" s="148">
        <f t="shared" si="0"/>
        <v>28</v>
      </c>
      <c r="F49" s="190"/>
      <c r="H49" s="193" t="s">
        <v>85</v>
      </c>
      <c r="I49" s="123">
        <f>+Report1!AB27</f>
        <v>0</v>
      </c>
      <c r="J49" s="140">
        <f>+I49+'18'!J49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+C50+'18'!D50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+C51+'18'!D51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50</v>
      </c>
      <c r="D52" s="149">
        <f>SUM(D38:D51)</f>
        <v>4606</v>
      </c>
      <c r="E52" s="150">
        <f>SUM(E38:E51)</f>
        <v>76.766666666666666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3.4722222222222224E-2</v>
      </c>
      <c r="D53" s="151">
        <f>D52/(24*60*G4)</f>
        <v>0.16834795321637427</v>
      </c>
      <c r="E53" s="152">
        <f>E52/(G4*24)</f>
        <v>0.16834795321637427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+D34+'18'!J56</f>
        <v>21965</v>
      </c>
      <c r="K56" s="206">
        <f>J56/(J40+J56/1000)/1000</f>
        <v>2.3292831131481218E-2</v>
      </c>
    </row>
    <row r="57" spans="1:13">
      <c r="A57" s="181"/>
      <c r="I57" s="204" t="s">
        <v>92</v>
      </c>
      <c r="J57" s="205">
        <f>+E34+'18'!J57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P61"/>
  <sheetViews>
    <sheetView view="pageBreakPreview" topLeftCell="A7" zoomScale="80" zoomScaleNormal="80" zoomScaleSheetLayoutView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85546875" style="154" customWidth="1"/>
    <col min="11" max="11" width="12.5703125" style="154" bestFit="1" customWidth="1"/>
    <col min="12" max="12" width="8.28515625" style="154" customWidth="1"/>
    <col min="13" max="13" width="13.8554687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18</v>
      </c>
      <c r="H4" s="159" t="str">
        <f>+'1'!H4</f>
        <v>.10.25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v>1126</v>
      </c>
    </row>
    <row r="7" spans="1:16" ht="13.5" customHeight="1" thickBot="1">
      <c r="A7" s="777" t="s">
        <v>413</v>
      </c>
      <c r="B7" s="220"/>
      <c r="C7" s="221"/>
      <c r="D7" s="222"/>
      <c r="E7" s="223"/>
      <c r="F7" s="232"/>
      <c r="G7" s="233" t="s">
        <v>13</v>
      </c>
      <c r="H7" s="234" t="s">
        <v>394</v>
      </c>
      <c r="I7" s="780"/>
      <c r="J7" s="219" t="str">
        <f>+'17'!J7</f>
        <v>TW 17 RC HW</v>
      </c>
      <c r="K7" s="242"/>
      <c r="L7" s="246"/>
      <c r="M7" s="122">
        <f>+K7+'17'!M7+L7</f>
        <v>44630</v>
      </c>
    </row>
    <row r="8" spans="1:16" ht="13.5" thickBot="1">
      <c r="A8" s="778"/>
      <c r="B8" s="220"/>
      <c r="C8" s="221"/>
      <c r="D8" s="222"/>
      <c r="E8" s="224"/>
      <c r="F8" s="235"/>
      <c r="G8" s="581" t="s">
        <v>13</v>
      </c>
      <c r="H8" s="234" t="s">
        <v>430</v>
      </c>
      <c r="I8" s="781"/>
      <c r="J8" s="219" t="str">
        <f>+'17'!J8</f>
        <v>N 18 RC HW</v>
      </c>
      <c r="K8" s="243"/>
      <c r="L8" s="243"/>
      <c r="M8" s="122">
        <f>+K8+'17'!M8+L8</f>
        <v>105194</v>
      </c>
    </row>
    <row r="9" spans="1:16" ht="13.5" thickBot="1">
      <c r="A9" s="778"/>
      <c r="B9" s="220"/>
      <c r="C9" s="221"/>
      <c r="D9" s="222"/>
      <c r="E9" s="225"/>
      <c r="F9" s="232"/>
      <c r="G9" s="581" t="s">
        <v>13</v>
      </c>
      <c r="H9" s="237" t="s">
        <v>226</v>
      </c>
      <c r="I9" s="781"/>
      <c r="J9" s="219" t="str">
        <f>+'17'!J9</f>
        <v>N 20 RC HW</v>
      </c>
      <c r="K9" s="243"/>
      <c r="L9" s="243"/>
      <c r="M9" s="122">
        <f>+K9+'17'!M9+L9</f>
        <v>71479</v>
      </c>
    </row>
    <row r="10" spans="1:16" ht="77.25" thickBot="1">
      <c r="A10" s="778"/>
      <c r="B10" s="220"/>
      <c r="C10" s="221"/>
      <c r="D10" s="222"/>
      <c r="E10" s="224" t="s">
        <v>447</v>
      </c>
      <c r="F10" s="232">
        <v>480</v>
      </c>
      <c r="G10" s="236" t="s">
        <v>69</v>
      </c>
      <c r="H10" s="237" t="s">
        <v>662</v>
      </c>
      <c r="I10" s="781"/>
      <c r="J10" s="219" t="str">
        <f>+'17'!J10</f>
        <v>N 17 RC HW</v>
      </c>
      <c r="K10" s="243"/>
      <c r="L10" s="243"/>
      <c r="M10" s="122">
        <f>+K10+'17'!M10+L10</f>
        <v>5253</v>
      </c>
    </row>
    <row r="11" spans="1:16" ht="13.5" thickBot="1">
      <c r="A11" s="778"/>
      <c r="B11" s="220"/>
      <c r="C11" s="221"/>
      <c r="D11" s="222"/>
      <c r="E11" s="224"/>
      <c r="F11" s="232"/>
      <c r="G11" s="236"/>
      <c r="H11" s="237" t="s">
        <v>664</v>
      </c>
      <c r="I11" s="781"/>
      <c r="J11" s="219" t="str">
        <f>+'17'!J11</f>
        <v>N 18,5 RC HW</v>
      </c>
      <c r="K11" s="243"/>
      <c r="L11" s="243"/>
      <c r="M11" s="122">
        <f>+K11+'17'!M11+L11</f>
        <v>10930</v>
      </c>
    </row>
    <row r="12" spans="1:16" ht="13.5" thickBot="1">
      <c r="A12" s="778"/>
      <c r="B12" s="220"/>
      <c r="C12" s="221"/>
      <c r="D12" s="222"/>
      <c r="E12" s="224"/>
      <c r="F12" s="232"/>
      <c r="G12" s="236"/>
      <c r="H12" s="237" t="s">
        <v>663</v>
      </c>
      <c r="I12" s="781"/>
      <c r="J12" s="219" t="str">
        <f>+'17'!J12</f>
        <v>TW 32 RC HW</v>
      </c>
      <c r="K12" s="243"/>
      <c r="L12" s="243"/>
      <c r="M12" s="122">
        <f>+K12+'17'!M12+L12</f>
        <v>75522</v>
      </c>
    </row>
    <row r="13" spans="1:16" ht="13.5" thickBot="1">
      <c r="A13" s="778"/>
      <c r="B13" s="220"/>
      <c r="C13" s="221"/>
      <c r="D13" s="221"/>
      <c r="E13" s="224"/>
      <c r="F13" s="232"/>
      <c r="G13" s="236"/>
      <c r="H13" s="237" t="s">
        <v>665</v>
      </c>
      <c r="I13" s="782"/>
      <c r="J13" s="219" t="str">
        <f>+'17'!J13</f>
        <v>TW 34 RC HW</v>
      </c>
      <c r="K13" s="243"/>
      <c r="L13" s="243"/>
      <c r="M13" s="122">
        <f>+K13+'17'!M13+L13</f>
        <v>22635</v>
      </c>
    </row>
    <row r="14" spans="1:16" ht="13.5" thickBot="1">
      <c r="A14" s="779"/>
      <c r="B14" s="170" t="s">
        <v>3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07">
        <f>SUM(F6:F13)</f>
        <v>480</v>
      </c>
      <c r="G14" s="164"/>
      <c r="H14" s="171"/>
      <c r="I14" s="172"/>
      <c r="J14" s="219" t="str">
        <f>+'17'!J14</f>
        <v>TW 36 RC HW</v>
      </c>
      <c r="K14" s="243"/>
      <c r="L14" s="243"/>
      <c r="M14" s="122">
        <f>+K14+'17'!M14+L14</f>
        <v>33555</v>
      </c>
    </row>
    <row r="15" spans="1:16" ht="13.5" customHeight="1" thickBot="1">
      <c r="A15" s="777" t="s">
        <v>411</v>
      </c>
      <c r="B15" s="170"/>
      <c r="C15" s="118">
        <f>C14/($C$23+$D$23+$E$23)</f>
        <v>0</v>
      </c>
      <c r="D15" s="119">
        <f>D14/($C$23+$D$23+$E$23)</f>
        <v>0</v>
      </c>
      <c r="E15" s="120">
        <f>E14/($C$23+$D$23+$E$23)</f>
        <v>0</v>
      </c>
      <c r="F15" s="232">
        <v>6</v>
      </c>
      <c r="G15" s="233" t="s">
        <v>13</v>
      </c>
      <c r="H15" s="234" t="s">
        <v>651</v>
      </c>
      <c r="I15" s="780" t="s">
        <v>446</v>
      </c>
      <c r="J15" s="219" t="str">
        <f>+'17'!J15</f>
        <v>TW 38 RC HW</v>
      </c>
      <c r="K15" s="243"/>
      <c r="L15" s="243"/>
      <c r="M15" s="122">
        <f>+K15+'17'!M15+L15</f>
        <v>50415</v>
      </c>
      <c r="N15" s="154">
        <v>830</v>
      </c>
      <c r="O15" s="154">
        <f>+N15-N15*0.14</f>
        <v>713.8</v>
      </c>
      <c r="P15" s="154">
        <f>30+300</f>
        <v>330</v>
      </c>
    </row>
    <row r="16" spans="1:16" ht="13.5" thickBot="1">
      <c r="A16" s="783"/>
      <c r="B16" s="220" t="s">
        <v>652</v>
      </c>
      <c r="C16" s="226">
        <v>7894</v>
      </c>
      <c r="D16" s="227"/>
      <c r="E16" s="228"/>
      <c r="F16" s="235">
        <v>6</v>
      </c>
      <c r="G16" s="581" t="s">
        <v>13</v>
      </c>
      <c r="H16" s="234" t="s">
        <v>393</v>
      </c>
      <c r="I16" s="781"/>
      <c r="J16" s="219" t="str">
        <f>+'17'!J16</f>
        <v>TW 30 RC HW</v>
      </c>
      <c r="K16" s="233"/>
      <c r="L16" s="233"/>
      <c r="M16" s="122">
        <f>+K16+'17'!M16+L16</f>
        <v>118057</v>
      </c>
      <c r="N16" s="154">
        <v>830</v>
      </c>
      <c r="O16" s="154">
        <f>+N16-N16*0.14</f>
        <v>713.8</v>
      </c>
      <c r="P16" s="154">
        <v>480</v>
      </c>
    </row>
    <row r="17" spans="1:16" ht="13.5" thickBot="1">
      <c r="A17" s="783"/>
      <c r="B17" s="220"/>
      <c r="C17" s="221"/>
      <c r="D17" s="222"/>
      <c r="E17" s="229"/>
      <c r="F17" s="232">
        <v>8</v>
      </c>
      <c r="G17" s="581" t="s">
        <v>13</v>
      </c>
      <c r="H17" s="237" t="s">
        <v>226</v>
      </c>
      <c r="I17" s="781"/>
      <c r="J17" s="219" t="str">
        <f>+'17'!J17</f>
        <v>TW 28 RC HW</v>
      </c>
      <c r="K17" s="233"/>
      <c r="L17" s="233"/>
      <c r="M17" s="122">
        <f>+K17+'17'!M17+L17</f>
        <v>22140</v>
      </c>
      <c r="P17" s="154">
        <f>SUM(P15:P16)</f>
        <v>810</v>
      </c>
    </row>
    <row r="18" spans="1:16" ht="26.25" thickBot="1">
      <c r="A18" s="783"/>
      <c r="B18" s="220"/>
      <c r="C18" s="221"/>
      <c r="D18" s="222"/>
      <c r="E18" s="229" t="s">
        <v>447</v>
      </c>
      <c r="F18" s="232">
        <v>150</v>
      </c>
      <c r="G18" s="236" t="s">
        <v>69</v>
      </c>
      <c r="H18" s="237" t="s">
        <v>666</v>
      </c>
      <c r="I18" s="781"/>
      <c r="J18" s="219" t="str">
        <f>+'17'!J18</f>
        <v>N 20,5 RC HW</v>
      </c>
      <c r="K18" s="233"/>
      <c r="L18" s="243"/>
      <c r="M18" s="122">
        <f>+K18+'17'!M18+L18</f>
        <v>181023</v>
      </c>
    </row>
    <row r="19" spans="1:16" ht="26.25" thickBot="1">
      <c r="A19" s="783"/>
      <c r="B19" s="220"/>
      <c r="C19" s="221"/>
      <c r="D19" s="222"/>
      <c r="E19" s="229"/>
      <c r="F19" s="239"/>
      <c r="G19" s="236"/>
      <c r="H19" s="237" t="s">
        <v>667</v>
      </c>
      <c r="I19" s="781"/>
      <c r="J19" s="219" t="str">
        <f>+'17'!J19</f>
        <v>N 17 RC BR</v>
      </c>
      <c r="K19" s="233"/>
      <c r="L19" s="243"/>
      <c r="M19" s="122">
        <f>+K19+'17'!M19+L19</f>
        <v>23267</v>
      </c>
    </row>
    <row r="20" spans="1:16" ht="13.5" thickBot="1">
      <c r="A20" s="783"/>
      <c r="B20" s="220"/>
      <c r="C20" s="221"/>
      <c r="D20" s="222"/>
      <c r="E20" s="229"/>
      <c r="F20" s="232"/>
      <c r="G20" s="236"/>
      <c r="H20" s="237" t="s">
        <v>668</v>
      </c>
      <c r="I20" s="781"/>
      <c r="J20" s="219" t="str">
        <f>+'17'!J20</f>
        <v>N 16 RC BR</v>
      </c>
      <c r="K20" s="233"/>
      <c r="L20" s="243"/>
      <c r="M20" s="122">
        <f>+K20+'17'!M20+L20</f>
        <v>55598</v>
      </c>
    </row>
    <row r="21" spans="1:16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tr">
        <f>+'17'!J21</f>
        <v>N 15,5 RC BR</v>
      </c>
      <c r="K21" s="233">
        <f>+C34</f>
        <v>24612</v>
      </c>
      <c r="L21" s="243"/>
      <c r="M21" s="122">
        <f>+K21+'17'!M21+L21</f>
        <v>52285</v>
      </c>
    </row>
    <row r="22" spans="1:16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+'17'!J22</f>
        <v>0</v>
      </c>
      <c r="K22" s="233"/>
      <c r="L22" s="243"/>
      <c r="M22" s="122">
        <f>+K22+'17'!M22+L22</f>
        <v>0</v>
      </c>
    </row>
    <row r="23" spans="1:16" ht="13.5" thickBot="1">
      <c r="A23" s="784"/>
      <c r="B23" s="170" t="s">
        <v>3</v>
      </c>
      <c r="C23" s="105">
        <f>SUM(C16:C22)</f>
        <v>7894</v>
      </c>
      <c r="D23" s="116">
        <f>SUM(D16:D22)</f>
        <v>0</v>
      </c>
      <c r="E23" s="117">
        <f>SUM(E18:E22)</f>
        <v>0</v>
      </c>
      <c r="F23" s="107">
        <f>SUM(F15:F22)</f>
        <v>170</v>
      </c>
      <c r="G23" s="164"/>
      <c r="H23" s="171"/>
      <c r="I23" s="174"/>
      <c r="J23" s="219">
        <f>+'17'!J23</f>
        <v>0</v>
      </c>
      <c r="K23" s="233"/>
      <c r="L23" s="243"/>
      <c r="M23" s="122">
        <f>+K23+'17'!M23+L23</f>
        <v>0</v>
      </c>
    </row>
    <row r="24" spans="1:16" ht="13.5" customHeight="1" thickBot="1">
      <c r="A24" s="777" t="s">
        <v>412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+'17'!J24</f>
        <v>0</v>
      </c>
      <c r="K24" s="233"/>
      <c r="L24" s="243"/>
      <c r="M24" s="122">
        <f>+K24+'17'!M24+L24</f>
        <v>0</v>
      </c>
    </row>
    <row r="25" spans="1:16" ht="13.5" thickBot="1">
      <c r="A25" s="785"/>
      <c r="B25" s="220" t="s">
        <v>652</v>
      </c>
      <c r="C25" s="230">
        <v>16718</v>
      </c>
      <c r="D25" s="222">
        <v>500</v>
      </c>
      <c r="E25" s="229"/>
      <c r="F25" s="235">
        <v>10</v>
      </c>
      <c r="G25" s="581" t="s">
        <v>13</v>
      </c>
      <c r="H25" s="234" t="s">
        <v>480</v>
      </c>
      <c r="I25" s="781"/>
      <c r="J25" s="219">
        <f>+'17'!J25</f>
        <v>0</v>
      </c>
      <c r="K25" s="233"/>
      <c r="L25" s="243"/>
      <c r="M25" s="122">
        <f>+K25+'17'!M25+L25</f>
        <v>0</v>
      </c>
    </row>
    <row r="26" spans="1:16" ht="13.5" thickBot="1">
      <c r="A26" s="785"/>
      <c r="B26" s="220"/>
      <c r="C26" s="230"/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+'17'!J26</f>
        <v>0</v>
      </c>
      <c r="K26" s="233"/>
      <c r="L26" s="243"/>
      <c r="M26" s="122">
        <f>+K26+'17'!M26+L26</f>
        <v>0</v>
      </c>
    </row>
    <row r="27" spans="1:16" ht="13.5" thickBot="1">
      <c r="A27" s="785"/>
      <c r="B27" s="220"/>
      <c r="C27" s="221"/>
      <c r="D27" s="222"/>
      <c r="E27" s="229"/>
      <c r="F27" s="232"/>
      <c r="G27" s="581"/>
      <c r="H27" s="237" t="s">
        <v>669</v>
      </c>
      <c r="I27" s="781"/>
      <c r="J27" s="219">
        <f>+'17'!J27</f>
        <v>0</v>
      </c>
      <c r="K27" s="233"/>
      <c r="L27" s="243"/>
      <c r="M27" s="122">
        <f>+K27+'17'!M27+L27</f>
        <v>0</v>
      </c>
    </row>
    <row r="28" spans="1:16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+'17'!J28</f>
        <v>0</v>
      </c>
      <c r="K28" s="233"/>
      <c r="L28" s="243"/>
      <c r="M28" s="122">
        <f>+K28+'17'!M28+L28</f>
        <v>0</v>
      </c>
    </row>
    <row r="29" spans="1:16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+'17'!J29</f>
        <v>0</v>
      </c>
      <c r="K29" s="233"/>
      <c r="L29" s="243"/>
      <c r="M29" s="122">
        <f>+K29+'17'!M29+L29</f>
        <v>0</v>
      </c>
    </row>
    <row r="30" spans="1:16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+'17'!J30</f>
        <v>0</v>
      </c>
      <c r="K30" s="243"/>
      <c r="L30" s="243"/>
      <c r="M30" s="122">
        <f>+K30+'17'!M30+L30</f>
        <v>0</v>
      </c>
      <c r="N30" s="160"/>
    </row>
    <row r="31" spans="1:16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+'17'!J31</f>
        <v>0</v>
      </c>
      <c r="K31" s="243"/>
      <c r="L31" s="243"/>
      <c r="M31" s="122">
        <f>+K31+'17'!M31+L31</f>
        <v>0</v>
      </c>
    </row>
    <row r="32" spans="1:16" ht="13.5" thickBot="1">
      <c r="A32" s="786"/>
      <c r="B32" s="170" t="s">
        <v>3</v>
      </c>
      <c r="C32" s="104">
        <f>SUM(C25:C31)</f>
        <v>16718</v>
      </c>
      <c r="D32" s="105">
        <f>SUM(D25:D31)</f>
        <v>500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+'17'!J32</f>
        <v>0</v>
      </c>
      <c r="K32" s="245"/>
      <c r="L32" s="247"/>
      <c r="M32" s="122">
        <f>+K32+'17'!M32+L32</f>
        <v>0</v>
      </c>
    </row>
    <row r="33" spans="1:15" ht="13.5" thickBot="1">
      <c r="A33" s="178"/>
      <c r="B33" s="179"/>
      <c r="C33" s="108">
        <f>C32/($C$32+$D$32+$E$32)</f>
        <v>0.97096062260425131</v>
      </c>
      <c r="D33" s="109">
        <f>D32/($C$32+$D$32+$E$32)</f>
        <v>2.9039377395748633E-2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87" t="s">
        <v>60</v>
      </c>
      <c r="B34" s="788"/>
      <c r="C34" s="112">
        <f>C14+C23+C32</f>
        <v>24612</v>
      </c>
      <c r="D34" s="112">
        <f>D14+D23+D32</f>
        <v>500</v>
      </c>
      <c r="E34" s="112">
        <f>E14+E23+E32</f>
        <v>0</v>
      </c>
      <c r="F34" s="113">
        <f>F14+F23+F32</f>
        <v>665</v>
      </c>
      <c r="H34" s="183"/>
      <c r="I34" s="183"/>
      <c r="J34" s="128" t="s">
        <v>29</v>
      </c>
      <c r="K34" s="129">
        <f>SUM(K7:K32)</f>
        <v>24612</v>
      </c>
      <c r="L34" s="217">
        <f>SUM(L7:L32)</f>
        <v>0</v>
      </c>
      <c r="M34" s="125">
        <f>SUM(M7:M32)</f>
        <v>871983</v>
      </c>
      <c r="N34" s="160"/>
    </row>
    <row r="35" spans="1:15" ht="13.5" thickBot="1">
      <c r="A35" s="184"/>
      <c r="B35" s="185"/>
      <c r="C35" s="109">
        <f>C34/($C$34+$D$34+$E$34)</f>
        <v>0.98008920038228731</v>
      </c>
      <c r="D35" s="109">
        <f>D34/($C$34+$D$34+$E$34)</f>
        <v>1.9910799617712648E-2</v>
      </c>
      <c r="E35" s="114">
        <f>E34/($C$34+$D$34+$E$34)</f>
        <v>0</v>
      </c>
      <c r="K35" s="160"/>
      <c r="L35" s="776" t="s">
        <v>186</v>
      </c>
      <c r="M35" s="776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(15.5*810)/810*G42*3.4*810/1000000</f>
        <v>30.469980599999992</v>
      </c>
      <c r="J37" s="130">
        <f>+I37+'17'!J37</f>
        <v>1036.7005196126252</v>
      </c>
      <c r="K37" s="131" t="s">
        <v>66</v>
      </c>
      <c r="L37" s="435"/>
      <c r="M37" s="436"/>
    </row>
    <row r="38" spans="1:15" ht="17.45" customHeight="1">
      <c r="A38" s="793" t="s">
        <v>13</v>
      </c>
      <c r="B38" s="794"/>
      <c r="C38" s="169">
        <f>SUMIF($G$7:$G$31,"Process",$F$7:$F$31)</f>
        <v>35</v>
      </c>
      <c r="D38" s="123">
        <f>+C38+'17'!D38</f>
        <v>2026</v>
      </c>
      <c r="E38" s="148">
        <f t="shared" ref="E38:E51" si="0">D38/60</f>
        <v>33.766666666666666</v>
      </c>
      <c r="F38" s="375"/>
      <c r="G38" s="375"/>
      <c r="H38" s="192" t="s">
        <v>67</v>
      </c>
      <c r="I38" s="556">
        <f>9.944+16.012</f>
        <v>25.956000000000003</v>
      </c>
      <c r="J38" s="132">
        <f>+I38+'17'!J38</f>
        <v>932.8950000000001</v>
      </c>
      <c r="K38" s="133" t="s">
        <v>66</v>
      </c>
      <c r="L38" s="437"/>
      <c r="M38" s="438"/>
      <c r="O38" s="564"/>
    </row>
    <row r="39" spans="1:15" ht="17.45" customHeight="1">
      <c r="A39" s="789" t="s">
        <v>14</v>
      </c>
      <c r="B39" s="790"/>
      <c r="C39" s="169">
        <f>SUMIF($G$7:$G$31,"Cleaning",$F$7:$F$31)</f>
        <v>0</v>
      </c>
      <c r="D39" s="123">
        <f>+C39+'17'!D39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57.594473311812507</v>
      </c>
      <c r="K39" s="135" t="s">
        <v>66</v>
      </c>
      <c r="L39" s="437"/>
      <c r="M39" s="438"/>
    </row>
    <row r="40" spans="1:15" ht="17.45" customHeight="1">
      <c r="A40" s="789" t="s">
        <v>69</v>
      </c>
      <c r="B40" s="790"/>
      <c r="C40" s="169">
        <f>SUMIF($G$7:$G$31,"Mechanical",$F$7:$F$31)</f>
        <v>630</v>
      </c>
      <c r="D40" s="123">
        <f>+C40+'17'!D40</f>
        <v>790</v>
      </c>
      <c r="E40" s="148">
        <f t="shared" si="0"/>
        <v>13.166666666666666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24.611999999999998</v>
      </c>
      <c r="J40" s="136">
        <f>+I40+'17'!J40</f>
        <v>871.98299999999995</v>
      </c>
      <c r="K40" s="135" t="s">
        <v>66</v>
      </c>
      <c r="L40" s="437"/>
      <c r="M40" s="438"/>
    </row>
    <row r="41" spans="1:15" ht="17.45" customHeight="1">
      <c r="A41" s="789" t="s">
        <v>71</v>
      </c>
      <c r="B41" s="790"/>
      <c r="C41" s="169">
        <f>SUMIF($G$7:$G$31,"Electrical",$F$7:$F$31)</f>
        <v>0</v>
      </c>
      <c r="D41" s="123">
        <f>+C41+'17'!D41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48.4435</v>
      </c>
      <c r="K41" s="135" t="s">
        <v>66</v>
      </c>
      <c r="L41" s="437"/>
      <c r="M41" s="438"/>
    </row>
    <row r="42" spans="1:15" ht="17.45" customHeight="1">
      <c r="A42" s="789" t="s">
        <v>17</v>
      </c>
      <c r="B42" s="790"/>
      <c r="C42" s="169">
        <f>SUMIF($G$7:$G$31,"Instrument",$F$7:$F$31)</f>
        <v>0</v>
      </c>
      <c r="D42" s="123">
        <f>+C42+'17'!D42</f>
        <v>0</v>
      </c>
      <c r="E42" s="148">
        <f t="shared" si="0"/>
        <v>0</v>
      </c>
      <c r="F42" s="375">
        <f>+(F38*0+F39*330+F40*480)/810</f>
        <v>830</v>
      </c>
      <c r="G42" s="375">
        <f>+(G38*0+G39*330+G40*480)/810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5" ht="17.45" customHeight="1">
      <c r="A43" s="789" t="s">
        <v>75</v>
      </c>
      <c r="B43" s="790"/>
      <c r="C43" s="169">
        <f>SUMIF($G$7:$G$31,"Water",$F$7:$F$31)</f>
        <v>0</v>
      </c>
      <c r="D43" s="123">
        <f>+C43+'17'!D43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+Report1!AH26</f>
        <v>80.039000000000001</v>
      </c>
      <c r="J43" s="138">
        <f>+I43+'17'!J43</f>
        <v>2157.3880000000008</v>
      </c>
      <c r="K43" s="135" t="s">
        <v>66</v>
      </c>
      <c r="L43" s="439">
        <f>+Report1!AN26</f>
        <v>11.1</v>
      </c>
      <c r="M43" s="440">
        <f>+L43+'17'!M43</f>
        <v>203.09999999999997</v>
      </c>
    </row>
    <row r="44" spans="1:15" ht="17.45" customHeight="1">
      <c r="A44" s="789" t="s">
        <v>18</v>
      </c>
      <c r="B44" s="790"/>
      <c r="C44" s="169">
        <f>SUMIF($G$7:$G$31,"PLN",$F$7:$F$31)</f>
        <v>0</v>
      </c>
      <c r="D44" s="123">
        <f>+C44+'17'!D44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3.0836415472337801</v>
      </c>
      <c r="J44" s="139">
        <f>J43/J38</f>
        <v>2.3125732263545209</v>
      </c>
      <c r="K44" s="135" t="s">
        <v>66</v>
      </c>
      <c r="L44" s="441">
        <f>+L43/I38</f>
        <v>0.42764678687008778</v>
      </c>
      <c r="M44" s="442">
        <f>+M43/J38</f>
        <v>0.21770938851639246</v>
      </c>
    </row>
    <row r="45" spans="1:15" ht="17.45" customHeight="1">
      <c r="A45" s="789" t="s">
        <v>19</v>
      </c>
      <c r="B45" s="790"/>
      <c r="C45" s="169">
        <f>SUMIF($G$7:$G$31,"Boiler",$F$7:$F$31)</f>
        <v>0</v>
      </c>
      <c r="D45" s="123">
        <f>+C45+'17'!D45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3.2520315293352837</v>
      </c>
      <c r="J45" s="139">
        <f>J43/J40</f>
        <v>2.4741170412725948</v>
      </c>
      <c r="K45" s="135" t="s">
        <v>66</v>
      </c>
      <c r="L45" s="441">
        <f>+L43/I40</f>
        <v>0.45099951243295955</v>
      </c>
      <c r="M45" s="442">
        <f>+M43/J40</f>
        <v>0.23291738485727356</v>
      </c>
    </row>
    <row r="46" spans="1:15" ht="17.45" customHeight="1">
      <c r="A46" s="789" t="s">
        <v>79</v>
      </c>
      <c r="B46" s="790"/>
      <c r="C46" s="169">
        <f>SUMIF($G$7:$G$31,"Gas",$F$7:$F$31)</f>
        <v>0</v>
      </c>
      <c r="D46" s="123">
        <f>+C46+'17'!D46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+SUMIF(Listrik!AC25,"&gt;0")</f>
        <v>21046.070000000691</v>
      </c>
      <c r="J46" s="140">
        <f>+I46+'17'!J46</f>
        <v>564176.19000000041</v>
      </c>
      <c r="K46" s="135" t="s">
        <v>81</v>
      </c>
      <c r="L46" s="441">
        <f>+Listrik!AF25</f>
        <v>17305</v>
      </c>
      <c r="M46" s="443">
        <f>+L46+'17'!M46</f>
        <v>108879</v>
      </c>
    </row>
    <row r="47" spans="1:15" ht="17.45" customHeight="1">
      <c r="A47" s="789" t="s">
        <v>82</v>
      </c>
      <c r="B47" s="790"/>
      <c r="C47" s="169">
        <f>SUMIF($G$7:$G$31,"Gas",$F$7:$F$31)</f>
        <v>0</v>
      </c>
      <c r="D47" s="123">
        <f>+C47+'17'!D47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810.83641547236437</v>
      </c>
      <c r="J47" s="140">
        <f>J46/J38</f>
        <v>604.75850980013865</v>
      </c>
      <c r="K47" s="135" t="s">
        <v>25</v>
      </c>
      <c r="L47" s="441">
        <f>+L46/I38</f>
        <v>666.70519340422243</v>
      </c>
      <c r="M47" s="442">
        <f>+M46/J38</f>
        <v>116.71088386152782</v>
      </c>
    </row>
    <row r="48" spans="1:15" ht="17.45" customHeight="1">
      <c r="A48" s="789" t="s">
        <v>15</v>
      </c>
      <c r="B48" s="790"/>
      <c r="C48" s="169">
        <f>SUMIF($G$7:$G$31,"Start Up",$F$7:$F$31)</f>
        <v>0</v>
      </c>
      <c r="D48" s="123">
        <f>+C48+'17'!D48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855.11417194867101</v>
      </c>
      <c r="J48" s="140">
        <f>J46/J40</f>
        <v>647.00365718139051</v>
      </c>
      <c r="K48" s="135" t="s">
        <v>25</v>
      </c>
      <c r="L48" s="441">
        <f>+L46/I38</f>
        <v>666.70519340422243</v>
      </c>
      <c r="M48" s="442">
        <f>+M46/J40</f>
        <v>124.86367280096057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+C49+'17'!D49</f>
        <v>1680</v>
      </c>
      <c r="E49" s="148">
        <f t="shared" si="0"/>
        <v>28</v>
      </c>
      <c r="F49" s="190"/>
      <c r="H49" s="193" t="s">
        <v>85</v>
      </c>
      <c r="I49" s="123">
        <f>+Report1!AB26</f>
        <v>0</v>
      </c>
      <c r="J49" s="140">
        <f>+I49+'17'!J49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+C50+'17'!D50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+C51+'17'!D51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665</v>
      </c>
      <c r="D52" s="149">
        <f>SUM(D38:D51)</f>
        <v>4556</v>
      </c>
      <c r="E52" s="150">
        <f>SUM(E38:E51)</f>
        <v>75.933333333333337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0.46180555555555558</v>
      </c>
      <c r="D53" s="151">
        <f>D52/(24*60*G4)</f>
        <v>0.1757716049382716</v>
      </c>
      <c r="E53" s="152">
        <f>E52/(G4*24)</f>
        <v>0.17577160493827163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+D34+'17'!J56</f>
        <v>21965</v>
      </c>
      <c r="K56" s="206">
        <f>J56/(J40+J56/1000)/1000</f>
        <v>2.4570780403334422E-2</v>
      </c>
    </row>
    <row r="57" spans="1:13">
      <c r="A57" s="181"/>
      <c r="I57" s="204" t="s">
        <v>92</v>
      </c>
      <c r="J57" s="205">
        <f>+E34+'17'!J57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O61"/>
  <sheetViews>
    <sheetView view="pageBreakPreview" topLeftCell="A7" zoomScale="80" zoomScaleNormal="80" zoomScaleSheetLayoutView="80" workbookViewId="0">
      <selection activeCell="O29" sqref="O2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12.140625" style="154" customWidth="1"/>
    <col min="13" max="13" width="13.8554687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17</v>
      </c>
      <c r="H4" s="159" t="str">
        <f>+'1'!H4</f>
        <v>.10.25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427+505+415</f>
        <v>1347</v>
      </c>
    </row>
    <row r="7" spans="1:15" ht="13.5" customHeight="1" thickBot="1">
      <c r="A7" s="777" t="s">
        <v>413</v>
      </c>
      <c r="B7" s="220" t="s">
        <v>622</v>
      </c>
      <c r="C7" s="221">
        <f>5521+1506+3778</f>
        <v>10805</v>
      </c>
      <c r="D7" s="222"/>
      <c r="E7" s="223"/>
      <c r="F7" s="232">
        <v>4</v>
      </c>
      <c r="G7" s="233" t="s">
        <v>13</v>
      </c>
      <c r="H7" s="234" t="s">
        <v>391</v>
      </c>
      <c r="I7" s="780" t="s">
        <v>650</v>
      </c>
      <c r="J7" s="219" t="str">
        <f>+'16'!J7</f>
        <v>TW 17 RC HW</v>
      </c>
      <c r="K7" s="242"/>
      <c r="L7" s="246"/>
      <c r="M7" s="122">
        <f>+K7+'16'!M7+L7</f>
        <v>44630</v>
      </c>
    </row>
    <row r="8" spans="1:15" ht="13.5" thickBot="1">
      <c r="A8" s="778"/>
      <c r="B8" s="220" t="s">
        <v>656</v>
      </c>
      <c r="C8" s="221">
        <v>2012</v>
      </c>
      <c r="D8" s="222"/>
      <c r="E8" s="224"/>
      <c r="F8" s="235">
        <v>10</v>
      </c>
      <c r="G8" s="581" t="s">
        <v>13</v>
      </c>
      <c r="H8" s="234" t="s">
        <v>480</v>
      </c>
      <c r="I8" s="781"/>
      <c r="J8" s="219" t="str">
        <f>+'16'!J8</f>
        <v>N 18 RC HW</v>
      </c>
      <c r="K8" s="243"/>
      <c r="L8" s="243"/>
      <c r="M8" s="122">
        <f>+K8+'16'!M8+L8</f>
        <v>105194</v>
      </c>
      <c r="N8" s="154">
        <v>800</v>
      </c>
      <c r="O8" s="154">
        <f>+N8-N8*0.14</f>
        <v>688</v>
      </c>
    </row>
    <row r="9" spans="1:15" ht="13.5" thickBot="1">
      <c r="A9" s="778"/>
      <c r="B9" s="220"/>
      <c r="C9" s="221"/>
      <c r="D9" s="222"/>
      <c r="E9" s="225"/>
      <c r="F9" s="232">
        <v>9</v>
      </c>
      <c r="G9" s="581" t="s">
        <v>13</v>
      </c>
      <c r="H9" s="237" t="s">
        <v>226</v>
      </c>
      <c r="I9" s="781"/>
      <c r="J9" s="219" t="str">
        <f>+'16'!J9</f>
        <v>N 20 RC HW</v>
      </c>
      <c r="K9" s="243"/>
      <c r="L9" s="243"/>
      <c r="M9" s="122">
        <f>+K9+'16'!M9+L9</f>
        <v>71479</v>
      </c>
      <c r="N9" s="154">
        <v>800</v>
      </c>
      <c r="O9" s="154">
        <f>+N9-N9*0.14</f>
        <v>688</v>
      </c>
    </row>
    <row r="10" spans="1:15" ht="13.5" thickBot="1">
      <c r="A10" s="778"/>
      <c r="B10" s="220"/>
      <c r="C10" s="221"/>
      <c r="D10" s="222"/>
      <c r="E10" s="224"/>
      <c r="F10" s="232"/>
      <c r="G10" s="581"/>
      <c r="H10" s="237" t="s">
        <v>647</v>
      </c>
      <c r="I10" s="781"/>
      <c r="J10" s="219" t="str">
        <f>+'16'!J10</f>
        <v>N 17 RC HW</v>
      </c>
      <c r="K10" s="243"/>
      <c r="L10" s="243"/>
      <c r="M10" s="122">
        <f>+K10+'16'!M10+L10</f>
        <v>5253</v>
      </c>
    </row>
    <row r="11" spans="1:15" ht="13.5" thickBot="1">
      <c r="A11" s="778"/>
      <c r="B11" s="220"/>
      <c r="C11" s="221"/>
      <c r="D11" s="222"/>
      <c r="E11" s="224"/>
      <c r="F11" s="232">
        <v>4</v>
      </c>
      <c r="G11" s="236" t="s">
        <v>13</v>
      </c>
      <c r="H11" s="237" t="s">
        <v>648</v>
      </c>
      <c r="I11" s="781"/>
      <c r="J11" s="219" t="str">
        <f>+'16'!J11</f>
        <v>N 18,5 RC HW</v>
      </c>
      <c r="K11" s="243"/>
      <c r="L11" s="243"/>
      <c r="M11" s="122">
        <f>+K11+'16'!M11+L11</f>
        <v>10930</v>
      </c>
    </row>
    <row r="12" spans="1:15" ht="13.5" thickBot="1">
      <c r="A12" s="778"/>
      <c r="B12" s="220"/>
      <c r="C12" s="221"/>
      <c r="D12" s="222"/>
      <c r="E12" s="224"/>
      <c r="F12" s="232"/>
      <c r="G12" s="236"/>
      <c r="H12" s="237" t="s">
        <v>642</v>
      </c>
      <c r="I12" s="781"/>
      <c r="J12" s="219" t="str">
        <f>+'16'!J12</f>
        <v>TW 32 RC HW</v>
      </c>
      <c r="K12" s="243"/>
      <c r="L12" s="243"/>
      <c r="M12" s="122">
        <f>+K12+'16'!M12+L12</f>
        <v>75522</v>
      </c>
    </row>
    <row r="13" spans="1:15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+'16'!J13</f>
        <v>TW 34 RC HW</v>
      </c>
      <c r="K13" s="243"/>
      <c r="L13" s="243"/>
      <c r="M13" s="122">
        <f>+K13+'16'!M13+L13</f>
        <v>22635</v>
      </c>
    </row>
    <row r="14" spans="1:15" ht="13.5" thickBot="1">
      <c r="A14" s="779"/>
      <c r="B14" s="170" t="s">
        <v>3</v>
      </c>
      <c r="C14" s="104">
        <f>SUM(C7:C13)</f>
        <v>12817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+'16'!J14</f>
        <v>TW 36 RC HW</v>
      </c>
      <c r="K14" s="243"/>
      <c r="L14" s="243"/>
      <c r="M14" s="122">
        <f>+K14+'16'!M14+L14</f>
        <v>33555</v>
      </c>
    </row>
    <row r="15" spans="1:15" ht="13.5" customHeight="1" thickBot="1">
      <c r="A15" s="777" t="s">
        <v>414</v>
      </c>
      <c r="B15" s="170"/>
      <c r="C15" s="118">
        <f>C14/($C$23+$D$23+$E$23)</f>
        <v>0.73525699862322169</v>
      </c>
      <c r="D15" s="119">
        <f>D14/($C$23+$D$23+$E$23)</f>
        <v>0</v>
      </c>
      <c r="E15" s="120">
        <f>E14/($C$23+$D$23+$E$23)</f>
        <v>0</v>
      </c>
      <c r="F15" s="232">
        <v>9</v>
      </c>
      <c r="G15" s="233" t="s">
        <v>13</v>
      </c>
      <c r="H15" s="234" t="s">
        <v>651</v>
      </c>
      <c r="I15" s="780" t="s">
        <v>650</v>
      </c>
      <c r="J15" s="219" t="str">
        <f>+'16'!J15</f>
        <v>TW 38 RC HW</v>
      </c>
      <c r="K15" s="243"/>
      <c r="L15" s="243"/>
      <c r="M15" s="122">
        <f>+K15+'16'!M15+L15</f>
        <v>50415</v>
      </c>
    </row>
    <row r="16" spans="1:15" ht="13.5" thickBot="1">
      <c r="A16" s="783"/>
      <c r="B16" s="220" t="s">
        <v>656</v>
      </c>
      <c r="C16" s="226">
        <f>17432-C17</f>
        <v>12925</v>
      </c>
      <c r="D16" s="227"/>
      <c r="E16" s="228"/>
      <c r="F16" s="235">
        <v>8</v>
      </c>
      <c r="G16" s="581" t="s">
        <v>13</v>
      </c>
      <c r="H16" s="234" t="s">
        <v>393</v>
      </c>
      <c r="I16" s="781"/>
      <c r="J16" s="219" t="str">
        <f>+'16'!J16</f>
        <v>TW 30 RC HW</v>
      </c>
      <c r="K16" s="243"/>
      <c r="L16" s="233"/>
      <c r="M16" s="122">
        <f>+K16+'16'!M16+L16</f>
        <v>118057</v>
      </c>
    </row>
    <row r="17" spans="1:13" ht="13.5" thickBot="1">
      <c r="A17" s="783"/>
      <c r="B17" s="220" t="s">
        <v>622</v>
      </c>
      <c r="C17" s="221">
        <v>4507</v>
      </c>
      <c r="D17" s="222"/>
      <c r="E17" s="229"/>
      <c r="F17" s="232">
        <v>10</v>
      </c>
      <c r="G17" s="581" t="s">
        <v>13</v>
      </c>
      <c r="H17" s="237" t="s">
        <v>226</v>
      </c>
      <c r="I17" s="781"/>
      <c r="J17" s="219" t="str">
        <f>+'16'!J17</f>
        <v>TW 28 RC HW</v>
      </c>
      <c r="K17" s="243"/>
      <c r="L17" s="233"/>
      <c r="M17" s="122">
        <f>+K17+'16'!M17+L17</f>
        <v>22140</v>
      </c>
    </row>
    <row r="18" spans="1:13" ht="13.5" thickBot="1">
      <c r="A18" s="783"/>
      <c r="B18" s="220"/>
      <c r="C18" s="221"/>
      <c r="D18" s="222"/>
      <c r="E18" s="229"/>
      <c r="F18" s="232"/>
      <c r="G18" s="581"/>
      <c r="H18" s="237" t="s">
        <v>649</v>
      </c>
      <c r="I18" s="781"/>
      <c r="J18" s="219" t="str">
        <f>+'16'!J18</f>
        <v>N 20,5 RC HW</v>
      </c>
      <c r="K18" s="243"/>
      <c r="L18" s="243"/>
      <c r="M18" s="122">
        <f>+K18+'16'!M18+L18</f>
        <v>181023</v>
      </c>
    </row>
    <row r="19" spans="1:13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 t="str">
        <f>+'16'!J19</f>
        <v>N 17 RC BR</v>
      </c>
      <c r="K19" s="243"/>
      <c r="L19" s="243"/>
      <c r="M19" s="122">
        <f>+K19+'16'!M19+L19</f>
        <v>23267</v>
      </c>
    </row>
    <row r="20" spans="1:13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+'16'!J20</f>
        <v>N 16 RC BR</v>
      </c>
      <c r="K20" s="243">
        <f>+C7+C17</f>
        <v>15312</v>
      </c>
      <c r="L20" s="244"/>
      <c r="M20" s="122">
        <f>+K20+'16'!M20+L20</f>
        <v>55598</v>
      </c>
    </row>
    <row r="21" spans="1:13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 t="s">
        <v>652</v>
      </c>
      <c r="K21" s="243">
        <f>+C8+C16+C25</f>
        <v>27673</v>
      </c>
      <c r="L21" s="243"/>
      <c r="M21" s="122">
        <f>+K21+'16'!M21+L21</f>
        <v>27673</v>
      </c>
    </row>
    <row r="22" spans="1:13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+'16'!J22</f>
        <v>0</v>
      </c>
      <c r="K22" s="243"/>
      <c r="L22" s="243"/>
      <c r="M22" s="122">
        <f>+K22+'16'!M22+L22</f>
        <v>0</v>
      </c>
    </row>
    <row r="23" spans="1:13" ht="13.5" thickBot="1">
      <c r="A23" s="784"/>
      <c r="B23" s="170" t="s">
        <v>3</v>
      </c>
      <c r="C23" s="105">
        <f>SUM(C16:C22)</f>
        <v>17432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+'16'!J23</f>
        <v>0</v>
      </c>
      <c r="K23" s="243"/>
      <c r="L23" s="243"/>
      <c r="M23" s="122">
        <f>+K23+'16'!M23+L23</f>
        <v>0</v>
      </c>
    </row>
    <row r="24" spans="1:13" ht="13.5" customHeight="1" thickBot="1">
      <c r="A24" s="777" t="s">
        <v>412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650</v>
      </c>
      <c r="J24" s="219">
        <f>+'16'!J24</f>
        <v>0</v>
      </c>
      <c r="K24" s="243"/>
      <c r="L24" s="243"/>
      <c r="M24" s="122">
        <f>+K24+'16'!M24+L24</f>
        <v>0</v>
      </c>
    </row>
    <row r="25" spans="1:13" ht="13.5" thickBot="1">
      <c r="A25" s="785"/>
      <c r="B25" s="220" t="s">
        <v>656</v>
      </c>
      <c r="C25" s="230">
        <v>12736</v>
      </c>
      <c r="D25" s="222"/>
      <c r="E25" s="229"/>
      <c r="F25" s="235">
        <v>10</v>
      </c>
      <c r="G25" s="581" t="s">
        <v>13</v>
      </c>
      <c r="H25" s="234" t="s">
        <v>393</v>
      </c>
      <c r="I25" s="781"/>
      <c r="J25" s="219">
        <f>+'16'!J25</f>
        <v>0</v>
      </c>
      <c r="K25" s="243"/>
      <c r="L25" s="243"/>
      <c r="M25" s="122">
        <f>+K25+'16'!M25+L25</f>
        <v>0</v>
      </c>
    </row>
    <row r="26" spans="1:13" ht="13.5" thickBot="1">
      <c r="A26" s="785"/>
      <c r="B26" s="220"/>
      <c r="C26" s="230"/>
      <c r="D26" s="222"/>
      <c r="E26" s="231"/>
      <c r="F26" s="232">
        <v>10</v>
      </c>
      <c r="G26" s="581" t="s">
        <v>13</v>
      </c>
      <c r="H26" s="237" t="s">
        <v>226</v>
      </c>
      <c r="I26" s="781"/>
      <c r="J26" s="219">
        <f>+'16'!J26</f>
        <v>0</v>
      </c>
      <c r="K26" s="243"/>
      <c r="L26" s="243"/>
      <c r="M26" s="122">
        <f>+K26+'16'!M26+L26</f>
        <v>0</v>
      </c>
    </row>
    <row r="27" spans="1:13" ht="13.5" thickBot="1">
      <c r="A27" s="785"/>
      <c r="B27" s="220"/>
      <c r="C27" s="221"/>
      <c r="D27" s="222"/>
      <c r="E27" s="229"/>
      <c r="F27" s="232"/>
      <c r="G27" s="581"/>
      <c r="H27" s="237" t="s">
        <v>649</v>
      </c>
      <c r="I27" s="781"/>
      <c r="J27" s="219">
        <f>+'16'!J27</f>
        <v>0</v>
      </c>
      <c r="K27" s="243"/>
      <c r="L27" s="243"/>
      <c r="M27" s="122">
        <f>+K27+'16'!M27+L27</f>
        <v>0</v>
      </c>
    </row>
    <row r="28" spans="1:13" ht="39" thickBot="1">
      <c r="A28" s="785"/>
      <c r="B28" s="220"/>
      <c r="C28" s="221"/>
      <c r="D28" s="222"/>
      <c r="E28" s="229" t="s">
        <v>447</v>
      </c>
      <c r="F28" s="235">
        <v>160</v>
      </c>
      <c r="G28" s="236" t="s">
        <v>69</v>
      </c>
      <c r="H28" s="237" t="s">
        <v>646</v>
      </c>
      <c r="I28" s="781"/>
      <c r="J28" s="219">
        <f>+'16'!J28</f>
        <v>0</v>
      </c>
      <c r="K28" s="243"/>
      <c r="L28" s="243"/>
      <c r="M28" s="122">
        <f>+K28+'16'!M28+L28</f>
        <v>0</v>
      </c>
    </row>
    <row r="29" spans="1:13" ht="13.5" thickBot="1">
      <c r="A29" s="785"/>
      <c r="B29" s="220"/>
      <c r="C29" s="221"/>
      <c r="D29" s="222"/>
      <c r="E29" s="229"/>
      <c r="F29" s="240"/>
      <c r="G29" s="236"/>
      <c r="H29" s="237" t="s">
        <v>644</v>
      </c>
      <c r="I29" s="781"/>
      <c r="J29" s="219">
        <f>+'16'!J29</f>
        <v>0</v>
      </c>
      <c r="K29" s="243"/>
      <c r="L29" s="243"/>
      <c r="M29" s="122">
        <f>+K29+'16'!M29+L29</f>
        <v>0</v>
      </c>
    </row>
    <row r="30" spans="1:13" ht="13.5" thickBot="1">
      <c r="A30" s="785"/>
      <c r="B30" s="220"/>
      <c r="C30" s="230"/>
      <c r="D30" s="222"/>
      <c r="E30" s="229"/>
      <c r="F30" s="240"/>
      <c r="G30" s="236"/>
      <c r="H30" s="237" t="s">
        <v>645</v>
      </c>
      <c r="I30" s="781"/>
      <c r="J30" s="219">
        <f>+'16'!J30</f>
        <v>0</v>
      </c>
      <c r="K30" s="243"/>
      <c r="L30" s="243"/>
      <c r="M30" s="122">
        <f>+K30+'16'!M30+L30</f>
        <v>0</v>
      </c>
    </row>
    <row r="31" spans="1:13" ht="26.25" thickBot="1">
      <c r="A31" s="785"/>
      <c r="B31" s="220"/>
      <c r="C31" s="230"/>
      <c r="D31" s="222"/>
      <c r="E31" s="229"/>
      <c r="F31" s="240"/>
      <c r="G31" s="241"/>
      <c r="H31" s="587" t="s">
        <v>643</v>
      </c>
      <c r="I31" s="782"/>
      <c r="J31" s="219">
        <f>+'16'!J31</f>
        <v>0</v>
      </c>
      <c r="K31" s="243"/>
      <c r="L31" s="243"/>
      <c r="M31" s="122">
        <f>+K31+'16'!M31+L31</f>
        <v>0</v>
      </c>
    </row>
    <row r="32" spans="1:13" ht="13.5" thickBot="1">
      <c r="A32" s="786"/>
      <c r="B32" s="170" t="s">
        <v>3</v>
      </c>
      <c r="C32" s="104">
        <f>SUM(C25:C31)</f>
        <v>12736</v>
      </c>
      <c r="D32" s="105">
        <f>SUM(D25:D31)</f>
        <v>0</v>
      </c>
      <c r="E32" s="106">
        <f>SUM(E25:E31)</f>
        <v>0</v>
      </c>
      <c r="F32" s="107">
        <f>SUM(F24:F31)</f>
        <v>180</v>
      </c>
      <c r="G32" s="176"/>
      <c r="H32" s="177"/>
      <c r="I32" s="174"/>
      <c r="J32" s="219">
        <f>+'16'!J32</f>
        <v>0</v>
      </c>
      <c r="K32" s="245"/>
      <c r="L32" s="247"/>
      <c r="M32" s="122">
        <f>+K32+'16'!M32+L32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42985</v>
      </c>
      <c r="D34" s="112">
        <f>D14+D23+D32</f>
        <v>0</v>
      </c>
      <c r="E34" s="112">
        <f>E14+E23+E32</f>
        <v>0</v>
      </c>
      <c r="F34" s="113">
        <f>F14+F23+F32</f>
        <v>180</v>
      </c>
      <c r="H34" s="183"/>
      <c r="I34" s="183"/>
      <c r="J34" s="128" t="s">
        <v>29</v>
      </c>
      <c r="K34" s="129">
        <f>SUM(K7:K32)</f>
        <v>42985</v>
      </c>
      <c r="L34" s="217">
        <f>SUM(L7:L32)</f>
        <v>0</v>
      </c>
      <c r="M34" s="125">
        <f>SUM(M7:M32)</f>
        <v>847371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  <c r="N35" s="160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N36" s="160"/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(16*300+15.5*980)/1280*G42*3.4*1280/1000000</f>
        <v>46.760607999999998</v>
      </c>
      <c r="J37" s="130">
        <f>+I37+'16'!J37</f>
        <v>1006.2305390126252</v>
      </c>
      <c r="K37" s="131" t="s">
        <v>66</v>
      </c>
      <c r="L37" s="435"/>
      <c r="M37" s="436"/>
      <c r="N37" s="160">
        <f>1.644+1.644+1.644</f>
        <v>4.9319999999999995</v>
      </c>
    </row>
    <row r="38" spans="1:14" ht="17.45" customHeight="1">
      <c r="A38" s="793" t="s">
        <v>13</v>
      </c>
      <c r="B38" s="794"/>
      <c r="C38" s="169">
        <f>SUMIF($G$7:$G$31,"Process",$F$7:$F$31)</f>
        <v>74</v>
      </c>
      <c r="D38" s="123">
        <f>+C38+'16'!D38</f>
        <v>1991</v>
      </c>
      <c r="E38" s="148">
        <f t="shared" ref="E38:E51" si="0">D38/60</f>
        <v>33.18333333333333</v>
      </c>
      <c r="F38" s="375">
        <v>800</v>
      </c>
      <c r="G38" s="375">
        <f>+F38-F38*0.14</f>
        <v>688</v>
      </c>
      <c r="H38" s="192" t="s">
        <v>67</v>
      </c>
      <c r="I38" s="556">
        <f>14.102+15.597+10.709</f>
        <v>40.408000000000001</v>
      </c>
      <c r="J38" s="132">
        <f>+I38+'16'!J38</f>
        <v>906.93900000000008</v>
      </c>
      <c r="K38" s="133" t="s">
        <v>66</v>
      </c>
      <c r="L38" s="437"/>
      <c r="M38" s="438"/>
      <c r="N38" s="160">
        <f>+I38-N37</f>
        <v>35.475999999999999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+C39+'16'!D39</f>
        <v>0</v>
      </c>
      <c r="E39" s="148">
        <f t="shared" si="0"/>
        <v>0</v>
      </c>
      <c r="F39" s="375">
        <v>800</v>
      </c>
      <c r="G39" s="375">
        <f>+F39-F39*0.14</f>
        <v>688</v>
      </c>
      <c r="H39" s="192" t="s">
        <v>68</v>
      </c>
      <c r="I39" s="147"/>
      <c r="J39" s="134">
        <f>J37/G4</f>
        <v>59.190031706625007</v>
      </c>
      <c r="K39" s="135" t="s">
        <v>66</v>
      </c>
      <c r="L39" s="437"/>
      <c r="M39" s="438"/>
      <c r="N39" s="160"/>
    </row>
    <row r="40" spans="1:14" ht="17.45" customHeight="1">
      <c r="A40" s="789" t="s">
        <v>69</v>
      </c>
      <c r="B40" s="790"/>
      <c r="C40" s="169">
        <f>SUMIF($G$7:$G$31,"Mechanical",$F$7:$F$31)</f>
        <v>160</v>
      </c>
      <c r="D40" s="123">
        <f>+C40+'16'!D40</f>
        <v>160</v>
      </c>
      <c r="E40" s="148">
        <f t="shared" si="0"/>
        <v>2.6666666666666665</v>
      </c>
      <c r="F40" s="375">
        <v>800</v>
      </c>
      <c r="G40" s="375">
        <f>+F40-F40*0.14</f>
        <v>688</v>
      </c>
      <c r="H40" s="192" t="s">
        <v>70</v>
      </c>
      <c r="I40" s="123">
        <f>(K34+L34)/1000</f>
        <v>42.984999999999999</v>
      </c>
      <c r="J40" s="136">
        <f>+I40+'16'!J40</f>
        <v>847.37099999999998</v>
      </c>
      <c r="K40" s="135" t="s">
        <v>66</v>
      </c>
      <c r="L40" s="437"/>
      <c r="M40" s="438"/>
      <c r="N40" s="160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+C41+'16'!D41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49.845352941176472</v>
      </c>
      <c r="K41" s="135" t="s">
        <v>66</v>
      </c>
      <c r="L41" s="437"/>
      <c r="M41" s="438"/>
      <c r="N41" s="160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+C42+'16'!D42</f>
        <v>0</v>
      </c>
      <c r="E42" s="148">
        <f t="shared" si="0"/>
        <v>0</v>
      </c>
      <c r="F42" s="375">
        <f>+(F38*480+F39*480+F40*320)/1280</f>
        <v>800</v>
      </c>
      <c r="G42" s="375">
        <f>+(G38*480+G39*480+G40*320)/1280</f>
        <v>688</v>
      </c>
      <c r="H42" s="192" t="s">
        <v>73</v>
      </c>
      <c r="I42" s="250" t="s">
        <v>650</v>
      </c>
      <c r="J42" s="137"/>
      <c r="K42" s="135" t="s">
        <v>74</v>
      </c>
      <c r="L42" s="437"/>
      <c r="M42" s="438"/>
      <c r="N42" s="160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+C43+'16'!D43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+Report1!AH25</f>
        <v>105.137</v>
      </c>
      <c r="J43" s="138">
        <f>+I43+'16'!J43</f>
        <v>2077.3490000000006</v>
      </c>
      <c r="K43" s="135" t="s">
        <v>66</v>
      </c>
      <c r="L43" s="439">
        <f>+Report1!AN25</f>
        <v>8.5</v>
      </c>
      <c r="M43" s="440">
        <f>+L43+'16'!M43</f>
        <v>191.99999999999997</v>
      </c>
      <c r="N43" s="160"/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+C44+'16'!D44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2.6018857651950107</v>
      </c>
      <c r="J44" s="139">
        <f>J43/J38</f>
        <v>2.2905057561754432</v>
      </c>
      <c r="K44" s="135" t="s">
        <v>66</v>
      </c>
      <c r="L44" s="441">
        <f>+L43/I38</f>
        <v>0.2103543852702435</v>
      </c>
      <c r="M44" s="442">
        <f>+M43/J38</f>
        <v>0.2117011177157449</v>
      </c>
      <c r="N44" s="160"/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+C45+'16'!D45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2.4458997324648135</v>
      </c>
      <c r="J45" s="139">
        <f>J43/J40</f>
        <v>2.4515224146212233</v>
      </c>
      <c r="K45" s="135" t="s">
        <v>66</v>
      </c>
      <c r="L45" s="441">
        <f>+L43/I40</f>
        <v>0.19774339886006748</v>
      </c>
      <c r="M45" s="442">
        <f>+M43/J40</f>
        <v>0.22658316133075121</v>
      </c>
      <c r="N45" s="160"/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+C46+'16'!D46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+SUMIF(Listrik!AC24,"&gt;0")</f>
        <v>33547.440000001276</v>
      </c>
      <c r="J46" s="140">
        <f>+I46+'16'!J46</f>
        <v>543130.11999999976</v>
      </c>
      <c r="K46" s="135" t="s">
        <v>81</v>
      </c>
      <c r="L46" s="441">
        <f>+Listrik!AF24</f>
        <v>17331</v>
      </c>
      <c r="M46" s="443">
        <f>+L46+'16'!M46</f>
        <v>91574</v>
      </c>
      <c r="N46" s="160"/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+C47+'16'!D47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830.2177786577231</v>
      </c>
      <c r="J47" s="140">
        <f>J46/J38</f>
        <v>598.86069515149279</v>
      </c>
      <c r="K47" s="135" t="s">
        <v>25</v>
      </c>
      <c r="L47" s="441">
        <f>+L46/I38</f>
        <v>428.90021777865769</v>
      </c>
      <c r="M47" s="442">
        <f>+M46/J38</f>
        <v>100.9704070505293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+C48+'16'!D48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780.44527160640405</v>
      </c>
      <c r="J48" s="140">
        <f>J46/J40</f>
        <v>640.95906043515743</v>
      </c>
      <c r="K48" s="135" t="s">
        <v>25</v>
      </c>
      <c r="L48" s="441">
        <f>+L46/I38</f>
        <v>428.90021777865769</v>
      </c>
      <c r="M48" s="442">
        <f>+M46/J40</f>
        <v>108.06836674844902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+C49+'16'!D49</f>
        <v>1680</v>
      </c>
      <c r="E49" s="148">
        <f t="shared" si="0"/>
        <v>28</v>
      </c>
      <c r="F49" s="190"/>
      <c r="H49" s="193" t="s">
        <v>85</v>
      </c>
      <c r="I49" s="123">
        <f>+Report1!AB25</f>
        <v>0</v>
      </c>
      <c r="J49" s="140">
        <f>+I49+'16'!J49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+C50+'16'!D50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+C51+'16'!D51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234</v>
      </c>
      <c r="D52" s="149">
        <f>SUM(D38:D51)</f>
        <v>3891</v>
      </c>
      <c r="E52" s="150">
        <f>SUM(E38:E51)</f>
        <v>64.849999999999994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0.16250000000000001</v>
      </c>
      <c r="D53" s="151">
        <f>D52/(24*60*G4)</f>
        <v>0.15894607843137254</v>
      </c>
      <c r="E53" s="152">
        <f>E52/(G4*24)</f>
        <v>0.15894607843137254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+D34+'16'!J56</f>
        <v>21465</v>
      </c>
      <c r="K56" s="206">
        <f>J56/(J40+J56/1000)/1000</f>
        <v>2.4705468005469383E-2</v>
      </c>
    </row>
    <row r="57" spans="1:13">
      <c r="A57" s="181"/>
      <c r="I57" s="204" t="s">
        <v>92</v>
      </c>
      <c r="J57" s="205">
        <f>+E34+'16'!J57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Q61"/>
  <sheetViews>
    <sheetView view="pageBreakPreview" topLeftCell="A2" zoomScale="80" zoomScaleNormal="80" zoomScaleSheetLayoutView="80" workbookViewId="0">
      <selection activeCell="A24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4" width="12.28515625" style="154" bestFit="1" customWidth="1"/>
    <col min="15" max="16384" width="9.140625" style="154"/>
  </cols>
  <sheetData>
    <row r="1" spans="1:17" ht="15.75">
      <c r="A1" s="153"/>
    </row>
    <row r="2" spans="1:17" ht="15.75">
      <c r="A2" s="153" t="s">
        <v>175</v>
      </c>
    </row>
    <row r="3" spans="1:17" ht="15">
      <c r="A3" s="155"/>
    </row>
    <row r="4" spans="1:17" ht="20.25">
      <c r="A4" s="156" t="s">
        <v>4</v>
      </c>
      <c r="B4" s="157"/>
      <c r="F4" s="158" t="s">
        <v>31</v>
      </c>
      <c r="G4" s="159">
        <v>16</v>
      </c>
      <c r="H4" s="159" t="str">
        <f>+'1'!H4</f>
        <v>.10.25</v>
      </c>
    </row>
    <row r="5" spans="1:17" ht="13.5" thickBot="1">
      <c r="C5" s="160"/>
      <c r="D5" s="160"/>
    </row>
    <row r="6" spans="1:17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347+432+376</f>
        <v>1155</v>
      </c>
    </row>
    <row r="7" spans="1:17" ht="13.5" customHeight="1" thickBot="1">
      <c r="A7" s="777" t="s">
        <v>413</v>
      </c>
      <c r="B7" s="220" t="s">
        <v>622</v>
      </c>
      <c r="C7" s="221">
        <v>15664</v>
      </c>
      <c r="D7" s="222">
        <v>280</v>
      </c>
      <c r="E7" s="223"/>
      <c r="F7" s="232">
        <v>3</v>
      </c>
      <c r="G7" s="233" t="s">
        <v>13</v>
      </c>
      <c r="H7" s="234" t="s">
        <v>452</v>
      </c>
      <c r="I7" s="780" t="s">
        <v>446</v>
      </c>
      <c r="J7" s="219" t="str">
        <f>+'15'!J7</f>
        <v>TW 17 RC HW</v>
      </c>
      <c r="K7" s="242"/>
      <c r="L7" s="246"/>
      <c r="M7" s="122">
        <f>+K7+'15'!M7+L7</f>
        <v>44630</v>
      </c>
    </row>
    <row r="8" spans="1:17" ht="13.5" thickBot="1">
      <c r="A8" s="778"/>
      <c r="B8" s="220"/>
      <c r="C8" s="221"/>
      <c r="D8" s="222"/>
      <c r="E8" s="224"/>
      <c r="F8" s="235">
        <v>7</v>
      </c>
      <c r="G8" s="581" t="s">
        <v>13</v>
      </c>
      <c r="H8" s="234" t="s">
        <v>480</v>
      </c>
      <c r="I8" s="781"/>
      <c r="J8" s="219" t="str">
        <f>+'15'!J8</f>
        <v>N 18 RC HW</v>
      </c>
      <c r="K8" s="243"/>
      <c r="L8" s="243"/>
      <c r="M8" s="122">
        <f>+K8+'15'!M8+L8</f>
        <v>105194</v>
      </c>
      <c r="N8" s="154">
        <v>830</v>
      </c>
      <c r="O8" s="154">
        <f>+N8-N8*0.14</f>
        <v>713.8</v>
      </c>
      <c r="P8" s="154">
        <v>1440</v>
      </c>
    </row>
    <row r="9" spans="1:17" ht="13.5" thickBot="1">
      <c r="A9" s="778"/>
      <c r="B9" s="220"/>
      <c r="C9" s="221"/>
      <c r="D9" s="222"/>
      <c r="E9" s="225"/>
      <c r="F9" s="232">
        <v>5</v>
      </c>
      <c r="G9" s="581" t="s">
        <v>13</v>
      </c>
      <c r="H9" s="237" t="s">
        <v>226</v>
      </c>
      <c r="I9" s="781"/>
      <c r="J9" s="219" t="str">
        <f>+'15'!J9</f>
        <v>N 20 RC HW</v>
      </c>
      <c r="K9" s="243"/>
      <c r="L9" s="243"/>
      <c r="M9" s="122">
        <f>+K9+'15'!M9+L9</f>
        <v>71479</v>
      </c>
    </row>
    <row r="10" spans="1:17" ht="13.5" thickBot="1">
      <c r="A10" s="778"/>
      <c r="B10" s="220"/>
      <c r="C10" s="221"/>
      <c r="D10" s="222"/>
      <c r="E10" s="224"/>
      <c r="F10" s="232"/>
      <c r="G10" s="581"/>
      <c r="H10" s="237" t="s">
        <v>618</v>
      </c>
      <c r="I10" s="781"/>
      <c r="J10" s="219" t="str">
        <f>+'15'!J10</f>
        <v>N 17 RC HW</v>
      </c>
      <c r="K10" s="243"/>
      <c r="L10" s="243"/>
      <c r="M10" s="122">
        <f>+K10+'15'!M10+L10</f>
        <v>5253</v>
      </c>
    </row>
    <row r="11" spans="1:17" ht="13.5" thickBot="1">
      <c r="A11" s="778"/>
      <c r="B11" s="220"/>
      <c r="C11" s="221"/>
      <c r="D11" s="222"/>
      <c r="E11" s="224"/>
      <c r="F11" s="232">
        <v>40</v>
      </c>
      <c r="G11" s="236" t="s">
        <v>13</v>
      </c>
      <c r="H11" s="237" t="s">
        <v>629</v>
      </c>
      <c r="I11" s="781"/>
      <c r="J11" s="219" t="str">
        <f>+'15'!J11</f>
        <v>N 18,5 RC HW</v>
      </c>
      <c r="K11" s="243"/>
      <c r="L11" s="243"/>
      <c r="M11" s="122">
        <f>+K11+'15'!M11+L11</f>
        <v>10930</v>
      </c>
    </row>
    <row r="12" spans="1:17" ht="13.5" thickBot="1">
      <c r="A12" s="778"/>
      <c r="B12" s="220"/>
      <c r="C12" s="221"/>
      <c r="D12" s="222"/>
      <c r="E12" s="224"/>
      <c r="F12" s="232"/>
      <c r="G12" s="236"/>
      <c r="H12" s="237" t="s">
        <v>630</v>
      </c>
      <c r="I12" s="781"/>
      <c r="J12" s="219" t="str">
        <f>+'15'!J12</f>
        <v>TW 32 RC HW</v>
      </c>
      <c r="K12" s="243"/>
      <c r="L12" s="243"/>
      <c r="M12" s="122">
        <f>+K12+'15'!M12+L12</f>
        <v>75522</v>
      </c>
      <c r="Q12" s="564"/>
    </row>
    <row r="13" spans="1:17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+'15'!J13</f>
        <v>TW 34 RC HW</v>
      </c>
      <c r="K13" s="243"/>
      <c r="L13" s="243"/>
      <c r="M13" s="122">
        <f>+K13+'15'!M13+L13</f>
        <v>22635</v>
      </c>
      <c r="Q13" s="564"/>
    </row>
    <row r="14" spans="1:17" ht="13.5" thickBot="1">
      <c r="A14" s="779"/>
      <c r="B14" s="170" t="s">
        <v>3</v>
      </c>
      <c r="C14" s="104">
        <f>SUM(C7:C13)</f>
        <v>15664</v>
      </c>
      <c r="D14" s="116">
        <f>SUM(D7:D13)</f>
        <v>280</v>
      </c>
      <c r="E14" s="117">
        <f>SUM(E5:E13)</f>
        <v>0</v>
      </c>
      <c r="F14" s="121"/>
      <c r="G14" s="164"/>
      <c r="H14" s="171"/>
      <c r="I14" s="172"/>
      <c r="J14" s="219" t="str">
        <f>+'15'!J14</f>
        <v>TW 36 RC HW</v>
      </c>
      <c r="K14" s="243"/>
      <c r="L14" s="243"/>
      <c r="M14" s="122">
        <f>+K14+'15'!M14+L14</f>
        <v>33555</v>
      </c>
    </row>
    <row r="15" spans="1:17" ht="13.5" customHeight="1" thickBot="1">
      <c r="A15" s="777" t="s">
        <v>414</v>
      </c>
      <c r="B15" s="170"/>
      <c r="C15" s="118">
        <f>C14/($C$23+$D$23+$E$23)</f>
        <v>1.7486045992409021</v>
      </c>
      <c r="D15" s="119">
        <f>D14/($C$23+$D$23+$E$23)</f>
        <v>3.125697700379549E-2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635</v>
      </c>
      <c r="J15" s="219" t="str">
        <f>+'15'!J15</f>
        <v>TW 38 RC HW</v>
      </c>
      <c r="K15" s="243"/>
      <c r="L15" s="243"/>
      <c r="M15" s="122">
        <f>+K15+'15'!M15+L15</f>
        <v>50415</v>
      </c>
    </row>
    <row r="16" spans="1:17" ht="13.5" thickBot="1">
      <c r="A16" s="783"/>
      <c r="B16" s="220" t="s">
        <v>622</v>
      </c>
      <c r="C16" s="226">
        <v>7978</v>
      </c>
      <c r="D16" s="227">
        <v>980</v>
      </c>
      <c r="E16" s="228"/>
      <c r="F16" s="235">
        <v>5</v>
      </c>
      <c r="G16" s="581" t="s">
        <v>13</v>
      </c>
      <c r="H16" s="234" t="s">
        <v>392</v>
      </c>
      <c r="I16" s="781"/>
      <c r="J16" s="219" t="str">
        <f>+'15'!J16</f>
        <v>TW 30 RC HW</v>
      </c>
      <c r="K16" s="243"/>
      <c r="L16" s="243"/>
      <c r="M16" s="122">
        <f>+K16+'15'!M16+L16</f>
        <v>118057</v>
      </c>
    </row>
    <row r="17" spans="1:14" ht="13.5" thickBot="1">
      <c r="A17" s="783"/>
      <c r="B17" s="220" t="s">
        <v>639</v>
      </c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+'15'!J17</f>
        <v>TW 28 RC HW</v>
      </c>
      <c r="K17" s="243"/>
      <c r="L17" s="243"/>
      <c r="M17" s="122">
        <f>+K17+'15'!M17+L17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618</v>
      </c>
      <c r="I18" s="781"/>
      <c r="J18" s="219" t="str">
        <f>+'15'!J18</f>
        <v>N 20,5 RC HW</v>
      </c>
      <c r="K18" s="243"/>
      <c r="L18" s="243"/>
      <c r="M18" s="122">
        <f>+K18+'15'!M18+L18</f>
        <v>181023</v>
      </c>
    </row>
    <row r="19" spans="1:14" ht="13.5" thickBot="1">
      <c r="A19" s="783"/>
      <c r="B19" s="220"/>
      <c r="C19" s="221"/>
      <c r="D19" s="222"/>
      <c r="E19" s="229" t="s">
        <v>631</v>
      </c>
      <c r="F19" s="235">
        <v>250</v>
      </c>
      <c r="G19" s="236" t="s">
        <v>13</v>
      </c>
      <c r="H19" s="237" t="s">
        <v>641</v>
      </c>
      <c r="I19" s="781"/>
      <c r="J19" s="219" t="str">
        <f>+'15'!J19</f>
        <v>N 17 RC BR</v>
      </c>
      <c r="K19" s="243"/>
      <c r="L19" s="243"/>
      <c r="M19" s="122">
        <f>+K19+'15'!M19+L19</f>
        <v>23267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tr">
        <f>+'15'!J20</f>
        <v>N 16 RC BR</v>
      </c>
      <c r="K20" s="243">
        <f>+C7+C16+C26</f>
        <v>24524</v>
      </c>
      <c r="L20" s="243"/>
      <c r="M20" s="122">
        <f>+K20+'15'!M20+L20</f>
        <v>40286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/>
      <c r="K21" s="243"/>
      <c r="L21" s="243"/>
      <c r="M21" s="122">
        <f>+K21+'15'!M21+L21</f>
        <v>0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+'15'!J22</f>
        <v>0</v>
      </c>
      <c r="K22" s="243"/>
      <c r="L22" s="243"/>
      <c r="M22" s="122">
        <f>+K22+'15'!M22+L22</f>
        <v>0</v>
      </c>
    </row>
    <row r="23" spans="1:14" ht="13.5" thickBot="1">
      <c r="A23" s="784"/>
      <c r="B23" s="170" t="s">
        <v>3</v>
      </c>
      <c r="C23" s="105">
        <f>SUM(C16:C22)</f>
        <v>7978</v>
      </c>
      <c r="D23" s="116">
        <f>SUM(D16:D22)</f>
        <v>980</v>
      </c>
      <c r="E23" s="117">
        <f>SUM(E18:E22)</f>
        <v>0</v>
      </c>
      <c r="F23" s="121"/>
      <c r="G23" s="164"/>
      <c r="H23" s="171"/>
      <c r="I23" s="174"/>
      <c r="J23" s="219">
        <f>+'15'!J23</f>
        <v>0</v>
      </c>
      <c r="K23" s="243"/>
      <c r="L23" s="243"/>
      <c r="M23" s="122">
        <f>+K23+'15'!M23+L23</f>
        <v>0</v>
      </c>
    </row>
    <row r="24" spans="1:14" ht="13.5" customHeight="1" thickBot="1">
      <c r="A24" s="777" t="s">
        <v>412</v>
      </c>
      <c r="B24" s="175"/>
      <c r="C24" s="118">
        <f>C23/($C$23+$D$23+$E$23)</f>
        <v>0.89060058048671575</v>
      </c>
      <c r="D24" s="119">
        <f>D23/($C$23+$D$23+$E$23)</f>
        <v>0.10939941951328422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636</v>
      </c>
      <c r="J24" s="219">
        <f>+'15'!J24</f>
        <v>0</v>
      </c>
      <c r="K24" s="243"/>
      <c r="L24" s="243"/>
      <c r="M24" s="122">
        <f>+K24+'15'!M24+L24</f>
        <v>0</v>
      </c>
    </row>
    <row r="25" spans="1:14" ht="13.5" thickBot="1">
      <c r="A25" s="785"/>
      <c r="B25" s="220" t="s">
        <v>639</v>
      </c>
      <c r="C25" s="230"/>
      <c r="D25" s="222"/>
      <c r="E25" s="229"/>
      <c r="F25" s="235">
        <v>5</v>
      </c>
      <c r="G25" s="581" t="s">
        <v>13</v>
      </c>
      <c r="H25" s="234" t="s">
        <v>392</v>
      </c>
      <c r="I25" s="781"/>
      <c r="J25" s="219">
        <f>+'15'!J25</f>
        <v>0</v>
      </c>
      <c r="K25" s="243"/>
      <c r="L25" s="243"/>
      <c r="M25" s="122">
        <f>+K25+'15'!M25+L25</f>
        <v>0</v>
      </c>
    </row>
    <row r="26" spans="1:14" ht="13.5" thickBot="1">
      <c r="A26" s="785"/>
      <c r="B26" s="220" t="s">
        <v>622</v>
      </c>
      <c r="C26" s="230">
        <v>882</v>
      </c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+'15'!J26</f>
        <v>0</v>
      </c>
      <c r="K26" s="243"/>
      <c r="L26" s="243"/>
      <c r="M26" s="122">
        <f>+K26+'15'!M26+L26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618</v>
      </c>
      <c r="I27" s="781"/>
      <c r="J27" s="219">
        <f>+'15'!J27</f>
        <v>0</v>
      </c>
      <c r="K27" s="243"/>
      <c r="L27" s="243"/>
      <c r="M27" s="122">
        <f>+K27+'15'!M27+L27</f>
        <v>0</v>
      </c>
    </row>
    <row r="28" spans="1:14" ht="13.5" thickBot="1">
      <c r="A28" s="785"/>
      <c r="B28" s="220"/>
      <c r="C28" s="221"/>
      <c r="D28" s="222"/>
      <c r="E28" s="229" t="s">
        <v>631</v>
      </c>
      <c r="F28" s="235">
        <v>360</v>
      </c>
      <c r="G28" s="236" t="s">
        <v>13</v>
      </c>
      <c r="H28" s="237" t="s">
        <v>632</v>
      </c>
      <c r="I28" s="781"/>
      <c r="J28" s="219">
        <f>+'15'!J28</f>
        <v>0</v>
      </c>
      <c r="K28" s="243"/>
      <c r="L28" s="243"/>
      <c r="M28" s="122">
        <f>+K28+'15'!M28+L28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 t="s">
        <v>633</v>
      </c>
      <c r="I29" s="781"/>
      <c r="J29" s="219">
        <f>+'15'!J29</f>
        <v>0</v>
      </c>
      <c r="K29" s="243"/>
      <c r="L29" s="243"/>
      <c r="M29" s="122">
        <f>+K29+'15'!M29+L29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 t="s">
        <v>634</v>
      </c>
      <c r="I30" s="781"/>
      <c r="J30" s="219">
        <f>+'15'!J30</f>
        <v>0</v>
      </c>
      <c r="K30" s="243"/>
      <c r="L30" s="243"/>
      <c r="M30" s="122">
        <f>+K30+'15'!M30+L30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587"/>
      <c r="I31" s="782"/>
      <c r="J31" s="219">
        <f>+'15'!J31</f>
        <v>0</v>
      </c>
      <c r="K31" s="243"/>
      <c r="L31" s="243"/>
      <c r="M31" s="122">
        <f>+K31+'15'!M31+L31</f>
        <v>0</v>
      </c>
    </row>
    <row r="32" spans="1:14" ht="13.5" thickBot="1">
      <c r="A32" s="786"/>
      <c r="B32" s="170" t="s">
        <v>3</v>
      </c>
      <c r="C32" s="104">
        <f>SUM(C25:C31)</f>
        <v>882</v>
      </c>
      <c r="D32" s="105">
        <f>SUM(D25:D31)</f>
        <v>0</v>
      </c>
      <c r="E32" s="106">
        <f>SUM(E25:E31)</f>
        <v>0</v>
      </c>
      <c r="F32" s="107">
        <f>SUM(F24:F31)</f>
        <v>370</v>
      </c>
      <c r="G32" s="176"/>
      <c r="H32" s="177"/>
      <c r="I32" s="174"/>
      <c r="J32" s="219">
        <f>+'15'!J32</f>
        <v>0</v>
      </c>
      <c r="K32" s="245"/>
      <c r="L32" s="247"/>
      <c r="M32" s="122">
        <f>+K32+'15'!M32+L32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24524</v>
      </c>
      <c r="D34" s="112">
        <f>D14+D23+D32</f>
        <v>1260</v>
      </c>
      <c r="E34" s="112">
        <f>E14+E23+E32</f>
        <v>0</v>
      </c>
      <c r="F34" s="113">
        <f>F14+F23+F32</f>
        <v>370</v>
      </c>
      <c r="H34" s="183"/>
      <c r="I34" s="183"/>
      <c r="J34" s="128" t="s">
        <v>29</v>
      </c>
      <c r="K34" s="129">
        <f>SUM(K7:K32)</f>
        <v>24524</v>
      </c>
      <c r="L34" s="217">
        <f>SUM(L7:L32)</f>
        <v>0</v>
      </c>
      <c r="M34" s="125">
        <f>SUM(M7:M32)</f>
        <v>804386</v>
      </c>
      <c r="N34" s="160"/>
    </row>
    <row r="35" spans="1:14" ht="13.5" thickBot="1">
      <c r="A35" s="184"/>
      <c r="B35" s="185"/>
      <c r="C35" s="109">
        <f>C34/($C$34+$D$34+$E$34)</f>
        <v>0.95113248526217808</v>
      </c>
      <c r="D35" s="109">
        <f>D34/($C$34+$D$34+$E$34)</f>
        <v>4.8867514737821909E-2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(16*1440)/1440*G42*3.4*1440/1000000</f>
        <v>55.916236799999993</v>
      </c>
      <c r="J37" s="130">
        <f>+I37+'15'!J37</f>
        <v>959.46993101262512</v>
      </c>
      <c r="K37" s="131" t="s">
        <v>66</v>
      </c>
      <c r="L37" s="435"/>
      <c r="M37" s="436"/>
    </row>
    <row r="38" spans="1:14" ht="17.45" customHeight="1">
      <c r="A38" s="793" t="s">
        <v>13</v>
      </c>
      <c r="B38" s="794"/>
      <c r="C38" s="169">
        <f>SUMIF($G$7:$G$31,"Process",$F$7:$F$31)</f>
        <v>685</v>
      </c>
      <c r="D38" s="123">
        <f>+C38+'15'!D38</f>
        <v>1917</v>
      </c>
      <c r="E38" s="148">
        <f t="shared" ref="E38:E51" si="0">D38/60</f>
        <v>31.95</v>
      </c>
      <c r="F38" s="375">
        <v>830</v>
      </c>
      <c r="G38" s="375">
        <f>+F38-F38*0.14</f>
        <v>713.8</v>
      </c>
      <c r="H38" s="192" t="s">
        <v>67</v>
      </c>
      <c r="I38" s="556">
        <f>16.615+8.953+25.582</f>
        <v>51.15</v>
      </c>
      <c r="J38" s="132">
        <f>+I38+'15'!J38</f>
        <v>866.53100000000006</v>
      </c>
      <c r="K38" s="133" t="s">
        <v>66</v>
      </c>
      <c r="L38" s="437"/>
      <c r="M38" s="438"/>
      <c r="N38" s="557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+C39+'15'!D39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59.96687068828907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+C40+'15'!D40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24.524000000000001</v>
      </c>
      <c r="J40" s="136">
        <f>+I40+'15'!J40</f>
        <v>804.38599999999997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+C41+'15'!D41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50.274124999999998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+C42+'15'!D42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+C43+'15'!D43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+Report1!AH24</f>
        <v>129.23500000000001</v>
      </c>
      <c r="J43" s="138">
        <f>+I43+'15'!J43</f>
        <v>1972.2120000000004</v>
      </c>
      <c r="K43" s="135" t="s">
        <v>66</v>
      </c>
      <c r="L43" s="439">
        <f>+Report1!AN24</f>
        <v>13.6</v>
      </c>
      <c r="M43" s="440">
        <f>+L43+'15'!M43</f>
        <v>183.49999999999997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+C44+'15'!D44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2.526588465298143</v>
      </c>
      <c r="J44" s="139">
        <f>J43/J38</f>
        <v>2.2759855100394564</v>
      </c>
      <c r="K44" s="135" t="s">
        <v>66</v>
      </c>
      <c r="L44" s="441">
        <f>+L43/I38</f>
        <v>0.26588465298142716</v>
      </c>
      <c r="M44" s="442">
        <f>+M43/J38</f>
        <v>0.21176391842876938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+C45+'15'!D45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5.2697357690425708</v>
      </c>
      <c r="J45" s="139">
        <f>J43/J40</f>
        <v>2.4518228810546185</v>
      </c>
      <c r="K45" s="135" t="s">
        <v>66</v>
      </c>
      <c r="L45" s="441">
        <f>+L43/I40</f>
        <v>0.55455879954330445</v>
      </c>
      <c r="M45" s="442">
        <f>+M43/J40</f>
        <v>0.22812430847876514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+C46+'15'!D46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+SUMIF(Listrik!AC23,"&gt;0")</f>
        <v>30895.599999997725</v>
      </c>
      <c r="J46" s="140">
        <f>+I46+'15'!J46</f>
        <v>509582.67999999848</v>
      </c>
      <c r="K46" s="135" t="s">
        <v>81</v>
      </c>
      <c r="L46" s="441">
        <f>+Listrik!AF23</f>
        <v>24647</v>
      </c>
      <c r="M46" s="443">
        <f>+L46+'15'!M46</f>
        <v>74243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+C47+'15'!D47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604.01955034208652</v>
      </c>
      <c r="J47" s="140">
        <f>J46/J38</f>
        <v>588.07207128192579</v>
      </c>
      <c r="K47" s="135" t="s">
        <v>25</v>
      </c>
      <c r="L47" s="441">
        <f>+L46/I38</f>
        <v>481.85728250244381</v>
      </c>
      <c r="M47" s="442">
        <f>+M46/J38</f>
        <v>85.678411966796332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+C48+'15'!D48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1259.8107975859452</v>
      </c>
      <c r="J48" s="140">
        <f>J46/J40</f>
        <v>633.50515797141986</v>
      </c>
      <c r="K48" s="135" t="s">
        <v>25</v>
      </c>
      <c r="L48" s="441">
        <f>+L46/I38</f>
        <v>481.85728250244381</v>
      </c>
      <c r="M48" s="442">
        <f>+M46/J40</f>
        <v>92.297727707841759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+C49+'15'!D49</f>
        <v>1680</v>
      </c>
      <c r="E49" s="148">
        <f t="shared" si="0"/>
        <v>28</v>
      </c>
      <c r="F49" s="190"/>
      <c r="H49" s="193" t="s">
        <v>85</v>
      </c>
      <c r="I49" s="123">
        <f>+Report1!AB24</f>
        <v>0</v>
      </c>
      <c r="J49" s="140">
        <f>+I49+'15'!J49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+C50+'15'!D50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+C51+'15'!D51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685</v>
      </c>
      <c r="D52" s="149">
        <f>SUM(D38:D51)</f>
        <v>3657</v>
      </c>
      <c r="E52" s="150">
        <f>SUM(E38:E51)</f>
        <v>60.95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0.47569444444444442</v>
      </c>
      <c r="D53" s="151">
        <f>D52/(24*60*G4)</f>
        <v>0.15872395833333333</v>
      </c>
      <c r="E53" s="152">
        <f>E52/(G4*24)</f>
        <v>0.15872395833333333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+D34+'15'!J56</f>
        <v>21465</v>
      </c>
      <c r="K56" s="206">
        <f>J56/(J40+J56/1000)/1000</f>
        <v>2.5991371324851579E-2</v>
      </c>
    </row>
    <row r="57" spans="1:13">
      <c r="A57" s="181"/>
      <c r="I57" s="204" t="s">
        <v>92</v>
      </c>
      <c r="J57" s="205">
        <f>+E34+'15'!J57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21790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15</v>
      </c>
      <c r="H4" s="159" t="str">
        <f>+'1'!H4</f>
        <v>.10.25</v>
      </c>
      <c r="J4" s="154">
        <v>554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367+519+441</f>
        <v>1327</v>
      </c>
    </row>
    <row r="7" spans="1:18" ht="13.5" customHeight="1" thickBot="1">
      <c r="A7" s="777" t="s">
        <v>413</v>
      </c>
      <c r="B7" s="220" t="s">
        <v>542</v>
      </c>
      <c r="C7" s="221">
        <f>2187+8653</f>
        <v>10840</v>
      </c>
      <c r="D7" s="222"/>
      <c r="E7" s="223"/>
      <c r="F7" s="232"/>
      <c r="G7" s="233" t="s">
        <v>13</v>
      </c>
      <c r="H7" s="234" t="s">
        <v>394</v>
      </c>
      <c r="I7" s="780" t="s">
        <v>619</v>
      </c>
      <c r="J7" s="219" t="str">
        <f>+'14'!J7</f>
        <v>TW 17 RC HW</v>
      </c>
      <c r="K7" s="242"/>
      <c r="L7" s="246"/>
      <c r="M7" s="122">
        <f>+K7+'14'!M7+L7</f>
        <v>44630</v>
      </c>
    </row>
    <row r="8" spans="1:18" ht="13.5" thickBot="1">
      <c r="A8" s="778"/>
      <c r="B8" s="220" t="s">
        <v>621</v>
      </c>
      <c r="C8" s="221">
        <f>418+3604+1621</f>
        <v>5643</v>
      </c>
      <c r="D8" s="222">
        <v>160</v>
      </c>
      <c r="E8" s="224"/>
      <c r="F8" s="235">
        <v>2</v>
      </c>
      <c r="G8" s="581" t="s">
        <v>13</v>
      </c>
      <c r="H8" s="234" t="s">
        <v>449</v>
      </c>
      <c r="I8" s="781"/>
      <c r="J8" s="219" t="str">
        <f>+'14'!J8</f>
        <v>N 18 RC HW</v>
      </c>
      <c r="K8" s="243"/>
      <c r="L8" s="243"/>
      <c r="M8" s="122">
        <f>+K8+'14'!M8+L8</f>
        <v>105194</v>
      </c>
    </row>
    <row r="9" spans="1:18" ht="13.5" thickBot="1">
      <c r="A9" s="778"/>
      <c r="B9" s="220"/>
      <c r="C9" s="221"/>
      <c r="D9" s="222"/>
      <c r="E9" s="225"/>
      <c r="F9" s="232">
        <v>2</v>
      </c>
      <c r="G9" s="581" t="s">
        <v>13</v>
      </c>
      <c r="H9" s="237" t="s">
        <v>226</v>
      </c>
      <c r="I9" s="781"/>
      <c r="J9" s="219" t="str">
        <f>+'14'!J9</f>
        <v>N 20 RC HW</v>
      </c>
      <c r="K9" s="243"/>
      <c r="L9" s="243"/>
      <c r="M9" s="122">
        <f>+K9+'14'!M9+L9</f>
        <v>71479</v>
      </c>
      <c r="N9" s="154">
        <v>550</v>
      </c>
      <c r="O9" s="154">
        <f>+N9-N9*0.12</f>
        <v>484</v>
      </c>
      <c r="P9" s="154">
        <v>60</v>
      </c>
      <c r="Q9" s="154">
        <f>+N9*P9</f>
        <v>33000</v>
      </c>
      <c r="R9" s="154">
        <f>+O9*P9</f>
        <v>29040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607</v>
      </c>
      <c r="I10" s="781"/>
      <c r="J10" s="219" t="str">
        <f>+'14'!J10</f>
        <v>N 17 RC HW</v>
      </c>
      <c r="K10" s="243"/>
      <c r="L10" s="243"/>
      <c r="M10" s="122">
        <f>+K10+'14'!M10+L10</f>
        <v>5253</v>
      </c>
      <c r="N10" s="154">
        <v>830</v>
      </c>
      <c r="O10" s="154">
        <f>+N10-N10*0.14</f>
        <v>713.8</v>
      </c>
      <c r="P10" s="154">
        <v>420</v>
      </c>
      <c r="Q10" s="154">
        <f>+N10*P10</f>
        <v>348600</v>
      </c>
      <c r="R10" s="154">
        <f>+O10*P10</f>
        <v>299796</v>
      </c>
    </row>
    <row r="11" spans="1:18" ht="13.5" thickBot="1">
      <c r="A11" s="778"/>
      <c r="B11" s="220"/>
      <c r="C11" s="221"/>
      <c r="D11" s="222"/>
      <c r="E11" s="224"/>
      <c r="F11" s="232">
        <v>26</v>
      </c>
      <c r="G11" s="236" t="s">
        <v>13</v>
      </c>
      <c r="H11" s="237" t="s">
        <v>615</v>
      </c>
      <c r="I11" s="781"/>
      <c r="J11" s="219" t="str">
        <f>+'14'!J11</f>
        <v>N 18,5 RC HW</v>
      </c>
      <c r="K11" s="243"/>
      <c r="L11" s="243"/>
      <c r="M11" s="122">
        <f>+K11+'14'!M11+L11</f>
        <v>10930</v>
      </c>
      <c r="P11" s="154">
        <f>SUM(P9:P10)</f>
        <v>480</v>
      </c>
      <c r="Q11" s="154">
        <f>SUM(Q9:Q10)</f>
        <v>381600</v>
      </c>
      <c r="R11" s="154">
        <f>SUM(R9:R10)</f>
        <v>328836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+'14'!J12</f>
        <v>TW 32 RC HW</v>
      </c>
      <c r="K12" s="243"/>
      <c r="L12" s="243"/>
      <c r="M12" s="122">
        <f>+K12+'14'!M12+L12</f>
        <v>75522</v>
      </c>
      <c r="Q12" s="154">
        <f>+Q11/P11</f>
        <v>795</v>
      </c>
      <c r="R12" s="154">
        <f>+R11/P11</f>
        <v>685.07500000000005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+'14'!J13</f>
        <v>TW 34 RC HW</v>
      </c>
      <c r="K13" s="243"/>
      <c r="L13" s="243"/>
      <c r="M13" s="122">
        <f>+K13+'14'!M13+L13</f>
        <v>22635</v>
      </c>
    </row>
    <row r="14" spans="1:18" ht="13.5" thickBot="1">
      <c r="A14" s="779"/>
      <c r="B14" s="170" t="s">
        <v>3</v>
      </c>
      <c r="C14" s="104">
        <f>SUM(C7:C13)</f>
        <v>16483</v>
      </c>
      <c r="D14" s="116">
        <f>SUM(D7:D13)</f>
        <v>160</v>
      </c>
      <c r="E14" s="117">
        <f>SUM(E5:E13)</f>
        <v>0</v>
      </c>
      <c r="F14" s="107">
        <f>SUM(F6:F13)</f>
        <v>30</v>
      </c>
      <c r="G14" s="164"/>
      <c r="H14" s="171"/>
      <c r="I14" s="172"/>
      <c r="J14" s="219" t="str">
        <f>+'14'!J14</f>
        <v>TW 36 RC HW</v>
      </c>
      <c r="K14" s="243"/>
      <c r="L14" s="243"/>
      <c r="M14" s="122">
        <f>+K14+'14'!M14+L14</f>
        <v>33555</v>
      </c>
    </row>
    <row r="15" spans="1:18" ht="13.5" customHeight="1" thickBot="1">
      <c r="A15" s="777" t="s">
        <v>414</v>
      </c>
      <c r="B15" s="170"/>
      <c r="C15" s="118">
        <f>C14/($C$23+$D$23+$E$23)</f>
        <v>0.97926568441064643</v>
      </c>
      <c r="D15" s="119">
        <f>D14/($C$23+$D$23+$E$23)</f>
        <v>9.5057034220532317E-3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446</v>
      </c>
      <c r="J15" s="219" t="str">
        <f>+'14'!J15</f>
        <v>TW 38 RC HW</v>
      </c>
      <c r="K15" s="243"/>
      <c r="L15" s="243"/>
      <c r="M15" s="122">
        <f>+K15+'14'!M15+L15</f>
        <v>50415</v>
      </c>
    </row>
    <row r="16" spans="1:18" ht="13.5" thickBot="1">
      <c r="A16" s="783"/>
      <c r="B16" s="220" t="s">
        <v>621</v>
      </c>
      <c r="C16" s="226">
        <v>16662</v>
      </c>
      <c r="D16" s="227">
        <v>170</v>
      </c>
      <c r="E16" s="228"/>
      <c r="F16" s="235">
        <v>8</v>
      </c>
      <c r="G16" s="581" t="s">
        <v>13</v>
      </c>
      <c r="H16" s="234" t="s">
        <v>392</v>
      </c>
      <c r="I16" s="781"/>
      <c r="J16" s="219" t="str">
        <f>+'14'!J16</f>
        <v>TW 30 RC HW</v>
      </c>
      <c r="K16" s="243">
        <f>+C7</f>
        <v>10840</v>
      </c>
      <c r="L16" s="233"/>
      <c r="M16" s="122">
        <f>+K16+'14'!M16+L16</f>
        <v>118057</v>
      </c>
      <c r="N16" s="154">
        <v>830</v>
      </c>
      <c r="O16" s="154">
        <f>+N16-N16*0.14</f>
        <v>713.8</v>
      </c>
      <c r="P16" s="154">
        <v>350</v>
      </c>
      <c r="Q16" s="154">
        <f>+N16*P16</f>
        <v>290500</v>
      </c>
      <c r="R16" s="154">
        <f>+O16*P16</f>
        <v>249829.99999999997</v>
      </c>
    </row>
    <row r="17" spans="1:18" ht="13.5" thickBot="1">
      <c r="A17" s="783"/>
      <c r="B17" s="220"/>
      <c r="C17" s="221"/>
      <c r="D17" s="222"/>
      <c r="E17" s="229"/>
      <c r="F17" s="232">
        <v>2</v>
      </c>
      <c r="G17" s="581" t="s">
        <v>13</v>
      </c>
      <c r="H17" s="237" t="s">
        <v>226</v>
      </c>
      <c r="I17" s="781"/>
      <c r="J17" s="219" t="str">
        <f>+'14'!J17</f>
        <v>TW 28 RC HW</v>
      </c>
      <c r="K17" s="243"/>
      <c r="L17" s="233"/>
      <c r="M17" s="122">
        <f>+K17+'14'!M17+L17</f>
        <v>22140</v>
      </c>
      <c r="N17" s="154">
        <v>830</v>
      </c>
      <c r="O17" s="154">
        <f>+N17-N17*0.14</f>
        <v>713.8</v>
      </c>
      <c r="P17" s="154">
        <f>10+60+60</f>
        <v>130</v>
      </c>
      <c r="Q17" s="154">
        <f>+N17*P17</f>
        <v>107900</v>
      </c>
      <c r="R17" s="154">
        <f>+O17*P17</f>
        <v>92794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616</v>
      </c>
      <c r="I18" s="781"/>
      <c r="J18" s="219" t="str">
        <f>+'14'!J18</f>
        <v>N 20,5 RC HW</v>
      </c>
      <c r="K18" s="243"/>
      <c r="L18" s="243"/>
      <c r="M18" s="122">
        <f>+K18+'14'!M18+L18</f>
        <v>181023</v>
      </c>
      <c r="P18" s="154">
        <f>SUM(P16:P17)</f>
        <v>480</v>
      </c>
      <c r="Q18" s="154">
        <f>SUM(Q16:Q17)</f>
        <v>398400</v>
      </c>
      <c r="R18" s="154">
        <f>SUM(R16:R17)</f>
        <v>342624</v>
      </c>
    </row>
    <row r="19" spans="1:18" ht="13.5" thickBot="1">
      <c r="A19" s="783"/>
      <c r="B19" s="220"/>
      <c r="C19" s="221"/>
      <c r="D19" s="222"/>
      <c r="E19" s="229"/>
      <c r="F19" s="239">
        <v>5</v>
      </c>
      <c r="G19" s="236" t="s">
        <v>13</v>
      </c>
      <c r="H19" s="237" t="s">
        <v>617</v>
      </c>
      <c r="I19" s="781"/>
      <c r="J19" s="219" t="s">
        <v>621</v>
      </c>
      <c r="K19" s="243">
        <f>+C8+C16+C26</f>
        <v>23267</v>
      </c>
      <c r="L19" s="243"/>
      <c r="M19" s="122">
        <f>+K19+'14'!M19+L19</f>
        <v>23267</v>
      </c>
      <c r="Q19" s="154">
        <f>+Q18/P18</f>
        <v>830</v>
      </c>
      <c r="R19" s="154">
        <f>+R18/P18</f>
        <v>713.8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 t="s">
        <v>622</v>
      </c>
      <c r="K20" s="243">
        <f>+C25</f>
        <v>15762</v>
      </c>
      <c r="L20" s="244"/>
      <c r="M20" s="122">
        <f>+K20+'14'!M20+L20</f>
        <v>15762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+'14'!J21</f>
        <v>0</v>
      </c>
      <c r="K21" s="243"/>
      <c r="L21" s="243"/>
      <c r="M21" s="122">
        <f>+K21+'14'!M21+L21</f>
        <v>0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+'14'!J22</f>
        <v>0</v>
      </c>
      <c r="K22" s="243"/>
      <c r="L22" s="243"/>
      <c r="M22" s="122">
        <f>+K22+'14'!M22+L22</f>
        <v>0</v>
      </c>
    </row>
    <row r="23" spans="1:18" ht="13.5" thickBot="1">
      <c r="A23" s="784"/>
      <c r="B23" s="170" t="s">
        <v>3</v>
      </c>
      <c r="C23" s="105">
        <f>SUM(C16:C22)</f>
        <v>16662</v>
      </c>
      <c r="D23" s="116">
        <f>SUM(D16:D22)</f>
        <v>170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+'14'!J23</f>
        <v>0</v>
      </c>
      <c r="K23" s="243"/>
      <c r="L23" s="243"/>
      <c r="M23" s="122">
        <f>+K23+'14'!M23+L23</f>
        <v>0</v>
      </c>
    </row>
    <row r="24" spans="1:18" ht="13.5" customHeight="1" thickBot="1">
      <c r="A24" s="777" t="s">
        <v>547</v>
      </c>
      <c r="B24" s="175"/>
      <c r="C24" s="118">
        <f>C23/($C$23+$D$23+$E$23)</f>
        <v>0.98990019011406849</v>
      </c>
      <c r="D24" s="119">
        <f>D23/($C$23+$D$23+$E$23)</f>
        <v>1.0099809885931559E-2</v>
      </c>
      <c r="E24" s="120">
        <f>E23/($C$23+$D$23+$E$23)</f>
        <v>0</v>
      </c>
      <c r="F24" s="232">
        <v>2</v>
      </c>
      <c r="G24" s="233" t="s">
        <v>13</v>
      </c>
      <c r="H24" s="234" t="s">
        <v>391</v>
      </c>
      <c r="I24" s="780" t="s">
        <v>446</v>
      </c>
      <c r="J24" s="219">
        <f>+'14'!J24</f>
        <v>0</v>
      </c>
      <c r="K24" s="243"/>
      <c r="L24" s="243"/>
      <c r="M24" s="122">
        <f>+K24+'14'!M24+L24</f>
        <v>0</v>
      </c>
    </row>
    <row r="25" spans="1:18" ht="13.5" thickBot="1">
      <c r="A25" s="785"/>
      <c r="B25" s="220" t="s">
        <v>622</v>
      </c>
      <c r="C25" s="230">
        <f>4502+11260</f>
        <v>15762</v>
      </c>
      <c r="D25" s="222"/>
      <c r="E25" s="229"/>
      <c r="F25" s="235">
        <v>7</v>
      </c>
      <c r="G25" s="581" t="s">
        <v>13</v>
      </c>
      <c r="H25" s="234" t="s">
        <v>392</v>
      </c>
      <c r="I25" s="781"/>
      <c r="J25" s="219">
        <f>+'14'!J25</f>
        <v>0</v>
      </c>
      <c r="K25" s="243"/>
      <c r="L25" s="243"/>
      <c r="M25" s="122">
        <f>+K25+'14'!M25+L25</f>
        <v>0</v>
      </c>
    </row>
    <row r="26" spans="1:18" ht="13.5" thickBot="1">
      <c r="A26" s="785"/>
      <c r="B26" s="220" t="s">
        <v>621</v>
      </c>
      <c r="C26" s="230">
        <f>68+894</f>
        <v>962</v>
      </c>
      <c r="D26" s="222"/>
      <c r="E26" s="231"/>
      <c r="F26" s="232">
        <v>6</v>
      </c>
      <c r="G26" s="581" t="s">
        <v>13</v>
      </c>
      <c r="H26" s="237" t="s">
        <v>226</v>
      </c>
      <c r="I26" s="781"/>
      <c r="J26" s="219">
        <f>+'14'!J26</f>
        <v>0</v>
      </c>
      <c r="K26" s="243"/>
      <c r="L26" s="243"/>
      <c r="M26" s="122">
        <f>+K26+'14'!M26+L26</f>
        <v>0</v>
      </c>
    </row>
    <row r="27" spans="1:18" ht="13.5" thickBot="1">
      <c r="A27" s="785"/>
      <c r="B27" s="220"/>
      <c r="C27" s="221"/>
      <c r="D27" s="222"/>
      <c r="E27" s="229"/>
      <c r="F27" s="232"/>
      <c r="G27" s="581"/>
      <c r="H27" s="237" t="s">
        <v>618</v>
      </c>
      <c r="I27" s="781"/>
      <c r="J27" s="219">
        <f>+'14'!J27</f>
        <v>0</v>
      </c>
      <c r="K27" s="243"/>
      <c r="L27" s="243"/>
      <c r="M27" s="122">
        <f>+K27+'14'!M27+L27</f>
        <v>0</v>
      </c>
    </row>
    <row r="28" spans="1:18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+'14'!J28</f>
        <v>0</v>
      </c>
      <c r="K28" s="243"/>
      <c r="L28" s="243"/>
      <c r="M28" s="122">
        <f>+K28+'14'!M28+L28</f>
        <v>0</v>
      </c>
    </row>
    <row r="29" spans="1:18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+'14'!J29</f>
        <v>0</v>
      </c>
      <c r="K29" s="243"/>
      <c r="L29" s="243"/>
      <c r="M29" s="122">
        <f>+K29+'14'!M29+L29</f>
        <v>0</v>
      </c>
    </row>
    <row r="30" spans="1:18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+'14'!J30</f>
        <v>0</v>
      </c>
      <c r="K30" s="243"/>
      <c r="L30" s="243"/>
      <c r="M30" s="122">
        <f>+K30+'14'!M30+L30</f>
        <v>0</v>
      </c>
      <c r="N30" s="160"/>
    </row>
    <row r="31" spans="1:18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+'14'!J31</f>
        <v>0</v>
      </c>
      <c r="K31" s="243"/>
      <c r="L31" s="243"/>
      <c r="M31" s="122">
        <f>+K31+'14'!M31+L31</f>
        <v>0</v>
      </c>
    </row>
    <row r="32" spans="1:18" ht="13.5" thickBot="1">
      <c r="A32" s="786"/>
      <c r="B32" s="170" t="s">
        <v>3</v>
      </c>
      <c r="C32" s="104">
        <f>SUM(C25:C31)</f>
        <v>16724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+'14'!J32</f>
        <v>0</v>
      </c>
      <c r="K32" s="245"/>
      <c r="L32" s="247"/>
      <c r="M32" s="122">
        <f>+K32+'14'!M32+L32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49869</v>
      </c>
      <c r="D34" s="112">
        <f>D14+D23+D32</f>
        <v>330</v>
      </c>
      <c r="E34" s="112">
        <f>E14+E23+E32</f>
        <v>0</v>
      </c>
      <c r="F34" s="113">
        <f>F14+F23+F32</f>
        <v>60</v>
      </c>
      <c r="H34" s="183"/>
      <c r="I34" s="183"/>
      <c r="J34" s="128" t="s">
        <v>29</v>
      </c>
      <c r="K34" s="129">
        <f>SUM(K7:K32)</f>
        <v>49869</v>
      </c>
      <c r="L34" s="217">
        <f>SUM(L7:L32)</f>
        <v>0</v>
      </c>
      <c r="M34" s="125">
        <f>SUM(M7:M32)</f>
        <v>779862</v>
      </c>
      <c r="N34" s="160"/>
    </row>
    <row r="35" spans="1:14" ht="13.5" thickBot="1">
      <c r="A35" s="184"/>
      <c r="B35" s="185"/>
      <c r="C35" s="109">
        <f>C34/($C$34+$D$34+$E$34)</f>
        <v>0.99342616386780613</v>
      </c>
      <c r="D35" s="109">
        <f>D34/($C$34+$D$34+$E$34)</f>
        <v>6.5738361321938683E-3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(30*60+17*770+16*610)/1440*G42*3.4*1440/1000000</f>
        <v>59.021097250000004</v>
      </c>
      <c r="J37" s="130">
        <f>+I37+'14'!J37</f>
        <v>903.55369421262515</v>
      </c>
      <c r="K37" s="131" t="s">
        <v>66</v>
      </c>
      <c r="L37" s="435"/>
      <c r="M37" s="436"/>
      <c r="N37" s="154">
        <f>3.213+1.607</f>
        <v>4.82</v>
      </c>
    </row>
    <row r="38" spans="1:14" ht="17.45" customHeight="1">
      <c r="A38" s="793" t="s">
        <v>13</v>
      </c>
      <c r="B38" s="794"/>
      <c r="C38" s="169">
        <f>SUMIF($G$7:$G$31,"Process",$F$7:$F$31)</f>
        <v>60</v>
      </c>
      <c r="D38" s="123">
        <f>+C38+'14'!D38</f>
        <v>1232</v>
      </c>
      <c r="E38" s="148">
        <f t="shared" ref="E38:E51" si="0">D38/60</f>
        <v>20.533333333333335</v>
      </c>
      <c r="F38" s="375">
        <v>795</v>
      </c>
      <c r="G38" s="375">
        <v>685.07500000000005</v>
      </c>
      <c r="H38" s="192" t="s">
        <v>67</v>
      </c>
      <c r="I38" s="249">
        <f>18.929+18.52+16.486</f>
        <v>53.935000000000002</v>
      </c>
      <c r="J38" s="132">
        <f>+I38+'14'!J38</f>
        <v>815.38100000000009</v>
      </c>
      <c r="K38" s="133" t="s">
        <v>66</v>
      </c>
      <c r="L38" s="437"/>
      <c r="M38" s="438"/>
      <c r="N38" s="160">
        <f>+I38-N37-N39</f>
        <v>28.919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+C39+'14'!D39</f>
        <v>0</v>
      </c>
      <c r="E39" s="148">
        <f t="shared" si="0"/>
        <v>0</v>
      </c>
      <c r="F39" s="375">
        <v>830</v>
      </c>
      <c r="G39" s="375">
        <v>713.8</v>
      </c>
      <c r="H39" s="192" t="s">
        <v>68</v>
      </c>
      <c r="I39" s="147"/>
      <c r="J39" s="134">
        <f>J37/G4</f>
        <v>60.236912947508344</v>
      </c>
      <c r="K39" s="135" t="s">
        <v>66</v>
      </c>
      <c r="L39" s="437"/>
      <c r="M39" s="438"/>
      <c r="N39" s="154">
        <f>16.486+1.855+1.855</f>
        <v>20.196000000000002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+C40+'14'!D40</f>
        <v>0</v>
      </c>
      <c r="E40" s="148">
        <f t="shared" si="0"/>
        <v>0</v>
      </c>
      <c r="F40" s="375">
        <v>830</v>
      </c>
      <c r="G40" s="375">
        <v>713.8</v>
      </c>
      <c r="H40" s="192" t="s">
        <v>70</v>
      </c>
      <c r="I40" s="123">
        <f>(K34+L34)/1000</f>
        <v>49.869</v>
      </c>
      <c r="J40" s="136">
        <f>+I40+'14'!J40</f>
        <v>779.86199999999997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+C41+'14'!D41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51.9908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+C42+'14'!D42</f>
        <v>0</v>
      </c>
      <c r="E42" s="148">
        <f t="shared" si="0"/>
        <v>0</v>
      </c>
      <c r="F42" s="375">
        <f>+(F38*480+F39*480+F40*480)/1440</f>
        <v>818.33333333333337</v>
      </c>
      <c r="G42" s="375">
        <f>+(G38*480+G39*480+G40*480)/1440</f>
        <v>704.22500000000002</v>
      </c>
      <c r="H42" s="192" t="s">
        <v>73</v>
      </c>
      <c r="I42" s="250" t="s">
        <v>620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+C43+'14'!D43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+Report1!AH23</f>
        <v>125.113</v>
      </c>
      <c r="J43" s="138">
        <f>+I43+'14'!J43</f>
        <v>1842.9770000000003</v>
      </c>
      <c r="K43" s="135" t="s">
        <v>66</v>
      </c>
      <c r="L43" s="439">
        <f>+Report1!AN23</f>
        <v>16.8</v>
      </c>
      <c r="M43" s="440">
        <f>+L43+'14'!M43</f>
        <v>169.89999999999998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+C44+'14'!D44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2.3196996384536943</v>
      </c>
      <c r="J44" s="139">
        <f>J43/J38</f>
        <v>2.2602648332497326</v>
      </c>
      <c r="K44" s="135" t="s">
        <v>66</v>
      </c>
      <c r="L44" s="441">
        <f>+L43/I38</f>
        <v>0.31148604802076574</v>
      </c>
      <c r="M44" s="442">
        <f>+M43/J38</f>
        <v>0.20836884842791278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+C45+'14'!D45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2.5088331428342259</v>
      </c>
      <c r="J45" s="139">
        <f>J43/J40</f>
        <v>2.3632091318720496</v>
      </c>
      <c r="K45" s="135" t="s">
        <v>66</v>
      </c>
      <c r="L45" s="441">
        <f>+L43/I40</f>
        <v>0.33688263249714251</v>
      </c>
      <c r="M45" s="442">
        <f>+M43/J40</f>
        <v>0.21785905711523318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+C46+'14'!D46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+SUMIF(Listrik!AC22,"&gt;0")</f>
        <v>35638.800000000825</v>
      </c>
      <c r="J46" s="140">
        <f>+I46+'14'!J46</f>
        <v>478687.08000000077</v>
      </c>
      <c r="K46" s="135" t="s">
        <v>81</v>
      </c>
      <c r="L46" s="441">
        <f>+Listrik!AF22</f>
        <v>25872</v>
      </c>
      <c r="M46" s="443">
        <f>+L46+'14'!M46</f>
        <v>49596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+C47+'14'!D47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660.77315286920964</v>
      </c>
      <c r="J47" s="140">
        <f>J46/J38</f>
        <v>587.07166343096139</v>
      </c>
      <c r="K47" s="135" t="s">
        <v>25</v>
      </c>
      <c r="L47" s="441">
        <f>+L46/I38</f>
        <v>479.68851395197919</v>
      </c>
      <c r="M47" s="442">
        <f>+M46/J38</f>
        <v>60.825552717073364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+C48+'14'!D48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714.64837875234764</v>
      </c>
      <c r="J48" s="140">
        <f>J46/J40</f>
        <v>613.80998176600576</v>
      </c>
      <c r="K48" s="135" t="s">
        <v>25</v>
      </c>
      <c r="L48" s="441">
        <f>+L46/I38</f>
        <v>479.68851395197919</v>
      </c>
      <c r="M48" s="442">
        <f>+M46/J40</f>
        <v>63.595866961077732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+C49+'14'!D49</f>
        <v>1680</v>
      </c>
      <c r="E49" s="148">
        <f t="shared" si="0"/>
        <v>28</v>
      </c>
      <c r="F49" s="190"/>
      <c r="H49" s="193" t="s">
        <v>85</v>
      </c>
      <c r="I49" s="123">
        <f>+Report1!AB23</f>
        <v>0</v>
      </c>
      <c r="J49" s="140">
        <f>+I49+'14'!J49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+C50+'14'!D50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+C51+'14'!D51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60</v>
      </c>
      <c r="D52" s="149">
        <f>SUM(D38:D51)</f>
        <v>2972</v>
      </c>
      <c r="E52" s="150">
        <f>SUM(E38:E51)</f>
        <v>49.533333333333331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4.1666666666666664E-2</v>
      </c>
      <c r="D53" s="151">
        <f>D52/(24*60*G4)</f>
        <v>0.1375925925925926</v>
      </c>
      <c r="E53" s="152">
        <f>E52/(G4*24)</f>
        <v>0.1375925925925926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+D34+'14'!J56</f>
        <v>20205</v>
      </c>
      <c r="K56" s="206">
        <f>J56/(J40+J56/1000)/1000</f>
        <v>2.5254134966196582E-2</v>
      </c>
    </row>
    <row r="57" spans="1:13">
      <c r="A57" s="181"/>
      <c r="I57" s="204" t="s">
        <v>92</v>
      </c>
      <c r="J57" s="205">
        <f>+E34+'14'!J57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20530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R61"/>
  <sheetViews>
    <sheetView view="pageBreakPreview" topLeftCell="A10" zoomScale="80" zoomScaleNormal="75" zoomScaleSheetLayoutView="80" workbookViewId="0">
      <selection activeCell="C23" sqref="C23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14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323+340+373</f>
        <v>1036</v>
      </c>
    </row>
    <row r="7" spans="1:18" ht="13.5" customHeight="1" thickBot="1">
      <c r="A7" s="777" t="s">
        <v>413</v>
      </c>
      <c r="B7" s="220" t="s">
        <v>589</v>
      </c>
      <c r="C7" s="221">
        <v>21489</v>
      </c>
      <c r="D7" s="222"/>
      <c r="E7" s="223"/>
      <c r="F7" s="232"/>
      <c r="G7" s="233" t="s">
        <v>13</v>
      </c>
      <c r="H7" s="234" t="s">
        <v>394</v>
      </c>
      <c r="I7" s="780" t="s">
        <v>608</v>
      </c>
      <c r="J7" s="219" t="str">
        <f>+'13'!J7</f>
        <v>TW 17 RC HW</v>
      </c>
      <c r="K7" s="242"/>
      <c r="L7" s="246"/>
      <c r="M7" s="122">
        <f>+K7+'13'!M7+L7</f>
        <v>44630</v>
      </c>
    </row>
    <row r="8" spans="1:18" ht="13.5" thickBot="1">
      <c r="A8" s="778"/>
      <c r="B8" s="220"/>
      <c r="C8" s="221"/>
      <c r="D8" s="222"/>
      <c r="E8" s="224"/>
      <c r="F8" s="235"/>
      <c r="G8" s="581" t="s">
        <v>13</v>
      </c>
      <c r="H8" s="234" t="s">
        <v>430</v>
      </c>
      <c r="I8" s="781"/>
      <c r="J8" s="219" t="str">
        <f>+'13'!J8</f>
        <v>N 18 RC HW</v>
      </c>
      <c r="K8" s="243"/>
      <c r="L8" s="243"/>
      <c r="M8" s="122">
        <f>+K8+'13'!M8+L8</f>
        <v>105194</v>
      </c>
      <c r="N8" s="154">
        <v>830</v>
      </c>
      <c r="O8" s="154">
        <f>+N8-N8*0.14</f>
        <v>713.8</v>
      </c>
      <c r="P8" s="154">
        <f>480-P9</f>
        <v>445</v>
      </c>
      <c r="Q8" s="154">
        <f>+N8*P8</f>
        <v>369350</v>
      </c>
      <c r="R8" s="154">
        <f>+O8*P8</f>
        <v>317641</v>
      </c>
    </row>
    <row r="9" spans="1:18" ht="13.5" thickBot="1">
      <c r="A9" s="778"/>
      <c r="B9" s="220"/>
      <c r="C9" s="221"/>
      <c r="D9" s="222"/>
      <c r="E9" s="225"/>
      <c r="F9" s="232">
        <v>2</v>
      </c>
      <c r="G9" s="581" t="s">
        <v>13</v>
      </c>
      <c r="H9" s="237" t="s">
        <v>226</v>
      </c>
      <c r="I9" s="781"/>
      <c r="J9" s="219" t="str">
        <f>+'13'!J9</f>
        <v>N 20 RC HW</v>
      </c>
      <c r="K9" s="243"/>
      <c r="L9" s="243"/>
      <c r="M9" s="122">
        <f>+K9+'13'!M9+L9</f>
        <v>71479</v>
      </c>
      <c r="N9" s="154">
        <v>550</v>
      </c>
      <c r="O9" s="154">
        <f>+N9-N9*0.12</f>
        <v>484</v>
      </c>
      <c r="P9" s="154">
        <v>35</v>
      </c>
      <c r="Q9" s="154">
        <f>+N9*P9</f>
        <v>19250</v>
      </c>
      <c r="R9" s="154">
        <f>+O9*P9</f>
        <v>16940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604</v>
      </c>
      <c r="I10" s="781"/>
      <c r="J10" s="219" t="str">
        <f>+'13'!J10</f>
        <v>N 17 RC HW</v>
      </c>
      <c r="K10" s="243"/>
      <c r="L10" s="243"/>
      <c r="M10" s="122">
        <f>+K10+'13'!M10+L10</f>
        <v>5253</v>
      </c>
      <c r="P10" s="154">
        <f>SUM(P8:P9)</f>
        <v>480</v>
      </c>
      <c r="Q10" s="154">
        <f>SUM(Q8:Q9)</f>
        <v>388600</v>
      </c>
      <c r="R10" s="154">
        <f>SUM(R8:R9)</f>
        <v>334581</v>
      </c>
    </row>
    <row r="11" spans="1:18" ht="13.5" thickBot="1">
      <c r="A11" s="778"/>
      <c r="B11" s="220"/>
      <c r="C11" s="221"/>
      <c r="D11" s="222"/>
      <c r="E11" s="224"/>
      <c r="F11" s="232">
        <v>3</v>
      </c>
      <c r="G11" s="236" t="s">
        <v>13</v>
      </c>
      <c r="H11" s="237" t="s">
        <v>606</v>
      </c>
      <c r="I11" s="781"/>
      <c r="J11" s="219" t="str">
        <f>+'13'!J11</f>
        <v>N 18,5 RC HW</v>
      </c>
      <c r="K11" s="243"/>
      <c r="L11" s="243"/>
      <c r="M11" s="122">
        <f>+K11+'13'!M11+L11</f>
        <v>10930</v>
      </c>
      <c r="Q11" s="154">
        <f>+Q10/P10</f>
        <v>809.58333333333337</v>
      </c>
      <c r="R11" s="154">
        <f>+R10/P10</f>
        <v>697.04375000000005</v>
      </c>
    </row>
    <row r="12" spans="1:18" ht="42" customHeight="1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+'13'!J12</f>
        <v>TW 32 RC HW</v>
      </c>
      <c r="K12" s="243"/>
      <c r="L12" s="243"/>
      <c r="M12" s="122">
        <f>+K12+'13'!M12+L12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+'13'!J13</f>
        <v>TW 34 RC HW</v>
      </c>
      <c r="K13" s="243"/>
      <c r="L13" s="243"/>
      <c r="M13" s="122">
        <f>+K13+'13'!M13+L13</f>
        <v>22635</v>
      </c>
    </row>
    <row r="14" spans="1:18" ht="13.5" thickBot="1">
      <c r="A14" s="779"/>
      <c r="B14" s="170" t="s">
        <v>3</v>
      </c>
      <c r="C14" s="104">
        <f>SUM(C7:C13)</f>
        <v>21489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+'13'!J14</f>
        <v>TW 36 RC HW</v>
      </c>
      <c r="K14" s="243"/>
      <c r="L14" s="243"/>
      <c r="M14" s="122">
        <f>+K14+'13'!M14+L14</f>
        <v>33555</v>
      </c>
    </row>
    <row r="15" spans="1:18" ht="13.5" customHeight="1" thickBot="1">
      <c r="A15" s="777" t="s">
        <v>414</v>
      </c>
      <c r="B15" s="170"/>
      <c r="C15" s="118">
        <f>C14/($C$23+$D$23+$E$23)</f>
        <v>0.87753185233583797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609</v>
      </c>
      <c r="J15" s="219" t="str">
        <f>+'13'!J15</f>
        <v>TW 38 RC HW</v>
      </c>
      <c r="K15" s="243"/>
      <c r="L15" s="243"/>
      <c r="M15" s="122">
        <f>+K15+'13'!M15+L15</f>
        <v>50415</v>
      </c>
    </row>
    <row r="16" spans="1:18" ht="13.5" thickBot="1">
      <c r="A16" s="783"/>
      <c r="B16" s="220" t="s">
        <v>589</v>
      </c>
      <c r="C16" s="226">
        <f>1573+1829</f>
        <v>3402</v>
      </c>
      <c r="D16" s="227"/>
      <c r="E16" s="228"/>
      <c r="F16" s="235"/>
      <c r="G16" s="581" t="s">
        <v>13</v>
      </c>
      <c r="H16" s="234" t="s">
        <v>430</v>
      </c>
      <c r="I16" s="781"/>
      <c r="J16" s="219" t="str">
        <f>+'13'!J16</f>
        <v>TW 30 RC HW</v>
      </c>
      <c r="K16" s="243">
        <f>+C17+C25</f>
        <v>45111</v>
      </c>
      <c r="L16" s="233"/>
      <c r="M16" s="122">
        <f>+K16+'13'!M16+L16</f>
        <v>107217</v>
      </c>
    </row>
    <row r="17" spans="1:14" ht="13.5" thickBot="1">
      <c r="A17" s="783"/>
      <c r="B17" s="220" t="s">
        <v>542</v>
      </c>
      <c r="C17" s="221">
        <f>4214+16872</f>
        <v>21086</v>
      </c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+'13'!J17</f>
        <v>TW 28 RC HW</v>
      </c>
      <c r="K17" s="243"/>
      <c r="L17" s="233"/>
      <c r="M17" s="122">
        <f>+K17+'13'!M17+L17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607</v>
      </c>
      <c r="I18" s="781"/>
      <c r="J18" s="219" t="str">
        <f>+'13'!J18</f>
        <v>N 20,5 RC HW</v>
      </c>
      <c r="K18" s="243">
        <f>+C7+C16</f>
        <v>24891</v>
      </c>
      <c r="L18" s="243"/>
      <c r="M18" s="122">
        <f>+K18+'13'!M18+L18</f>
        <v>181023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>
        <f>+'13'!J19</f>
        <v>0</v>
      </c>
      <c r="K19" s="243"/>
      <c r="L19" s="243"/>
      <c r="M19" s="122">
        <f>+K19+'13'!M19+L19</f>
        <v>0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+'13'!J20</f>
        <v>0</v>
      </c>
      <c r="K20" s="243"/>
      <c r="L20" s="244"/>
      <c r="M20" s="122">
        <f>+K20+'13'!M20+L20</f>
        <v>0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+'13'!J21</f>
        <v>0</v>
      </c>
      <c r="K21" s="243"/>
      <c r="L21" s="243"/>
      <c r="M21" s="122">
        <f>+K21+'13'!M21+L21</f>
        <v>0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+'13'!J22</f>
        <v>0</v>
      </c>
      <c r="K22" s="243"/>
      <c r="L22" s="243"/>
      <c r="M22" s="122">
        <f>+K22+'13'!M22+L22</f>
        <v>0</v>
      </c>
    </row>
    <row r="23" spans="1:14" ht="13.5" thickBot="1">
      <c r="A23" s="784"/>
      <c r="B23" s="170" t="s">
        <v>3</v>
      </c>
      <c r="C23" s="105">
        <f>SUM(C16:C22)</f>
        <v>24488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+'13'!J23</f>
        <v>0</v>
      </c>
      <c r="K23" s="243"/>
      <c r="L23" s="243"/>
      <c r="M23" s="122">
        <f>+K23+'13'!M23+L23</f>
        <v>0</v>
      </c>
    </row>
    <row r="24" spans="1:14" ht="13.5" customHeight="1" thickBot="1">
      <c r="A24" s="777" t="s">
        <v>547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609</v>
      </c>
      <c r="J24" s="219">
        <f>+'13'!J24</f>
        <v>0</v>
      </c>
      <c r="K24" s="243"/>
      <c r="L24" s="243"/>
      <c r="M24" s="122">
        <f>+K24+'13'!M24+L24</f>
        <v>0</v>
      </c>
    </row>
    <row r="25" spans="1:14" ht="13.5" thickBot="1">
      <c r="A25" s="785"/>
      <c r="B25" s="220" t="s">
        <v>542</v>
      </c>
      <c r="C25" s="230">
        <v>24025</v>
      </c>
      <c r="D25" s="222">
        <v>290</v>
      </c>
      <c r="E25" s="229"/>
      <c r="F25" s="235">
        <v>2</v>
      </c>
      <c r="G25" s="581" t="s">
        <v>13</v>
      </c>
      <c r="H25" s="234" t="s">
        <v>392</v>
      </c>
      <c r="I25" s="781"/>
      <c r="J25" s="219">
        <f>+'13'!J25</f>
        <v>0</v>
      </c>
      <c r="K25" s="243"/>
      <c r="L25" s="243"/>
      <c r="M25" s="122">
        <f>+K25+'13'!M25+L25</f>
        <v>0</v>
      </c>
    </row>
    <row r="26" spans="1:14" ht="13.5" thickBot="1">
      <c r="A26" s="785"/>
      <c r="B26" s="220"/>
      <c r="C26" s="230"/>
      <c r="D26" s="222"/>
      <c r="E26" s="231"/>
      <c r="F26" s="232">
        <v>3</v>
      </c>
      <c r="G26" s="581" t="s">
        <v>13</v>
      </c>
      <c r="H26" s="237" t="s">
        <v>226</v>
      </c>
      <c r="I26" s="781"/>
      <c r="J26" s="219">
        <f>+'13'!J26</f>
        <v>0</v>
      </c>
      <c r="K26" s="243"/>
      <c r="L26" s="243"/>
      <c r="M26" s="122">
        <f>+K26+'13'!M26+L26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607</v>
      </c>
      <c r="I27" s="781"/>
      <c r="J27" s="219">
        <f>+'13'!J27</f>
        <v>0</v>
      </c>
      <c r="K27" s="243"/>
      <c r="L27" s="243"/>
      <c r="M27" s="122">
        <f>+K27+'13'!M27+L27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+'13'!J28</f>
        <v>0</v>
      </c>
      <c r="K28" s="243"/>
      <c r="L28" s="243"/>
      <c r="M28" s="122">
        <f>+K28+'13'!M28+L28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+'13'!J29</f>
        <v>0</v>
      </c>
      <c r="K29" s="243"/>
      <c r="L29" s="243"/>
      <c r="M29" s="122">
        <f>+K29+'13'!M29+L29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+'13'!J30</f>
        <v>0</v>
      </c>
      <c r="K30" s="243"/>
      <c r="L30" s="243"/>
      <c r="M30" s="122">
        <f>+K30+'13'!M30+L30</f>
        <v>0</v>
      </c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+'13'!J31</f>
        <v>0</v>
      </c>
      <c r="K31" s="243"/>
      <c r="L31" s="243"/>
      <c r="M31" s="122">
        <f>+K31+'13'!M31+L31</f>
        <v>0</v>
      </c>
    </row>
    <row r="32" spans="1:14" ht="13.5" thickBot="1">
      <c r="A32" s="786"/>
      <c r="B32" s="170" t="s">
        <v>3</v>
      </c>
      <c r="C32" s="104">
        <f>SUM(C25:C31)</f>
        <v>24025</v>
      </c>
      <c r="D32" s="105">
        <f>SUM(D25:D31)</f>
        <v>290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+'13'!J32</f>
        <v>0</v>
      </c>
      <c r="K32" s="245"/>
      <c r="L32" s="247"/>
      <c r="M32" s="122">
        <f>+K32+'13'!M32+L32</f>
        <v>0</v>
      </c>
      <c r="N32" s="160"/>
    </row>
    <row r="33" spans="1:14" ht="13.5" thickBot="1">
      <c r="A33" s="178"/>
      <c r="B33" s="179"/>
      <c r="C33" s="108">
        <f>C32/($C$32+$D$32+$E$32)</f>
        <v>0.98807320584001646</v>
      </c>
      <c r="D33" s="109">
        <f>D32/($C$32+$D$32+$E$32)</f>
        <v>1.192679415998355E-2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70002</v>
      </c>
      <c r="D34" s="112">
        <f>D14+D23+D32</f>
        <v>290</v>
      </c>
      <c r="E34" s="112">
        <f>E14+E23+E32</f>
        <v>0</v>
      </c>
      <c r="F34" s="113">
        <f>F14+F23+F32</f>
        <v>15</v>
      </c>
      <c r="H34" s="183"/>
      <c r="I34" s="183"/>
      <c r="J34" s="128" t="s">
        <v>29</v>
      </c>
      <c r="K34" s="129">
        <f>SUM(K7:K32)</f>
        <v>70002</v>
      </c>
      <c r="L34" s="217">
        <f>SUM(L7:L32)</f>
        <v>0</v>
      </c>
      <c r="M34" s="125">
        <f>SUM(M7:M32)</f>
        <v>729993</v>
      </c>
    </row>
    <row r="35" spans="1:14" ht="13.5" thickBot="1">
      <c r="A35" s="184"/>
      <c r="B35" s="185"/>
      <c r="C35" s="109">
        <f>C34/($C$34+$D$34+$E$34)</f>
        <v>0.995874352700165</v>
      </c>
      <c r="D35" s="109">
        <f>D34/($C$34+$D$34+$E$34)</f>
        <v>4.1256472998349742E-3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N36" s="160"/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(20.5*445+30*995)/1440*G42*3.4*1440/1000000</f>
        <v>73.543039886458331</v>
      </c>
      <c r="J37" s="130">
        <f>+I37+'13'!J37</f>
        <v>844.53259696262512</v>
      </c>
      <c r="K37" s="131" t="s">
        <v>66</v>
      </c>
      <c r="L37" s="435"/>
      <c r="M37" s="436"/>
      <c r="N37" s="564">
        <f>+I38-N38</f>
        <v>21.090000000000003</v>
      </c>
    </row>
    <row r="38" spans="1:14" ht="17.45" customHeight="1">
      <c r="A38" s="793" t="s">
        <v>13</v>
      </c>
      <c r="B38" s="794"/>
      <c r="C38" s="169">
        <f>SUMIF($G$7:$G$31,"Process",$F$7:$F$31)</f>
        <v>15</v>
      </c>
      <c r="D38" s="123">
        <f>+C38+'13'!D38</f>
        <v>1172</v>
      </c>
      <c r="E38" s="148">
        <f t="shared" ref="E38:E51" si="0">D38/60</f>
        <v>19.533333333333335</v>
      </c>
      <c r="F38" s="375">
        <v>809.58333333333337</v>
      </c>
      <c r="G38" s="375">
        <v>697.04375000000005</v>
      </c>
      <c r="H38" s="192" t="s">
        <v>67</v>
      </c>
      <c r="I38" s="556">
        <f>21.326+22.019+22.775</f>
        <v>66.12</v>
      </c>
      <c r="J38" s="132">
        <f>+I38+'13'!J38</f>
        <v>761.44600000000003</v>
      </c>
      <c r="K38" s="133" t="s">
        <v>66</v>
      </c>
      <c r="L38" s="437"/>
      <c r="M38" s="438"/>
      <c r="N38" s="564">
        <f>0.236+22.019+22.775</f>
        <v>45.03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+C39+'13'!D39</f>
        <v>0</v>
      </c>
      <c r="E39" s="148">
        <f t="shared" si="0"/>
        <v>0</v>
      </c>
      <c r="F39" s="375">
        <v>550</v>
      </c>
      <c r="G39" s="375">
        <v>484</v>
      </c>
      <c r="H39" s="192" t="s">
        <v>68</v>
      </c>
      <c r="I39" s="147"/>
      <c r="J39" s="134">
        <f>J37/G4</f>
        <v>60.323756925901797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+C40+'13'!D40</f>
        <v>0</v>
      </c>
      <c r="E40" s="148">
        <f t="shared" si="0"/>
        <v>0</v>
      </c>
      <c r="F40" s="375">
        <v>550</v>
      </c>
      <c r="G40" s="375">
        <v>484</v>
      </c>
      <c r="H40" s="192" t="s">
        <v>70</v>
      </c>
      <c r="I40" s="123">
        <f>(K34+L34)/1000</f>
        <v>70.001999999999995</v>
      </c>
      <c r="J40" s="136">
        <f>+I40+'13'!J40</f>
        <v>729.99299999999994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+C41+'13'!D41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52.142357142857136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+C42+'13'!D42</f>
        <v>0</v>
      </c>
      <c r="E42" s="148">
        <f t="shared" si="0"/>
        <v>0</v>
      </c>
      <c r="F42" s="375">
        <f>+(F38*480+F39*480+F40*480)/1440</f>
        <v>636.52777777777783</v>
      </c>
      <c r="G42" s="375">
        <f>+(G38*480+G39*480+G40*480)/1440</f>
        <v>555.01458333333335</v>
      </c>
      <c r="H42" s="192" t="s">
        <v>73</v>
      </c>
      <c r="I42" s="250" t="s">
        <v>610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+C43+'13'!D43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+Report1!AH22</f>
        <v>142.46299999999999</v>
      </c>
      <c r="J43" s="138">
        <f>+I43+'13'!J43</f>
        <v>1717.8640000000003</v>
      </c>
      <c r="K43" s="135" t="s">
        <v>66</v>
      </c>
      <c r="L43" s="439">
        <f>+Report1!AN22</f>
        <v>16.600000000000001</v>
      </c>
      <c r="M43" s="440">
        <f>+L43+'13'!M43</f>
        <v>153.09999999999997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+C44+'13'!D44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2.1546128251663639</v>
      </c>
      <c r="J44" s="139">
        <f>J43/J38</f>
        <v>2.256054927072964</v>
      </c>
      <c r="K44" s="135" t="s">
        <v>66</v>
      </c>
      <c r="L44" s="441">
        <f>+L43/I38</f>
        <v>0.25105868118572294</v>
      </c>
      <c r="M44" s="442">
        <f>+M43/J38</f>
        <v>0.20106481615242572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+C45+'13'!D45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2.0351275677837775</v>
      </c>
      <c r="J45" s="139">
        <f>J43/J40</f>
        <v>2.3532609216800715</v>
      </c>
      <c r="K45" s="135" t="s">
        <v>66</v>
      </c>
      <c r="L45" s="441">
        <f>+L43/I40</f>
        <v>0.23713608182623358</v>
      </c>
      <c r="M45" s="442">
        <f>+M43/J40</f>
        <v>0.20972803848804028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+C46+'13'!D46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+SUMIF(Listrik!AC21,"&gt;0")</f>
        <v>33745.599999999846</v>
      </c>
      <c r="J46" s="140">
        <f>+I46+'13'!J46</f>
        <v>443048.27999999997</v>
      </c>
      <c r="K46" s="135" t="s">
        <v>81</v>
      </c>
      <c r="L46" s="441">
        <f>+Listrik!AF21</f>
        <v>7360</v>
      </c>
      <c r="M46" s="443">
        <f>+L46+'13'!M46</f>
        <v>23724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+C47+'13'!D47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510.36902601330678</v>
      </c>
      <c r="J47" s="140">
        <f>J46/J38</f>
        <v>581.85121466262865</v>
      </c>
      <c r="K47" s="135" t="s">
        <v>25</v>
      </c>
      <c r="L47" s="441">
        <f>+L46/I38</f>
        <v>111.31276467029642</v>
      </c>
      <c r="M47" s="442">
        <f>+M46/J38</f>
        <v>31.156510113652182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+C48+'13'!D48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482.06622667923557</v>
      </c>
      <c r="J48" s="140">
        <f>J46/J40</f>
        <v>606.92127184781225</v>
      </c>
      <c r="K48" s="135" t="s">
        <v>25</v>
      </c>
      <c r="L48" s="441">
        <f>+L46/I38</f>
        <v>111.31276467029642</v>
      </c>
      <c r="M48" s="442">
        <f>+M46/J40</f>
        <v>32.498941770674513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+C49+'13'!D49</f>
        <v>1680</v>
      </c>
      <c r="E49" s="148">
        <f t="shared" si="0"/>
        <v>28</v>
      </c>
      <c r="F49" s="190"/>
      <c r="H49" s="193" t="s">
        <v>85</v>
      </c>
      <c r="I49" s="123">
        <f>+Report1!AB22</f>
        <v>0</v>
      </c>
      <c r="J49" s="140">
        <f>+I49+'13'!J49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+C50+'13'!D50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+C51+'13'!D51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15</v>
      </c>
      <c r="D52" s="149">
        <f>SUM(D38:D51)</f>
        <v>2912</v>
      </c>
      <c r="E52" s="150">
        <f>SUM(E38:E51)</f>
        <v>48.533333333333331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1.0416666666666666E-2</v>
      </c>
      <c r="D53" s="151">
        <f>D52/(24*60*G4)</f>
        <v>0.14444444444444443</v>
      </c>
      <c r="E53" s="152">
        <f>E52/(G4*24)</f>
        <v>0.14444444444444443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+D34+'13'!J56</f>
        <v>19875</v>
      </c>
      <c r="K56" s="206">
        <f>J56/(J40+J56/1000)/1000</f>
        <v>2.6504664821008501E-2</v>
      </c>
    </row>
    <row r="57" spans="1:13">
      <c r="A57" s="181"/>
      <c r="I57" s="204" t="s">
        <v>92</v>
      </c>
      <c r="J57" s="205">
        <f>+E34+'13'!J57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20200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P61"/>
  <sheetViews>
    <sheetView view="pageBreakPreview" zoomScale="85" zoomScaleNormal="70" zoomScaleSheetLayoutView="85" workbookViewId="0">
      <selection activeCell="A15" sqref="A15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13</v>
      </c>
      <c r="H4" s="159" t="str">
        <f>+'1'!H4</f>
        <v>.10.25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299+303+328</f>
        <v>930</v>
      </c>
    </row>
    <row r="7" spans="1:16" ht="13.5" customHeight="1" thickBot="1">
      <c r="A7" s="777" t="s">
        <v>412</v>
      </c>
      <c r="B7" s="220" t="s">
        <v>589</v>
      </c>
      <c r="C7" s="221">
        <v>18162</v>
      </c>
      <c r="D7" s="222"/>
      <c r="E7" s="223"/>
      <c r="F7" s="232"/>
      <c r="G7" s="233" t="s">
        <v>13</v>
      </c>
      <c r="H7" s="234" t="s">
        <v>394</v>
      </c>
      <c r="I7" s="780" t="s">
        <v>446</v>
      </c>
      <c r="J7" s="219" t="str">
        <f>+'12'!J7</f>
        <v>TW 17 RC HW</v>
      </c>
      <c r="K7" s="242"/>
      <c r="L7" s="246"/>
      <c r="M7" s="122">
        <f>+K7+'12'!M7+L7</f>
        <v>44630</v>
      </c>
    </row>
    <row r="8" spans="1:16" ht="13.5" thickBot="1">
      <c r="A8" s="778"/>
      <c r="B8" s="220"/>
      <c r="C8" s="221"/>
      <c r="D8" s="222"/>
      <c r="E8" s="224"/>
      <c r="F8" s="235">
        <v>5</v>
      </c>
      <c r="G8" s="581" t="s">
        <v>13</v>
      </c>
      <c r="H8" s="234" t="s">
        <v>392</v>
      </c>
      <c r="I8" s="781"/>
      <c r="J8" s="219" t="str">
        <f>+'12'!J8</f>
        <v>N 18 RC HW</v>
      </c>
      <c r="K8" s="243"/>
      <c r="L8" s="243"/>
      <c r="M8" s="122">
        <f>+K8+'12'!M8+L8</f>
        <v>105194</v>
      </c>
    </row>
    <row r="9" spans="1:16" ht="13.5" thickBot="1">
      <c r="A9" s="778"/>
      <c r="B9" s="220"/>
      <c r="C9" s="221"/>
      <c r="D9" s="222"/>
      <c r="E9" s="225"/>
      <c r="F9" s="232">
        <v>10</v>
      </c>
      <c r="G9" s="581" t="s">
        <v>13</v>
      </c>
      <c r="H9" s="237" t="s">
        <v>226</v>
      </c>
      <c r="I9" s="781"/>
      <c r="J9" s="219" t="str">
        <f>+'12'!J9</f>
        <v>N 20 RC HW</v>
      </c>
      <c r="K9" s="243"/>
      <c r="L9" s="243"/>
      <c r="M9" s="122">
        <f>+K9+'12'!M9+L9</f>
        <v>71479</v>
      </c>
      <c r="N9" s="154">
        <v>830</v>
      </c>
      <c r="O9" s="154">
        <f>+N9-N9*0.14</f>
        <v>713.8</v>
      </c>
      <c r="P9" s="154">
        <f>480-45</f>
        <v>435</v>
      </c>
    </row>
    <row r="10" spans="1:16" ht="13.5" thickBot="1">
      <c r="A10" s="778"/>
      <c r="B10" s="220"/>
      <c r="C10" s="221"/>
      <c r="D10" s="222"/>
      <c r="E10" s="224"/>
      <c r="F10" s="232"/>
      <c r="G10" s="581"/>
      <c r="H10" s="237" t="s">
        <v>604</v>
      </c>
      <c r="I10" s="781"/>
      <c r="J10" s="219" t="str">
        <f>+'12'!J10</f>
        <v>N 17 RC HW</v>
      </c>
      <c r="K10" s="243"/>
      <c r="L10" s="243"/>
      <c r="M10" s="122">
        <f>+K10+'12'!M10+L10</f>
        <v>5253</v>
      </c>
      <c r="N10" s="154">
        <v>830</v>
      </c>
      <c r="O10" s="154">
        <f>+N10-N10*0.14</f>
        <v>713.8</v>
      </c>
      <c r="P10" s="154">
        <f>480-70</f>
        <v>410</v>
      </c>
    </row>
    <row r="11" spans="1:16" ht="13.5" thickBot="1">
      <c r="A11" s="778"/>
      <c r="B11" s="220"/>
      <c r="C11" s="221"/>
      <c r="D11" s="222"/>
      <c r="E11" s="224"/>
      <c r="F11" s="232">
        <v>45</v>
      </c>
      <c r="G11" s="236" t="s">
        <v>71</v>
      </c>
      <c r="H11" s="237" t="s">
        <v>601</v>
      </c>
      <c r="I11" s="781"/>
      <c r="J11" s="219" t="str">
        <f>+'12'!J11</f>
        <v>N 18,5 RC HW</v>
      </c>
      <c r="K11" s="243"/>
      <c r="L11" s="243"/>
      <c r="M11" s="122">
        <f>+K11+'12'!M11+L11</f>
        <v>10930</v>
      </c>
      <c r="N11" s="154">
        <v>830</v>
      </c>
      <c r="O11" s="154">
        <f>+N11-N11*0.14</f>
        <v>713.8</v>
      </c>
      <c r="P11" s="154">
        <v>480</v>
      </c>
    </row>
    <row r="12" spans="1:16" ht="13.5" thickBot="1">
      <c r="A12" s="778"/>
      <c r="B12" s="220"/>
      <c r="C12" s="221"/>
      <c r="D12" s="222"/>
      <c r="E12" s="224"/>
      <c r="F12" s="232"/>
      <c r="G12" s="236"/>
      <c r="H12" s="237" t="s">
        <v>599</v>
      </c>
      <c r="I12" s="781"/>
      <c r="J12" s="219" t="str">
        <f>+'12'!J12</f>
        <v>TW 32 RC HW</v>
      </c>
      <c r="K12" s="243"/>
      <c r="L12" s="243"/>
      <c r="M12" s="122">
        <f>+K12+'12'!M12+L12</f>
        <v>75522</v>
      </c>
      <c r="P12" s="154">
        <f>SUM(P9:P11)</f>
        <v>1325</v>
      </c>
    </row>
    <row r="13" spans="1:16" ht="13.5" thickBot="1">
      <c r="A13" s="778"/>
      <c r="B13" s="220"/>
      <c r="C13" s="221"/>
      <c r="D13" s="221"/>
      <c r="E13" s="224"/>
      <c r="F13" s="232"/>
      <c r="G13" s="236"/>
      <c r="H13" s="237" t="s">
        <v>600</v>
      </c>
      <c r="I13" s="782"/>
      <c r="J13" s="219" t="str">
        <f>+'12'!J13</f>
        <v>TW 34 RC HW</v>
      </c>
      <c r="K13" s="243"/>
      <c r="L13" s="243"/>
      <c r="M13" s="122">
        <f>+K13+'12'!M13+L13</f>
        <v>22635</v>
      </c>
    </row>
    <row r="14" spans="1:16" ht="13.5" thickBot="1">
      <c r="A14" s="779"/>
      <c r="B14" s="170" t="s">
        <v>3</v>
      </c>
      <c r="C14" s="104">
        <f>SUM(C7:C13)</f>
        <v>18162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+'12'!J14</f>
        <v>TW 36 RC HW</v>
      </c>
      <c r="K14" s="243"/>
      <c r="L14" s="243"/>
      <c r="M14" s="122">
        <f>+K14+'12'!M14+L14</f>
        <v>33555</v>
      </c>
    </row>
    <row r="15" spans="1:16" ht="13.5" customHeight="1" thickBot="1">
      <c r="A15" s="777" t="s">
        <v>414</v>
      </c>
      <c r="B15" s="170"/>
      <c r="C15" s="118">
        <f>C14/($C$23+$D$23+$E$23)</f>
        <v>0.9170411512244383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446</v>
      </c>
      <c r="J15" s="219" t="str">
        <f>+'12'!J15</f>
        <v>TW 38 RC HW</v>
      </c>
      <c r="K15" s="243"/>
      <c r="L15" s="243"/>
      <c r="M15" s="122">
        <f>+K15+'12'!M15+L15</f>
        <v>50415</v>
      </c>
    </row>
    <row r="16" spans="1:16" ht="13.5" thickBot="1">
      <c r="A16" s="783"/>
      <c r="B16" s="220" t="s">
        <v>589</v>
      </c>
      <c r="C16" s="226">
        <v>19805</v>
      </c>
      <c r="D16" s="227"/>
      <c r="E16" s="228"/>
      <c r="F16" s="235">
        <v>10</v>
      </c>
      <c r="G16" s="581" t="s">
        <v>13</v>
      </c>
      <c r="H16" s="234" t="s">
        <v>392</v>
      </c>
      <c r="I16" s="781"/>
      <c r="J16" s="219" t="str">
        <f>+'12'!J16</f>
        <v>TW 30 RC HW</v>
      </c>
      <c r="K16" s="243"/>
      <c r="L16" s="233"/>
      <c r="M16" s="122">
        <f>+K16+'12'!M16+L16</f>
        <v>62106</v>
      </c>
    </row>
    <row r="17" spans="1:14" ht="13.5" thickBot="1">
      <c r="A17" s="783"/>
      <c r="B17" s="220"/>
      <c r="C17" s="221"/>
      <c r="D17" s="222"/>
      <c r="E17" s="229"/>
      <c r="F17" s="232">
        <v>8</v>
      </c>
      <c r="G17" s="581" t="s">
        <v>13</v>
      </c>
      <c r="H17" s="237" t="s">
        <v>226</v>
      </c>
      <c r="I17" s="781"/>
      <c r="J17" s="219" t="str">
        <f>+'12'!J17</f>
        <v>TW 28 RC HW</v>
      </c>
      <c r="K17" s="243"/>
      <c r="L17" s="233"/>
      <c r="M17" s="122">
        <f>+K17+'12'!M17+L17</f>
        <v>22140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604</v>
      </c>
      <c r="I18" s="781"/>
      <c r="J18" s="219" t="str">
        <f>+'12'!J18</f>
        <v>N 20,5 RC HW</v>
      </c>
      <c r="K18" s="243">
        <f>+C34</f>
        <v>54646</v>
      </c>
      <c r="L18" s="243"/>
      <c r="M18" s="122">
        <f>+K18+'12'!M18+L18</f>
        <v>156132</v>
      </c>
    </row>
    <row r="19" spans="1:14" ht="13.5" thickBot="1">
      <c r="A19" s="783"/>
      <c r="B19" s="220"/>
      <c r="C19" s="221"/>
      <c r="D19" s="222"/>
      <c r="E19" s="229"/>
      <c r="F19" s="239">
        <v>70</v>
      </c>
      <c r="G19" s="236" t="s">
        <v>13</v>
      </c>
      <c r="H19" s="237" t="s">
        <v>602</v>
      </c>
      <c r="I19" s="781"/>
      <c r="J19" s="219">
        <f>+'12'!J19</f>
        <v>0</v>
      </c>
      <c r="K19" s="243"/>
      <c r="L19" s="243"/>
      <c r="M19" s="122">
        <f>+K19+'12'!M19+L19</f>
        <v>0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 t="s">
        <v>603</v>
      </c>
      <c r="I20" s="781"/>
      <c r="J20" s="219">
        <f>+'12'!J20</f>
        <v>0</v>
      </c>
      <c r="K20" s="243"/>
      <c r="L20" s="244"/>
      <c r="M20" s="122">
        <f>+K20+'12'!M20+L20</f>
        <v>0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+'12'!J21</f>
        <v>0</v>
      </c>
      <c r="K21" s="243"/>
      <c r="L21" s="243"/>
      <c r="M21" s="122">
        <f>+K21+'12'!M21+L21</f>
        <v>0</v>
      </c>
    </row>
    <row r="22" spans="1:14" ht="16.5" customHeight="1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+'12'!J22</f>
        <v>0</v>
      </c>
      <c r="K22" s="243"/>
      <c r="L22" s="243"/>
      <c r="M22" s="122">
        <f>+K22+'12'!M22+L22</f>
        <v>0</v>
      </c>
    </row>
    <row r="23" spans="1:14" ht="13.5" thickBot="1">
      <c r="A23" s="784"/>
      <c r="B23" s="170" t="s">
        <v>3</v>
      </c>
      <c r="C23" s="105">
        <f>SUM(C16:C22)</f>
        <v>19805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+'12'!J23</f>
        <v>0</v>
      </c>
      <c r="K23" s="243"/>
      <c r="L23" s="243"/>
      <c r="M23" s="122">
        <f>+K23+'12'!M23+L23</f>
        <v>0</v>
      </c>
    </row>
    <row r="24" spans="1:14" ht="13.5" customHeight="1" thickBot="1">
      <c r="A24" s="777" t="s">
        <v>547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>
        <v>4</v>
      </c>
      <c r="G24" s="233" t="s">
        <v>13</v>
      </c>
      <c r="H24" s="234" t="s">
        <v>452</v>
      </c>
      <c r="I24" s="780" t="s">
        <v>446</v>
      </c>
      <c r="J24" s="219">
        <f>+'12'!J24</f>
        <v>0</v>
      </c>
      <c r="K24" s="243"/>
      <c r="L24" s="243"/>
      <c r="M24" s="122">
        <f>+K24+'12'!M24+L24</f>
        <v>0</v>
      </c>
    </row>
    <row r="25" spans="1:14" ht="13.5" thickBot="1">
      <c r="A25" s="785"/>
      <c r="B25" s="220" t="s">
        <v>589</v>
      </c>
      <c r="C25" s="230">
        <v>16679</v>
      </c>
      <c r="D25" s="222">
        <v>220</v>
      </c>
      <c r="E25" s="229"/>
      <c r="F25" s="235">
        <v>6</v>
      </c>
      <c r="G25" s="581" t="s">
        <v>13</v>
      </c>
      <c r="H25" s="234" t="s">
        <v>392</v>
      </c>
      <c r="I25" s="781"/>
      <c r="J25" s="219">
        <f>+'12'!J25</f>
        <v>0</v>
      </c>
      <c r="K25" s="243"/>
      <c r="L25" s="243"/>
      <c r="M25" s="122">
        <f>+K25+'12'!M25+L25</f>
        <v>0</v>
      </c>
    </row>
    <row r="26" spans="1:14" ht="13.5" thickBot="1">
      <c r="A26" s="785"/>
      <c r="B26" s="220"/>
      <c r="C26" s="230"/>
      <c r="D26" s="222"/>
      <c r="E26" s="231"/>
      <c r="F26" s="232">
        <v>10</v>
      </c>
      <c r="G26" s="581" t="s">
        <v>13</v>
      </c>
      <c r="H26" s="237" t="s">
        <v>226</v>
      </c>
      <c r="I26" s="781"/>
      <c r="J26" s="219">
        <f>+'12'!J26</f>
        <v>0</v>
      </c>
      <c r="K26" s="243"/>
      <c r="L26" s="243"/>
      <c r="M26" s="122">
        <f>+K26+'12'!M26+L26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604</v>
      </c>
      <c r="I27" s="781"/>
      <c r="J27" s="219">
        <f>+'12'!J27</f>
        <v>0</v>
      </c>
      <c r="K27" s="243"/>
      <c r="L27" s="243"/>
      <c r="M27" s="122">
        <f>+K27+'12'!M27+L27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+'12'!J28</f>
        <v>0</v>
      </c>
      <c r="K28" s="243"/>
      <c r="L28" s="243"/>
      <c r="M28" s="122">
        <f>+K28+'12'!M28+L28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+'12'!J29</f>
        <v>0</v>
      </c>
      <c r="K29" s="243"/>
      <c r="L29" s="243"/>
      <c r="M29" s="122">
        <f>+K29+'12'!M29+L29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+'12'!J30</f>
        <v>0</v>
      </c>
      <c r="K30" s="243"/>
      <c r="L30" s="243"/>
      <c r="M30" s="122">
        <f>+K30+'12'!M30+L30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+'12'!J31</f>
        <v>0</v>
      </c>
      <c r="K31" s="243"/>
      <c r="L31" s="243"/>
      <c r="M31" s="122">
        <f>+K31+'12'!M31+L31</f>
        <v>0</v>
      </c>
    </row>
    <row r="32" spans="1:14" ht="13.5" thickBot="1">
      <c r="A32" s="786"/>
      <c r="B32" s="170" t="s">
        <v>3</v>
      </c>
      <c r="C32" s="104">
        <f>SUM(C25:C31)</f>
        <v>16679</v>
      </c>
      <c r="D32" s="105">
        <f>SUM(D25:D31)</f>
        <v>220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+'12'!J32</f>
        <v>0</v>
      </c>
      <c r="K32" s="245"/>
      <c r="L32" s="247"/>
      <c r="M32" s="122">
        <f>+K32+'12'!M32+L32</f>
        <v>0</v>
      </c>
    </row>
    <row r="33" spans="1:15" ht="13.5" thickBot="1">
      <c r="A33" s="178"/>
      <c r="B33" s="179"/>
      <c r="C33" s="108">
        <f>C32/($C$32+$D$32+$E$32)</f>
        <v>0.98698147819397597</v>
      </c>
      <c r="D33" s="109">
        <f>D32/($C$32+$D$32+$E$32)</f>
        <v>1.3018521806024025E-2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87" t="s">
        <v>60</v>
      </c>
      <c r="B34" s="788"/>
      <c r="C34" s="112">
        <f>C14+C23+C32</f>
        <v>54646</v>
      </c>
      <c r="D34" s="112">
        <f>D14+D23+D32</f>
        <v>220</v>
      </c>
      <c r="E34" s="112">
        <f>E14+E23+E32</f>
        <v>0</v>
      </c>
      <c r="F34" s="113">
        <f>F14+F23+F32</f>
        <v>20</v>
      </c>
      <c r="H34" s="183"/>
      <c r="I34" s="183"/>
      <c r="J34" s="128" t="s">
        <v>29</v>
      </c>
      <c r="K34" s="129">
        <f>SUM(K7:K32)</f>
        <v>54646</v>
      </c>
      <c r="L34" s="217">
        <f>SUM(L7:L32)</f>
        <v>0</v>
      </c>
      <c r="M34" s="125">
        <f>SUM(M7:M32)</f>
        <v>659991</v>
      </c>
      <c r="N34" s="160"/>
    </row>
    <row r="35" spans="1:15" ht="13.5" thickBot="1">
      <c r="A35" s="184"/>
      <c r="B35" s="185"/>
      <c r="C35" s="109">
        <f>C34/($C$34+$D$34+$E$34)</f>
        <v>0.99599023074399451</v>
      </c>
      <c r="D35" s="109">
        <f>D34/($C$34+$D$34+$E$34)</f>
        <v>4.0097692560055404E-3</v>
      </c>
      <c r="E35" s="114">
        <f>E34/($C$34+$D$34+$E$34)</f>
        <v>0</v>
      </c>
      <c r="K35" s="160"/>
      <c r="L35" s="776" t="s">
        <v>186</v>
      </c>
      <c r="M35" s="776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(20.5*1325)/1325*G42*3.4*1325/1000000</f>
        <v>65.921214500000005</v>
      </c>
      <c r="J37" s="130">
        <f>+I37+'12'!J37</f>
        <v>770.98955707616676</v>
      </c>
      <c r="K37" s="131" t="s">
        <v>66</v>
      </c>
      <c r="L37" s="435"/>
      <c r="M37" s="436"/>
      <c r="O37" s="563"/>
    </row>
    <row r="38" spans="1:15" ht="17.45" customHeight="1">
      <c r="A38" s="793" t="s">
        <v>13</v>
      </c>
      <c r="B38" s="794"/>
      <c r="C38" s="169">
        <f>SUMIF($G$7:$G$31,"Process",$F$7:$F$31)</f>
        <v>123</v>
      </c>
      <c r="D38" s="123">
        <f>+C38+'12'!D38</f>
        <v>1157</v>
      </c>
      <c r="E38" s="148">
        <f t="shared" ref="E38:E51" si="0">D38/60</f>
        <v>19.283333333333335</v>
      </c>
      <c r="F38" s="375">
        <v>830</v>
      </c>
      <c r="G38" s="375">
        <f>+F38-F38*0.14</f>
        <v>713.8</v>
      </c>
      <c r="H38" s="192" t="s">
        <v>67</v>
      </c>
      <c r="I38" s="556">
        <f>21.221+17.259+19.846</f>
        <v>58.326000000000008</v>
      </c>
      <c r="J38" s="132">
        <f>+I38+'12'!J38</f>
        <v>695.32600000000002</v>
      </c>
      <c r="K38" s="133" t="s">
        <v>66</v>
      </c>
      <c r="L38" s="437"/>
      <c r="M38" s="438"/>
    </row>
    <row r="39" spans="1:15" ht="17.45" customHeight="1">
      <c r="A39" s="789" t="s">
        <v>14</v>
      </c>
      <c r="B39" s="790"/>
      <c r="C39" s="169">
        <f>SUMIF($G$7:$G$31,"Cleaning",$F$7:$F$31)</f>
        <v>0</v>
      </c>
      <c r="D39" s="123">
        <f>+C39+'12'!D39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59.306889005858984</v>
      </c>
      <c r="K39" s="135" t="s">
        <v>66</v>
      </c>
      <c r="L39" s="437"/>
      <c r="M39" s="438"/>
    </row>
    <row r="40" spans="1:15" ht="17.45" customHeight="1">
      <c r="A40" s="789" t="s">
        <v>69</v>
      </c>
      <c r="B40" s="790"/>
      <c r="C40" s="169">
        <f>SUMIF($G$7:$G$31,"Mechanical",$F$7:$F$31)</f>
        <v>0</v>
      </c>
      <c r="D40" s="123">
        <f>+C40+'12'!D40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54.646000000000001</v>
      </c>
      <c r="J40" s="136">
        <f>+I40+'12'!J40</f>
        <v>659.99099999999999</v>
      </c>
      <c r="K40" s="135" t="s">
        <v>66</v>
      </c>
      <c r="L40" s="437"/>
      <c r="M40" s="438"/>
    </row>
    <row r="41" spans="1:15" ht="17.45" customHeight="1">
      <c r="A41" s="789" t="s">
        <v>71</v>
      </c>
      <c r="B41" s="790"/>
      <c r="C41" s="169">
        <f>SUMIF($G$7:$G$31,"Electrical",$F$7:$F$31)</f>
        <v>45</v>
      </c>
      <c r="D41" s="123">
        <f>+C41+'12'!D41</f>
        <v>60</v>
      </c>
      <c r="E41" s="148">
        <f t="shared" si="0"/>
        <v>1</v>
      </c>
      <c r="F41" s="375"/>
      <c r="G41" s="375"/>
      <c r="H41" s="192" t="s">
        <v>72</v>
      </c>
      <c r="I41" s="147"/>
      <c r="J41" s="134">
        <f>J40/G4</f>
        <v>50.768538461538462</v>
      </c>
      <c r="K41" s="135" t="s">
        <v>66</v>
      </c>
      <c r="L41" s="437"/>
      <c r="M41" s="438"/>
    </row>
    <row r="42" spans="1:15" ht="17.45" customHeight="1">
      <c r="A42" s="789" t="s">
        <v>17</v>
      </c>
      <c r="B42" s="790"/>
      <c r="C42" s="169">
        <f>SUMIF($G$7:$G$31,"Instrument",$F$7:$F$31)</f>
        <v>0</v>
      </c>
      <c r="D42" s="123">
        <f>+C42+'12'!D42</f>
        <v>0</v>
      </c>
      <c r="E42" s="148">
        <f t="shared" si="0"/>
        <v>0</v>
      </c>
      <c r="F42" s="375">
        <f>+(F38*435+F39*410+F40*480)/1325</f>
        <v>830</v>
      </c>
      <c r="G42" s="375">
        <f>+(G38*435+G39*410+G40*480)/1325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5" ht="17.45" customHeight="1">
      <c r="A43" s="789" t="s">
        <v>75</v>
      </c>
      <c r="B43" s="790"/>
      <c r="C43" s="169">
        <f>SUMIF($G$7:$G$31,"Water",$F$7:$F$31)</f>
        <v>0</v>
      </c>
      <c r="D43" s="123">
        <f>+C43+'12'!D43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+Report1!AH21</f>
        <v>135.66200000000001</v>
      </c>
      <c r="J43" s="138">
        <f>+I43+'12'!J43</f>
        <v>1575.4010000000003</v>
      </c>
      <c r="K43" s="135" t="s">
        <v>66</v>
      </c>
      <c r="L43" s="439">
        <f>+Report1!AN21</f>
        <v>10.199999999999999</v>
      </c>
      <c r="M43" s="440">
        <f>+L43+'12'!M43</f>
        <v>136.49999999999997</v>
      </c>
    </row>
    <row r="44" spans="1:15" ht="17.45" customHeight="1">
      <c r="A44" s="789" t="s">
        <v>18</v>
      </c>
      <c r="B44" s="790"/>
      <c r="C44" s="169">
        <f>SUMIF($G$7:$G$31,"PLN",$F$7:$F$31)</f>
        <v>0</v>
      </c>
      <c r="D44" s="123">
        <f>+C44+'12'!D44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2.3259266879264819</v>
      </c>
      <c r="J44" s="139">
        <f>J43/J38</f>
        <v>2.2657012681821191</v>
      </c>
      <c r="K44" s="135" t="s">
        <v>66</v>
      </c>
      <c r="L44" s="441">
        <f>+L43/I38</f>
        <v>0.17487912766176317</v>
      </c>
      <c r="M44" s="442">
        <f>+M43/J38</f>
        <v>0.19631079522411066</v>
      </c>
    </row>
    <row r="45" spans="1:15" ht="17.45" customHeight="1">
      <c r="A45" s="789" t="s">
        <v>19</v>
      </c>
      <c r="B45" s="790"/>
      <c r="C45" s="169">
        <f>SUMIF($G$7:$G$31,"Boiler",$F$7:$F$31)</f>
        <v>0</v>
      </c>
      <c r="D45" s="123">
        <f>+C45+'12'!D45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2.4825604801815322</v>
      </c>
      <c r="J45" s="139">
        <f>J43/J40</f>
        <v>2.3870037621725149</v>
      </c>
      <c r="K45" s="135" t="s">
        <v>66</v>
      </c>
      <c r="L45" s="441">
        <f>+L43/I40</f>
        <v>0.18665593090070634</v>
      </c>
      <c r="M45" s="442">
        <f>+M43/J40</f>
        <v>0.2068210021045741</v>
      </c>
    </row>
    <row r="46" spans="1:15" ht="17.45" customHeight="1">
      <c r="A46" s="789" t="s">
        <v>79</v>
      </c>
      <c r="B46" s="790"/>
      <c r="C46" s="169">
        <f>SUMIF($G$7:$G$31,"Gas",$F$7:$F$31)</f>
        <v>0</v>
      </c>
      <c r="D46" s="123">
        <f>+C46+'12'!D46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+SUMIF(Listrik!AC20,"&gt;0")</f>
        <v>32518.41000000068</v>
      </c>
      <c r="J46" s="140">
        <f>+I46+'12'!J46</f>
        <v>409302.68000000011</v>
      </c>
      <c r="K46" s="135" t="s">
        <v>81</v>
      </c>
      <c r="L46" s="441">
        <f>+Listrik!AF20</f>
        <v>1347</v>
      </c>
      <c r="M46" s="443">
        <f>+L46+'12'!M46</f>
        <v>16364</v>
      </c>
    </row>
    <row r="47" spans="1:15" ht="17.45" customHeight="1">
      <c r="A47" s="789" t="s">
        <v>82</v>
      </c>
      <c r="B47" s="790"/>
      <c r="C47" s="169">
        <f>SUMIF($G$7:$G$31,"Gas",$F$7:$F$31)</f>
        <v>0</v>
      </c>
      <c r="D47" s="123">
        <f>+C47+'12'!D47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557.52854644585045</v>
      </c>
      <c r="J47" s="140">
        <f>J46/J38</f>
        <v>588.6486051147233</v>
      </c>
      <c r="K47" s="135" t="s">
        <v>25</v>
      </c>
      <c r="L47" s="441">
        <f>+L46/I38</f>
        <v>23.094331858862255</v>
      </c>
      <c r="M47" s="442">
        <f>+M46/J38</f>
        <v>23.534284637709504</v>
      </c>
    </row>
    <row r="48" spans="1:15" ht="17.45" customHeight="1">
      <c r="A48" s="789" t="s">
        <v>15</v>
      </c>
      <c r="B48" s="790"/>
      <c r="C48" s="169">
        <f>SUMIF($G$7:$G$31,"Start Up",$F$7:$F$31)</f>
        <v>0</v>
      </c>
      <c r="D48" s="123">
        <f>+C48+'12'!D48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595.07393038832993</v>
      </c>
      <c r="J48" s="140">
        <f>J46/J40</f>
        <v>620.16403253983788</v>
      </c>
      <c r="K48" s="135" t="s">
        <v>25</v>
      </c>
      <c r="L48" s="441">
        <f>+L46/I38</f>
        <v>23.094331858862255</v>
      </c>
      <c r="M48" s="442">
        <f>+M46/J40</f>
        <v>24.794277497723453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+C49+'12'!D49</f>
        <v>1680</v>
      </c>
      <c r="E49" s="148">
        <f t="shared" si="0"/>
        <v>28</v>
      </c>
      <c r="F49" s="190"/>
      <c r="H49" s="193" t="s">
        <v>85</v>
      </c>
      <c r="I49" s="123">
        <f>+Report1!AB21</f>
        <v>0</v>
      </c>
      <c r="J49" s="140">
        <f>+I49+'12'!J49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+C50+'12'!D50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+C51+'12'!D51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168</v>
      </c>
      <c r="D52" s="149">
        <f>SUM(D38:D51)</f>
        <v>2897</v>
      </c>
      <c r="E52" s="150">
        <f>SUM(E38:E51)</f>
        <v>48.283333333333331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0.11666666666666667</v>
      </c>
      <c r="D53" s="151">
        <f>D52/(24*60*G4)</f>
        <v>0.15475427350427351</v>
      </c>
      <c r="E53" s="152">
        <f>E52/(G4*24)</f>
        <v>0.15475427350427351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+D34+'12'!J56</f>
        <v>19585</v>
      </c>
      <c r="K56" s="206">
        <f>J56/(J40+J56/1000)/1000</f>
        <v>2.8819440356928436E-2</v>
      </c>
    </row>
    <row r="57" spans="1:13">
      <c r="A57" s="181"/>
      <c r="I57" s="204" t="s">
        <v>92</v>
      </c>
      <c r="J57" s="205">
        <f>+E34+'12'!J57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19910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61"/>
  <sheetViews>
    <sheetView topLeftCell="A13" zoomScale="80" zoomScaleNormal="80" workbookViewId="0">
      <selection activeCell="C17" sqref="C1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2.140625" style="154" customWidth="1"/>
    <col min="13" max="13" width="1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12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0+264+292</f>
        <v>556</v>
      </c>
    </row>
    <row r="7" spans="1:18" ht="13.5" customHeight="1" thickBot="1">
      <c r="A7" s="777" t="s">
        <v>412</v>
      </c>
      <c r="B7" s="220" t="s">
        <v>589</v>
      </c>
      <c r="C7" s="221">
        <v>16839</v>
      </c>
      <c r="D7" s="222">
        <v>460</v>
      </c>
      <c r="E7" s="223"/>
      <c r="F7" s="232"/>
      <c r="G7" s="233" t="s">
        <v>13</v>
      </c>
      <c r="H7" s="234" t="s">
        <v>394</v>
      </c>
      <c r="I7" s="780" t="s">
        <v>590</v>
      </c>
      <c r="J7" s="219" t="str">
        <f>+'11'!J7</f>
        <v>TW 17 RC HW</v>
      </c>
      <c r="K7" s="242"/>
      <c r="L7" s="246"/>
      <c r="M7" s="122">
        <f>+K7+'11'!M7+L7</f>
        <v>44630</v>
      </c>
    </row>
    <row r="8" spans="1:18" ht="13.5" thickBot="1">
      <c r="A8" s="778"/>
      <c r="B8" s="220"/>
      <c r="C8" s="221"/>
      <c r="D8" s="222"/>
      <c r="E8" s="224"/>
      <c r="F8" s="235">
        <v>5</v>
      </c>
      <c r="G8" s="581" t="s">
        <v>13</v>
      </c>
      <c r="H8" s="234" t="s">
        <v>392</v>
      </c>
      <c r="I8" s="781"/>
      <c r="J8" s="219" t="str">
        <f>+'11'!J8</f>
        <v>N 18 RC HW</v>
      </c>
      <c r="K8" s="243"/>
      <c r="L8" s="243"/>
      <c r="M8" s="122">
        <f>+K8+'11'!M8+L8</f>
        <v>105194</v>
      </c>
    </row>
    <row r="9" spans="1:18" ht="13.5" thickBot="1">
      <c r="A9" s="778"/>
      <c r="B9" s="220"/>
      <c r="C9" s="221"/>
      <c r="D9" s="222"/>
      <c r="E9" s="225"/>
      <c r="F9" s="232">
        <v>5</v>
      </c>
      <c r="G9" s="581" t="s">
        <v>13</v>
      </c>
      <c r="H9" s="237" t="s">
        <v>226</v>
      </c>
      <c r="I9" s="781"/>
      <c r="J9" s="219" t="str">
        <f>+'11'!J9</f>
        <v>N 20 RC HW</v>
      </c>
      <c r="K9" s="243"/>
      <c r="L9" s="243"/>
      <c r="M9" s="122">
        <f>+K9+'11'!M9+L9</f>
        <v>71479</v>
      </c>
      <c r="N9" s="154">
        <v>780</v>
      </c>
      <c r="O9" s="154">
        <f>+N9-N9*0.14</f>
        <v>670.8</v>
      </c>
      <c r="P9" s="154">
        <f>60+20</f>
        <v>80</v>
      </c>
      <c r="Q9" s="154">
        <f>+N9*P9</f>
        <v>62400</v>
      </c>
      <c r="R9" s="154">
        <f>+O9*P9</f>
        <v>53664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573</v>
      </c>
      <c r="I10" s="781"/>
      <c r="J10" s="219" t="str">
        <f>+'11'!J10</f>
        <v>N 17 RC HW</v>
      </c>
      <c r="K10" s="243"/>
      <c r="L10" s="243"/>
      <c r="M10" s="122">
        <f>+K10+'11'!M10+L10</f>
        <v>5253</v>
      </c>
      <c r="N10" s="154">
        <v>795</v>
      </c>
      <c r="O10" s="154">
        <f>+N10-N10*0.14</f>
        <v>683.7</v>
      </c>
      <c r="P10" s="154">
        <f>40+240+30</f>
        <v>310</v>
      </c>
      <c r="Q10" s="154">
        <f>+N10*P10</f>
        <v>246450</v>
      </c>
      <c r="R10" s="154">
        <f>+O10*P10</f>
        <v>211947</v>
      </c>
    </row>
    <row r="11" spans="1:18" ht="13.5" thickBot="1">
      <c r="A11" s="778"/>
      <c r="B11" s="220"/>
      <c r="C11" s="221"/>
      <c r="D11" s="222"/>
      <c r="E11" s="224"/>
      <c r="F11" s="232"/>
      <c r="G11" s="236"/>
      <c r="H11" s="237" t="s">
        <v>574</v>
      </c>
      <c r="I11" s="781"/>
      <c r="J11" s="219" t="str">
        <f>+'11'!J11</f>
        <v>N 18,5 RC HW</v>
      </c>
      <c r="K11" s="243"/>
      <c r="L11" s="243"/>
      <c r="M11" s="122">
        <f>+K11+'11'!M11+L11</f>
        <v>10930</v>
      </c>
      <c r="P11" s="154">
        <f>+P9+P10</f>
        <v>390</v>
      </c>
      <c r="Q11" s="154">
        <f>SUM(Q9:Q10)</f>
        <v>308850</v>
      </c>
      <c r="R11" s="154">
        <f>SUM(R9:R10)</f>
        <v>265611</v>
      </c>
    </row>
    <row r="12" spans="1:18" ht="13.5" thickBot="1">
      <c r="A12" s="778"/>
      <c r="B12" s="220"/>
      <c r="C12" s="221"/>
      <c r="D12" s="222"/>
      <c r="E12" s="224"/>
      <c r="F12" s="232">
        <v>15</v>
      </c>
      <c r="G12" s="236" t="s">
        <v>71</v>
      </c>
      <c r="H12" s="237" t="s">
        <v>575</v>
      </c>
      <c r="I12" s="781"/>
      <c r="J12" s="219" t="str">
        <f>+'11'!J12</f>
        <v>TW 32 RC HW</v>
      </c>
      <c r="K12" s="243"/>
      <c r="L12" s="243"/>
      <c r="M12" s="122">
        <f>+K12+'11'!M12+L12</f>
        <v>75522</v>
      </c>
      <c r="Q12" s="154">
        <f>+Q11/P11</f>
        <v>791.92307692307691</v>
      </c>
      <c r="R12" s="154">
        <f>+R11/P11</f>
        <v>681.05384615384617</v>
      </c>
    </row>
    <row r="13" spans="1:18" ht="13.5" thickBot="1">
      <c r="A13" s="778"/>
      <c r="B13" s="220"/>
      <c r="C13" s="221"/>
      <c r="D13" s="221"/>
      <c r="E13" s="224"/>
      <c r="F13" s="232">
        <v>90</v>
      </c>
      <c r="G13" s="236" t="s">
        <v>13</v>
      </c>
      <c r="H13" s="237" t="s">
        <v>576</v>
      </c>
      <c r="I13" s="782"/>
      <c r="J13" s="219" t="str">
        <f>+'11'!J13</f>
        <v>TW 34 RC HW</v>
      </c>
      <c r="K13" s="243"/>
      <c r="L13" s="243"/>
      <c r="M13" s="122">
        <f>+K13+'11'!M13+L13</f>
        <v>22635</v>
      </c>
    </row>
    <row r="14" spans="1:18" ht="13.5" thickBot="1">
      <c r="A14" s="779"/>
      <c r="B14" s="170" t="s">
        <v>3</v>
      </c>
      <c r="C14" s="104">
        <f>SUM(C7:C13)</f>
        <v>16839</v>
      </c>
      <c r="D14" s="116">
        <f>SUM(D7:D13)</f>
        <v>460</v>
      </c>
      <c r="E14" s="117">
        <f>SUM(E5:E13)</f>
        <v>0</v>
      </c>
      <c r="F14" s="107">
        <f>SUM(F6:F13)</f>
        <v>115</v>
      </c>
      <c r="G14" s="164"/>
      <c r="H14" s="171"/>
      <c r="I14" s="172"/>
      <c r="J14" s="219" t="str">
        <f>+'11'!J14</f>
        <v>TW 36 RC HW</v>
      </c>
      <c r="K14" s="243"/>
      <c r="L14" s="243"/>
      <c r="M14" s="122">
        <f>+K14+'11'!M14+L14</f>
        <v>33555</v>
      </c>
    </row>
    <row r="15" spans="1:18" ht="13.5" customHeight="1" thickBot="1">
      <c r="A15" s="777" t="s">
        <v>414</v>
      </c>
      <c r="B15" s="170"/>
      <c r="C15" s="118">
        <f>C14/($C$23+$D$23+$E$23)</f>
        <v>1.248628207029512</v>
      </c>
      <c r="D15" s="119">
        <f>D14/($C$23+$D$23+$E$23)</f>
        <v>3.4109446833753519E-2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591</v>
      </c>
      <c r="J15" s="219" t="str">
        <f>+'11'!J15</f>
        <v>TW 38 RC HW</v>
      </c>
      <c r="K15" s="243"/>
      <c r="L15" s="243"/>
      <c r="M15" s="122">
        <f>+K15+'11'!M15+L15</f>
        <v>50415</v>
      </c>
    </row>
    <row r="16" spans="1:18" ht="13.5" thickBot="1">
      <c r="A16" s="783"/>
      <c r="B16" s="220" t="s">
        <v>589</v>
      </c>
      <c r="C16" s="226">
        <v>12836</v>
      </c>
      <c r="D16" s="227">
        <v>650</v>
      </c>
      <c r="E16" s="228"/>
      <c r="F16" s="235">
        <v>5</v>
      </c>
      <c r="G16" s="581" t="s">
        <v>13</v>
      </c>
      <c r="H16" s="234" t="s">
        <v>392</v>
      </c>
      <c r="I16" s="781"/>
      <c r="J16" s="219" t="str">
        <f>+'11'!J16</f>
        <v>TW 30 RC HW</v>
      </c>
      <c r="K16" s="243"/>
      <c r="L16" s="243"/>
      <c r="M16" s="122">
        <f>+K16+'11'!M16+L16</f>
        <v>62106</v>
      </c>
    </row>
    <row r="17" spans="1:18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 t="str">
        <f>+'11'!J17</f>
        <v>TW 28 RC HW</v>
      </c>
      <c r="K17" s="243"/>
      <c r="L17" s="243"/>
      <c r="M17" s="122">
        <f>+K17+'11'!M17+L17</f>
        <v>22140</v>
      </c>
      <c r="N17" s="154">
        <v>800</v>
      </c>
      <c r="O17" s="154">
        <f>+N17-N17*0.14</f>
        <v>688</v>
      </c>
      <c r="P17" s="154">
        <f>60-38+120</f>
        <v>142</v>
      </c>
      <c r="Q17" s="154">
        <f>+N17*P17</f>
        <v>113600</v>
      </c>
      <c r="R17" s="154">
        <f>+O17*P17</f>
        <v>97696</v>
      </c>
    </row>
    <row r="18" spans="1:18" ht="26.25" thickBot="1">
      <c r="A18" s="783"/>
      <c r="B18" s="220"/>
      <c r="C18" s="221"/>
      <c r="D18" s="222"/>
      <c r="E18" s="229"/>
      <c r="F18" s="232">
        <f>60+38</f>
        <v>98</v>
      </c>
      <c r="G18" s="581" t="s">
        <v>13</v>
      </c>
      <c r="H18" s="237" t="s">
        <v>577</v>
      </c>
      <c r="I18" s="781"/>
      <c r="J18" s="219" t="str">
        <f>+'11'!J18</f>
        <v>N 20,5 RC HW</v>
      </c>
      <c r="K18" s="243">
        <f>+C34</f>
        <v>51130</v>
      </c>
      <c r="L18" s="243"/>
      <c r="M18" s="122">
        <f>+K18+'11'!M18+L18</f>
        <v>101486</v>
      </c>
      <c r="N18" s="154">
        <v>810</v>
      </c>
      <c r="O18" s="154">
        <f>+N18-N18*0.14</f>
        <v>696.6</v>
      </c>
      <c r="P18" s="154">
        <v>240</v>
      </c>
      <c r="Q18" s="154">
        <f>+N18*P18</f>
        <v>194400</v>
      </c>
      <c r="R18" s="154">
        <f>+O18*P18</f>
        <v>167184</v>
      </c>
    </row>
    <row r="19" spans="1:18" ht="13.5" thickBot="1">
      <c r="A19" s="783"/>
      <c r="B19" s="220"/>
      <c r="C19" s="221"/>
      <c r="D19" s="222"/>
      <c r="E19" s="229"/>
      <c r="F19" s="239"/>
      <c r="G19" s="236"/>
      <c r="H19" s="237" t="s">
        <v>580</v>
      </c>
      <c r="I19" s="781"/>
      <c r="J19" s="219">
        <f>+'11'!J19</f>
        <v>0</v>
      </c>
      <c r="K19" s="243"/>
      <c r="L19" s="243"/>
      <c r="M19" s="122">
        <f>+K19+'11'!M19+L19</f>
        <v>0</v>
      </c>
      <c r="P19" s="154">
        <f>+P17+P18</f>
        <v>382</v>
      </c>
      <c r="Q19" s="154">
        <f>SUM(Q17:Q18)</f>
        <v>308000</v>
      </c>
      <c r="R19" s="154">
        <f>SUM(R17:R18)</f>
        <v>264880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 t="s">
        <v>578</v>
      </c>
      <c r="I20" s="781"/>
      <c r="J20" s="219">
        <f>+'11'!J20</f>
        <v>0</v>
      </c>
      <c r="K20" s="243"/>
      <c r="L20" s="243"/>
      <c r="M20" s="122">
        <f>+K20+'11'!M20+L20</f>
        <v>0</v>
      </c>
      <c r="Q20" s="154">
        <f>+Q19/P19</f>
        <v>806.28272251308897</v>
      </c>
      <c r="R20" s="154">
        <f>+R19/P19</f>
        <v>693.40314136125653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 t="s">
        <v>581</v>
      </c>
      <c r="I21" s="781"/>
      <c r="J21" s="219">
        <f>+'11'!J21</f>
        <v>0</v>
      </c>
      <c r="K21" s="243"/>
      <c r="L21" s="243"/>
      <c r="M21" s="122">
        <f>+K21+'11'!M21+L21</f>
        <v>0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 t="s">
        <v>579</v>
      </c>
      <c r="I22" s="782"/>
      <c r="J22" s="219">
        <f>+'11'!J22</f>
        <v>0</v>
      </c>
      <c r="K22" s="243"/>
      <c r="L22" s="243"/>
      <c r="M22" s="122">
        <f>+K22+'11'!M22+L22</f>
        <v>0</v>
      </c>
    </row>
    <row r="23" spans="1:18" ht="13.5" thickBot="1">
      <c r="A23" s="784"/>
      <c r="B23" s="170" t="s">
        <v>3</v>
      </c>
      <c r="C23" s="105">
        <f>SUM(C16:C22)</f>
        <v>12836</v>
      </c>
      <c r="D23" s="116">
        <f>SUM(D16:D22)</f>
        <v>650</v>
      </c>
      <c r="E23" s="117">
        <f>SUM(E18:E22)</f>
        <v>0</v>
      </c>
      <c r="F23" s="107">
        <f>SUM(F15:F22)</f>
        <v>108</v>
      </c>
      <c r="G23" s="164"/>
      <c r="H23" s="171"/>
      <c r="I23" s="174"/>
      <c r="J23" s="219">
        <f>+'11'!J23</f>
        <v>0</v>
      </c>
      <c r="K23" s="243"/>
      <c r="L23" s="243"/>
      <c r="M23" s="122">
        <f>+K23+'11'!M23+L23</f>
        <v>0</v>
      </c>
    </row>
    <row r="24" spans="1:18" ht="13.5" customHeight="1" thickBot="1">
      <c r="A24" s="777" t="s">
        <v>547</v>
      </c>
      <c r="B24" s="175"/>
      <c r="C24" s="118">
        <f>C23/($C$23+$D$23+$E$23)</f>
        <v>0.95180186860447868</v>
      </c>
      <c r="D24" s="119">
        <f>D23/($C$23+$D$23+$E$23)</f>
        <v>4.8198131395521281E-2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598</v>
      </c>
      <c r="J24" s="219">
        <f>+'11'!J24</f>
        <v>0</v>
      </c>
      <c r="K24" s="243"/>
      <c r="L24" s="243"/>
      <c r="M24" s="122">
        <f>+K24+'11'!M24+L24</f>
        <v>0</v>
      </c>
    </row>
    <row r="25" spans="1:18" ht="13.5" thickBot="1">
      <c r="A25" s="785"/>
      <c r="B25" s="220" t="s">
        <v>589</v>
      </c>
      <c r="C25" s="230">
        <v>21455</v>
      </c>
      <c r="D25" s="222"/>
      <c r="E25" s="229"/>
      <c r="F25" s="235">
        <v>2</v>
      </c>
      <c r="G25" s="581" t="s">
        <v>13</v>
      </c>
      <c r="H25" s="234" t="s">
        <v>392</v>
      </c>
      <c r="I25" s="781"/>
      <c r="J25" s="219">
        <f>+'11'!J25</f>
        <v>0</v>
      </c>
      <c r="K25" s="243"/>
      <c r="L25" s="243"/>
      <c r="M25" s="122">
        <f>+K25+'11'!M25+L25</f>
        <v>0</v>
      </c>
    </row>
    <row r="26" spans="1:18" ht="13.5" thickBot="1">
      <c r="A26" s="785"/>
      <c r="B26" s="220"/>
      <c r="C26" s="230"/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+'11'!J26</f>
        <v>0</v>
      </c>
      <c r="K26" s="243"/>
      <c r="L26" s="243"/>
      <c r="M26" s="122">
        <f>+K26+'11'!M26+L26</f>
        <v>0</v>
      </c>
      <c r="N26" s="154">
        <v>810</v>
      </c>
      <c r="O26" s="154">
        <f>+N26-N26*0.14</f>
        <v>696.6</v>
      </c>
      <c r="P26" s="154">
        <v>480</v>
      </c>
    </row>
    <row r="27" spans="1:18" ht="13.5" thickBot="1">
      <c r="A27" s="785"/>
      <c r="B27" s="220"/>
      <c r="C27" s="221"/>
      <c r="D27" s="222"/>
      <c r="E27" s="229"/>
      <c r="F27" s="232"/>
      <c r="G27" s="581"/>
      <c r="H27" s="237" t="s">
        <v>582</v>
      </c>
      <c r="I27" s="781"/>
      <c r="J27" s="219">
        <f>+'11'!J27</f>
        <v>0</v>
      </c>
      <c r="K27" s="243"/>
      <c r="L27" s="243"/>
      <c r="M27" s="122">
        <f>+K27+'11'!M27+L27</f>
        <v>0</v>
      </c>
    </row>
    <row r="28" spans="1:18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+'11'!J28</f>
        <v>0</v>
      </c>
      <c r="K28" s="243"/>
      <c r="L28" s="243"/>
      <c r="M28" s="122">
        <f>+K28+'11'!M28+L28</f>
        <v>0</v>
      </c>
    </row>
    <row r="29" spans="1:18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+'11'!J29</f>
        <v>0</v>
      </c>
      <c r="K29" s="243"/>
      <c r="L29" s="243"/>
      <c r="M29" s="122">
        <f>+K29+'11'!M29+L29</f>
        <v>0</v>
      </c>
    </row>
    <row r="30" spans="1:18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+'11'!J30</f>
        <v>0</v>
      </c>
      <c r="K30" s="243"/>
      <c r="L30" s="243"/>
      <c r="M30" s="122">
        <f>+K30+'11'!M30+L30</f>
        <v>0</v>
      </c>
      <c r="N30" s="160"/>
    </row>
    <row r="31" spans="1:18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+'11'!J31</f>
        <v>0</v>
      </c>
      <c r="K31" s="243"/>
      <c r="L31" s="243"/>
      <c r="M31" s="122">
        <f>+K31+'11'!M31+L31</f>
        <v>0</v>
      </c>
    </row>
    <row r="32" spans="1:18" ht="13.5" thickBot="1">
      <c r="A32" s="786"/>
      <c r="B32" s="170" t="s">
        <v>3</v>
      </c>
      <c r="C32" s="104">
        <f>SUM(C25:C31)</f>
        <v>21455</v>
      </c>
      <c r="D32" s="105">
        <f>SUM(D25:D31)</f>
        <v>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+'1'!J32</f>
        <v>0</v>
      </c>
      <c r="K32" s="245"/>
      <c r="L32" s="247"/>
      <c r="M32" s="122">
        <f>+K32+'11'!M32+L32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51130</v>
      </c>
      <c r="D34" s="112">
        <f>D14+D23+D32</f>
        <v>1110</v>
      </c>
      <c r="E34" s="112">
        <f>E14+E23+E32</f>
        <v>0</v>
      </c>
      <c r="F34" s="113">
        <f>F14+F23+F32</f>
        <v>230</v>
      </c>
      <c r="H34" s="183"/>
      <c r="I34" s="183"/>
      <c r="J34" s="128" t="s">
        <v>29</v>
      </c>
      <c r="K34" s="129">
        <f>SUM(K7:K32)</f>
        <v>51130</v>
      </c>
      <c r="L34" s="217">
        <f>SUM(L7:L32)</f>
        <v>0</v>
      </c>
      <c r="M34" s="125">
        <f>SUM(M7:M32)</f>
        <v>605345</v>
      </c>
      <c r="N34" s="160"/>
    </row>
    <row r="35" spans="1:14" ht="13.5" thickBot="1">
      <c r="A35" s="184"/>
      <c r="B35" s="185"/>
      <c r="C35" s="109">
        <f>C34/($C$34+$D$34+$E$34)</f>
        <v>0.97875191424196017</v>
      </c>
      <c r="D35" s="109">
        <f>D34/($C$34+$D$34+$E$34)</f>
        <v>2.1248085758039815E-2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(20.5*1252)/1252*G42*3.4*1252/1000000</f>
        <v>60.280672300000006</v>
      </c>
      <c r="J37" s="130">
        <f>+I37+'11'!J37</f>
        <v>705.06834257616674</v>
      </c>
      <c r="K37" s="131" t="s">
        <v>66</v>
      </c>
      <c r="L37" s="435"/>
      <c r="M37" s="436"/>
      <c r="N37" s="557"/>
    </row>
    <row r="38" spans="1:14" ht="17.45" customHeight="1">
      <c r="A38" s="793" t="s">
        <v>13</v>
      </c>
      <c r="B38" s="794"/>
      <c r="C38" s="169">
        <f>SUMIF($G$7:$G$31,"Process",$F$7:$F$31)</f>
        <v>215</v>
      </c>
      <c r="D38" s="123">
        <f>+C38+'11'!D38</f>
        <v>1034</v>
      </c>
      <c r="E38" s="148">
        <f t="shared" ref="E38:E51" si="0">D38/60</f>
        <v>17.233333333333334</v>
      </c>
      <c r="F38" s="375">
        <v>791.92307692307691</v>
      </c>
      <c r="G38" s="375">
        <v>681.05384615384617</v>
      </c>
      <c r="H38" s="192" t="s">
        <v>67</v>
      </c>
      <c r="I38" s="556">
        <f>15.654+14.76+21.549</f>
        <v>51.963000000000001</v>
      </c>
      <c r="J38" s="132">
        <f>+I38+'11'!J38</f>
        <v>637</v>
      </c>
      <c r="K38" s="133" t="s">
        <v>66</v>
      </c>
      <c r="L38" s="437"/>
      <c r="M38" s="438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+C39+'11'!D39</f>
        <v>0</v>
      </c>
      <c r="E39" s="148">
        <f t="shared" si="0"/>
        <v>0</v>
      </c>
      <c r="F39" s="375">
        <v>806.28272251308897</v>
      </c>
      <c r="G39" s="375">
        <v>693.40314136125653</v>
      </c>
      <c r="H39" s="192" t="s">
        <v>68</v>
      </c>
      <c r="I39" s="147"/>
      <c r="J39" s="134">
        <f>J37/G4</f>
        <v>58.755695214680564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+C40+'11'!D40</f>
        <v>0</v>
      </c>
      <c r="E40" s="148">
        <f t="shared" si="0"/>
        <v>0</v>
      </c>
      <c r="F40" s="375">
        <v>810</v>
      </c>
      <c r="G40" s="375">
        <f>+F40-F40*0.14</f>
        <v>696.6</v>
      </c>
      <c r="H40" s="192" t="s">
        <v>70</v>
      </c>
      <c r="I40" s="123">
        <f>(K34+L34)/1000</f>
        <v>51.13</v>
      </c>
      <c r="J40" s="136">
        <f>+I40+'11'!J40</f>
        <v>605.34500000000003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15</v>
      </c>
      <c r="D41" s="123">
        <f>+C41+'11'!D41</f>
        <v>15</v>
      </c>
      <c r="E41" s="148">
        <f t="shared" si="0"/>
        <v>0.25</v>
      </c>
      <c r="F41" s="375"/>
      <c r="G41" s="375"/>
      <c r="H41" s="192" t="s">
        <v>72</v>
      </c>
      <c r="I41" s="147"/>
      <c r="J41" s="134">
        <f>J40/G4</f>
        <v>50.445416666666667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+C42+'11'!D42</f>
        <v>0</v>
      </c>
      <c r="E42" s="148">
        <f t="shared" si="0"/>
        <v>0</v>
      </c>
      <c r="F42" s="375">
        <f>+(F38*390+F39*382+F40*480)/1252</f>
        <v>803.23482428115017</v>
      </c>
      <c r="G42" s="375">
        <f>+(G38*390+G39*382+G40*480)/1252</f>
        <v>690.78194888178916</v>
      </c>
      <c r="H42" s="192" t="s">
        <v>73</v>
      </c>
      <c r="I42" s="250" t="s">
        <v>592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+C43+'11'!D43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+Report1!AH20</f>
        <v>125.794</v>
      </c>
      <c r="J43" s="138">
        <f>+I43+'11'!J43</f>
        <v>1439.7390000000003</v>
      </c>
      <c r="K43" s="135" t="s">
        <v>66</v>
      </c>
      <c r="L43" s="439">
        <f>+Report1!AN20</f>
        <v>10.199999999999999</v>
      </c>
      <c r="M43" s="440">
        <f>+L43+'11'!M43</f>
        <v>126.29999999999998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+C44+'11'!D44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2.4208379038931547</v>
      </c>
      <c r="J44" s="139">
        <f>J43/J38</f>
        <v>2.2601868131868135</v>
      </c>
      <c r="K44" s="135" t="s">
        <v>66</v>
      </c>
      <c r="L44" s="441">
        <f>+L43/I38</f>
        <v>0.19629351654061541</v>
      </c>
      <c r="M44" s="442">
        <f>+M43/J38</f>
        <v>0.19827315541601254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+C45+'11'!D45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2.4602777234500293</v>
      </c>
      <c r="J45" s="139">
        <f>J43/J40</f>
        <v>2.3783776193740764</v>
      </c>
      <c r="K45" s="135" t="s">
        <v>66</v>
      </c>
      <c r="L45" s="441">
        <f>+L43/I40</f>
        <v>0.19949149227459415</v>
      </c>
      <c r="M45" s="442">
        <f>+M43/J40</f>
        <v>0.20864135327788283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+C46+'11'!D46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+SUMIF(Listrik!AC19,"&gt;0")</f>
        <v>33687.61999999969</v>
      </c>
      <c r="J46" s="140">
        <f>+I46+'11'!J46</f>
        <v>376784.26999999944</v>
      </c>
      <c r="K46" s="135" t="s">
        <v>81</v>
      </c>
      <c r="L46" s="441">
        <f>+Listrik!AF19</f>
        <v>1259</v>
      </c>
      <c r="M46" s="443">
        <f>+L46+'11'!M46</f>
        <v>15017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+C47+'11'!D47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648.30013663567706</v>
      </c>
      <c r="J47" s="140">
        <f>J46/J38</f>
        <v>591.49806907378252</v>
      </c>
      <c r="K47" s="135" t="s">
        <v>25</v>
      </c>
      <c r="L47" s="441">
        <f>+L46/I38</f>
        <v>24.228778169081846</v>
      </c>
      <c r="M47" s="442">
        <f>+M46/J38</f>
        <v>23.574568288854003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+C48+'11'!D48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658.86211617445122</v>
      </c>
      <c r="J48" s="140">
        <f>J46/J40</f>
        <v>622.42897851638224</v>
      </c>
      <c r="K48" s="135" t="s">
        <v>25</v>
      </c>
      <c r="L48" s="441">
        <f>+L46/I38</f>
        <v>24.228778169081846</v>
      </c>
      <c r="M48" s="442">
        <f>+M46/J40</f>
        <v>24.807341268202428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+C49+'11'!D49</f>
        <v>1680</v>
      </c>
      <c r="E49" s="148">
        <f t="shared" si="0"/>
        <v>28</v>
      </c>
      <c r="F49" s="190"/>
      <c r="H49" s="193" t="s">
        <v>85</v>
      </c>
      <c r="I49" s="123">
        <f>+Report1!AB20</f>
        <v>0</v>
      </c>
      <c r="J49" s="140">
        <f>+I49+'11'!J49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+C50+'11'!D50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+C51+'11'!D51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230</v>
      </c>
      <c r="D52" s="149">
        <f>SUM(D38:D51)</f>
        <v>2729</v>
      </c>
      <c r="E52" s="150">
        <f>SUM(E38:E51)</f>
        <v>45.483333333333334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0.15972222222222221</v>
      </c>
      <c r="D53" s="151">
        <f>D52/(24*60*G4)</f>
        <v>0.15792824074074074</v>
      </c>
      <c r="E53" s="152">
        <f>E52/(G4*24)</f>
        <v>0.15792824074074074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+D34+'11'!J56</f>
        <v>19365</v>
      </c>
      <c r="K56" s="206">
        <f>J56/(J40+J56/1000)/1000</f>
        <v>3.0998383249827916E-2</v>
      </c>
    </row>
    <row r="57" spans="1:13">
      <c r="A57" s="181"/>
      <c r="I57" s="204" t="s">
        <v>92</v>
      </c>
      <c r="J57" s="205">
        <f>+E34+'11'!J57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19690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0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61"/>
  <sheetViews>
    <sheetView view="pageBreakPreview" zoomScale="80" zoomScaleNormal="70" zoomScaleSheetLayoutView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5703125" style="154" customWidth="1"/>
    <col min="11" max="11" width="14" style="154" bestFit="1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11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301+281+278</f>
        <v>860</v>
      </c>
    </row>
    <row r="7" spans="1:18" ht="13.5" customHeight="1" thickBot="1">
      <c r="A7" s="777" t="s">
        <v>412</v>
      </c>
      <c r="B7" s="220" t="s">
        <v>556</v>
      </c>
      <c r="C7" s="221">
        <f>4645+1775+2057+1970</f>
        <v>10447</v>
      </c>
      <c r="D7" s="222"/>
      <c r="E7" s="223"/>
      <c r="F7" s="232"/>
      <c r="G7" s="233" t="s">
        <v>13</v>
      </c>
      <c r="H7" s="234" t="s">
        <v>394</v>
      </c>
      <c r="I7" s="780" t="s">
        <v>583</v>
      </c>
      <c r="J7" s="219" t="str">
        <f>+'10'!J7</f>
        <v>TW 17 RC HW</v>
      </c>
      <c r="K7" s="242"/>
      <c r="L7" s="246"/>
      <c r="M7" s="122">
        <f>+K7+'10'!M7+L7</f>
        <v>44630</v>
      </c>
    </row>
    <row r="8" spans="1:18" ht="13.5" thickBot="1">
      <c r="A8" s="778"/>
      <c r="B8" s="220" t="s">
        <v>589</v>
      </c>
      <c r="C8" s="221">
        <f>2203+9860</f>
        <v>12063</v>
      </c>
      <c r="D8" s="222">
        <v>200</v>
      </c>
      <c r="E8" s="224"/>
      <c r="F8" s="235">
        <v>3</v>
      </c>
      <c r="G8" s="581" t="s">
        <v>13</v>
      </c>
      <c r="H8" s="234" t="s">
        <v>392</v>
      </c>
      <c r="I8" s="781"/>
      <c r="J8" s="219" t="str">
        <f>+'10'!J8</f>
        <v>N 18 RC HW</v>
      </c>
      <c r="K8" s="243"/>
      <c r="L8" s="243"/>
      <c r="M8" s="122">
        <f>+K8+'10'!M8+L8</f>
        <v>105194</v>
      </c>
    </row>
    <row r="9" spans="1:18" ht="13.5" thickBot="1">
      <c r="A9" s="778"/>
      <c r="B9" s="220"/>
      <c r="C9" s="221"/>
      <c r="D9" s="222"/>
      <c r="E9" s="225"/>
      <c r="F9" s="232">
        <v>2</v>
      </c>
      <c r="G9" s="581" t="s">
        <v>13</v>
      </c>
      <c r="H9" s="237" t="s">
        <v>226</v>
      </c>
      <c r="I9" s="781"/>
      <c r="J9" s="219" t="str">
        <f>+'10'!J9</f>
        <v>N 20 RC HW</v>
      </c>
      <c r="K9" s="243"/>
      <c r="L9" s="243"/>
      <c r="M9" s="122">
        <f>+K9+'10'!M9+L9</f>
        <v>71479</v>
      </c>
      <c r="N9" s="154">
        <v>630</v>
      </c>
      <c r="O9" s="154">
        <f>+N9-N9*0.12</f>
        <v>554.4</v>
      </c>
      <c r="P9" s="154">
        <v>10</v>
      </c>
      <c r="Q9" s="154">
        <f>+N9*P9</f>
        <v>6300</v>
      </c>
      <c r="R9" s="154">
        <f>+O9*P9</f>
        <v>5544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562</v>
      </c>
      <c r="I10" s="781"/>
      <c r="J10" s="219" t="str">
        <f>+'10'!J10</f>
        <v>N 17 RC HW</v>
      </c>
      <c r="K10" s="243"/>
      <c r="L10" s="243"/>
      <c r="M10" s="122">
        <f>+K10+'10'!M10+L10</f>
        <v>5253</v>
      </c>
      <c r="N10" s="154">
        <v>830</v>
      </c>
      <c r="O10" s="154">
        <f>+N10-N10*0.14</f>
        <v>713.8</v>
      </c>
      <c r="P10" s="154">
        <v>470</v>
      </c>
      <c r="Q10" s="154">
        <f>+N10*P10</f>
        <v>390100</v>
      </c>
      <c r="R10" s="154">
        <f>+O10*P10</f>
        <v>335486</v>
      </c>
    </row>
    <row r="11" spans="1:18" ht="13.5" thickBot="1">
      <c r="A11" s="778"/>
      <c r="B11" s="220"/>
      <c r="C11" s="221"/>
      <c r="D11" s="222"/>
      <c r="E11" s="224"/>
      <c r="F11" s="232">
        <v>5</v>
      </c>
      <c r="G11" s="236" t="s">
        <v>13</v>
      </c>
      <c r="H11" s="237" t="s">
        <v>587</v>
      </c>
      <c r="I11" s="781"/>
      <c r="J11" s="219" t="str">
        <f>+'10'!J11</f>
        <v>N 18,5 RC HW</v>
      </c>
      <c r="K11" s="243"/>
      <c r="L11" s="243"/>
      <c r="M11" s="122">
        <f>+K11+'10'!M11+L11</f>
        <v>10930</v>
      </c>
      <c r="P11" s="154">
        <f>SUM(P9:P10)</f>
        <v>480</v>
      </c>
      <c r="Q11" s="154">
        <f>SUM(Q9:Q10)</f>
        <v>396400</v>
      </c>
      <c r="R11" s="154">
        <f>SUM(R9:R10)</f>
        <v>341030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+'10'!J12</f>
        <v>TW 32 RC HW</v>
      </c>
      <c r="K12" s="243"/>
      <c r="L12" s="243"/>
      <c r="M12" s="122">
        <f>+K12+'10'!M12+L12</f>
        <v>75522</v>
      </c>
      <c r="Q12" s="154">
        <f>+Q11/P11</f>
        <v>825.83333333333337</v>
      </c>
      <c r="R12" s="154">
        <f>+R11/P11</f>
        <v>710.47916666666663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+'10'!J13</f>
        <v>TW 34 RC HW</v>
      </c>
      <c r="K13" s="243"/>
      <c r="L13" s="243"/>
      <c r="M13" s="122">
        <f>+K13+'10'!M13+L13</f>
        <v>22635</v>
      </c>
    </row>
    <row r="14" spans="1:18" ht="13.5" thickBot="1">
      <c r="A14" s="779"/>
      <c r="B14" s="170" t="s">
        <v>3</v>
      </c>
      <c r="C14" s="104">
        <f>SUM(C7:C13)</f>
        <v>22510</v>
      </c>
      <c r="D14" s="116">
        <f>SUM(D7:D13)</f>
        <v>200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+'10'!J14</f>
        <v>TW 36 RC HW</v>
      </c>
      <c r="K14" s="243"/>
      <c r="L14" s="243"/>
      <c r="M14" s="122">
        <f>+K14+'10'!M14+L14</f>
        <v>33555</v>
      </c>
      <c r="N14" s="154" t="s">
        <v>588</v>
      </c>
    </row>
    <row r="15" spans="1:18" ht="13.5" customHeight="1" thickBot="1">
      <c r="A15" s="777" t="s">
        <v>413</v>
      </c>
      <c r="B15" s="170"/>
      <c r="C15" s="118">
        <f>C14/($C$23+$D$23+$E$23)</f>
        <v>1.0535923238942195</v>
      </c>
      <c r="D15" s="119">
        <f>D14/($C$23+$D$23+$E$23)</f>
        <v>9.3611046103440204E-3</v>
      </c>
      <c r="E15" s="120">
        <f>E14/($C$23+$D$23+$E$23)</f>
        <v>0</v>
      </c>
      <c r="F15" s="232">
        <v>4</v>
      </c>
      <c r="G15" s="233" t="s">
        <v>13</v>
      </c>
      <c r="H15" s="234" t="s">
        <v>452</v>
      </c>
      <c r="I15" s="780" t="s">
        <v>584</v>
      </c>
      <c r="J15" s="219" t="str">
        <f>+'10'!J15</f>
        <v>TW 38 RC HW</v>
      </c>
      <c r="K15" s="243"/>
      <c r="L15" s="243"/>
      <c r="M15" s="122">
        <f>+K15+'10'!M15+L15</f>
        <v>50415</v>
      </c>
      <c r="N15" s="154">
        <v>830</v>
      </c>
      <c r="O15" s="154">
        <f>+N15-N15*0.14</f>
        <v>713.8</v>
      </c>
      <c r="P15" s="154">
        <f>60+470</f>
        <v>530</v>
      </c>
      <c r="Q15" s="154">
        <f>+N15*P15</f>
        <v>439900</v>
      </c>
      <c r="R15" s="154">
        <f>+O15*P15</f>
        <v>378314</v>
      </c>
    </row>
    <row r="16" spans="1:18" ht="13.5" thickBot="1">
      <c r="A16" s="783"/>
      <c r="B16" s="220" t="s">
        <v>589</v>
      </c>
      <c r="C16" s="226">
        <v>21150</v>
      </c>
      <c r="D16" s="227">
        <v>215</v>
      </c>
      <c r="E16" s="228"/>
      <c r="F16" s="235">
        <v>8</v>
      </c>
      <c r="G16" s="581" t="s">
        <v>13</v>
      </c>
      <c r="H16" s="234" t="s">
        <v>449</v>
      </c>
      <c r="I16" s="781"/>
      <c r="J16" s="219" t="str">
        <f>+'10'!J16</f>
        <v>TW 30 RC HW</v>
      </c>
      <c r="K16" s="243"/>
      <c r="L16" s="233"/>
      <c r="M16" s="122">
        <f>+K16+'10'!M16+L16</f>
        <v>62106</v>
      </c>
      <c r="N16" s="154">
        <v>820</v>
      </c>
      <c r="O16" s="154">
        <f>+N16-N16*0.14</f>
        <v>705.2</v>
      </c>
      <c r="P16" s="154">
        <v>300</v>
      </c>
      <c r="Q16" s="154">
        <f>+N16*P16</f>
        <v>246000</v>
      </c>
      <c r="R16" s="154">
        <f>+O16*P16</f>
        <v>211560</v>
      </c>
    </row>
    <row r="17" spans="1:18" ht="13.5" thickBot="1">
      <c r="A17" s="783"/>
      <c r="B17" s="220"/>
      <c r="C17" s="221"/>
      <c r="D17" s="222"/>
      <c r="E17" s="229"/>
      <c r="F17" s="232">
        <v>8</v>
      </c>
      <c r="G17" s="581" t="s">
        <v>13</v>
      </c>
      <c r="H17" s="237" t="s">
        <v>226</v>
      </c>
      <c r="I17" s="781"/>
      <c r="J17" s="219" t="str">
        <f>+'10'!J17</f>
        <v>TW 28 RC HW</v>
      </c>
      <c r="K17" s="243">
        <f>+C7</f>
        <v>10447</v>
      </c>
      <c r="L17" s="233"/>
      <c r="M17" s="122">
        <f>+K17+'10'!M17+L17</f>
        <v>22140</v>
      </c>
      <c r="N17" s="154">
        <v>810</v>
      </c>
      <c r="O17" s="154">
        <f>+N17-N17*0.14</f>
        <v>696.6</v>
      </c>
      <c r="P17" s="154">
        <v>30</v>
      </c>
      <c r="Q17" s="154">
        <f>+N17*P17</f>
        <v>24300</v>
      </c>
      <c r="R17" s="154">
        <f>+O17*P17</f>
        <v>20898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563</v>
      </c>
      <c r="I18" s="781"/>
      <c r="J18" s="219" t="s">
        <v>589</v>
      </c>
      <c r="K18" s="243">
        <f>+C8+C16+C25</f>
        <v>50356</v>
      </c>
      <c r="L18" s="243"/>
      <c r="M18" s="122">
        <f>+K18+'10'!M18+L18</f>
        <v>50356</v>
      </c>
      <c r="N18" s="154">
        <v>800</v>
      </c>
      <c r="O18" s="154">
        <f>+N18-N18*0.14</f>
        <v>688</v>
      </c>
      <c r="P18" s="154">
        <f>30+60+165</f>
        <v>255</v>
      </c>
      <c r="Q18" s="154">
        <f>+N18*P18</f>
        <v>204000</v>
      </c>
      <c r="R18" s="154">
        <f>+O18*P18</f>
        <v>175440</v>
      </c>
    </row>
    <row r="19" spans="1:18" ht="13.5" thickBot="1">
      <c r="A19" s="783"/>
      <c r="B19" s="220"/>
      <c r="C19" s="221"/>
      <c r="D19" s="222"/>
      <c r="E19" s="229"/>
      <c r="F19" s="239"/>
      <c r="G19" s="236"/>
      <c r="H19" s="237" t="s">
        <v>564</v>
      </c>
      <c r="I19" s="781"/>
      <c r="J19" s="219">
        <f>+'10'!J19</f>
        <v>0</v>
      </c>
      <c r="K19" s="243"/>
      <c r="L19" s="243"/>
      <c r="M19" s="122">
        <f>+K19+'10'!M19+L19</f>
        <v>0</v>
      </c>
      <c r="N19" s="154">
        <v>780</v>
      </c>
      <c r="O19" s="154">
        <f>+N19-N19*0.14</f>
        <v>670.8</v>
      </c>
      <c r="P19" s="154">
        <f>15+300</f>
        <v>315</v>
      </c>
      <c r="Q19" s="154">
        <f>+N19*P19</f>
        <v>245700</v>
      </c>
      <c r="R19" s="154">
        <f>+O19*P19</f>
        <v>211302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 t="s">
        <v>565</v>
      </c>
      <c r="I20" s="781"/>
      <c r="J20" s="219">
        <f>+'10'!J20</f>
        <v>0</v>
      </c>
      <c r="K20" s="243"/>
      <c r="L20" s="244"/>
      <c r="M20" s="122">
        <f>+K20+'10'!M20+L20</f>
        <v>0</v>
      </c>
      <c r="P20" s="154">
        <f>SUM(P15:P19)</f>
        <v>1430</v>
      </c>
      <c r="Q20" s="154">
        <f>SUM(Q15:Q19)</f>
        <v>1159900</v>
      </c>
      <c r="R20" s="154">
        <f>SUM(R15:R19)</f>
        <v>997514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 t="s">
        <v>566</v>
      </c>
      <c r="I21" s="781"/>
      <c r="J21" s="219">
        <f>+'10'!J21</f>
        <v>0</v>
      </c>
      <c r="K21" s="243"/>
      <c r="L21" s="243"/>
      <c r="M21" s="122">
        <f>+K21+'10'!M21+L21</f>
        <v>0</v>
      </c>
      <c r="Q21" s="154">
        <f>+Q20/P20</f>
        <v>811.11888111888106</v>
      </c>
      <c r="R21" s="154">
        <f>+R20/P20</f>
        <v>697.56223776223771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 t="s">
        <v>567</v>
      </c>
      <c r="I22" s="782"/>
      <c r="J22" s="219">
        <f>+'10'!J22</f>
        <v>0</v>
      </c>
      <c r="K22" s="243"/>
      <c r="L22" s="243"/>
      <c r="M22" s="122">
        <f>+K22+'10'!M22+L22</f>
        <v>0</v>
      </c>
    </row>
    <row r="23" spans="1:18" ht="13.5" thickBot="1">
      <c r="A23" s="784"/>
      <c r="B23" s="170" t="s">
        <v>3</v>
      </c>
      <c r="C23" s="105">
        <f>SUM(C16:C22)</f>
        <v>21150</v>
      </c>
      <c r="D23" s="116">
        <f>SUM(D16:D22)</f>
        <v>215</v>
      </c>
      <c r="E23" s="117">
        <f>SUM(E18:E22)</f>
        <v>0</v>
      </c>
      <c r="F23" s="107">
        <f>SUM(F15:F22)</f>
        <v>20</v>
      </c>
      <c r="G23" s="164"/>
      <c r="H23" s="171"/>
      <c r="I23" s="174"/>
      <c r="J23" s="219">
        <f>+'10'!J23</f>
        <v>0</v>
      </c>
      <c r="K23" s="243"/>
      <c r="L23" s="243"/>
      <c r="M23" s="122">
        <f>+K23+'10'!M23+L23</f>
        <v>0</v>
      </c>
    </row>
    <row r="24" spans="1:18" ht="13.5" customHeight="1" thickBot="1">
      <c r="A24" s="777" t="s">
        <v>547</v>
      </c>
      <c r="B24" s="175"/>
      <c r="C24" s="118">
        <f>C23/($C$23+$D$23+$E$23)</f>
        <v>0.98993681254388022</v>
      </c>
      <c r="D24" s="119">
        <f>D23/($C$23+$D$23+$E$23)</f>
        <v>1.0063187456119822E-2</v>
      </c>
      <c r="E24" s="120">
        <f>E23/($C$23+$D$23+$E$23)</f>
        <v>0</v>
      </c>
      <c r="F24" s="232">
        <v>4</v>
      </c>
      <c r="G24" s="233" t="s">
        <v>13</v>
      </c>
      <c r="H24" s="234" t="s">
        <v>452</v>
      </c>
      <c r="I24" s="780" t="s">
        <v>585</v>
      </c>
      <c r="J24" s="219">
        <f>+'10'!J24</f>
        <v>0</v>
      </c>
      <c r="K24" s="243"/>
      <c r="L24" s="243"/>
      <c r="M24" s="122">
        <f>+K24+'10'!M24+L24</f>
        <v>0</v>
      </c>
    </row>
    <row r="25" spans="1:18" ht="13.5" customHeight="1" thickBot="1">
      <c r="A25" s="785"/>
      <c r="B25" s="220" t="s">
        <v>589</v>
      </c>
      <c r="C25" s="230">
        <v>17143</v>
      </c>
      <c r="D25" s="222">
        <v>3151</v>
      </c>
      <c r="E25" s="229"/>
      <c r="F25" s="235">
        <v>2</v>
      </c>
      <c r="G25" s="581" t="s">
        <v>13</v>
      </c>
      <c r="H25" s="234" t="s">
        <v>392</v>
      </c>
      <c r="I25" s="781"/>
      <c r="J25" s="219">
        <f>+'10'!J25</f>
        <v>0</v>
      </c>
      <c r="K25" s="243"/>
      <c r="L25" s="243"/>
      <c r="M25" s="122">
        <f>+K25+'10'!M25+L25</f>
        <v>0</v>
      </c>
    </row>
    <row r="26" spans="1:18" ht="13.5" customHeight="1" thickBot="1">
      <c r="A26" s="785"/>
      <c r="B26" s="220"/>
      <c r="C26" s="230"/>
      <c r="D26" s="222"/>
      <c r="E26" s="231"/>
      <c r="F26" s="232">
        <v>9</v>
      </c>
      <c r="G26" s="581" t="s">
        <v>13</v>
      </c>
      <c r="H26" s="237" t="s">
        <v>226</v>
      </c>
      <c r="I26" s="781"/>
      <c r="J26" s="219">
        <f>+'10'!J26</f>
        <v>0</v>
      </c>
      <c r="K26" s="233"/>
      <c r="L26" s="233"/>
      <c r="M26" s="122">
        <f>+K26+'10'!M26+L26</f>
        <v>0</v>
      </c>
      <c r="N26" s="154">
        <v>800</v>
      </c>
      <c r="O26" s="154">
        <f>+N26-N26*0.14</f>
        <v>688</v>
      </c>
      <c r="P26" s="154">
        <f>120+45</f>
        <v>165</v>
      </c>
      <c r="Q26" s="154">
        <f>+N26*P26</f>
        <v>132000</v>
      </c>
      <c r="R26" s="154">
        <f>+O26*P26</f>
        <v>113520</v>
      </c>
    </row>
    <row r="27" spans="1:18" ht="13.5" customHeight="1" thickBot="1">
      <c r="A27" s="785"/>
      <c r="B27" s="220"/>
      <c r="C27" s="221"/>
      <c r="D27" s="222"/>
      <c r="E27" s="229"/>
      <c r="F27" s="232"/>
      <c r="G27" s="581"/>
      <c r="H27" s="237" t="s">
        <v>568</v>
      </c>
      <c r="I27" s="781"/>
      <c r="J27" s="219">
        <f>+'10'!J27</f>
        <v>0</v>
      </c>
      <c r="K27" s="233"/>
      <c r="L27" s="233"/>
      <c r="M27" s="122">
        <f>+K27+'10'!M27+L27</f>
        <v>0</v>
      </c>
      <c r="N27" s="154">
        <v>780</v>
      </c>
      <c r="O27" s="154">
        <f>+N27-N27*0.14</f>
        <v>670.8</v>
      </c>
      <c r="P27" s="154">
        <f>15+300</f>
        <v>315</v>
      </c>
      <c r="Q27" s="154">
        <f>+N27*P27</f>
        <v>245700</v>
      </c>
      <c r="R27" s="154">
        <f>+O27*P27</f>
        <v>211302</v>
      </c>
    </row>
    <row r="28" spans="1:18" ht="13.5" customHeight="1" thickBot="1">
      <c r="A28" s="785"/>
      <c r="B28" s="220"/>
      <c r="C28" s="221"/>
      <c r="D28" s="222"/>
      <c r="E28" s="229"/>
      <c r="F28" s="235"/>
      <c r="G28" s="236"/>
      <c r="H28" s="237" t="s">
        <v>569</v>
      </c>
      <c r="I28" s="781"/>
      <c r="J28" s="219">
        <f>+'10'!J28</f>
        <v>0</v>
      </c>
      <c r="K28" s="243"/>
      <c r="L28" s="243"/>
      <c r="M28" s="122">
        <f>+K28+'10'!M28+L28</f>
        <v>0</v>
      </c>
      <c r="P28" s="154">
        <f>SUM(P26:P27)</f>
        <v>480</v>
      </c>
      <c r="Q28" s="154">
        <f>SUM(Q26:Q27)</f>
        <v>377700</v>
      </c>
      <c r="R28" s="154">
        <f>SUM(R26:R27)</f>
        <v>324822</v>
      </c>
    </row>
    <row r="29" spans="1:18" ht="13.5" customHeight="1" thickBot="1">
      <c r="A29" s="785"/>
      <c r="B29" s="220"/>
      <c r="C29" s="221"/>
      <c r="D29" s="222"/>
      <c r="E29" s="229"/>
      <c r="F29" s="240"/>
      <c r="G29" s="236"/>
      <c r="H29" s="237" t="s">
        <v>570</v>
      </c>
      <c r="I29" s="781"/>
      <c r="J29" s="219">
        <f>+'10'!J29</f>
        <v>0</v>
      </c>
      <c r="K29" s="243"/>
      <c r="L29" s="243"/>
      <c r="M29" s="122">
        <f>+K29+'10'!M29+L29</f>
        <v>0</v>
      </c>
      <c r="Q29" s="154">
        <f>+Q28/P28</f>
        <v>786.875</v>
      </c>
      <c r="R29" s="154">
        <f>+R28/P28</f>
        <v>676.71249999999998</v>
      </c>
    </row>
    <row r="30" spans="1:18" ht="13.5" customHeight="1" thickBot="1">
      <c r="A30" s="785"/>
      <c r="B30" s="220"/>
      <c r="C30" s="230"/>
      <c r="D30" s="222"/>
      <c r="E30" s="229"/>
      <c r="F30" s="240"/>
      <c r="G30" s="236"/>
      <c r="H30" s="237" t="s">
        <v>571</v>
      </c>
      <c r="I30" s="781"/>
      <c r="J30" s="219">
        <f>+'10'!J30</f>
        <v>0</v>
      </c>
      <c r="K30" s="244"/>
      <c r="L30" s="244"/>
      <c r="M30" s="122">
        <f>+K30+'10'!M30+L30</f>
        <v>0</v>
      </c>
    </row>
    <row r="31" spans="1:18" ht="13.5" customHeight="1" thickBot="1">
      <c r="A31" s="785"/>
      <c r="B31" s="220"/>
      <c r="C31" s="230"/>
      <c r="D31" s="222"/>
      <c r="E31" s="229"/>
      <c r="F31" s="240"/>
      <c r="G31" s="241"/>
      <c r="H31" s="587" t="s">
        <v>572</v>
      </c>
      <c r="I31" s="782"/>
      <c r="J31" s="219">
        <f>+'10'!J31</f>
        <v>0</v>
      </c>
      <c r="K31" s="243"/>
      <c r="L31" s="243"/>
      <c r="M31" s="122">
        <f>+K31+'10'!M31+L31</f>
        <v>0</v>
      </c>
    </row>
    <row r="32" spans="1:18" ht="13.5" customHeight="1" thickBot="1">
      <c r="A32" s="786"/>
      <c r="B32" s="170" t="s">
        <v>3</v>
      </c>
      <c r="C32" s="104">
        <f>SUM(C25:C31)</f>
        <v>17143</v>
      </c>
      <c r="D32" s="105">
        <f>SUM(D25:D31)</f>
        <v>3151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+'10'!J32</f>
        <v>0</v>
      </c>
      <c r="K32" s="243"/>
      <c r="L32" s="243"/>
      <c r="M32" s="122">
        <f>+K32+'10'!M32+L32</f>
        <v>0</v>
      </c>
    </row>
    <row r="33" spans="1:14" ht="13.5" thickBot="1">
      <c r="A33" s="178"/>
      <c r="B33" s="179"/>
      <c r="C33" s="108">
        <f>C32/($C$32+$D$32+$E$32)</f>
        <v>0.84473243323149705</v>
      </c>
      <c r="D33" s="109">
        <f>D32/($C$32+$D$32+$E$32)</f>
        <v>0.15526756676850301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60803</v>
      </c>
      <c r="D34" s="112">
        <f>D14+D23+D32</f>
        <v>3566</v>
      </c>
      <c r="E34" s="112">
        <f>E14+E23+E32</f>
        <v>0</v>
      </c>
      <c r="F34" s="113">
        <f>F14+F23+F32</f>
        <v>45</v>
      </c>
      <c r="H34" s="183"/>
      <c r="I34" s="183"/>
      <c r="J34" s="128" t="s">
        <v>29</v>
      </c>
      <c r="K34" s="129">
        <f>SUM(K7:K32)</f>
        <v>60803</v>
      </c>
      <c r="L34" s="217">
        <f>SUM(L7:L32)</f>
        <v>0</v>
      </c>
      <c r="M34" s="125">
        <f>SUM(M7:M32)</f>
        <v>554215</v>
      </c>
    </row>
    <row r="35" spans="1:14" ht="13.5" thickBot="1">
      <c r="A35" s="184"/>
      <c r="B35" s="185"/>
      <c r="C35" s="109">
        <f>C34/($C$34+$D$34+$E$34)</f>
        <v>0.94460066180925606</v>
      </c>
      <c r="D35" s="109">
        <f>D34/($C$34+$D$34+$E$34)</f>
        <v>5.5399338190743989E-2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(28*10+20.5*1430)/1440*G42*3.4*1440/1000000</f>
        <v>68.865542675</v>
      </c>
      <c r="J37" s="130">
        <f>+I37+'10'!J37</f>
        <v>644.78767027616675</v>
      </c>
      <c r="K37" s="131" t="s">
        <v>66</v>
      </c>
      <c r="L37" s="435"/>
      <c r="M37" s="436"/>
      <c r="N37" s="154">
        <v>1.3089999999999999</v>
      </c>
    </row>
    <row r="38" spans="1:14" ht="17.45" customHeight="1">
      <c r="A38" s="793" t="s">
        <v>13</v>
      </c>
      <c r="B38" s="794"/>
      <c r="C38" s="169">
        <f>SUMIF($G$7:$G$31,"Process",$F$7:$F$31)</f>
        <v>45</v>
      </c>
      <c r="D38" s="123">
        <f>+C38+'10'!D38</f>
        <v>819</v>
      </c>
      <c r="E38" s="148">
        <f t="shared" ref="E38:E51" si="0">D38/60</f>
        <v>13.65</v>
      </c>
      <c r="F38" s="375">
        <v>780</v>
      </c>
      <c r="G38" s="375">
        <v>673.95</v>
      </c>
      <c r="H38" s="192" t="s">
        <v>67</v>
      </c>
      <c r="I38" s="556">
        <f>22.332+21.418+20.239</f>
        <v>63.989000000000004</v>
      </c>
      <c r="J38" s="132">
        <f>+I38+'10'!J38</f>
        <v>585.03700000000003</v>
      </c>
      <c r="K38" s="133" t="s">
        <v>66</v>
      </c>
      <c r="L38" s="437"/>
      <c r="M38" s="438"/>
      <c r="N38" s="557">
        <f>+I38-N37</f>
        <v>62.680000000000007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+C39+'10'!D39</f>
        <v>0</v>
      </c>
      <c r="E39" s="148">
        <f t="shared" si="0"/>
        <v>0</v>
      </c>
      <c r="F39" s="375">
        <v>816.875</v>
      </c>
      <c r="G39" s="375">
        <v>702.51250000000005</v>
      </c>
      <c r="H39" s="192" t="s">
        <v>68</v>
      </c>
      <c r="I39" s="147"/>
      <c r="J39" s="134">
        <f>J37/G4</f>
        <v>58.617060934196978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+C40+'10'!D40</f>
        <v>0</v>
      </c>
      <c r="E40" s="148">
        <f t="shared" si="0"/>
        <v>0</v>
      </c>
      <c r="F40" s="375">
        <v>786.875</v>
      </c>
      <c r="G40" s="375">
        <v>676.71249999999998</v>
      </c>
      <c r="H40" s="192" t="s">
        <v>70</v>
      </c>
      <c r="I40" s="123">
        <f>(K34+L34)/1000</f>
        <v>60.802999999999997</v>
      </c>
      <c r="J40" s="136">
        <f>+I40+'10'!J40</f>
        <v>554.21500000000003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+C41+'10'!D41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50.383181818181818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+C42+'10'!D42</f>
        <v>0</v>
      </c>
      <c r="E42" s="148">
        <f t="shared" si="0"/>
        <v>0</v>
      </c>
      <c r="F42" s="375">
        <f>+(F38*480+F39*480+F40*480)/1440</f>
        <v>794.58333333333337</v>
      </c>
      <c r="G42" s="375">
        <f>+(G38*480+G39*480+G40*480)/1440</f>
        <v>684.39166666666665</v>
      </c>
      <c r="H42" s="192" t="s">
        <v>73</v>
      </c>
      <c r="I42" s="250" t="s">
        <v>586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+C43+'10'!D43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+Report1!AH19</f>
        <v>139.471</v>
      </c>
      <c r="J43" s="138">
        <f>+I43+'10'!J43</f>
        <v>1313.9450000000002</v>
      </c>
      <c r="K43" s="135" t="s">
        <v>66</v>
      </c>
      <c r="L43" s="439">
        <f>+Report1!AN19</f>
        <v>11.5</v>
      </c>
      <c r="M43" s="440">
        <f>+L43+'10'!M43</f>
        <v>116.09999999999998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+C44+'10'!D44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2.1796089952960664</v>
      </c>
      <c r="J44" s="139">
        <f>J43/J38</f>
        <v>2.2459177795592415</v>
      </c>
      <c r="K44" s="135" t="s">
        <v>66</v>
      </c>
      <c r="L44" s="441">
        <f>+L43/I38</f>
        <v>0.17971838909812624</v>
      </c>
      <c r="M44" s="442">
        <f>+M43/J38</f>
        <v>0.19844898698714777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+C45+'10'!D45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2.2938177392562871</v>
      </c>
      <c r="J45" s="139">
        <f>J43/J40</f>
        <v>2.3708217929864763</v>
      </c>
      <c r="K45" s="135" t="s">
        <v>66</v>
      </c>
      <c r="L45" s="441">
        <f>+L43/I40</f>
        <v>0.18913540450306729</v>
      </c>
      <c r="M45" s="442">
        <f>+M43/J40</f>
        <v>0.20948548848371115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+C46+'10'!D46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+SUMIF(Listrik!AC18,"&gt;0")</f>
        <v>35496.169999999729</v>
      </c>
      <c r="J46" s="140">
        <f>+I46+'10'!J46</f>
        <v>343096.64999999973</v>
      </c>
      <c r="K46" s="135" t="s">
        <v>81</v>
      </c>
      <c r="L46" s="441">
        <f>+Listrik!AF18</f>
        <v>1458</v>
      </c>
      <c r="M46" s="443">
        <f>+L46+'10'!M46</f>
        <v>13758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+C47+'10'!D47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554.72299926549454</v>
      </c>
      <c r="J47" s="140">
        <f>J46/J38</f>
        <v>586.45290810666631</v>
      </c>
      <c r="K47" s="135" t="s">
        <v>25</v>
      </c>
      <c r="L47" s="441">
        <f>+L46/I38</f>
        <v>22.785166200440699</v>
      </c>
      <c r="M47" s="442">
        <f>+M46/J38</f>
        <v>23.51646135201705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+C48+'10'!D48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583.7897801095296</v>
      </c>
      <c r="J48" s="140">
        <f>J46/J40</f>
        <v>619.06778055447739</v>
      </c>
      <c r="K48" s="135" t="s">
        <v>25</v>
      </c>
      <c r="L48" s="441">
        <f>+L46/I38</f>
        <v>22.785166200440699</v>
      </c>
      <c r="M48" s="442">
        <f>+M46/J40</f>
        <v>24.824301038405672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+C49+'10'!D49</f>
        <v>1680</v>
      </c>
      <c r="E49" s="148">
        <f t="shared" si="0"/>
        <v>28</v>
      </c>
      <c r="F49" s="190"/>
      <c r="H49" s="193" t="s">
        <v>170</v>
      </c>
      <c r="I49" s="123">
        <f>+Report1!AB19</f>
        <v>0</v>
      </c>
      <c r="J49" s="140">
        <f>+I49+'10'!J49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+C50+'10'!D50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+C51+'10'!D51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45</v>
      </c>
      <c r="D52" s="149">
        <f>SUM(D38:D51)</f>
        <v>2499</v>
      </c>
      <c r="E52" s="150">
        <f>SUM(E38:E51)</f>
        <v>41.65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3.125E-2</v>
      </c>
      <c r="D53" s="151">
        <f>D52/(24*60*G4)</f>
        <v>0.15776515151515152</v>
      </c>
      <c r="E53" s="152">
        <f>E52/(G4*24)</f>
        <v>0.1577651515151515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+D34+'10'!J56</f>
        <v>18255</v>
      </c>
      <c r="K56" s="206">
        <f>J56/(J40+J56/1000)/1000</f>
        <v>3.1888133876010971E-2</v>
      </c>
    </row>
    <row r="57" spans="1:13">
      <c r="A57" s="181"/>
      <c r="I57" s="204" t="s">
        <v>92</v>
      </c>
      <c r="J57" s="205">
        <f>+E34+'10'!J57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18580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61"/>
  <sheetViews>
    <sheetView view="pageBreakPreview" topLeftCell="A7" zoomScale="80" zoomScaleNormal="75" zoomScaleSheetLayoutView="80" workbookViewId="0">
      <selection activeCell="J58" sqref="J5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1406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10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298+295+294</f>
        <v>887</v>
      </c>
    </row>
    <row r="7" spans="1:18" ht="13.5" customHeight="1" thickBot="1">
      <c r="A7" s="777" t="s">
        <v>412</v>
      </c>
      <c r="B7" s="220" t="s">
        <v>542</v>
      </c>
      <c r="C7" s="221">
        <v>21669</v>
      </c>
      <c r="D7" s="222"/>
      <c r="E7" s="223"/>
      <c r="F7" s="232"/>
      <c r="G7" s="233" t="s">
        <v>13</v>
      </c>
      <c r="H7" s="234" t="s">
        <v>394</v>
      </c>
      <c r="I7" s="780" t="s">
        <v>552</v>
      </c>
      <c r="J7" s="219" t="str">
        <f>+'9'!J7</f>
        <v>TW 17 RC HW</v>
      </c>
      <c r="K7" s="242"/>
      <c r="L7" s="246"/>
      <c r="M7" s="122">
        <f>+K7+'9'!M7+L7</f>
        <v>44630</v>
      </c>
    </row>
    <row r="8" spans="1:18" ht="13.5" thickBot="1">
      <c r="A8" s="778"/>
      <c r="B8" s="220"/>
      <c r="C8" s="221"/>
      <c r="D8" s="222"/>
      <c r="E8" s="224"/>
      <c r="F8" s="235">
        <v>2</v>
      </c>
      <c r="G8" s="581" t="s">
        <v>13</v>
      </c>
      <c r="H8" s="234" t="s">
        <v>392</v>
      </c>
      <c r="I8" s="781"/>
      <c r="J8" s="219" t="str">
        <f>+'9'!J8</f>
        <v>N 18 RC HW</v>
      </c>
      <c r="K8" s="243"/>
      <c r="L8" s="243"/>
      <c r="M8" s="122">
        <f>+K8+'9'!M8+L8</f>
        <v>105194</v>
      </c>
      <c r="N8" s="154">
        <v>570</v>
      </c>
      <c r="O8" s="154">
        <f>+N8-N8*0.12</f>
        <v>501.6</v>
      </c>
    </row>
    <row r="9" spans="1:18" ht="13.5" thickBot="1">
      <c r="A9" s="778"/>
      <c r="B9" s="220"/>
      <c r="C9" s="221"/>
      <c r="D9" s="222"/>
      <c r="E9" s="225"/>
      <c r="F9" s="232">
        <v>3</v>
      </c>
      <c r="G9" s="581" t="s">
        <v>13</v>
      </c>
      <c r="H9" s="237" t="s">
        <v>226</v>
      </c>
      <c r="I9" s="781"/>
      <c r="J9" s="219" t="str">
        <f>+'9'!J9</f>
        <v>N 20 RC HW</v>
      </c>
      <c r="K9" s="243"/>
      <c r="L9" s="243"/>
      <c r="M9" s="122">
        <f>+K9+'9'!M9+L9</f>
        <v>71479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549</v>
      </c>
      <c r="I10" s="781"/>
      <c r="J10" s="219" t="str">
        <f>+'9'!J10</f>
        <v>N 17 RC HW</v>
      </c>
      <c r="K10" s="243"/>
      <c r="L10" s="243"/>
      <c r="M10" s="122">
        <f>+K10+'9'!M10+L10</f>
        <v>5253</v>
      </c>
    </row>
    <row r="11" spans="1:18" ht="13.5" thickBot="1">
      <c r="A11" s="778"/>
      <c r="B11" s="220"/>
      <c r="C11" s="221"/>
      <c r="D11" s="222"/>
      <c r="E11" s="224"/>
      <c r="F11" s="232"/>
      <c r="G11" s="236"/>
      <c r="H11" s="237"/>
      <c r="I11" s="781"/>
      <c r="J11" s="219" t="str">
        <f>+'9'!J11</f>
        <v>N 18,5 RC HW</v>
      </c>
      <c r="K11" s="243"/>
      <c r="L11" s="243"/>
      <c r="M11" s="122">
        <f>+K11+'9'!M11+L11</f>
        <v>10930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+'9'!J12</f>
        <v>TW 32 RC HW</v>
      </c>
      <c r="K12" s="243"/>
      <c r="L12" s="243"/>
      <c r="M12" s="122">
        <f>+K12+'9'!M12+L12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+'9'!J13</f>
        <v>TW 34 RC HW</v>
      </c>
      <c r="K13" s="243"/>
      <c r="L13" s="243"/>
      <c r="M13" s="122">
        <f>+K13+'9'!M13+L13</f>
        <v>22635</v>
      </c>
    </row>
    <row r="14" spans="1:18" ht="13.5" thickBot="1">
      <c r="A14" s="779"/>
      <c r="B14" s="170" t="s">
        <v>3</v>
      </c>
      <c r="C14" s="104">
        <f>SUM(C7:C13)</f>
        <v>21669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+'9'!J14</f>
        <v>TW 36 RC HW</v>
      </c>
      <c r="K14" s="243"/>
      <c r="L14" s="243"/>
      <c r="M14" s="122">
        <f>+K14+'9'!M14+L14</f>
        <v>33555</v>
      </c>
    </row>
    <row r="15" spans="1:18" ht="13.5" customHeight="1" thickBot="1">
      <c r="A15" s="777" t="s">
        <v>413</v>
      </c>
      <c r="B15" s="170"/>
      <c r="C15" s="118">
        <f>C14/($C$23+$D$23+$E$23)</f>
        <v>0.95051980523753121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551</v>
      </c>
      <c r="J15" s="219" t="str">
        <f>+'9'!J15</f>
        <v>TW 38 RC HW</v>
      </c>
      <c r="K15" s="243"/>
      <c r="L15" s="243"/>
      <c r="M15" s="122">
        <f>+K15+'9'!M15+L15</f>
        <v>50415</v>
      </c>
    </row>
    <row r="16" spans="1:18" ht="13.5" thickBot="1">
      <c r="A16" s="783"/>
      <c r="B16" s="220" t="s">
        <v>542</v>
      </c>
      <c r="C16" s="226">
        <v>22797</v>
      </c>
      <c r="D16" s="227"/>
      <c r="E16" s="228"/>
      <c r="F16" s="235"/>
      <c r="G16" s="581" t="s">
        <v>13</v>
      </c>
      <c r="H16" s="234" t="s">
        <v>430</v>
      </c>
      <c r="I16" s="781"/>
      <c r="J16" s="219" t="str">
        <f>+'9'!J16</f>
        <v>TW 30 RC HW</v>
      </c>
      <c r="K16" s="243">
        <f>+C7+C16+C25</f>
        <v>55248</v>
      </c>
      <c r="L16" s="243"/>
      <c r="M16" s="122">
        <f>+K16+'9'!M16+L16</f>
        <v>62106</v>
      </c>
      <c r="N16" s="154">
        <v>570</v>
      </c>
      <c r="O16" s="154">
        <f>+N16-N16*0.12</f>
        <v>501.6</v>
      </c>
      <c r="P16" s="154">
        <f>10+480</f>
        <v>490</v>
      </c>
      <c r="Q16" s="154">
        <f>+N16*P16</f>
        <v>279300</v>
      </c>
      <c r="R16" s="154">
        <f>+O16*P16</f>
        <v>245784</v>
      </c>
    </row>
    <row r="17" spans="1:18" ht="13.5" thickBot="1">
      <c r="A17" s="783"/>
      <c r="B17" s="220"/>
      <c r="C17" s="221"/>
      <c r="D17" s="222"/>
      <c r="E17" s="229"/>
      <c r="F17" s="232">
        <v>2</v>
      </c>
      <c r="G17" s="581" t="s">
        <v>13</v>
      </c>
      <c r="H17" s="237" t="s">
        <v>226</v>
      </c>
      <c r="I17" s="781"/>
      <c r="J17" s="219" t="s">
        <v>556</v>
      </c>
      <c r="K17" s="243">
        <f>+C26</f>
        <v>11693</v>
      </c>
      <c r="L17" s="243"/>
      <c r="M17" s="122">
        <f>+K17+'9'!M17+L17</f>
        <v>11693</v>
      </c>
      <c r="N17" s="154">
        <v>580</v>
      </c>
      <c r="O17" s="154">
        <f>+N17-N17*0.12</f>
        <v>510.4</v>
      </c>
      <c r="P17" s="154">
        <f>470+120</f>
        <v>590</v>
      </c>
      <c r="Q17" s="154">
        <f>+N17*P17</f>
        <v>342200</v>
      </c>
      <c r="R17" s="154">
        <f>+O17*P17</f>
        <v>301136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549</v>
      </c>
      <c r="I18" s="781"/>
      <c r="J18" s="219">
        <f>+'9'!J18</f>
        <v>0</v>
      </c>
      <c r="K18" s="243"/>
      <c r="L18" s="243"/>
      <c r="M18" s="122">
        <f>+K18+'9'!M18+L18</f>
        <v>0</v>
      </c>
      <c r="P18" s="154">
        <f>SUM(P16:P17)</f>
        <v>1080</v>
      </c>
      <c r="Q18" s="154">
        <f>SUM(Q16:Q17)</f>
        <v>621500</v>
      </c>
      <c r="R18" s="154">
        <f>SUM(R16:R17)</f>
        <v>546920</v>
      </c>
    </row>
    <row r="19" spans="1:18" ht="13.5" thickBot="1">
      <c r="A19" s="783"/>
      <c r="B19" s="220"/>
      <c r="C19" s="221"/>
      <c r="D19" s="222"/>
      <c r="E19" s="229"/>
      <c r="F19" s="239"/>
      <c r="G19" s="236"/>
      <c r="H19" s="237" t="s">
        <v>548</v>
      </c>
      <c r="I19" s="781"/>
      <c r="J19" s="219">
        <f>+'9'!J19</f>
        <v>0</v>
      </c>
      <c r="K19" s="243"/>
      <c r="L19" s="243"/>
      <c r="M19" s="122">
        <f>+K19+'9'!M19+L19</f>
        <v>0</v>
      </c>
      <c r="Q19" s="154">
        <f>+Q18/P18</f>
        <v>575.46296296296293</v>
      </c>
      <c r="R19" s="154">
        <f>+R18/P18</f>
        <v>506.40740740740739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+'9'!J20</f>
        <v>0</v>
      </c>
      <c r="K20" s="243"/>
      <c r="L20" s="243"/>
      <c r="M20" s="122">
        <f>+K20+'9'!M20+L20</f>
        <v>0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+'9'!J21</f>
        <v>0</v>
      </c>
      <c r="K21" s="243"/>
      <c r="L21" s="243"/>
      <c r="M21" s="122">
        <f>+K21+'9'!M21+L21</f>
        <v>0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+'9'!J22</f>
        <v>0</v>
      </c>
      <c r="K22" s="243"/>
      <c r="L22" s="243"/>
      <c r="M22" s="122">
        <f>+K22+'9'!M22+L22</f>
        <v>0</v>
      </c>
    </row>
    <row r="23" spans="1:18" ht="13.5" thickBot="1">
      <c r="A23" s="784"/>
      <c r="B23" s="170" t="s">
        <v>3</v>
      </c>
      <c r="C23" s="105">
        <f>SUM(C16:C22)</f>
        <v>22797</v>
      </c>
      <c r="D23" s="116">
        <f>SUM(D16:D22)</f>
        <v>0</v>
      </c>
      <c r="E23" s="117">
        <f>SUM(E18:E22)</f>
        <v>0</v>
      </c>
      <c r="F23" s="107">
        <f>SUM(F15:F22)</f>
        <v>2</v>
      </c>
      <c r="G23" s="164"/>
      <c r="H23" s="171"/>
      <c r="I23" s="174"/>
      <c r="J23" s="219">
        <f>+'9'!J23</f>
        <v>0</v>
      </c>
      <c r="K23" s="243"/>
      <c r="L23" s="243"/>
      <c r="M23" s="122">
        <f>+K23+'9'!M23+L23</f>
        <v>0</v>
      </c>
    </row>
    <row r="24" spans="1:18" ht="13.5" customHeight="1" thickBot="1">
      <c r="A24" s="777" t="s">
        <v>547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554</v>
      </c>
      <c r="J24" s="219">
        <f>+'9'!J24</f>
        <v>0</v>
      </c>
      <c r="K24" s="243"/>
      <c r="L24" s="243"/>
      <c r="M24" s="122">
        <f>+K24+'9'!M24+L24</f>
        <v>0</v>
      </c>
    </row>
    <row r="25" spans="1:18" ht="13.5" customHeight="1" thickBot="1">
      <c r="A25" s="785"/>
      <c r="B25" s="220" t="s">
        <v>542</v>
      </c>
      <c r="C25" s="230">
        <f>2163+8619</f>
        <v>10782</v>
      </c>
      <c r="D25" s="222"/>
      <c r="E25" s="229"/>
      <c r="F25" s="235">
        <v>2</v>
      </c>
      <c r="G25" s="581" t="s">
        <v>13</v>
      </c>
      <c r="H25" s="234" t="s">
        <v>392</v>
      </c>
      <c r="I25" s="781"/>
      <c r="J25" s="219">
        <f>+'9'!J25</f>
        <v>0</v>
      </c>
      <c r="K25" s="243"/>
      <c r="L25" s="243"/>
      <c r="M25" s="122">
        <f>+K25+'9'!M25+L25</f>
        <v>0</v>
      </c>
    </row>
    <row r="26" spans="1:18" ht="13.5" customHeight="1" thickBot="1">
      <c r="A26" s="785"/>
      <c r="B26" s="220" t="s">
        <v>556</v>
      </c>
      <c r="C26" s="230">
        <v>11693</v>
      </c>
      <c r="D26" s="222"/>
      <c r="E26" s="231"/>
      <c r="F26" s="232">
        <v>3</v>
      </c>
      <c r="G26" s="581" t="s">
        <v>13</v>
      </c>
      <c r="H26" s="237" t="s">
        <v>226</v>
      </c>
      <c r="I26" s="781"/>
      <c r="J26" s="219">
        <f>+'9'!J26</f>
        <v>0</v>
      </c>
      <c r="K26" s="243"/>
      <c r="L26" s="243"/>
      <c r="M26" s="122">
        <f>+K26+'9'!M26+L26</f>
        <v>0</v>
      </c>
    </row>
    <row r="27" spans="1:18" ht="13.5" customHeight="1" thickBot="1">
      <c r="A27" s="785"/>
      <c r="B27" s="220"/>
      <c r="C27" s="221"/>
      <c r="D27" s="222"/>
      <c r="E27" s="229"/>
      <c r="F27" s="232"/>
      <c r="G27" s="581"/>
      <c r="H27" s="237" t="s">
        <v>550</v>
      </c>
      <c r="I27" s="781"/>
      <c r="J27" s="219">
        <f>+'9'!J27</f>
        <v>0</v>
      </c>
      <c r="K27" s="243"/>
      <c r="L27" s="243"/>
      <c r="M27" s="122">
        <f>+K27+'9'!M27+L27</f>
        <v>0</v>
      </c>
      <c r="N27" s="154">
        <v>580</v>
      </c>
      <c r="O27" s="154">
        <f>+N27-N27*0.12</f>
        <v>510.4</v>
      </c>
      <c r="P27" s="154">
        <v>120</v>
      </c>
      <c r="Q27" s="154">
        <f>+N27*P27</f>
        <v>69600</v>
      </c>
      <c r="R27" s="154">
        <f>+O27*P27</f>
        <v>61248</v>
      </c>
    </row>
    <row r="28" spans="1:18" ht="13.5" thickBot="1">
      <c r="A28" s="785"/>
      <c r="B28" s="220"/>
      <c r="C28" s="221"/>
      <c r="D28" s="222"/>
      <c r="E28" s="229"/>
      <c r="F28" s="235">
        <v>2</v>
      </c>
      <c r="G28" s="236" t="s">
        <v>13</v>
      </c>
      <c r="H28" s="237" t="s">
        <v>553</v>
      </c>
      <c r="I28" s="781"/>
      <c r="J28" s="219">
        <f>+'9'!J28</f>
        <v>0</v>
      </c>
      <c r="K28" s="243"/>
      <c r="L28" s="243"/>
      <c r="M28" s="122">
        <f>+K28+'9'!M28+L28</f>
        <v>0</v>
      </c>
      <c r="N28" s="154">
        <v>630</v>
      </c>
      <c r="O28" s="154">
        <f>+N28-N28*0.12</f>
        <v>554.4</v>
      </c>
      <c r="P28" s="154">
        <f>480-P27</f>
        <v>360</v>
      </c>
      <c r="Q28" s="154">
        <f>+N28*P28</f>
        <v>226800</v>
      </c>
      <c r="R28" s="154">
        <f>+O28*P28</f>
        <v>199584</v>
      </c>
    </row>
    <row r="29" spans="1:18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+'9'!J29</f>
        <v>0</v>
      </c>
      <c r="K29" s="243"/>
      <c r="L29" s="243"/>
      <c r="M29" s="122">
        <f>+K29+'9'!M29+L29</f>
        <v>0</v>
      </c>
      <c r="P29" s="154">
        <f>SUM(P27:P28)</f>
        <v>480</v>
      </c>
      <c r="Q29" s="154">
        <f>SUM(Q27:Q28)</f>
        <v>296400</v>
      </c>
      <c r="R29" s="154">
        <f>SUM(R27:R28)</f>
        <v>260832</v>
      </c>
    </row>
    <row r="30" spans="1:18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+'9'!J30</f>
        <v>0</v>
      </c>
      <c r="K30" s="243"/>
      <c r="L30" s="243"/>
      <c r="M30" s="122">
        <f>+K30+'9'!M30+L30</f>
        <v>0</v>
      </c>
      <c r="Q30" s="154">
        <f>+Q29/P29</f>
        <v>617.5</v>
      </c>
      <c r="R30" s="154">
        <f>+R29/P29</f>
        <v>543.4</v>
      </c>
    </row>
    <row r="31" spans="1:18" ht="13.5" customHeight="1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+'9'!J31</f>
        <v>0</v>
      </c>
      <c r="K31" s="243"/>
      <c r="L31" s="243"/>
      <c r="M31" s="122">
        <f>+K31+'9'!M31+L31</f>
        <v>0</v>
      </c>
    </row>
    <row r="32" spans="1:18" ht="13.5" customHeight="1" thickBot="1">
      <c r="A32" s="786"/>
      <c r="B32" s="170" t="s">
        <v>3</v>
      </c>
      <c r="C32" s="104">
        <f>SUM(C25:C31)</f>
        <v>22475</v>
      </c>
      <c r="D32" s="105">
        <f>SUM(D25:D31)</f>
        <v>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+'9'!J32</f>
        <v>0</v>
      </c>
      <c r="K32" s="245"/>
      <c r="L32" s="247"/>
      <c r="M32" s="122">
        <f>+K32+'9'!M32+L32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66941</v>
      </c>
      <c r="D34" s="112">
        <f>D14+D23+D32</f>
        <v>0</v>
      </c>
      <c r="E34" s="112">
        <f>E14+E23+E32</f>
        <v>0</v>
      </c>
      <c r="F34" s="113">
        <f>F14+F23+F32</f>
        <v>14</v>
      </c>
      <c r="H34" s="183"/>
      <c r="I34" s="183"/>
      <c r="J34" s="128" t="s">
        <v>29</v>
      </c>
      <c r="K34" s="129">
        <f>SUM(K7:K32)</f>
        <v>66941</v>
      </c>
      <c r="L34" s="217">
        <f>SUM(L7:L32)</f>
        <v>0</v>
      </c>
      <c r="M34" s="125">
        <f>SUM(M7:M32)</f>
        <v>493412</v>
      </c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(30*1080+28*360)/1335*G42*3.4*1335/1000000</f>
        <v>74.874351199999992</v>
      </c>
      <c r="J37" s="387">
        <f>+I37+'9'!J37</f>
        <v>575.92212760116672</v>
      </c>
      <c r="K37" s="131" t="s">
        <v>66</v>
      </c>
      <c r="L37" s="435"/>
      <c r="M37" s="436"/>
      <c r="N37" s="154">
        <f>21.735+22.916+2.693</f>
        <v>47.343999999999994</v>
      </c>
    </row>
    <row r="38" spans="1:14" ht="17.45" customHeight="1">
      <c r="A38" s="793" t="s">
        <v>13</v>
      </c>
      <c r="B38" s="794"/>
      <c r="C38" s="169">
        <f>SUMIF($G$7:$G$31,"Process",$F$7:$F$31)</f>
        <v>14</v>
      </c>
      <c r="D38" s="123">
        <f>+C38+'9'!D38</f>
        <v>774</v>
      </c>
      <c r="E38" s="148">
        <f t="shared" ref="E38:E51" si="0">D38/60</f>
        <v>12.9</v>
      </c>
      <c r="F38" s="375">
        <v>570</v>
      </c>
      <c r="G38" s="377">
        <v>501.6</v>
      </c>
      <c r="H38" s="192" t="s">
        <v>67</v>
      </c>
      <c r="I38" s="556">
        <f>21.735+22.916+23.643</f>
        <v>68.293999999999997</v>
      </c>
      <c r="J38" s="388">
        <f>+I38+'9'!J38</f>
        <v>521.048</v>
      </c>
      <c r="K38" s="133" t="s">
        <v>66</v>
      </c>
      <c r="L38" s="437"/>
      <c r="M38" s="438"/>
      <c r="N38" s="557">
        <f>+I38-N37</f>
        <v>20.950000000000003</v>
      </c>
    </row>
    <row r="39" spans="1:14" ht="17.45" customHeight="1">
      <c r="A39" s="789" t="s">
        <v>14</v>
      </c>
      <c r="B39" s="790"/>
      <c r="C39" s="169">
        <f>SUMIF($G$7:$G$23,"Cleaning",$F$7:$F$23)</f>
        <v>0</v>
      </c>
      <c r="D39" s="123">
        <f>+C39+'9'!D39</f>
        <v>0</v>
      </c>
      <c r="E39" s="148">
        <f t="shared" si="0"/>
        <v>0</v>
      </c>
      <c r="F39" s="375">
        <v>579.79166666666663</v>
      </c>
      <c r="G39" s="377">
        <v>510.21666666666664</v>
      </c>
      <c r="H39" s="192" t="s">
        <v>68</v>
      </c>
      <c r="I39" s="147"/>
      <c r="J39" s="389">
        <f>J37/G4</f>
        <v>57.592212760116674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SUMIF($G$7:$G$23,"Mechanical",$F$7:$F$23)</f>
        <v>0</v>
      </c>
      <c r="D40" s="123">
        <f>+C40+'9'!D40</f>
        <v>0</v>
      </c>
      <c r="E40" s="148">
        <f t="shared" si="0"/>
        <v>0</v>
      </c>
      <c r="F40" s="375">
        <v>617.5</v>
      </c>
      <c r="G40" s="377">
        <v>543.4</v>
      </c>
      <c r="H40" s="192" t="s">
        <v>70</v>
      </c>
      <c r="I40" s="123">
        <f>+(K34+L34)/1000</f>
        <v>66.941000000000003</v>
      </c>
      <c r="J40" s="390">
        <f>+I40+'9'!J40</f>
        <v>493.41200000000003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+C41+'9'!D41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389">
        <f>J40/G4</f>
        <v>49.341200000000001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SUMIF($G$7:$G$23,"Instrument",$F$7:$F$23)</f>
        <v>0</v>
      </c>
      <c r="D42" s="123">
        <f>+C42+'9'!D42</f>
        <v>0</v>
      </c>
      <c r="E42" s="148">
        <f t="shared" si="0"/>
        <v>0</v>
      </c>
      <c r="F42" s="375">
        <f>+(F38*480+F39*480+F40*480)/1440</f>
        <v>589.09722222222217</v>
      </c>
      <c r="G42" s="375">
        <f>+(G38*480+G39*480+G40*480)/1440</f>
        <v>518.40555555555557</v>
      </c>
      <c r="H42" s="192" t="s">
        <v>73</v>
      </c>
      <c r="I42" s="250" t="s">
        <v>555</v>
      </c>
      <c r="J42" s="391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SUMIF($G$7:$G$23,"Water",$F$7:$F$23)</f>
        <v>0</v>
      </c>
      <c r="D43" s="123">
        <f>+C43+'9'!D43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+Report1!AH18</f>
        <v>136.84199999999998</v>
      </c>
      <c r="J43" s="392">
        <f>+I43+'9'!J43</f>
        <v>1174.4740000000002</v>
      </c>
      <c r="K43" s="135" t="s">
        <v>66</v>
      </c>
      <c r="L43" s="439">
        <f>+Report1!AN18</f>
        <v>12.2</v>
      </c>
      <c r="M43" s="440">
        <f>+L43+'9'!M43</f>
        <v>104.59999999999998</v>
      </c>
    </row>
    <row r="44" spans="1:14" ht="17.45" customHeight="1">
      <c r="A44" s="789" t="s">
        <v>18</v>
      </c>
      <c r="B44" s="790"/>
      <c r="C44" s="169">
        <f>SUMIF($G$7:$G$23,"PLN",$F$7:$F$23)</f>
        <v>0</v>
      </c>
      <c r="D44" s="123">
        <f>+C44+'9'!D44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2.0037192139865874</v>
      </c>
      <c r="J44" s="392">
        <f>J43/J38</f>
        <v>2.2540610461991988</v>
      </c>
      <c r="K44" s="135" t="s">
        <v>66</v>
      </c>
      <c r="L44" s="441">
        <f>+L43/I38</f>
        <v>0.17863941195419802</v>
      </c>
      <c r="M44" s="442">
        <f>+M43/J38</f>
        <v>0.20074925918533412</v>
      </c>
    </row>
    <row r="45" spans="1:14" ht="17.45" customHeight="1">
      <c r="A45" s="789" t="s">
        <v>19</v>
      </c>
      <c r="B45" s="790"/>
      <c r="C45" s="169">
        <f>SUMIF($G$7:$G$23,"Boiler",$F$7:$F$23)</f>
        <v>0</v>
      </c>
      <c r="D45" s="123">
        <f>+C45+'9'!D45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2.0442180427540668</v>
      </c>
      <c r="J45" s="392">
        <f>J43/J40</f>
        <v>2.3803109774387328</v>
      </c>
      <c r="K45" s="135" t="s">
        <v>66</v>
      </c>
      <c r="L45" s="441">
        <f>+L43/I40</f>
        <v>0.18225004108095186</v>
      </c>
      <c r="M45" s="442">
        <f>+M43/J40</f>
        <v>0.21199322270232579</v>
      </c>
    </row>
    <row r="46" spans="1:14" ht="17.45" customHeight="1">
      <c r="A46" s="789" t="s">
        <v>79</v>
      </c>
      <c r="B46" s="790"/>
      <c r="C46" s="169">
        <f>SUMIF($G$7:$G$23,"Gas",$F$7:$F$23)</f>
        <v>0</v>
      </c>
      <c r="D46" s="123">
        <f>+C46+'9'!D46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+SUMIF(Listrik!AC17,"&gt;0")</f>
        <v>32327.010000000329</v>
      </c>
      <c r="J46" s="392">
        <f>+I46+'9'!J46</f>
        <v>307600.48</v>
      </c>
      <c r="K46" s="135" t="s">
        <v>81</v>
      </c>
      <c r="L46" s="441">
        <f>+Listrik!AF17</f>
        <v>1322</v>
      </c>
      <c r="M46" s="443">
        <f>+L46+'9'!M46</f>
        <v>12300</v>
      </c>
    </row>
    <row r="47" spans="1:14" ht="17.45" customHeight="1">
      <c r="A47" s="789" t="s">
        <v>82</v>
      </c>
      <c r="B47" s="790"/>
      <c r="C47" s="169">
        <f>SUMIF($G$7:$G$23,"Gas",$F$7:$F$23)</f>
        <v>0</v>
      </c>
      <c r="D47" s="123">
        <f>+C47+'9'!D47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473.3506603801261</v>
      </c>
      <c r="J47" s="392">
        <f>J46/J38</f>
        <v>590.34960310758311</v>
      </c>
      <c r="K47" s="135" t="s">
        <v>25</v>
      </c>
      <c r="L47" s="441">
        <f>+L46/I38</f>
        <v>19.357483819954901</v>
      </c>
      <c r="M47" s="442">
        <f>+M46/J38</f>
        <v>23.606270439575624</v>
      </c>
    </row>
    <row r="48" spans="1:14" ht="17.45" customHeight="1">
      <c r="A48" s="789" t="s">
        <v>15</v>
      </c>
      <c r="B48" s="790"/>
      <c r="C48" s="169">
        <f>SUMIF($G$7:$G$23,"Start Up",$F$7:$F$23)</f>
        <v>0</v>
      </c>
      <c r="D48" s="123">
        <f>+C48+'9'!D48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482.91794266593462</v>
      </c>
      <c r="J48" s="392">
        <f>J46/J40</f>
        <v>623.41507705528034</v>
      </c>
      <c r="K48" s="135" t="s">
        <v>25</v>
      </c>
      <c r="L48" s="441">
        <f>+L46/I38</f>
        <v>19.357483819954901</v>
      </c>
      <c r="M48" s="442">
        <f>+M46/J40</f>
        <v>24.928457354097588</v>
      </c>
    </row>
    <row r="49" spans="1:13" ht="17.45" customHeight="1">
      <c r="A49" s="789" t="s">
        <v>21</v>
      </c>
      <c r="B49" s="790"/>
      <c r="C49" s="169">
        <f>SUMIF($G$7:$G$23,"Others",$F$7:$F$23)</f>
        <v>0</v>
      </c>
      <c r="D49" s="123">
        <f>+C49+'9'!D49</f>
        <v>1680</v>
      </c>
      <c r="E49" s="148">
        <f t="shared" si="0"/>
        <v>28</v>
      </c>
      <c r="F49" s="190"/>
      <c r="H49" s="193" t="s">
        <v>170</v>
      </c>
      <c r="I49" s="123">
        <f>+Report1!AB18</f>
        <v>0</v>
      </c>
      <c r="J49" s="392">
        <f>+I49+'9'!J49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SUMIF($G$7:$G$23,"Steam",$F$7:$F$23)</f>
        <v>0</v>
      </c>
      <c r="D50" s="123">
        <f>+C50+'9'!D50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392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SUMIF($G$7:$G$23,"Planned shut",$F$7:$F$23)</f>
        <v>0</v>
      </c>
      <c r="D51" s="123">
        <f>+C51+'9'!D51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393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14</v>
      </c>
      <c r="D52" s="149">
        <f>SUM(D38:D51)</f>
        <v>2454</v>
      </c>
      <c r="E52" s="150">
        <f>SUM(E38:E51)</f>
        <v>40.9</v>
      </c>
      <c r="F52" s="190"/>
      <c r="H52" s="196"/>
      <c r="I52" s="197"/>
      <c r="J52" s="394"/>
      <c r="K52" s="144"/>
      <c r="L52" s="444"/>
      <c r="M52" s="445"/>
    </row>
    <row r="53" spans="1:13" ht="13.5" thickBot="1">
      <c r="A53" s="797"/>
      <c r="B53" s="798"/>
      <c r="C53" s="151">
        <f>C52/(24*60)</f>
        <v>9.7222222222222224E-3</v>
      </c>
      <c r="D53" s="151">
        <f>D52/(24*60*G4)</f>
        <v>0.17041666666666666</v>
      </c>
      <c r="E53" s="152">
        <f>E52/(G4*24)</f>
        <v>0.17041666666666666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+D34+'9'!J56</f>
        <v>14689</v>
      </c>
      <c r="K56" s="206">
        <f>J56/(J40+J56/1000)/1000</f>
        <v>2.890960655460233E-2</v>
      </c>
    </row>
    <row r="57" spans="1:13">
      <c r="A57" s="181"/>
      <c r="I57" s="204" t="s">
        <v>92</v>
      </c>
      <c r="J57" s="205">
        <f>+E34+'9'!J57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15014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R61"/>
  <sheetViews>
    <sheetView view="pageBreakPreview" zoomScale="80" zoomScaleNormal="75" zoomScaleSheetLayoutView="80" workbookViewId="0">
      <selection activeCell="G24" sqref="G24:H28"/>
    </sheetView>
  </sheetViews>
  <sheetFormatPr defaultColWidth="9.140625" defaultRowHeight="12.75"/>
  <cols>
    <col min="1" max="1" width="8" style="154" customWidth="1"/>
    <col min="2" max="2" width="12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10.5703125" style="154" bestFit="1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9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296+295+297</f>
        <v>888</v>
      </c>
    </row>
    <row r="7" spans="1:18" ht="13.5" customHeight="1" thickBot="1">
      <c r="A7" s="777" t="s">
        <v>412</v>
      </c>
      <c r="B7" s="220" t="s">
        <v>523</v>
      </c>
      <c r="C7" s="221">
        <v>22137</v>
      </c>
      <c r="D7" s="222"/>
      <c r="E7" s="223"/>
      <c r="F7" s="232"/>
      <c r="G7" s="233" t="s">
        <v>13</v>
      </c>
      <c r="H7" s="234" t="s">
        <v>394</v>
      </c>
      <c r="I7" s="780" t="s">
        <v>536</v>
      </c>
      <c r="J7" s="219" t="str">
        <f>+'8'!J7</f>
        <v>TW 17 RC HW</v>
      </c>
      <c r="K7" s="242"/>
      <c r="L7" s="246"/>
      <c r="M7" s="122">
        <f>+K7+'8'!M7+L7</f>
        <v>44630</v>
      </c>
    </row>
    <row r="8" spans="1:18" ht="13.5" thickBot="1">
      <c r="A8" s="778"/>
      <c r="B8" s="220"/>
      <c r="C8" s="221"/>
      <c r="D8" s="222"/>
      <c r="E8" s="224"/>
      <c r="F8" s="235"/>
      <c r="G8" s="581" t="s">
        <v>13</v>
      </c>
      <c r="H8" s="234" t="s">
        <v>430</v>
      </c>
      <c r="I8" s="781"/>
      <c r="J8" s="219" t="str">
        <f>+'8'!J8</f>
        <v>N 18 RC HW</v>
      </c>
      <c r="K8" s="243"/>
      <c r="L8" s="243"/>
      <c r="M8" s="122">
        <f>+K8+'8'!M8+L8</f>
        <v>105194</v>
      </c>
      <c r="N8" s="154">
        <v>430</v>
      </c>
      <c r="O8" s="154">
        <f>+N8-N8*0.12</f>
        <v>378.4</v>
      </c>
      <c r="P8" s="154">
        <v>10</v>
      </c>
      <c r="Q8" s="154">
        <f>+N8*P8</f>
        <v>4300</v>
      </c>
      <c r="R8" s="154">
        <f>+O8*P8</f>
        <v>3784</v>
      </c>
    </row>
    <row r="9" spans="1:18" ht="13.5" thickBot="1">
      <c r="A9" s="778"/>
      <c r="B9" s="220"/>
      <c r="C9" s="221"/>
      <c r="D9" s="222"/>
      <c r="E9" s="225"/>
      <c r="F9" s="232">
        <v>6</v>
      </c>
      <c r="G9" s="581" t="s">
        <v>13</v>
      </c>
      <c r="H9" s="237" t="s">
        <v>226</v>
      </c>
      <c r="I9" s="781"/>
      <c r="J9" s="219" t="str">
        <f>+'8'!J9</f>
        <v>N 20 RC HW</v>
      </c>
      <c r="K9" s="243"/>
      <c r="L9" s="243"/>
      <c r="M9" s="122">
        <f>+K9+'8'!M9+L9</f>
        <v>71479</v>
      </c>
      <c r="N9" s="154">
        <v>450</v>
      </c>
      <c r="O9" s="154">
        <f>+N9-N9*0.12</f>
        <v>396</v>
      </c>
      <c r="P9" s="154">
        <f>470+465</f>
        <v>935</v>
      </c>
      <c r="Q9" s="154">
        <f>+N9*P9</f>
        <v>420750</v>
      </c>
      <c r="R9" s="154">
        <f>+O9*P9</f>
        <v>370260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531</v>
      </c>
      <c r="I10" s="781"/>
      <c r="J10" s="219" t="str">
        <f>+'8'!J10</f>
        <v>N 17 RC HW</v>
      </c>
      <c r="K10" s="243"/>
      <c r="L10" s="243"/>
      <c r="M10" s="122">
        <f>+K10+'8'!M10+L10</f>
        <v>5253</v>
      </c>
      <c r="P10" s="154">
        <f>SUM(P8:P9)</f>
        <v>945</v>
      </c>
      <c r="Q10" s="154">
        <f>SUM(Q8:Q9)</f>
        <v>425050</v>
      </c>
      <c r="R10" s="154">
        <f>SUM(R8:R9)</f>
        <v>374044</v>
      </c>
    </row>
    <row r="11" spans="1:18" ht="13.5" thickBot="1">
      <c r="A11" s="778"/>
      <c r="B11" s="220"/>
      <c r="C11" s="221"/>
      <c r="D11" s="222"/>
      <c r="E11" s="224"/>
      <c r="F11" s="232"/>
      <c r="G11" s="236"/>
      <c r="H11" s="237" t="s">
        <v>532</v>
      </c>
      <c r="I11" s="781"/>
      <c r="J11" s="219" t="str">
        <f>+'8'!J11</f>
        <v>N 18,5 RC HW</v>
      </c>
      <c r="K11" s="243"/>
      <c r="L11" s="243"/>
      <c r="M11" s="122">
        <f>+K11+'8'!M11+L11</f>
        <v>10930</v>
      </c>
      <c r="Q11" s="154">
        <f>+Q10/P10</f>
        <v>449.7883597883598</v>
      </c>
      <c r="R11" s="154">
        <f>+R10/P10</f>
        <v>395.8137566137566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+'8'!J12</f>
        <v>TW 32 RC HW</v>
      </c>
      <c r="K12" s="243"/>
      <c r="L12" s="243"/>
      <c r="M12" s="122">
        <f>+K12+'8'!M12+L12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tr">
        <f>+'8'!J13</f>
        <v>TW 34 RC HW</v>
      </c>
      <c r="K13" s="243">
        <f>+C26</f>
        <v>11059</v>
      </c>
      <c r="L13" s="243"/>
      <c r="M13" s="122">
        <f>+K13+'8'!M13+L13</f>
        <v>22635</v>
      </c>
    </row>
    <row r="14" spans="1:18" ht="13.5" thickBot="1">
      <c r="A14" s="779"/>
      <c r="B14" s="170" t="s">
        <v>3</v>
      </c>
      <c r="C14" s="104">
        <f>SUM(C7:C13)</f>
        <v>22137</v>
      </c>
      <c r="D14" s="116">
        <f>SUM(D7:D13)</f>
        <v>0</v>
      </c>
      <c r="E14" s="117">
        <f>SUM(E5:E13)</f>
        <v>0</v>
      </c>
      <c r="F14" s="107">
        <f>SUM(F6:F13)</f>
        <v>6</v>
      </c>
      <c r="G14" s="164"/>
      <c r="H14" s="171"/>
      <c r="I14" s="172"/>
      <c r="J14" s="219" t="str">
        <f>+'8'!J14</f>
        <v>TW 36 RC HW</v>
      </c>
      <c r="K14" s="243"/>
      <c r="L14" s="243"/>
      <c r="M14" s="122">
        <f>+K14+'8'!M14+L14</f>
        <v>33555</v>
      </c>
    </row>
    <row r="15" spans="1:18" ht="13.5" customHeight="1" thickBot="1">
      <c r="A15" s="777" t="s">
        <v>413</v>
      </c>
      <c r="B15" s="170"/>
      <c r="C15" s="118">
        <f>C14/($C$23+$D$23+$E$23)</f>
        <v>0.95797992037389645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537</v>
      </c>
      <c r="J15" s="219" t="str">
        <f>+'8'!J15</f>
        <v>TW 38 RC HW</v>
      </c>
      <c r="K15" s="243">
        <f>+C7+C16+C25</f>
        <v>48980</v>
      </c>
      <c r="L15" s="243"/>
      <c r="M15" s="122">
        <f>+K15+'8'!M15+L15</f>
        <v>50415</v>
      </c>
    </row>
    <row r="16" spans="1:18" ht="13.5" thickBot="1">
      <c r="A16" s="783"/>
      <c r="B16" s="220" t="s">
        <v>523</v>
      </c>
      <c r="C16" s="226">
        <v>22486</v>
      </c>
      <c r="D16" s="227">
        <v>622</v>
      </c>
      <c r="E16" s="228"/>
      <c r="F16" s="235"/>
      <c r="G16" s="581" t="s">
        <v>13</v>
      </c>
      <c r="H16" s="234" t="s">
        <v>430</v>
      </c>
      <c r="I16" s="781"/>
      <c r="J16" s="219" t="s">
        <v>542</v>
      </c>
      <c r="K16" s="243">
        <f>+C27</f>
        <v>6858</v>
      </c>
      <c r="L16" s="233"/>
      <c r="M16" s="122">
        <f>+K16+'8'!M16+L16</f>
        <v>6858</v>
      </c>
    </row>
    <row r="17" spans="1:18" ht="13.5" thickBot="1">
      <c r="A17" s="783"/>
      <c r="B17" s="220"/>
      <c r="C17" s="221"/>
      <c r="D17" s="222"/>
      <c r="E17" s="229"/>
      <c r="F17" s="232">
        <v>1</v>
      </c>
      <c r="G17" s="581" t="s">
        <v>13</v>
      </c>
      <c r="H17" s="237" t="s">
        <v>226</v>
      </c>
      <c r="I17" s="781"/>
      <c r="J17" s="219">
        <f>+'8'!J17</f>
        <v>0</v>
      </c>
      <c r="K17" s="243"/>
      <c r="L17" s="233"/>
      <c r="M17" s="122">
        <f>+K17+'8'!M17+L17</f>
        <v>0</v>
      </c>
      <c r="N17" s="154">
        <v>450</v>
      </c>
      <c r="O17" s="154">
        <f>+N17-N17*0.12</f>
        <v>396</v>
      </c>
      <c r="P17" s="154">
        <f>480-15</f>
        <v>465</v>
      </c>
      <c r="Q17" s="154">
        <f>+N17*P17</f>
        <v>209250</v>
      </c>
      <c r="R17" s="154">
        <f>+O17*P17</f>
        <v>184140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533</v>
      </c>
      <c r="I18" s="781"/>
      <c r="J18" s="219">
        <f>+'8'!J18</f>
        <v>0</v>
      </c>
      <c r="K18" s="243"/>
      <c r="L18" s="243"/>
      <c r="M18" s="122">
        <f>+K18+'8'!M18+L18</f>
        <v>0</v>
      </c>
      <c r="N18" s="154">
        <v>500</v>
      </c>
      <c r="O18" s="154">
        <f>+N18-N18*0.12</f>
        <v>440</v>
      </c>
      <c r="P18" s="154">
        <v>15</v>
      </c>
      <c r="Q18" s="154">
        <f>+N18*P18</f>
        <v>7500</v>
      </c>
      <c r="R18" s="154">
        <f>+O18*P18</f>
        <v>6600</v>
      </c>
    </row>
    <row r="19" spans="1:18" ht="13.5" thickBot="1">
      <c r="A19" s="783"/>
      <c r="B19" s="220"/>
      <c r="C19" s="221"/>
      <c r="D19" s="222"/>
      <c r="E19" s="229"/>
      <c r="F19" s="239">
        <v>1</v>
      </c>
      <c r="G19" s="236" t="s">
        <v>13</v>
      </c>
      <c r="H19" s="237" t="s">
        <v>534</v>
      </c>
      <c r="I19" s="781"/>
      <c r="J19" s="219">
        <f>+'8'!J19</f>
        <v>0</v>
      </c>
      <c r="K19" s="243"/>
      <c r="L19" s="243"/>
      <c r="M19" s="122">
        <f>+K19+'8'!M19+L19</f>
        <v>0</v>
      </c>
      <c r="P19" s="154">
        <f>SUM(P17:P18)</f>
        <v>480</v>
      </c>
      <c r="Q19" s="154">
        <f>SUM(Q17:Q18)</f>
        <v>216750</v>
      </c>
      <c r="R19" s="154">
        <f>SUM(R17:R18)</f>
        <v>190740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+'8'!J20</f>
        <v>0</v>
      </c>
      <c r="K20" s="244"/>
      <c r="L20" s="244"/>
      <c r="M20" s="122">
        <f>+K20+'8'!M20+L20</f>
        <v>0</v>
      </c>
      <c r="Q20" s="154">
        <f>+Q19/P19</f>
        <v>451.5625</v>
      </c>
      <c r="R20" s="154">
        <f>+R19/P19</f>
        <v>397.375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+'8'!J21</f>
        <v>0</v>
      </c>
      <c r="K21" s="243"/>
      <c r="L21" s="243"/>
      <c r="M21" s="122">
        <f>+K21+'8'!M21+L21</f>
        <v>0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+'8'!J22</f>
        <v>0</v>
      </c>
      <c r="K22" s="243"/>
      <c r="L22" s="243"/>
      <c r="M22" s="122">
        <f>+K22+'8'!M22+L22</f>
        <v>0</v>
      </c>
    </row>
    <row r="23" spans="1:18" ht="13.5" thickBot="1">
      <c r="A23" s="784"/>
      <c r="B23" s="170" t="s">
        <v>3</v>
      </c>
      <c r="C23" s="105">
        <f>SUM(C16:C22)</f>
        <v>22486</v>
      </c>
      <c r="D23" s="116">
        <f>SUM(D16:D22)</f>
        <v>622</v>
      </c>
      <c r="E23" s="117">
        <f>SUM(E18:E22)</f>
        <v>0</v>
      </c>
      <c r="F23" s="107">
        <f>SUM(F15:F22)</f>
        <v>2</v>
      </c>
      <c r="G23" s="164"/>
      <c r="H23" s="171"/>
      <c r="I23" s="174"/>
      <c r="J23" s="219">
        <f>+'8'!J23</f>
        <v>0</v>
      </c>
      <c r="K23" s="243"/>
      <c r="L23" s="243"/>
      <c r="M23" s="122">
        <f>+K23+'8'!M23+L23</f>
        <v>0</v>
      </c>
    </row>
    <row r="24" spans="1:18" ht="13.5" customHeight="1" thickBot="1">
      <c r="A24" s="777" t="s">
        <v>414</v>
      </c>
      <c r="B24" s="175"/>
      <c r="C24" s="118">
        <f>C23/($C$23+$D$23+$E$23)</f>
        <v>0.97308291500778954</v>
      </c>
      <c r="D24" s="119">
        <f>D23/($C$23+$D$23+$E$23)</f>
        <v>2.6917084992210488E-2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538</v>
      </c>
      <c r="J24" s="219">
        <f>+'8'!J24</f>
        <v>0</v>
      </c>
      <c r="K24" s="243"/>
      <c r="L24" s="243"/>
      <c r="M24" s="122">
        <f>+K24+'8'!M24+L24</f>
        <v>0</v>
      </c>
    </row>
    <row r="25" spans="1:18" ht="13.5" customHeight="1" thickBot="1">
      <c r="A25" s="785"/>
      <c r="B25" s="220" t="s">
        <v>523</v>
      </c>
      <c r="C25" s="230">
        <f>2043+2314</f>
        <v>4357</v>
      </c>
      <c r="D25" s="222"/>
      <c r="E25" s="229"/>
      <c r="F25" s="235">
        <v>3</v>
      </c>
      <c r="G25" s="581" t="s">
        <v>13</v>
      </c>
      <c r="H25" s="234" t="s">
        <v>392</v>
      </c>
      <c r="I25" s="781"/>
      <c r="J25" s="219">
        <f>+'8'!J25</f>
        <v>0</v>
      </c>
      <c r="K25" s="243"/>
      <c r="L25" s="243"/>
      <c r="M25" s="122">
        <f>+K25+'8'!M25+L25</f>
        <v>0</v>
      </c>
    </row>
    <row r="26" spans="1:18" ht="13.5" customHeight="1" thickBot="1">
      <c r="A26" s="785"/>
      <c r="B26" s="220" t="s">
        <v>521</v>
      </c>
      <c r="C26" s="230">
        <v>11059</v>
      </c>
      <c r="D26" s="222"/>
      <c r="E26" s="231"/>
      <c r="F26" s="232">
        <v>2</v>
      </c>
      <c r="G26" s="581" t="s">
        <v>13</v>
      </c>
      <c r="H26" s="237" t="s">
        <v>226</v>
      </c>
      <c r="I26" s="781"/>
      <c r="J26" s="219">
        <f>+'8'!J26</f>
        <v>0</v>
      </c>
      <c r="K26" s="243"/>
      <c r="L26" s="243"/>
      <c r="M26" s="122">
        <f>+K26+'8'!M26+L26</f>
        <v>0</v>
      </c>
      <c r="N26" s="154">
        <v>500</v>
      </c>
      <c r="O26" s="154">
        <f>+N26-N26*0.12</f>
        <v>440</v>
      </c>
      <c r="P26" s="154">
        <f>180+30</f>
        <v>210</v>
      </c>
      <c r="Q26" s="154">
        <f>+N26*P26</f>
        <v>105000</v>
      </c>
      <c r="R26" s="154">
        <f>+O26*P26</f>
        <v>92400</v>
      </c>
    </row>
    <row r="27" spans="1:18" ht="13.5" customHeight="1" thickBot="1">
      <c r="A27" s="785"/>
      <c r="B27" s="220" t="s">
        <v>542</v>
      </c>
      <c r="C27" s="221">
        <f>1379+5479</f>
        <v>6858</v>
      </c>
      <c r="D27" s="222"/>
      <c r="E27" s="229"/>
      <c r="F27" s="232"/>
      <c r="G27" s="581"/>
      <c r="H27" s="237" t="s">
        <v>543</v>
      </c>
      <c r="I27" s="781"/>
      <c r="J27" s="219">
        <f>+'8'!J27</f>
        <v>0</v>
      </c>
      <c r="K27" s="243"/>
      <c r="L27" s="243"/>
      <c r="M27" s="122">
        <f>+K27+'8'!M27+L27</f>
        <v>0</v>
      </c>
      <c r="N27" s="154">
        <v>545</v>
      </c>
      <c r="O27" s="154">
        <f>+N27-N27*0.12</f>
        <v>479.6</v>
      </c>
      <c r="P27" s="154">
        <f>30+240</f>
        <v>270</v>
      </c>
      <c r="Q27" s="154">
        <f>+N27*P27</f>
        <v>147150</v>
      </c>
      <c r="R27" s="154">
        <f>+O27*P27</f>
        <v>129492</v>
      </c>
    </row>
    <row r="28" spans="1:18" ht="13.5" customHeight="1" thickBot="1">
      <c r="A28" s="785"/>
      <c r="B28" s="220"/>
      <c r="C28" s="221"/>
      <c r="D28" s="222"/>
      <c r="E28" s="229"/>
      <c r="F28" s="235">
        <v>5</v>
      </c>
      <c r="G28" s="236" t="s">
        <v>13</v>
      </c>
      <c r="H28" s="237" t="s">
        <v>535</v>
      </c>
      <c r="I28" s="781"/>
      <c r="J28" s="219">
        <f>+'8'!J28</f>
        <v>0</v>
      </c>
      <c r="K28" s="243"/>
      <c r="L28" s="243"/>
      <c r="M28" s="122">
        <f>+K28+'8'!M28+L28</f>
        <v>0</v>
      </c>
      <c r="P28" s="154">
        <f>SUM(P26:P27)</f>
        <v>480</v>
      </c>
      <c r="Q28" s="154">
        <f>SUM(Q26:Q27)</f>
        <v>252150</v>
      </c>
      <c r="R28" s="154">
        <f>SUM(R26:R27)</f>
        <v>221892</v>
      </c>
    </row>
    <row r="29" spans="1:18" ht="13.5" customHeight="1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+'8'!J29</f>
        <v>0</v>
      </c>
      <c r="K29" s="243"/>
      <c r="L29" s="243"/>
      <c r="M29" s="122">
        <f>+K29+'8'!M29+L29</f>
        <v>0</v>
      </c>
      <c r="Q29" s="154">
        <f>+Q28/P28</f>
        <v>525.3125</v>
      </c>
      <c r="R29" s="154">
        <f>+R28/P28</f>
        <v>462.27499999999998</v>
      </c>
    </row>
    <row r="30" spans="1:18" ht="13.5" customHeight="1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+'8'!J30</f>
        <v>0</v>
      </c>
      <c r="K30" s="243"/>
      <c r="L30" s="243"/>
      <c r="M30" s="122">
        <f>+K30+'8'!M30+L30</f>
        <v>0</v>
      </c>
    </row>
    <row r="31" spans="1:18" ht="13.5" customHeight="1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+'8'!J31</f>
        <v>0</v>
      </c>
      <c r="K31" s="243"/>
      <c r="L31" s="243"/>
      <c r="M31" s="122">
        <f>+K31+'8'!M31+L31</f>
        <v>0</v>
      </c>
    </row>
    <row r="32" spans="1:18" ht="13.5" customHeight="1" thickBot="1">
      <c r="A32" s="786"/>
      <c r="B32" s="170" t="s">
        <v>3</v>
      </c>
      <c r="C32" s="104">
        <f>SUM(C25:C31)</f>
        <v>22274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+'8'!J32</f>
        <v>0</v>
      </c>
      <c r="K32" s="245"/>
      <c r="L32" s="247"/>
      <c r="M32" s="122">
        <f>+K32+'8'!M32+L32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66897</v>
      </c>
      <c r="D34" s="112">
        <f>D14+D23+D32</f>
        <v>622</v>
      </c>
      <c r="E34" s="112">
        <f>E14+E23+E32</f>
        <v>0</v>
      </c>
      <c r="F34" s="113">
        <f>F14+F23+F32</f>
        <v>18</v>
      </c>
      <c r="H34" s="183"/>
      <c r="I34" s="183"/>
      <c r="J34" s="128" t="s">
        <v>29</v>
      </c>
      <c r="K34" s="129">
        <f>SUM(K7:K32)</f>
        <v>66897</v>
      </c>
      <c r="L34" s="217">
        <f>SUM(L7:L32)</f>
        <v>0</v>
      </c>
      <c r="M34" s="125">
        <f>SUM(M7:M32)</f>
        <v>426471</v>
      </c>
    </row>
    <row r="35" spans="1:14" ht="13.5" thickBot="1">
      <c r="A35" s="184"/>
      <c r="B35" s="185"/>
      <c r="C35" s="109">
        <f>C34/($C$34+$D$34+$E$34)</f>
        <v>0.99078777825500974</v>
      </c>
      <c r="D35" s="109">
        <f>D34/($C$34+$D$34+$E$34)</f>
        <v>9.2122217449902982E-3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(38*945+34*225+30*270)/1440*G42*3.4*1440/1000000</f>
        <v>73.494328600000003</v>
      </c>
      <c r="J37" s="130">
        <f>+I37+'8'!J37</f>
        <v>501.04777640116674</v>
      </c>
      <c r="K37" s="131" t="s">
        <v>66</v>
      </c>
      <c r="L37" s="435"/>
      <c r="M37" s="436"/>
      <c r="N37" s="154">
        <v>43.844000000000001</v>
      </c>
    </row>
    <row r="38" spans="1:14" ht="17.45" customHeight="1">
      <c r="A38" s="793" t="s">
        <v>13</v>
      </c>
      <c r="B38" s="794"/>
      <c r="C38" s="169">
        <f>SUMIF($G$7:$G$31,"Process",$F$7:$F$31)</f>
        <v>18</v>
      </c>
      <c r="D38" s="123">
        <f>+C38+'8'!D38</f>
        <v>760</v>
      </c>
      <c r="E38" s="148">
        <f t="shared" ref="E38:E51" si="0">D38/60</f>
        <v>12.666666666666666</v>
      </c>
      <c r="F38" s="375">
        <v>449.58333333333331</v>
      </c>
      <c r="G38" s="375">
        <v>395.63333333333333</v>
      </c>
      <c r="H38" s="192" t="s">
        <v>67</v>
      </c>
      <c r="I38" s="556">
        <f>22.235+23.12+22.308</f>
        <v>67.663000000000011</v>
      </c>
      <c r="J38" s="132">
        <f>+I38+'8'!J38</f>
        <v>452.75400000000002</v>
      </c>
      <c r="K38" s="133" t="s">
        <v>66</v>
      </c>
      <c r="L38" s="437"/>
      <c r="M38" s="438"/>
      <c r="N38" s="154">
        <v>13.723000000000001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+C39+'8'!D39</f>
        <v>0</v>
      </c>
      <c r="E39" s="148">
        <f t="shared" si="0"/>
        <v>0</v>
      </c>
      <c r="F39" s="375">
        <v>451.5625</v>
      </c>
      <c r="G39" s="375">
        <v>397.375</v>
      </c>
      <c r="H39" s="192" t="s">
        <v>68</v>
      </c>
      <c r="I39" s="147"/>
      <c r="J39" s="134">
        <f>J37/G4</f>
        <v>55.671975155685196</v>
      </c>
      <c r="K39" s="135" t="s">
        <v>66</v>
      </c>
      <c r="L39" s="437"/>
      <c r="M39" s="438"/>
      <c r="N39" s="154">
        <v>12.212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+C40+'8'!D40</f>
        <v>0</v>
      </c>
      <c r="E40" s="148">
        <f t="shared" si="0"/>
        <v>0</v>
      </c>
      <c r="F40" s="375">
        <v>525.3125</v>
      </c>
      <c r="G40" s="375">
        <v>462.27499999999998</v>
      </c>
      <c r="H40" s="192" t="s">
        <v>70</v>
      </c>
      <c r="I40" s="123">
        <f>(K34+L34)/1000</f>
        <v>66.897000000000006</v>
      </c>
      <c r="J40" s="136">
        <f>+I40+'8'!J40</f>
        <v>426.471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+C41+'8'!D41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47.385666666666665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+C42+'8'!D42</f>
        <v>0</v>
      </c>
      <c r="E42" s="148">
        <f t="shared" si="0"/>
        <v>0</v>
      </c>
      <c r="F42" s="375">
        <f>+(F38*480+F39*480+F40*480)/1440</f>
        <v>475.48611111111109</v>
      </c>
      <c r="G42" s="375">
        <f>+(G38*480+G39*480+G40*480)/1440</f>
        <v>418.42777777777781</v>
      </c>
      <c r="H42" s="192" t="s">
        <v>73</v>
      </c>
      <c r="I42" s="250" t="s">
        <v>539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+C43+'8'!D43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+Report1!AH17</f>
        <v>125.21300000000001</v>
      </c>
      <c r="J43" s="138">
        <f>+I43+'8'!J43</f>
        <v>1037.6320000000001</v>
      </c>
      <c r="K43" s="135" t="s">
        <v>66</v>
      </c>
      <c r="L43" s="439">
        <f>+Report1!AN17</f>
        <v>14.1</v>
      </c>
      <c r="M43" s="440">
        <f>+L43+'8'!M43</f>
        <v>92.399999999999977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+C44+'8'!D44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1.8505386991413326</v>
      </c>
      <c r="J44" s="139">
        <f>J43/J38</f>
        <v>2.2918229325417334</v>
      </c>
      <c r="K44" s="135" t="s">
        <v>66</v>
      </c>
      <c r="L44" s="441">
        <f>+L43/I38</f>
        <v>0.2083856760711171</v>
      </c>
      <c r="M44" s="442">
        <f>+M43/J38</f>
        <v>0.20408433718973212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+C45+'8'!D45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1.8717281791410676</v>
      </c>
      <c r="J45" s="139">
        <f>J43/J40</f>
        <v>2.4330657887640661</v>
      </c>
      <c r="K45" s="135" t="s">
        <v>66</v>
      </c>
      <c r="L45" s="441">
        <f>+L43/I40</f>
        <v>0.21077178348804876</v>
      </c>
      <c r="M45" s="442">
        <f>+M43/J40</f>
        <v>0.21666185977475602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+C46+'8'!D46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+SUMIF(Listrik!AC16,"&gt;0")</f>
        <v>30853.789999999455</v>
      </c>
      <c r="J46" s="140">
        <f>+I46+'8'!J46</f>
        <v>275273.46999999962</v>
      </c>
      <c r="K46" s="135" t="s">
        <v>81</v>
      </c>
      <c r="L46" s="441">
        <f>+Listrik!AF16</f>
        <v>1387</v>
      </c>
      <c r="M46" s="443">
        <f>+L46+'8'!M46</f>
        <v>10978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+C47+'8'!D47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455.99204883022406</v>
      </c>
      <c r="J47" s="140">
        <f>J46/J38</f>
        <v>607.99787522583927</v>
      </c>
      <c r="K47" s="135" t="s">
        <v>25</v>
      </c>
      <c r="L47" s="441">
        <f>+L46/I38</f>
        <v>20.498647709974428</v>
      </c>
      <c r="M47" s="442">
        <f>+M46/J38</f>
        <v>24.247162918494368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+C48+'8'!D48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461.21335784862481</v>
      </c>
      <c r="J48" s="140">
        <f>J46/J40</f>
        <v>645.46820299621686</v>
      </c>
      <c r="K48" s="135" t="s">
        <v>25</v>
      </c>
      <c r="L48" s="441">
        <f>+L46/I38</f>
        <v>20.498647709974428</v>
      </c>
      <c r="M48" s="442">
        <f>+M46/J40</f>
        <v>25.741492387524591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+C49+'8'!D49</f>
        <v>1680</v>
      </c>
      <c r="E49" s="148">
        <f t="shared" si="0"/>
        <v>28</v>
      </c>
      <c r="F49" s="190"/>
      <c r="H49" s="193" t="s">
        <v>170</v>
      </c>
      <c r="I49" s="123">
        <f>+Report1!AB17</f>
        <v>0</v>
      </c>
      <c r="J49" s="140">
        <f>+I49+'8'!J49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+C50+'8'!D50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+C51+'8'!D51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18</v>
      </c>
      <c r="D52" s="149">
        <f>SUM(D38:D51)</f>
        <v>2440</v>
      </c>
      <c r="E52" s="150">
        <f>SUM(E38:E51)</f>
        <v>40.666666666666664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1.2500000000000001E-2</v>
      </c>
      <c r="D53" s="151">
        <f>D52/(24*60*G4)</f>
        <v>0.18827160493827161</v>
      </c>
      <c r="E53" s="152">
        <f>E52/(G4*24)</f>
        <v>0.18827160493827158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+D34+'8'!J56</f>
        <v>14689</v>
      </c>
      <c r="K56" s="206">
        <f>J56/(J40+J56/1000)/1000</f>
        <v>3.3296309728896543E-2</v>
      </c>
    </row>
    <row r="57" spans="1:13">
      <c r="A57" s="181"/>
      <c r="I57" s="204" t="s">
        <v>92</v>
      </c>
      <c r="J57" s="205">
        <f>+E34+'8'!J57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60">
        <f>+J56+325</f>
        <v>15014</v>
      </c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R61"/>
  <sheetViews>
    <sheetView view="pageBreakPreview" zoomScale="80" zoomScaleNormal="75" zoomScaleSheetLayoutView="80" workbookViewId="0">
      <selection activeCell="H19" sqref="H1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3.7109375" style="154" bestFit="1" customWidth="1"/>
    <col min="13" max="13" width="1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8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297+302+294</f>
        <v>893</v>
      </c>
    </row>
    <row r="7" spans="1:18" ht="13.5" customHeight="1" thickBot="1">
      <c r="A7" s="777" t="s">
        <v>412</v>
      </c>
      <c r="B7" s="220" t="s">
        <v>509</v>
      </c>
      <c r="C7" s="221">
        <f>12192+4872</f>
        <v>17064</v>
      </c>
      <c r="D7" s="222"/>
      <c r="E7" s="223"/>
      <c r="F7" s="232"/>
      <c r="G7" s="233" t="s">
        <v>13</v>
      </c>
      <c r="H7" s="234" t="s">
        <v>394</v>
      </c>
      <c r="I7" s="780" t="s">
        <v>517</v>
      </c>
      <c r="J7" s="219" t="str">
        <f>+'7'!J7</f>
        <v>TW 17 RC HW</v>
      </c>
      <c r="K7" s="242"/>
      <c r="L7" s="246"/>
      <c r="M7" s="122">
        <f>+K7+'7'!M7+L7</f>
        <v>44630</v>
      </c>
    </row>
    <row r="8" spans="1:18" ht="13.5" thickBot="1">
      <c r="A8" s="778"/>
      <c r="B8" s="220" t="s">
        <v>521</v>
      </c>
      <c r="C8" s="221">
        <f>2016+797</f>
        <v>2813</v>
      </c>
      <c r="D8" s="222">
        <v>1400</v>
      </c>
      <c r="E8" s="224"/>
      <c r="F8" s="235">
        <v>5</v>
      </c>
      <c r="G8" s="581" t="s">
        <v>13</v>
      </c>
      <c r="H8" s="234" t="s">
        <v>392</v>
      </c>
      <c r="I8" s="781"/>
      <c r="J8" s="219" t="str">
        <f>+'7'!J8</f>
        <v>N 18 RC HW</v>
      </c>
      <c r="K8" s="243"/>
      <c r="L8" s="243"/>
      <c r="M8" s="122">
        <f>+K8+'7'!M8+L8</f>
        <v>105194</v>
      </c>
      <c r="N8" s="154">
        <v>510</v>
      </c>
      <c r="O8" s="154">
        <f>+N8-N8*0.12</f>
        <v>448.8</v>
      </c>
      <c r="P8" s="154">
        <v>300</v>
      </c>
      <c r="Q8" s="154">
        <f>+N8*P8</f>
        <v>153000</v>
      </c>
      <c r="R8" s="154">
        <f>+O8*P8</f>
        <v>134640</v>
      </c>
    </row>
    <row r="9" spans="1:18" ht="13.5" thickBot="1">
      <c r="A9" s="778"/>
      <c r="B9" s="220"/>
      <c r="C9" s="221"/>
      <c r="D9" s="222"/>
      <c r="E9" s="225"/>
      <c r="F9" s="232">
        <v>5</v>
      </c>
      <c r="G9" s="581" t="s">
        <v>13</v>
      </c>
      <c r="H9" s="237" t="s">
        <v>226</v>
      </c>
      <c r="I9" s="781"/>
      <c r="J9" s="219" t="str">
        <f>+'7'!J9</f>
        <v>N 20 RC HW</v>
      </c>
      <c r="K9" s="243"/>
      <c r="L9" s="243"/>
      <c r="M9" s="122">
        <f>+K9+'7'!M9+L9</f>
        <v>71479</v>
      </c>
      <c r="N9" s="154">
        <v>480</v>
      </c>
      <c r="O9" s="154">
        <f>+N9-N9*0.12</f>
        <v>422.4</v>
      </c>
      <c r="P9" s="154">
        <v>180</v>
      </c>
      <c r="Q9" s="154">
        <f>+N9*P9</f>
        <v>86400</v>
      </c>
      <c r="R9" s="154">
        <f>+O9*P9</f>
        <v>76032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503</v>
      </c>
      <c r="I10" s="781"/>
      <c r="J10" s="219" t="str">
        <f>+'7'!J10</f>
        <v>N 17 RC HW</v>
      </c>
      <c r="K10" s="243"/>
      <c r="L10" s="243"/>
      <c r="M10" s="122">
        <f>+K10+'7'!M10+L10</f>
        <v>5253</v>
      </c>
      <c r="P10" s="154">
        <f>SUM(P8:P9)</f>
        <v>480</v>
      </c>
      <c r="Q10" s="154">
        <f>SUM(Q8:Q9)</f>
        <v>239400</v>
      </c>
      <c r="R10" s="154">
        <f>SUM(R8:R9)</f>
        <v>210672</v>
      </c>
    </row>
    <row r="11" spans="1:18" ht="13.5" thickBot="1">
      <c r="A11" s="778"/>
      <c r="B11" s="220"/>
      <c r="C11" s="221"/>
      <c r="D11" s="222"/>
      <c r="E11" s="224"/>
      <c r="F11" s="232"/>
      <c r="G11" s="236"/>
      <c r="H11" s="237" t="s">
        <v>512</v>
      </c>
      <c r="I11" s="781"/>
      <c r="J11" s="219" t="str">
        <f>+'7'!J11</f>
        <v>N 18,5 RC HW</v>
      </c>
      <c r="K11" s="243"/>
      <c r="L11" s="243"/>
      <c r="M11" s="122">
        <f>+K11+'7'!M11+L11</f>
        <v>10930</v>
      </c>
      <c r="Q11" s="154">
        <f>+Q10/P10</f>
        <v>498.75</v>
      </c>
      <c r="R11" s="154">
        <f>+R10/P10</f>
        <v>438.9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tr">
        <f>+'7'!J12</f>
        <v>TW 32 RC HW</v>
      </c>
      <c r="K12" s="243">
        <f>+C7</f>
        <v>17064</v>
      </c>
      <c r="L12" s="243"/>
      <c r="M12" s="122">
        <f>+K12+'7'!M12+L12</f>
        <v>75522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 t="s">
        <v>521</v>
      </c>
      <c r="K13" s="243">
        <f>+C8+C16</f>
        <v>11576</v>
      </c>
      <c r="L13" s="243"/>
      <c r="M13" s="122">
        <f>+K13+'7'!M13+L13</f>
        <v>11576</v>
      </c>
    </row>
    <row r="14" spans="1:18" ht="13.5" thickBot="1">
      <c r="A14" s="779"/>
      <c r="B14" s="170" t="s">
        <v>3</v>
      </c>
      <c r="C14" s="104">
        <f>SUM(C7:C13)</f>
        <v>19877</v>
      </c>
      <c r="D14" s="116">
        <f>SUM(D7:D13)</f>
        <v>1400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">
        <v>522</v>
      </c>
      <c r="K14" s="243">
        <f>+C17+C25</f>
        <v>33555</v>
      </c>
      <c r="L14" s="243"/>
      <c r="M14" s="122">
        <f>+K14+'7'!M14+L14</f>
        <v>33555</v>
      </c>
    </row>
    <row r="15" spans="1:18" ht="13.5" customHeight="1" thickBot="1">
      <c r="A15" s="777" t="s">
        <v>413</v>
      </c>
      <c r="B15" s="170"/>
      <c r="C15" s="118">
        <f>C14/($C$23+$D$23+$E$23)</f>
        <v>0.91350705455213932</v>
      </c>
      <c r="D15" s="119">
        <f>D14/($C$23+$D$23+$E$23)</f>
        <v>6.4341192150374552E-2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518</v>
      </c>
      <c r="J15" s="219" t="s">
        <v>523</v>
      </c>
      <c r="K15" s="243">
        <f>+C26</f>
        <v>1435</v>
      </c>
      <c r="L15" s="243"/>
      <c r="M15" s="122">
        <f>+K15+'7'!M15+L15</f>
        <v>1435</v>
      </c>
    </row>
    <row r="16" spans="1:18" ht="13.5" thickBot="1">
      <c r="A16" s="783"/>
      <c r="B16" s="220" t="s">
        <v>521</v>
      </c>
      <c r="C16" s="226">
        <f>6259+2504</f>
        <v>8763</v>
      </c>
      <c r="D16" s="227"/>
      <c r="E16" s="228"/>
      <c r="F16" s="235"/>
      <c r="G16" s="581" t="s">
        <v>13</v>
      </c>
      <c r="H16" s="234" t="s">
        <v>430</v>
      </c>
      <c r="I16" s="781"/>
      <c r="J16" s="219">
        <f>+'7'!J16</f>
        <v>0</v>
      </c>
      <c r="K16" s="243"/>
      <c r="L16" s="233"/>
      <c r="M16" s="122">
        <f>+K16+'7'!M16+L16</f>
        <v>0</v>
      </c>
      <c r="N16" s="154">
        <v>480</v>
      </c>
      <c r="O16" s="154">
        <f>+N16-N16*0.12</f>
        <v>422.4</v>
      </c>
      <c r="P16" s="154">
        <v>180</v>
      </c>
      <c r="Q16" s="154">
        <f>+N16*P16</f>
        <v>86400</v>
      </c>
      <c r="R16" s="154">
        <f>+O16*P16</f>
        <v>76032</v>
      </c>
    </row>
    <row r="17" spans="1:18" ht="13.5" thickBot="1">
      <c r="A17" s="783"/>
      <c r="B17" s="220" t="s">
        <v>522</v>
      </c>
      <c r="C17" s="221">
        <f>8233+3323</f>
        <v>11556</v>
      </c>
      <c r="D17" s="222">
        <v>1440</v>
      </c>
      <c r="E17" s="229"/>
      <c r="F17" s="232">
        <v>5</v>
      </c>
      <c r="G17" s="581" t="s">
        <v>13</v>
      </c>
      <c r="H17" s="237" t="s">
        <v>226</v>
      </c>
      <c r="I17" s="781"/>
      <c r="J17" s="219">
        <f>+'7'!J17</f>
        <v>0</v>
      </c>
      <c r="K17" s="243"/>
      <c r="L17" s="233"/>
      <c r="M17" s="122">
        <f>+K17+'7'!M17+L17</f>
        <v>0</v>
      </c>
      <c r="N17" s="154">
        <v>460</v>
      </c>
      <c r="O17" s="154">
        <f>+N17-N17*0.12</f>
        <v>404.8</v>
      </c>
      <c r="P17" s="154">
        <v>300</v>
      </c>
      <c r="Q17" s="154">
        <f>+N17*P17</f>
        <v>138000</v>
      </c>
      <c r="R17" s="154">
        <f>+O17*P17</f>
        <v>121440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513</v>
      </c>
      <c r="I18" s="781"/>
      <c r="J18" s="219">
        <f>+'7'!J18</f>
        <v>0</v>
      </c>
      <c r="K18" s="243"/>
      <c r="L18" s="243"/>
      <c r="M18" s="122">
        <f>+K18+'7'!M18+L18</f>
        <v>0</v>
      </c>
      <c r="P18" s="154">
        <f>SUM(P16:P17)</f>
        <v>480</v>
      </c>
      <c r="Q18" s="154">
        <f>SUM(Q16:Q17)</f>
        <v>224400</v>
      </c>
      <c r="R18" s="154">
        <f>SUM(R16:R17)</f>
        <v>197472</v>
      </c>
    </row>
    <row r="19" spans="1:18" ht="13.5" thickBot="1">
      <c r="A19" s="783"/>
      <c r="B19" s="220"/>
      <c r="C19" s="221"/>
      <c r="D19" s="222"/>
      <c r="E19" s="229"/>
      <c r="F19" s="239">
        <v>5</v>
      </c>
      <c r="G19" s="236" t="s">
        <v>13</v>
      </c>
      <c r="H19" s="237" t="s">
        <v>514</v>
      </c>
      <c r="I19" s="781"/>
      <c r="J19" s="219">
        <f>+'7'!J19</f>
        <v>0</v>
      </c>
      <c r="K19" s="243"/>
      <c r="L19" s="243"/>
      <c r="M19" s="122">
        <f>+K19+'7'!M19+L19</f>
        <v>0</v>
      </c>
      <c r="Q19" s="154">
        <f>+Q18/P18</f>
        <v>467.5</v>
      </c>
      <c r="R19" s="154">
        <f>+R18/P18</f>
        <v>411.4</v>
      </c>
    </row>
    <row r="20" spans="1:18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+'7'!J20</f>
        <v>0</v>
      </c>
      <c r="K20" s="243"/>
      <c r="L20" s="244"/>
      <c r="M20" s="122">
        <f>+K20+'7'!M20+L20</f>
        <v>0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+'7'!J21</f>
        <v>0</v>
      </c>
      <c r="K21" s="243"/>
      <c r="L21" s="243"/>
      <c r="M21" s="122">
        <f>+K21+'7'!M21+L21</f>
        <v>0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+'7'!J22</f>
        <v>0</v>
      </c>
      <c r="K22" s="243"/>
      <c r="L22" s="243"/>
      <c r="M22" s="122">
        <f>+K22+'7'!M22+L22</f>
        <v>0</v>
      </c>
    </row>
    <row r="23" spans="1:18" ht="13.5" thickBot="1">
      <c r="A23" s="784"/>
      <c r="B23" s="170" t="s">
        <v>3</v>
      </c>
      <c r="C23" s="105">
        <f>SUM(C16:C22)</f>
        <v>20319</v>
      </c>
      <c r="D23" s="116">
        <f>SUM(D16:D22)</f>
        <v>1440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>
        <f>+'7'!J23</f>
        <v>0</v>
      </c>
      <c r="K23" s="243"/>
      <c r="L23" s="243"/>
      <c r="M23" s="122">
        <f>+K23+'7'!M23+L23</f>
        <v>0</v>
      </c>
    </row>
    <row r="24" spans="1:18" ht="13.5" customHeight="1" thickBot="1">
      <c r="A24" s="777" t="s">
        <v>414</v>
      </c>
      <c r="B24" s="175"/>
      <c r="C24" s="118">
        <f>C23/($C$23+$D$23+$E$23)</f>
        <v>0.9338204880739005</v>
      </c>
      <c r="D24" s="119">
        <f>D23/($C$23+$D$23+$E$23)</f>
        <v>6.6179511926099541E-2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519</v>
      </c>
      <c r="J24" s="219">
        <f>+'7'!J24</f>
        <v>0</v>
      </c>
      <c r="K24" s="243"/>
      <c r="L24" s="243"/>
      <c r="M24" s="122">
        <f>+K24+'7'!M24+L24</f>
        <v>0</v>
      </c>
    </row>
    <row r="25" spans="1:18" ht="13.5" thickBot="1">
      <c r="A25" s="785"/>
      <c r="B25" s="220" t="s">
        <v>522</v>
      </c>
      <c r="C25" s="230">
        <f>19070+2086+843</f>
        <v>21999</v>
      </c>
      <c r="D25" s="222">
        <v>650</v>
      </c>
      <c r="E25" s="229"/>
      <c r="F25" s="235"/>
      <c r="G25" s="581" t="s">
        <v>13</v>
      </c>
      <c r="H25" s="234" t="s">
        <v>430</v>
      </c>
      <c r="I25" s="781"/>
      <c r="J25" s="219">
        <f>+'7'!J25</f>
        <v>0</v>
      </c>
      <c r="K25" s="243"/>
      <c r="L25" s="243"/>
      <c r="M25" s="122">
        <f>+K25+'7'!M25+L25</f>
        <v>0</v>
      </c>
      <c r="N25" s="154">
        <v>460</v>
      </c>
      <c r="O25" s="154">
        <f>+N25-N25*0.12</f>
        <v>404.8</v>
      </c>
      <c r="P25" s="154">
        <f>360+29</f>
        <v>389</v>
      </c>
      <c r="Q25" s="154">
        <f>+N25*P25</f>
        <v>178940</v>
      </c>
      <c r="R25" s="154">
        <f>+O25*P25</f>
        <v>157467.20000000001</v>
      </c>
    </row>
    <row r="26" spans="1:18" ht="13.5" thickBot="1">
      <c r="A26" s="785"/>
      <c r="B26" s="220" t="s">
        <v>523</v>
      </c>
      <c r="C26" s="230">
        <f>668+767</f>
        <v>1435</v>
      </c>
      <c r="D26" s="222"/>
      <c r="E26" s="231"/>
      <c r="F26" s="232">
        <v>2</v>
      </c>
      <c r="G26" s="581" t="s">
        <v>13</v>
      </c>
      <c r="H26" s="237" t="s">
        <v>226</v>
      </c>
      <c r="I26" s="781"/>
      <c r="J26" s="219">
        <f>+'7'!J26</f>
        <v>0</v>
      </c>
      <c r="K26" s="243"/>
      <c r="L26" s="243"/>
      <c r="M26" s="122">
        <f>+K26+'7'!M26+L26</f>
        <v>0</v>
      </c>
      <c r="N26" s="154">
        <v>430</v>
      </c>
      <c r="O26" s="154">
        <f>+N26-N26*0.12</f>
        <v>378.4</v>
      </c>
      <c r="P26" s="154">
        <f>1+30+60</f>
        <v>91</v>
      </c>
      <c r="Q26" s="154">
        <f>+N26*P26</f>
        <v>39130</v>
      </c>
      <c r="R26" s="154">
        <f>+O26*P26</f>
        <v>34434.400000000001</v>
      </c>
    </row>
    <row r="27" spans="1:18" ht="13.5" thickBot="1">
      <c r="A27" s="785"/>
      <c r="B27" s="220"/>
      <c r="C27" s="221"/>
      <c r="D27" s="222"/>
      <c r="E27" s="229"/>
      <c r="F27" s="232"/>
      <c r="G27" s="581"/>
      <c r="H27" s="237" t="s">
        <v>516</v>
      </c>
      <c r="I27" s="781"/>
      <c r="J27" s="219">
        <f>+'7'!J27</f>
        <v>0</v>
      </c>
      <c r="K27" s="243"/>
      <c r="L27" s="243"/>
      <c r="M27" s="122">
        <f>+K27+'7'!M27+L27</f>
        <v>0</v>
      </c>
      <c r="P27" s="154">
        <f>SUM(P25:P26)</f>
        <v>480</v>
      </c>
      <c r="Q27" s="154">
        <f>SUM(Q25:Q26)</f>
        <v>218070</v>
      </c>
      <c r="R27" s="154">
        <f>SUM(R25:R26)</f>
        <v>191901.6</v>
      </c>
    </row>
    <row r="28" spans="1:18" ht="13.5" thickBot="1">
      <c r="A28" s="785"/>
      <c r="B28" s="220"/>
      <c r="C28" s="221"/>
      <c r="D28" s="222"/>
      <c r="E28" s="229"/>
      <c r="F28" s="235">
        <v>5</v>
      </c>
      <c r="G28" s="236" t="s">
        <v>13</v>
      </c>
      <c r="H28" s="237" t="s">
        <v>515</v>
      </c>
      <c r="I28" s="781"/>
      <c r="J28" s="219">
        <f>+'7'!J28</f>
        <v>0</v>
      </c>
      <c r="K28" s="243"/>
      <c r="L28" s="243"/>
      <c r="M28" s="122">
        <f>+K28+'7'!M28+L28</f>
        <v>0</v>
      </c>
      <c r="Q28" s="154">
        <f>+Q27/P27</f>
        <v>454.3125</v>
      </c>
      <c r="R28" s="154">
        <f>+R27/P27</f>
        <v>399.79500000000002</v>
      </c>
    </row>
    <row r="29" spans="1:18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+'7'!J29</f>
        <v>0</v>
      </c>
      <c r="K29" s="243"/>
      <c r="L29" s="243"/>
      <c r="M29" s="122">
        <f>+K29+'7'!M29+L29</f>
        <v>0</v>
      </c>
    </row>
    <row r="30" spans="1:18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+'7'!J30</f>
        <v>0</v>
      </c>
      <c r="K30" s="243"/>
      <c r="L30" s="243"/>
      <c r="M30" s="122">
        <f>+K30+'7'!M30+L30</f>
        <v>0</v>
      </c>
      <c r="N30" s="160"/>
    </row>
    <row r="31" spans="1:18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+'7'!J31</f>
        <v>0</v>
      </c>
      <c r="K31" s="243"/>
      <c r="L31" s="243"/>
      <c r="M31" s="122">
        <f>+K31+'7'!M31+L31</f>
        <v>0</v>
      </c>
    </row>
    <row r="32" spans="1:18" ht="13.5" thickBot="1">
      <c r="A32" s="786"/>
      <c r="B32" s="170" t="s">
        <v>3</v>
      </c>
      <c r="C32" s="104">
        <f>SUM(C25:C31)</f>
        <v>23434</v>
      </c>
      <c r="D32" s="105">
        <f>SUM(D25:D31)</f>
        <v>650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+'7'!J32</f>
        <v>0</v>
      </c>
      <c r="K32" s="245"/>
      <c r="L32" s="247"/>
      <c r="M32" s="122">
        <f>+K32+'7'!M32+L32</f>
        <v>0</v>
      </c>
    </row>
    <row r="33" spans="1:14" ht="13.5" thickBot="1">
      <c r="A33" s="178"/>
      <c r="B33" s="179"/>
      <c r="C33" s="108">
        <f>C32/($C$32+$D$32+$E$32)</f>
        <v>0.97301112771964793</v>
      </c>
      <c r="D33" s="109">
        <f>D32/($C$32+$D$32+$E$32)</f>
        <v>2.69888722803521E-2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63630</v>
      </c>
      <c r="D34" s="112">
        <f>D14+D23+D32</f>
        <v>3490</v>
      </c>
      <c r="E34" s="112">
        <f>E14+E23+E32</f>
        <v>0</v>
      </c>
      <c r="F34" s="113">
        <f>F14+F23+F32</f>
        <v>27</v>
      </c>
      <c r="H34" s="183"/>
      <c r="I34" s="183"/>
      <c r="J34" s="128" t="s">
        <v>29</v>
      </c>
      <c r="K34" s="129">
        <f>SUM(K7:K32)</f>
        <v>63630</v>
      </c>
      <c r="L34" s="217">
        <f>SUM(L7:L32)</f>
        <v>0</v>
      </c>
      <c r="M34" s="125">
        <f>SUM(M7:M32)</f>
        <v>359574</v>
      </c>
      <c r="N34" s="160"/>
    </row>
    <row r="35" spans="1:14" ht="13.5" thickBot="1">
      <c r="A35" s="184"/>
      <c r="B35" s="185"/>
      <c r="C35" s="109">
        <f>C34/($C$34+$D$34+$E$34)</f>
        <v>0.94800357568533966</v>
      </c>
      <c r="D35" s="109">
        <f>D34/($C$34+$D$34+$E$34)</f>
        <v>5.1996424314660311E-2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(32*300+34*360+36*689+38*91)/1440*G42*3.4*1440/1000000</f>
        <v>70.98322764866667</v>
      </c>
      <c r="J37" s="130">
        <f>+I37+'7'!J37</f>
        <v>427.55344780116673</v>
      </c>
      <c r="K37" s="131" t="s">
        <v>66</v>
      </c>
      <c r="L37" s="435"/>
      <c r="M37" s="436"/>
      <c r="N37" s="154">
        <f>3.411+3.411+3.411+3.411</f>
        <v>13.644</v>
      </c>
    </row>
    <row r="38" spans="1:14" ht="17.45" customHeight="1">
      <c r="A38" s="793" t="s">
        <v>13</v>
      </c>
      <c r="B38" s="794"/>
      <c r="C38" s="169">
        <f>SUMIF($G$7:$G$31,"Process",$F$7:$F$31)</f>
        <v>27</v>
      </c>
      <c r="D38" s="123">
        <f>+C38+'7'!D38</f>
        <v>742</v>
      </c>
      <c r="E38" s="148">
        <f t="shared" ref="E38:E51" si="0">D38/60</f>
        <v>12.366666666666667</v>
      </c>
      <c r="F38" s="375">
        <v>498.75</v>
      </c>
      <c r="G38" s="375">
        <v>438.9</v>
      </c>
      <c r="H38" s="192" t="s">
        <v>67</v>
      </c>
      <c r="I38" s="556">
        <f>20.613+21.82+22.14</f>
        <v>64.573000000000008</v>
      </c>
      <c r="J38" s="132">
        <f>+I38+'7'!J38</f>
        <v>385.09100000000001</v>
      </c>
      <c r="K38" s="133" t="s">
        <v>66</v>
      </c>
      <c r="L38" s="437"/>
      <c r="M38" s="438"/>
      <c r="N38" s="557">
        <f>20.613-N37+2.685+2.685+1.566</f>
        <v>13.905000000000001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+C39+'7'!D39</f>
        <v>0</v>
      </c>
      <c r="E39" s="148">
        <f t="shared" si="0"/>
        <v>0</v>
      </c>
      <c r="F39" s="375">
        <v>467.5</v>
      </c>
      <c r="G39" s="375">
        <v>411.4</v>
      </c>
      <c r="H39" s="192" t="s">
        <v>68</v>
      </c>
      <c r="I39" s="147"/>
      <c r="J39" s="134">
        <f>J37/G4</f>
        <v>53.444180975145841</v>
      </c>
      <c r="K39" s="135" t="s">
        <v>66</v>
      </c>
      <c r="L39" s="437"/>
      <c r="M39" s="438"/>
      <c r="N39" s="154">
        <f>-6.936+21.82+22.14-N40</f>
        <v>34.28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+C40+'7'!D40</f>
        <v>0</v>
      </c>
      <c r="E40" s="148">
        <f t="shared" si="0"/>
        <v>0</v>
      </c>
      <c r="F40" s="375">
        <v>454.3125</v>
      </c>
      <c r="G40" s="375">
        <v>399.79500000000002</v>
      </c>
      <c r="H40" s="192" t="s">
        <v>70</v>
      </c>
      <c r="I40" s="123">
        <f>(K34+L34)/1000</f>
        <v>63.63</v>
      </c>
      <c r="J40" s="136">
        <f>+I40+'7'!J40</f>
        <v>359.57400000000001</v>
      </c>
      <c r="K40" s="135" t="s">
        <v>66</v>
      </c>
      <c r="L40" s="437"/>
      <c r="M40" s="438"/>
      <c r="N40" s="154">
        <v>2.7440000000000002</v>
      </c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+C41+'7'!D41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44.946750000000002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+C42+'7'!D42</f>
        <v>0</v>
      </c>
      <c r="E42" s="148">
        <f t="shared" si="0"/>
        <v>0</v>
      </c>
      <c r="F42" s="375">
        <f>+(F38*480+F39*480+F40*480)/1440</f>
        <v>473.52083333333331</v>
      </c>
      <c r="G42" s="375">
        <f>+(G38*480+G39*480+G40*480)/1440</f>
        <v>416.69833333333332</v>
      </c>
      <c r="H42" s="192" t="s">
        <v>73</v>
      </c>
      <c r="I42" s="250" t="s">
        <v>520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+C43+'7'!D43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+Report1!AH16</f>
        <v>121.563</v>
      </c>
      <c r="J43" s="138">
        <f>+I43+'7'!J43</f>
        <v>912.41899999999998</v>
      </c>
      <c r="K43" s="135" t="s">
        <v>66</v>
      </c>
      <c r="L43" s="439">
        <f>+Report1!AN16</f>
        <v>10.6</v>
      </c>
      <c r="M43" s="440">
        <f>+L43+'7'!M43</f>
        <v>78.299999999999983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+C44+'7'!D44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1.8825670171743607</v>
      </c>
      <c r="J44" s="139">
        <f>J43/J38</f>
        <v>2.3693594501040014</v>
      </c>
      <c r="K44" s="135" t="s">
        <v>66</v>
      </c>
      <c r="L44" s="441">
        <f>+L43/I38</f>
        <v>0.16415529710560139</v>
      </c>
      <c r="M44" s="442">
        <f>+M43/J38</f>
        <v>0.20332856389788384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+C45+'7'!D45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1.9104667609618105</v>
      </c>
      <c r="J45" s="139">
        <f>J43/J40</f>
        <v>2.5374999304732819</v>
      </c>
      <c r="K45" s="135" t="s">
        <v>66</v>
      </c>
      <c r="L45" s="441">
        <f>+L43/I40</f>
        <v>0.16658808738016659</v>
      </c>
      <c r="M45" s="442">
        <f>+M43/J40</f>
        <v>0.21775767992124007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+C46+'7'!D46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+SUMIF(Listrik!AC15,"&gt;0")</f>
        <v>32501.390000000181</v>
      </c>
      <c r="J46" s="140">
        <f>+I46+'7'!J46</f>
        <v>244419.68000000017</v>
      </c>
      <c r="K46" s="135" t="s">
        <v>81</v>
      </c>
      <c r="L46" s="441">
        <f>+Listrik!AF15</f>
        <v>1273</v>
      </c>
      <c r="M46" s="443">
        <f>+L46+'7'!M46</f>
        <v>9591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+C47+'7'!D47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503.32786149009922</v>
      </c>
      <c r="J47" s="140">
        <f>J46/J38</f>
        <v>634.70629020153717</v>
      </c>
      <c r="K47" s="135" t="s">
        <v>25</v>
      </c>
      <c r="L47" s="441">
        <f>+L46/I38</f>
        <v>19.714122001455713</v>
      </c>
      <c r="M47" s="442">
        <f>+M46/J38</f>
        <v>24.905801485882556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+C48+'7'!D48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510.78720729216064</v>
      </c>
      <c r="J48" s="140">
        <f>J46/J40</f>
        <v>679.74792393220912</v>
      </c>
      <c r="K48" s="135" t="s">
        <v>25</v>
      </c>
      <c r="L48" s="441">
        <f>+L46/I38</f>
        <v>19.714122001455713</v>
      </c>
      <c r="M48" s="442">
        <f>+M46/J40</f>
        <v>26.673229988820104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+C49+'7'!D49</f>
        <v>1680</v>
      </c>
      <c r="E49" s="148">
        <f t="shared" si="0"/>
        <v>28</v>
      </c>
      <c r="F49" s="190"/>
      <c r="H49" s="193" t="s">
        <v>170</v>
      </c>
      <c r="I49" s="123">
        <f>+Report1!AB16</f>
        <v>0</v>
      </c>
      <c r="J49" s="140">
        <f>+I49+'7'!J49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+C50+'7'!D50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+C51+'7'!D51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27</v>
      </c>
      <c r="D52" s="149">
        <f>SUM(D38:D51)</f>
        <v>2422</v>
      </c>
      <c r="E52" s="150">
        <f>SUM(E38:E51)</f>
        <v>40.366666666666667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1.8749999999999999E-2</v>
      </c>
      <c r="D53" s="151">
        <f>D52/(24*60*G4)</f>
        <v>0.21024305555555556</v>
      </c>
      <c r="E53" s="152">
        <f>E52/(G4*24)</f>
        <v>0.21024305555555556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+D34+'7'!J56</f>
        <v>14067</v>
      </c>
      <c r="K56" s="206">
        <f>J56/(J40+J56/1000)/1000</f>
        <v>3.764843793909127E-2</v>
      </c>
    </row>
    <row r="57" spans="1:13">
      <c r="A57" s="181"/>
      <c r="I57" s="204" t="s">
        <v>92</v>
      </c>
      <c r="J57" s="205">
        <f>+E34+'7'!J57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61"/>
  <sheetViews>
    <sheetView view="pageBreakPreview" zoomScale="80" zoomScaleNormal="75" zoomScaleSheetLayoutView="80" workbookViewId="0">
      <selection activeCell="C25" sqref="C25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28515625" style="154" bestFit="1" customWidth="1"/>
    <col min="12" max="12" width="12" style="154" bestFit="1" customWidth="1"/>
    <col min="13" max="13" width="15.5703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7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311+305+310</f>
        <v>926</v>
      </c>
    </row>
    <row r="7" spans="1:18" ht="13.5" customHeight="1" thickBot="1">
      <c r="A7" s="777" t="s">
        <v>411</v>
      </c>
      <c r="B7" s="220" t="s">
        <v>508</v>
      </c>
      <c r="C7" s="221">
        <v>10930</v>
      </c>
      <c r="D7" s="222">
        <v>552</v>
      </c>
      <c r="E7" s="223"/>
      <c r="F7" s="232"/>
      <c r="G7" s="233" t="s">
        <v>13</v>
      </c>
      <c r="H7" s="234" t="s">
        <v>394</v>
      </c>
      <c r="I7" s="780" t="s">
        <v>504</v>
      </c>
      <c r="J7" s="219" t="str">
        <f>+'6'!J7</f>
        <v>TW 17 RC HW</v>
      </c>
      <c r="K7" s="242"/>
      <c r="L7" s="246"/>
      <c r="M7" s="122">
        <f>+K7+'6'!M7+L7</f>
        <v>44630</v>
      </c>
    </row>
    <row r="8" spans="1:18" ht="13.5" thickBot="1">
      <c r="A8" s="778"/>
      <c r="B8" s="220" t="s">
        <v>509</v>
      </c>
      <c r="C8" s="221">
        <f>7437+3022</f>
        <v>10459</v>
      </c>
      <c r="D8" s="222"/>
      <c r="E8" s="224"/>
      <c r="F8" s="235">
        <v>2</v>
      </c>
      <c r="G8" s="581" t="s">
        <v>13</v>
      </c>
      <c r="H8" s="234" t="s">
        <v>392</v>
      </c>
      <c r="I8" s="781"/>
      <c r="J8" s="219" t="str">
        <f>+'6'!J8</f>
        <v>N 18 RC HW</v>
      </c>
      <c r="K8" s="243"/>
      <c r="L8" s="243"/>
      <c r="M8" s="122">
        <f>+K8+'6'!M8+L8</f>
        <v>105194</v>
      </c>
      <c r="N8" s="154">
        <v>830</v>
      </c>
      <c r="O8" s="154">
        <f>+N8-N8*0.14</f>
        <v>713.8</v>
      </c>
      <c r="P8" s="154">
        <f>120+10</f>
        <v>130</v>
      </c>
      <c r="Q8" s="154">
        <f>+N8*P8</f>
        <v>107900</v>
      </c>
      <c r="R8" s="154">
        <f>+O8*P8</f>
        <v>92794</v>
      </c>
    </row>
    <row r="9" spans="1:18" ht="13.5" thickBot="1">
      <c r="A9" s="778"/>
      <c r="B9" s="220"/>
      <c r="C9" s="221"/>
      <c r="D9" s="222"/>
      <c r="E9" s="225"/>
      <c r="F9" s="232">
        <v>2</v>
      </c>
      <c r="G9" s="581" t="s">
        <v>13</v>
      </c>
      <c r="H9" s="237" t="s">
        <v>226</v>
      </c>
      <c r="I9" s="781"/>
      <c r="J9" s="219" t="str">
        <f>+'6'!J9</f>
        <v>N 20 RC HW</v>
      </c>
      <c r="K9" s="243"/>
      <c r="L9" s="243"/>
      <c r="M9" s="122">
        <f>+K9+'6'!M9+L9</f>
        <v>71479</v>
      </c>
      <c r="N9" s="154">
        <v>510</v>
      </c>
      <c r="O9" s="154">
        <f>+N9-N9*0.12</f>
        <v>448.8</v>
      </c>
      <c r="P9" s="154">
        <f>50+300</f>
        <v>350</v>
      </c>
      <c r="Q9" s="154">
        <f>+N9*P9</f>
        <v>178500</v>
      </c>
      <c r="R9" s="154">
        <f>+O9*P9</f>
        <v>157080</v>
      </c>
    </row>
    <row r="10" spans="1:18" ht="13.5" thickBot="1">
      <c r="A10" s="778"/>
      <c r="B10" s="220"/>
      <c r="C10" s="221"/>
      <c r="D10" s="222"/>
      <c r="E10" s="224"/>
      <c r="F10" s="232"/>
      <c r="G10" s="581"/>
      <c r="H10" s="237" t="s">
        <v>501</v>
      </c>
      <c r="I10" s="781"/>
      <c r="J10" s="219" t="str">
        <f>+'6'!J10</f>
        <v>N 17 RC HW</v>
      </c>
      <c r="K10" s="243"/>
      <c r="L10" s="243"/>
      <c r="M10" s="122">
        <f>+K10+'6'!M10+L10</f>
        <v>5253</v>
      </c>
      <c r="P10" s="154">
        <f>SUM(P8:P9)</f>
        <v>480</v>
      </c>
      <c r="Q10" s="154">
        <f>SUM(Q8:Q9)</f>
        <v>286400</v>
      </c>
      <c r="R10" s="154">
        <f>SUM(R8:R9)</f>
        <v>249874</v>
      </c>
    </row>
    <row r="11" spans="1:18" ht="13.5" thickBot="1">
      <c r="A11" s="778"/>
      <c r="B11" s="220"/>
      <c r="C11" s="221"/>
      <c r="D11" s="222"/>
      <c r="E11" s="224"/>
      <c r="F11" s="232">
        <v>4</v>
      </c>
      <c r="G11" s="236" t="s">
        <v>13</v>
      </c>
      <c r="H11" s="237" t="s">
        <v>502</v>
      </c>
      <c r="I11" s="781"/>
      <c r="J11" s="219" t="str">
        <f>+'6'!J11</f>
        <v>N 18,5 RC HW</v>
      </c>
      <c r="K11" s="243">
        <f>+C7</f>
        <v>10930</v>
      </c>
      <c r="L11" s="243"/>
      <c r="M11" s="122">
        <f>+K11+'6'!M11+L11</f>
        <v>10930</v>
      </c>
      <c r="Q11" s="154">
        <f>+Q10/P10</f>
        <v>596.66666666666663</v>
      </c>
      <c r="R11" s="154">
        <f>+R10/P10</f>
        <v>520.57083333333333</v>
      </c>
    </row>
    <row r="12" spans="1:18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 t="s">
        <v>509</v>
      </c>
      <c r="K12" s="243">
        <f>+C8+C16+C25</f>
        <v>58458</v>
      </c>
      <c r="L12" s="243"/>
      <c r="M12" s="122">
        <f>+K12+'6'!M12+L12</f>
        <v>58458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>
        <f>+'6'!J13</f>
        <v>0</v>
      </c>
      <c r="K13" s="243"/>
      <c r="L13" s="243"/>
      <c r="M13" s="122">
        <f>+K13+'6'!M13+L13</f>
        <v>0</v>
      </c>
    </row>
    <row r="14" spans="1:18" ht="13.5" thickBot="1">
      <c r="A14" s="779"/>
      <c r="B14" s="170" t="s">
        <v>3</v>
      </c>
      <c r="C14" s="104">
        <f>SUM(C7:C13)</f>
        <v>21389</v>
      </c>
      <c r="D14" s="116">
        <f>SUM(D7:D13)</f>
        <v>552</v>
      </c>
      <c r="E14" s="117">
        <f>SUM(E5:E13)</f>
        <v>0</v>
      </c>
      <c r="F14" s="121"/>
      <c r="G14" s="164"/>
      <c r="H14" s="171"/>
      <c r="I14" s="172"/>
      <c r="J14" s="219">
        <f>+'6'!J14</f>
        <v>0</v>
      </c>
      <c r="K14" s="243"/>
      <c r="L14" s="243"/>
      <c r="M14" s="122">
        <f>+K14+'6'!M14+L14</f>
        <v>0</v>
      </c>
    </row>
    <row r="15" spans="1:18" ht="13.5" customHeight="1" thickBot="1">
      <c r="A15" s="777" t="s">
        <v>413</v>
      </c>
      <c r="B15" s="170"/>
      <c r="C15" s="118">
        <f>C14/($C$23+$D$23+$E$23)</f>
        <v>0.90619836461466763</v>
      </c>
      <c r="D15" s="119">
        <f>D14/($C$23+$D$23+$E$23)</f>
        <v>2.3386857602847096E-2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505</v>
      </c>
      <c r="J15" s="219">
        <f>+'6'!J15</f>
        <v>0</v>
      </c>
      <c r="K15" s="243"/>
      <c r="L15" s="243"/>
      <c r="M15" s="122">
        <f>+K15+'6'!M15+L15</f>
        <v>0</v>
      </c>
    </row>
    <row r="16" spans="1:18" ht="13.5" thickBot="1">
      <c r="A16" s="783"/>
      <c r="B16" s="220" t="s">
        <v>509</v>
      </c>
      <c r="C16" s="226">
        <v>23603</v>
      </c>
      <c r="D16" s="227"/>
      <c r="E16" s="228"/>
      <c r="F16" s="235"/>
      <c r="G16" s="581" t="s">
        <v>13</v>
      </c>
      <c r="H16" s="234" t="s">
        <v>430</v>
      </c>
      <c r="I16" s="781"/>
      <c r="J16" s="219">
        <f>+'6'!J16</f>
        <v>0</v>
      </c>
      <c r="K16" s="243"/>
      <c r="L16" s="243"/>
      <c r="M16" s="122">
        <f>+K16+'6'!M16+L16</f>
        <v>0</v>
      </c>
    </row>
    <row r="17" spans="1:14" ht="13.5" thickBot="1">
      <c r="A17" s="783"/>
      <c r="B17" s="220"/>
      <c r="C17" s="221"/>
      <c r="D17" s="222"/>
      <c r="E17" s="229"/>
      <c r="F17" s="232">
        <v>2</v>
      </c>
      <c r="G17" s="581" t="s">
        <v>13</v>
      </c>
      <c r="H17" s="237" t="s">
        <v>226</v>
      </c>
      <c r="I17" s="781"/>
      <c r="J17" s="219">
        <f>+'6'!J17</f>
        <v>0</v>
      </c>
      <c r="K17" s="243"/>
      <c r="L17" s="233"/>
      <c r="M17" s="122">
        <f>+K17+'6'!M17+L17</f>
        <v>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503</v>
      </c>
      <c r="I18" s="781"/>
      <c r="J18" s="219">
        <f>+'6'!J18</f>
        <v>0</v>
      </c>
      <c r="K18" s="243"/>
      <c r="L18" s="243"/>
      <c r="M18" s="122">
        <f>+K18+'6'!M18+L18</f>
        <v>0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>
        <f>+'6'!J19</f>
        <v>0</v>
      </c>
      <c r="K19" s="243"/>
      <c r="L19" s="243"/>
      <c r="M19" s="122">
        <f>+K19+'6'!M19+L19</f>
        <v>0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+'6'!J20</f>
        <v>0</v>
      </c>
      <c r="K20" s="244"/>
      <c r="L20" s="244"/>
      <c r="M20" s="122">
        <f>+K20+'6'!M20+L20</f>
        <v>0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+'6'!J21</f>
        <v>0</v>
      </c>
      <c r="K21" s="243"/>
      <c r="L21" s="243"/>
      <c r="M21" s="122">
        <f>+K21+'6'!M21+L21</f>
        <v>0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+'6'!J22</f>
        <v>0</v>
      </c>
      <c r="K22" s="243"/>
      <c r="L22" s="243"/>
      <c r="M22" s="122">
        <f>+K22+'6'!M22+L22</f>
        <v>0</v>
      </c>
    </row>
    <row r="23" spans="1:14" ht="13.5" thickBot="1">
      <c r="A23" s="784"/>
      <c r="B23" s="170" t="s">
        <v>3</v>
      </c>
      <c r="C23" s="105">
        <f>SUM(C16:C22)</f>
        <v>23603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+'6'!J23</f>
        <v>0</v>
      </c>
      <c r="K23" s="243"/>
      <c r="L23" s="243"/>
      <c r="M23" s="122">
        <f>+K23+'6'!M23+L23</f>
        <v>0</v>
      </c>
    </row>
    <row r="24" spans="1:14" ht="13.5" customHeight="1" thickBot="1">
      <c r="A24" s="777" t="s">
        <v>414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505</v>
      </c>
      <c r="J24" s="219">
        <f>+'6'!J24</f>
        <v>0</v>
      </c>
      <c r="K24" s="243"/>
      <c r="L24" s="243"/>
      <c r="M24" s="122">
        <f>+K24+'6'!M24+L24</f>
        <v>0</v>
      </c>
    </row>
    <row r="25" spans="1:14" ht="13.5" thickBot="1">
      <c r="A25" s="785"/>
      <c r="B25" s="220" t="s">
        <v>509</v>
      </c>
      <c r="C25" s="230">
        <v>24396</v>
      </c>
      <c r="D25" s="222"/>
      <c r="E25" s="229"/>
      <c r="F25" s="235">
        <v>3</v>
      </c>
      <c r="G25" s="581" t="s">
        <v>13</v>
      </c>
      <c r="H25" s="234" t="s">
        <v>392</v>
      </c>
      <c r="I25" s="781"/>
      <c r="J25" s="219">
        <f>+'6'!J25</f>
        <v>0</v>
      </c>
      <c r="K25" s="243"/>
      <c r="L25" s="243"/>
      <c r="M25" s="122">
        <f>+K25+'6'!M25+L25</f>
        <v>0</v>
      </c>
    </row>
    <row r="26" spans="1:14" ht="13.5" thickBot="1">
      <c r="A26" s="785"/>
      <c r="B26" s="220"/>
      <c r="C26" s="230"/>
      <c r="D26" s="222"/>
      <c r="E26" s="231"/>
      <c r="F26" s="232">
        <v>0</v>
      </c>
      <c r="G26" s="581" t="s">
        <v>13</v>
      </c>
      <c r="H26" s="237" t="s">
        <v>226</v>
      </c>
      <c r="I26" s="781"/>
      <c r="J26" s="219">
        <f>+'6'!J26</f>
        <v>0</v>
      </c>
      <c r="K26" s="243"/>
      <c r="L26" s="243"/>
      <c r="M26" s="122">
        <f>+K26+'6'!M26+L26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503</v>
      </c>
      <c r="I27" s="781"/>
      <c r="J27" s="219">
        <f>+'6'!J27</f>
        <v>0</v>
      </c>
      <c r="K27" s="243"/>
      <c r="L27" s="243"/>
      <c r="M27" s="122">
        <f>+K27+'6'!M27+L27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+'6'!J28</f>
        <v>0</v>
      </c>
      <c r="K28" s="243"/>
      <c r="L28" s="243"/>
      <c r="M28" s="122">
        <f>+K28+'6'!M28+L28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+'6'!J29</f>
        <v>0</v>
      </c>
      <c r="K29" s="243"/>
      <c r="L29" s="243"/>
      <c r="M29" s="122">
        <f>+K29+'6'!M29+L29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+'6'!J30</f>
        <v>0</v>
      </c>
      <c r="K30" s="243"/>
      <c r="L30" s="243"/>
      <c r="M30" s="122">
        <f>+K30+'6'!M30+L30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+'6'!J31</f>
        <v>0</v>
      </c>
      <c r="K31" s="243"/>
      <c r="L31" s="243"/>
      <c r="M31" s="122">
        <f>+K31+'6'!M31+L31</f>
        <v>0</v>
      </c>
    </row>
    <row r="32" spans="1:14" ht="13.5" thickBot="1">
      <c r="A32" s="786"/>
      <c r="B32" s="170" t="s">
        <v>3</v>
      </c>
      <c r="C32" s="104">
        <f>SUM(C25:C31)</f>
        <v>24396</v>
      </c>
      <c r="D32" s="105">
        <f>SUM(D25:D31)</f>
        <v>0</v>
      </c>
      <c r="E32" s="106">
        <f>SUM(E25:E31)</f>
        <v>0</v>
      </c>
      <c r="F32" s="107">
        <f>SUM(F24:F31)</f>
        <v>3</v>
      </c>
      <c r="G32" s="176"/>
      <c r="H32" s="177"/>
      <c r="I32" s="174"/>
      <c r="J32" s="219">
        <f>+'6'!J32</f>
        <v>0</v>
      </c>
      <c r="K32" s="245"/>
      <c r="L32" s="247"/>
      <c r="M32" s="122">
        <f>+K32+'6'!M32+L32</f>
        <v>0</v>
      </c>
    </row>
    <row r="33" spans="1:15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87" t="s">
        <v>60</v>
      </c>
      <c r="B34" s="788"/>
      <c r="C34" s="112">
        <f>C14+C23+C32</f>
        <v>69388</v>
      </c>
      <c r="D34" s="112">
        <f>D14+D23+D32</f>
        <v>552</v>
      </c>
      <c r="E34" s="112">
        <f>E14+E23+E32</f>
        <v>0</v>
      </c>
      <c r="F34" s="113">
        <f>F14+F23+F32</f>
        <v>3</v>
      </c>
      <c r="H34" s="183"/>
      <c r="I34" s="183"/>
      <c r="J34" s="128" t="s">
        <v>29</v>
      </c>
      <c r="K34" s="129">
        <f>SUM(K7:K32)</f>
        <v>69388</v>
      </c>
      <c r="L34" s="217">
        <f>SUM(L7:L32)</f>
        <v>0</v>
      </c>
      <c r="M34" s="125">
        <f>SUM(M7:M32)</f>
        <v>295944</v>
      </c>
      <c r="N34" s="160"/>
    </row>
    <row r="35" spans="1:15" ht="13.5" thickBot="1">
      <c r="A35" s="184"/>
      <c r="B35" s="185"/>
      <c r="C35" s="109">
        <f>C34/($C$34+$D$34+$E$34)</f>
        <v>0.9921075207320561</v>
      </c>
      <c r="D35" s="109">
        <f>D34/($C$34+$D$34+$E$34)</f>
        <v>7.8924792679439526E-3</v>
      </c>
      <c r="E35" s="114">
        <f>E34/($C$34+$D$34+$E$34)</f>
        <v>0</v>
      </c>
      <c r="K35" s="160"/>
      <c r="L35" s="776" t="s">
        <v>186</v>
      </c>
      <c r="M35" s="776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(18.5*130+32*1310)/1440*G42*3.4*1440/1000000</f>
        <v>71.241811812500003</v>
      </c>
      <c r="J37" s="130">
        <f>+I37+'6'!J37</f>
        <v>356.57022015250004</v>
      </c>
      <c r="K37" s="131" t="s">
        <v>66</v>
      </c>
      <c r="L37" s="435"/>
      <c r="M37" s="436"/>
      <c r="N37" s="154">
        <f>1.678+2.797+1.117</f>
        <v>5.5919999999999996</v>
      </c>
    </row>
    <row r="38" spans="1:15" ht="17.45" customHeight="1">
      <c r="A38" s="793" t="s">
        <v>13</v>
      </c>
      <c r="B38" s="794"/>
      <c r="C38" s="169">
        <f>SUMIF($G$7:$G$31,"Process",$F$7:$F$31)</f>
        <v>13</v>
      </c>
      <c r="D38" s="123">
        <f>+C38+'6'!D38</f>
        <v>715</v>
      </c>
      <c r="E38" s="148">
        <f t="shared" ref="E38:E51" si="0">D38/60</f>
        <v>11.916666666666666</v>
      </c>
      <c r="F38" s="375">
        <v>596.66666666666663</v>
      </c>
      <c r="G38" s="375">
        <v>520.57083333333333</v>
      </c>
      <c r="H38" s="192" t="s">
        <v>67</v>
      </c>
      <c r="I38" s="556">
        <f>22.339+21.912+24.548</f>
        <v>68.798999999999992</v>
      </c>
      <c r="J38" s="132">
        <f>+I38+'6'!J38</f>
        <v>320.51799999999997</v>
      </c>
      <c r="K38" s="133" t="s">
        <v>66</v>
      </c>
      <c r="L38" s="437"/>
      <c r="M38" s="438"/>
      <c r="N38" s="557">
        <f>+I38-N37</f>
        <v>63.206999999999994</v>
      </c>
      <c r="O38" s="557"/>
    </row>
    <row r="39" spans="1:15" ht="17.45" customHeight="1">
      <c r="A39" s="789" t="s">
        <v>14</v>
      </c>
      <c r="B39" s="790"/>
      <c r="C39" s="169">
        <f>SUMIF($G$7:$G$31,"Cleaning",$F$7:$F$31)</f>
        <v>0</v>
      </c>
      <c r="D39" s="123">
        <f>+C39+'6'!D39</f>
        <v>0</v>
      </c>
      <c r="E39" s="148">
        <f t="shared" si="0"/>
        <v>0</v>
      </c>
      <c r="F39" s="375">
        <v>510</v>
      </c>
      <c r="G39" s="375">
        <f>+F39-F39*0.12</f>
        <v>448.8</v>
      </c>
      <c r="H39" s="192" t="s">
        <v>68</v>
      </c>
      <c r="I39" s="147"/>
      <c r="J39" s="134">
        <f>J37/G4</f>
        <v>50.938602878928577</v>
      </c>
      <c r="K39" s="135" t="s">
        <v>66</v>
      </c>
      <c r="L39" s="437"/>
      <c r="M39" s="438"/>
    </row>
    <row r="40" spans="1:15" ht="17.45" customHeight="1">
      <c r="A40" s="789" t="s">
        <v>69</v>
      </c>
      <c r="B40" s="790"/>
      <c r="C40" s="169">
        <f>SUMIF($G$7:$G$31,"Mechanical",$F$7:$F$31)</f>
        <v>0</v>
      </c>
      <c r="D40" s="123">
        <f>+C40+'6'!D40</f>
        <v>0</v>
      </c>
      <c r="E40" s="148">
        <f t="shared" si="0"/>
        <v>0</v>
      </c>
      <c r="F40" s="375">
        <v>510</v>
      </c>
      <c r="G40" s="375">
        <f>+F40-F40*0.12</f>
        <v>448.8</v>
      </c>
      <c r="H40" s="192" t="s">
        <v>70</v>
      </c>
      <c r="I40" s="123">
        <f>(K34+L34)/1000</f>
        <v>69.388000000000005</v>
      </c>
      <c r="J40" s="136">
        <f>+I40+'6'!J40</f>
        <v>295.94400000000002</v>
      </c>
      <c r="K40" s="135" t="s">
        <v>66</v>
      </c>
      <c r="L40" s="437"/>
      <c r="M40" s="438"/>
    </row>
    <row r="41" spans="1:15" ht="17.45" customHeight="1">
      <c r="A41" s="789" t="s">
        <v>71</v>
      </c>
      <c r="B41" s="790"/>
      <c r="C41" s="169">
        <f>SUMIF($G$7:$G$31,"Electrical",$F$7:$F$31)</f>
        <v>0</v>
      </c>
      <c r="D41" s="123">
        <f>+C41+'6'!D41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42.277714285714289</v>
      </c>
      <c r="K41" s="135" t="s">
        <v>66</v>
      </c>
      <c r="L41" s="437"/>
      <c r="M41" s="438"/>
    </row>
    <row r="42" spans="1:15" ht="17.45" customHeight="1">
      <c r="A42" s="789" t="s">
        <v>17</v>
      </c>
      <c r="B42" s="790"/>
      <c r="C42" s="169">
        <f>SUMIF($G$7:$G$31,"Instrument",$F$7:$F$31)</f>
        <v>0</v>
      </c>
      <c r="D42" s="123">
        <f>+C42+'6'!D42</f>
        <v>0</v>
      </c>
      <c r="E42" s="148">
        <f t="shared" si="0"/>
        <v>0</v>
      </c>
      <c r="F42" s="375">
        <f>+(F38*480+F39*480+F40*480)/1440</f>
        <v>538.88888888888891</v>
      </c>
      <c r="G42" s="375">
        <f>+(G38*480+G39*480+G40*480)/1440</f>
        <v>472.7236111111111</v>
      </c>
      <c r="H42" s="192" t="s">
        <v>73</v>
      </c>
      <c r="I42" s="250" t="s">
        <v>506</v>
      </c>
      <c r="J42" s="137"/>
      <c r="K42" s="135" t="s">
        <v>74</v>
      </c>
      <c r="L42" s="437"/>
      <c r="M42" s="438"/>
    </row>
    <row r="43" spans="1:15" ht="17.45" customHeight="1">
      <c r="A43" s="789" t="s">
        <v>201</v>
      </c>
      <c r="B43" s="790"/>
      <c r="C43" s="169">
        <f>SUMIF($G$7:$G$31,"Change Grade",$F$7:$F$31)</f>
        <v>0</v>
      </c>
      <c r="D43" s="123">
        <f>+C43+'6'!D43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+Report1!AH15</f>
        <v>121.74299999999999</v>
      </c>
      <c r="J43" s="138">
        <f>+I43+'6'!J43</f>
        <v>790.85599999999999</v>
      </c>
      <c r="K43" s="135" t="s">
        <v>66</v>
      </c>
      <c r="L43" s="439">
        <f>+Report1!AN15</f>
        <v>13.1</v>
      </c>
      <c r="M43" s="440">
        <f>+L43+'6'!M43</f>
        <v>67.699999999999989</v>
      </c>
    </row>
    <row r="44" spans="1:15" ht="17.45" customHeight="1">
      <c r="A44" s="789" t="s">
        <v>18</v>
      </c>
      <c r="B44" s="790"/>
      <c r="C44" s="169">
        <f>SUMIF($G$7:$G$31,"PLN",$F$7:$F$31)</f>
        <v>0</v>
      </c>
      <c r="D44" s="123">
        <f>+C44+'6'!D44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1.7695460689835609</v>
      </c>
      <c r="J44" s="139">
        <f>J43/J38</f>
        <v>2.4674308463175239</v>
      </c>
      <c r="K44" s="135" t="s">
        <v>66</v>
      </c>
      <c r="L44" s="441">
        <f>+L43/I38</f>
        <v>0.19040974432767921</v>
      </c>
      <c r="M44" s="442">
        <f>+M43/J38</f>
        <v>0.21122058667531932</v>
      </c>
    </row>
    <row r="45" spans="1:15" ht="17.45" customHeight="1">
      <c r="A45" s="789" t="s">
        <v>19</v>
      </c>
      <c r="B45" s="790"/>
      <c r="C45" s="169">
        <f>SUMIF($G$7:$G$31,"Boiler",$F$7:$F$31)</f>
        <v>0</v>
      </c>
      <c r="D45" s="123">
        <f>+C45+'6'!D45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1.7545252781460769</v>
      </c>
      <c r="J45" s="139">
        <f>J43/J40</f>
        <v>2.6723163841807906</v>
      </c>
      <c r="K45" s="135" t="s">
        <v>66</v>
      </c>
      <c r="L45" s="441">
        <f>+L43/I40</f>
        <v>0.18879345131723063</v>
      </c>
      <c r="M45" s="442">
        <f>+M43/J40</f>
        <v>0.22875949503960202</v>
      </c>
    </row>
    <row r="46" spans="1:15" ht="17.45" customHeight="1">
      <c r="A46" s="789" t="s">
        <v>79</v>
      </c>
      <c r="B46" s="790"/>
      <c r="C46" s="169">
        <f>SUMIF($G$7:$G$31,"Gas",$F$7:$F$31)</f>
        <v>0</v>
      </c>
      <c r="D46" s="123">
        <f>+C46+'6'!D46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+SUMIF(Listrik!AC14,"&gt;0")</f>
        <v>35992.250000000451</v>
      </c>
      <c r="J46" s="140">
        <f>+I46+'6'!J46</f>
        <v>211918.28999999998</v>
      </c>
      <c r="K46" s="135" t="s">
        <v>81</v>
      </c>
      <c r="L46" s="441">
        <f>+Listrik!AF14</f>
        <v>1258</v>
      </c>
      <c r="M46" s="443">
        <f>+L46+'6'!M46</f>
        <v>8318</v>
      </c>
    </row>
    <row r="47" spans="1:15" ht="17.45" customHeight="1">
      <c r="A47" s="789" t="s">
        <v>82</v>
      </c>
      <c r="B47" s="790"/>
      <c r="C47" s="169">
        <f>SUMIF($G$7:$G$31,"Gas",$F$7:$F$31)</f>
        <v>0</v>
      </c>
      <c r="D47" s="123">
        <f>+C47+'6'!D47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523.15077254030518</v>
      </c>
      <c r="J47" s="140">
        <f>J46/J38</f>
        <v>661.17438022201566</v>
      </c>
      <c r="K47" s="135" t="s">
        <v>25</v>
      </c>
      <c r="L47" s="441">
        <f>+L46/I38</f>
        <v>18.285149493451943</v>
      </c>
      <c r="M47" s="442">
        <f>+M46/J38</f>
        <v>25.951740619871586</v>
      </c>
    </row>
    <row r="48" spans="1:15" ht="17.45" customHeight="1">
      <c r="A48" s="789" t="s">
        <v>15</v>
      </c>
      <c r="B48" s="790"/>
      <c r="C48" s="169">
        <f>SUMIF($G$7:$G$31,"Start Up",$F$7:$F$31)</f>
        <v>0</v>
      </c>
      <c r="D48" s="123">
        <f>+C48+'6'!D48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518.71000749409768</v>
      </c>
      <c r="J48" s="140">
        <f>J46/J40</f>
        <v>716.07564268915735</v>
      </c>
      <c r="K48" s="135" t="s">
        <v>25</v>
      </c>
      <c r="L48" s="441">
        <f>+L46/I38</f>
        <v>18.285149493451943</v>
      </c>
      <c r="M48" s="442">
        <f>+M46/J40</f>
        <v>28.106668829237961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+C49+'6'!D49</f>
        <v>1680</v>
      </c>
      <c r="E49" s="148">
        <f t="shared" si="0"/>
        <v>28</v>
      </c>
      <c r="F49" s="190"/>
      <c r="H49" s="193" t="s">
        <v>170</v>
      </c>
      <c r="I49" s="123">
        <f>+Report1!AB15</f>
        <v>0</v>
      </c>
      <c r="J49" s="140">
        <f>+I49+'6'!J49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+C50+'6'!D50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+C51+'6'!D51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13</v>
      </c>
      <c r="D52" s="149">
        <f>SUM(D38:D51)</f>
        <v>2395</v>
      </c>
      <c r="E52" s="150">
        <f>SUM(E38:E51)</f>
        <v>39.916666666666664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9.0277777777777769E-3</v>
      </c>
      <c r="D53" s="151">
        <f>D52/(24*60*G4)</f>
        <v>0.23759920634920634</v>
      </c>
      <c r="E53" s="152">
        <f>E52/(G4*24)</f>
        <v>0.23759920634920634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+D34+'6'!J56</f>
        <v>10577</v>
      </c>
      <c r="K56" s="206">
        <f>J56/(J40+J56/1000)/1000</f>
        <v>3.4506608030118659E-2</v>
      </c>
    </row>
    <row r="57" spans="1:13">
      <c r="A57" s="181"/>
      <c r="I57" s="204" t="s">
        <v>92</v>
      </c>
      <c r="J57" s="205">
        <f>+E34+'6'!J57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61"/>
  <sheetViews>
    <sheetView view="pageBreakPreview" topLeftCell="A7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2.855468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6</v>
      </c>
      <c r="H4" s="159" t="str">
        <f>+'1'!H4</f>
        <v>.10.25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309+304+308</f>
        <v>921</v>
      </c>
    </row>
    <row r="7" spans="1:15" ht="13.5" customHeight="1" thickBot="1">
      <c r="A7" s="777" t="s">
        <v>411</v>
      </c>
      <c r="B7" s="220" t="s">
        <v>484</v>
      </c>
      <c r="C7" s="221">
        <v>21498</v>
      </c>
      <c r="D7" s="222"/>
      <c r="E7" s="223"/>
      <c r="F7" s="232"/>
      <c r="G7" s="233" t="s">
        <v>13</v>
      </c>
      <c r="H7" s="234" t="s">
        <v>394</v>
      </c>
      <c r="I7" s="780" t="s">
        <v>446</v>
      </c>
      <c r="J7" s="219" t="str">
        <f>+'5'!J7</f>
        <v>TW 17 RC HW</v>
      </c>
      <c r="K7" s="242"/>
      <c r="L7" s="246"/>
      <c r="M7" s="122">
        <f>+K7+'5'!M7+L7</f>
        <v>44630</v>
      </c>
    </row>
    <row r="8" spans="1:15" ht="13.5" thickBot="1">
      <c r="A8" s="778"/>
      <c r="B8" s="220"/>
      <c r="C8" s="221"/>
      <c r="D8" s="222"/>
      <c r="E8" s="224"/>
      <c r="F8" s="235"/>
      <c r="G8" s="581" t="s">
        <v>13</v>
      </c>
      <c r="H8" s="234" t="s">
        <v>430</v>
      </c>
      <c r="I8" s="781"/>
      <c r="J8" s="219" t="str">
        <f>+'5'!J8</f>
        <v>N 18 RC HW</v>
      </c>
      <c r="K8" s="243">
        <f>+C27</f>
        <v>1220</v>
      </c>
      <c r="L8" s="243"/>
      <c r="M8" s="122">
        <f>+K8+'5'!M8+L8</f>
        <v>105194</v>
      </c>
      <c r="N8" s="154">
        <v>830</v>
      </c>
      <c r="O8" s="154">
        <f>+N8-N8*0.14</f>
        <v>713.8</v>
      </c>
    </row>
    <row r="9" spans="1:15" ht="13.5" thickBot="1">
      <c r="A9" s="778"/>
      <c r="B9" s="220"/>
      <c r="C9" s="221"/>
      <c r="D9" s="222"/>
      <c r="E9" s="225"/>
      <c r="F9" s="232">
        <v>5</v>
      </c>
      <c r="G9" s="581" t="s">
        <v>13</v>
      </c>
      <c r="H9" s="237" t="s">
        <v>226</v>
      </c>
      <c r="I9" s="781"/>
      <c r="J9" s="219" t="str">
        <f>+'5'!J9</f>
        <v>N 20 RC HW</v>
      </c>
      <c r="K9" s="243">
        <f>+C7+C16+C25</f>
        <v>54194</v>
      </c>
      <c r="L9" s="243"/>
      <c r="M9" s="122">
        <f>+K9+'5'!M9+L9</f>
        <v>71479</v>
      </c>
    </row>
    <row r="10" spans="1:15" ht="13.5" thickBot="1">
      <c r="A10" s="778"/>
      <c r="B10" s="220"/>
      <c r="C10" s="221"/>
      <c r="D10" s="222"/>
      <c r="E10" s="224"/>
      <c r="F10" s="232"/>
      <c r="G10" s="581"/>
      <c r="H10" s="237" t="s">
        <v>476</v>
      </c>
      <c r="I10" s="781"/>
      <c r="J10" s="219" t="s">
        <v>491</v>
      </c>
      <c r="K10" s="243">
        <f>+C26</f>
        <v>5253</v>
      </c>
      <c r="L10" s="243"/>
      <c r="M10" s="122">
        <f>+K10+'5'!M10+L10</f>
        <v>5253</v>
      </c>
    </row>
    <row r="11" spans="1:15" ht="13.5" thickBot="1">
      <c r="A11" s="778"/>
      <c r="B11" s="220"/>
      <c r="C11" s="221"/>
      <c r="D11" s="222"/>
      <c r="E11" s="224"/>
      <c r="F11" s="232"/>
      <c r="G11" s="236"/>
      <c r="H11" s="237"/>
      <c r="I11" s="781"/>
      <c r="J11" s="219" t="s">
        <v>492</v>
      </c>
      <c r="K11" s="243"/>
      <c r="L11" s="243"/>
      <c r="M11" s="122">
        <f>+K11+'5'!M11+L11</f>
        <v>0</v>
      </c>
    </row>
    <row r="12" spans="1:15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>
        <f>+'5'!J12</f>
        <v>0</v>
      </c>
      <c r="K12" s="243"/>
      <c r="L12" s="243"/>
      <c r="M12" s="122">
        <f>+K12+'5'!M12+L12</f>
        <v>0</v>
      </c>
    </row>
    <row r="13" spans="1:15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>
        <f>+'5'!J13</f>
        <v>0</v>
      </c>
      <c r="K13" s="243"/>
      <c r="L13" s="243"/>
      <c r="M13" s="122">
        <f>+K13+'5'!M13+L13</f>
        <v>0</v>
      </c>
    </row>
    <row r="14" spans="1:15" ht="13.5" thickBot="1">
      <c r="A14" s="779"/>
      <c r="B14" s="170" t="s">
        <v>3</v>
      </c>
      <c r="C14" s="104">
        <f>SUM(C7:C13)</f>
        <v>21498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>
        <f>+'5'!J14</f>
        <v>0</v>
      </c>
      <c r="K14" s="243"/>
      <c r="L14" s="243"/>
      <c r="M14" s="122">
        <f>+K14+'5'!M14+L14</f>
        <v>0</v>
      </c>
    </row>
    <row r="15" spans="1:15" ht="13.5" customHeight="1" thickBot="1">
      <c r="A15" s="777" t="s">
        <v>413</v>
      </c>
      <c r="B15" s="170"/>
      <c r="C15" s="118">
        <f>C14/($C$23+$D$23+$E$23)</f>
        <v>0.99256660048940393</v>
      </c>
      <c r="D15" s="119">
        <f>D14/($C$23+$D$23+$E$23)</f>
        <v>0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446</v>
      </c>
      <c r="J15" s="219">
        <f>+'5'!J15</f>
        <v>0</v>
      </c>
      <c r="K15" s="243"/>
      <c r="L15" s="243"/>
      <c r="M15" s="122">
        <f>+K15+'5'!M15+L15</f>
        <v>0</v>
      </c>
    </row>
    <row r="16" spans="1:15" ht="13.5" thickBot="1">
      <c r="A16" s="783"/>
      <c r="B16" s="220" t="s">
        <v>484</v>
      </c>
      <c r="C16" s="226">
        <v>21659</v>
      </c>
      <c r="D16" s="227"/>
      <c r="E16" s="228"/>
      <c r="F16" s="235">
        <v>4</v>
      </c>
      <c r="G16" s="581" t="s">
        <v>13</v>
      </c>
      <c r="H16" s="234" t="s">
        <v>392</v>
      </c>
      <c r="I16" s="781"/>
      <c r="J16" s="219">
        <f>+'5'!J16</f>
        <v>0</v>
      </c>
      <c r="K16" s="243"/>
      <c r="L16" s="233"/>
      <c r="M16" s="122">
        <f>+K16+'5'!M16+L16</f>
        <v>0</v>
      </c>
    </row>
    <row r="17" spans="1:16" ht="13.5" thickBot="1">
      <c r="A17" s="783"/>
      <c r="B17" s="220"/>
      <c r="C17" s="221"/>
      <c r="D17" s="222"/>
      <c r="E17" s="229"/>
      <c r="F17" s="232">
        <v>4</v>
      </c>
      <c r="G17" s="581" t="s">
        <v>13</v>
      </c>
      <c r="H17" s="237" t="s">
        <v>226</v>
      </c>
      <c r="I17" s="781"/>
      <c r="J17" s="219">
        <f>+'5'!J17</f>
        <v>0</v>
      </c>
      <c r="K17" s="233"/>
      <c r="L17" s="233"/>
      <c r="M17" s="122">
        <f>+K17+'5'!M17+L17</f>
        <v>0</v>
      </c>
    </row>
    <row r="18" spans="1:16" ht="13.5" thickBot="1">
      <c r="A18" s="783"/>
      <c r="B18" s="220"/>
      <c r="C18" s="221"/>
      <c r="D18" s="222"/>
      <c r="E18" s="229"/>
      <c r="F18" s="232"/>
      <c r="G18" s="581"/>
      <c r="H18" s="237" t="s">
        <v>476</v>
      </c>
      <c r="I18" s="781"/>
      <c r="J18" s="219">
        <f>+'5'!J18</f>
        <v>0</v>
      </c>
      <c r="K18" s="243"/>
      <c r="L18" s="243"/>
      <c r="M18" s="122">
        <f>+K18+'5'!M18+L18</f>
        <v>0</v>
      </c>
    </row>
    <row r="19" spans="1:16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>
        <f>+'5'!J19</f>
        <v>0</v>
      </c>
      <c r="K19" s="243"/>
      <c r="L19" s="243"/>
      <c r="M19" s="122">
        <f>+K19+'5'!M19+L19</f>
        <v>0</v>
      </c>
    </row>
    <row r="20" spans="1:16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+'5'!J20</f>
        <v>0</v>
      </c>
      <c r="K20" s="244"/>
      <c r="L20" s="244"/>
      <c r="M20" s="122">
        <f>+K20+'5'!M20+L20</f>
        <v>0</v>
      </c>
    </row>
    <row r="21" spans="1:16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+'5'!J21</f>
        <v>0</v>
      </c>
      <c r="K21" s="243"/>
      <c r="L21" s="243"/>
      <c r="M21" s="122">
        <f>+K21+'5'!M21+L21</f>
        <v>0</v>
      </c>
    </row>
    <row r="22" spans="1:16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+'5'!J22</f>
        <v>0</v>
      </c>
      <c r="K22" s="243"/>
      <c r="L22" s="243"/>
      <c r="M22" s="122">
        <f>+K22+'5'!M22+L22</f>
        <v>0</v>
      </c>
    </row>
    <row r="23" spans="1:16" ht="13.5" thickBot="1">
      <c r="A23" s="784"/>
      <c r="B23" s="170" t="s">
        <v>3</v>
      </c>
      <c r="C23" s="105">
        <f>SUM(C16:C22)</f>
        <v>21659</v>
      </c>
      <c r="D23" s="116">
        <f>SUM(D16:D22)</f>
        <v>0</v>
      </c>
      <c r="E23" s="117">
        <f>SUM(E18:E22)</f>
        <v>0</v>
      </c>
      <c r="F23" s="107">
        <f>SUM(F15:F22)</f>
        <v>8</v>
      </c>
      <c r="G23" s="164"/>
      <c r="H23" s="171"/>
      <c r="I23" s="174"/>
      <c r="J23" s="219">
        <f>+'5'!J23</f>
        <v>0</v>
      </c>
      <c r="K23" s="243"/>
      <c r="L23" s="243"/>
      <c r="M23" s="122">
        <f>+K23+'5'!M23+L23</f>
        <v>0</v>
      </c>
    </row>
    <row r="24" spans="1:16" ht="13.5" customHeight="1" thickBot="1">
      <c r="A24" s="777" t="s">
        <v>414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+'5'!J24</f>
        <v>0</v>
      </c>
      <c r="K24" s="243"/>
      <c r="L24" s="243"/>
      <c r="M24" s="122">
        <f>+K24+'5'!M24+L24</f>
        <v>0</v>
      </c>
    </row>
    <row r="25" spans="1:16" ht="13.5" customHeight="1" thickBot="1">
      <c r="A25" s="785"/>
      <c r="B25" s="220" t="s">
        <v>484</v>
      </c>
      <c r="C25" s="230">
        <f>5415+935+4687</f>
        <v>11037</v>
      </c>
      <c r="D25" s="222"/>
      <c r="E25" s="229"/>
      <c r="F25" s="235">
        <v>3</v>
      </c>
      <c r="G25" s="581" t="s">
        <v>13</v>
      </c>
      <c r="H25" s="234" t="s">
        <v>392</v>
      </c>
      <c r="I25" s="781"/>
      <c r="J25" s="219">
        <f>+'5'!J25</f>
        <v>0</v>
      </c>
      <c r="K25" s="243"/>
      <c r="L25" s="243"/>
      <c r="M25" s="122">
        <f>+K25+'5'!M25+L25</f>
        <v>0</v>
      </c>
      <c r="N25" s="154">
        <v>830</v>
      </c>
      <c r="O25" s="154">
        <f>+N25-N25*0.14</f>
        <v>713.8</v>
      </c>
      <c r="P25" s="154">
        <f>960+120+29</f>
        <v>1109</v>
      </c>
    </row>
    <row r="26" spans="1:16" ht="13.5" customHeight="1" thickBot="1">
      <c r="A26" s="785"/>
      <c r="B26" s="220" t="s">
        <v>491</v>
      </c>
      <c r="C26" s="230">
        <v>5253</v>
      </c>
      <c r="D26" s="222"/>
      <c r="E26" s="231"/>
      <c r="F26" s="232">
        <v>2</v>
      </c>
      <c r="G26" s="581" t="s">
        <v>13</v>
      </c>
      <c r="H26" s="237" t="s">
        <v>226</v>
      </c>
      <c r="I26" s="781"/>
      <c r="J26" s="219">
        <f>+'5'!J26</f>
        <v>0</v>
      </c>
      <c r="K26" s="243"/>
      <c r="L26" s="243"/>
      <c r="M26" s="122">
        <f>+K26+'5'!M26+L26</f>
        <v>0</v>
      </c>
      <c r="N26" s="154">
        <v>830</v>
      </c>
      <c r="O26" s="154">
        <f>+N26-N26*0.14</f>
        <v>713.8</v>
      </c>
      <c r="P26" s="154">
        <f>31+60+45</f>
        <v>136</v>
      </c>
    </row>
    <row r="27" spans="1:16" ht="13.5" customHeight="1" thickBot="1">
      <c r="A27" s="785"/>
      <c r="B27" s="220" t="s">
        <v>461</v>
      </c>
      <c r="C27" s="221">
        <v>1220</v>
      </c>
      <c r="D27" s="222"/>
      <c r="E27" s="229"/>
      <c r="F27" s="232"/>
      <c r="G27" s="581"/>
      <c r="H27" s="237" t="s">
        <v>476</v>
      </c>
      <c r="I27" s="781"/>
      <c r="J27" s="219">
        <f>+'5'!J27</f>
        <v>0</v>
      </c>
      <c r="K27" s="243"/>
      <c r="L27" s="243"/>
      <c r="M27" s="122">
        <f>+K27+'5'!M27+L27</f>
        <v>0</v>
      </c>
      <c r="N27" s="154">
        <v>830</v>
      </c>
      <c r="O27" s="154">
        <f>+N27-N27*0.14</f>
        <v>713.8</v>
      </c>
      <c r="P27" s="154">
        <v>58</v>
      </c>
    </row>
    <row r="28" spans="1:16" ht="13.5" customHeight="1" thickBot="1">
      <c r="A28" s="785"/>
      <c r="B28" s="220"/>
      <c r="C28" s="221"/>
      <c r="D28" s="222"/>
      <c r="E28" s="229"/>
      <c r="F28" s="235">
        <v>5</v>
      </c>
      <c r="G28" s="236" t="s">
        <v>13</v>
      </c>
      <c r="H28" s="237" t="s">
        <v>489</v>
      </c>
      <c r="I28" s="781"/>
      <c r="J28" s="219">
        <f>+'5'!J28</f>
        <v>0</v>
      </c>
      <c r="K28" s="243"/>
      <c r="L28" s="243"/>
      <c r="M28" s="122">
        <f>+K28+'5'!M28+L28</f>
        <v>0</v>
      </c>
      <c r="N28" s="154">
        <v>830</v>
      </c>
      <c r="O28" s="154">
        <f>+N28-N28*0.14</f>
        <v>713.8</v>
      </c>
      <c r="P28" s="154">
        <f>17+120</f>
        <v>137</v>
      </c>
    </row>
    <row r="29" spans="1:16" ht="13.5" customHeight="1" thickBot="1">
      <c r="A29" s="785"/>
      <c r="B29" s="220"/>
      <c r="C29" s="221"/>
      <c r="D29" s="222"/>
      <c r="E29" s="229"/>
      <c r="F29" s="240">
        <v>5</v>
      </c>
      <c r="G29" s="236" t="s">
        <v>13</v>
      </c>
      <c r="H29" s="237" t="s">
        <v>490</v>
      </c>
      <c r="I29" s="781"/>
      <c r="J29" s="219">
        <f>+'5'!J29</f>
        <v>0</v>
      </c>
      <c r="K29" s="243"/>
      <c r="L29" s="243"/>
      <c r="M29" s="122">
        <f>+K29+'5'!M29+L29</f>
        <v>0</v>
      </c>
      <c r="P29" s="154">
        <f>SUM(P25:P28)</f>
        <v>1440</v>
      </c>
    </row>
    <row r="30" spans="1:16" ht="13.5" customHeight="1" thickBot="1">
      <c r="A30" s="785"/>
      <c r="B30" s="220"/>
      <c r="C30" s="230"/>
      <c r="D30" s="222"/>
      <c r="E30" s="229"/>
      <c r="F30" s="240">
        <v>5</v>
      </c>
      <c r="G30" s="236" t="s">
        <v>13</v>
      </c>
      <c r="H30" s="237" t="s">
        <v>498</v>
      </c>
      <c r="I30" s="781"/>
      <c r="J30" s="219">
        <f>+'5'!J30</f>
        <v>0</v>
      </c>
      <c r="K30" s="243"/>
      <c r="L30" s="243"/>
      <c r="M30" s="122">
        <f>+K30+'5'!M30+L30</f>
        <v>0</v>
      </c>
    </row>
    <row r="31" spans="1:16" ht="13.5" customHeight="1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+'5'!J31</f>
        <v>0</v>
      </c>
      <c r="K31" s="243"/>
      <c r="L31" s="243"/>
      <c r="M31" s="122">
        <f>+K31+'5'!M31+L31</f>
        <v>0</v>
      </c>
    </row>
    <row r="32" spans="1:16" ht="13.5" customHeight="1" thickBot="1">
      <c r="A32" s="786"/>
      <c r="B32" s="170" t="s">
        <v>3</v>
      </c>
      <c r="C32" s="104">
        <f>SUM(C25:C31)</f>
        <v>17510</v>
      </c>
      <c r="D32" s="105">
        <f>SUM(D25:D31)</f>
        <v>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+'5'!J32</f>
        <v>0</v>
      </c>
      <c r="K32" s="245"/>
      <c r="L32" s="247"/>
      <c r="M32" s="122">
        <f>+K32+'5'!M32+L32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60667</v>
      </c>
      <c r="D34" s="112">
        <f>D14+D23+D32</f>
        <v>0</v>
      </c>
      <c r="E34" s="112">
        <f>E14+E23+E32</f>
        <v>0</v>
      </c>
      <c r="F34" s="113">
        <f>F14+F23+F32</f>
        <v>33</v>
      </c>
      <c r="H34" s="183"/>
      <c r="I34" s="183"/>
      <c r="J34" s="128" t="s">
        <v>29</v>
      </c>
      <c r="K34" s="129">
        <f>SUM(K7:K32)</f>
        <v>60667</v>
      </c>
      <c r="L34" s="217">
        <f>SUM(L7:L32)</f>
        <v>0</v>
      </c>
      <c r="M34" s="125">
        <f>SUM(M7:M32)</f>
        <v>226556</v>
      </c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(20*1109+17*136+18*58+18.5*137)/1440*G42*3.4*1440/1000000</f>
        <v>68.124857860000006</v>
      </c>
      <c r="J37" s="130">
        <f>+I37+'5'!J37</f>
        <v>285.32840834000001</v>
      </c>
      <c r="K37" s="131" t="s">
        <v>66</v>
      </c>
      <c r="L37" s="435"/>
      <c r="M37" s="436"/>
      <c r="N37" s="154">
        <f>21.879+22.209+6.256</f>
        <v>50.344000000000001</v>
      </c>
    </row>
    <row r="38" spans="1:14" ht="17.45" customHeight="1">
      <c r="A38" s="793" t="s">
        <v>13</v>
      </c>
      <c r="B38" s="794"/>
      <c r="C38" s="169">
        <f>SUMIF($G$7:$G$31,"Process",$F$7:$F$31)</f>
        <v>33</v>
      </c>
      <c r="D38" s="123">
        <f>+C38+'5'!D38</f>
        <v>702</v>
      </c>
      <c r="E38" s="148">
        <f t="shared" ref="E38:E51" si="0">D38/60</f>
        <v>11.7</v>
      </c>
      <c r="F38" s="375">
        <v>830</v>
      </c>
      <c r="G38" s="375">
        <f>+F38-F38*0.14</f>
        <v>713.8</v>
      </c>
      <c r="H38" s="192" t="s">
        <v>67</v>
      </c>
      <c r="I38" s="556">
        <f>21.879+22.209+18.124</f>
        <v>62.212000000000003</v>
      </c>
      <c r="J38" s="132">
        <f>+I38+'5'!J38</f>
        <v>251.71899999999999</v>
      </c>
      <c r="K38" s="133" t="s">
        <v>66</v>
      </c>
      <c r="L38" s="437"/>
      <c r="M38" s="438"/>
      <c r="N38" s="154">
        <f>2.433+2.43</f>
        <v>4.8629999999999995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+C39+'5'!D39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47.554734723333333</v>
      </c>
      <c r="K39" s="135" t="s">
        <v>66</v>
      </c>
      <c r="L39" s="437"/>
      <c r="M39" s="438"/>
      <c r="N39" s="154">
        <v>2.4350000000000001</v>
      </c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+C40+'5'!D40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60.667000000000002</v>
      </c>
      <c r="J40" s="136">
        <f>+I40+'5'!J40</f>
        <v>226.55600000000001</v>
      </c>
      <c r="K40" s="135" t="s">
        <v>66</v>
      </c>
      <c r="L40" s="437"/>
      <c r="M40" s="438"/>
      <c r="N40" s="154">
        <f>2.285+2.285</f>
        <v>4.57</v>
      </c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+C41+'5'!D41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37.759333333333338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+C42+'5'!D42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+C43+'5'!D43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+Report1!AH14</f>
        <v>136.00399999999999</v>
      </c>
      <c r="J43" s="138">
        <f>+I43+'5'!J43</f>
        <v>669.11299999999994</v>
      </c>
      <c r="K43" s="135" t="s">
        <v>66</v>
      </c>
      <c r="L43" s="439">
        <f>+Report1!AN14</f>
        <v>10.3</v>
      </c>
      <c r="M43" s="440">
        <f>+L43+'5'!M43</f>
        <v>54.599999999999994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+C44+'5'!D44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2.1861377226258596</v>
      </c>
      <c r="J44" s="139">
        <f>J43/J38</f>
        <v>2.658174392874594</v>
      </c>
      <c r="K44" s="135" t="s">
        <v>66</v>
      </c>
      <c r="L44" s="441">
        <f>+L43/I38</f>
        <v>0.16556291390728478</v>
      </c>
      <c r="M44" s="442">
        <f>+M43/J38</f>
        <v>0.2169085369002737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+C45+'5'!D45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2.2418118581766033</v>
      </c>
      <c r="J45" s="139">
        <f>J43/J40</f>
        <v>2.9534110771729725</v>
      </c>
      <c r="K45" s="135" t="s">
        <v>66</v>
      </c>
      <c r="L45" s="441">
        <f>+L43/I40</f>
        <v>0.16977928692699493</v>
      </c>
      <c r="M45" s="442">
        <f>+M43/J40</f>
        <v>0.24100001765567891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+C46+'5'!D46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+SUMIF(Listrik!AC13,"&gt;0")</f>
        <v>36077.609999999768</v>
      </c>
      <c r="J46" s="140">
        <f>+I46+'5'!J46</f>
        <v>175926.03999999951</v>
      </c>
      <c r="K46" s="135" t="s">
        <v>81</v>
      </c>
      <c r="L46" s="441">
        <f>+Listrik!AF13</f>
        <v>1321</v>
      </c>
      <c r="M46" s="443">
        <f>+L46+'5'!M46</f>
        <v>7060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+C47+'5'!D47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579.91400372918031</v>
      </c>
      <c r="J47" s="140">
        <f>J46/J38</f>
        <v>698.8985336823979</v>
      </c>
      <c r="K47" s="135" t="s">
        <v>25</v>
      </c>
      <c r="L47" s="441">
        <f>+L46/I38</f>
        <v>21.233845560342054</v>
      </c>
      <c r="M47" s="442">
        <f>+M46/J38</f>
        <v>28.047147811647115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+C48+'5'!D48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594.68261163399814</v>
      </c>
      <c r="J48" s="140">
        <f>J46/J40</f>
        <v>776.52342025812379</v>
      </c>
      <c r="K48" s="135" t="s">
        <v>25</v>
      </c>
      <c r="L48" s="441">
        <f>+L46/I38</f>
        <v>21.233845560342054</v>
      </c>
      <c r="M48" s="442">
        <f>+M46/J40</f>
        <v>31.16227334522149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+C49+'5'!D49</f>
        <v>1680</v>
      </c>
      <c r="E49" s="148">
        <f t="shared" si="0"/>
        <v>28</v>
      </c>
      <c r="F49" s="190"/>
      <c r="H49" s="193" t="s">
        <v>170</v>
      </c>
      <c r="I49" s="123">
        <f>+Report1!AB14</f>
        <v>0</v>
      </c>
      <c r="J49" s="140">
        <f>+I49+'5'!J49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+C50+'5'!D50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+C51+'5'!D51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33</v>
      </c>
      <c r="D52" s="149">
        <f>SUM(D38:D51)</f>
        <v>2382</v>
      </c>
      <c r="E52" s="150">
        <f>SUM(E38:E51)</f>
        <v>39.700000000000003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2.2916666666666665E-2</v>
      </c>
      <c r="D53" s="151">
        <f>D52/(24*60*G4)</f>
        <v>0.27569444444444446</v>
      </c>
      <c r="E53" s="152">
        <f>E52/(G4*24)</f>
        <v>0.27569444444444446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+D34+'5'!J56</f>
        <v>10025</v>
      </c>
      <c r="K56" s="206">
        <f>J56/(J40+J56/1000)/1000</f>
        <v>4.237449330250527E-2</v>
      </c>
    </row>
    <row r="57" spans="1:13">
      <c r="A57" s="181"/>
      <c r="I57" s="204" t="s">
        <v>92</v>
      </c>
      <c r="J57" s="205">
        <f>+E34+'5'!J57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P61"/>
  <sheetViews>
    <sheetView view="pageBreakPreview" topLeftCell="A16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5</v>
      </c>
      <c r="H4" s="159" t="str">
        <f>+'1'!H4</f>
        <v>.10.25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348+319+302</f>
        <v>969</v>
      </c>
    </row>
    <row r="7" spans="1:16" ht="13.5" customHeight="1" thickBot="1">
      <c r="A7" s="777" t="s">
        <v>411</v>
      </c>
      <c r="B7" s="220" t="s">
        <v>454</v>
      </c>
      <c r="C7" s="221">
        <v>5137</v>
      </c>
      <c r="D7" s="222"/>
      <c r="E7" s="223"/>
      <c r="F7" s="232">
        <v>2</v>
      </c>
      <c r="G7" s="233" t="s">
        <v>13</v>
      </c>
      <c r="H7" s="234" t="s">
        <v>391</v>
      </c>
      <c r="I7" s="780" t="s">
        <v>446</v>
      </c>
      <c r="J7" s="219" t="str">
        <f>+'4'!J7</f>
        <v>TW 17 RC HW</v>
      </c>
      <c r="K7" s="242">
        <f>+C7</f>
        <v>5137</v>
      </c>
      <c r="L7" s="246"/>
      <c r="M7" s="122">
        <f>+K7+'4'!M7+L7</f>
        <v>44630</v>
      </c>
    </row>
    <row r="8" spans="1:16" ht="13.5" thickBot="1">
      <c r="A8" s="778"/>
      <c r="B8" s="220" t="s">
        <v>461</v>
      </c>
      <c r="C8" s="221">
        <v>6668</v>
      </c>
      <c r="D8" s="222">
        <v>1798</v>
      </c>
      <c r="E8" s="224"/>
      <c r="F8" s="235">
        <v>4</v>
      </c>
      <c r="G8" s="581" t="s">
        <v>13</v>
      </c>
      <c r="H8" s="234" t="s">
        <v>449</v>
      </c>
      <c r="I8" s="781"/>
      <c r="J8" s="219" t="str">
        <f>+'4'!J8</f>
        <v>N 18 RC HW</v>
      </c>
      <c r="K8" s="243">
        <f>+C8+C16+C25</f>
        <v>22361</v>
      </c>
      <c r="L8" s="243"/>
      <c r="M8" s="122">
        <f>+K8+'4'!M8+L8</f>
        <v>103974</v>
      </c>
      <c r="N8" s="154">
        <v>830</v>
      </c>
      <c r="O8" s="154">
        <f>+N8-N8*0.14</f>
        <v>713.8</v>
      </c>
      <c r="P8" s="154">
        <f>960-200-35</f>
        <v>725</v>
      </c>
    </row>
    <row r="9" spans="1:16" ht="13.5" thickBot="1">
      <c r="A9" s="778"/>
      <c r="B9" s="220"/>
      <c r="C9" s="221"/>
      <c r="D9" s="222"/>
      <c r="E9" s="225"/>
      <c r="F9" s="232">
        <v>9</v>
      </c>
      <c r="G9" s="581" t="s">
        <v>13</v>
      </c>
      <c r="H9" s="237" t="s">
        <v>226</v>
      </c>
      <c r="I9" s="781"/>
      <c r="J9" s="219" t="s">
        <v>484</v>
      </c>
      <c r="K9" s="243">
        <f>+C26</f>
        <v>17285</v>
      </c>
      <c r="L9" s="243"/>
      <c r="M9" s="122">
        <f>+K9+'4'!M9+L9</f>
        <v>17285</v>
      </c>
      <c r="N9" s="154">
        <v>830</v>
      </c>
      <c r="O9" s="154">
        <f>+N9-N9*0.14</f>
        <v>713.8</v>
      </c>
      <c r="P9" s="154">
        <f>35+480</f>
        <v>515</v>
      </c>
    </row>
    <row r="10" spans="1:16" ht="13.5" thickBot="1">
      <c r="A10" s="778"/>
      <c r="B10" s="220"/>
      <c r="C10" s="221"/>
      <c r="D10" s="222"/>
      <c r="E10" s="224"/>
      <c r="F10" s="232"/>
      <c r="G10" s="581"/>
      <c r="H10" s="237" t="s">
        <v>459</v>
      </c>
      <c r="I10" s="781"/>
      <c r="J10" s="219">
        <f>+'4'!J10</f>
        <v>0</v>
      </c>
      <c r="K10" s="243"/>
      <c r="L10" s="243"/>
      <c r="M10" s="122">
        <f>+K10+'4'!M10+L10</f>
        <v>0</v>
      </c>
      <c r="P10" s="154">
        <f>SUM(P8:P9)</f>
        <v>1240</v>
      </c>
    </row>
    <row r="11" spans="1:16" ht="13.5" thickBot="1">
      <c r="A11" s="778"/>
      <c r="B11" s="220"/>
      <c r="C11" s="221"/>
      <c r="D11" s="222"/>
      <c r="E11" s="224"/>
      <c r="F11" s="232">
        <v>100</v>
      </c>
      <c r="G11" s="236" t="s">
        <v>13</v>
      </c>
      <c r="H11" s="237" t="s">
        <v>477</v>
      </c>
      <c r="I11" s="781"/>
      <c r="J11" s="219">
        <f>+'4'!J11</f>
        <v>0</v>
      </c>
      <c r="K11" s="243"/>
      <c r="L11" s="243"/>
      <c r="M11" s="122">
        <f>+K11+'4'!M11+L11</f>
        <v>0</v>
      </c>
    </row>
    <row r="12" spans="1:16" ht="13.5" thickBot="1">
      <c r="A12" s="778"/>
      <c r="B12" s="220"/>
      <c r="C12" s="221"/>
      <c r="D12" s="222"/>
      <c r="E12" s="224"/>
      <c r="F12" s="232"/>
      <c r="G12" s="236"/>
      <c r="H12" s="237" t="s">
        <v>478</v>
      </c>
      <c r="I12" s="781"/>
      <c r="J12" s="219">
        <f>+'4'!J12</f>
        <v>0</v>
      </c>
      <c r="K12" s="243"/>
      <c r="L12" s="243"/>
      <c r="M12" s="122">
        <f>+K12+'4'!M12+L12</f>
        <v>0</v>
      </c>
    </row>
    <row r="13" spans="1:16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>
        <f>+'4'!J13</f>
        <v>0</v>
      </c>
      <c r="K13" s="243"/>
      <c r="L13" s="243"/>
      <c r="M13" s="122">
        <f>+K13+'4'!M13+L13</f>
        <v>0</v>
      </c>
    </row>
    <row r="14" spans="1:16" ht="13.5" thickBot="1">
      <c r="A14" s="779"/>
      <c r="B14" s="170" t="s">
        <v>3</v>
      </c>
      <c r="C14" s="104">
        <f>SUM(C7:C13)</f>
        <v>11805</v>
      </c>
      <c r="D14" s="116">
        <f>SUM(D7:D13)</f>
        <v>1798</v>
      </c>
      <c r="E14" s="117">
        <f>SUM(E5:E13)</f>
        <v>0</v>
      </c>
      <c r="F14" s="107">
        <f>SUM(F6:F13)</f>
        <v>115</v>
      </c>
      <c r="G14" s="164"/>
      <c r="H14" s="171"/>
      <c r="I14" s="172"/>
      <c r="J14" s="219">
        <f>+'4'!J14</f>
        <v>0</v>
      </c>
      <c r="K14" s="243"/>
      <c r="L14" s="243"/>
      <c r="M14" s="122">
        <f>+K14+'4'!M14+L14</f>
        <v>0</v>
      </c>
    </row>
    <row r="15" spans="1:16" ht="13.5" customHeight="1" thickBot="1">
      <c r="A15" s="777" t="s">
        <v>412</v>
      </c>
      <c r="B15" s="170"/>
      <c r="C15" s="118">
        <f>C14/($C$23+$D$23+$E$23)</f>
        <v>0.80191563073160788</v>
      </c>
      <c r="D15" s="119">
        <f>D14/($C$23+$D$23+$E$23)</f>
        <v>0.12213844168195095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446</v>
      </c>
      <c r="J15" s="219">
        <f>+'4'!J15</f>
        <v>0</v>
      </c>
      <c r="K15" s="243"/>
      <c r="L15" s="243"/>
      <c r="M15" s="122">
        <f>+K15+'4'!M15+L15</f>
        <v>0</v>
      </c>
    </row>
    <row r="16" spans="1:16" ht="13.5" thickBot="1">
      <c r="A16" s="783"/>
      <c r="B16" s="220" t="s">
        <v>461</v>
      </c>
      <c r="C16" s="226">
        <v>13731</v>
      </c>
      <c r="D16" s="227">
        <v>990</v>
      </c>
      <c r="E16" s="228"/>
      <c r="F16" s="235">
        <v>10</v>
      </c>
      <c r="G16" s="581" t="s">
        <v>13</v>
      </c>
      <c r="H16" s="234" t="s">
        <v>392</v>
      </c>
      <c r="I16" s="781"/>
      <c r="J16" s="219">
        <f>+'4'!J16</f>
        <v>0</v>
      </c>
      <c r="K16" s="233"/>
      <c r="L16" s="233"/>
      <c r="M16" s="122">
        <f>+K16+'4'!M16+L16</f>
        <v>0</v>
      </c>
    </row>
    <row r="17" spans="1:14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>
        <f>+'4'!J17</f>
        <v>0</v>
      </c>
      <c r="K17" s="233"/>
      <c r="L17" s="233"/>
      <c r="M17" s="122">
        <f>+K17+'4'!M17+L17</f>
        <v>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459</v>
      </c>
      <c r="I18" s="781"/>
      <c r="J18" s="219">
        <f>+'4'!J18</f>
        <v>0</v>
      </c>
      <c r="K18" s="243"/>
      <c r="L18" s="243"/>
      <c r="M18" s="122">
        <f>+K18+'4'!M18+L18</f>
        <v>0</v>
      </c>
    </row>
    <row r="19" spans="1:14" ht="13.5" thickBot="1">
      <c r="A19" s="783"/>
      <c r="B19" s="220"/>
      <c r="C19" s="221"/>
      <c r="D19" s="222"/>
      <c r="E19" s="229"/>
      <c r="F19" s="232">
        <v>100</v>
      </c>
      <c r="G19" s="236" t="s">
        <v>13</v>
      </c>
      <c r="H19" s="237" t="s">
        <v>475</v>
      </c>
      <c r="I19" s="781"/>
      <c r="J19" s="219">
        <f>+'4'!J19</f>
        <v>0</v>
      </c>
      <c r="K19" s="243"/>
      <c r="L19" s="243"/>
      <c r="M19" s="122">
        <f>+K19+'4'!M19+L19</f>
        <v>0</v>
      </c>
    </row>
    <row r="20" spans="1:14" ht="13.5" thickBot="1">
      <c r="A20" s="783"/>
      <c r="B20" s="220"/>
      <c r="C20" s="221"/>
      <c r="D20" s="222"/>
      <c r="E20" s="229"/>
      <c r="F20" s="232">
        <v>5</v>
      </c>
      <c r="G20" s="236" t="s">
        <v>13</v>
      </c>
      <c r="H20" s="237" t="s">
        <v>483</v>
      </c>
      <c r="I20" s="781"/>
      <c r="J20" s="219">
        <f>+'4'!J20</f>
        <v>0</v>
      </c>
      <c r="K20" s="244"/>
      <c r="L20" s="244"/>
      <c r="M20" s="122">
        <f>+K20+'4'!M20+L20</f>
        <v>0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+'4'!J21</f>
        <v>0</v>
      </c>
      <c r="K21" s="243"/>
      <c r="L21" s="243"/>
      <c r="M21" s="122">
        <f>+K21+'4'!M21+L21</f>
        <v>0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+'4'!J22</f>
        <v>0</v>
      </c>
      <c r="K22" s="243"/>
      <c r="L22" s="243"/>
      <c r="M22" s="122">
        <f>+K22+'4'!M22+L22</f>
        <v>0</v>
      </c>
    </row>
    <row r="23" spans="1:14" ht="13.5" thickBot="1">
      <c r="A23" s="784"/>
      <c r="B23" s="170" t="s">
        <v>3</v>
      </c>
      <c r="C23" s="105">
        <f>SUM(C16:C22)</f>
        <v>13731</v>
      </c>
      <c r="D23" s="116">
        <f>SUM(D16:D22)</f>
        <v>990</v>
      </c>
      <c r="E23" s="117">
        <f>SUM(E18:E22)</f>
        <v>0</v>
      </c>
      <c r="F23" s="107">
        <f>SUM(F15:F22)</f>
        <v>120</v>
      </c>
      <c r="G23" s="164"/>
      <c r="H23" s="171"/>
      <c r="I23" s="174"/>
      <c r="J23" s="219">
        <f>+'4'!J23</f>
        <v>0</v>
      </c>
      <c r="K23" s="243"/>
      <c r="L23" s="243"/>
      <c r="M23" s="122">
        <f>+K23+'4'!M23+L23</f>
        <v>0</v>
      </c>
    </row>
    <row r="24" spans="1:14" ht="13.5" customHeight="1" thickBot="1">
      <c r="A24" s="777" t="s">
        <v>414</v>
      </c>
      <c r="B24" s="175"/>
      <c r="C24" s="118">
        <f>C23/($C$23+$D$23+$E$23)</f>
        <v>0.93274913389036074</v>
      </c>
      <c r="D24" s="119">
        <f>D23/($C$23+$D$23+$E$23)</f>
        <v>6.725086610963929E-2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+'4'!J24</f>
        <v>0</v>
      </c>
      <c r="K24" s="243"/>
      <c r="L24" s="243"/>
      <c r="M24" s="122">
        <f>+K24+'4'!M24+L24</f>
        <v>0</v>
      </c>
    </row>
    <row r="25" spans="1:14" ht="13.5" thickBot="1">
      <c r="A25" s="785"/>
      <c r="B25" s="220" t="s">
        <v>461</v>
      </c>
      <c r="C25" s="230">
        <v>1962</v>
      </c>
      <c r="D25" s="222">
        <v>450</v>
      </c>
      <c r="E25" s="229"/>
      <c r="F25" s="235">
        <v>5</v>
      </c>
      <c r="G25" s="581" t="s">
        <v>13</v>
      </c>
      <c r="H25" s="234" t="s">
        <v>392</v>
      </c>
      <c r="I25" s="781"/>
      <c r="J25" s="219">
        <f>+'4'!J25</f>
        <v>0</v>
      </c>
      <c r="K25" s="243"/>
      <c r="L25" s="243"/>
      <c r="M25" s="122">
        <f>+K25+'4'!M25+L25</f>
        <v>0</v>
      </c>
    </row>
    <row r="26" spans="1:14" ht="13.5" thickBot="1">
      <c r="A26" s="785"/>
      <c r="B26" s="220" t="s">
        <v>484</v>
      </c>
      <c r="C26" s="230">
        <v>17285</v>
      </c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+'4'!J26</f>
        <v>0</v>
      </c>
      <c r="K26" s="243"/>
      <c r="L26" s="243"/>
      <c r="M26" s="122">
        <f>+K26+'4'!M26+L26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476</v>
      </c>
      <c r="I27" s="781"/>
      <c r="J27" s="219">
        <f>+'4'!J27</f>
        <v>0</v>
      </c>
      <c r="K27" s="243"/>
      <c r="L27" s="243"/>
      <c r="M27" s="122">
        <f>+K27+'4'!M27+L27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/>
      <c r="I28" s="781"/>
      <c r="J28" s="219">
        <f>+'4'!J28</f>
        <v>0</v>
      </c>
      <c r="K28" s="243"/>
      <c r="L28" s="243"/>
      <c r="M28" s="122">
        <f>+K28+'4'!M28+L28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+'4'!J29</f>
        <v>0</v>
      </c>
      <c r="K29" s="243"/>
      <c r="L29" s="243"/>
      <c r="M29" s="122">
        <f>+K29+'4'!M29+L29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+'4'!J30</f>
        <v>0</v>
      </c>
      <c r="K30" s="243"/>
      <c r="L30" s="243"/>
      <c r="M30" s="122">
        <f>+K30+'4'!M30+L30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238"/>
      <c r="I31" s="782"/>
      <c r="J31" s="219">
        <f>+'4'!J31</f>
        <v>0</v>
      </c>
      <c r="K31" s="243"/>
      <c r="L31" s="243"/>
      <c r="M31" s="122">
        <f>+K31+'4'!M31+L31</f>
        <v>0</v>
      </c>
    </row>
    <row r="32" spans="1:14" ht="13.5" thickBot="1">
      <c r="A32" s="786"/>
      <c r="B32" s="170" t="s">
        <v>3</v>
      </c>
      <c r="C32" s="104">
        <f>SUM(C25:C31)</f>
        <v>19247</v>
      </c>
      <c r="D32" s="105">
        <f>SUM(D25:D31)</f>
        <v>450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+'4'!J32</f>
        <v>0</v>
      </c>
      <c r="K32" s="245"/>
      <c r="L32" s="247"/>
      <c r="M32" s="122">
        <f>+K32+'4'!M32+L32</f>
        <v>0</v>
      </c>
    </row>
    <row r="33" spans="1:14" ht="13.5" thickBot="1">
      <c r="A33" s="178"/>
      <c r="B33" s="179"/>
      <c r="C33" s="108">
        <f>C32/($C$32+$D$32+$E$32)</f>
        <v>0.97715388130172109</v>
      </c>
      <c r="D33" s="109">
        <f>D32/($C$32+$D$32+$E$32)</f>
        <v>2.2846118698278926E-2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44783</v>
      </c>
      <c r="D34" s="112">
        <f>D14+D23+D32</f>
        <v>3238</v>
      </c>
      <c r="E34" s="112">
        <f>E14+E23+E32</f>
        <v>0</v>
      </c>
      <c r="F34" s="113">
        <f>F14+F23+F32</f>
        <v>245</v>
      </c>
      <c r="H34" s="183"/>
      <c r="I34" s="183"/>
      <c r="J34" s="128" t="s">
        <v>29</v>
      </c>
      <c r="K34" s="129">
        <f>SUM(K7:K32)</f>
        <v>44783</v>
      </c>
      <c r="L34" s="217">
        <f>SUM(L7:L32)</f>
        <v>0</v>
      </c>
      <c r="M34" s="125">
        <f>SUM(M7:M32)</f>
        <v>165889</v>
      </c>
      <c r="N34" s="160"/>
    </row>
    <row r="35" spans="1:14" ht="13.5" thickBot="1">
      <c r="A35" s="184"/>
      <c r="B35" s="185"/>
      <c r="C35" s="109">
        <f>C34/($C$34+$D$34+$E$34)</f>
        <v>0.93257116678119989</v>
      </c>
      <c r="D35" s="109">
        <f>D34/($C$34+$D$34+$E$34)</f>
        <v>6.742883321880011E-2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(18*725+20*515)/1240*G42*3.4*1240/1000000</f>
        <v>56.668582000000001</v>
      </c>
      <c r="J37" s="130">
        <f>+I37+'4'!J37</f>
        <v>217.20355047999999</v>
      </c>
      <c r="K37" s="131" t="s">
        <v>66</v>
      </c>
      <c r="L37" s="435"/>
      <c r="M37" s="436"/>
      <c r="N37" s="557">
        <f>+I38-N38</f>
        <v>28.067000000000004</v>
      </c>
    </row>
    <row r="38" spans="1:14" ht="17.45" customHeight="1">
      <c r="A38" s="793" t="s">
        <v>13</v>
      </c>
      <c r="B38" s="794"/>
      <c r="C38" s="169">
        <f>SUMIF($G$7:$G$31,"Process",$F$7:$F$31)</f>
        <v>245</v>
      </c>
      <c r="D38" s="123">
        <f>+C38+'4'!D38</f>
        <v>669</v>
      </c>
      <c r="E38" s="148">
        <f t="shared" ref="E38:E51" si="0">D38/60</f>
        <v>11.15</v>
      </c>
      <c r="F38" s="375">
        <v>830</v>
      </c>
      <c r="G38" s="375">
        <f>+F38-F38*0.14</f>
        <v>713.8</v>
      </c>
      <c r="H38" s="192" t="s">
        <v>67</v>
      </c>
      <c r="I38" s="556">
        <f>15.523+13.86+20.097</f>
        <v>49.480000000000004</v>
      </c>
      <c r="J38" s="132">
        <f>+I38+'4'!J38</f>
        <v>189.50700000000001</v>
      </c>
      <c r="K38" s="133" t="s">
        <v>66</v>
      </c>
      <c r="L38" s="437"/>
      <c r="M38" s="438"/>
      <c r="N38" s="154">
        <f>0.128+1.188+20.097</f>
        <v>21.413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+C39+'4'!D39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43.440710095999997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+C40+'4'!D40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44.783000000000001</v>
      </c>
      <c r="J40" s="136">
        <f>+I40+'4'!J40</f>
        <v>165.88900000000001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+C41+'4'!D41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33.177800000000005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+C42+'4'!D42</f>
        <v>0</v>
      </c>
      <c r="E42" s="148">
        <f t="shared" si="0"/>
        <v>0</v>
      </c>
      <c r="F42" s="375">
        <f>+(F38*380+F39*380+F40*480)/1240</f>
        <v>830</v>
      </c>
      <c r="G42" s="375">
        <f>+(G38*380+G39*380+G40*480)/1240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+C43+'4'!D43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+Report1!AH13</f>
        <v>125.26300000000001</v>
      </c>
      <c r="J43" s="138">
        <f>+I43+'4'!J43</f>
        <v>533.10899999999992</v>
      </c>
      <c r="K43" s="135" t="s">
        <v>66</v>
      </c>
      <c r="L43" s="439">
        <f>+Report1!AN13</f>
        <v>10.6</v>
      </c>
      <c r="M43" s="440">
        <f>+L43+'4'!M43</f>
        <v>44.3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+C44+'4'!D44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2.5315885206143895</v>
      </c>
      <c r="J44" s="139">
        <f>J43/J38</f>
        <v>2.8131361902198857</v>
      </c>
      <c r="K44" s="135" t="s">
        <v>66</v>
      </c>
      <c r="L44" s="441">
        <f>+L43/I38</f>
        <v>0.21422797089733223</v>
      </c>
      <c r="M44" s="442">
        <f>+M43/J38</f>
        <v>0.23376445197275034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+C45+'4'!D45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2.7971105106848579</v>
      </c>
      <c r="J45" s="139">
        <f>J43/J40</f>
        <v>3.2136488857006786</v>
      </c>
      <c r="K45" s="135" t="s">
        <v>66</v>
      </c>
      <c r="L45" s="441">
        <f>+L43/I40</f>
        <v>0.23669696090034165</v>
      </c>
      <c r="M45" s="442">
        <f>+M43/J40</f>
        <v>0.26704603680774491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+C46+'4'!D46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+SUMIF(Listrik!AC12,"&gt;0")</f>
        <v>31409.12000000001</v>
      </c>
      <c r="J46" s="140">
        <f>+I46+'4'!J46</f>
        <v>139848.42999999976</v>
      </c>
      <c r="K46" s="135" t="s">
        <v>81</v>
      </c>
      <c r="L46" s="441">
        <f>+Listrik!AF12</f>
        <v>1231</v>
      </c>
      <c r="M46" s="443">
        <f>+L46+'4'!M46</f>
        <v>5739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+C47+'4'!D47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634.78415521422812</v>
      </c>
      <c r="J47" s="140">
        <f>J46/J38</f>
        <v>737.95917828892732</v>
      </c>
      <c r="K47" s="135" t="s">
        <v>25</v>
      </c>
      <c r="L47" s="441">
        <f>+L46/I38</f>
        <v>24.878738884397734</v>
      </c>
      <c r="M47" s="442">
        <f>+M46/J38</f>
        <v>30.283841757824248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+C48+'4'!D48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701.3625706183152</v>
      </c>
      <c r="J48" s="140">
        <f>J46/J40</f>
        <v>843.02413059334708</v>
      </c>
      <c r="K48" s="135" t="s">
        <v>25</v>
      </c>
      <c r="L48" s="441">
        <f>+L46/I38</f>
        <v>24.878738884397734</v>
      </c>
      <c r="M48" s="442">
        <f>+M46/J40</f>
        <v>34.595422240172645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+C49+'4'!D49</f>
        <v>1680</v>
      </c>
      <c r="E49" s="148">
        <f t="shared" si="0"/>
        <v>28</v>
      </c>
      <c r="F49" s="190"/>
      <c r="H49" s="193" t="s">
        <v>170</v>
      </c>
      <c r="I49" s="123">
        <f>+Report1!AB13</f>
        <v>0</v>
      </c>
      <c r="J49" s="140">
        <f>+I49+'4'!J49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+C50+'4'!D50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+C51+'4'!D51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245</v>
      </c>
      <c r="D52" s="149">
        <f>SUM(D38:D51)</f>
        <v>2349</v>
      </c>
      <c r="E52" s="150">
        <f>SUM(E38:E51)</f>
        <v>39.15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0.1701388888888889</v>
      </c>
      <c r="D53" s="151">
        <f>D52/(24*60*G4)</f>
        <v>0.32624999999999998</v>
      </c>
      <c r="E53" s="152">
        <f>E52/(G4*24)</f>
        <v>0.32624999999999998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+D34+'4'!J56</f>
        <v>10025</v>
      </c>
      <c r="K56" s="206">
        <f>J56/(J40+J56/1000)/1000</f>
        <v>5.6988073717839392E-2</v>
      </c>
    </row>
    <row r="57" spans="1:13">
      <c r="A57" s="181"/>
      <c r="I57" s="204" t="s">
        <v>92</v>
      </c>
      <c r="J57" s="205">
        <f>+E34+'4'!J57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P61"/>
  <sheetViews>
    <sheetView view="pageBreakPreview" topLeftCell="A7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4</v>
      </c>
      <c r="H4" s="159" t="str">
        <f>+'5'!H4</f>
        <v>.10.25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301+325+286</f>
        <v>912</v>
      </c>
    </row>
    <row r="7" spans="1:16" ht="13.5" customHeight="1" thickBot="1">
      <c r="A7" s="777" t="s">
        <v>411</v>
      </c>
      <c r="B7" s="220" t="s">
        <v>461</v>
      </c>
      <c r="C7" s="221">
        <v>10512</v>
      </c>
      <c r="D7" s="222">
        <v>2729</v>
      </c>
      <c r="E7" s="223"/>
      <c r="F7" s="232"/>
      <c r="G7" s="233" t="s">
        <v>13</v>
      </c>
      <c r="H7" s="234" t="s">
        <v>394</v>
      </c>
      <c r="I7" s="780" t="s">
        <v>446</v>
      </c>
      <c r="J7" s="219" t="str">
        <f>+'3'!J7</f>
        <v>TW 17 RC HW</v>
      </c>
      <c r="K7" s="242"/>
      <c r="L7" s="246"/>
      <c r="M7" s="122">
        <f>+K7+'3'!M7+L7</f>
        <v>39493</v>
      </c>
    </row>
    <row r="8" spans="1:16" ht="13.5" thickBot="1">
      <c r="A8" s="778"/>
      <c r="B8" s="220"/>
      <c r="C8" s="221"/>
      <c r="D8" s="222"/>
      <c r="E8" s="224"/>
      <c r="F8" s="235">
        <v>10</v>
      </c>
      <c r="G8" s="581" t="s">
        <v>13</v>
      </c>
      <c r="H8" s="234" t="s">
        <v>392</v>
      </c>
      <c r="I8" s="781"/>
      <c r="J8" s="219" t="str">
        <f>+'3'!J8</f>
        <v>N 18 RC HW</v>
      </c>
      <c r="K8" s="243">
        <f>+C34</f>
        <v>32671</v>
      </c>
      <c r="L8" s="243"/>
      <c r="M8" s="122">
        <f>+K8+'3'!M8+L8</f>
        <v>81613</v>
      </c>
    </row>
    <row r="9" spans="1:16" ht="13.5" thickBot="1">
      <c r="A9" s="778"/>
      <c r="B9" s="220"/>
      <c r="C9" s="221"/>
      <c r="D9" s="222"/>
      <c r="E9" s="225"/>
      <c r="F9" s="232">
        <v>10</v>
      </c>
      <c r="G9" s="581" t="s">
        <v>13</v>
      </c>
      <c r="H9" s="237" t="s">
        <v>226</v>
      </c>
      <c r="I9" s="781"/>
      <c r="J9" s="219">
        <f>+'3'!J9</f>
        <v>0</v>
      </c>
      <c r="K9" s="243"/>
      <c r="L9" s="243"/>
      <c r="M9" s="122">
        <f>+K9+'3'!M9+L9</f>
        <v>0</v>
      </c>
      <c r="N9" s="154">
        <v>830</v>
      </c>
      <c r="O9" s="154">
        <f>+N9-N9*0.14</f>
        <v>713.8</v>
      </c>
      <c r="P9" s="154">
        <f>50+19+300</f>
        <v>369</v>
      </c>
    </row>
    <row r="10" spans="1:16" ht="13.5" thickBot="1">
      <c r="A10" s="778"/>
      <c r="B10" s="220"/>
      <c r="C10" s="221"/>
      <c r="D10" s="222"/>
      <c r="E10" s="224"/>
      <c r="F10" s="232"/>
      <c r="G10" s="581"/>
      <c r="H10" s="237" t="s">
        <v>459</v>
      </c>
      <c r="I10" s="781"/>
      <c r="J10" s="219">
        <f>+'3'!J10</f>
        <v>0</v>
      </c>
      <c r="K10" s="243"/>
      <c r="L10" s="243"/>
      <c r="M10" s="122">
        <f>+K10+'3'!M10+L10</f>
        <v>0</v>
      </c>
      <c r="P10" s="154">
        <v>480</v>
      </c>
    </row>
    <row r="11" spans="1:16" ht="13.5" thickBot="1">
      <c r="A11" s="778"/>
      <c r="B11" s="220"/>
      <c r="C11" s="221"/>
      <c r="D11" s="222"/>
      <c r="E11" s="224" t="s">
        <v>447</v>
      </c>
      <c r="F11" s="232">
        <f>10+60+41</f>
        <v>111</v>
      </c>
      <c r="G11" s="236" t="s">
        <v>13</v>
      </c>
      <c r="H11" s="237" t="s">
        <v>470</v>
      </c>
      <c r="I11" s="781"/>
      <c r="J11" s="219">
        <f>+'3'!J11</f>
        <v>0</v>
      </c>
      <c r="K11" s="243"/>
      <c r="L11" s="243"/>
      <c r="M11" s="122">
        <f>+K11+'3'!M11+L11</f>
        <v>0</v>
      </c>
      <c r="P11" s="154">
        <f>60+50+45+35+55+60</f>
        <v>305</v>
      </c>
    </row>
    <row r="12" spans="1:16" ht="26.25" thickBot="1">
      <c r="A12" s="778"/>
      <c r="B12" s="220"/>
      <c r="C12" s="221"/>
      <c r="D12" s="222"/>
      <c r="E12" s="224"/>
      <c r="F12" s="232"/>
      <c r="G12" s="236"/>
      <c r="H12" s="237" t="s">
        <v>469</v>
      </c>
      <c r="I12" s="781"/>
      <c r="J12" s="219">
        <f>+'3'!J12</f>
        <v>0</v>
      </c>
      <c r="K12" s="243"/>
      <c r="L12" s="243"/>
      <c r="M12" s="122">
        <f>+K12+'3'!M12+L12</f>
        <v>0</v>
      </c>
      <c r="P12" s="154">
        <f>SUM(P9:P11)</f>
        <v>1154</v>
      </c>
    </row>
    <row r="13" spans="1:16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>
        <f>+'3'!J13</f>
        <v>0</v>
      </c>
      <c r="K13" s="243"/>
      <c r="L13" s="243"/>
      <c r="M13" s="122">
        <f>+K13+'3'!M13+L13</f>
        <v>0</v>
      </c>
    </row>
    <row r="14" spans="1:16" ht="13.5" thickBot="1">
      <c r="A14" s="779"/>
      <c r="B14" s="170" t="s">
        <v>3</v>
      </c>
      <c r="C14" s="104">
        <f>SUM(C7:C13)</f>
        <v>10512</v>
      </c>
      <c r="D14" s="116">
        <f>SUM(D7:D13)</f>
        <v>2729</v>
      </c>
      <c r="E14" s="117">
        <f>SUM(E5:E13)</f>
        <v>0</v>
      </c>
      <c r="F14" s="107">
        <f>SUM(F6:F13)</f>
        <v>131</v>
      </c>
      <c r="G14" s="164"/>
      <c r="H14" s="171"/>
      <c r="I14" s="172"/>
      <c r="J14" s="219">
        <f>+'3'!J14</f>
        <v>0</v>
      </c>
      <c r="K14" s="243"/>
      <c r="L14" s="243"/>
      <c r="M14" s="122">
        <f>+K14+'3'!M14+L14</f>
        <v>0</v>
      </c>
    </row>
    <row r="15" spans="1:16" ht="13.5" customHeight="1" thickBot="1">
      <c r="A15" s="777" t="s">
        <v>412</v>
      </c>
      <c r="B15" s="170"/>
      <c r="C15" s="118">
        <f>C14/($C$23+$D$23+$E$23)</f>
        <v>0.54993460633010727</v>
      </c>
      <c r="D15" s="119">
        <f>D14/($C$23+$D$23+$E$23)</f>
        <v>0.14276746010986135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446</v>
      </c>
      <c r="J15" s="219">
        <f>+'3'!J15</f>
        <v>0</v>
      </c>
      <c r="K15" s="243"/>
      <c r="L15" s="243"/>
      <c r="M15" s="122">
        <f>+K15+'3'!M15+L15</f>
        <v>0</v>
      </c>
    </row>
    <row r="16" spans="1:16" ht="13.5" thickBot="1">
      <c r="A16" s="783"/>
      <c r="B16" s="220" t="s">
        <v>461</v>
      </c>
      <c r="C16" s="226">
        <v>18493</v>
      </c>
      <c r="D16" s="227">
        <v>622</v>
      </c>
      <c r="E16" s="228"/>
      <c r="F16" s="235">
        <v>5</v>
      </c>
      <c r="G16" s="581" t="s">
        <v>13</v>
      </c>
      <c r="H16" s="234" t="s">
        <v>392</v>
      </c>
      <c r="I16" s="781"/>
      <c r="J16" s="219">
        <f>+'3'!J16</f>
        <v>0</v>
      </c>
      <c r="K16" s="233"/>
      <c r="L16" s="233"/>
      <c r="M16" s="122">
        <f>+K16+'3'!M16+L16</f>
        <v>0</v>
      </c>
    </row>
    <row r="17" spans="1:14" ht="13.5" thickBot="1">
      <c r="A17" s="783"/>
      <c r="B17" s="220"/>
      <c r="C17" s="221"/>
      <c r="D17" s="222"/>
      <c r="E17" s="229"/>
      <c r="F17" s="232">
        <v>5</v>
      </c>
      <c r="G17" s="581" t="s">
        <v>13</v>
      </c>
      <c r="H17" s="237" t="s">
        <v>226</v>
      </c>
      <c r="I17" s="781"/>
      <c r="J17" s="219">
        <f>+'3'!J17</f>
        <v>0</v>
      </c>
      <c r="K17" s="233"/>
      <c r="L17" s="233"/>
      <c r="M17" s="122">
        <f>+K17+'3'!M17+L17</f>
        <v>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459</v>
      </c>
      <c r="I18" s="781"/>
      <c r="J18" s="219">
        <f>+'3'!J18</f>
        <v>0</v>
      </c>
      <c r="K18" s="243"/>
      <c r="L18" s="243"/>
      <c r="M18" s="122">
        <f>+K18+'3'!M18+L18</f>
        <v>0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>
        <f>+'3'!J19</f>
        <v>0</v>
      </c>
      <c r="K19" s="243"/>
      <c r="L19" s="243"/>
      <c r="M19" s="122">
        <f>+K19+'3'!M19+L19</f>
        <v>0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+'3'!J20</f>
        <v>0</v>
      </c>
      <c r="K20" s="244"/>
      <c r="L20" s="244"/>
      <c r="M20" s="122">
        <f>+K20+'3'!M20+L20</f>
        <v>0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+'3'!J21</f>
        <v>0</v>
      </c>
      <c r="K21" s="243"/>
      <c r="L21" s="243"/>
      <c r="M21" s="122">
        <f>+K21+'3'!M21+L21</f>
        <v>0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+'3'!J22</f>
        <v>0</v>
      </c>
      <c r="K22" s="243"/>
      <c r="L22" s="243"/>
      <c r="M22" s="122">
        <f>+K22+'3'!M22+L22</f>
        <v>0</v>
      </c>
    </row>
    <row r="23" spans="1:14" ht="13.5" thickBot="1">
      <c r="A23" s="784"/>
      <c r="B23" s="170" t="s">
        <v>3</v>
      </c>
      <c r="C23" s="105">
        <f>SUM(C16:C22)</f>
        <v>18493</v>
      </c>
      <c r="D23" s="116">
        <f>SUM(D16:D22)</f>
        <v>622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>
        <f>+'3'!J23</f>
        <v>0</v>
      </c>
      <c r="K23" s="243"/>
      <c r="L23" s="243"/>
      <c r="M23" s="122">
        <f>+K23+'3'!M23+L23</f>
        <v>0</v>
      </c>
    </row>
    <row r="24" spans="1:14" ht="13.5" customHeight="1" thickBot="1">
      <c r="A24" s="777" t="s">
        <v>414</v>
      </c>
      <c r="B24" s="175"/>
      <c r="C24" s="118">
        <f>C23/($C$23+$D$23+$E$23)</f>
        <v>0.96746010986136544</v>
      </c>
      <c r="D24" s="119">
        <f>D23/($C$23+$D$23+$E$23)</f>
        <v>3.2539890138634578E-2</v>
      </c>
      <c r="E24" s="120">
        <f>E23/($C$23+$D$23+$E$23)</f>
        <v>0</v>
      </c>
      <c r="F24" s="232">
        <v>9</v>
      </c>
      <c r="G24" s="233" t="s">
        <v>13</v>
      </c>
      <c r="H24" s="234" t="s">
        <v>479</v>
      </c>
      <c r="I24" s="780" t="s">
        <v>446</v>
      </c>
      <c r="J24" s="219">
        <f>+'3'!J24</f>
        <v>0</v>
      </c>
      <c r="K24" s="243"/>
      <c r="L24" s="243"/>
      <c r="M24" s="122">
        <f>+K24+'3'!M24+L24</f>
        <v>0</v>
      </c>
    </row>
    <row r="25" spans="1:14" ht="13.5" thickBot="1">
      <c r="A25" s="785"/>
      <c r="B25" s="220" t="s">
        <v>461</v>
      </c>
      <c r="C25" s="230">
        <v>3666</v>
      </c>
      <c r="D25" s="222">
        <v>1416</v>
      </c>
      <c r="E25" s="229"/>
      <c r="F25" s="235">
        <v>6</v>
      </c>
      <c r="G25" s="581" t="s">
        <v>13</v>
      </c>
      <c r="H25" s="234" t="s">
        <v>480</v>
      </c>
      <c r="I25" s="781"/>
      <c r="J25" s="219">
        <f>+'3'!J25</f>
        <v>0</v>
      </c>
      <c r="K25" s="243"/>
      <c r="L25" s="243"/>
      <c r="M25" s="122">
        <f>+K25+'3'!M25+L25</f>
        <v>0</v>
      </c>
    </row>
    <row r="26" spans="1:14" ht="13.5" thickBot="1">
      <c r="A26" s="785"/>
      <c r="B26" s="220"/>
      <c r="C26" s="230"/>
      <c r="D26" s="222"/>
      <c r="E26" s="231"/>
      <c r="F26" s="232">
        <v>5</v>
      </c>
      <c r="G26" s="581" t="s">
        <v>13</v>
      </c>
      <c r="H26" s="237" t="s">
        <v>226</v>
      </c>
      <c r="I26" s="781"/>
      <c r="J26" s="219">
        <f>+'3'!J26</f>
        <v>0</v>
      </c>
      <c r="K26" s="243"/>
      <c r="L26" s="243"/>
      <c r="M26" s="122">
        <f>+K26+'3'!M26+L26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459</v>
      </c>
      <c r="I27" s="781"/>
      <c r="J27" s="219">
        <f>+'3'!J27</f>
        <v>0</v>
      </c>
      <c r="K27" s="243"/>
      <c r="L27" s="243"/>
      <c r="M27" s="122">
        <f>+K27+'3'!M27+L27</f>
        <v>0</v>
      </c>
    </row>
    <row r="28" spans="1:14" ht="13.5" thickBot="1">
      <c r="A28" s="785"/>
      <c r="B28" s="220"/>
      <c r="C28" s="221"/>
      <c r="D28" s="222"/>
      <c r="E28" s="229" t="s">
        <v>447</v>
      </c>
      <c r="F28" s="235">
        <f>10+60+15+15+60+15</f>
        <v>175</v>
      </c>
      <c r="G28" s="236" t="s">
        <v>13</v>
      </c>
      <c r="H28" s="237" t="s">
        <v>471</v>
      </c>
      <c r="I28" s="781"/>
      <c r="J28" s="219">
        <f>+'3'!J28</f>
        <v>0</v>
      </c>
      <c r="K28" s="243"/>
      <c r="L28" s="243"/>
      <c r="M28" s="122">
        <f>+K28+'3'!M28+L28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 t="s">
        <v>472</v>
      </c>
      <c r="I29" s="781"/>
      <c r="J29" s="219">
        <f>+'3'!J29</f>
        <v>0</v>
      </c>
      <c r="K29" s="243"/>
      <c r="L29" s="243"/>
      <c r="M29" s="122">
        <f>+K29+'3'!M29+L29</f>
        <v>0</v>
      </c>
    </row>
    <row r="30" spans="1:14" ht="26.25" thickBot="1">
      <c r="A30" s="785"/>
      <c r="B30" s="220"/>
      <c r="C30" s="230"/>
      <c r="D30" s="222"/>
      <c r="E30" s="229"/>
      <c r="F30" s="240"/>
      <c r="G30" s="236"/>
      <c r="H30" s="237" t="s">
        <v>473</v>
      </c>
      <c r="I30" s="781"/>
      <c r="J30" s="219">
        <f>+'3'!J30</f>
        <v>0</v>
      </c>
      <c r="K30" s="243"/>
      <c r="L30" s="243"/>
      <c r="M30" s="122">
        <f>+K30+'3'!M30+L30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587" t="s">
        <v>474</v>
      </c>
      <c r="I31" s="782"/>
      <c r="J31" s="219">
        <f>+'3'!J31</f>
        <v>0</v>
      </c>
      <c r="K31" s="243"/>
      <c r="L31" s="243"/>
      <c r="M31" s="122">
        <f>+K31+'3'!M31+L31</f>
        <v>0</v>
      </c>
    </row>
    <row r="32" spans="1:14" ht="13.5" thickBot="1">
      <c r="A32" s="786"/>
      <c r="B32" s="170" t="s">
        <v>3</v>
      </c>
      <c r="C32" s="104">
        <f>SUM(C25:C31)</f>
        <v>3666</v>
      </c>
      <c r="D32" s="105">
        <f>SUM(D25:D31)</f>
        <v>1416</v>
      </c>
      <c r="E32" s="106">
        <f>SUM(E25:E31)</f>
        <v>0</v>
      </c>
      <c r="F32" s="107">
        <f>SUM(F24:F31)</f>
        <v>195</v>
      </c>
      <c r="G32" s="176"/>
      <c r="H32" s="177"/>
      <c r="I32" s="174"/>
      <c r="J32" s="219">
        <f>+'3'!J32</f>
        <v>0</v>
      </c>
      <c r="K32" s="245"/>
      <c r="L32" s="247"/>
      <c r="M32" s="122">
        <f>+K32+'3'!M32+L32</f>
        <v>0</v>
      </c>
    </row>
    <row r="33" spans="1:14" ht="13.5" thickBot="1">
      <c r="A33" s="178"/>
      <c r="B33" s="179"/>
      <c r="C33" s="108">
        <f>C32/($C$32+$D$32+$E$32)</f>
        <v>0.72136953955135774</v>
      </c>
      <c r="D33" s="109">
        <f>D32/($C$32+$D$32+$E$32)</f>
        <v>0.27863046044864226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32671</v>
      </c>
      <c r="D34" s="112">
        <f>D14+D23+D32</f>
        <v>4767</v>
      </c>
      <c r="E34" s="112">
        <f>E14+E23+E32</f>
        <v>0</v>
      </c>
      <c r="F34" s="113">
        <f>F14+F23+F32</f>
        <v>336</v>
      </c>
      <c r="H34" s="183"/>
      <c r="I34" s="183"/>
      <c r="J34" s="128" t="s">
        <v>29</v>
      </c>
      <c r="K34" s="129">
        <f>SUM(K7:K32)</f>
        <v>32671</v>
      </c>
      <c r="L34" s="217">
        <f>SUM(L7:L32)</f>
        <v>0</v>
      </c>
      <c r="M34" s="125">
        <f>SUM(M7:M32)</f>
        <v>121106</v>
      </c>
      <c r="N34" s="160"/>
    </row>
    <row r="35" spans="1:14" ht="13.5" thickBot="1">
      <c r="A35" s="184"/>
      <c r="B35" s="185"/>
      <c r="C35" s="109">
        <f>C34/($C$34+$D$34+$E$34)</f>
        <v>0.87266948020727608</v>
      </c>
      <c r="D35" s="109">
        <f>D34/($C$34+$D$34+$E$34)</f>
        <v>0.12733051979272397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(18*1154)/1154*G42*3.4*1154/1000000</f>
        <v>50.411982239999993</v>
      </c>
      <c r="J37" s="130">
        <f>+I37+'3'!J37</f>
        <v>160.53496847999997</v>
      </c>
      <c r="K37" s="131" t="s">
        <v>66</v>
      </c>
      <c r="L37" s="435"/>
      <c r="M37" s="436"/>
    </row>
    <row r="38" spans="1:14" ht="17.45" customHeight="1">
      <c r="A38" s="793" t="s">
        <v>13</v>
      </c>
      <c r="B38" s="794"/>
      <c r="C38" s="169">
        <f>SUMIF($G$7:$G$31,"Process",$F$7:$F$31)</f>
        <v>336</v>
      </c>
      <c r="D38" s="123">
        <f>+C38+'3'!D38</f>
        <v>424</v>
      </c>
      <c r="E38" s="148">
        <f t="shared" ref="E38:E51" si="0">D38/60</f>
        <v>7.0666666666666664</v>
      </c>
      <c r="F38" s="375">
        <v>830</v>
      </c>
      <c r="G38" s="375">
        <f>+F38-F38*0.14</f>
        <v>713.8</v>
      </c>
      <c r="H38" s="192" t="s">
        <v>67</v>
      </c>
      <c r="I38" s="556">
        <f>13.077+19.066+9.389</f>
        <v>41.531999999999996</v>
      </c>
      <c r="J38" s="132">
        <f>+I38+'3'!J38</f>
        <v>140.02699999999999</v>
      </c>
      <c r="K38" s="133" t="s">
        <v>66</v>
      </c>
      <c r="L38" s="437"/>
      <c r="M38" s="438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+C39+'3'!D39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40.133742119999994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+C40+'3'!D40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32.670999999999999</v>
      </c>
      <c r="J40" s="136">
        <f>+I40+'3'!J40</f>
        <v>121.10599999999999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+C41+'3'!D41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30.276499999999999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+C42+'3'!D42</f>
        <v>0</v>
      </c>
      <c r="E42" s="148">
        <f t="shared" si="0"/>
        <v>0</v>
      </c>
      <c r="F42" s="375">
        <f>+(F38*369+F39*480+F40*305)/1154</f>
        <v>830</v>
      </c>
      <c r="G42" s="375">
        <f>+(G38*369+G39*480+G40*305)/1154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+C43+'3'!D43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+Report1!AH12</f>
        <v>123.19499999999999</v>
      </c>
      <c r="J43" s="138">
        <f>+I43+'3'!J43</f>
        <v>407.84599999999995</v>
      </c>
      <c r="K43" s="135" t="s">
        <v>66</v>
      </c>
      <c r="L43" s="439">
        <f>+Report1!AN12</f>
        <v>8.4</v>
      </c>
      <c r="M43" s="440">
        <f>+L43+'3'!M43</f>
        <v>33.699999999999996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+C44+'3'!D44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2.9662669748627564</v>
      </c>
      <c r="J44" s="139">
        <f>J43/J38</f>
        <v>2.9126239939440248</v>
      </c>
      <c r="K44" s="135" t="s">
        <v>66</v>
      </c>
      <c r="L44" s="441">
        <f>+L43/I38</f>
        <v>0.20225368390638546</v>
      </c>
      <c r="M44" s="442">
        <f>+M43/J38</f>
        <v>0.24066787119626928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+C45+'3'!D45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3.7707753053166417</v>
      </c>
      <c r="J45" s="139">
        <f>J43/J40</f>
        <v>3.3676779020032037</v>
      </c>
      <c r="K45" s="135" t="s">
        <v>66</v>
      </c>
      <c r="L45" s="441">
        <f>+L43/I40</f>
        <v>0.2571087508799853</v>
      </c>
      <c r="M45" s="442">
        <f>+M43/J40</f>
        <v>0.27826862418046999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+C46+'3'!D46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+SUMIF(Listrik!AC11,"&gt;0")</f>
        <v>29622.360000000444</v>
      </c>
      <c r="J46" s="140">
        <f>+I46+'3'!J46</f>
        <v>108439.30999999976</v>
      </c>
      <c r="K46" s="135" t="s">
        <v>81</v>
      </c>
      <c r="L46" s="441">
        <f>+Listrik!AF11</f>
        <v>1249</v>
      </c>
      <c r="M46" s="443">
        <f>+L46+'3'!M46</f>
        <v>4508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+C47+'3'!D47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713.24183761919596</v>
      </c>
      <c r="J47" s="140">
        <f>J46/J38</f>
        <v>774.41714812143209</v>
      </c>
      <c r="K47" s="135" t="s">
        <v>25</v>
      </c>
      <c r="L47" s="437">
        <f>+L46/I38</f>
        <v>30.073196571318505</v>
      </c>
      <c r="M47" s="442">
        <f>+M46/J38</f>
        <v>32.193791197411933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+C48+'3'!D48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906.68666401397093</v>
      </c>
      <c r="J48" s="140">
        <f>J46/J40</f>
        <v>895.40823741185216</v>
      </c>
      <c r="K48" s="135" t="s">
        <v>25</v>
      </c>
      <c r="L48" s="441">
        <f>+L46/I38</f>
        <v>30.073196571318505</v>
      </c>
      <c r="M48" s="442">
        <f>+M46/J40</f>
        <v>37.223589252390468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+C49+'3'!D49</f>
        <v>1680</v>
      </c>
      <c r="E49" s="148">
        <f t="shared" si="0"/>
        <v>28</v>
      </c>
      <c r="F49" s="190"/>
      <c r="H49" s="193" t="s">
        <v>170</v>
      </c>
      <c r="I49" s="123">
        <f>+Report1!AB12</f>
        <v>0</v>
      </c>
      <c r="J49" s="140">
        <f>+I49+'3'!J49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+C50+'3'!D50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+C51+'3'!D51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336</v>
      </c>
      <c r="D52" s="149">
        <f>SUM(D38:D51)</f>
        <v>2104</v>
      </c>
      <c r="E52" s="150">
        <f>SUM(E38:E51)</f>
        <v>35.066666666666663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0.23333333333333334</v>
      </c>
      <c r="D53" s="151">
        <f>D52/(24*60*G4)</f>
        <v>0.36527777777777776</v>
      </c>
      <c r="E53" s="152">
        <f>E52/(G4*24)</f>
        <v>0.36527777777777776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+D34+'3'!J56</f>
        <v>6787</v>
      </c>
      <c r="K56" s="206">
        <f>J56/(J40+J56/1000)/1000</f>
        <v>5.306779886311213E-2</v>
      </c>
    </row>
    <row r="57" spans="1:13">
      <c r="A57" s="181"/>
      <c r="I57" s="204" t="s">
        <v>92</v>
      </c>
      <c r="J57" s="205">
        <f>+E34+'3'!J57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P61"/>
  <sheetViews>
    <sheetView view="pageBreakPreview" zoomScale="80" zoomScaleNormal="75" zoomScaleSheetLayoutView="80" workbookViewId="0">
      <selection activeCell="D16" sqref="D1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3</v>
      </c>
      <c r="H4" s="159" t="str">
        <f>+'1'!H4</f>
        <v>.10.25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432+360+350</f>
        <v>1142</v>
      </c>
    </row>
    <row r="7" spans="1:16" ht="13.5" customHeight="1" thickBot="1">
      <c r="A7" s="777" t="s">
        <v>411</v>
      </c>
      <c r="B7" s="220" t="s">
        <v>454</v>
      </c>
      <c r="C7" s="221">
        <v>4094</v>
      </c>
      <c r="D7" s="222"/>
      <c r="E7" s="223"/>
      <c r="F7" s="232">
        <v>3</v>
      </c>
      <c r="G7" s="233" t="s">
        <v>13</v>
      </c>
      <c r="H7" s="234" t="s">
        <v>391</v>
      </c>
      <c r="I7" s="780" t="s">
        <v>446</v>
      </c>
      <c r="J7" s="219" t="str">
        <f>+'2'!J7</f>
        <v>TW 17 RC HW</v>
      </c>
      <c r="K7" s="242">
        <f>+C7</f>
        <v>4094</v>
      </c>
      <c r="L7" s="246"/>
      <c r="M7" s="122">
        <f>+K7+'2'!M7+L7</f>
        <v>39493</v>
      </c>
    </row>
    <row r="8" spans="1:16" ht="13.5" thickBot="1">
      <c r="A8" s="778"/>
      <c r="B8" s="220" t="s">
        <v>461</v>
      </c>
      <c r="C8" s="221">
        <v>10840</v>
      </c>
      <c r="D8" s="222">
        <v>1420</v>
      </c>
      <c r="E8" s="224"/>
      <c r="F8" s="235"/>
      <c r="G8" s="581" t="s">
        <v>13</v>
      </c>
      <c r="H8" s="234" t="s">
        <v>430</v>
      </c>
      <c r="I8" s="781"/>
      <c r="J8" s="219" t="s">
        <v>461</v>
      </c>
      <c r="K8" s="243">
        <f>+C8+C16+C25</f>
        <v>48942</v>
      </c>
      <c r="L8" s="243"/>
      <c r="M8" s="122">
        <f>+K8+'2'!M8+L8</f>
        <v>48942</v>
      </c>
      <c r="N8" s="154">
        <v>830</v>
      </c>
      <c r="O8" s="154">
        <f>+N8-N8*0.14</f>
        <v>713.8</v>
      </c>
      <c r="P8" s="154">
        <v>10</v>
      </c>
    </row>
    <row r="9" spans="1:16" ht="13.5" thickBot="1">
      <c r="A9" s="778"/>
      <c r="B9" s="220"/>
      <c r="C9" s="221"/>
      <c r="D9" s="222"/>
      <c r="E9" s="225"/>
      <c r="F9" s="232">
        <v>4</v>
      </c>
      <c r="G9" s="581" t="s">
        <v>13</v>
      </c>
      <c r="H9" s="237" t="s">
        <v>226</v>
      </c>
      <c r="I9" s="781"/>
      <c r="J9" s="219">
        <f>+'2'!J9</f>
        <v>0</v>
      </c>
      <c r="K9" s="243"/>
      <c r="L9" s="243"/>
      <c r="M9" s="122">
        <f>+K9+'2'!M9+L9</f>
        <v>0</v>
      </c>
      <c r="N9" s="154">
        <v>830</v>
      </c>
      <c r="O9" s="154">
        <f>+N9-N9*0.14</f>
        <v>713.8</v>
      </c>
      <c r="P9" s="154">
        <v>470</v>
      </c>
    </row>
    <row r="10" spans="1:16" ht="13.5" thickBot="1">
      <c r="A10" s="778"/>
      <c r="B10" s="220"/>
      <c r="C10" s="221"/>
      <c r="D10" s="222"/>
      <c r="E10" s="224"/>
      <c r="F10" s="232"/>
      <c r="G10" s="581"/>
      <c r="H10" s="237" t="s">
        <v>443</v>
      </c>
      <c r="I10" s="781"/>
      <c r="J10" s="219">
        <f>+'2'!J10</f>
        <v>0</v>
      </c>
      <c r="K10" s="243"/>
      <c r="L10" s="243"/>
      <c r="M10" s="122">
        <f>+K10+'2'!M10+L10</f>
        <v>0</v>
      </c>
      <c r="P10" s="154">
        <f>SUM(P8:P9)</f>
        <v>480</v>
      </c>
    </row>
    <row r="11" spans="1:16" ht="13.5" thickBot="1">
      <c r="A11" s="778"/>
      <c r="B11" s="220"/>
      <c r="C11" s="221"/>
      <c r="D11" s="222"/>
      <c r="E11" s="224"/>
      <c r="F11" s="232">
        <v>8</v>
      </c>
      <c r="G11" s="236" t="s">
        <v>13</v>
      </c>
      <c r="H11" s="237" t="s">
        <v>458</v>
      </c>
      <c r="I11" s="781"/>
      <c r="J11" s="219">
        <f>+'2'!J11</f>
        <v>0</v>
      </c>
      <c r="K11" s="243"/>
      <c r="L11" s="243"/>
      <c r="M11" s="122">
        <f>+K11+'2'!M11+L11</f>
        <v>0</v>
      </c>
    </row>
    <row r="12" spans="1:16" ht="13.5" thickBot="1">
      <c r="A12" s="778"/>
      <c r="B12" s="220"/>
      <c r="C12" s="221"/>
      <c r="D12" s="222"/>
      <c r="E12" s="224"/>
      <c r="F12" s="232"/>
      <c r="G12" s="236"/>
      <c r="H12" s="237"/>
      <c r="I12" s="781"/>
      <c r="J12" s="219">
        <f>+'2'!J12</f>
        <v>0</v>
      </c>
      <c r="K12" s="243"/>
      <c r="L12" s="243"/>
      <c r="M12" s="122">
        <f>+K12+'2'!M12+L12</f>
        <v>0</v>
      </c>
    </row>
    <row r="13" spans="1:16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>
        <f>+'2'!J13</f>
        <v>0</v>
      </c>
      <c r="K13" s="243"/>
      <c r="L13" s="243"/>
      <c r="M13" s="122">
        <f>+K13+'2'!M13+L13</f>
        <v>0</v>
      </c>
    </row>
    <row r="14" spans="1:16" ht="13.5" thickBot="1">
      <c r="A14" s="779"/>
      <c r="B14" s="170" t="s">
        <v>3</v>
      </c>
      <c r="C14" s="104">
        <f>SUM(C7:C13)</f>
        <v>14934</v>
      </c>
      <c r="D14" s="116">
        <f>SUM(D7:D13)</f>
        <v>1420</v>
      </c>
      <c r="E14" s="117">
        <f>SUM(E5:E13)</f>
        <v>0</v>
      </c>
      <c r="F14" s="121">
        <f>SUM(F7:F13)</f>
        <v>15</v>
      </c>
      <c r="G14" s="164"/>
      <c r="H14" s="171"/>
      <c r="I14" s="172"/>
      <c r="J14" s="219">
        <f>+'2'!J14</f>
        <v>0</v>
      </c>
      <c r="K14" s="243"/>
      <c r="L14" s="243"/>
      <c r="M14" s="122">
        <f>+K14+'2'!M14+L14</f>
        <v>0</v>
      </c>
    </row>
    <row r="15" spans="1:16" ht="13.5" customHeight="1" thickBot="1">
      <c r="A15" s="777" t="s">
        <v>412</v>
      </c>
      <c r="B15" s="170"/>
      <c r="C15" s="118">
        <f>C14/($C$23+$D$23+$E$23)</f>
        <v>0.74468933878527976</v>
      </c>
      <c r="D15" s="119">
        <f>D14/($C$23+$D$23+$E$23)</f>
        <v>7.0808816196270066E-2</v>
      </c>
      <c r="E15" s="120">
        <f>E14/($C$23+$D$23+$E$23)</f>
        <v>0</v>
      </c>
      <c r="F15" s="232"/>
      <c r="G15" s="233" t="s">
        <v>13</v>
      </c>
      <c r="H15" s="234" t="s">
        <v>394</v>
      </c>
      <c r="I15" s="780" t="s">
        <v>446</v>
      </c>
      <c r="J15" s="219">
        <f>+'2'!J15</f>
        <v>0</v>
      </c>
      <c r="K15" s="243"/>
      <c r="L15" s="243"/>
      <c r="M15" s="122">
        <f>+K15+'2'!M15+L15</f>
        <v>0</v>
      </c>
    </row>
    <row r="16" spans="1:16" ht="13.5" thickBot="1">
      <c r="A16" s="783"/>
      <c r="B16" s="220" t="s">
        <v>461</v>
      </c>
      <c r="C16" s="226">
        <v>19754</v>
      </c>
      <c r="D16" s="227">
        <v>300</v>
      </c>
      <c r="E16" s="228"/>
      <c r="F16" s="235">
        <v>5</v>
      </c>
      <c r="G16" s="581" t="s">
        <v>13</v>
      </c>
      <c r="H16" s="234" t="s">
        <v>392</v>
      </c>
      <c r="I16" s="781"/>
      <c r="J16" s="219">
        <f>+'2'!J16</f>
        <v>0</v>
      </c>
      <c r="K16" s="233"/>
      <c r="L16" s="233"/>
      <c r="M16" s="122">
        <f>+K16+'2'!M16+L16</f>
        <v>0</v>
      </c>
    </row>
    <row r="17" spans="1:14" ht="13.5" thickBot="1">
      <c r="A17" s="783"/>
      <c r="B17" s="220"/>
      <c r="C17" s="221"/>
      <c r="D17" s="222"/>
      <c r="E17" s="229"/>
      <c r="F17" s="232">
        <v>10</v>
      </c>
      <c r="G17" s="581" t="s">
        <v>13</v>
      </c>
      <c r="H17" s="237" t="s">
        <v>226</v>
      </c>
      <c r="I17" s="781"/>
      <c r="J17" s="219">
        <f>+'2'!J17</f>
        <v>0</v>
      </c>
      <c r="K17" s="233"/>
      <c r="L17" s="233"/>
      <c r="M17" s="122">
        <f>+K17+'2'!M17+L17</f>
        <v>0</v>
      </c>
    </row>
    <row r="18" spans="1:14" ht="13.5" thickBot="1">
      <c r="A18" s="783"/>
      <c r="B18" s="220"/>
      <c r="C18" s="221"/>
      <c r="D18" s="222"/>
      <c r="E18" s="229"/>
      <c r="F18" s="232"/>
      <c r="G18" s="581"/>
      <c r="H18" s="237" t="s">
        <v>459</v>
      </c>
      <c r="I18" s="781"/>
      <c r="J18" s="219">
        <f>+'2'!J18</f>
        <v>0</v>
      </c>
      <c r="K18" s="243"/>
      <c r="L18" s="243"/>
      <c r="M18" s="122">
        <f>+K18+'2'!M18+L18</f>
        <v>0</v>
      </c>
    </row>
    <row r="19" spans="1:14" ht="13.5" thickBot="1">
      <c r="A19" s="783"/>
      <c r="B19" s="220"/>
      <c r="C19" s="221"/>
      <c r="D19" s="222"/>
      <c r="E19" s="229"/>
      <c r="F19" s="239"/>
      <c r="G19" s="236"/>
      <c r="H19" s="237"/>
      <c r="I19" s="781"/>
      <c r="J19" s="219">
        <f>+'2'!J19</f>
        <v>0</v>
      </c>
      <c r="K19" s="243"/>
      <c r="L19" s="243"/>
      <c r="M19" s="122">
        <f>+K19+'2'!M19+L19</f>
        <v>0</v>
      </c>
    </row>
    <row r="20" spans="1:14" ht="13.5" thickBot="1">
      <c r="A20" s="783"/>
      <c r="B20" s="220"/>
      <c r="C20" s="221"/>
      <c r="D20" s="222"/>
      <c r="E20" s="229"/>
      <c r="F20" s="232"/>
      <c r="G20" s="236"/>
      <c r="H20" s="237"/>
      <c r="I20" s="781"/>
      <c r="J20" s="219">
        <f>+'2'!J20</f>
        <v>0</v>
      </c>
      <c r="K20" s="244"/>
      <c r="L20" s="244"/>
      <c r="M20" s="122">
        <f>+K20+'2'!M20+L20</f>
        <v>0</v>
      </c>
    </row>
    <row r="21" spans="1:14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+'2'!J21</f>
        <v>0</v>
      </c>
      <c r="K21" s="243"/>
      <c r="L21" s="243"/>
      <c r="M21" s="122">
        <f>+K21+'2'!M21+L21</f>
        <v>0</v>
      </c>
    </row>
    <row r="22" spans="1:14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+'2'!J22</f>
        <v>0</v>
      </c>
      <c r="K22" s="243"/>
      <c r="L22" s="243"/>
      <c r="M22" s="122">
        <f>+K22+'2'!M22+L22</f>
        <v>0</v>
      </c>
    </row>
    <row r="23" spans="1:14" ht="13.5" thickBot="1">
      <c r="A23" s="784"/>
      <c r="B23" s="170" t="s">
        <v>3</v>
      </c>
      <c r="C23" s="105">
        <f>SUM(C16:C22)</f>
        <v>19754</v>
      </c>
      <c r="D23" s="116">
        <f>SUM(D16:D22)</f>
        <v>300</v>
      </c>
      <c r="E23" s="117">
        <f>SUM(E18:E22)</f>
        <v>0</v>
      </c>
      <c r="F23" s="121">
        <f>SUM(F15:F22)</f>
        <v>15</v>
      </c>
      <c r="G23" s="164"/>
      <c r="H23" s="171"/>
      <c r="I23" s="174"/>
      <c r="J23" s="219">
        <f>+'2'!J23</f>
        <v>0</v>
      </c>
      <c r="K23" s="243"/>
      <c r="L23" s="243"/>
      <c r="M23" s="122">
        <f>+K23+'2'!M23+L23</f>
        <v>0</v>
      </c>
    </row>
    <row r="24" spans="1:14" ht="13.5" customHeight="1" thickBot="1">
      <c r="A24" s="777" t="s">
        <v>413</v>
      </c>
      <c r="B24" s="175"/>
      <c r="C24" s="118">
        <f>C23/($C$23+$D$23+$E$23)</f>
        <v>0.98504039094444995</v>
      </c>
      <c r="D24" s="119">
        <f>D23/($C$23+$D$23+$E$23)</f>
        <v>1.4959609055550015E-2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+'2'!J24</f>
        <v>0</v>
      </c>
      <c r="K24" s="243"/>
      <c r="L24" s="243"/>
      <c r="M24" s="122">
        <f>+K24+'2'!M24+L24</f>
        <v>0</v>
      </c>
    </row>
    <row r="25" spans="1:14" ht="13.5" thickBot="1">
      <c r="A25" s="785"/>
      <c r="B25" s="220" t="s">
        <v>461</v>
      </c>
      <c r="C25" s="230">
        <v>18348</v>
      </c>
      <c r="D25" s="222">
        <v>300</v>
      </c>
      <c r="E25" s="229"/>
      <c r="F25" s="235">
        <v>5</v>
      </c>
      <c r="G25" s="581" t="s">
        <v>13</v>
      </c>
      <c r="H25" s="234" t="s">
        <v>449</v>
      </c>
      <c r="I25" s="781"/>
      <c r="J25" s="219">
        <f>+'2'!J25</f>
        <v>0</v>
      </c>
      <c r="K25" s="243"/>
      <c r="L25" s="243"/>
      <c r="M25" s="122">
        <f>+K25+'2'!M25+L25</f>
        <v>0</v>
      </c>
    </row>
    <row r="26" spans="1:14" ht="13.5" thickBot="1">
      <c r="A26" s="785"/>
      <c r="B26" s="220"/>
      <c r="C26" s="230"/>
      <c r="D26" s="222"/>
      <c r="E26" s="231"/>
      <c r="F26" s="232">
        <v>6</v>
      </c>
      <c r="G26" s="581" t="s">
        <v>13</v>
      </c>
      <c r="H26" s="237" t="s">
        <v>226</v>
      </c>
      <c r="I26" s="781"/>
      <c r="J26" s="219">
        <f>+'2'!J26</f>
        <v>0</v>
      </c>
      <c r="K26" s="243"/>
      <c r="L26" s="243"/>
      <c r="M26" s="122">
        <f>+K26+'2'!M26+L26</f>
        <v>0</v>
      </c>
    </row>
    <row r="27" spans="1:14" ht="13.5" thickBot="1">
      <c r="A27" s="785"/>
      <c r="B27" s="220"/>
      <c r="C27" s="221"/>
      <c r="D27" s="222"/>
      <c r="E27" s="229"/>
      <c r="F27" s="232"/>
      <c r="G27" s="581"/>
      <c r="H27" s="237" t="s">
        <v>459</v>
      </c>
      <c r="I27" s="781"/>
      <c r="J27" s="219">
        <f>+'2'!J27</f>
        <v>0</v>
      </c>
      <c r="K27" s="243"/>
      <c r="L27" s="243"/>
      <c r="M27" s="122">
        <f>+K27+'2'!M27+L27</f>
        <v>0</v>
      </c>
    </row>
    <row r="28" spans="1:14" ht="13.5" thickBot="1">
      <c r="A28" s="785"/>
      <c r="B28" s="220"/>
      <c r="C28" s="221"/>
      <c r="D28" s="222"/>
      <c r="E28" s="229"/>
      <c r="F28" s="235"/>
      <c r="G28" s="236"/>
      <c r="H28" s="237" t="s">
        <v>460</v>
      </c>
      <c r="I28" s="781"/>
      <c r="J28" s="219">
        <f>+'2'!J28</f>
        <v>0</v>
      </c>
      <c r="K28" s="243"/>
      <c r="L28" s="243"/>
      <c r="M28" s="122">
        <f>+K28+'2'!M28+L28</f>
        <v>0</v>
      </c>
    </row>
    <row r="29" spans="1:14" ht="13.5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+'2'!J29</f>
        <v>0</v>
      </c>
      <c r="K29" s="243"/>
      <c r="L29" s="243"/>
      <c r="M29" s="122">
        <f>+K29+'2'!M29+L29</f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+'2'!J30</f>
        <v>0</v>
      </c>
      <c r="K30" s="243"/>
      <c r="L30" s="243"/>
      <c r="M30" s="122">
        <f>+K30+'2'!M30+L30</f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587"/>
      <c r="I31" s="782"/>
      <c r="J31" s="219">
        <f>+'2'!J31</f>
        <v>0</v>
      </c>
      <c r="K31" s="243"/>
      <c r="L31" s="243"/>
      <c r="M31" s="122">
        <f>+K31+'2'!M31+L31</f>
        <v>0</v>
      </c>
    </row>
    <row r="32" spans="1:14" ht="13.5" thickBot="1">
      <c r="A32" s="786"/>
      <c r="B32" s="170" t="s">
        <v>3</v>
      </c>
      <c r="C32" s="104">
        <f>SUM(C25:C31)</f>
        <v>18348</v>
      </c>
      <c r="D32" s="105">
        <f>SUM(D25:D31)</f>
        <v>300</v>
      </c>
      <c r="E32" s="106">
        <f>SUM(E25:E31)</f>
        <v>0</v>
      </c>
      <c r="F32" s="107">
        <f>SUM(F24:F31)</f>
        <v>11</v>
      </c>
      <c r="G32" s="176"/>
      <c r="H32" s="177"/>
      <c r="I32" s="174"/>
      <c r="J32" s="219">
        <f>+'2'!J32</f>
        <v>0</v>
      </c>
      <c r="K32" s="245"/>
      <c r="L32" s="247"/>
      <c r="M32" s="122">
        <f>+K32+'2'!M32+L32</f>
        <v>0</v>
      </c>
    </row>
    <row r="33" spans="1:14" ht="13.5" thickBot="1">
      <c r="A33" s="178"/>
      <c r="B33" s="179"/>
      <c r="C33" s="108">
        <f>C32/($C$32+$D$32+$E$32)</f>
        <v>0.98391248391248387</v>
      </c>
      <c r="D33" s="109">
        <f>D32/($C$32+$D$32+$E$32)</f>
        <v>1.6087516087516088E-2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53036</v>
      </c>
      <c r="D34" s="112">
        <f>D14+D23+D32</f>
        <v>2020</v>
      </c>
      <c r="E34" s="112">
        <f>E14+E23+E32</f>
        <v>0</v>
      </c>
      <c r="F34" s="113">
        <f>F14+F23+F32</f>
        <v>41</v>
      </c>
      <c r="H34" s="183"/>
      <c r="I34" s="183"/>
      <c r="J34" s="128" t="s">
        <v>29</v>
      </c>
      <c r="K34" s="129">
        <f>SUM(K7:K32)</f>
        <v>53036</v>
      </c>
      <c r="L34" s="217">
        <f>SUM(L7:L32)</f>
        <v>0</v>
      </c>
      <c r="M34" s="125">
        <f>SUM(M7:M32)</f>
        <v>88435</v>
      </c>
      <c r="N34" s="160"/>
    </row>
    <row r="35" spans="1:14" ht="13.5" thickBot="1">
      <c r="A35" s="184"/>
      <c r="B35" s="185"/>
      <c r="C35" s="109">
        <f>C34/($C$34+$D$34+$E$34)</f>
        <v>0.96331008427782616</v>
      </c>
      <c r="D35" s="109">
        <f>D34/($C$34+$D$34+$E$34)</f>
        <v>3.668991572217379E-2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(17*10+18*1430)/1440*G42*3.4*1440/1000000</f>
        <v>62.881497199999998</v>
      </c>
      <c r="J37" s="130">
        <f>+I37+'2'!J37</f>
        <v>110.12298623999999</v>
      </c>
      <c r="K37" s="131" t="s">
        <v>66</v>
      </c>
      <c r="L37" s="435"/>
      <c r="M37" s="436"/>
      <c r="N37" s="154">
        <f>1.784+2.592</f>
        <v>4.3760000000000003</v>
      </c>
    </row>
    <row r="38" spans="1:14" ht="17.45" customHeight="1">
      <c r="A38" s="793" t="s">
        <v>13</v>
      </c>
      <c r="B38" s="794"/>
      <c r="C38" s="169">
        <f>SUMIF($G$7:$G$31,"Process",$F$7:$F$31)</f>
        <v>41</v>
      </c>
      <c r="D38" s="123">
        <f>+C38+'2'!D38</f>
        <v>88</v>
      </c>
      <c r="E38" s="148">
        <f t="shared" ref="E38:E51" si="0">D38/60</f>
        <v>1.4666666666666666</v>
      </c>
      <c r="F38" s="375">
        <v>830</v>
      </c>
      <c r="G38" s="375">
        <f>+F38-F38*0.14</f>
        <v>713.8</v>
      </c>
      <c r="H38" s="192" t="s">
        <v>67</v>
      </c>
      <c r="I38" s="556">
        <f>18.546+19.584+17.914</f>
        <v>56.043999999999997</v>
      </c>
      <c r="J38" s="132">
        <f>+I38+'2'!J38</f>
        <v>98.495000000000005</v>
      </c>
      <c r="K38" s="133" t="s">
        <v>66</v>
      </c>
      <c r="L38" s="437"/>
      <c r="M38" s="438"/>
      <c r="N38" s="557">
        <f>+I38-N37</f>
        <v>51.667999999999999</v>
      </c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+C39+'2'!D39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36.707662079999999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+C40+'2'!D40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53.036000000000001</v>
      </c>
      <c r="J40" s="136">
        <f>+I40+'2'!J40</f>
        <v>88.435000000000002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+C41+'2'!D41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29.478333333333335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+C42+'2'!D42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0" t="s">
        <v>446</v>
      </c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>+C43+'2'!D43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+Report1!AH11</f>
        <v>135.52799999999999</v>
      </c>
      <c r="J43" s="138">
        <f>+I43+'2'!J43</f>
        <v>284.65099999999995</v>
      </c>
      <c r="K43" s="135" t="s">
        <v>66</v>
      </c>
      <c r="L43" s="439">
        <f>+Report1!AN11</f>
        <v>10.1</v>
      </c>
      <c r="M43" s="440">
        <f>+L43+'2'!M43</f>
        <v>25.299999999999997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+C44+'2'!D44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2.4182428092213262</v>
      </c>
      <c r="J44" s="139">
        <f>J43/J38</f>
        <v>2.890004568759835</v>
      </c>
      <c r="K44" s="135" t="s">
        <v>66</v>
      </c>
      <c r="L44" s="441">
        <f>+L43/I38</f>
        <v>0.18021554492898437</v>
      </c>
      <c r="M44" s="442">
        <f>+M43/J38</f>
        <v>0.25686583075283004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+C45+'2'!D45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2.5553963345652009</v>
      </c>
      <c r="J45" s="139">
        <f>J43/J40</f>
        <v>3.2187595409057494</v>
      </c>
      <c r="K45" s="135" t="s">
        <v>66</v>
      </c>
      <c r="L45" s="441">
        <f>+L43/I40</f>
        <v>0.19043668451617768</v>
      </c>
      <c r="M45" s="442">
        <f>+M43/J40</f>
        <v>0.28608582574772429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+C46+'2'!D46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+SUMIF(Listrik!AC10,"&gt;0")</f>
        <v>36074.729999999858</v>
      </c>
      <c r="J46" s="140">
        <f>+I46+'2'!J46</f>
        <v>78816.949999999313</v>
      </c>
      <c r="K46" s="135" t="s">
        <v>81</v>
      </c>
      <c r="L46" s="441">
        <f>+Listrik!AF10</f>
        <v>1352</v>
      </c>
      <c r="M46" s="443">
        <f>+L46+'2'!M46</f>
        <v>3259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+C47+'2'!D47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643.68585397187678</v>
      </c>
      <c r="J47" s="140">
        <f>J46/J38</f>
        <v>800.21270115233574</v>
      </c>
      <c r="K47" s="135" t="s">
        <v>25</v>
      </c>
      <c r="L47" s="437">
        <f>+L46/I38</f>
        <v>24.123902647919493</v>
      </c>
      <c r="M47" s="442">
        <f>+M46/J38</f>
        <v>33.087974008832937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+C48+'2'!D48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680.19326495210532</v>
      </c>
      <c r="J48" s="140">
        <f>J46/J40</f>
        <v>891.24158986825705</v>
      </c>
      <c r="K48" s="135" t="s">
        <v>25</v>
      </c>
      <c r="L48" s="441">
        <f>+L46/I38</f>
        <v>24.123902647919493</v>
      </c>
      <c r="M48" s="442">
        <f>+M46/J40</f>
        <v>36.851925142760216</v>
      </c>
    </row>
    <row r="49" spans="1:13" ht="17.45" customHeight="1">
      <c r="A49" s="789" t="s">
        <v>21</v>
      </c>
      <c r="B49" s="790"/>
      <c r="C49" s="169">
        <f>SUMIF($G$7:$G$31,"Others",$F$7:$F$31)</f>
        <v>0</v>
      </c>
      <c r="D49" s="123">
        <f>+C49+'2'!D49</f>
        <v>1680</v>
      </c>
      <c r="E49" s="148">
        <f t="shared" si="0"/>
        <v>28</v>
      </c>
      <c r="F49" s="190"/>
      <c r="H49" s="193" t="s">
        <v>170</v>
      </c>
      <c r="I49" s="123">
        <f>+Report1!AB11</f>
        <v>0</v>
      </c>
      <c r="J49" s="140">
        <f>+I49+'2'!J49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+C50+'2'!D50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+C51+'2'!D51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41</v>
      </c>
      <c r="D52" s="149">
        <f>SUM(D38:D51)</f>
        <v>1768</v>
      </c>
      <c r="E52" s="150">
        <f>SUM(E38:E51)</f>
        <v>29.466666666666665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2.8472222222222222E-2</v>
      </c>
      <c r="D53" s="151">
        <f>D52/(24*60*G4)</f>
        <v>0.40925925925925927</v>
      </c>
      <c r="E53" s="152">
        <f>E52/(G4*24)</f>
        <v>0.40925925925925921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+D34+'2'!J56</f>
        <v>2020</v>
      </c>
      <c r="K56" s="206">
        <f>J56/(J40+J56/1000)/1000</f>
        <v>2.23315460726328E-2</v>
      </c>
    </row>
    <row r="57" spans="1:13">
      <c r="A57" s="181"/>
      <c r="I57" s="204" t="s">
        <v>92</v>
      </c>
      <c r="J57" s="205">
        <f>+E34+'2'!J57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61"/>
  <sheetViews>
    <sheetView view="pageBreakPreview" topLeftCell="A7" zoomScale="80" zoomScaleNormal="75" zoomScaleSheetLayoutView="80" workbookViewId="0">
      <selection activeCell="A24" sqref="A24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4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11.5703125" style="154" customWidth="1"/>
    <col min="13" max="13" width="14.42578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</v>
      </c>
      <c r="H4" s="159" t="str">
        <f>+'1'!H4</f>
        <v>.10.25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358+359</f>
        <v>717</v>
      </c>
    </row>
    <row r="7" spans="1:18" ht="13.5" customHeight="1" thickBot="1">
      <c r="A7" s="777" t="s">
        <v>411</v>
      </c>
      <c r="B7" s="220" t="s">
        <v>454</v>
      </c>
      <c r="C7" s="226">
        <v>2851</v>
      </c>
      <c r="D7" s="222"/>
      <c r="E7" s="223"/>
      <c r="F7" s="232">
        <v>3</v>
      </c>
      <c r="G7" s="233" t="s">
        <v>13</v>
      </c>
      <c r="H7" s="234" t="s">
        <v>391</v>
      </c>
      <c r="I7" s="780"/>
      <c r="J7" s="219" t="str">
        <f>+'1'!J7</f>
        <v>TW 17 RC HW</v>
      </c>
      <c r="K7" s="242">
        <f>+C34</f>
        <v>35399</v>
      </c>
      <c r="L7" s="246"/>
      <c r="M7" s="122">
        <f>+K7+'1'!M7+L7</f>
        <v>35399</v>
      </c>
    </row>
    <row r="8" spans="1:18" ht="13.5" thickBot="1">
      <c r="A8" s="778"/>
      <c r="B8" s="220"/>
      <c r="C8" s="221"/>
      <c r="D8" s="222"/>
      <c r="E8" s="224"/>
      <c r="F8" s="235">
        <v>8</v>
      </c>
      <c r="G8" s="581" t="s">
        <v>13</v>
      </c>
      <c r="H8" s="234" t="s">
        <v>449</v>
      </c>
      <c r="I8" s="781"/>
      <c r="J8" s="219">
        <f>+'1'!J8</f>
        <v>0</v>
      </c>
      <c r="K8" s="243"/>
      <c r="L8" s="243"/>
      <c r="M8" s="122">
        <f>+K8+'1'!M8+L8</f>
        <v>0</v>
      </c>
      <c r="N8" s="154">
        <v>750</v>
      </c>
      <c r="O8" s="154">
        <f>+N8-N8*0.14</f>
        <v>645</v>
      </c>
      <c r="P8" s="154">
        <v>30</v>
      </c>
      <c r="Q8" s="154">
        <f>+N8*P8</f>
        <v>22500</v>
      </c>
      <c r="R8" s="154">
        <f>+O8*P8</f>
        <v>19350</v>
      </c>
    </row>
    <row r="9" spans="1:18" ht="13.5" thickBot="1">
      <c r="A9" s="778"/>
      <c r="B9" s="220"/>
      <c r="C9" s="221"/>
      <c r="D9" s="222"/>
      <c r="E9" s="225"/>
      <c r="F9" s="232">
        <v>4</v>
      </c>
      <c r="G9" s="581" t="s">
        <v>13</v>
      </c>
      <c r="H9" s="237" t="s">
        <v>226</v>
      </c>
      <c r="I9" s="781"/>
      <c r="J9" s="219">
        <f>+'1'!J9</f>
        <v>0</v>
      </c>
      <c r="K9" s="243"/>
      <c r="L9" s="243"/>
      <c r="M9" s="122">
        <f>+K9+'1'!M9+L9</f>
        <v>0</v>
      </c>
      <c r="N9" s="154">
        <v>780</v>
      </c>
      <c r="O9" s="154">
        <f>+N9-N9*0.14</f>
        <v>670.8</v>
      </c>
      <c r="P9" s="154">
        <f>120+30+10</f>
        <v>160</v>
      </c>
      <c r="Q9" s="154">
        <f>+N9*P9</f>
        <v>124800</v>
      </c>
      <c r="R9" s="154">
        <f>+O9*P9</f>
        <v>107328</v>
      </c>
    </row>
    <row r="10" spans="1:18" ht="64.5" thickBot="1">
      <c r="A10" s="778"/>
      <c r="B10" s="220"/>
      <c r="C10" s="221"/>
      <c r="D10" s="222"/>
      <c r="E10" s="224" t="s">
        <v>447</v>
      </c>
      <c r="F10" s="232">
        <f>180+60</f>
        <v>240</v>
      </c>
      <c r="G10" s="581" t="s">
        <v>21</v>
      </c>
      <c r="H10" s="237" t="s">
        <v>437</v>
      </c>
      <c r="I10" s="781"/>
      <c r="J10" s="219">
        <f>+'1'!J10</f>
        <v>0</v>
      </c>
      <c r="K10" s="243"/>
      <c r="L10" s="243"/>
      <c r="M10" s="122">
        <f>+K10+'1'!M10+L10</f>
        <v>0</v>
      </c>
      <c r="N10" s="154">
        <v>790</v>
      </c>
      <c r="O10" s="154">
        <f>+N10-N10*0.14</f>
        <v>679.4</v>
      </c>
      <c r="P10" s="154">
        <v>50</v>
      </c>
      <c r="Q10" s="154">
        <f>+N10*P10</f>
        <v>39500</v>
      </c>
      <c r="R10" s="154">
        <f>+O10*P10</f>
        <v>33970</v>
      </c>
    </row>
    <row r="11" spans="1:18" ht="39" thickBot="1">
      <c r="A11" s="778"/>
      <c r="B11" s="220"/>
      <c r="C11" s="221"/>
      <c r="D11" s="222"/>
      <c r="E11" s="224"/>
      <c r="F11" s="232"/>
      <c r="G11" s="581"/>
      <c r="H11" s="237" t="s">
        <v>438</v>
      </c>
      <c r="I11" s="781"/>
      <c r="J11" s="219">
        <f>+'1'!J11</f>
        <v>0</v>
      </c>
      <c r="K11" s="243"/>
      <c r="L11" s="243"/>
      <c r="M11" s="122">
        <f>+K11+'1'!M11+L11</f>
        <v>0</v>
      </c>
      <c r="P11" s="154">
        <f>SUM(P9:P10)</f>
        <v>210</v>
      </c>
      <c r="Q11" s="154">
        <f>SUM(Q9:Q10)</f>
        <v>164300</v>
      </c>
      <c r="R11" s="154">
        <f>SUM(R9:R10)</f>
        <v>141298</v>
      </c>
    </row>
    <row r="12" spans="1:18" ht="39" thickBot="1">
      <c r="A12" s="778"/>
      <c r="B12" s="220"/>
      <c r="C12" s="221"/>
      <c r="D12" s="222"/>
      <c r="E12" s="224"/>
      <c r="F12" s="232"/>
      <c r="G12" s="236"/>
      <c r="H12" s="237" t="s">
        <v>439</v>
      </c>
      <c r="I12" s="781"/>
      <c r="J12" s="219">
        <f>+'1'!J12</f>
        <v>0</v>
      </c>
      <c r="K12" s="243"/>
      <c r="L12" s="243"/>
      <c r="M12" s="122">
        <f>+K12+'1'!M12+L12</f>
        <v>0</v>
      </c>
      <c r="Q12" s="154">
        <f>+Q11/P11</f>
        <v>782.38095238095241</v>
      </c>
      <c r="R12" s="154">
        <f>+R11/P11</f>
        <v>672.84761904761899</v>
      </c>
    </row>
    <row r="13" spans="1:18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19">
        <f>+'1'!J13</f>
        <v>0</v>
      </c>
      <c r="K13" s="243"/>
      <c r="L13" s="243"/>
      <c r="M13" s="122">
        <f>+K13+'1'!M13+L13</f>
        <v>0</v>
      </c>
    </row>
    <row r="14" spans="1:18" ht="13.5" thickBot="1">
      <c r="A14" s="779"/>
      <c r="B14" s="170" t="s">
        <v>3</v>
      </c>
      <c r="C14" s="104">
        <f>SUM(C7:C13)</f>
        <v>2851</v>
      </c>
      <c r="D14" s="116">
        <f>SUM(D7:D13)</f>
        <v>0</v>
      </c>
      <c r="E14" s="117">
        <f>SUM(E5:E13)</f>
        <v>0</v>
      </c>
      <c r="F14" s="121">
        <f>SUM(F7:F13)</f>
        <v>255</v>
      </c>
      <c r="G14" s="164"/>
      <c r="H14" s="171"/>
      <c r="I14" s="172"/>
      <c r="J14" s="219">
        <f>+'1'!J14</f>
        <v>0</v>
      </c>
      <c r="K14" s="243"/>
      <c r="L14" s="243"/>
      <c r="M14" s="122">
        <f>+K14+'1'!M14+L14</f>
        <v>0</v>
      </c>
    </row>
    <row r="15" spans="1:18" ht="13.5" customHeight="1" thickBot="1">
      <c r="A15" s="777" t="s">
        <v>412</v>
      </c>
      <c r="B15" s="170"/>
      <c r="C15" s="118">
        <f>C14/($C$23+$D$23+$E$23)</f>
        <v>0.18474598237428719</v>
      </c>
      <c r="D15" s="119">
        <f>D14/($C$23+$D$23+$E$23)</f>
        <v>0</v>
      </c>
      <c r="E15" s="120">
        <f>E14/($C$23+$D$23+$E$23)</f>
        <v>0</v>
      </c>
      <c r="F15" s="232">
        <v>5</v>
      </c>
      <c r="G15" s="233" t="s">
        <v>13</v>
      </c>
      <c r="H15" s="234" t="s">
        <v>391</v>
      </c>
      <c r="I15" s="780" t="s">
        <v>445</v>
      </c>
      <c r="J15" s="219">
        <f>+'1'!J15</f>
        <v>0</v>
      </c>
      <c r="K15" s="243"/>
      <c r="L15" s="243"/>
      <c r="M15" s="122">
        <f>+K15+'1'!M15+L15</f>
        <v>0</v>
      </c>
    </row>
    <row r="16" spans="1:18" ht="13.5" thickBot="1">
      <c r="A16" s="783"/>
      <c r="B16" s="220" t="s">
        <v>454</v>
      </c>
      <c r="C16" s="226">
        <v>15432</v>
      </c>
      <c r="D16" s="227"/>
      <c r="E16" s="228"/>
      <c r="F16" s="235">
        <v>5</v>
      </c>
      <c r="G16" s="581" t="s">
        <v>13</v>
      </c>
      <c r="H16" s="234" t="s">
        <v>392</v>
      </c>
      <c r="I16" s="781"/>
      <c r="J16" s="219">
        <f>+'1'!J16</f>
        <v>0</v>
      </c>
      <c r="K16" s="243"/>
      <c r="L16" s="233"/>
      <c r="M16" s="122">
        <f>+K16+'1'!M16+L16</f>
        <v>0</v>
      </c>
    </row>
    <row r="17" spans="1:18" ht="13.5" thickBot="1">
      <c r="A17" s="783"/>
      <c r="B17" s="220"/>
      <c r="C17" s="221"/>
      <c r="D17" s="222"/>
      <c r="E17" s="229"/>
      <c r="F17" s="232">
        <v>10</v>
      </c>
      <c r="G17" s="581" t="s">
        <v>13</v>
      </c>
      <c r="H17" s="237" t="s">
        <v>226</v>
      </c>
      <c r="I17" s="781"/>
      <c r="J17" s="219">
        <f>+'1'!J17</f>
        <v>0</v>
      </c>
      <c r="K17" s="233"/>
      <c r="L17" s="233"/>
      <c r="M17" s="122">
        <f>+K17+'1'!M17+L17</f>
        <v>0</v>
      </c>
      <c r="N17" s="154">
        <v>790</v>
      </c>
      <c r="O17" s="154">
        <f>+N17-N17*0.14</f>
        <v>679.4</v>
      </c>
      <c r="P17" s="154">
        <f>240+28</f>
        <v>268</v>
      </c>
      <c r="Q17" s="154">
        <f>+N17*P17</f>
        <v>211720</v>
      </c>
      <c r="R17" s="154">
        <f>+O17*P17</f>
        <v>182079.19999999998</v>
      </c>
    </row>
    <row r="18" spans="1:18" ht="13.5" thickBot="1">
      <c r="A18" s="783"/>
      <c r="B18" s="220"/>
      <c r="C18" s="221"/>
      <c r="D18" s="222"/>
      <c r="E18" s="229"/>
      <c r="F18" s="232"/>
      <c r="G18" s="581"/>
      <c r="H18" s="237" t="s">
        <v>441</v>
      </c>
      <c r="I18" s="781"/>
      <c r="J18" s="219">
        <f>+'1'!J18</f>
        <v>0</v>
      </c>
      <c r="K18" s="243"/>
      <c r="L18" s="243"/>
      <c r="M18" s="122">
        <f>+K18+'1'!M18+L18</f>
        <v>0</v>
      </c>
      <c r="N18" s="154">
        <v>830</v>
      </c>
      <c r="O18" s="154">
        <f>+N18-N18*0.14</f>
        <v>713.8</v>
      </c>
      <c r="P18" s="154">
        <f>60-28+120+60</f>
        <v>212</v>
      </c>
      <c r="Q18" s="154">
        <f>+N18*P18</f>
        <v>175960</v>
      </c>
      <c r="R18" s="154">
        <f>+O18*P18</f>
        <v>151325.59999999998</v>
      </c>
    </row>
    <row r="19" spans="1:18" ht="13.5" thickBot="1">
      <c r="A19" s="783"/>
      <c r="B19" s="220"/>
      <c r="C19" s="221"/>
      <c r="D19" s="222"/>
      <c r="E19" s="229"/>
      <c r="F19" s="239"/>
      <c r="G19" s="236"/>
      <c r="H19" s="237" t="s">
        <v>442</v>
      </c>
      <c r="I19" s="781"/>
      <c r="J19" s="219">
        <f>+'1'!J19</f>
        <v>0</v>
      </c>
      <c r="K19" s="243"/>
      <c r="L19" s="243"/>
      <c r="M19" s="122">
        <f>+K19+'1'!M19+L19</f>
        <v>0</v>
      </c>
      <c r="P19" s="154">
        <f>SUM(P17:P18)</f>
        <v>480</v>
      </c>
      <c r="Q19" s="154">
        <f>SUM(Q17:Q18)</f>
        <v>387680</v>
      </c>
      <c r="R19" s="154">
        <f>SUM(R17:R18)</f>
        <v>333404.79999999993</v>
      </c>
    </row>
    <row r="20" spans="1:18" ht="26.25" thickBot="1">
      <c r="A20" s="783"/>
      <c r="B20" s="220"/>
      <c r="C20" s="221"/>
      <c r="D20" s="222"/>
      <c r="E20" s="229"/>
      <c r="F20" s="232"/>
      <c r="G20" s="236"/>
      <c r="H20" s="237" t="s">
        <v>440</v>
      </c>
      <c r="I20" s="781"/>
      <c r="J20" s="219">
        <f>+'1'!J20</f>
        <v>0</v>
      </c>
      <c r="K20" s="244"/>
      <c r="L20" s="244"/>
      <c r="M20" s="122">
        <f>+K20+'1'!M20+L20</f>
        <v>0</v>
      </c>
      <c r="Q20" s="154">
        <f>+Q19/P19</f>
        <v>807.66666666666663</v>
      </c>
      <c r="R20" s="154">
        <f>+R19/P19</f>
        <v>694.59333333333313</v>
      </c>
    </row>
    <row r="21" spans="1:18" ht="13.5" thickBot="1">
      <c r="A21" s="783"/>
      <c r="B21" s="220"/>
      <c r="C21" s="221"/>
      <c r="D21" s="222"/>
      <c r="E21" s="229"/>
      <c r="F21" s="235"/>
      <c r="G21" s="236"/>
      <c r="H21" s="237"/>
      <c r="I21" s="781"/>
      <c r="J21" s="219">
        <f>+'1'!J21</f>
        <v>0</v>
      </c>
      <c r="K21" s="243"/>
      <c r="L21" s="243"/>
      <c r="M21" s="122">
        <f>+K21+'1'!M21+L21</f>
        <v>0</v>
      </c>
    </row>
    <row r="22" spans="1:18" ht="13.5" thickBot="1">
      <c r="A22" s="783"/>
      <c r="B22" s="220"/>
      <c r="C22" s="221"/>
      <c r="D22" s="222"/>
      <c r="E22" s="229"/>
      <c r="F22" s="240"/>
      <c r="G22" s="236"/>
      <c r="H22" s="237"/>
      <c r="I22" s="782"/>
      <c r="J22" s="219">
        <f>+'1'!J22</f>
        <v>0</v>
      </c>
      <c r="K22" s="243"/>
      <c r="L22" s="243"/>
      <c r="M22" s="122">
        <f>+K22+'1'!M22+L22</f>
        <v>0</v>
      </c>
    </row>
    <row r="23" spans="1:18" ht="13.5" thickBot="1">
      <c r="A23" s="784"/>
      <c r="B23" s="170" t="s">
        <v>3</v>
      </c>
      <c r="C23" s="105">
        <f>SUM(C16:C22)</f>
        <v>15432</v>
      </c>
      <c r="D23" s="116">
        <f>SUM(D16:D22)</f>
        <v>0</v>
      </c>
      <c r="E23" s="117">
        <f>SUM(E18:E22)</f>
        <v>0</v>
      </c>
      <c r="F23" s="121">
        <f>SUM(F15:F22)</f>
        <v>20</v>
      </c>
      <c r="G23" s="164"/>
      <c r="H23" s="171"/>
      <c r="I23" s="174"/>
      <c r="J23" s="219">
        <f>+'1'!J23</f>
        <v>0</v>
      </c>
      <c r="K23" s="243"/>
      <c r="L23" s="243"/>
      <c r="M23" s="122">
        <f>+K23+'1'!M23+L23</f>
        <v>0</v>
      </c>
    </row>
    <row r="24" spans="1:18" ht="13.5" customHeight="1" thickBot="1">
      <c r="A24" s="777" t="s">
        <v>413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2"/>
      <c r="G24" s="233" t="s">
        <v>13</v>
      </c>
      <c r="H24" s="234" t="s">
        <v>394</v>
      </c>
      <c r="I24" s="780" t="s">
        <v>446</v>
      </c>
      <c r="J24" s="219">
        <f>+'1'!J24</f>
        <v>0</v>
      </c>
      <c r="K24" s="243"/>
      <c r="L24" s="243"/>
      <c r="M24" s="122">
        <f>+K24+'1'!M24+L24</f>
        <v>0</v>
      </c>
      <c r="N24" s="154">
        <v>830</v>
      </c>
      <c r="O24" s="154">
        <f>+N24-N24*0.14</f>
        <v>713.8</v>
      </c>
      <c r="P24" s="154">
        <v>480</v>
      </c>
    </row>
    <row r="25" spans="1:18" ht="13.5" customHeight="1" thickBot="1">
      <c r="A25" s="785"/>
      <c r="B25" s="220" t="s">
        <v>454</v>
      </c>
      <c r="C25" s="230">
        <v>17116</v>
      </c>
      <c r="D25" s="222"/>
      <c r="E25" s="229"/>
      <c r="F25" s="235">
        <v>6</v>
      </c>
      <c r="G25" s="581" t="s">
        <v>13</v>
      </c>
      <c r="H25" s="234" t="s">
        <v>449</v>
      </c>
      <c r="I25" s="781"/>
      <c r="J25" s="219">
        <f>+'1'!J25</f>
        <v>0</v>
      </c>
      <c r="K25" s="243"/>
      <c r="L25" s="243"/>
      <c r="M25" s="122">
        <f>+K25+'1'!M25+L25</f>
        <v>0</v>
      </c>
    </row>
    <row r="26" spans="1:18" ht="13.5" customHeight="1" thickBot="1">
      <c r="A26" s="785"/>
      <c r="B26" s="220"/>
      <c r="C26" s="230"/>
      <c r="D26" s="222"/>
      <c r="E26" s="231"/>
      <c r="F26" s="232">
        <v>6</v>
      </c>
      <c r="G26" s="581" t="s">
        <v>13</v>
      </c>
      <c r="H26" s="237" t="s">
        <v>226</v>
      </c>
      <c r="I26" s="781"/>
      <c r="J26" s="219">
        <f>+'1'!J26</f>
        <v>0</v>
      </c>
      <c r="K26" s="243"/>
      <c r="L26" s="243"/>
      <c r="M26" s="122">
        <f>+K26+'1'!M26+L26</f>
        <v>0</v>
      </c>
    </row>
    <row r="27" spans="1:18" ht="13.5" customHeight="1" thickBot="1">
      <c r="A27" s="785"/>
      <c r="B27" s="220"/>
      <c r="C27" s="221"/>
      <c r="D27" s="222"/>
      <c r="E27" s="229"/>
      <c r="F27" s="232"/>
      <c r="G27" s="581"/>
      <c r="H27" s="237" t="s">
        <v>443</v>
      </c>
      <c r="I27" s="781"/>
      <c r="J27" s="219">
        <f>+'1'!J27</f>
        <v>0</v>
      </c>
      <c r="K27" s="243"/>
      <c r="L27" s="243"/>
      <c r="M27" s="122">
        <f>+K27+'1'!M27+L27</f>
        <v>0</v>
      </c>
    </row>
    <row r="28" spans="1:18" ht="26.25" thickBot="1">
      <c r="A28" s="785"/>
      <c r="B28" s="220"/>
      <c r="C28" s="221"/>
      <c r="D28" s="222"/>
      <c r="E28" s="229"/>
      <c r="F28" s="235"/>
      <c r="G28" s="236"/>
      <c r="H28" s="237" t="s">
        <v>444</v>
      </c>
      <c r="I28" s="781"/>
      <c r="J28" s="219">
        <f>+'1'!J28</f>
        <v>0</v>
      </c>
      <c r="K28" s="243"/>
      <c r="L28" s="243"/>
      <c r="M28" s="122">
        <f>+K28+'1'!M28+L28</f>
        <v>0</v>
      </c>
    </row>
    <row r="29" spans="1:18" ht="13.5" customHeight="1" thickBot="1">
      <c r="A29" s="785"/>
      <c r="B29" s="220"/>
      <c r="C29" s="221"/>
      <c r="D29" s="222"/>
      <c r="E29" s="229"/>
      <c r="F29" s="240"/>
      <c r="G29" s="236"/>
      <c r="H29" s="237"/>
      <c r="I29" s="781"/>
      <c r="J29" s="219">
        <f>+'1'!J29</f>
        <v>0</v>
      </c>
      <c r="K29" s="243"/>
      <c r="L29" s="243"/>
      <c r="M29" s="122">
        <f>+K29+'1'!M29+L29</f>
        <v>0</v>
      </c>
    </row>
    <row r="30" spans="1:18" ht="13.5" customHeight="1" thickBot="1">
      <c r="A30" s="785"/>
      <c r="B30" s="220"/>
      <c r="C30" s="230"/>
      <c r="D30" s="222"/>
      <c r="E30" s="229"/>
      <c r="F30" s="240"/>
      <c r="G30" s="236"/>
      <c r="H30" s="237"/>
      <c r="I30" s="781"/>
      <c r="J30" s="219">
        <f>+'1'!J30</f>
        <v>0</v>
      </c>
      <c r="K30" s="243"/>
      <c r="L30" s="243"/>
      <c r="M30" s="122">
        <f>+K30+'1'!M30+L30</f>
        <v>0</v>
      </c>
      <c r="N30" s="160"/>
    </row>
    <row r="31" spans="1:18" ht="13.5" customHeight="1" thickBot="1">
      <c r="A31" s="785"/>
      <c r="B31" s="220"/>
      <c r="C31" s="230"/>
      <c r="D31" s="222"/>
      <c r="E31" s="229"/>
      <c r="F31" s="240"/>
      <c r="G31" s="241"/>
      <c r="H31" s="587"/>
      <c r="I31" s="782"/>
      <c r="J31" s="219">
        <f>+'1'!J31</f>
        <v>0</v>
      </c>
      <c r="K31" s="243"/>
      <c r="L31" s="243"/>
      <c r="M31" s="122">
        <f>+K31+'1'!M31+L31</f>
        <v>0</v>
      </c>
    </row>
    <row r="32" spans="1:18" ht="13.5" customHeight="1" thickBot="1">
      <c r="A32" s="786"/>
      <c r="B32" s="170" t="s">
        <v>3</v>
      </c>
      <c r="C32" s="104">
        <f>SUM(C25:C31)</f>
        <v>17116</v>
      </c>
      <c r="D32" s="105">
        <f>SUM(D25:D31)</f>
        <v>0</v>
      </c>
      <c r="E32" s="106">
        <f>SUM(E25:E31)</f>
        <v>0</v>
      </c>
      <c r="F32" s="107">
        <f>SUM(F24:F31)</f>
        <v>12</v>
      </c>
      <c r="G32" s="176"/>
      <c r="H32" s="177"/>
      <c r="I32" s="174"/>
      <c r="J32" s="219">
        <f>+'1'!J32</f>
        <v>0</v>
      </c>
      <c r="K32" s="245"/>
      <c r="L32" s="247"/>
      <c r="M32" s="122">
        <f>+K32+'1'!M32+L32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35399</v>
      </c>
      <c r="D34" s="112">
        <f>D14+D23+D32</f>
        <v>0</v>
      </c>
      <c r="E34" s="112">
        <f>E14+E23+E32</f>
        <v>0</v>
      </c>
      <c r="F34" s="113">
        <f>F14+F23+F32</f>
        <v>287</v>
      </c>
      <c r="H34" s="183"/>
      <c r="I34" s="183"/>
      <c r="J34" s="128" t="s">
        <v>29</v>
      </c>
      <c r="K34" s="129">
        <f>SUM(K7:K32)</f>
        <v>35399</v>
      </c>
      <c r="L34" s="217">
        <f>SUM(L7:L32)</f>
        <v>0</v>
      </c>
      <c r="M34" s="125">
        <f>SUM(M7:M32)</f>
        <v>35399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8">
        <f>(17*1170)/1170*G42*3.4*1170/1000000</f>
        <v>47.241489039999998</v>
      </c>
      <c r="J37" s="130">
        <f>+I37+'1'!J37</f>
        <v>47.241489039999998</v>
      </c>
      <c r="K37" s="131" t="s">
        <v>66</v>
      </c>
      <c r="L37" s="435"/>
      <c r="M37" s="436"/>
    </row>
    <row r="38" spans="1:14" ht="17.45" customHeight="1">
      <c r="A38" s="793" t="s">
        <v>13</v>
      </c>
      <c r="B38" s="794"/>
      <c r="C38" s="169">
        <f>SUMIF($G$7:$G$31,"Process",$F$7:$F$31)</f>
        <v>47</v>
      </c>
      <c r="D38" s="123">
        <f>+C38+'1'!D38</f>
        <v>47</v>
      </c>
      <c r="E38" s="148">
        <f t="shared" ref="E38:E51" si="0">D38/60</f>
        <v>0.78333333333333333</v>
      </c>
      <c r="F38" s="375">
        <v>782.38095238095241</v>
      </c>
      <c r="G38" s="375">
        <v>672.84761904761899</v>
      </c>
      <c r="H38" s="192" t="s">
        <v>67</v>
      </c>
      <c r="I38" s="556">
        <f>9.309+16.6+16.542</f>
        <v>42.451000000000001</v>
      </c>
      <c r="J38" s="132">
        <f>+I38+'1'!J38</f>
        <v>42.451000000000001</v>
      </c>
      <c r="K38" s="133" t="s">
        <v>66</v>
      </c>
      <c r="L38" s="437"/>
      <c r="M38" s="438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+C39+'1'!D39</f>
        <v>0</v>
      </c>
      <c r="E39" s="148">
        <f t="shared" si="0"/>
        <v>0</v>
      </c>
      <c r="F39" s="375">
        <v>807.66666666666663</v>
      </c>
      <c r="G39" s="375">
        <v>694.59333333333313</v>
      </c>
      <c r="H39" s="192" t="s">
        <v>68</v>
      </c>
      <c r="I39" s="147"/>
      <c r="J39" s="134">
        <f>J37/G4</f>
        <v>23.620744519999999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>+C40+'1'!D40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35.399000000000001</v>
      </c>
      <c r="J40" s="136">
        <f>+I40+'1'!J40</f>
        <v>35.399000000000001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>+C41+'1'!D41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17.6995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>+C42+'1'!D42</f>
        <v>0</v>
      </c>
      <c r="E42" s="148">
        <f t="shared" si="0"/>
        <v>0</v>
      </c>
      <c r="F42" s="375">
        <f>+(F38*210+F39*480+F40*480)/1170</f>
        <v>812.29059829059827</v>
      </c>
      <c r="G42" s="375">
        <f>+(G38*210+G39*480+G40*480)/1170</f>
        <v>698.56991452991451</v>
      </c>
      <c r="H42" s="192" t="s">
        <v>73</v>
      </c>
      <c r="I42" s="250" t="s">
        <v>448</v>
      </c>
      <c r="J42" s="137"/>
      <c r="K42" s="135" t="s">
        <v>74</v>
      </c>
      <c r="L42" s="437"/>
      <c r="M42" s="438"/>
    </row>
    <row r="43" spans="1:14" ht="17.45" customHeight="1">
      <c r="A43" s="789" t="s">
        <v>75</v>
      </c>
      <c r="B43" s="790"/>
      <c r="C43" s="169">
        <f>SUMIF($G$7:$G$31,"Water",$F$7:$F$31)</f>
        <v>0</v>
      </c>
      <c r="D43" s="123">
        <f>+C43+'1'!D43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+Report1!AH10</f>
        <v>146.95399999999998</v>
      </c>
      <c r="J43" s="138">
        <f>+I43+'1'!J43</f>
        <v>149.12299999999999</v>
      </c>
      <c r="K43" s="135" t="s">
        <v>66</v>
      </c>
      <c r="L43" s="439">
        <f>+Report1!AN10</f>
        <v>15.2</v>
      </c>
      <c r="M43" s="440">
        <f>+L43+'1'!M43</f>
        <v>15.2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+C44+'1'!D44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3.4617323502390986</v>
      </c>
      <c r="J44" s="139">
        <f>J43/J38</f>
        <v>3.51282655296695</v>
      </c>
      <c r="K44" s="135" t="s">
        <v>66</v>
      </c>
      <c r="L44" s="441">
        <f>+L43/I38</f>
        <v>0.35805988080375017</v>
      </c>
      <c r="M44" s="442">
        <f>+M43/J38</f>
        <v>0.35805988080375017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>+C45+'1'!D45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4.1513602079154772</v>
      </c>
      <c r="J45" s="139">
        <f>J43/J40</f>
        <v>4.2126331252295257</v>
      </c>
      <c r="K45" s="135" t="s">
        <v>66</v>
      </c>
      <c r="L45" s="441">
        <f>+L43/I40</f>
        <v>0.42939066075312859</v>
      </c>
      <c r="M45" s="442">
        <f>+M43/J40</f>
        <v>0.42939066075312859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>+C46+'1'!D46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+SUMIF(Listrik!AC9,"&gt;0")</f>
        <v>33377.970000000714</v>
      </c>
      <c r="J46" s="140">
        <f>+I46+'1'!J46</f>
        <v>42742.219999999455</v>
      </c>
      <c r="K46" s="135" t="s">
        <v>81</v>
      </c>
      <c r="L46" s="441">
        <f>+Listrik!AF9</f>
        <v>1247</v>
      </c>
      <c r="M46" s="443">
        <f>+L46+'1'!M46</f>
        <v>1907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>+C47+'1'!D47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786.2705236625925</v>
      </c>
      <c r="J47" s="140">
        <f>J46/J38</f>
        <v>1006.8601446373337</v>
      </c>
      <c r="K47" s="135" t="s">
        <v>25</v>
      </c>
      <c r="L47" s="437">
        <f>+L46/I38</f>
        <v>29.375044168570824</v>
      </c>
      <c r="M47" s="442">
        <f>+M46/J38</f>
        <v>44.922381098207346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>+C48+'1'!D48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942.90714426963234</v>
      </c>
      <c r="J48" s="140">
        <f>J46/J40</f>
        <v>1207.4414531483785</v>
      </c>
      <c r="K48" s="135" t="s">
        <v>25</v>
      </c>
      <c r="L48" s="441">
        <f>+L46/I38</f>
        <v>29.375044168570824</v>
      </c>
      <c r="M48" s="442">
        <f>+M46/J40</f>
        <v>53.871578293172121</v>
      </c>
    </row>
    <row r="49" spans="1:13" ht="17.45" customHeight="1">
      <c r="A49" s="789" t="s">
        <v>21</v>
      </c>
      <c r="B49" s="790"/>
      <c r="C49" s="169">
        <f>SUMIF($G$7:$G$31,"Others",$F$7:$F$31)</f>
        <v>240</v>
      </c>
      <c r="D49" s="123">
        <f>+C49+'1'!D49</f>
        <v>1680</v>
      </c>
      <c r="E49" s="148">
        <f t="shared" si="0"/>
        <v>28</v>
      </c>
      <c r="F49" s="190"/>
      <c r="H49" s="193" t="s">
        <v>170</v>
      </c>
      <c r="I49" s="123">
        <f>+Report1!AB10</f>
        <v>0</v>
      </c>
      <c r="J49" s="140">
        <f>+I49+'1'!J49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>+C50+'1'!D50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>+C51+'1'!D51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287</v>
      </c>
      <c r="D52" s="149">
        <f>SUM(D38:D51)</f>
        <v>1727</v>
      </c>
      <c r="E52" s="150">
        <f>SUM(E38:E51)</f>
        <v>28.783333333333335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0.19930555555555557</v>
      </c>
      <c r="D53" s="151">
        <f>D52/(24*60*G4)</f>
        <v>0.59965277777777781</v>
      </c>
      <c r="E53" s="152">
        <f>E52/(G4*24)</f>
        <v>0.59965277777777781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+D34+'1'!J56</f>
        <v>0</v>
      </c>
      <c r="K56" s="206">
        <f>J56/(J40+J56/1000)/1000</f>
        <v>0</v>
      </c>
    </row>
    <row r="57" spans="1:13">
      <c r="A57" s="181"/>
      <c r="I57" s="204" t="s">
        <v>92</v>
      </c>
      <c r="J57" s="205">
        <f>+E34+'1'!J57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61"/>
  <sheetViews>
    <sheetView view="pageBreakPreview" zoomScale="80" zoomScaleNormal="75" zoomScaleSheetLayoutView="80" workbookViewId="0">
      <selection activeCell="J8" sqref="J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4" width="9.140625" style="154" bestFit="1"/>
    <col min="15" max="16384" width="9.140625" style="154"/>
  </cols>
  <sheetData>
    <row r="1" spans="1:13" ht="15.75">
      <c r="A1" s="153"/>
    </row>
    <row r="2" spans="1:13" ht="15.75">
      <c r="A2" s="153" t="s">
        <v>175</v>
      </c>
    </row>
    <row r="3" spans="1:13" ht="15">
      <c r="A3" s="155"/>
    </row>
    <row r="4" spans="1:13" ht="20.25">
      <c r="A4" s="156" t="s">
        <v>4</v>
      </c>
      <c r="B4" s="157"/>
      <c r="F4" s="158" t="s">
        <v>31</v>
      </c>
      <c r="G4" s="159">
        <v>1</v>
      </c>
      <c r="H4" s="159" t="s">
        <v>417</v>
      </c>
    </row>
    <row r="5" spans="1:13" ht="13.5" thickBot="1">
      <c r="C5" s="160"/>
      <c r="D5" s="160"/>
    </row>
    <row r="6" spans="1:13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</row>
    <row r="7" spans="1:13" ht="13.5" customHeight="1" thickBot="1">
      <c r="A7" s="777" t="s">
        <v>414</v>
      </c>
      <c r="B7" s="220"/>
      <c r="C7" s="221"/>
      <c r="D7" s="222"/>
      <c r="E7" s="223"/>
      <c r="F7" s="232"/>
      <c r="G7" s="233" t="s">
        <v>13</v>
      </c>
      <c r="H7" s="234" t="s">
        <v>394</v>
      </c>
      <c r="I7" s="780" t="s">
        <v>436</v>
      </c>
      <c r="J7" s="254" t="s">
        <v>454</v>
      </c>
      <c r="K7" s="242">
        <f>+C7+C16</f>
        <v>0</v>
      </c>
      <c r="L7" s="246"/>
      <c r="M7" s="122">
        <f>+K7+L7</f>
        <v>0</v>
      </c>
    </row>
    <row r="8" spans="1:13" ht="13.5" thickBot="1">
      <c r="A8" s="778"/>
      <c r="B8" s="220"/>
      <c r="C8" s="221"/>
      <c r="D8" s="222"/>
      <c r="E8" s="224"/>
      <c r="F8" s="235"/>
      <c r="G8" s="581" t="s">
        <v>13</v>
      </c>
      <c r="H8" s="234" t="s">
        <v>430</v>
      </c>
      <c r="I8" s="781"/>
      <c r="J8" s="255"/>
      <c r="K8" s="243"/>
      <c r="L8" s="243"/>
      <c r="M8" s="122">
        <f t="shared" ref="M8:M32" si="0">+K8+L8</f>
        <v>0</v>
      </c>
    </row>
    <row r="9" spans="1:13" ht="13.5" thickBot="1">
      <c r="A9" s="778"/>
      <c r="B9" s="220"/>
      <c r="C9" s="221"/>
      <c r="D9" s="222"/>
      <c r="E9" s="225"/>
      <c r="F9" s="232"/>
      <c r="G9" s="581" t="s">
        <v>13</v>
      </c>
      <c r="H9" s="237" t="s">
        <v>226</v>
      </c>
      <c r="I9" s="781"/>
      <c r="J9" s="255"/>
      <c r="K9" s="243"/>
      <c r="L9" s="243"/>
      <c r="M9" s="122">
        <f t="shared" si="0"/>
        <v>0</v>
      </c>
    </row>
    <row r="10" spans="1:13" ht="13.5" thickBot="1">
      <c r="A10" s="778"/>
      <c r="B10" s="220"/>
      <c r="C10" s="221"/>
      <c r="D10" s="222"/>
      <c r="E10" s="224" t="s">
        <v>420</v>
      </c>
      <c r="F10" s="232">
        <v>480</v>
      </c>
      <c r="G10" s="581" t="s">
        <v>21</v>
      </c>
      <c r="H10" s="237" t="s">
        <v>415</v>
      </c>
      <c r="I10" s="781"/>
      <c r="J10" s="254"/>
      <c r="K10" s="243"/>
      <c r="L10" s="243"/>
      <c r="M10" s="122">
        <f t="shared" si="0"/>
        <v>0</v>
      </c>
    </row>
    <row r="11" spans="1:13" ht="13.5" thickBot="1">
      <c r="A11" s="778"/>
      <c r="B11" s="220"/>
      <c r="C11" s="221"/>
      <c r="D11" s="222"/>
      <c r="E11" s="224"/>
      <c r="F11" s="232"/>
      <c r="G11" s="581"/>
      <c r="H11" s="593" t="s">
        <v>418</v>
      </c>
      <c r="I11" s="781"/>
      <c r="J11" s="254"/>
      <c r="K11" s="243"/>
      <c r="L11" s="243"/>
      <c r="M11" s="122">
        <f t="shared" si="0"/>
        <v>0</v>
      </c>
    </row>
    <row r="12" spans="1:13" ht="26.25" thickBot="1">
      <c r="A12" s="778"/>
      <c r="B12" s="220"/>
      <c r="C12" s="221"/>
      <c r="D12" s="222"/>
      <c r="E12" s="224"/>
      <c r="F12" s="232"/>
      <c r="G12" s="236"/>
      <c r="H12" s="593" t="s">
        <v>419</v>
      </c>
      <c r="I12" s="781"/>
      <c r="J12" s="254"/>
      <c r="K12" s="243"/>
      <c r="L12" s="243"/>
      <c r="M12" s="122">
        <f t="shared" si="0"/>
        <v>0</v>
      </c>
    </row>
    <row r="13" spans="1:13" ht="13.5" thickBot="1">
      <c r="A13" s="778"/>
      <c r="B13" s="220"/>
      <c r="C13" s="221"/>
      <c r="D13" s="221"/>
      <c r="E13" s="224"/>
      <c r="F13" s="232"/>
      <c r="G13" s="236"/>
      <c r="H13" s="237"/>
      <c r="I13" s="782"/>
      <c r="J13" s="254"/>
      <c r="K13" s="243"/>
      <c r="L13" s="243"/>
      <c r="M13" s="122">
        <f t="shared" si="0"/>
        <v>0</v>
      </c>
    </row>
    <row r="14" spans="1:13" ht="13.5" thickBot="1">
      <c r="A14" s="779"/>
      <c r="B14" s="170" t="s">
        <v>3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480</v>
      </c>
      <c r="G14" s="164"/>
      <c r="H14" s="171"/>
      <c r="I14" s="172"/>
      <c r="J14" s="254"/>
      <c r="K14" s="243"/>
      <c r="L14" s="243"/>
      <c r="M14" s="122">
        <f t="shared" si="0"/>
        <v>0</v>
      </c>
    </row>
    <row r="15" spans="1:13" ht="13.5" customHeight="1" thickBot="1">
      <c r="A15" s="777" t="s">
        <v>412</v>
      </c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2"/>
      <c r="G15" s="233" t="s">
        <v>13</v>
      </c>
      <c r="H15" s="234" t="s">
        <v>394</v>
      </c>
      <c r="I15" s="780" t="s">
        <v>436</v>
      </c>
      <c r="J15" s="254"/>
      <c r="K15" s="243"/>
      <c r="L15" s="243"/>
      <c r="M15" s="122">
        <f t="shared" si="0"/>
        <v>0</v>
      </c>
    </row>
    <row r="16" spans="1:13" ht="13.5" thickBot="1">
      <c r="A16" s="783"/>
      <c r="B16" s="220"/>
      <c r="C16" s="226"/>
      <c r="D16" s="227"/>
      <c r="E16" s="228"/>
      <c r="F16" s="235"/>
      <c r="G16" s="581" t="s">
        <v>13</v>
      </c>
      <c r="H16" s="234" t="s">
        <v>430</v>
      </c>
      <c r="I16" s="781"/>
      <c r="J16" s="254"/>
      <c r="K16" s="233"/>
      <c r="L16" s="233"/>
      <c r="M16" s="122">
        <f t="shared" si="0"/>
        <v>0</v>
      </c>
    </row>
    <row r="17" spans="1:14" ht="13.5" thickBot="1">
      <c r="A17" s="783"/>
      <c r="B17" s="220"/>
      <c r="C17" s="221"/>
      <c r="D17" s="222"/>
      <c r="E17" s="229"/>
      <c r="F17" s="232"/>
      <c r="G17" s="581" t="s">
        <v>13</v>
      </c>
      <c r="H17" s="237" t="s">
        <v>226</v>
      </c>
      <c r="I17" s="781"/>
      <c r="J17" s="254"/>
      <c r="K17" s="233"/>
      <c r="L17" s="233"/>
      <c r="M17" s="122">
        <f t="shared" si="0"/>
        <v>0</v>
      </c>
    </row>
    <row r="18" spans="1:14" ht="13.5" thickBot="1">
      <c r="A18" s="783"/>
      <c r="B18" s="220"/>
      <c r="C18" s="221"/>
      <c r="D18" s="222"/>
      <c r="E18" s="229" t="s">
        <v>420</v>
      </c>
      <c r="F18" s="232">
        <v>480</v>
      </c>
      <c r="G18" s="581" t="s">
        <v>21</v>
      </c>
      <c r="H18" s="237" t="s">
        <v>415</v>
      </c>
      <c r="I18" s="781"/>
      <c r="J18" s="254"/>
      <c r="K18" s="243"/>
      <c r="L18" s="243"/>
      <c r="M18" s="122">
        <f t="shared" si="0"/>
        <v>0</v>
      </c>
    </row>
    <row r="19" spans="1:14" ht="26.25" thickBot="1">
      <c r="A19" s="783"/>
      <c r="B19" s="220"/>
      <c r="C19" s="221"/>
      <c r="D19" s="222"/>
      <c r="E19" s="229"/>
      <c r="F19" s="239"/>
      <c r="G19" s="236"/>
      <c r="H19" s="237" t="s">
        <v>422</v>
      </c>
      <c r="I19" s="781"/>
      <c r="J19" s="254"/>
      <c r="K19" s="243"/>
      <c r="L19" s="243"/>
      <c r="M19" s="122">
        <f t="shared" si="0"/>
        <v>0</v>
      </c>
    </row>
    <row r="20" spans="1:14" ht="26.25" thickBot="1">
      <c r="A20" s="783"/>
      <c r="B20" s="220"/>
      <c r="C20" s="221"/>
      <c r="D20" s="222"/>
      <c r="E20" s="229"/>
      <c r="F20" s="232"/>
      <c r="G20" s="236"/>
      <c r="H20" s="237" t="s">
        <v>421</v>
      </c>
      <c r="I20" s="781"/>
      <c r="J20" s="254"/>
      <c r="K20" s="244"/>
      <c r="L20" s="244"/>
      <c r="M20" s="122">
        <f t="shared" si="0"/>
        <v>0</v>
      </c>
    </row>
    <row r="21" spans="1:14" ht="26.25" thickBot="1">
      <c r="A21" s="783"/>
      <c r="B21" s="220"/>
      <c r="C21" s="221"/>
      <c r="D21" s="222"/>
      <c r="E21" s="229"/>
      <c r="F21" s="235"/>
      <c r="G21" s="236"/>
      <c r="H21" s="237" t="s">
        <v>423</v>
      </c>
      <c r="I21" s="781"/>
      <c r="J21" s="254"/>
      <c r="K21" s="243"/>
      <c r="L21" s="243"/>
      <c r="M21" s="122">
        <f t="shared" si="0"/>
        <v>0</v>
      </c>
    </row>
    <row r="22" spans="1:14" ht="26.25" thickBot="1">
      <c r="A22" s="783"/>
      <c r="B22" s="220"/>
      <c r="C22" s="221"/>
      <c r="D22" s="222"/>
      <c r="E22" s="229"/>
      <c r="F22" s="240"/>
      <c r="G22" s="236"/>
      <c r="H22" s="237" t="s">
        <v>424</v>
      </c>
      <c r="I22" s="782"/>
      <c r="J22" s="254"/>
      <c r="K22" s="243"/>
      <c r="L22" s="243"/>
      <c r="M22" s="122">
        <f t="shared" si="0"/>
        <v>0</v>
      </c>
    </row>
    <row r="23" spans="1:14" ht="13.5" thickBot="1">
      <c r="A23" s="784"/>
      <c r="B23" s="170" t="s">
        <v>3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480</v>
      </c>
      <c r="G23" s="164"/>
      <c r="H23" s="171"/>
      <c r="I23" s="174"/>
      <c r="J23" s="254"/>
      <c r="K23" s="243"/>
      <c r="L23" s="243"/>
      <c r="M23" s="122">
        <f t="shared" si="0"/>
        <v>0</v>
      </c>
    </row>
    <row r="24" spans="1:14" ht="13.5" customHeight="1" thickBot="1">
      <c r="A24" s="777" t="s">
        <v>413</v>
      </c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2"/>
      <c r="G24" s="233" t="s">
        <v>13</v>
      </c>
      <c r="H24" s="234" t="s">
        <v>394</v>
      </c>
      <c r="I24" s="780" t="s">
        <v>436</v>
      </c>
      <c r="J24" s="254"/>
      <c r="K24" s="243"/>
      <c r="L24" s="243"/>
      <c r="M24" s="122">
        <f t="shared" si="0"/>
        <v>0</v>
      </c>
    </row>
    <row r="25" spans="1:14" ht="13.5" thickBot="1">
      <c r="A25" s="785"/>
      <c r="B25" s="220"/>
      <c r="C25" s="230"/>
      <c r="D25" s="222"/>
      <c r="E25" s="229"/>
      <c r="F25" s="235"/>
      <c r="G25" s="581" t="s">
        <v>13</v>
      </c>
      <c r="H25" s="234" t="s">
        <v>430</v>
      </c>
      <c r="I25" s="781"/>
      <c r="J25" s="254"/>
      <c r="K25" s="243"/>
      <c r="L25" s="243"/>
      <c r="M25" s="122">
        <f t="shared" si="0"/>
        <v>0</v>
      </c>
    </row>
    <row r="26" spans="1:14" ht="13.5" thickBot="1">
      <c r="A26" s="785"/>
      <c r="B26" s="220"/>
      <c r="C26" s="230"/>
      <c r="D26" s="222"/>
      <c r="E26" s="231"/>
      <c r="F26" s="232"/>
      <c r="G26" s="581" t="s">
        <v>13</v>
      </c>
      <c r="H26" s="237" t="s">
        <v>226</v>
      </c>
      <c r="I26" s="781"/>
      <c r="J26" s="254"/>
      <c r="K26" s="243"/>
      <c r="L26" s="243"/>
      <c r="M26" s="122">
        <f t="shared" si="0"/>
        <v>0</v>
      </c>
    </row>
    <row r="27" spans="1:14" ht="39" thickBot="1">
      <c r="A27" s="785"/>
      <c r="B27" s="220"/>
      <c r="C27" s="221"/>
      <c r="D27" s="222"/>
      <c r="E27" s="229" t="s">
        <v>420</v>
      </c>
      <c r="F27" s="232">
        <v>480</v>
      </c>
      <c r="G27" s="581" t="s">
        <v>21</v>
      </c>
      <c r="H27" s="237" t="s">
        <v>425</v>
      </c>
      <c r="I27" s="781"/>
      <c r="J27" s="254"/>
      <c r="K27" s="243"/>
      <c r="L27" s="243"/>
      <c r="M27" s="122">
        <f t="shared" si="0"/>
        <v>0</v>
      </c>
    </row>
    <row r="28" spans="1:14" ht="26.25" thickBot="1">
      <c r="A28" s="785"/>
      <c r="B28" s="220"/>
      <c r="C28" s="221"/>
      <c r="D28" s="222"/>
      <c r="E28" s="229"/>
      <c r="F28" s="235"/>
      <c r="G28" s="236"/>
      <c r="H28" s="237" t="s">
        <v>426</v>
      </c>
      <c r="I28" s="781"/>
      <c r="J28" s="254"/>
      <c r="K28" s="243"/>
      <c r="L28" s="243"/>
      <c r="M28" s="122">
        <f t="shared" si="0"/>
        <v>0</v>
      </c>
    </row>
    <row r="29" spans="1:14" ht="26.25" thickBot="1">
      <c r="A29" s="785"/>
      <c r="B29" s="220"/>
      <c r="C29" s="221"/>
      <c r="D29" s="222"/>
      <c r="E29" s="229"/>
      <c r="F29" s="240"/>
      <c r="G29" s="236"/>
      <c r="H29" s="237" t="s">
        <v>429</v>
      </c>
      <c r="I29" s="781"/>
      <c r="J29" s="254"/>
      <c r="K29" s="243"/>
      <c r="L29" s="243"/>
      <c r="M29" s="122">
        <f t="shared" si="0"/>
        <v>0</v>
      </c>
    </row>
    <row r="30" spans="1:14" ht="13.5" thickBot="1">
      <c r="A30" s="785"/>
      <c r="B30" s="220"/>
      <c r="C30" s="230"/>
      <c r="D30" s="222"/>
      <c r="E30" s="229"/>
      <c r="F30" s="240"/>
      <c r="G30" s="236"/>
      <c r="H30" s="237" t="s">
        <v>427</v>
      </c>
      <c r="I30" s="781"/>
      <c r="J30" s="254"/>
      <c r="K30" s="243"/>
      <c r="L30" s="243"/>
      <c r="M30" s="122">
        <f t="shared" si="0"/>
        <v>0</v>
      </c>
      <c r="N30" s="160"/>
    </row>
    <row r="31" spans="1:14" ht="13.5" thickBot="1">
      <c r="A31" s="785"/>
      <c r="B31" s="220"/>
      <c r="C31" s="230"/>
      <c r="D31" s="222"/>
      <c r="E31" s="229"/>
      <c r="F31" s="240"/>
      <c r="G31" s="241"/>
      <c r="H31" s="587" t="s">
        <v>428</v>
      </c>
      <c r="I31" s="782"/>
      <c r="J31" s="254"/>
      <c r="K31" s="243"/>
      <c r="L31" s="243"/>
      <c r="M31" s="122">
        <f t="shared" si="0"/>
        <v>0</v>
      </c>
    </row>
    <row r="32" spans="1:14" ht="13.5" thickBot="1">
      <c r="A32" s="786"/>
      <c r="B32" s="170" t="s">
        <v>3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56"/>
      <c r="K32" s="245"/>
      <c r="L32" s="247"/>
      <c r="M32" s="122">
        <f t="shared" si="0"/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7" t="s">
        <v>60</v>
      </c>
      <c r="B34" s="788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1440</v>
      </c>
      <c r="H34" s="183"/>
      <c r="I34" s="183"/>
      <c r="J34" s="128" t="s">
        <v>29</v>
      </c>
      <c r="K34" s="129">
        <f>SUM(K7:K32)</f>
        <v>0</v>
      </c>
      <c r="L34" s="217">
        <f>SUM(L7:L32)</f>
        <v>0</v>
      </c>
      <c r="M34" s="125">
        <f>SUM(M7:M32)</f>
        <v>0</v>
      </c>
      <c r="N34" s="160"/>
    </row>
    <row r="35" spans="1:14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91" t="s">
        <v>61</v>
      </c>
      <c r="B37" s="792"/>
      <c r="C37" s="167" t="s">
        <v>62</v>
      </c>
      <c r="D37" s="188" t="s">
        <v>63</v>
      </c>
      <c r="E37" s="189" t="s">
        <v>64</v>
      </c>
      <c r="F37" s="190"/>
      <c r="G37" s="160"/>
      <c r="H37" s="191" t="s">
        <v>65</v>
      </c>
      <c r="I37" s="248">
        <f>(17*540+19*679+25*28)/1412*G42*3.4*1412/1000000</f>
        <v>0</v>
      </c>
      <c r="J37" s="130">
        <f>I37</f>
        <v>0</v>
      </c>
      <c r="K37" s="131" t="s">
        <v>66</v>
      </c>
      <c r="L37" s="435"/>
      <c r="M37" s="436"/>
      <c r="N37" s="582"/>
    </row>
    <row r="38" spans="1:14" ht="17.45" customHeight="1">
      <c r="A38" s="793" t="s">
        <v>13</v>
      </c>
      <c r="B38" s="794"/>
      <c r="C38" s="169">
        <f>SUMIF($G$7:$G$31,"Process",$F$7:$F$31)</f>
        <v>0</v>
      </c>
      <c r="D38" s="123">
        <f>C38</f>
        <v>0</v>
      </c>
      <c r="E38" s="148">
        <f t="shared" ref="E38:E51" si="1">D38/60</f>
        <v>0</v>
      </c>
      <c r="F38" s="190"/>
      <c r="G38" s="190"/>
      <c r="H38" s="192" t="s">
        <v>67</v>
      </c>
      <c r="I38" s="556"/>
      <c r="J38" s="132">
        <f>I38</f>
        <v>0</v>
      </c>
      <c r="K38" s="133" t="s">
        <v>66</v>
      </c>
      <c r="L38" s="437"/>
      <c r="M38" s="438"/>
      <c r="N38" s="557"/>
    </row>
    <row r="39" spans="1:14" ht="17.45" customHeight="1">
      <c r="A39" s="789" t="s">
        <v>14</v>
      </c>
      <c r="B39" s="790"/>
      <c r="C39" s="169">
        <f>SUMIF($G$7:$G$31,"Cleaning",$F$7:$F$31)</f>
        <v>0</v>
      </c>
      <c r="D39" s="123">
        <f>C39</f>
        <v>0</v>
      </c>
      <c r="E39" s="148">
        <f t="shared" si="1"/>
        <v>0</v>
      </c>
      <c r="F39" s="190"/>
      <c r="G39" s="190"/>
      <c r="H39" s="192" t="s">
        <v>68</v>
      </c>
      <c r="I39" s="147"/>
      <c r="J39" s="134">
        <f>J37/G4</f>
        <v>0</v>
      </c>
      <c r="K39" s="135" t="s">
        <v>66</v>
      </c>
      <c r="L39" s="437"/>
      <c r="M39" s="438"/>
    </row>
    <row r="40" spans="1:14" ht="17.45" customHeight="1">
      <c r="A40" s="789" t="s">
        <v>69</v>
      </c>
      <c r="B40" s="790"/>
      <c r="C40" s="169">
        <f>SUMIF($G$7:$G$31,"Mechanical",$F$7:$F$31)</f>
        <v>0</v>
      </c>
      <c r="D40" s="123">
        <f t="shared" ref="D40:D51" si="2">C40</f>
        <v>0</v>
      </c>
      <c r="E40" s="148">
        <f t="shared" si="1"/>
        <v>0</v>
      </c>
      <c r="F40" s="190"/>
      <c r="G40" s="190"/>
      <c r="H40" s="192" t="s">
        <v>70</v>
      </c>
      <c r="I40" s="123">
        <f>(K34+L34)/1000</f>
        <v>0</v>
      </c>
      <c r="J40" s="136">
        <f>M34/1000</f>
        <v>0</v>
      </c>
      <c r="K40" s="135" t="s">
        <v>66</v>
      </c>
      <c r="L40" s="437"/>
      <c r="M40" s="438"/>
    </row>
    <row r="41" spans="1:14" ht="17.45" customHeight="1">
      <c r="A41" s="789" t="s">
        <v>71</v>
      </c>
      <c r="B41" s="790"/>
      <c r="C41" s="169">
        <f>SUMIF($G$7:$G$31,"Electrical",$F$7:$F$31)</f>
        <v>0</v>
      </c>
      <c r="D41" s="123">
        <f t="shared" si="2"/>
        <v>0</v>
      </c>
      <c r="E41" s="148">
        <f t="shared" si="1"/>
        <v>0</v>
      </c>
      <c r="F41" s="190"/>
      <c r="G41" s="190"/>
      <c r="H41" s="192" t="s">
        <v>72</v>
      </c>
      <c r="I41" s="147"/>
      <c r="J41" s="134">
        <f>J40/G4</f>
        <v>0</v>
      </c>
      <c r="K41" s="135" t="s">
        <v>66</v>
      </c>
      <c r="L41" s="437"/>
      <c r="M41" s="438"/>
    </row>
    <row r="42" spans="1:14" ht="17.45" customHeight="1">
      <c r="A42" s="789" t="s">
        <v>17</v>
      </c>
      <c r="B42" s="790"/>
      <c r="C42" s="169">
        <f>SUMIF($G$7:$G$31,"Instrument",$F$7:$F$31)</f>
        <v>0</v>
      </c>
      <c r="D42" s="123">
        <f t="shared" si="2"/>
        <v>0</v>
      </c>
      <c r="E42" s="148">
        <f t="shared" si="1"/>
        <v>0</v>
      </c>
      <c r="F42" s="190">
        <f>+(F38*480+F39*397+F40*370)/1247</f>
        <v>0</v>
      </c>
      <c r="G42" s="190">
        <f>+(G38*480+G39*397+G40*370)/1247</f>
        <v>0</v>
      </c>
      <c r="H42" s="192" t="s">
        <v>73</v>
      </c>
      <c r="I42" s="250"/>
      <c r="J42" s="137"/>
      <c r="K42" s="135" t="s">
        <v>74</v>
      </c>
      <c r="L42" s="437"/>
      <c r="M42" s="438"/>
    </row>
    <row r="43" spans="1:14" ht="17.45" customHeight="1">
      <c r="A43" s="789" t="s">
        <v>201</v>
      </c>
      <c r="B43" s="790"/>
      <c r="C43" s="169">
        <f>SUMIF($G$7:$G$31,"Change Grade",$F$7:$F$31)</f>
        <v>0</v>
      </c>
      <c r="D43" s="123">
        <f t="shared" si="2"/>
        <v>0</v>
      </c>
      <c r="E43" s="148">
        <f t="shared" si="1"/>
        <v>0</v>
      </c>
      <c r="F43" s="190"/>
      <c r="H43" s="193" t="s">
        <v>76</v>
      </c>
      <c r="I43" s="123">
        <f>+Report1!AH9</f>
        <v>2.169</v>
      </c>
      <c r="J43" s="138">
        <f>I43</f>
        <v>2.169</v>
      </c>
      <c r="K43" s="135" t="s">
        <v>66</v>
      </c>
      <c r="L43" s="439">
        <f>+Report1!AN9</f>
        <v>0</v>
      </c>
      <c r="M43" s="440">
        <f>+L43</f>
        <v>0</v>
      </c>
    </row>
    <row r="44" spans="1:14" ht="17.45" customHeight="1">
      <c r="A44" s="789" t="s">
        <v>18</v>
      </c>
      <c r="B44" s="790"/>
      <c r="C44" s="169">
        <f>SUMIF($G$7:$G$31,"PLN",$F$7:$F$31)</f>
        <v>0</v>
      </c>
      <c r="D44" s="123">
        <f>C44</f>
        <v>0</v>
      </c>
      <c r="E44" s="148">
        <f t="shared" si="1"/>
        <v>0</v>
      </c>
      <c r="F44" s="190"/>
      <c r="H44" s="193" t="s">
        <v>77</v>
      </c>
      <c r="I44" s="123" t="e">
        <f>I43/I38</f>
        <v>#DIV/0!</v>
      </c>
      <c r="J44" s="139" t="e">
        <f>J43/J38</f>
        <v>#DIV/0!</v>
      </c>
      <c r="K44" s="135" t="s">
        <v>66</v>
      </c>
      <c r="L44" s="441" t="e">
        <f>+L43/I38</f>
        <v>#DIV/0!</v>
      </c>
      <c r="M44" s="442" t="e">
        <f>+M43/J38</f>
        <v>#DIV/0!</v>
      </c>
    </row>
    <row r="45" spans="1:14" ht="17.45" customHeight="1">
      <c r="A45" s="789" t="s">
        <v>19</v>
      </c>
      <c r="B45" s="790"/>
      <c r="C45" s="169">
        <f>SUMIF($G$7:$G$31,"Boiler",$F$7:$F$31)</f>
        <v>0</v>
      </c>
      <c r="D45" s="123">
        <f t="shared" si="2"/>
        <v>0</v>
      </c>
      <c r="E45" s="148">
        <f t="shared" si="1"/>
        <v>0</v>
      </c>
      <c r="F45" s="190"/>
      <c r="G45" s="181"/>
      <c r="H45" s="193" t="s">
        <v>78</v>
      </c>
      <c r="I45" s="123" t="e">
        <f>I43/I40</f>
        <v>#DIV/0!</v>
      </c>
      <c r="J45" s="139" t="e">
        <f>J43/J40</f>
        <v>#DIV/0!</v>
      </c>
      <c r="K45" s="135" t="s">
        <v>66</v>
      </c>
      <c r="L45" s="441" t="e">
        <f>+L43/I40</f>
        <v>#DIV/0!</v>
      </c>
      <c r="M45" s="442" t="e">
        <f>+M43/J40</f>
        <v>#DIV/0!</v>
      </c>
    </row>
    <row r="46" spans="1:14" ht="17.45" customHeight="1">
      <c r="A46" s="789" t="s">
        <v>79</v>
      </c>
      <c r="B46" s="790"/>
      <c r="C46" s="169">
        <f>SUMIF($G$7:$G$31,"Gas",$F$7:$F$31)</f>
        <v>0</v>
      </c>
      <c r="D46" s="123">
        <f t="shared" si="2"/>
        <v>0</v>
      </c>
      <c r="E46" s="148">
        <f t="shared" si="1"/>
        <v>0</v>
      </c>
      <c r="F46" s="190"/>
      <c r="H46" s="193" t="s">
        <v>80</v>
      </c>
      <c r="I46" s="145">
        <f>+SUMIF(Listrik!AC8,"&gt;0")</f>
        <v>9364.2499999987431</v>
      </c>
      <c r="J46" s="140">
        <f>I46</f>
        <v>9364.2499999987431</v>
      </c>
      <c r="K46" s="135" t="s">
        <v>81</v>
      </c>
      <c r="L46" s="441">
        <f>+Listrik!AF8</f>
        <v>660</v>
      </c>
      <c r="M46" s="443">
        <f>+L46</f>
        <v>660</v>
      </c>
    </row>
    <row r="47" spans="1:14" ht="17.45" customHeight="1">
      <c r="A47" s="789" t="s">
        <v>82</v>
      </c>
      <c r="B47" s="790"/>
      <c r="C47" s="169">
        <f>SUMIF($G$7:$G$31,"Gas",$F$7:$F$31)</f>
        <v>0</v>
      </c>
      <c r="D47" s="123">
        <f t="shared" si="2"/>
        <v>0</v>
      </c>
      <c r="E47" s="148">
        <f t="shared" si="1"/>
        <v>0</v>
      </c>
      <c r="F47" s="190"/>
      <c r="H47" s="193" t="s">
        <v>83</v>
      </c>
      <c r="I47" s="123" t="e">
        <f>I46/I38</f>
        <v>#DIV/0!</v>
      </c>
      <c r="J47" s="140" t="e">
        <f>J46/J38</f>
        <v>#DIV/0!</v>
      </c>
      <c r="K47" s="135" t="s">
        <v>25</v>
      </c>
      <c r="L47" s="441" t="e">
        <f>+L46/I38</f>
        <v>#DIV/0!</v>
      </c>
      <c r="M47" s="442" t="e">
        <f>+M46/J38</f>
        <v>#DIV/0!</v>
      </c>
    </row>
    <row r="48" spans="1:14" ht="17.45" customHeight="1">
      <c r="A48" s="789" t="s">
        <v>15</v>
      </c>
      <c r="B48" s="790"/>
      <c r="C48" s="169">
        <f>SUMIF($G$7:$G$31,"Start Up",$F$7:$F$31)</f>
        <v>0</v>
      </c>
      <c r="D48" s="123">
        <f t="shared" si="2"/>
        <v>0</v>
      </c>
      <c r="E48" s="148">
        <f t="shared" si="1"/>
        <v>0</v>
      </c>
      <c r="F48" s="190"/>
      <c r="H48" s="193" t="s">
        <v>84</v>
      </c>
      <c r="I48" s="123" t="e">
        <f>I46/I40</f>
        <v>#DIV/0!</v>
      </c>
      <c r="J48" s="140" t="e">
        <f>J46/J40</f>
        <v>#DIV/0!</v>
      </c>
      <c r="K48" s="135" t="s">
        <v>25</v>
      </c>
      <c r="L48" s="441" t="e">
        <f>+L46/I38</f>
        <v>#DIV/0!</v>
      </c>
      <c r="M48" s="442" t="e">
        <f>+M46/J40</f>
        <v>#DIV/0!</v>
      </c>
    </row>
    <row r="49" spans="1:13" ht="17.45" customHeight="1">
      <c r="A49" s="789" t="s">
        <v>21</v>
      </c>
      <c r="B49" s="790"/>
      <c r="C49" s="169">
        <f>SUMIF($G$7:$G$31,"Others",$F$7:$F$31)</f>
        <v>1440</v>
      </c>
      <c r="D49" s="123">
        <f t="shared" si="2"/>
        <v>1440</v>
      </c>
      <c r="E49" s="148">
        <f t="shared" si="1"/>
        <v>24</v>
      </c>
      <c r="F49" s="190"/>
      <c r="H49" s="193" t="s">
        <v>170</v>
      </c>
      <c r="I49" s="123"/>
      <c r="J49" s="140">
        <f>I49</f>
        <v>0</v>
      </c>
      <c r="K49" s="135" t="s">
        <v>86</v>
      </c>
      <c r="L49" s="437"/>
      <c r="M49" s="438"/>
    </row>
    <row r="50" spans="1:13" ht="17.45" customHeight="1">
      <c r="A50" s="789" t="s">
        <v>20</v>
      </c>
      <c r="B50" s="790"/>
      <c r="C50" s="169">
        <f>SUMIF($G$7:$G$31,"Steam",$F$7:$F$31)</f>
        <v>0</v>
      </c>
      <c r="D50" s="123">
        <f t="shared" si="2"/>
        <v>0</v>
      </c>
      <c r="E50" s="148">
        <f t="shared" si="1"/>
        <v>0</v>
      </c>
      <c r="F50" s="190"/>
      <c r="H50" s="193" t="s">
        <v>87</v>
      </c>
      <c r="I50" s="145" t="e">
        <f>I49/I38</f>
        <v>#DIV/0!</v>
      </c>
      <c r="J50" s="138" t="e">
        <f>J49/J38</f>
        <v>#DIV/0!</v>
      </c>
      <c r="K50" s="135" t="s">
        <v>86</v>
      </c>
      <c r="L50" s="437"/>
      <c r="M50" s="438"/>
    </row>
    <row r="51" spans="1:13" ht="17.45" customHeight="1" thickBot="1">
      <c r="A51" s="795" t="s">
        <v>88</v>
      </c>
      <c r="B51" s="796"/>
      <c r="C51" s="169">
        <f>SUMIF($G$7:$G$31,"Planned shut",$F$7:$F$31)</f>
        <v>0</v>
      </c>
      <c r="D51" s="123">
        <f t="shared" si="2"/>
        <v>0</v>
      </c>
      <c r="E51" s="148">
        <f t="shared" si="1"/>
        <v>0</v>
      </c>
      <c r="F51" s="190"/>
      <c r="H51" s="195" t="s">
        <v>89</v>
      </c>
      <c r="I51" s="146" t="e">
        <f>I49/I40</f>
        <v>#DIV/0!</v>
      </c>
      <c r="J51" s="141" t="e">
        <f>J49/J40</f>
        <v>#DIV/0!</v>
      </c>
      <c r="K51" s="142" t="s">
        <v>86</v>
      </c>
      <c r="L51" s="437"/>
      <c r="M51" s="438"/>
    </row>
    <row r="52" spans="1:13" ht="13.5" thickBot="1">
      <c r="A52" s="793" t="s">
        <v>29</v>
      </c>
      <c r="B52" s="794"/>
      <c r="C52" s="149">
        <f>SUM(C38:C51)</f>
        <v>1440</v>
      </c>
      <c r="D52" s="149">
        <f>SUM(D38:D51)</f>
        <v>1440</v>
      </c>
      <c r="E52" s="150">
        <f>SUM(E38:E51)</f>
        <v>24</v>
      </c>
      <c r="F52" s="190"/>
      <c r="H52" s="196"/>
      <c r="I52" s="197"/>
      <c r="J52" s="143"/>
      <c r="K52" s="144"/>
      <c r="L52" s="444"/>
      <c r="M52" s="445"/>
    </row>
    <row r="53" spans="1:13" ht="13.5" thickBot="1">
      <c r="A53" s="797"/>
      <c r="B53" s="798"/>
      <c r="C53" s="151">
        <f>C52/(24*60)</f>
        <v>1</v>
      </c>
      <c r="D53" s="151">
        <f>D52/(24*60*G4)</f>
        <v>1</v>
      </c>
      <c r="E53" s="152">
        <f>E52/(G4*24)</f>
        <v>1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D34</f>
        <v>0</v>
      </c>
      <c r="K56" s="206" t="e">
        <f>J56/(J40+J56/1000)/1000</f>
        <v>#DIV/0!</v>
      </c>
    </row>
    <row r="57" spans="1:13">
      <c r="A57" s="181"/>
      <c r="I57" s="204" t="s">
        <v>92</v>
      </c>
      <c r="J57" s="205">
        <f>+E34</f>
        <v>0</v>
      </c>
      <c r="K57" s="206" t="e">
        <f>J57/(J40+J57/1000)/1000</f>
        <v>#DIV/0!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0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2025-11-05T04:07:11Z</cp:lastPrinted>
  <dcterms:created xsi:type="dcterms:W3CDTF">2007-07-30T03:52:39Z</dcterms:created>
  <dcterms:modified xsi:type="dcterms:W3CDTF">2025-11-06T04:51:23Z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